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October 2025/"/>
    </mc:Choice>
  </mc:AlternateContent>
  <xr:revisionPtr revIDLastSave="10" documentId="8_{301818A2-A450-422A-A1F7-4F4308EC191C}" xr6:coauthVersionLast="47" xr6:coauthVersionMax="47" xr10:uidLastSave="{431CEE97-AC6D-452E-89D8-B3420A299DB1}"/>
  <bookViews>
    <workbookView xWindow="195" yWindow="390" windowWidth="28605" windowHeight="15585" tabRatio="599"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'13'!$A$1:$F$31</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94" l="1"/>
  <c r="B11" i="55" l="1"/>
  <c r="A8" i="92" l="1"/>
  <c r="A8" i="82" l="1"/>
  <c r="A8" i="55"/>
  <c r="A8" i="80"/>
  <c r="A8" i="81"/>
  <c r="A8" i="83"/>
  <c r="A8" i="84"/>
  <c r="A8" i="79"/>
  <c r="A8" i="48"/>
  <c r="A8" i="27"/>
  <c r="A8" i="29"/>
  <c r="A8" i="32"/>
  <c r="A8" i="20"/>
  <c r="A8" i="58"/>
  <c r="A8" i="11"/>
  <c r="A8" i="46"/>
  <c r="A8" i="42"/>
  <c r="A8" i="10"/>
  <c r="A8" i="33"/>
  <c r="A8" i="70"/>
  <c r="A8" i="71"/>
  <c r="A8" i="72"/>
  <c r="A8" i="59"/>
  <c r="A8" i="60"/>
  <c r="B9" i="55"/>
  <c r="B10" i="55"/>
</calcChain>
</file>

<file path=xl/sharedStrings.xml><?xml version="1.0" encoding="utf-8"?>
<sst xmlns="http://schemas.openxmlformats.org/spreadsheetml/2006/main" count="3322" uniqueCount="511">
  <si>
    <t>AusPlay survey results July 2024 - June 2025</t>
  </si>
  <si>
    <t>Released at:</t>
  </si>
  <si>
    <t>13 November 2025</t>
  </si>
  <si>
    <t>Table name:</t>
  </si>
  <si>
    <t>Index</t>
  </si>
  <si>
    <t>Equivalent table number in national data tables</t>
  </si>
  <si>
    <t>Table number</t>
  </si>
  <si>
    <t>Table name</t>
  </si>
  <si>
    <t>Demographics of participants</t>
  </si>
  <si>
    <t>Demographics of participants (adults)</t>
  </si>
  <si>
    <t>Demographics of participants (children) (organised outside of school hours)</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</si>
  <si>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</si>
  <si>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</si>
  <si>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</si>
  <si>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</si>
  <si>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</si>
  <si>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</si>
  <si>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</si>
  <si>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</si>
  <si>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</si>
  <si>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</si>
  <si>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</si>
  <si>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Barriers to participation (children)</t>
  </si>
  <si>
    <t>Sport or non-sport related participation (adults)</t>
  </si>
  <si>
    <t>Sport or non-sport related participation (children)</t>
  </si>
  <si>
    <t>Participation by activity (adults)</t>
  </si>
  <si>
    <t>Participation by activity (children) (organised outside of school hours)</t>
  </si>
  <si>
    <t>Organised participation by activity (adults)</t>
  </si>
  <si>
    <t>Type of organising entity by activity (adults)</t>
  </si>
  <si>
    <t>Type of organising entity by activity (children)</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</si>
  <si>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</si>
  <si>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</si>
  <si>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</si>
  <si>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</si>
  <si>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</si>
  <si>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</si>
  <si>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</si>
  <si>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</si>
  <si>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</si>
  <si>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</si>
  <si>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</si>
  <si>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</si>
  <si>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</si>
  <si>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</si>
  <si>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</si>
  <si>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</si>
  <si>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</si>
  <si>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</si>
  <si>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</si>
  <si>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</si>
  <si>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</si>
  <si>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</si>
  <si>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</si>
  <si>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</si>
  <si>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</si>
  <si>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</si>
  <si>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</si>
  <si>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</si>
  <si>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</si>
  <si>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</si>
  <si>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</si>
  <si>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</si>
  <si>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</si>
  <si>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</si>
  <si>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</si>
  <si>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</si>
  <si>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</si>
  <si>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</si>
  <si>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</si>
  <si>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</si>
  <si>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</si>
  <si>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</si>
  <si>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</si>
  <si>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</si>
  <si>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</si>
  <si>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</si>
  <si>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</si>
  <si>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</si>
  <si>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</si>
  <si>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</si>
  <si>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</si>
  <si>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</si>
  <si>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</si>
  <si>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</si>
  <si>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</si>
  <si>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</si>
  <si>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</si>
  <si>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</si>
  <si>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</si>
  <si>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</si>
  <si>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</si>
  <si>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</si>
  <si>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</si>
  <si>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</si>
  <si>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</si>
  <si>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</si>
  <si>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</si>
  <si>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</si>
  <si>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</si>
  <si>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</si>
  <si>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</si>
  <si>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</si>
  <si>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</si>
  <si>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</si>
  <si>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</si>
  <si>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</si>
  <si>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</si>
  <si>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</si>
  <si>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u/>
        <sz val="9"/>
        <color rgb="FF000000"/>
        <rFont val="Calibri"/>
        <family val="2"/>
      </rPr>
      <t>are estimates</t>
    </r>
    <r>
      <rPr>
        <sz val="9"/>
        <color rgb="FF000000"/>
        <rFont val="Calibri"/>
        <family val="2"/>
      </rPr>
      <t xml:space="preserve"> and are subject to margins of error. Refer to sheet number 27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</si>
  <si>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</si>
  <si>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</si>
  <si>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</si>
  <si>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</si>
  <si>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</si>
  <si>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</si>
  <si>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</si>
  <si>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</si>
  <si>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</si>
  <si>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</si>
  <si>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Aboriginal or Torres Strait Islander origin of parent/guardian interviewed^</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</si>
  <si>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</si>
  <si>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</si>
  <si>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</si>
  <si>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</si>
  <si>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</si>
  <si>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</si>
  <si>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</si>
  <si>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</si>
  <si>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</si>
  <si>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</si>
  <si>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</si>
  <si>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</si>
  <si>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</si>
  <si>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</si>
  <si>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</si>
  <si>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</si>
  <si>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r>
      <t>All</t>
    </r>
    <r>
      <rPr>
        <b/>
        <vertAlign val="superscript"/>
        <sz val="11"/>
        <color theme="1"/>
        <rFont val="Calibri"/>
        <family val="2"/>
        <scheme val="minor"/>
      </rPr>
      <t>#</t>
    </r>
  </si>
  <si>
    <t xml:space="preserve"> </t>
  </si>
  <si>
    <t>Estimated number of participants</t>
  </si>
  <si>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</si>
  <si>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</si>
  <si>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</si>
  <si>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</si>
  <si>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</si>
  <si>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</si>
  <si>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</si>
  <si>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</si>
  <si>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</si>
  <si>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</si>
  <si>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</si>
  <si>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</si>
  <si>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</si>
  <si>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</si>
  <si>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</si>
  <si>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</si>
  <si>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</si>
  <si>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</si>
  <si>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</si>
  <si>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</si>
  <si>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</si>
  <si>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</si>
  <si>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</si>
  <si>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</si>
  <si>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</si>
  <si>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1+ per year</t>
  </si>
  <si>
    <t>1+ per month</t>
  </si>
  <si>
    <t>1+ per fortnight</t>
  </si>
  <si>
    <t>1+ per week</t>
  </si>
  <si>
    <t>2+ per week</t>
  </si>
  <si>
    <t>3+ per week</t>
  </si>
  <si>
    <t>4+ per week</t>
  </si>
  <si>
    <t>5+ per week</t>
  </si>
  <si>
    <t>6+ per week</t>
  </si>
  <si>
    <t>7+ per week</t>
  </si>
  <si>
    <t>All</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</si>
  <si>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</si>
  <si>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</si>
  <si>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</si>
  <si>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</si>
  <si>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</si>
  <si>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</si>
  <si>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</si>
  <si>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</si>
  <si>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</si>
  <si>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</si>
  <si>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</si>
  <si>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</si>
  <si>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</si>
  <si>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</si>
  <si>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</si>
  <si>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</si>
  <si>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</si>
  <si>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</si>
  <si>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</si>
  <si>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</si>
  <si>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</si>
  <si>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</si>
  <si>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</si>
  <si>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</si>
  <si>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</si>
  <si>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</si>
  <si>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</si>
  <si>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</si>
  <si>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</si>
  <si>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</si>
  <si>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</si>
  <si>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</si>
  <si>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</si>
  <si>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</si>
  <si>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</si>
  <si>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</si>
  <si>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</si>
  <si>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</si>
  <si>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</si>
  <si>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</si>
  <si>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</si>
  <si>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</si>
  <si>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</si>
  <si>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</si>
  <si>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</si>
  <si>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</si>
  <si>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</si>
  <si>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</si>
  <si>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</si>
  <si>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</si>
  <si>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</si>
  <si>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</si>
  <si>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</si>
  <si>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Child non-players</t>
  </si>
  <si>
    <t>Wrong age/too old/too young</t>
  </si>
  <si>
    <t>Doesn't like
 physical activity</t>
  </si>
  <si>
    <t>Can't afford it/
can't afford 
transport</t>
  </si>
  <si>
    <t>Already does 
enough</t>
  </si>
  <si>
    <t>Poor health 
or injury</t>
  </si>
  <si>
    <t>No longer
 interested</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</si>
  <si>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</si>
  <si>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</si>
  <si>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</si>
  <si>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</si>
  <si>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</si>
  <si>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</si>
  <si>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</si>
  <si>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</si>
  <si>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</si>
  <si>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</si>
  <si>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</si>
  <si>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</si>
  <si>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</si>
  <si>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</si>
  <si>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</si>
  <si>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</si>
  <si>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</si>
  <si>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</si>
  <si>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</si>
  <si>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</si>
  <si>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</si>
  <si>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</si>
  <si>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</si>
  <si>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</si>
  <si>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</si>
  <si>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</si>
  <si>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</si>
  <si>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</si>
  <si>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</si>
  <si>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</si>
  <si>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</si>
  <si>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</si>
  <si>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</si>
  <si>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</si>
  <si>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</si>
  <si>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</si>
  <si>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</si>
  <si>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</si>
  <si>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</si>
  <si>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</si>
  <si>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</si>
  <si>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</si>
  <si>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</si>
  <si>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</si>
  <si>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</si>
  <si>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</si>
  <si>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</si>
  <si>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</si>
  <si>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</si>
  <si>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</si>
  <si>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</si>
  <si>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</si>
  <si>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</si>
  <si>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</si>
  <si>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</si>
  <si>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</si>
  <si>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</si>
  <si>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</si>
  <si>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</si>
  <si>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</si>
  <si>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</si>
  <si>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</si>
  <si>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</si>
  <si>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</si>
  <si>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</si>
  <si>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</si>
  <si>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</si>
  <si>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</si>
  <si>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</si>
  <si>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</si>
  <si>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</si>
  <si>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</si>
  <si>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</si>
  <si>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</si>
  <si>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</si>
  <si>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</si>
  <si>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</si>
  <si>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</si>
  <si>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</si>
  <si>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</si>
  <si>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</si>
  <si>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</si>
  <si>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</si>
  <si>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</si>
  <si>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</si>
  <si>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</si>
  <si>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</si>
  <si>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</si>
  <si>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</si>
  <si>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</si>
  <si>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</si>
  <si>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</si>
  <si>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</si>
  <si>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</si>
  <si>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</si>
  <si>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</si>
  <si>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</si>
  <si>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</si>
  <si>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</si>
  <si>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Pickleball/padel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</si>
  <si>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</si>
  <si>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</si>
  <si>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</si>
  <si>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</si>
  <si>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</si>
  <si>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</si>
  <si>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</si>
  <si>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</si>
  <si>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</si>
  <si>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</si>
  <si>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</si>
  <si>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</si>
  <si>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</si>
  <si>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</si>
  <si>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</si>
  <si>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</si>
  <si>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</si>
  <si>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</si>
  <si>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</si>
  <si>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Shooting/field</t>
  </si>
  <si>
    <t>Shooting/range</t>
  </si>
  <si>
    <t>Skate</t>
  </si>
  <si>
    <t>Skeleton</t>
  </si>
  <si>
    <t>Ski &amp; snowboard</t>
  </si>
  <si>
    <t>Skirmish</t>
  </si>
  <si>
    <t>Softball</t>
  </si>
  <si>
    <t>Sport climbing</t>
  </si>
  <si>
    <t>Squash</t>
  </si>
  <si>
    <t>Surfing</t>
  </si>
  <si>
    <t>Swimming</t>
  </si>
  <si>
    <t>Sword fighting</t>
  </si>
  <si>
    <t>Synchronised swimming</t>
  </si>
  <si>
    <t>Table tennis</t>
  </si>
  <si>
    <t>Taekwondo/Taekwon-do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</si>
  <si>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</si>
  <si>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</si>
  <si>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</si>
  <si>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</si>
  <si>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</si>
  <si>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</si>
  <si>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</si>
  <si>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</si>
  <si>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</si>
  <si>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</si>
  <si>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</si>
  <si>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</si>
  <si>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</si>
  <si>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</si>
  <si>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</si>
  <si>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</si>
  <si>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</si>
  <si>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r>
      <t>Total
 organised</t>
    </r>
    <r>
      <rPr>
        <b/>
        <vertAlign val="superscript"/>
        <sz val="11"/>
        <color theme="0"/>
        <rFont val="Calibri"/>
        <family val="2"/>
        <scheme val="minor"/>
      </rPr>
      <t>#</t>
    </r>
  </si>
  <si>
    <t>Recreation club
 or association</t>
  </si>
  <si>
    <t>Gym/fitness 
club/sports/
leisure centre</t>
  </si>
  <si>
    <t>Private or commercial
business</t>
  </si>
  <si>
    <t>Individual 
personal trainer 
or coach</t>
  </si>
  <si>
    <t>Type of non-playing role</t>
  </si>
  <si>
    <t>Any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</si>
  <si>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</si>
  <si>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</si>
  <si>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</si>
  <si>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</si>
  <si>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</si>
  <si>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</si>
  <si>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</si>
  <si>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</si>
  <si>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</si>
  <si>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</si>
  <si>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</si>
  <si>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</si>
  <si>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Any volunteer 
role</t>
  </si>
  <si>
    <t>Males^^</t>
  </si>
  <si>
    <t>Females^^</t>
  </si>
  <si>
    <t>Estimated number of adult volunteers</t>
  </si>
  <si>
    <t>^ Includes adults involved in non-playing roles as a volunteer, or who considered themselves a volunteer even if they received some form of compensation</t>
  </si>
  <si>
    <t>^^ Age group data by gender has not been reported due to sample size</t>
  </si>
  <si>
    <t>Volunteers^ in non-playing roles by activity - top 10 activities (adults)</t>
  </si>
  <si>
    <t>Volunteers^ in non-playing roles by activity - top roles and top 5 activities (adults)</t>
  </si>
  <si>
    <t>Administrator or committee
member</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</si>
  <si>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27 for margin of error and relative margin of error statistics. </t>
    </r>
  </si>
  <si>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</si>
  <si>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</si>
  <si>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</si>
  <si>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</si>
  <si>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</si>
  <si>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</si>
  <si>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</si>
  <si>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</si>
  <si>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</si>
  <si>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</si>
  <si>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</si>
  <si>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</si>
  <si>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</si>
  <si>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</si>
  <si>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</si>
  <si>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</si>
  <si>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</si>
  <si>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</si>
  <si>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</si>
  <si>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</si>
  <si>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</si>
  <si>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</si>
  <si>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</si>
  <si>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</si>
  <si>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</si>
  <si>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</si>
  <si>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</si>
  <si>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</si>
  <si>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</si>
  <si>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</si>
  <si>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</si>
  <si>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</si>
  <si>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</si>
  <si>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</si>
  <si>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</si>
  <si>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</si>
  <si>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Released at:  1</t>
    </r>
    <r>
      <rPr>
        <b/>
        <sz val="11"/>
        <color theme="0"/>
        <rFont val="Calibri"/>
        <family val="2"/>
        <scheme val="minor"/>
      </rPr>
      <t>3 November 2025</t>
    </r>
  </si>
  <si>
    <r>
      <t xml:space="preserve">Table number:    </t>
    </r>
    <r>
      <rPr>
        <b/>
        <sz val="11"/>
        <color theme="0"/>
        <rFont val="Calibri"/>
        <family val="2"/>
        <scheme val="minor"/>
      </rPr>
      <t>28</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</si>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</sst>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0.0"/>
    <numFmt numFmtId="167" formatCode="#,##0_ ;\-#,##0\ "/>
  </numFmts>
  <fonts count="26">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9"/>
      <color rgb="FF000000"/>
      <name val="Calibri"/>
      <family val="2"/>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
      <b/>
      <u/>
      <sz val="9"/>
      <color rgb="FF000000"/>
      <name val="Calibri"/>
      <family val="2"/>
    </font>
    <font>
      <b/>
      <u/>
      <sz val="9"/>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left style="thin">
        <color theme="0"/>
      </left>
      <right style="thin">
        <color theme="0"/>
      </right>
      <top/>
      <bottom/>
      <diagonal/>
    </border>
    <border>
      <left/>
      <right/>
      <top style="thin">
        <color auto="1"/>
      </top>
      <bottom/>
      <diagonal/>
    </border>
  </borders>
  <cellStyleXfs count="3183">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70">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0" fillId="2" borderId="5"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164" fontId="2" fillId="2" borderId="0" xfId="270" applyNumberFormat="1" applyFont="1" applyFill="1"/>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0" xfId="0" applyFont="1" applyFill="1" applyAlignment="1">
      <alignment horizontal="right" vertical="center"/>
    </xf>
    <xf numFmtId="0" fontId="10" fillId="3" borderId="0" xfId="0" quotePrefix="1" applyFont="1" applyFill="1"/>
    <xf numFmtId="0" fontId="10" fillId="4" borderId="8" xfId="0" applyFont="1" applyFill="1" applyBorder="1" applyAlignment="1">
      <alignment horizontal="center"/>
    </xf>
    <xf numFmtId="0" fontId="10" fillId="4" borderId="2" xfId="0" applyFont="1" applyFill="1" applyBorder="1"/>
    <xf numFmtId="0" fontId="10" fillId="4" borderId="2"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7" fillId="2" borderId="0" xfId="0" applyFont="1" applyFill="1"/>
    <xf numFmtId="0" fontId="17" fillId="3" borderId="0" xfId="0" applyFont="1" applyFill="1"/>
    <xf numFmtId="0" fontId="18" fillId="3" borderId="0" xfId="0" applyFont="1" applyFill="1"/>
    <xf numFmtId="0" fontId="0" fillId="2" borderId="9" xfId="0" applyFill="1" applyBorder="1"/>
    <xf numFmtId="164" fontId="1" fillId="2" borderId="9" xfId="270" applyNumberFormat="1" applyFont="1" applyFill="1" applyBorder="1"/>
    <xf numFmtId="164" fontId="3" fillId="2" borderId="9" xfId="270" applyNumberFormat="1" applyFont="1" applyFill="1" applyBorder="1"/>
    <xf numFmtId="164" fontId="0" fillId="2" borderId="9" xfId="270" applyNumberFormat="1" applyFont="1" applyFill="1" applyBorder="1"/>
    <xf numFmtId="3" fontId="1" fillId="6" borderId="9" xfId="270" applyNumberFormat="1" applyFont="1" applyFill="1" applyBorder="1"/>
    <xf numFmtId="3" fontId="3" fillId="6" borderId="9" xfId="270" applyNumberFormat="1" applyFont="1" applyFill="1" applyBorder="1"/>
    <xf numFmtId="164" fontId="1" fillId="2" borderId="0" xfId="0" applyNumberFormat="1" applyFont="1" applyFill="1"/>
    <xf numFmtId="3" fontId="0" fillId="2" borderId="9" xfId="491" applyNumberFormat="1" applyFont="1" applyFill="1" applyBorder="1"/>
    <xf numFmtId="0" fontId="18" fillId="2" borderId="0" xfId="0" applyFont="1" applyFill="1"/>
    <xf numFmtId="0" fontId="11" fillId="3" borderId="0" xfId="0" applyFont="1" applyFill="1" applyAlignment="1">
      <alignment horizontal="center"/>
    </xf>
    <xf numFmtId="0" fontId="2" fillId="3" borderId="0" xfId="0" applyFont="1" applyFill="1"/>
    <xf numFmtId="164" fontId="2" fillId="2" borderId="0" xfId="270" applyNumberFormat="1" applyFont="1" applyFill="1" applyBorder="1"/>
    <xf numFmtId="0" fontId="11" fillId="3" borderId="9" xfId="0" applyFont="1" applyFill="1" applyBorder="1"/>
    <xf numFmtId="0" fontId="10" fillId="3" borderId="9" xfId="0" applyFont="1" applyFill="1" applyBorder="1"/>
    <xf numFmtId="0" fontId="0" fillId="5" borderId="9" xfId="0" applyFill="1" applyBorder="1"/>
    <xf numFmtId="164"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19"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4" fontId="0" fillId="2" borderId="0" xfId="270" applyNumberFormat="1" applyFont="1" applyFill="1" applyBorder="1"/>
    <xf numFmtId="0" fontId="6" fillId="2" borderId="3" xfId="0" applyFont="1" applyFill="1" applyBorder="1" applyAlignment="1">
      <alignment vertical="center" wrapText="1"/>
    </xf>
    <xf numFmtId="0" fontId="6" fillId="2" borderId="4" xfId="0" applyFont="1" applyFill="1" applyBorder="1" applyAlignment="1">
      <alignment vertical="center"/>
    </xf>
    <xf numFmtId="0" fontId="7" fillId="2" borderId="4" xfId="0" applyFont="1" applyFill="1" applyBorder="1" applyAlignment="1">
      <alignment vertical="center"/>
    </xf>
    <xf numFmtId="0" fontId="6" fillId="2" borderId="4" xfId="0" applyFont="1" applyFill="1" applyBorder="1" applyAlignment="1">
      <alignment vertical="center" wrapText="1"/>
    </xf>
    <xf numFmtId="0" fontId="15" fillId="2" borderId="4" xfId="0" applyFont="1" applyFill="1" applyBorder="1" applyAlignment="1">
      <alignment vertical="center"/>
    </xf>
    <xf numFmtId="0" fontId="2" fillId="2" borderId="4" xfId="0" applyFont="1" applyFill="1" applyBorder="1" applyAlignment="1">
      <alignment vertical="center" wrapText="1"/>
    </xf>
    <xf numFmtId="0" fontId="2" fillId="2" borderId="4" xfId="0" applyFont="1" applyFill="1" applyBorder="1" applyAlignment="1">
      <alignment horizontal="left" vertical="top" wrapText="1"/>
    </xf>
    <xf numFmtId="0" fontId="9" fillId="2" borderId="4" xfId="0" applyFont="1" applyFill="1" applyBorder="1" applyAlignment="1">
      <alignment vertical="center"/>
    </xf>
    <xf numFmtId="0" fontId="6" fillId="2" borderId="4" xfId="0" applyFont="1" applyFill="1" applyBorder="1" applyAlignment="1">
      <alignment wrapText="1"/>
    </xf>
    <xf numFmtId="164" fontId="2" fillId="2" borderId="9" xfId="270" applyNumberFormat="1" applyFont="1" applyFill="1" applyBorder="1"/>
    <xf numFmtId="164" fontId="0" fillId="5" borderId="0" xfId="0" applyNumberFormat="1" applyFill="1" applyAlignment="1">
      <alignment horizontal="right"/>
    </xf>
    <xf numFmtId="0" fontId="17" fillId="0" borderId="10" xfId="0" applyFont="1" applyBorder="1"/>
    <xf numFmtId="0" fontId="0" fillId="7" borderId="11" xfId="0" applyFill="1" applyBorder="1"/>
    <xf numFmtId="49" fontId="10" fillId="3" borderId="0" xfId="0" applyNumberFormat="1" applyFont="1" applyFill="1"/>
    <xf numFmtId="0" fontId="1" fillId="2" borderId="9" xfId="0" applyFont="1" applyFill="1" applyBorder="1"/>
    <xf numFmtId="0" fontId="1" fillId="6" borderId="9" xfId="0" applyFont="1" applyFill="1" applyBorder="1"/>
    <xf numFmtId="0" fontId="0" fillId="6" borderId="9" xfId="0" applyFill="1" applyBorder="1"/>
    <xf numFmtId="0" fontId="4" fillId="2" borderId="11" xfId="0" applyFont="1" applyFill="1" applyBorder="1"/>
    <xf numFmtId="0" fontId="4" fillId="2" borderId="11" xfId="0" applyFont="1" applyFill="1" applyBorder="1" applyAlignment="1">
      <alignment wrapText="1"/>
    </xf>
    <xf numFmtId="3" fontId="3" fillId="2" borderId="9" xfId="491" applyNumberFormat="1" applyFont="1" applyFill="1" applyBorder="1"/>
    <xf numFmtId="0" fontId="10" fillId="4" borderId="11" xfId="0" applyFont="1" applyFill="1" applyBorder="1" applyAlignment="1">
      <alignment horizontal="center" vertical="center"/>
    </xf>
    <xf numFmtId="0" fontId="10" fillId="4" borderId="11" xfId="0" applyFont="1" applyFill="1" applyBorder="1" applyAlignment="1">
      <alignment vertical="center"/>
    </xf>
    <xf numFmtId="0" fontId="2" fillId="2" borderId="9" xfId="0" applyFont="1" applyFill="1" applyBorder="1"/>
    <xf numFmtId="0" fontId="18" fillId="3" borderId="9" xfId="0" applyFont="1" applyFill="1" applyBorder="1"/>
    <xf numFmtId="0" fontId="17" fillId="3" borderId="9" xfId="0" applyFont="1" applyFill="1" applyBorder="1"/>
    <xf numFmtId="3" fontId="11" fillId="3" borderId="9" xfId="0" applyNumberFormat="1" applyFont="1" applyFill="1" applyBorder="1"/>
    <xf numFmtId="0" fontId="4" fillId="2" borderId="11" xfId="0" applyFont="1" applyFill="1" applyBorder="1" applyAlignment="1">
      <alignment horizontal="left"/>
    </xf>
    <xf numFmtId="0" fontId="4" fillId="2" borderId="11" xfId="0" applyFont="1" applyFill="1" applyBorder="1" applyAlignment="1">
      <alignment horizontal="left" wrapText="1"/>
    </xf>
    <xf numFmtId="0" fontId="11" fillId="3" borderId="9" xfId="0" applyFont="1" applyFill="1" applyBorder="1" applyAlignment="1">
      <alignment horizontal="center"/>
    </xf>
    <xf numFmtId="164" fontId="0" fillId="2" borderId="9" xfId="270" applyNumberFormat="1" applyFont="1" applyFill="1" applyBorder="1" applyAlignment="1">
      <alignment horizontal="center"/>
    </xf>
    <xf numFmtId="0" fontId="10" fillId="4" borderId="11" xfId="0" applyFont="1" applyFill="1" applyBorder="1" applyAlignment="1">
      <alignment horizontal="center"/>
    </xf>
    <xf numFmtId="0" fontId="10" fillId="4" borderId="0" xfId="0" applyFont="1" applyFill="1" applyAlignment="1">
      <alignment horizontal="left" wrapText="1"/>
    </xf>
    <xf numFmtId="0" fontId="1" fillId="5" borderId="0" xfId="0" applyFont="1" applyFill="1" applyAlignment="1">
      <alignment horizontal="left"/>
    </xf>
    <xf numFmtId="0" fontId="10" fillId="4" borderId="8" xfId="0" applyFont="1" applyFill="1" applyBorder="1" applyAlignment="1">
      <alignment horizontal="center"/>
    </xf>
    <xf numFmtId="0" fontId="10" fillId="4" borderId="6" xfId="0" applyFont="1" applyFill="1" applyBorder="1" applyAlignment="1">
      <alignment horizontal="center" vertical="center"/>
    </xf>
    <xf numFmtId="0" fontId="13" fillId="2"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center" wrapText="1"/>
    </xf>
    <xf numFmtId="0" fontId="0" fillId="7" borderId="11" xfId="0" applyFill="1" applyBorder="1" applyAlignment="1">
      <alignment horizontal="center"/>
    </xf>
    <xf numFmtId="0" fontId="0" fillId="7" borderId="0" xfId="0" applyFill="1" applyAlignment="1">
      <alignment horizontal="center"/>
    </xf>
    <xf numFmtId="0" fontId="10" fillId="4" borderId="6" xfId="0" applyFont="1" applyFill="1" applyBorder="1" applyAlignment="1">
      <alignment horizontal="center"/>
    </xf>
    <xf numFmtId="0" fontId="2" fillId="7" borderId="0" xfId="0" applyFont="1" applyFill="1" applyAlignment="1">
      <alignment horizontal="center"/>
    </xf>
    <xf numFmtId="0" fontId="10" fillId="4" borderId="7"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11" xfId="0" applyFont="1" applyFill="1" applyBorder="1" applyAlignment="1">
      <alignment horizontal="right" wrapText="1"/>
    </xf>
    <xf numFmtId="0" fontId="10" fillId="4" borderId="0" xfId="0" applyFont="1" applyFill="1" applyAlignment="1">
      <alignment horizontal="right" wrapText="1"/>
    </xf>
    <xf numFmtId="0" fontId="10" fillId="4" borderId="11" xfId="0" applyFont="1" applyFill="1" applyBorder="1" applyAlignment="1">
      <alignment horizontal="center"/>
    </xf>
    <xf numFmtId="0" fontId="10" fillId="4" borderId="0" xfId="0" applyFont="1" applyFill="1" applyAlignment="1">
      <alignment horizontal="center"/>
    </xf>
    <xf numFmtId="0" fontId="12" fillId="3" borderId="0" xfId="0" applyFont="1" applyFill="1" applyAlignment="1"/>
  </cellXfs>
  <cellStyles count="3183">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 name="style1755227646412" xfId="2990" xr:uid="{624BCDD3-9FD2-40F3-A0A1-E572D6D2A9C6}"/>
    <cellStyle name="style1755227646444" xfId="2991" xr:uid="{D798C2BA-BAB2-4494-AF9A-573DF33146BC}"/>
    <cellStyle name="style1755227646468" xfId="2989" xr:uid="{C9F21ED3-AC7C-4D2B-BC11-A5DCBFAD14C7}"/>
    <cellStyle name="style1755227646492" xfId="2992" xr:uid="{2BE22CE5-A175-4F50-B734-EEC5C7E21E6E}"/>
    <cellStyle name="style1755227646502" xfId="2993" xr:uid="{F63E8BAB-DB64-4790-BF8C-73A8471E4823}"/>
    <cellStyle name="style1755227646508" xfId="2997" xr:uid="{E1E5BC88-C0BC-4FDC-9CD8-4BF1BC47E55A}"/>
    <cellStyle name="style1755227646540" xfId="2998" xr:uid="{056B98F2-7DE6-4E39-9E55-EFCB445D3804}"/>
    <cellStyle name="style1755227646556" xfId="3002" xr:uid="{DF6A04F4-C8E6-4121-9C0C-7B7899F87390}"/>
    <cellStyle name="style1755227646587" xfId="3003" xr:uid="{3DB1FAFC-FFCA-4171-8CA2-6E7EA776F122}"/>
    <cellStyle name="style1755227646603" xfId="2994" xr:uid="{199FCD3D-59FB-4E41-93DC-625DC67A33FE}"/>
    <cellStyle name="style1755227646623" xfId="2995" xr:uid="{B29212F9-D4A8-4D83-A839-DFA29DA863F0}"/>
    <cellStyle name="style1755227646651" xfId="2996" xr:uid="{C11E13DB-EFE6-482A-8347-F02C8315B97B}"/>
    <cellStyle name="style1755227646667" xfId="2999" xr:uid="{4C3C8668-34B0-42C5-A0DF-0CB48A339C76}"/>
    <cellStyle name="style1755227646685" xfId="3000" xr:uid="{FFFA850B-D113-47F4-8175-39A455316B2B}"/>
    <cellStyle name="style1755227646719" xfId="3001" xr:uid="{BF143465-BCDB-4D99-8439-5FCB86920F1F}"/>
    <cellStyle name="style1755227646730" xfId="3004" xr:uid="{8749D53C-E510-42FE-ACB2-5B8DEE7317D6}"/>
    <cellStyle name="style1755227646762" xfId="3005" xr:uid="{F4A0B269-45BA-495D-B16D-C41CB5459D62}"/>
    <cellStyle name="style1755227646784" xfId="3006" xr:uid="{33129E81-6E47-4C5F-8DB9-819FF6469972}"/>
    <cellStyle name="style1755227646806" xfId="3007" xr:uid="{F6EABA05-B496-4B79-9479-4807D54FEBFF}"/>
    <cellStyle name="style1755227646825" xfId="3008" xr:uid="{CF136CBB-4A08-42A1-8AC7-DCC580CD6F6A}"/>
    <cellStyle name="style1755227646841" xfId="3013" xr:uid="{E567F5C9-0145-4863-B365-D2623480FD75}"/>
    <cellStyle name="style1755227646873" xfId="3014" xr:uid="{BDF124E8-736A-4B09-B5F1-4B07682C76E7}"/>
    <cellStyle name="style1755227646889" xfId="3019" xr:uid="{7876F4DE-EB1A-41C4-820E-D9937E4006FB}"/>
    <cellStyle name="style1755227646905" xfId="3020" xr:uid="{3713F0C3-B17E-4FA4-B49F-3B0A765B8F52}"/>
    <cellStyle name="style1755227646937" xfId="3009" xr:uid="{7F160C1E-0EAE-41FE-AAB1-7041EC298FFB}"/>
    <cellStyle name="style1755227646952" xfId="3010" xr:uid="{1D6EEFDE-01F3-4B4F-AC88-C40382DDF7CC}"/>
    <cellStyle name="style1755227646984" xfId="3011" xr:uid="{A90D9160-1060-484B-830E-24EE93A9D7F2}"/>
    <cellStyle name="style1755227647001" xfId="3012" xr:uid="{E9C37103-076B-4323-9F8F-EF7B4534D897}"/>
    <cellStyle name="style1755227647016" xfId="3015" xr:uid="{866AFB75-D6DA-4F3A-B8DF-91EA9E1F7E10}"/>
    <cellStyle name="style1755227647052" xfId="3016" xr:uid="{DC1597A6-8531-4F4C-AB9D-896CD0929926}"/>
    <cellStyle name="style1755227647073" xfId="3017" xr:uid="{E417B1AB-9450-45F2-83B7-BD3921C7D4CE}"/>
    <cellStyle name="style1755227647089" xfId="3018" xr:uid="{1BFF04E9-B85F-4B89-96E4-D3F79F90747A}"/>
    <cellStyle name="style1755227647126" xfId="3021" xr:uid="{9CF6418E-B932-46FE-BE54-3D3CCD33207B}"/>
    <cellStyle name="style1755227647156" xfId="3022" xr:uid="{B792370A-28CB-49B8-A1AD-EAA958246FE9}"/>
    <cellStyle name="style1755227647177" xfId="3023" xr:uid="{1E9F7429-A11C-4714-850A-7F79E8CB9B03}"/>
    <cellStyle name="style1755227647193" xfId="3024" xr:uid="{6EB5619F-98FA-4765-B108-1F730C694307}"/>
    <cellStyle name="style1755227647317" xfId="3025" xr:uid="{04CB411F-CBF4-4062-A854-2DEBCEFA9C8A}"/>
    <cellStyle name="style1755227647332" xfId="3026" xr:uid="{80E3143E-0B7E-498B-B51D-2B3B43AAE0D5}"/>
    <cellStyle name="style1755227647347" xfId="3027" xr:uid="{6AD763BE-11F3-45A4-9E10-B42F5EB7A69D}"/>
    <cellStyle name="style1755227647363" xfId="3028" xr:uid="{DA6B7F26-B023-473E-A454-51766F2D5266}"/>
    <cellStyle name="style1755227647395" xfId="3030" xr:uid="{6C2166A1-425A-48CF-B2BB-C3F9F1E9B489}"/>
    <cellStyle name="style1755227647420" xfId="3032" xr:uid="{8B300900-28BA-4F70-8F54-A790D15B9D77}"/>
    <cellStyle name="style1755227647442" xfId="3029" xr:uid="{CF4D99CA-7E8F-49EC-8ECB-66DDF23CE0A5}"/>
    <cellStyle name="style1755227647459" xfId="3031" xr:uid="{95ADCC14-75F5-4B9C-9B54-04313DFE29C2}"/>
    <cellStyle name="style1755227647477" xfId="3033" xr:uid="{862D73E2-597E-4C82-A16A-79BDD3BEA558}"/>
    <cellStyle name="style1755227647615" xfId="3034" xr:uid="{1369BE42-0878-4F71-9C48-F6885E0E91AD}"/>
    <cellStyle name="style1755227647635" xfId="3035" xr:uid="{0B150382-F9F9-4552-A025-CEC42C471015}"/>
    <cellStyle name="style1755227647661" xfId="3036" xr:uid="{55070271-5FEE-48FF-9828-31A5C7EBA21D}"/>
    <cellStyle name="style1755227647685" xfId="3037" xr:uid="{73D3AE1C-B26C-4FCC-825C-1F8A44F0891B}"/>
    <cellStyle name="style1755227647703" xfId="3038" xr:uid="{97F5A13A-1CD0-451B-A155-0630969580CD}"/>
    <cellStyle name="style1755227647726" xfId="3039" xr:uid="{36ABD7C9-0FAF-49FC-BB37-C9E0985C7D8B}"/>
    <cellStyle name="style1755227647821" xfId="3040" xr:uid="{4E0CDD8C-D8D2-49D5-9B46-7E6B40A2F28F}"/>
    <cellStyle name="style1755227647853" xfId="3041" xr:uid="{B259DF5F-E14F-4514-BDC6-879EA44E5180}"/>
    <cellStyle name="style1755227647870" xfId="3042" xr:uid="{9EAE5F8C-FE6E-4585-A827-BBF38CB29112}"/>
    <cellStyle name="style1755227647885" xfId="3043" xr:uid="{236AEFAA-7380-4DE2-9DC9-37279CF11DC0}"/>
    <cellStyle name="style1755227647979" xfId="3044" xr:uid="{F7F477C5-6E50-4B14-B76B-5AAAAFAF7C4A}"/>
    <cellStyle name="style1755227647996" xfId="3045" xr:uid="{1BBD7761-93F4-4675-8965-7BCF2979645D}"/>
    <cellStyle name="style1755227648011" xfId="3046" xr:uid="{2125FB01-ACC7-4306-A31D-33CFE31BB371}"/>
    <cellStyle name="style1755227649395" xfId="3047" xr:uid="{06077703-2814-49D2-AD9E-672B9F326E0B}"/>
    <cellStyle name="style1755227649423" xfId="3048" xr:uid="{F668661E-4C92-481D-B1A0-86532955DFBA}"/>
    <cellStyle name="style1755227649442" xfId="3049" xr:uid="{2BB52E63-DB8F-436C-9873-1FE7C4AB3F07}"/>
    <cellStyle name="style1755227656414" xfId="3051" xr:uid="{28372B61-1740-4A22-B6A1-1C4204B15BDC}"/>
    <cellStyle name="style1755227656435" xfId="3052" xr:uid="{E6E6C981-E830-467E-B427-C5AC48B497CE}"/>
    <cellStyle name="style1755227656453" xfId="3050" xr:uid="{95869293-2CA5-486E-8C9C-9E92AC283ACC}"/>
    <cellStyle name="style1755227656471" xfId="3053" xr:uid="{E90B38E1-F6F8-4029-8880-441C7CEA5ADE}"/>
    <cellStyle name="style1755227656501" xfId="3054" xr:uid="{1D0CCB8C-ACDC-4FE8-A8E7-0C2AD20BD7B3}"/>
    <cellStyle name="style1755227656517" xfId="3055" xr:uid="{93A6C237-C8BC-48E1-B641-60CFCB95E0D4}"/>
    <cellStyle name="style1755227656532" xfId="3056" xr:uid="{10219E68-A9B1-4CDA-96B8-3C28C341A2F8}"/>
    <cellStyle name="style1755227656565" xfId="3057" xr:uid="{66A6BEE6-19B2-4682-8236-10DBCB719FE4}"/>
    <cellStyle name="style1755227656592" xfId="3058" xr:uid="{2514A1EC-0E2F-4114-8580-BB5F95CE998C}"/>
    <cellStyle name="style1755227656612" xfId="3059" xr:uid="{63C21A53-671C-49C2-92EC-ABF61938CB7D}"/>
    <cellStyle name="style1755227656628" xfId="3060" xr:uid="{DE985CFA-DC2E-4CB8-9680-21F5AD9DF383}"/>
    <cellStyle name="style1755227656644" xfId="3061" xr:uid="{E3EA6198-0F23-4612-BAB4-A5B273679903}"/>
    <cellStyle name="style1755227656675" xfId="3062" xr:uid="{C13F5647-0DC6-470D-A5EE-812369CEF61C}"/>
    <cellStyle name="style1755227656691" xfId="3063" xr:uid="{9F7DC5B7-4B7F-4F0C-BA0D-BBFE6156913D}"/>
    <cellStyle name="style1755227656723" xfId="3064" xr:uid="{48E7A017-9179-4679-965B-D6C284D0CEC2}"/>
    <cellStyle name="style1755227656775" xfId="3065" xr:uid="{09CD98AB-F2B6-4793-94A3-441CA48F15D9}"/>
    <cellStyle name="style1755227656788" xfId="3066" xr:uid="{6BF004F8-C694-467D-A3BF-BFD68796B463}"/>
    <cellStyle name="style1755227656802" xfId="3067" xr:uid="{F539CD6F-205A-4715-918A-0A563BE96959}"/>
    <cellStyle name="style1755227656818" xfId="3068" xr:uid="{3E024BD7-F73C-4BFA-9E2C-E2100C2D341C}"/>
    <cellStyle name="style1755227656850" xfId="3069" xr:uid="{3E818142-3443-465D-AA32-917993951E76}"/>
    <cellStyle name="style1755227656867" xfId="3070" xr:uid="{66865464-5DE9-4C72-9FE9-037831C3F305}"/>
    <cellStyle name="style1755227656882" xfId="3071" xr:uid="{FBB7C4DF-14B2-4642-A9C7-44C249B6397C}"/>
    <cellStyle name="style1755227656916" xfId="3075" xr:uid="{346E5293-A6C4-476C-8DDC-AFFD8C80090D}"/>
    <cellStyle name="style1755227656930" xfId="3076" xr:uid="{1EF117A8-1131-4C72-BAFD-16A2B955DF9F}"/>
    <cellStyle name="style1755227656961" xfId="3080" xr:uid="{3BF5D918-A552-4ACB-949A-AB1FBDB60BCA}"/>
    <cellStyle name="style1755227656985" xfId="3081" xr:uid="{05A90D99-BBFA-4CFE-88B5-3E2F0F6BAFF1}"/>
    <cellStyle name="style1755227657009" xfId="3072" xr:uid="{2D303934-7EBA-4891-8140-4115D67F7D5B}"/>
    <cellStyle name="style1755227657025" xfId="3073" xr:uid="{0CB5C071-70D0-49AB-AFF7-CC67A7F1B4B9}"/>
    <cellStyle name="style1755227657041" xfId="3074" xr:uid="{32B25C54-92DE-45B8-8829-195913CB270B}"/>
    <cellStyle name="style1755227657073" xfId="3077" xr:uid="{48CABB92-967F-46DC-BCE4-74D0DE2F6B6D}"/>
    <cellStyle name="style1755227657088" xfId="3078" xr:uid="{EC0977D4-C7B4-4F29-80B1-4DAAC390F52E}"/>
    <cellStyle name="style1755227657116" xfId="3079" xr:uid="{17702FF6-191A-400D-8D3B-9D0764FE9F43}"/>
    <cellStyle name="style1755227657136" xfId="3082" xr:uid="{3B0EA3B1-981B-40C8-9DB7-ADD59B061ED2}"/>
    <cellStyle name="style1755227657168" xfId="3083" xr:uid="{BCBBE439-029F-41B4-954F-DA91B4BCC4E4}"/>
    <cellStyle name="style1755227657184" xfId="3084" xr:uid="{3327DAA6-15A2-46D5-825B-91A14B231E81}"/>
    <cellStyle name="style1755238198331" xfId="3086" xr:uid="{0EA146BC-2BF6-4212-B6A8-9214BB782EFF}"/>
    <cellStyle name="style1755238198355" xfId="3087" xr:uid="{EE3F2A72-B972-49A5-87CB-81CB5F97C5F4}"/>
    <cellStyle name="style1755238198378" xfId="3085" xr:uid="{AFFDFABE-2C8D-4514-B305-9CB96453B5AE}"/>
    <cellStyle name="style1755238198402" xfId="3088" xr:uid="{2CB6744A-65CA-4805-8CEB-A1F8E80CEFBF}"/>
    <cellStyle name="style1755238198418" xfId="3089" xr:uid="{D3446A8A-E539-4B5E-B48E-0B56F4A0F70E}"/>
    <cellStyle name="style1755238198434" xfId="3093" xr:uid="{98C6722B-682B-4BB1-9023-4966BD9DAF45}"/>
    <cellStyle name="style1755238198457" xfId="3094" xr:uid="{79E11B72-A8F1-4B79-8C5A-36C6A5DA0ECC}"/>
    <cellStyle name="style1755238198480" xfId="3098" xr:uid="{32E2FAC0-8031-486A-AE5D-CFC43CF21F91}"/>
    <cellStyle name="style1755238198502" xfId="3099" xr:uid="{4E59773C-054D-425E-BFF5-7F1908B2DB29}"/>
    <cellStyle name="style1755238198526" xfId="3090" xr:uid="{46532B8B-77F9-490B-BBE8-D26F3401A0A8}"/>
    <cellStyle name="style1755238198547" xfId="3091" xr:uid="{DCA26C8F-C554-4264-9B10-32935A7EC27C}"/>
    <cellStyle name="style1755238198570" xfId="3092" xr:uid="{C4F7DC8F-4A2E-4152-BE1B-BC7653A373D2}"/>
    <cellStyle name="style1755238198592" xfId="3095" xr:uid="{936A3442-9894-49D1-97C0-87E01D076347}"/>
    <cellStyle name="style1755238198613" xfId="3096" xr:uid="{117F9148-CCB2-47DA-BDA4-5157132860F5}"/>
    <cellStyle name="style1755238198642" xfId="3097" xr:uid="{B4DF8EC8-BA6E-4706-8BEE-FF4E5D74306A}"/>
    <cellStyle name="style1755238198665" xfId="3100" xr:uid="{E89D8D08-24A9-4187-9347-BD5E721E0453}"/>
    <cellStyle name="style1755238198687" xfId="3101" xr:uid="{F921423D-B65E-4FDF-806C-A3445E5B85EB}"/>
    <cellStyle name="style1755238198709" xfId="3102" xr:uid="{E5E39D7E-A0DC-4585-8870-D6AAA8D14532}"/>
    <cellStyle name="style1755238198731" xfId="3103" xr:uid="{16C9C581-AC97-4022-889E-166574164922}"/>
    <cellStyle name="style1755238198758" xfId="3104" xr:uid="{54A2FE13-967A-4CCB-940A-948C02290C68}"/>
    <cellStyle name="style1755238198781" xfId="3109" xr:uid="{C7B9E676-069E-4D22-B99F-E42F7B4BD1F8}"/>
    <cellStyle name="style1755238198803" xfId="3110" xr:uid="{F501D54B-A5E4-4484-A3ED-4EBB199247A8}"/>
    <cellStyle name="style1755238198827" xfId="3115" xr:uid="{96B1D790-E152-4CE5-9A59-75495EE4CDBB}"/>
    <cellStyle name="style1755238198848" xfId="3116" xr:uid="{4B09C5BC-83CC-4056-A889-B92EF7BFABE8}"/>
    <cellStyle name="style1755238198872" xfId="3105" xr:uid="{C934AFAD-83A2-41FA-8B39-CE40E0646ACB}"/>
    <cellStyle name="style1755238198897" xfId="3106" xr:uid="{1E9A7D32-77A7-46F1-8599-228971834F82}"/>
    <cellStyle name="style1755238198920" xfId="3107" xr:uid="{66E7E139-E44B-4BB7-8DAE-7957FEB9E875}"/>
    <cellStyle name="style1755238198936" xfId="3108" xr:uid="{F7E9C5C3-20B8-435C-B91E-D9BF32647D51}"/>
    <cellStyle name="style1755238198958" xfId="3111" xr:uid="{960E6E37-C31C-488E-9CD4-E9DE835C0BCC}"/>
    <cellStyle name="style1755238198980" xfId="3112" xr:uid="{BD86D686-B019-48EE-AC3F-62C12C933552}"/>
    <cellStyle name="style1755238199001" xfId="3113" xr:uid="{B32A1B4E-50E8-4CCA-806E-0892428DEC10}"/>
    <cellStyle name="style1755238199017" xfId="3114" xr:uid="{FC045E80-9C2C-49CA-9FA5-178472B93D5D}"/>
    <cellStyle name="style1755238199056" xfId="3117" xr:uid="{CAFDA8CA-6F0C-4F3D-BECC-688AAFB12A43}"/>
    <cellStyle name="style1755238199077" xfId="3118" xr:uid="{D4E844A8-BF8D-4744-95D2-82D09B535D63}"/>
    <cellStyle name="style1755238199099" xfId="3119" xr:uid="{226B6CF9-A9ED-484D-8E4A-960C834DBC59}"/>
    <cellStyle name="style1755238199113" xfId="3120" xr:uid="{02CFF476-6CED-4BAE-9C78-108DB36CB07A}"/>
    <cellStyle name="style1755238199240" xfId="3121" xr:uid="{4C637E7B-4BC8-4E27-849F-9CC07222B41B}"/>
    <cellStyle name="style1755238199258" xfId="3122" xr:uid="{93D44B28-20C0-42E6-AF29-25495F1AB43F}"/>
    <cellStyle name="style1755238199276" xfId="3123" xr:uid="{38913C08-0D53-4CA4-9F60-0D45F472CAEC}"/>
    <cellStyle name="style1755238199298" xfId="3124" xr:uid="{A1E6BAD8-1018-4850-9B89-6EDF74DE3175}"/>
    <cellStyle name="style1755238199321" xfId="3126" xr:uid="{E91F09FC-391D-4AA3-AF68-5765024BAB48}"/>
    <cellStyle name="style1755238199346" xfId="3128" xr:uid="{1EC3C9CD-3562-4CDD-A380-AE62A167D414}"/>
    <cellStyle name="style1755238199369" xfId="3125" xr:uid="{CE563224-B68A-4097-88AA-A94D833597FB}"/>
    <cellStyle name="style1755238199388" xfId="3127" xr:uid="{E1032C1B-B3CC-4B52-AE15-47B864B3B4AA}"/>
    <cellStyle name="style1755238199418" xfId="3129" xr:uid="{CDF586F1-54F3-4133-B73E-F39FA476D3D9}"/>
    <cellStyle name="style1755238199602" xfId="3130" xr:uid="{3DD7BB3C-014E-440C-A1E9-620BF806DB25}"/>
    <cellStyle name="style1755238199625" xfId="3131" xr:uid="{735F6C5E-C84E-44A2-AFEE-9E11BE0EEE42}"/>
    <cellStyle name="style1755238199650" xfId="3132" xr:uid="{A274F053-0519-4C58-A6B6-E414E4A3C16F}"/>
    <cellStyle name="style1755238199673" xfId="3133" xr:uid="{9B8DBCC2-516B-44AA-A928-63F6150066B1}"/>
    <cellStyle name="style1755238199695" xfId="3134" xr:uid="{E876E967-9229-4861-9254-13C7C20AF922}"/>
    <cellStyle name="style1755238199719" xfId="3135" xr:uid="{14A69949-6D6F-4906-9E29-1FA987EC2BF3}"/>
    <cellStyle name="style1755238199819" xfId="3136" xr:uid="{E1788B94-2B09-49CD-9F9D-E9AE3CEEB3AE}"/>
    <cellStyle name="style1755238199843" xfId="3137" xr:uid="{817B6AD9-DB09-4DD8-968B-58A238CA58CF}"/>
    <cellStyle name="style1755238199865" xfId="3138" xr:uid="{29D67C22-6EDA-40FE-8412-014D85F3F492}"/>
    <cellStyle name="style1755238199880" xfId="3139" xr:uid="{989C0DC0-34B1-4685-97F1-88F9AD0DB7D5}"/>
    <cellStyle name="style1755238199971" xfId="3140" xr:uid="{A796D697-D7A1-4CCA-BAEA-360A5A73E8F0}"/>
    <cellStyle name="style1755238199988" xfId="3141" xr:uid="{9FC30DE9-07D8-4F10-83DF-A87CFAD58EB0}"/>
    <cellStyle name="style1755238200004" xfId="3142" xr:uid="{A545FE52-7688-4073-A2EF-BE7441EB905D}"/>
    <cellStyle name="style1755238201412" xfId="3143" xr:uid="{B600BB83-DF31-4E78-B940-07457129C784}"/>
    <cellStyle name="style1755238201437" xfId="3144" xr:uid="{85279A46-3D6D-42A2-9DFC-51ADC04EBB81}"/>
    <cellStyle name="style1755238201459" xfId="3145" xr:uid="{99FE96B6-2978-40CD-A29F-751915F9DC3B}"/>
    <cellStyle name="style1755238209022" xfId="3147" xr:uid="{E9B901E6-169B-4DBA-85AF-4389853E70A1}"/>
    <cellStyle name="style1755238209049" xfId="3148" xr:uid="{95BA0FFE-1D16-4033-AE19-A312A6865D68}"/>
    <cellStyle name="style1755238209078" xfId="3146" xr:uid="{60C3DF67-D33D-4911-910F-5223C81626FC}"/>
    <cellStyle name="style1755238209112" xfId="3149" xr:uid="{FB45578D-BF3C-486D-9C71-D0790ADC4FB4}"/>
    <cellStyle name="style1755238209162" xfId="3150" xr:uid="{074A1D9D-E7C2-4121-980A-DCB81A9BC499}"/>
    <cellStyle name="style1755238209205" xfId="3151" xr:uid="{0936B6D3-86DA-47D7-AC5F-AC541D3E060A}"/>
    <cellStyle name="style1755238209241" xfId="3152" xr:uid="{DD95254B-7399-4C04-921D-A7F266FC7CDE}"/>
    <cellStyle name="style1755238209281" xfId="3153" xr:uid="{9D3C872D-65E9-4644-A60B-6CF9BF8E6452}"/>
    <cellStyle name="style1755238209308" xfId="3154" xr:uid="{D1CA2155-304B-490D-B8C5-7B36DDACCAFC}"/>
    <cellStyle name="style1755238209333" xfId="3155" xr:uid="{66BDB89C-7BB5-4DA3-B4E5-93DA82018871}"/>
    <cellStyle name="style1755238209357" xfId="3156" xr:uid="{BA51EEA1-9C39-4C58-B7D7-C88F90EDB074}"/>
    <cellStyle name="style1755238209381" xfId="3157" xr:uid="{6C0E9657-A0C5-4B2F-B22B-E59D36F22544}"/>
    <cellStyle name="style1755238209404" xfId="3158" xr:uid="{E51078DB-72A6-4964-9005-DBB66E38FA04}"/>
    <cellStyle name="style1755238209430" xfId="3159" xr:uid="{33A6872B-0F35-4E1E-9ACA-4BD4E2EF9BCF}"/>
    <cellStyle name="style1755238209454" xfId="3160" xr:uid="{1BE389F8-C487-4063-85F1-64052D643ECD}"/>
    <cellStyle name="style1755238209470" xfId="3161" xr:uid="{77AFF182-D77C-4341-81E4-B77F190A2E16}"/>
    <cellStyle name="style1755238209512" xfId="3162" xr:uid="{995869E2-00FF-4B59-9566-E376312D1CB7}"/>
    <cellStyle name="style1755238209532" xfId="3163" xr:uid="{EA29DA2B-E13A-4C99-9B73-BC311DD8C402}"/>
    <cellStyle name="style1755238209548" xfId="3164" xr:uid="{6C259067-3D2A-4A61-AD26-B795BD3A7F0C}"/>
    <cellStyle name="style1755238209570" xfId="3165" xr:uid="{C94F2EDE-56A9-414F-B1BC-8781D37A0528}"/>
    <cellStyle name="style1755238209596" xfId="3166" xr:uid="{0C23C1A4-E166-420D-B2A6-3D61602BF5AF}"/>
    <cellStyle name="style1755238209619" xfId="3167" xr:uid="{1544F40F-D9B3-4F4A-AD43-4D8423E14845}"/>
    <cellStyle name="style1755238209645" xfId="3168" xr:uid="{C66DB8FD-930B-444B-B1F0-E9482B7B772D}"/>
    <cellStyle name="style1755238209670" xfId="3169" xr:uid="{B008FB0B-37E8-49DC-9ADE-41E02D720C27}"/>
    <cellStyle name="style1755238209694" xfId="3173" xr:uid="{F228ADD4-8CA6-45D9-96CE-1309AE24DF75}"/>
    <cellStyle name="style1755238209717" xfId="3174" xr:uid="{1CA7BEA7-0145-46B4-BA43-2A0124FFB603}"/>
    <cellStyle name="style1755238209748" xfId="3178" xr:uid="{2D77DABE-3441-49B0-B2FB-9C2D114A0E4C}"/>
    <cellStyle name="style1755238209773" xfId="3179" xr:uid="{A05416B3-038F-4738-A120-BDEF971CB473}"/>
    <cellStyle name="style1755238209799" xfId="3170" xr:uid="{D4D3A490-4D23-4233-83B5-B17BF83483FB}"/>
    <cellStyle name="style1755238209825" xfId="3171" xr:uid="{7AD5B3EC-7796-40E1-8BC0-504B2271C6F5}"/>
    <cellStyle name="style1755238209848" xfId="3172" xr:uid="{EB40D547-03FE-4612-96DB-689DA3DBBCDB}"/>
    <cellStyle name="style1755238209873" xfId="3175" xr:uid="{0B74EE05-DDF3-4524-BCBF-4B36065C2A30}"/>
    <cellStyle name="style1755238209899" xfId="3176" xr:uid="{4C0AFF28-DFEB-4B88-A2B4-71F27EF17674}"/>
    <cellStyle name="style1755238209939" xfId="3177" xr:uid="{B135A600-C4CC-416A-85AC-78F01C9A4C35}"/>
    <cellStyle name="style1755238209988" xfId="3180" xr:uid="{21CC419B-638D-49C0-BFBF-943601F51F8E}"/>
    <cellStyle name="style1755238210012" xfId="3181" xr:uid="{6C095E18-5C5E-42BB-AA41-DC7C41433F09}"/>
    <cellStyle name="style1755238210040" xfId="3182" xr:uid="{60C68300-664E-4838-8453-887C0ABC0ECC}"/>
  </cellStyles>
  <dxfs count="106">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210990</xdr:colOff>
      <xdr:row>5</xdr:row>
      <xdr:rowOff>94439</xdr:rowOff>
    </xdr:to>
    <xdr:pic>
      <xdr:nvPicPr>
        <xdr:cNvPr id="3" name="Picture 2">
          <a:extLst>
            <a:ext uri="{FF2B5EF4-FFF2-40B4-BE49-F238E27FC236}">
              <a16:creationId xmlns:a16="http://schemas.microsoft.com/office/drawing/2014/main" id="{6440E0DE-FC70-44EA-88BB-BEBAEF1D88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293C9AD7-A44A-4641-A43D-2F575218E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0</xdr:colOff>
      <xdr:row>12</xdr:row>
      <xdr:rowOff>0</xdr:rowOff>
    </xdr:from>
    <xdr:to>
      <xdr:col>18</xdr:col>
      <xdr:colOff>85725</xdr:colOff>
      <xdr:row>20</xdr:row>
      <xdr:rowOff>85725</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534525" y="2286000"/>
          <a:ext cx="4105275" cy="1609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xSplit="1" ySplit="12" topLeftCell="B13" activePane="bottomRight" state="frozen"/>
      <selection pane="bottomRight"/>
      <selection pane="bottomLeft" activeCell="A13" sqref="A13"/>
      <selection pane="topRight" activeCell="B1" sqref="B1"/>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24"/>
      <c r="B1" s="24"/>
      <c r="C1" s="24"/>
      <c r="D1" s="24"/>
      <c r="E1" s="24"/>
      <c r="F1" s="24"/>
      <c r="G1" s="24"/>
    </row>
    <row r="2" spans="1:7">
      <c r="A2" s="24"/>
      <c r="B2" s="24"/>
      <c r="C2" s="24"/>
      <c r="D2" s="24"/>
      <c r="E2" s="24"/>
      <c r="F2" s="24"/>
      <c r="G2" s="24"/>
    </row>
    <row r="3" spans="1:7">
      <c r="A3" s="24"/>
      <c r="B3" s="24"/>
      <c r="C3" s="24"/>
      <c r="D3" s="24"/>
      <c r="E3" s="24"/>
      <c r="F3" s="24"/>
      <c r="G3" s="24"/>
    </row>
    <row r="4" spans="1:7">
      <c r="A4" s="24"/>
      <c r="B4" s="24"/>
      <c r="C4" s="24"/>
      <c r="D4" s="24"/>
      <c r="E4" s="24"/>
      <c r="F4" s="24"/>
      <c r="G4" s="24"/>
    </row>
    <row r="5" spans="1:7">
      <c r="A5" s="24"/>
      <c r="B5" s="24"/>
      <c r="C5" s="24"/>
      <c r="D5" s="24"/>
      <c r="E5" s="24"/>
      <c r="F5" s="24"/>
      <c r="G5" s="24"/>
    </row>
    <row r="6" spans="1:7">
      <c r="A6" s="24"/>
      <c r="B6" s="24"/>
      <c r="C6" s="24"/>
      <c r="D6" s="24"/>
      <c r="E6" s="24"/>
      <c r="F6" s="24"/>
      <c r="G6" s="24"/>
    </row>
    <row r="7" spans="1:7">
      <c r="A7" s="24"/>
      <c r="B7" s="24"/>
      <c r="C7" s="24"/>
      <c r="D7" s="24"/>
      <c r="E7" s="24"/>
      <c r="F7" s="24"/>
      <c r="G7" s="24"/>
    </row>
    <row r="8" spans="1:7">
      <c r="A8" s="25" t="s">
        <v>0</v>
      </c>
      <c r="B8" s="24"/>
      <c r="C8" s="24"/>
      <c r="D8" s="24"/>
      <c r="E8" s="24"/>
      <c r="F8" s="24"/>
      <c r="G8" s="24"/>
    </row>
    <row r="9" spans="1:7">
      <c r="A9" s="24" t="s">
        <v>1</v>
      </c>
      <c r="B9" s="24"/>
      <c r="C9" s="24"/>
      <c r="D9" s="49" t="s">
        <v>2</v>
      </c>
      <c r="E9" s="24"/>
      <c r="F9" s="24"/>
      <c r="G9" s="24"/>
    </row>
    <row r="10" spans="1:7">
      <c r="A10" s="109" t="s">
        <v>3</v>
      </c>
      <c r="B10" s="109"/>
      <c r="C10" s="109"/>
      <c r="D10" s="110" t="s">
        <v>4</v>
      </c>
      <c r="E10" s="109"/>
      <c r="F10" s="109"/>
      <c r="G10" s="109"/>
    </row>
    <row r="11" spans="1:7">
      <c r="A11" s="27"/>
      <c r="B11" s="27"/>
      <c r="C11" s="27"/>
      <c r="D11" s="27"/>
      <c r="E11" s="151" t="s">
        <v>5</v>
      </c>
      <c r="F11" s="151"/>
      <c r="G11" s="151"/>
    </row>
    <row r="12" spans="1:7">
      <c r="A12" s="27"/>
      <c r="B12" s="28" t="s">
        <v>6</v>
      </c>
      <c r="C12" s="28"/>
      <c r="D12" s="28" t="s">
        <v>7</v>
      </c>
      <c r="E12" s="151"/>
      <c r="F12" s="151"/>
      <c r="G12" s="151"/>
    </row>
    <row r="13" spans="1:7">
      <c r="A13" s="30" t="s">
        <v>8</v>
      </c>
      <c r="B13" s="1">
        <v>1</v>
      </c>
      <c r="D13" s="1" t="s">
        <v>9</v>
      </c>
      <c r="E13" s="9">
        <v>1</v>
      </c>
    </row>
    <row r="14" spans="1:7">
      <c r="A14" s="30"/>
      <c r="B14" s="1">
        <v>2</v>
      </c>
      <c r="D14" s="1" t="s">
        <v>10</v>
      </c>
      <c r="E14" s="9">
        <v>2</v>
      </c>
    </row>
    <row r="15" spans="1:7">
      <c r="A15" s="30"/>
      <c r="E15" s="9"/>
    </row>
    <row r="16" spans="1:7">
      <c r="A16" s="30" t="s">
        <v>11</v>
      </c>
      <c r="B16" s="1">
        <v>3</v>
      </c>
      <c r="D16" s="1" t="s">
        <v>12</v>
      </c>
      <c r="E16" s="9">
        <v>3</v>
      </c>
    </row>
    <row r="17" spans="1:5">
      <c r="A17" s="30"/>
      <c r="B17" s="1">
        <v>4</v>
      </c>
      <c r="D17" s="1" t="s">
        <v>13</v>
      </c>
      <c r="E17" s="9">
        <v>4</v>
      </c>
    </row>
    <row r="18" spans="1:5">
      <c r="A18" s="30"/>
      <c r="B18" s="1">
        <v>5</v>
      </c>
      <c r="D18" s="1" t="s">
        <v>14</v>
      </c>
      <c r="E18" s="9">
        <v>5</v>
      </c>
    </row>
    <row r="19" spans="1:5">
      <c r="A19" s="30"/>
      <c r="B19" s="1">
        <v>6</v>
      </c>
      <c r="D19" s="1" t="s">
        <v>15</v>
      </c>
      <c r="E19" s="9">
        <v>6</v>
      </c>
    </row>
    <row r="20" spans="1:5">
      <c r="A20" s="30"/>
      <c r="B20" s="1">
        <v>7</v>
      </c>
      <c r="D20" s="1" t="s">
        <v>16</v>
      </c>
      <c r="E20" s="9">
        <v>7</v>
      </c>
    </row>
    <row r="21" spans="1:5">
      <c r="A21" s="30"/>
      <c r="B21" s="1">
        <v>8</v>
      </c>
      <c r="D21" s="1" t="s">
        <v>17</v>
      </c>
      <c r="E21" s="9">
        <v>8</v>
      </c>
    </row>
    <row r="22" spans="1:5">
      <c r="A22" s="30"/>
      <c r="B22" s="1">
        <v>9</v>
      </c>
      <c r="D22" s="1" t="s">
        <v>18</v>
      </c>
      <c r="E22" s="9">
        <v>9</v>
      </c>
    </row>
    <row r="23" spans="1:5">
      <c r="A23" s="30"/>
      <c r="B23" s="1">
        <v>10</v>
      </c>
      <c r="D23" s="1" t="s">
        <v>19</v>
      </c>
      <c r="E23" s="9">
        <v>10</v>
      </c>
    </row>
    <row r="24" spans="1:5">
      <c r="A24" s="30"/>
      <c r="B24" s="1">
        <v>11</v>
      </c>
      <c r="D24" s="9" t="s">
        <v>20</v>
      </c>
      <c r="E24" s="9">
        <v>12</v>
      </c>
    </row>
    <row r="25" spans="1:5">
      <c r="A25" s="30"/>
      <c r="B25" s="1">
        <v>12</v>
      </c>
      <c r="D25" s="9" t="s">
        <v>21</v>
      </c>
      <c r="E25" s="9">
        <v>13</v>
      </c>
    </row>
    <row r="26" spans="1:5">
      <c r="A26" s="30"/>
      <c r="B26" s="1">
        <v>13</v>
      </c>
      <c r="D26" s="9" t="s">
        <v>22</v>
      </c>
      <c r="E26" s="9">
        <v>14</v>
      </c>
    </row>
    <row r="27" spans="1:5">
      <c r="A27" s="30"/>
      <c r="B27" s="1">
        <v>14</v>
      </c>
      <c r="D27" s="1" t="s">
        <v>23</v>
      </c>
      <c r="E27" s="9">
        <v>15</v>
      </c>
    </row>
    <row r="28" spans="1:5">
      <c r="A28" s="30"/>
      <c r="B28" s="1">
        <v>15</v>
      </c>
      <c r="D28" s="1" t="s">
        <v>24</v>
      </c>
      <c r="E28" s="9">
        <v>16</v>
      </c>
    </row>
    <row r="29" spans="1:5">
      <c r="A29" s="30"/>
      <c r="B29" s="1">
        <v>16</v>
      </c>
      <c r="D29" s="1" t="s">
        <v>25</v>
      </c>
      <c r="E29" s="9">
        <v>17</v>
      </c>
    </row>
    <row r="30" spans="1:5">
      <c r="A30" s="30"/>
      <c r="B30" s="1">
        <v>17</v>
      </c>
      <c r="D30" s="1" t="s">
        <v>26</v>
      </c>
      <c r="E30" s="9">
        <v>18</v>
      </c>
    </row>
    <row r="31" spans="1:5">
      <c r="A31" s="30"/>
      <c r="B31" s="1">
        <v>18</v>
      </c>
      <c r="D31" s="1" t="s">
        <v>27</v>
      </c>
      <c r="E31" s="9">
        <v>19</v>
      </c>
    </row>
    <row r="32" spans="1:5">
      <c r="A32" s="30"/>
      <c r="B32" s="1">
        <v>19</v>
      </c>
      <c r="D32" s="1" t="s">
        <v>28</v>
      </c>
      <c r="E32" s="9">
        <v>20</v>
      </c>
    </row>
    <row r="33" spans="1:7">
      <c r="A33" s="30"/>
      <c r="B33" s="1">
        <v>20</v>
      </c>
      <c r="D33" s="1" t="s">
        <v>29</v>
      </c>
      <c r="E33" s="9">
        <v>21</v>
      </c>
    </row>
    <row r="34" spans="1:7">
      <c r="A34" s="30"/>
      <c r="B34" s="1">
        <v>21</v>
      </c>
      <c r="D34" s="1" t="s">
        <v>30</v>
      </c>
      <c r="E34" s="9">
        <v>24</v>
      </c>
    </row>
    <row r="35" spans="1:7">
      <c r="A35" s="30"/>
      <c r="B35" s="1">
        <v>22</v>
      </c>
      <c r="D35" s="1" t="s">
        <v>31</v>
      </c>
      <c r="E35" s="9">
        <v>25</v>
      </c>
    </row>
    <row r="36" spans="1:7">
      <c r="A36" s="30"/>
      <c r="B36" s="1">
        <v>23</v>
      </c>
      <c r="D36" s="1" t="s">
        <v>32</v>
      </c>
      <c r="E36" s="9">
        <v>26</v>
      </c>
    </row>
    <row r="37" spans="1:7">
      <c r="A37" s="30"/>
      <c r="B37" s="1">
        <v>24</v>
      </c>
      <c r="D37" s="1" t="s">
        <v>33</v>
      </c>
      <c r="E37" s="9">
        <v>27</v>
      </c>
    </row>
    <row r="38" spans="1:7">
      <c r="A38" s="30"/>
      <c r="E38" s="9"/>
    </row>
    <row r="39" spans="1:7">
      <c r="A39" s="30" t="s">
        <v>34</v>
      </c>
      <c r="B39" s="1">
        <v>25</v>
      </c>
      <c r="D39" s="1" t="s">
        <v>35</v>
      </c>
      <c r="E39" s="9">
        <v>30</v>
      </c>
    </row>
    <row r="40" spans="1:7">
      <c r="A40" s="30"/>
      <c r="B40" s="1">
        <v>26</v>
      </c>
      <c r="D40" s="1" t="s">
        <v>36</v>
      </c>
      <c r="E40" s="9">
        <v>31</v>
      </c>
    </row>
    <row r="41" spans="1:7">
      <c r="A41" s="30"/>
      <c r="E41" s="9"/>
    </row>
    <row r="42" spans="1:7">
      <c r="A42" s="30" t="s">
        <v>37</v>
      </c>
      <c r="B42" s="1">
        <v>27</v>
      </c>
      <c r="D42" s="1" t="s">
        <v>38</v>
      </c>
      <c r="E42" s="9">
        <v>38</v>
      </c>
    </row>
    <row r="43" spans="1:7">
      <c r="A43" s="30"/>
      <c r="E43" s="9"/>
    </row>
    <row r="44" spans="1:7">
      <c r="A44" s="30" t="s">
        <v>39</v>
      </c>
      <c r="B44" s="1">
        <v>28</v>
      </c>
      <c r="D44" s="1" t="s">
        <v>39</v>
      </c>
      <c r="E44" s="9">
        <v>39</v>
      </c>
    </row>
    <row r="45" spans="1:7">
      <c r="A45" s="111"/>
      <c r="B45" s="97"/>
      <c r="C45" s="97"/>
      <c r="D45" s="97"/>
      <c r="E45" s="97"/>
      <c r="F45" s="97"/>
      <c r="G45" s="97"/>
    </row>
    <row r="49" s="1" customFormat="1"/>
    <row r="50" s="1" customFormat="1"/>
    <row r="51" s="1" customFormat="1"/>
    <row r="52" s="1" customFormat="1"/>
    <row r="53" s="1" customFormat="1"/>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24"/>
      <c r="B1" s="24"/>
      <c r="C1" s="25"/>
      <c r="D1" s="24"/>
      <c r="E1" s="24"/>
      <c r="F1" s="24"/>
      <c r="G1" s="25"/>
      <c r="H1" s="24"/>
      <c r="I1" s="24"/>
      <c r="J1" s="24"/>
      <c r="K1" s="25"/>
      <c r="L1" s="24"/>
      <c r="M1" s="24"/>
      <c r="N1" s="24"/>
      <c r="O1" s="25"/>
      <c r="P1" s="24"/>
      <c r="Q1" s="24"/>
      <c r="R1" s="24"/>
      <c r="S1" s="25"/>
      <c r="T1" s="24"/>
      <c r="U1" s="24"/>
      <c r="V1" s="24"/>
      <c r="W1" s="25"/>
      <c r="X1" s="24"/>
      <c r="Y1" s="24"/>
    </row>
    <row r="2" spans="1:26">
      <c r="A2" s="24"/>
      <c r="B2" s="24"/>
      <c r="C2" s="25"/>
      <c r="D2" s="24"/>
      <c r="E2" s="24"/>
      <c r="F2" s="24"/>
      <c r="G2" s="25"/>
      <c r="H2" s="24"/>
      <c r="I2" s="24"/>
      <c r="J2" s="24"/>
      <c r="K2" s="25"/>
      <c r="L2" s="24"/>
      <c r="M2" s="24"/>
      <c r="N2" s="24"/>
      <c r="O2" s="25"/>
      <c r="P2" s="24"/>
      <c r="Q2" s="24"/>
      <c r="R2" s="24"/>
      <c r="S2" s="25"/>
      <c r="T2" s="24"/>
      <c r="U2" s="24"/>
      <c r="V2" s="24"/>
      <c r="W2" s="25"/>
      <c r="X2" s="24"/>
      <c r="Y2" s="24"/>
    </row>
    <row r="3" spans="1:26">
      <c r="A3" s="24"/>
      <c r="B3" s="24"/>
      <c r="C3" s="25"/>
      <c r="D3" s="24"/>
      <c r="E3" s="24"/>
      <c r="F3" s="24"/>
      <c r="G3" s="25"/>
      <c r="H3" s="24"/>
      <c r="I3" s="24"/>
      <c r="J3" s="24"/>
      <c r="K3" s="25"/>
      <c r="L3" s="24"/>
      <c r="M3" s="24"/>
      <c r="N3" s="24"/>
      <c r="O3" s="25"/>
      <c r="P3" s="24"/>
      <c r="Q3" s="24"/>
      <c r="R3" s="24"/>
      <c r="S3" s="25"/>
      <c r="T3" s="24"/>
      <c r="U3" s="24"/>
      <c r="V3" s="24"/>
      <c r="W3" s="25"/>
      <c r="X3" s="24"/>
      <c r="Y3" s="24"/>
    </row>
    <row r="4" spans="1:26">
      <c r="A4" s="24"/>
      <c r="B4" s="24"/>
      <c r="C4" s="25"/>
      <c r="D4" s="24"/>
      <c r="E4" s="24"/>
      <c r="F4" s="24"/>
      <c r="G4" s="25"/>
      <c r="H4" s="24"/>
      <c r="I4" s="24"/>
      <c r="J4" s="24"/>
      <c r="K4" s="25"/>
      <c r="L4" s="24"/>
      <c r="M4" s="24"/>
      <c r="N4" s="24"/>
      <c r="O4" s="25"/>
      <c r="P4" s="24"/>
      <c r="Q4" s="24"/>
      <c r="R4" s="24"/>
      <c r="S4" s="25"/>
      <c r="T4" s="24"/>
      <c r="U4" s="24"/>
      <c r="V4" s="24"/>
      <c r="W4" s="25"/>
      <c r="X4" s="24"/>
      <c r="Y4" s="24"/>
    </row>
    <row r="5" spans="1:26">
      <c r="A5" s="24"/>
      <c r="B5" s="24"/>
      <c r="C5" s="25"/>
      <c r="D5" s="24"/>
      <c r="E5" s="24"/>
      <c r="F5" s="24"/>
      <c r="G5" s="25"/>
      <c r="H5" s="24"/>
      <c r="I5" s="24"/>
      <c r="J5" s="24"/>
      <c r="K5" s="25"/>
      <c r="L5" s="24"/>
      <c r="M5" s="24"/>
      <c r="N5" s="24"/>
      <c r="O5" s="25"/>
      <c r="P5" s="24"/>
      <c r="Q5" s="24"/>
      <c r="R5" s="24"/>
      <c r="S5" s="25"/>
      <c r="T5" s="24"/>
      <c r="U5" s="24"/>
      <c r="V5" s="24"/>
      <c r="W5" s="25"/>
      <c r="X5" s="24"/>
      <c r="Y5" s="24"/>
    </row>
    <row r="6" spans="1:26">
      <c r="A6" s="24"/>
      <c r="B6" s="24"/>
      <c r="C6" s="25"/>
      <c r="D6" s="24"/>
      <c r="E6" s="24"/>
      <c r="F6" s="24"/>
      <c r="G6" s="25"/>
      <c r="H6" s="24"/>
      <c r="I6" s="24"/>
      <c r="J6" s="24"/>
      <c r="K6" s="25"/>
      <c r="L6" s="24"/>
      <c r="M6" s="24"/>
      <c r="N6" s="24"/>
      <c r="O6" s="25"/>
      <c r="P6" s="24"/>
      <c r="Q6" s="24"/>
      <c r="R6" s="24"/>
      <c r="S6" s="25"/>
      <c r="T6" s="24"/>
      <c r="U6" s="24"/>
      <c r="V6" s="24"/>
      <c r="W6" s="25"/>
      <c r="X6" s="24"/>
      <c r="Y6" s="24"/>
    </row>
    <row r="7" spans="1:26">
      <c r="A7" s="24"/>
      <c r="B7" s="24"/>
      <c r="C7" s="25"/>
      <c r="D7" s="24"/>
      <c r="E7" s="24"/>
      <c r="F7" s="24"/>
      <c r="G7" s="25"/>
      <c r="H7" s="24"/>
      <c r="I7" s="24"/>
      <c r="J7" s="24"/>
      <c r="K7" s="25"/>
      <c r="L7" s="24"/>
      <c r="M7" s="24"/>
      <c r="N7" s="24"/>
      <c r="O7" s="25"/>
      <c r="P7" s="24"/>
      <c r="Q7" s="24"/>
      <c r="R7" s="24"/>
      <c r="S7" s="25"/>
      <c r="T7" s="24"/>
      <c r="U7" s="24"/>
      <c r="V7" s="24"/>
      <c r="W7" s="25"/>
      <c r="X7" s="24"/>
      <c r="Y7" s="24"/>
    </row>
    <row r="8" spans="1:26">
      <c r="A8" s="25" t="s">
        <v>0</v>
      </c>
      <c r="B8" s="24"/>
      <c r="C8" s="25"/>
      <c r="D8" s="24"/>
      <c r="E8" s="24"/>
      <c r="F8" s="24"/>
      <c r="G8" s="25"/>
      <c r="H8" s="24"/>
      <c r="I8" s="24"/>
      <c r="J8" s="24"/>
      <c r="K8" s="25"/>
      <c r="L8" s="24"/>
      <c r="M8" s="24"/>
      <c r="N8" s="24"/>
      <c r="O8" s="25"/>
      <c r="P8" s="24"/>
      <c r="Q8" s="24"/>
      <c r="R8" s="24"/>
      <c r="S8" s="25"/>
      <c r="T8" s="24"/>
      <c r="U8" s="24"/>
      <c r="V8" s="24"/>
      <c r="W8" s="25"/>
      <c r="X8" s="24"/>
      <c r="Y8" s="24"/>
    </row>
    <row r="9" spans="1:26">
      <c r="A9" s="24" t="s">
        <v>1</v>
      </c>
      <c r="B9" s="133" t="s">
        <v>2</v>
      </c>
      <c r="C9" s="25"/>
      <c r="D9" s="24"/>
      <c r="E9" s="24"/>
      <c r="F9" s="24"/>
      <c r="G9" s="25"/>
      <c r="H9" s="24"/>
      <c r="I9" s="24"/>
      <c r="J9" s="24"/>
      <c r="K9" s="25"/>
      <c r="L9" s="24"/>
      <c r="M9" s="24"/>
      <c r="N9" s="24"/>
      <c r="O9" s="25"/>
      <c r="P9" s="24"/>
      <c r="Q9" s="24"/>
      <c r="R9" s="24"/>
      <c r="S9" s="25"/>
      <c r="T9" s="24"/>
      <c r="U9" s="24"/>
      <c r="V9" s="24"/>
      <c r="W9" s="25"/>
      <c r="X9" s="24"/>
      <c r="Y9" s="24"/>
    </row>
    <row r="10" spans="1:26">
      <c r="A10" s="24" t="s">
        <v>40</v>
      </c>
      <c r="B10" s="26">
        <v>1</v>
      </c>
      <c r="C10" s="25"/>
      <c r="D10" s="24"/>
      <c r="E10" s="24"/>
      <c r="F10" s="24"/>
      <c r="G10" s="25"/>
      <c r="H10" s="24"/>
      <c r="I10" s="24"/>
      <c r="J10" s="24"/>
      <c r="K10" s="25"/>
      <c r="L10" s="24"/>
      <c r="M10" s="24"/>
      <c r="N10" s="24"/>
      <c r="O10" s="25"/>
      <c r="P10" s="24"/>
      <c r="Q10" s="24"/>
      <c r="R10" s="24"/>
      <c r="S10" s="25"/>
      <c r="T10" s="24"/>
      <c r="U10" s="24"/>
      <c r="V10" s="24"/>
      <c r="W10" s="25"/>
      <c r="X10" s="24"/>
      <c r="Y10" s="24"/>
    </row>
    <row r="11" spans="1:26">
      <c r="A11" s="24" t="s">
        <v>3</v>
      </c>
      <c r="B11" s="25" t="s">
        <v>9</v>
      </c>
      <c r="C11" s="25"/>
      <c r="D11" s="24"/>
      <c r="E11" s="24"/>
      <c r="F11" s="24"/>
      <c r="G11" s="25"/>
      <c r="H11" s="24"/>
      <c r="I11" s="24"/>
      <c r="J11" s="24"/>
      <c r="K11" s="25"/>
      <c r="L11" s="24"/>
      <c r="M11" s="24"/>
      <c r="N11" s="24"/>
      <c r="O11" s="25"/>
      <c r="P11" s="24"/>
      <c r="Q11" s="24"/>
      <c r="R11" s="24"/>
      <c r="S11" s="25"/>
      <c r="T11" s="24"/>
      <c r="U11" s="24"/>
      <c r="V11" s="24"/>
      <c r="W11" s="25"/>
      <c r="X11" s="24"/>
      <c r="Y11" s="24"/>
    </row>
    <row r="12" spans="1:26">
      <c r="A12" s="109" t="s">
        <v>41</v>
      </c>
      <c r="B12" s="110" t="s">
        <v>42</v>
      </c>
      <c r="C12" s="110"/>
      <c r="D12" s="109"/>
      <c r="E12" s="109"/>
      <c r="F12" s="109"/>
      <c r="G12" s="110"/>
      <c r="H12" s="109"/>
      <c r="I12" s="109"/>
      <c r="J12" s="109"/>
      <c r="K12" s="110"/>
      <c r="L12" s="109"/>
      <c r="M12" s="109"/>
      <c r="N12" s="109"/>
      <c r="O12" s="110"/>
      <c r="P12" s="109"/>
      <c r="Q12" s="109"/>
      <c r="R12" s="109"/>
      <c r="S12" s="110"/>
      <c r="T12" s="109"/>
      <c r="U12" s="109"/>
      <c r="V12" s="109"/>
      <c r="W12" s="110"/>
      <c r="X12" s="109"/>
      <c r="Y12" s="109"/>
    </row>
    <row r="13" spans="1:26" s="83" customFormat="1" ht="24.95" customHeight="1">
      <c r="A13" s="81"/>
      <c r="B13" s="81"/>
      <c r="C13" s="154" t="s">
        <v>43</v>
      </c>
      <c r="D13" s="154"/>
      <c r="E13" s="154"/>
      <c r="F13" s="154"/>
      <c r="G13" s="154"/>
      <c r="H13" s="154"/>
      <c r="I13" s="154"/>
      <c r="J13" s="82"/>
      <c r="K13" s="154" t="s">
        <v>44</v>
      </c>
      <c r="L13" s="154"/>
      <c r="M13" s="154"/>
      <c r="N13" s="154"/>
      <c r="O13" s="154"/>
      <c r="P13" s="154"/>
      <c r="Q13" s="154"/>
      <c r="R13" s="82"/>
      <c r="S13" s="154" t="s">
        <v>45</v>
      </c>
      <c r="T13" s="154"/>
      <c r="U13" s="154"/>
      <c r="V13" s="154"/>
      <c r="W13" s="154"/>
      <c r="X13" s="154"/>
      <c r="Y13" s="154"/>
    </row>
    <row r="14" spans="1:26" s="2" customFormat="1">
      <c r="A14" s="28"/>
      <c r="B14" s="28"/>
      <c r="C14" s="153" t="s">
        <v>46</v>
      </c>
      <c r="D14" s="153"/>
      <c r="E14" s="153"/>
      <c r="F14" s="50"/>
      <c r="G14" s="153" t="s">
        <v>47</v>
      </c>
      <c r="H14" s="153"/>
      <c r="I14" s="153"/>
      <c r="J14" s="56"/>
      <c r="K14" s="153" t="s">
        <v>46</v>
      </c>
      <c r="L14" s="153"/>
      <c r="M14" s="153"/>
      <c r="N14" s="50"/>
      <c r="O14" s="153" t="s">
        <v>47</v>
      </c>
      <c r="P14" s="153"/>
      <c r="Q14" s="153"/>
      <c r="R14" s="56"/>
      <c r="S14" s="153" t="s">
        <v>46</v>
      </c>
      <c r="T14" s="153"/>
      <c r="U14" s="153"/>
      <c r="V14" s="50"/>
      <c r="W14" s="153" t="s">
        <v>47</v>
      </c>
      <c r="X14" s="153"/>
      <c r="Y14" s="153"/>
    </row>
    <row r="15" spans="1:26" s="2" customFormat="1" ht="17.25">
      <c r="A15" s="28"/>
      <c r="B15" s="28"/>
      <c r="C15" s="32" t="s">
        <v>48</v>
      </c>
      <c r="D15" s="32" t="s">
        <v>49</v>
      </c>
      <c r="E15" s="32" t="s">
        <v>50</v>
      </c>
      <c r="F15" s="32"/>
      <c r="G15" s="32" t="s">
        <v>51</v>
      </c>
      <c r="H15" s="32" t="s">
        <v>49</v>
      </c>
      <c r="I15" s="32" t="s">
        <v>50</v>
      </c>
      <c r="J15" s="32"/>
      <c r="K15" s="32" t="s">
        <v>48</v>
      </c>
      <c r="L15" s="32" t="s">
        <v>49</v>
      </c>
      <c r="M15" s="32" t="s">
        <v>50</v>
      </c>
      <c r="N15" s="32"/>
      <c r="O15" s="32" t="s">
        <v>51</v>
      </c>
      <c r="P15" s="32" t="s">
        <v>49</v>
      </c>
      <c r="Q15" s="32" t="s">
        <v>50</v>
      </c>
      <c r="R15" s="32"/>
      <c r="S15" s="32" t="s">
        <v>48</v>
      </c>
      <c r="T15" s="32" t="s">
        <v>49</v>
      </c>
      <c r="U15" s="32" t="s">
        <v>50</v>
      </c>
      <c r="V15" s="32"/>
      <c r="W15" s="32" t="s">
        <v>51</v>
      </c>
      <c r="X15" s="32" t="s">
        <v>49</v>
      </c>
      <c r="Y15" s="32" t="s">
        <v>50</v>
      </c>
    </row>
    <row r="16" spans="1:26">
      <c r="A16" s="152" t="s">
        <v>48</v>
      </c>
      <c r="B16" s="152"/>
      <c r="C16" s="23">
        <v>0.86963982973969034</v>
      </c>
      <c r="D16" s="23">
        <v>0.8773499793821159</v>
      </c>
      <c r="E16" s="23">
        <v>0.86443769586124619</v>
      </c>
      <c r="F16" s="23"/>
      <c r="G16" s="89">
        <v>5015652.8174780728</v>
      </c>
      <c r="H16" s="89">
        <v>2468235.6042128541</v>
      </c>
      <c r="I16" s="89">
        <v>2520330.142582594</v>
      </c>
      <c r="J16" s="41"/>
      <c r="K16" s="23">
        <v>0.69587655496017942</v>
      </c>
      <c r="L16" s="23">
        <v>0.69330247305460191</v>
      </c>
      <c r="M16" s="23">
        <v>0.70039245767399227</v>
      </c>
      <c r="N16" s="23"/>
      <c r="O16" s="89">
        <v>4013472.1112620891</v>
      </c>
      <c r="P16" s="89">
        <v>1950457.5012212892</v>
      </c>
      <c r="Q16" s="89">
        <v>2042044.4771957372</v>
      </c>
      <c r="R16" s="41"/>
      <c r="S16" s="23">
        <v>0.50051290899777745</v>
      </c>
      <c r="T16" s="23">
        <v>0.4838129194407586</v>
      </c>
      <c r="U16" s="23">
        <v>0.51785435866762297</v>
      </c>
      <c r="V16" s="23"/>
      <c r="W16" s="89">
        <v>2886711.1375870253</v>
      </c>
      <c r="X16" s="89">
        <v>1361103.6662733497</v>
      </c>
      <c r="Y16" s="89">
        <v>1509841.5488665644</v>
      </c>
      <c r="Z16" s="2"/>
    </row>
    <row r="17" spans="1:26">
      <c r="A17" s="29" t="s">
        <v>52</v>
      </c>
      <c r="B17" s="29"/>
      <c r="C17" s="23"/>
      <c r="D17" s="90"/>
      <c r="E17" s="90"/>
      <c r="F17" s="2"/>
      <c r="G17" s="89"/>
      <c r="H17" s="91"/>
      <c r="I17" s="91"/>
      <c r="J17" s="43"/>
      <c r="K17" s="23"/>
      <c r="L17" s="90"/>
      <c r="M17" s="90"/>
      <c r="N17" s="2"/>
      <c r="O17" s="89"/>
      <c r="P17" s="91"/>
      <c r="Q17" s="91"/>
      <c r="R17" s="43"/>
      <c r="S17" s="23"/>
      <c r="T17" s="90"/>
      <c r="U17" s="90"/>
      <c r="V17" s="2"/>
      <c r="W17" s="89"/>
      <c r="X17" s="91"/>
      <c r="Y17" s="91"/>
      <c r="Z17" s="2"/>
    </row>
    <row r="18" spans="1:26">
      <c r="A18" s="29"/>
      <c r="B18" s="29" t="s">
        <v>53</v>
      </c>
      <c r="C18" s="23">
        <v>0.84583468149608265</v>
      </c>
      <c r="D18" s="90">
        <v>0.81985642470116049</v>
      </c>
      <c r="E18" s="90">
        <v>0.88504675958372236</v>
      </c>
      <c r="F18" s="4"/>
      <c r="G18" s="89">
        <v>203601.16935916879</v>
      </c>
      <c r="H18" s="91">
        <v>81119.410643663738</v>
      </c>
      <c r="I18" s="91">
        <v>122481.75871550491</v>
      </c>
      <c r="J18" s="42"/>
      <c r="K18" s="23">
        <v>0.64605554920316455</v>
      </c>
      <c r="L18" s="90">
        <v>0.63287249509042176</v>
      </c>
      <c r="M18" s="90">
        <v>0.67124488767513757</v>
      </c>
      <c r="N18" s="4"/>
      <c r="O18" s="89">
        <v>155512.26281722699</v>
      </c>
      <c r="P18" s="91">
        <v>62618.578409058508</v>
      </c>
      <c r="Q18" s="91">
        <v>92893.68440816841</v>
      </c>
      <c r="R18" s="42"/>
      <c r="S18" s="23">
        <v>0.44760347268697354</v>
      </c>
      <c r="T18" s="90">
        <v>0.46141719366497747</v>
      </c>
      <c r="U18" s="90">
        <v>0.4486488950223968</v>
      </c>
      <c r="V18" s="4"/>
      <c r="W18" s="89">
        <v>107742.79234696366</v>
      </c>
      <c r="X18" s="91">
        <v>45654.201983718682</v>
      </c>
      <c r="Y18" s="91">
        <v>62088.590363244977</v>
      </c>
    </row>
    <row r="19" spans="1:26">
      <c r="A19" s="29"/>
      <c r="B19" s="29" t="s">
        <v>54</v>
      </c>
      <c r="C19" s="23">
        <v>0.88919858930641804</v>
      </c>
      <c r="D19" s="90">
        <v>0.88133156578455152</v>
      </c>
      <c r="E19" s="90">
        <v>0.90036212964181483</v>
      </c>
      <c r="F19" s="4"/>
      <c r="G19" s="89">
        <v>603392.94720027561</v>
      </c>
      <c r="H19" s="91">
        <v>321407.43637302861</v>
      </c>
      <c r="I19" s="91">
        <v>274015.99883148167</v>
      </c>
      <c r="J19" s="42"/>
      <c r="K19" s="23">
        <v>0.69715930098827816</v>
      </c>
      <c r="L19" s="90">
        <v>0.67068209758236685</v>
      </c>
      <c r="M19" s="90">
        <v>0.72796411367698222</v>
      </c>
      <c r="N19" s="4"/>
      <c r="O19" s="89">
        <v>473078.80416175653</v>
      </c>
      <c r="P19" s="91">
        <v>244586.9658751447</v>
      </c>
      <c r="Q19" s="91">
        <v>221548.42718898883</v>
      </c>
      <c r="R19" s="42"/>
      <c r="S19" s="23">
        <v>0.47908838724191866</v>
      </c>
      <c r="T19" s="90">
        <v>0.43906983866380594</v>
      </c>
      <c r="U19" s="90">
        <v>0.525696047420948</v>
      </c>
      <c r="V19" s="4"/>
      <c r="W19" s="89">
        <v>325100.10409801902</v>
      </c>
      <c r="X19" s="91">
        <v>160121.70301426732</v>
      </c>
      <c r="Y19" s="91">
        <v>159990.21146426842</v>
      </c>
    </row>
    <row r="20" spans="1:26">
      <c r="A20" s="29"/>
      <c r="B20" s="29" t="s">
        <v>55</v>
      </c>
      <c r="C20" s="23">
        <v>0.918650915151489</v>
      </c>
      <c r="D20" s="90">
        <v>0.92020702602572513</v>
      </c>
      <c r="E20" s="90">
        <v>0.91694020598071579</v>
      </c>
      <c r="F20" s="4"/>
      <c r="G20" s="89">
        <v>970562.02906688559</v>
      </c>
      <c r="H20" s="91">
        <v>465225.36404006038</v>
      </c>
      <c r="I20" s="91">
        <v>498542.50249313109</v>
      </c>
      <c r="J20" s="42"/>
      <c r="K20" s="23">
        <v>0.72103125584634953</v>
      </c>
      <c r="L20" s="90">
        <v>0.6953324931975885</v>
      </c>
      <c r="M20" s="90">
        <v>0.74571160235614486</v>
      </c>
      <c r="N20" s="4"/>
      <c r="O20" s="89">
        <v>761775.28063473071</v>
      </c>
      <c r="P20" s="91">
        <v>351536.45117646339</v>
      </c>
      <c r="Q20" s="91">
        <v>405445.11621580465</v>
      </c>
      <c r="R20" s="42"/>
      <c r="S20" s="23">
        <v>0.5149230877972929</v>
      </c>
      <c r="T20" s="90">
        <v>0.47116948721926522</v>
      </c>
      <c r="U20" s="90">
        <v>0.55700452316866789</v>
      </c>
      <c r="V20" s="4"/>
      <c r="W20" s="89">
        <v>544020.35491742101</v>
      </c>
      <c r="X20" s="91">
        <v>238207.26207976521</v>
      </c>
      <c r="Y20" s="91">
        <v>302844.64250697399</v>
      </c>
    </row>
    <row r="21" spans="1:26">
      <c r="A21" s="29"/>
      <c r="B21" s="29" t="s">
        <v>56</v>
      </c>
      <c r="C21" s="23">
        <v>0.89233388530674074</v>
      </c>
      <c r="D21" s="90">
        <v>0.88795491604471199</v>
      </c>
      <c r="E21" s="90">
        <v>0.89883807715386654</v>
      </c>
      <c r="F21" s="4"/>
      <c r="G21" s="89">
        <v>896984.71225509129</v>
      </c>
      <c r="H21" s="91">
        <v>449706.13616718882</v>
      </c>
      <c r="I21" s="91">
        <v>443003.41208110232</v>
      </c>
      <c r="J21" s="42"/>
      <c r="K21" s="23">
        <v>0.69155327036457304</v>
      </c>
      <c r="L21" s="90">
        <v>0.67214659722289871</v>
      </c>
      <c r="M21" s="90">
        <v>0.71238105199842761</v>
      </c>
      <c r="N21" s="4"/>
      <c r="O21" s="89">
        <v>695157.63263187173</v>
      </c>
      <c r="P21" s="91">
        <v>340409.68039396836</v>
      </c>
      <c r="Q21" s="91">
        <v>351105.77172756463</v>
      </c>
      <c r="R21" s="42"/>
      <c r="S21" s="23">
        <v>0.47027909960069431</v>
      </c>
      <c r="T21" s="90">
        <v>0.44343326982925269</v>
      </c>
      <c r="U21" s="90">
        <v>0.49610314276480033</v>
      </c>
      <c r="V21" s="4"/>
      <c r="W21" s="89">
        <v>472730.18517043832</v>
      </c>
      <c r="X21" s="91">
        <v>224577.46313423684</v>
      </c>
      <c r="Y21" s="91">
        <v>244510.54152587126</v>
      </c>
    </row>
    <row r="22" spans="1:26">
      <c r="A22" s="29"/>
      <c r="B22" s="29" t="s">
        <v>57</v>
      </c>
      <c r="C22" s="23">
        <v>0.89145479394323146</v>
      </c>
      <c r="D22" s="90">
        <v>0.90325367960492042</v>
      </c>
      <c r="E22" s="90">
        <v>0.87860480728682366</v>
      </c>
      <c r="F22" s="4"/>
      <c r="G22" s="89">
        <v>769097.39473074803</v>
      </c>
      <c r="H22" s="91">
        <v>384156.93381922919</v>
      </c>
      <c r="I22" s="91">
        <v>379973.2178625958</v>
      </c>
      <c r="J22" s="42"/>
      <c r="K22" s="23">
        <v>0.72534801849094555</v>
      </c>
      <c r="L22" s="90">
        <v>0.72477687288451231</v>
      </c>
      <c r="M22" s="90">
        <v>0.72731464610028151</v>
      </c>
      <c r="N22" s="4"/>
      <c r="O22" s="89">
        <v>625789.74849286838</v>
      </c>
      <c r="P22" s="91">
        <v>308250.12671101082</v>
      </c>
      <c r="Q22" s="91">
        <v>314544.24581483123</v>
      </c>
      <c r="R22" s="42"/>
      <c r="S22" s="23">
        <v>0.53644837412828661</v>
      </c>
      <c r="T22" s="90">
        <v>0.51398846800672093</v>
      </c>
      <c r="U22" s="90">
        <v>0.55894360906637741</v>
      </c>
      <c r="V22" s="4"/>
      <c r="W22" s="89">
        <v>462817.68829198123</v>
      </c>
      <c r="X22" s="91">
        <v>218601.08444204702</v>
      </c>
      <c r="Y22" s="91">
        <v>241728.24912776836</v>
      </c>
    </row>
    <row r="23" spans="1:26">
      <c r="A23" s="29"/>
      <c r="B23" s="29" t="s">
        <v>58</v>
      </c>
      <c r="C23" s="23">
        <v>0.87521020434302654</v>
      </c>
      <c r="D23" s="90">
        <v>0.87325812495110644</v>
      </c>
      <c r="E23" s="90">
        <v>0.87649253703150365</v>
      </c>
      <c r="F23" s="4"/>
      <c r="G23" s="89">
        <v>652990.95993130421</v>
      </c>
      <c r="H23" s="91">
        <v>323892.01208407833</v>
      </c>
      <c r="I23" s="91">
        <v>327132.24815954786</v>
      </c>
      <c r="J23" s="42"/>
      <c r="K23" s="23">
        <v>0.74021625878741526</v>
      </c>
      <c r="L23" s="90">
        <v>0.73669690593316672</v>
      </c>
      <c r="M23" s="90">
        <v>0.74364565863540733</v>
      </c>
      <c r="N23" s="4"/>
      <c r="O23" s="89">
        <v>552272.49749125284</v>
      </c>
      <c r="P23" s="91">
        <v>273241.36625945295</v>
      </c>
      <c r="Q23" s="91">
        <v>277549.9686139879</v>
      </c>
      <c r="R23" s="42"/>
      <c r="S23" s="23">
        <v>0.57773149938766344</v>
      </c>
      <c r="T23" s="90">
        <v>0.56162513602940523</v>
      </c>
      <c r="U23" s="90">
        <v>0.59411259025187979</v>
      </c>
      <c r="V23" s="4"/>
      <c r="W23" s="89">
        <v>431043.24480641313</v>
      </c>
      <c r="X23" s="91">
        <v>208307.13181826184</v>
      </c>
      <c r="Y23" s="91">
        <v>221739.92258647614</v>
      </c>
    </row>
    <row r="24" spans="1:26">
      <c r="A24" s="29"/>
      <c r="B24" s="29" t="s">
        <v>59</v>
      </c>
      <c r="C24" s="23">
        <v>0.78038466500754877</v>
      </c>
      <c r="D24" s="90">
        <v>0.81769266188685452</v>
      </c>
      <c r="E24" s="90">
        <v>0.75356774163465556</v>
      </c>
      <c r="F24" s="4"/>
      <c r="G24" s="89">
        <v>919023.60493446316</v>
      </c>
      <c r="H24" s="91">
        <v>442728.31108562223</v>
      </c>
      <c r="I24" s="91">
        <v>475181.00443921948</v>
      </c>
      <c r="J24" s="42"/>
      <c r="K24" s="23">
        <v>0.63676214848312773</v>
      </c>
      <c r="L24" s="90">
        <v>0.68302491232025986</v>
      </c>
      <c r="M24" s="90">
        <v>0.60097092762072568</v>
      </c>
      <c r="N24" s="4"/>
      <c r="O24" s="89">
        <v>749885.88503224531</v>
      </c>
      <c r="P24" s="91">
        <v>369814.33239619393</v>
      </c>
      <c r="Q24" s="91">
        <v>378957.26322642382</v>
      </c>
      <c r="R24" s="42"/>
      <c r="S24" s="23">
        <v>0.46130398457445232</v>
      </c>
      <c r="T24" s="90">
        <v>0.49061159508938446</v>
      </c>
      <c r="U24" s="90">
        <v>0.4391854676764092</v>
      </c>
      <c r="V24" s="4"/>
      <c r="W24" s="89">
        <v>543256.76795576734</v>
      </c>
      <c r="X24" s="91">
        <v>265634.81980103877</v>
      </c>
      <c r="Y24" s="91">
        <v>276939.39129199449</v>
      </c>
    </row>
    <row r="25" spans="1:26">
      <c r="A25" s="29" t="s">
        <v>60</v>
      </c>
      <c r="B25" s="29"/>
      <c r="C25" s="23"/>
      <c r="D25" s="90"/>
      <c r="E25" s="90"/>
      <c r="F25" s="4"/>
      <c r="G25" s="89"/>
      <c r="H25" s="91"/>
      <c r="I25" s="91"/>
      <c r="J25" s="42"/>
      <c r="K25" s="23"/>
      <c r="L25" s="90"/>
      <c r="M25" s="90"/>
      <c r="N25" s="4"/>
      <c r="O25" s="89"/>
      <c r="P25" s="91"/>
      <c r="Q25" s="91"/>
      <c r="R25" s="42"/>
      <c r="S25" s="23"/>
      <c r="T25" s="90"/>
      <c r="U25" s="90"/>
      <c r="V25" s="4"/>
      <c r="W25" s="89"/>
      <c r="X25" s="91"/>
      <c r="Y25" s="91"/>
    </row>
    <row r="26" spans="1:26">
      <c r="A26" s="29"/>
      <c r="B26" s="29" t="s">
        <v>61</v>
      </c>
      <c r="C26" s="23">
        <v>0.87658462045857388</v>
      </c>
      <c r="D26" s="90">
        <v>0.88840753433568631</v>
      </c>
      <c r="E26" s="90">
        <v>0.86825895875469117</v>
      </c>
      <c r="F26" s="4"/>
      <c r="G26" s="89">
        <v>3901487.0205308367</v>
      </c>
      <c r="H26" s="91">
        <v>1925550.5890714659</v>
      </c>
      <c r="I26" s="91">
        <v>1957141.5986252988</v>
      </c>
      <c r="J26" s="42"/>
      <c r="K26" s="23">
        <v>0.70173320150173768</v>
      </c>
      <c r="L26" s="90">
        <v>0.70537953782198826</v>
      </c>
      <c r="M26" s="90">
        <v>0.70125271021919933</v>
      </c>
      <c r="N26" s="4"/>
      <c r="O26" s="89">
        <v>3123261.4782841317</v>
      </c>
      <c r="P26" s="91">
        <v>1528852.3927115561</v>
      </c>
      <c r="Q26" s="91">
        <v>1580692.9908182898</v>
      </c>
      <c r="R26" s="42"/>
      <c r="S26" s="23">
        <v>0.50191156002929094</v>
      </c>
      <c r="T26" s="90">
        <v>0.4929136507642855</v>
      </c>
      <c r="U26" s="90">
        <v>0.51311204827113288</v>
      </c>
      <c r="V26" s="4"/>
      <c r="W26" s="89">
        <v>2233898.9199744971</v>
      </c>
      <c r="X26" s="91">
        <v>1068349.9789319732</v>
      </c>
      <c r="Y26" s="91">
        <v>1156605.3241392376</v>
      </c>
    </row>
    <row r="27" spans="1:26">
      <c r="A27" s="29"/>
      <c r="B27" s="29" t="s">
        <v>62</v>
      </c>
      <c r="C27" s="23">
        <v>0.84774107007481103</v>
      </c>
      <c r="D27" s="90">
        <v>0.84160393687526891</v>
      </c>
      <c r="E27" s="90">
        <v>0.85342258330036247</v>
      </c>
      <c r="F27" s="4"/>
      <c r="G27" s="89">
        <v>916261.94712945889</v>
      </c>
      <c r="H27" s="91">
        <v>447348.04911049746</v>
      </c>
      <c r="I27" s="91">
        <v>461592.14086248074</v>
      </c>
      <c r="J27" s="42"/>
      <c r="K27" s="23">
        <v>0.6743106135883149</v>
      </c>
      <c r="L27" s="90">
        <v>0.64751250364135582</v>
      </c>
      <c r="M27" s="90">
        <v>0.69862069308416164</v>
      </c>
      <c r="N27" s="4"/>
      <c r="O27" s="89">
        <v>728813.5228861405</v>
      </c>
      <c r="P27" s="91">
        <v>344180.25223846402</v>
      </c>
      <c r="Q27" s="91">
        <v>377864.17617923761</v>
      </c>
      <c r="R27" s="42"/>
      <c r="S27" s="23">
        <v>0.49778063085076873</v>
      </c>
      <c r="T27" s="90">
        <v>0.4569155604138439</v>
      </c>
      <c r="U27" s="90">
        <v>0.53396720120600072</v>
      </c>
      <c r="V27" s="4"/>
      <c r="W27" s="89">
        <v>538015.04512032936</v>
      </c>
      <c r="X27" s="91">
        <v>242869.92444244723</v>
      </c>
      <c r="Y27" s="91">
        <v>288807.75875634153</v>
      </c>
    </row>
    <row r="28" spans="1:26">
      <c r="A28" s="29"/>
      <c r="B28" s="29" t="s">
        <v>63</v>
      </c>
      <c r="C28" s="23">
        <v>0.83721306421609043</v>
      </c>
      <c r="D28" s="90">
        <v>0.83018758704339857</v>
      </c>
      <c r="E28" s="90">
        <v>0.84241682244822924</v>
      </c>
      <c r="F28" s="4"/>
      <c r="G28" s="89">
        <v>195395.119727816</v>
      </c>
      <c r="H28" s="91">
        <v>92828.235940940882</v>
      </c>
      <c r="I28" s="91">
        <v>101596.40309477483</v>
      </c>
      <c r="J28" s="42"/>
      <c r="K28" s="23">
        <v>0.68282112863272348</v>
      </c>
      <c r="L28" s="90">
        <v>0.67423019457745714</v>
      </c>
      <c r="M28" s="90">
        <v>0.69225988745205602</v>
      </c>
      <c r="N28" s="4"/>
      <c r="O28" s="89">
        <v>159361.96158954929</v>
      </c>
      <c r="P28" s="91">
        <v>75389.707769107918</v>
      </c>
      <c r="Q28" s="91">
        <v>83487.310198206236</v>
      </c>
      <c r="R28" s="42"/>
      <c r="S28" s="23">
        <v>0.48518268243431451</v>
      </c>
      <c r="T28" s="90">
        <v>0.43215824235363781</v>
      </c>
      <c r="U28" s="90">
        <v>0.53422780654815449</v>
      </c>
      <c r="V28" s="4"/>
      <c r="W28" s="89">
        <v>113235.60557775373</v>
      </c>
      <c r="X28" s="91">
        <v>48322.19598451873</v>
      </c>
      <c r="Y28" s="91">
        <v>64428.465971000005</v>
      </c>
    </row>
    <row r="29" spans="1:26">
      <c r="A29" s="29"/>
      <c r="B29" s="29" t="s">
        <v>64</v>
      </c>
      <c r="C29" s="23">
        <v>1</v>
      </c>
      <c r="D29" s="90">
        <v>1</v>
      </c>
      <c r="E29" s="90">
        <v>0</v>
      </c>
      <c r="F29" s="4"/>
      <c r="G29" s="89">
        <v>2508.7300899632346</v>
      </c>
      <c r="H29" s="91">
        <v>2508.7300899632346</v>
      </c>
      <c r="I29" s="91">
        <v>0</v>
      </c>
      <c r="J29" s="42"/>
      <c r="K29" s="23">
        <v>0.8112265685032789</v>
      </c>
      <c r="L29" s="90">
        <v>0.8112265685032789</v>
      </c>
      <c r="M29" s="90">
        <v>0</v>
      </c>
      <c r="N29" s="4"/>
      <c r="O29" s="89">
        <v>2035.1485021817969</v>
      </c>
      <c r="P29" s="91">
        <v>2035.1485021817969</v>
      </c>
      <c r="Q29" s="91">
        <v>0</v>
      </c>
      <c r="R29" s="42"/>
      <c r="S29" s="23">
        <v>0.62245313700655769</v>
      </c>
      <c r="T29" s="90">
        <v>0.62245313700655769</v>
      </c>
      <c r="U29" s="90">
        <v>0</v>
      </c>
      <c r="V29" s="4"/>
      <c r="W29" s="89">
        <v>1561.5669144003591</v>
      </c>
      <c r="X29" s="91">
        <v>1561.5669144003591</v>
      </c>
      <c r="Y29" s="91">
        <v>0</v>
      </c>
    </row>
    <row r="30" spans="1:26">
      <c r="A30" s="29" t="s">
        <v>65</v>
      </c>
      <c r="B30" s="29"/>
      <c r="C30" s="23"/>
      <c r="D30" s="90"/>
      <c r="E30" s="90"/>
      <c r="G30" s="89"/>
      <c r="H30" s="91"/>
      <c r="I30" s="91"/>
      <c r="J30" s="42"/>
      <c r="K30" s="23"/>
      <c r="L30" s="90"/>
      <c r="M30" s="90"/>
      <c r="O30" s="89"/>
      <c r="P30" s="91"/>
      <c r="Q30" s="91"/>
      <c r="R30" s="42"/>
      <c r="S30" s="23"/>
      <c r="T30" s="90"/>
      <c r="U30" s="90"/>
      <c r="W30" s="89"/>
      <c r="X30" s="91"/>
      <c r="Y30" s="91"/>
    </row>
    <row r="31" spans="1:26">
      <c r="A31" s="29"/>
      <c r="B31" s="29" t="s">
        <v>66</v>
      </c>
      <c r="C31" s="23">
        <v>0.91182495212555092</v>
      </c>
      <c r="D31" s="90">
        <v>0.91345778029956326</v>
      </c>
      <c r="E31" s="90">
        <v>0.91025618497011973</v>
      </c>
      <c r="G31" s="89">
        <v>2380731.8497245703</v>
      </c>
      <c r="H31" s="91">
        <v>1409027.2107838744</v>
      </c>
      <c r="I31" s="91">
        <v>964631.57445461489</v>
      </c>
      <c r="J31" s="42"/>
      <c r="K31" s="23">
        <v>0.7286113540939283</v>
      </c>
      <c r="L31" s="90">
        <v>0.7145938188558183</v>
      </c>
      <c r="M31" s="90">
        <v>0.75053381921721707</v>
      </c>
      <c r="O31" s="89">
        <v>1902369.8054311606</v>
      </c>
      <c r="P31" s="91">
        <v>1102275.5042883423</v>
      </c>
      <c r="Q31" s="91">
        <v>795367.97625462466</v>
      </c>
      <c r="R31" s="42"/>
      <c r="S31" s="23">
        <v>0.52012828068225248</v>
      </c>
      <c r="T31" s="90">
        <v>0.49620234911237271</v>
      </c>
      <c r="U31" s="90">
        <v>0.55704217706012671</v>
      </c>
      <c r="W31" s="89">
        <v>1358030.3553616917</v>
      </c>
      <c r="X31" s="91">
        <v>765402.21894538612</v>
      </c>
      <c r="Y31" s="91">
        <v>590317.84806029662</v>
      </c>
    </row>
    <row r="32" spans="1:26">
      <c r="A32" s="29"/>
      <c r="B32" s="29" t="s">
        <v>67</v>
      </c>
      <c r="C32" s="23">
        <v>0.88617522289063411</v>
      </c>
      <c r="D32" s="90">
        <v>0.85854428798552884</v>
      </c>
      <c r="E32" s="90">
        <v>0.90317731593814832</v>
      </c>
      <c r="F32" s="4"/>
      <c r="G32" s="89">
        <v>772508.70697040739</v>
      </c>
      <c r="H32" s="91">
        <v>259305.40373617687</v>
      </c>
      <c r="I32" s="91">
        <v>507728.17677374301</v>
      </c>
      <c r="J32" s="42"/>
      <c r="K32" s="23">
        <v>0.70713114519177478</v>
      </c>
      <c r="L32" s="90">
        <v>0.66570814451048443</v>
      </c>
      <c r="M32" s="90">
        <v>0.73116797961361113</v>
      </c>
      <c r="N32" s="4"/>
      <c r="O32" s="89">
        <v>616429.97064251907</v>
      </c>
      <c r="P32" s="91">
        <v>201063.26673931818</v>
      </c>
      <c r="Q32" s="91">
        <v>411031.785955509</v>
      </c>
      <c r="R32" s="42"/>
      <c r="S32" s="23">
        <v>0.51085120347674529</v>
      </c>
      <c r="T32" s="90">
        <v>0.46717878458862805</v>
      </c>
      <c r="U32" s="90">
        <v>0.53511131137050116</v>
      </c>
      <c r="V32" s="4"/>
      <c r="W32" s="89">
        <v>445326.15272724739</v>
      </c>
      <c r="X32" s="91">
        <v>141101.6124036836</v>
      </c>
      <c r="Y32" s="91">
        <v>300816.99982792448</v>
      </c>
    </row>
    <row r="33" spans="1:25">
      <c r="A33" s="29"/>
      <c r="B33" s="29" t="s">
        <v>68</v>
      </c>
      <c r="C33" s="23">
        <v>0.91392069426454792</v>
      </c>
      <c r="D33" s="90">
        <v>0.92111810542025607</v>
      </c>
      <c r="E33" s="90">
        <v>0.91037388650952378</v>
      </c>
      <c r="F33" s="4"/>
      <c r="G33" s="89">
        <v>305409.62780109228</v>
      </c>
      <c r="H33" s="91">
        <v>117269.39659563749</v>
      </c>
      <c r="I33" s="91">
        <v>184675.55063180521</v>
      </c>
      <c r="J33" s="42"/>
      <c r="K33" s="23">
        <v>0.76096054914411793</v>
      </c>
      <c r="L33" s="90">
        <v>0.7810478375372244</v>
      </c>
      <c r="M33" s="90">
        <v>0.74630319097528808</v>
      </c>
      <c r="N33" s="4"/>
      <c r="O33" s="89">
        <v>254294.14121368705</v>
      </c>
      <c r="P33" s="91">
        <v>99436.769379892838</v>
      </c>
      <c r="Q33" s="91">
        <v>151392.69126014499</v>
      </c>
      <c r="R33" s="42"/>
      <c r="S33" s="23">
        <v>0.5358195183263974</v>
      </c>
      <c r="T33" s="90">
        <v>0.51754667923297448</v>
      </c>
      <c r="U33" s="90">
        <v>0.54542333443868973</v>
      </c>
      <c r="V33" s="4"/>
      <c r="W33" s="89">
        <v>179057.59294827422</v>
      </c>
      <c r="X33" s="91">
        <v>65889.907522810259</v>
      </c>
      <c r="Y33" s="91">
        <v>110642.84258097129</v>
      </c>
    </row>
    <row r="34" spans="1:25">
      <c r="A34" s="29"/>
      <c r="B34" s="30" t="s">
        <v>69</v>
      </c>
      <c r="C34" s="23">
        <v>0.90615029367415456</v>
      </c>
      <c r="D34" s="90">
        <v>0.90554128915111287</v>
      </c>
      <c r="E34" s="90">
        <v>0.90808845635826263</v>
      </c>
      <c r="F34" s="4"/>
      <c r="G34" s="89">
        <v>3458650.1844961382</v>
      </c>
      <c r="H34" s="91">
        <v>1785602.0111156774</v>
      </c>
      <c r="I34" s="91">
        <v>1657035.3018601378</v>
      </c>
      <c r="J34" s="42"/>
      <c r="K34" s="23">
        <v>0.72653773394028898</v>
      </c>
      <c r="L34" s="90">
        <v>0.71139658408909734</v>
      </c>
      <c r="M34" s="90">
        <v>0.74409739595925861</v>
      </c>
      <c r="N34" s="4"/>
      <c r="O34" s="89">
        <v>2773093.9172873977</v>
      </c>
      <c r="P34" s="91">
        <v>1402775.540407565</v>
      </c>
      <c r="Q34" s="91">
        <v>1357792.4534702445</v>
      </c>
      <c r="R34" s="42"/>
      <c r="S34" s="23">
        <v>0.51938329232921154</v>
      </c>
      <c r="T34" s="90">
        <v>0.49313490597512066</v>
      </c>
      <c r="U34" s="90">
        <v>0.54899419193489696</v>
      </c>
      <c r="V34" s="4"/>
      <c r="W34" s="89">
        <v>1982414.101037195</v>
      </c>
      <c r="X34" s="91">
        <v>972393.73887188325</v>
      </c>
      <c r="Y34" s="91">
        <v>1001777.6904691815</v>
      </c>
    </row>
    <row r="35" spans="1:25">
      <c r="A35" s="29"/>
      <c r="B35" s="29" t="s">
        <v>70</v>
      </c>
      <c r="C35" s="23">
        <v>0.90542576585859824</v>
      </c>
      <c r="D35" s="90">
        <v>0.9072491650146135</v>
      </c>
      <c r="E35" s="90">
        <v>0.91543537727172397</v>
      </c>
      <c r="F35" s="4"/>
      <c r="G35" s="89">
        <v>270095.48521747463</v>
      </c>
      <c r="H35" s="91">
        <v>132096.76756065729</v>
      </c>
      <c r="I35" s="91">
        <v>135494.25331015405</v>
      </c>
      <c r="J35" s="42"/>
      <c r="K35" s="23">
        <v>0.71709576554550125</v>
      </c>
      <c r="L35" s="90">
        <v>0.68136427341698325</v>
      </c>
      <c r="M35" s="90">
        <v>0.76153801283961953</v>
      </c>
      <c r="N35" s="4"/>
      <c r="O35" s="89">
        <v>213915.19442650431</v>
      </c>
      <c r="P35" s="91">
        <v>99207.606378176832</v>
      </c>
      <c r="Q35" s="91">
        <v>112715.79292087504</v>
      </c>
      <c r="R35" s="42"/>
      <c r="S35" s="23">
        <v>0.50330625325588318</v>
      </c>
      <c r="T35" s="90">
        <v>0.46493644749109736</v>
      </c>
      <c r="U35" s="90">
        <v>0.54356150731817221</v>
      </c>
      <c r="V35" s="4"/>
      <c r="W35" s="89">
        <v>150140.13496426944</v>
      </c>
      <c r="X35" s="91">
        <v>67695.407395299131</v>
      </c>
      <c r="Y35" s="91">
        <v>80452.932441518045</v>
      </c>
    </row>
    <row r="36" spans="1:25">
      <c r="A36" s="29"/>
      <c r="B36" s="29" t="s">
        <v>71</v>
      </c>
      <c r="C36" s="23">
        <v>0.80619077361021207</v>
      </c>
      <c r="D36" s="90">
        <v>0.70855379001366214</v>
      </c>
      <c r="E36" s="90">
        <v>0.82285260285209849</v>
      </c>
      <c r="F36" s="4"/>
      <c r="G36" s="89">
        <v>153533.14318429341</v>
      </c>
      <c r="H36" s="91">
        <v>20282.989700607122</v>
      </c>
      <c r="I36" s="91">
        <v>132692.52354300936</v>
      </c>
      <c r="J36" s="42"/>
      <c r="K36" s="23">
        <v>0.64374443274898985</v>
      </c>
      <c r="L36" s="90">
        <v>0.58569696107464808</v>
      </c>
      <c r="M36" s="90">
        <v>0.65281679977000817</v>
      </c>
      <c r="N36" s="4"/>
      <c r="O36" s="89">
        <v>122596.42432366633</v>
      </c>
      <c r="P36" s="91">
        <v>16766.102442165917</v>
      </c>
      <c r="Q36" s="91">
        <v>105272.69194082363</v>
      </c>
      <c r="R36" s="42"/>
      <c r="S36" s="23">
        <v>0.48560916567795509</v>
      </c>
      <c r="T36" s="90">
        <v>0.39884459734803351</v>
      </c>
      <c r="U36" s="90">
        <v>0.49923241679023067</v>
      </c>
      <c r="V36" s="4"/>
      <c r="W36" s="89">
        <v>92480.71797170752</v>
      </c>
      <c r="X36" s="91">
        <v>11417.285425848861</v>
      </c>
      <c r="Y36" s="91">
        <v>80505.802605181874</v>
      </c>
    </row>
    <row r="37" spans="1:25">
      <c r="A37" s="29"/>
      <c r="B37" s="29" t="s">
        <v>72</v>
      </c>
      <c r="C37" s="23">
        <v>0.78256518317780144</v>
      </c>
      <c r="D37" s="90">
        <v>0.76670539947164973</v>
      </c>
      <c r="E37" s="90">
        <v>0.79481202474260526</v>
      </c>
      <c r="F37" s="4"/>
      <c r="G37" s="89">
        <v>191914.33658094853</v>
      </c>
      <c r="H37" s="91">
        <v>86225.733432919995</v>
      </c>
      <c r="I37" s="91">
        <v>103194.86754705502</v>
      </c>
      <c r="J37" s="42"/>
      <c r="K37" s="23">
        <v>0.57010445748309124</v>
      </c>
      <c r="L37" s="90">
        <v>0.59182096134657936</v>
      </c>
      <c r="M37" s="90">
        <v>0.5531422498116072</v>
      </c>
      <c r="N37" s="4"/>
      <c r="O37" s="89">
        <v>139810.99733496632</v>
      </c>
      <c r="P37" s="91">
        <v>66557.763240288143</v>
      </c>
      <c r="Q37" s="91">
        <v>71817.536004785885</v>
      </c>
      <c r="R37" s="42"/>
      <c r="S37" s="23">
        <v>0.43270666770535421</v>
      </c>
      <c r="T37" s="90">
        <v>0.41978650081754915</v>
      </c>
      <c r="U37" s="90">
        <v>0.44263602777797639</v>
      </c>
      <c r="V37" s="4"/>
      <c r="W37" s="89">
        <v>106115.90555257098</v>
      </c>
      <c r="X37" s="91">
        <v>47210.309126785629</v>
      </c>
      <c r="Y37" s="91">
        <v>57469.898335893049</v>
      </c>
    </row>
    <row r="38" spans="1:25">
      <c r="A38" s="29"/>
      <c r="B38" s="29" t="s">
        <v>73</v>
      </c>
      <c r="C38" s="23">
        <v>0.777735851785751</v>
      </c>
      <c r="D38" s="90">
        <v>0.81047546239171897</v>
      </c>
      <c r="E38" s="90">
        <v>0.75436734902321811</v>
      </c>
      <c r="F38" s="4"/>
      <c r="G38" s="89">
        <v>891240.81441293657</v>
      </c>
      <c r="H38" s="91">
        <v>418531.26912209007</v>
      </c>
      <c r="I38" s="91">
        <v>468914.06418781244</v>
      </c>
      <c r="J38" s="42"/>
      <c r="K38" s="23">
        <v>0.63848153107542482</v>
      </c>
      <c r="L38" s="90">
        <v>0.67248053156744891</v>
      </c>
      <c r="M38" s="90">
        <v>0.61228765420336562</v>
      </c>
      <c r="N38" s="4"/>
      <c r="O38" s="89">
        <v>731663.32558375935</v>
      </c>
      <c r="P38" s="91">
        <v>347270.39052638185</v>
      </c>
      <c r="Q38" s="91">
        <v>380597.45395434042</v>
      </c>
      <c r="R38" s="42"/>
      <c r="S38" s="23">
        <v>0.46631251831825571</v>
      </c>
      <c r="T38" s="90">
        <v>0.48817377725453959</v>
      </c>
      <c r="U38" s="90">
        <v>0.44948419829952901</v>
      </c>
      <c r="V38" s="4"/>
      <c r="W38" s="89">
        <v>534367.48176474357</v>
      </c>
      <c r="X38" s="91">
        <v>252093.98683524484</v>
      </c>
      <c r="Y38" s="91">
        <v>279398.97251086571</v>
      </c>
    </row>
    <row r="39" spans="1:25">
      <c r="A39" s="29" t="s">
        <v>74</v>
      </c>
      <c r="B39" s="29"/>
      <c r="C39" s="23"/>
      <c r="D39" s="90"/>
      <c r="E39" s="90"/>
      <c r="G39" s="89"/>
      <c r="H39" s="91"/>
      <c r="I39" s="91"/>
      <c r="J39" s="42"/>
      <c r="K39" s="23"/>
      <c r="L39" s="90"/>
      <c r="M39" s="90"/>
      <c r="O39" s="89"/>
      <c r="P39" s="91"/>
      <c r="Q39" s="91"/>
      <c r="R39" s="42"/>
      <c r="S39" s="23"/>
      <c r="T39" s="90"/>
      <c r="U39" s="90"/>
      <c r="W39" s="89"/>
      <c r="X39" s="91"/>
      <c r="Y39" s="91"/>
    </row>
    <row r="40" spans="1:25">
      <c r="A40" s="29"/>
      <c r="B40" s="29" t="s">
        <v>75</v>
      </c>
      <c r="C40" s="23">
        <v>0.93005806083811149</v>
      </c>
      <c r="D40" s="90">
        <v>0.92570662357437039</v>
      </c>
      <c r="E40" s="90">
        <v>0.93509454733002617</v>
      </c>
      <c r="F40" s="4"/>
      <c r="G40" s="89">
        <v>2292689.4727773988</v>
      </c>
      <c r="H40" s="91">
        <v>1189383.0329081162</v>
      </c>
      <c r="I40" s="91">
        <v>1093277.5962889539</v>
      </c>
      <c r="J40" s="42"/>
      <c r="K40" s="23">
        <v>0.77031153335785252</v>
      </c>
      <c r="L40" s="90">
        <v>0.76364590088528528</v>
      </c>
      <c r="M40" s="90">
        <v>0.77879662376003145</v>
      </c>
      <c r="N40" s="4"/>
      <c r="O40" s="89">
        <v>1898897.733005052</v>
      </c>
      <c r="P40" s="91">
        <v>981161.26052523812</v>
      </c>
      <c r="Q40" s="91">
        <v>910539.90556723671</v>
      </c>
      <c r="R40" s="42"/>
      <c r="S40" s="23">
        <v>0.56435612132093604</v>
      </c>
      <c r="T40" s="90">
        <v>0.54642987011065136</v>
      </c>
      <c r="U40" s="90">
        <v>0.58476873443060351</v>
      </c>
      <c r="V40" s="4"/>
      <c r="W40" s="89">
        <v>1391196.3056199062</v>
      </c>
      <c r="X40" s="91">
        <v>702073.85324123804</v>
      </c>
      <c r="Y40" s="91">
        <v>683689.74900843727</v>
      </c>
    </row>
    <row r="41" spans="1:25">
      <c r="A41" s="29"/>
      <c r="B41" s="29" t="s">
        <v>76</v>
      </c>
      <c r="C41" s="23">
        <v>0.86843374386416183</v>
      </c>
      <c r="D41" s="90">
        <v>0.87201223724608123</v>
      </c>
      <c r="E41" s="90">
        <v>0.87033897432192564</v>
      </c>
      <c r="F41" s="4"/>
      <c r="G41" s="89">
        <v>690329.2617083455</v>
      </c>
      <c r="H41" s="91">
        <v>338015.12010468519</v>
      </c>
      <c r="I41" s="91">
        <v>348864.78928559017</v>
      </c>
      <c r="J41" s="42"/>
      <c r="K41" s="23">
        <v>0.69152227285362411</v>
      </c>
      <c r="L41" s="90">
        <v>0.67818051090926645</v>
      </c>
      <c r="M41" s="90">
        <v>0.70978853960716815</v>
      </c>
      <c r="N41" s="4"/>
      <c r="O41" s="89">
        <v>549700.03577911365</v>
      </c>
      <c r="P41" s="91">
        <v>262880.79118201922</v>
      </c>
      <c r="Q41" s="91">
        <v>284510.10079182143</v>
      </c>
      <c r="R41" s="42"/>
      <c r="S41" s="23">
        <v>0.49263567769433225</v>
      </c>
      <c r="T41" s="90">
        <v>0.46354263656692496</v>
      </c>
      <c r="U41" s="90">
        <v>0.52547207996693979</v>
      </c>
      <c r="V41" s="4"/>
      <c r="W41" s="89">
        <v>391602.49826394743</v>
      </c>
      <c r="X41" s="91">
        <v>179681.44629212967</v>
      </c>
      <c r="Y41" s="91">
        <v>210629.09034488478</v>
      </c>
    </row>
    <row r="42" spans="1:25">
      <c r="A42" s="29"/>
      <c r="B42" s="29" t="s">
        <v>77</v>
      </c>
      <c r="C42" s="23">
        <v>0.83550993888120795</v>
      </c>
      <c r="D42" s="90">
        <v>0.8439397182918339</v>
      </c>
      <c r="E42" s="90">
        <v>0.82817542715743864</v>
      </c>
      <c r="F42" s="4"/>
      <c r="G42" s="89">
        <v>780273.78567689401</v>
      </c>
      <c r="H42" s="91">
        <v>355564.33901720447</v>
      </c>
      <c r="I42" s="91">
        <v>420854.28973129898</v>
      </c>
      <c r="J42" s="42"/>
      <c r="K42" s="23">
        <v>0.64887467298820611</v>
      </c>
      <c r="L42" s="90">
        <v>0.63100340060879612</v>
      </c>
      <c r="M42" s="90">
        <v>0.66172843912778101</v>
      </c>
      <c r="N42" s="4"/>
      <c r="O42" s="89">
        <v>605977.10926135303</v>
      </c>
      <c r="P42" s="91">
        <v>265851.10546662356</v>
      </c>
      <c r="Q42" s="91">
        <v>336270.84686633834</v>
      </c>
      <c r="R42" s="42"/>
      <c r="S42" s="23">
        <v>0.45947396381766464</v>
      </c>
      <c r="T42" s="90">
        <v>0.4142243193471945</v>
      </c>
      <c r="U42" s="90">
        <v>0.49618206391155711</v>
      </c>
      <c r="V42" s="4"/>
      <c r="W42" s="89">
        <v>429097.81497997337</v>
      </c>
      <c r="X42" s="91">
        <v>174518.85854080177</v>
      </c>
      <c r="Y42" s="91">
        <v>252145.06883118494</v>
      </c>
    </row>
    <row r="43" spans="1:25">
      <c r="A43" s="29"/>
      <c r="B43" s="29" t="s">
        <v>78</v>
      </c>
      <c r="C43" s="23">
        <v>0.84233493184490937</v>
      </c>
      <c r="D43" s="90">
        <v>0.84041631417630636</v>
      </c>
      <c r="E43" s="90">
        <v>0.84737292125781782</v>
      </c>
      <c r="F43" s="4"/>
      <c r="G43" s="89">
        <v>772700.44683926832</v>
      </c>
      <c r="H43" s="91">
        <v>374369.40043476265</v>
      </c>
      <c r="I43" s="91">
        <v>393452.4394554905</v>
      </c>
      <c r="J43" s="42"/>
      <c r="K43" s="23">
        <v>0.66310925095946771</v>
      </c>
      <c r="L43" s="90">
        <v>0.6445009609656942</v>
      </c>
      <c r="M43" s="90">
        <v>0.68353737968710659</v>
      </c>
      <c r="N43" s="4"/>
      <c r="O43" s="89">
        <v>608291.06706686295</v>
      </c>
      <c r="P43" s="91">
        <v>287097.51853500807</v>
      </c>
      <c r="Q43" s="91">
        <v>317380.27349009382</v>
      </c>
      <c r="R43" s="42"/>
      <c r="S43" s="23">
        <v>0.46953711604810344</v>
      </c>
      <c r="T43" s="90">
        <v>0.44539326727990286</v>
      </c>
      <c r="U43" s="90">
        <v>0.49318025172548913</v>
      </c>
      <c r="V43" s="4"/>
      <c r="W43" s="89">
        <v>430721.23173539684</v>
      </c>
      <c r="X43" s="91">
        <v>198403.5859568968</v>
      </c>
      <c r="Y43" s="91">
        <v>228993.59687424795</v>
      </c>
    </row>
    <row r="44" spans="1:25">
      <c r="A44" s="29"/>
      <c r="B44" s="29" t="s">
        <v>79</v>
      </c>
      <c r="C44" s="23">
        <v>0.68150517475972394</v>
      </c>
      <c r="D44" s="90">
        <v>0.77798972492345897</v>
      </c>
      <c r="E44" s="90">
        <v>0.61913844096332549</v>
      </c>
      <c r="F44" s="4"/>
      <c r="G44" s="89">
        <v>249417.17516918079</v>
      </c>
      <c r="H44" s="91">
        <v>106412.43422920741</v>
      </c>
      <c r="I44" s="91">
        <v>139305.90442678035</v>
      </c>
      <c r="J44" s="42"/>
      <c r="K44" s="23">
        <v>0.49042290157881219</v>
      </c>
      <c r="L44" s="90">
        <v>0.54244115943153126</v>
      </c>
      <c r="M44" s="90">
        <v>0.4563154223855645</v>
      </c>
      <c r="N44" s="4"/>
      <c r="O44" s="89">
        <v>179484.90969740096</v>
      </c>
      <c r="P44" s="91">
        <v>74194.404311575898</v>
      </c>
      <c r="Q44" s="91">
        <v>102670.78962243722</v>
      </c>
      <c r="R44" s="42"/>
      <c r="S44" s="23">
        <v>0.34731570740140927</v>
      </c>
      <c r="T44" s="90">
        <v>0.38344350423728307</v>
      </c>
      <c r="U44" s="90">
        <v>0.32019581668610791</v>
      </c>
      <c r="V44" s="4"/>
      <c r="W44" s="89">
        <v>127110.55739596819</v>
      </c>
      <c r="X44" s="91">
        <v>52446.909474647669</v>
      </c>
      <c r="Y44" s="91">
        <v>72043.932157932359</v>
      </c>
    </row>
    <row r="45" spans="1:25">
      <c r="A45" s="29"/>
      <c r="B45" s="29" t="s">
        <v>80</v>
      </c>
      <c r="C45" s="23">
        <v>0.87876512692559117</v>
      </c>
      <c r="D45" s="90">
        <v>0.8846641146979447</v>
      </c>
      <c r="E45" s="90">
        <v>0.90426776059712788</v>
      </c>
      <c r="F45" s="4"/>
      <c r="G45" s="89">
        <v>175042.07315904219</v>
      </c>
      <c r="H45" s="91">
        <v>77963.820568750423</v>
      </c>
      <c r="I45" s="91">
        <v>96565.583371081535</v>
      </c>
      <c r="J45" s="42"/>
      <c r="K45" s="23">
        <v>0.68491443432350152</v>
      </c>
      <c r="L45" s="90">
        <v>0.71764620257354739</v>
      </c>
      <c r="M45" s="90">
        <v>0.68051446111773362</v>
      </c>
      <c r="N45" s="4"/>
      <c r="O45" s="89">
        <v>136428.76673995491</v>
      </c>
      <c r="P45" s="91">
        <v>63244.83930083747</v>
      </c>
      <c r="Q45" s="91">
        <v>72671.258219907235</v>
      </c>
      <c r="R45" s="42"/>
      <c r="S45" s="23">
        <v>0.47014073747020679</v>
      </c>
      <c r="T45" s="90">
        <v>0.52399568243056882</v>
      </c>
      <c r="U45" s="90">
        <v>0.44451341094994279</v>
      </c>
      <c r="V45" s="4"/>
      <c r="W45" s="89">
        <v>93647.786924838016</v>
      </c>
      <c r="X45" s="91">
        <v>46178.775294582098</v>
      </c>
      <c r="Y45" s="91">
        <v>47469.011630255911</v>
      </c>
    </row>
    <row r="46" spans="1:25">
      <c r="A46" s="29" t="s">
        <v>81</v>
      </c>
      <c r="B46" s="29"/>
      <c r="C46" s="23"/>
      <c r="D46" s="90"/>
      <c r="E46" s="90"/>
      <c r="F46" s="4"/>
      <c r="G46" s="89"/>
      <c r="H46" s="91"/>
      <c r="I46" s="91"/>
      <c r="J46" s="42"/>
      <c r="K46" s="23"/>
      <c r="L46" s="90"/>
      <c r="M46" s="90"/>
      <c r="N46" s="4"/>
      <c r="O46" s="89"/>
      <c r="P46" s="91"/>
      <c r="Q46" s="91"/>
      <c r="R46" s="42"/>
      <c r="S46" s="23"/>
      <c r="T46" s="90"/>
      <c r="U46" s="90"/>
      <c r="V46" s="4"/>
      <c r="W46" s="89"/>
      <c r="X46" s="91"/>
      <c r="Y46" s="91"/>
    </row>
    <row r="47" spans="1:25">
      <c r="A47" s="29"/>
      <c r="B47" s="29" t="s">
        <v>82</v>
      </c>
      <c r="C47" s="23">
        <v>0.91363685889663804</v>
      </c>
      <c r="D47" s="90">
        <v>0.92719435213205004</v>
      </c>
      <c r="E47" s="90">
        <v>0.90425039216042991</v>
      </c>
      <c r="G47" s="89">
        <v>985151.10437420604</v>
      </c>
      <c r="H47" s="91">
        <v>498600.73342269898</v>
      </c>
      <c r="I47" s="91">
        <v>484958.18004621973</v>
      </c>
      <c r="J47" s="42"/>
      <c r="K47" s="23">
        <v>0.67225558262406304</v>
      </c>
      <c r="L47" s="90">
        <v>0.64961652723153274</v>
      </c>
      <c r="M47" s="90">
        <v>0.69833454202184297</v>
      </c>
      <c r="O47" s="89">
        <v>724875.88826442673</v>
      </c>
      <c r="P47" s="91">
        <v>349332.66814703331</v>
      </c>
      <c r="Q47" s="91">
        <v>374523.52965332032</v>
      </c>
      <c r="R47" s="42"/>
      <c r="S47" s="23">
        <v>0.42528295329563087</v>
      </c>
      <c r="T47" s="90">
        <v>0.40289779717076207</v>
      </c>
      <c r="U47" s="90">
        <v>0.45106876036604143</v>
      </c>
      <c r="W47" s="89">
        <v>458571.66009773861</v>
      </c>
      <c r="X47" s="91">
        <v>216659.14670619339</v>
      </c>
      <c r="Y47" s="91">
        <v>241912.51339154504</v>
      </c>
    </row>
    <row r="48" spans="1:25">
      <c r="A48" s="29"/>
      <c r="B48" s="29" t="s">
        <v>83</v>
      </c>
      <c r="C48" s="23">
        <v>0.87524936908579687</v>
      </c>
      <c r="D48" s="90">
        <v>0.87545170733434741</v>
      </c>
      <c r="E48" s="90">
        <v>0.87654180807429538</v>
      </c>
      <c r="F48" s="4"/>
      <c r="G48" s="89">
        <v>1200411.7462637513</v>
      </c>
      <c r="H48" s="91">
        <v>584544.29863964731</v>
      </c>
      <c r="I48" s="91">
        <v>608496.3082069048</v>
      </c>
      <c r="J48" s="42"/>
      <c r="K48" s="23">
        <v>0.71338700105789377</v>
      </c>
      <c r="L48" s="90">
        <v>0.70769163742398189</v>
      </c>
      <c r="M48" s="90">
        <v>0.72049437360197222</v>
      </c>
      <c r="N48" s="4"/>
      <c r="O48" s="89">
        <v>978416.17023527599</v>
      </c>
      <c r="P48" s="91">
        <v>472529.90471712669</v>
      </c>
      <c r="Q48" s="91">
        <v>500168.0038329516</v>
      </c>
      <c r="R48" s="42"/>
      <c r="S48" s="23">
        <v>0.51399146221277292</v>
      </c>
      <c r="T48" s="90">
        <v>0.49955513212823049</v>
      </c>
      <c r="U48" s="90">
        <v>0.52803422595272032</v>
      </c>
      <c r="V48" s="4"/>
      <c r="W48" s="89">
        <v>704943.54010669584</v>
      </c>
      <c r="X48" s="91">
        <v>333555.9253529553</v>
      </c>
      <c r="Y48" s="91">
        <v>366561.95305163017</v>
      </c>
    </row>
    <row r="49" spans="1:25">
      <c r="A49" s="29"/>
      <c r="B49" s="29" t="s">
        <v>84</v>
      </c>
      <c r="C49" s="23">
        <v>0.91544626284879693</v>
      </c>
      <c r="D49" s="90">
        <v>0.91660830219811407</v>
      </c>
      <c r="E49" s="90">
        <v>0.9130966289758935</v>
      </c>
      <c r="F49" s="4"/>
      <c r="G49" s="89">
        <v>180984.76765095658</v>
      </c>
      <c r="H49" s="91">
        <v>85967.652291561448</v>
      </c>
      <c r="I49" s="91">
        <v>93461.716040221552</v>
      </c>
      <c r="J49" s="42"/>
      <c r="K49" s="23">
        <v>0.7327582101604484</v>
      </c>
      <c r="L49" s="90">
        <v>0.73919883156029687</v>
      </c>
      <c r="M49" s="90">
        <v>0.72819512059627567</v>
      </c>
      <c r="N49" s="4"/>
      <c r="O49" s="89">
        <v>144867.13179375764</v>
      </c>
      <c r="P49" s="91">
        <v>69328.619404288504</v>
      </c>
      <c r="Q49" s="91">
        <v>74535.775758340693</v>
      </c>
      <c r="R49" s="42"/>
      <c r="S49" s="23">
        <v>0.51987020873232004</v>
      </c>
      <c r="T49" s="90">
        <v>0.52275200553849288</v>
      </c>
      <c r="U49" s="90">
        <v>0.51533303112426254</v>
      </c>
      <c r="V49" s="4"/>
      <c r="W49" s="89">
        <v>102778.93171279864</v>
      </c>
      <c r="X49" s="91">
        <v>49028.31726385167</v>
      </c>
      <c r="Y49" s="91">
        <v>52747.877817818611</v>
      </c>
    </row>
    <row r="50" spans="1:25">
      <c r="A50" s="29"/>
      <c r="B50" s="29" t="s">
        <v>85</v>
      </c>
      <c r="C50" s="23">
        <v>0.86460996210557384</v>
      </c>
      <c r="D50" s="90">
        <v>0.87088566483050622</v>
      </c>
      <c r="E50" s="90">
        <v>0.85814052366876359</v>
      </c>
      <c r="F50" s="4"/>
      <c r="G50" s="89">
        <v>581427.50528240879</v>
      </c>
      <c r="H50" s="91">
        <v>308951.4682847482</v>
      </c>
      <c r="I50" s="91">
        <v>267309.88899508654</v>
      </c>
      <c r="J50" s="42"/>
      <c r="K50" s="23">
        <v>0.67251581961484641</v>
      </c>
      <c r="L50" s="90">
        <v>0.67141423549347434</v>
      </c>
      <c r="M50" s="90">
        <v>0.67388748191673375</v>
      </c>
      <c r="N50" s="4"/>
      <c r="O50" s="89">
        <v>452249.23653362779</v>
      </c>
      <c r="P50" s="91">
        <v>238187.88419644261</v>
      </c>
      <c r="Q50" s="91">
        <v>209915.25632213597</v>
      </c>
      <c r="R50" s="42"/>
      <c r="S50" s="23">
        <v>0.4982990030250582</v>
      </c>
      <c r="T50" s="90">
        <v>0.47651914985953958</v>
      </c>
      <c r="U50" s="90">
        <v>0.5241132823762128</v>
      </c>
      <c r="V50" s="4"/>
      <c r="W50" s="89">
        <v>335093.00021018495</v>
      </c>
      <c r="X50" s="91">
        <v>169047.78314792589</v>
      </c>
      <c r="Y50" s="91">
        <v>163260.74747509978</v>
      </c>
    </row>
    <row r="51" spans="1:25">
      <c r="A51" s="29"/>
      <c r="B51" s="29" t="s">
        <v>86</v>
      </c>
      <c r="C51" s="23">
        <v>0.85176427800816512</v>
      </c>
      <c r="D51" s="90">
        <v>0.86518445782010134</v>
      </c>
      <c r="E51" s="90">
        <v>0.84193644946180957</v>
      </c>
      <c r="F51" s="4"/>
      <c r="G51" s="89">
        <v>2026041.6613284871</v>
      </c>
      <c r="H51" s="91">
        <v>970002.62740487501</v>
      </c>
      <c r="I51" s="91">
        <v>1045795.4165161017</v>
      </c>
      <c r="J51" s="42"/>
      <c r="K51" s="23">
        <v>0.70816765705373141</v>
      </c>
      <c r="L51" s="90">
        <v>0.72103145436684069</v>
      </c>
      <c r="M51" s="90">
        <v>0.69893327512435988</v>
      </c>
      <c r="N51" s="4"/>
      <c r="O51" s="89">
        <v>1684476.8129410686</v>
      </c>
      <c r="P51" s="91">
        <v>808385.30888498831</v>
      </c>
      <c r="Q51" s="91">
        <v>868166.73163738439</v>
      </c>
      <c r="R51" s="42"/>
      <c r="S51" s="23">
        <v>0.53162702016552177</v>
      </c>
      <c r="T51" s="90">
        <v>0.51955743134535237</v>
      </c>
      <c r="U51" s="90">
        <v>0.54426867828973557</v>
      </c>
      <c r="V51" s="4"/>
      <c r="W51" s="89">
        <v>1264549.9687566631</v>
      </c>
      <c r="X51" s="91">
        <v>582502.45821858163</v>
      </c>
      <c r="Y51" s="91">
        <v>676053.03164214757</v>
      </c>
    </row>
    <row r="52" spans="1:25">
      <c r="A52" s="29" t="s">
        <v>87</v>
      </c>
      <c r="B52" s="29"/>
      <c r="C52" s="23"/>
      <c r="D52" s="90"/>
      <c r="E52" s="90"/>
      <c r="G52" s="89"/>
      <c r="H52" s="91"/>
      <c r="I52" s="91"/>
      <c r="J52" s="42"/>
      <c r="K52" s="23"/>
      <c r="L52" s="90"/>
      <c r="M52" s="90"/>
      <c r="O52" s="89"/>
      <c r="P52" s="91"/>
      <c r="Q52" s="91"/>
      <c r="R52" s="42"/>
      <c r="S52" s="23"/>
      <c r="T52" s="90"/>
      <c r="U52" s="90"/>
      <c r="W52" s="89"/>
      <c r="X52" s="91"/>
      <c r="Y52" s="91"/>
    </row>
    <row r="53" spans="1:25">
      <c r="A53" s="29"/>
      <c r="B53" s="29" t="s">
        <v>88</v>
      </c>
      <c r="C53" s="23">
        <v>0.80547124969614059</v>
      </c>
      <c r="D53" s="90">
        <v>0.83806239847003927</v>
      </c>
      <c r="E53" s="90">
        <v>0.75774747778977514</v>
      </c>
      <c r="F53" s="4"/>
      <c r="G53" s="89">
        <v>141953.82322117806</v>
      </c>
      <c r="H53" s="91">
        <v>91709.203398655518</v>
      </c>
      <c r="I53" s="91">
        <v>49213.683061297626</v>
      </c>
      <c r="J53" s="42"/>
      <c r="K53" s="23">
        <v>0.51148682977532756</v>
      </c>
      <c r="L53" s="90">
        <v>0.54138711632815362</v>
      </c>
      <c r="M53" s="90">
        <v>0.46768919757586253</v>
      </c>
      <c r="N53" s="4"/>
      <c r="O53" s="89">
        <v>90142.895902589211</v>
      </c>
      <c r="P53" s="91">
        <v>59244.014836354945</v>
      </c>
      <c r="Q53" s="91">
        <v>30375.169321351041</v>
      </c>
      <c r="R53" s="42"/>
      <c r="S53" s="23">
        <v>0.32797062281212308</v>
      </c>
      <c r="T53" s="90">
        <v>0.3506091988461752</v>
      </c>
      <c r="U53" s="90">
        <v>0.291153758158403</v>
      </c>
      <c r="V53" s="4"/>
      <c r="W53" s="89">
        <v>57800.553191656472</v>
      </c>
      <c r="X53" s="91">
        <v>38367.179328321872</v>
      </c>
      <c r="Y53" s="91">
        <v>18909.662118451321</v>
      </c>
    </row>
    <row r="54" spans="1:25">
      <c r="A54" s="29"/>
      <c r="B54" s="29" t="s">
        <v>89</v>
      </c>
      <c r="C54" s="23">
        <v>0.87509555409183382</v>
      </c>
      <c r="D54" s="90">
        <v>0.88427222004643724</v>
      </c>
      <c r="E54" s="90">
        <v>0.86742913848763947</v>
      </c>
      <c r="F54" s="4"/>
      <c r="G54" s="89">
        <v>4578240.123191365</v>
      </c>
      <c r="H54" s="91">
        <v>2235833.4785839301</v>
      </c>
      <c r="I54" s="91">
        <v>2319809.4331505704</v>
      </c>
      <c r="J54" s="42"/>
      <c r="K54" s="23">
        <v>0.70737331926521707</v>
      </c>
      <c r="L54" s="90">
        <v>0.70670447229880584</v>
      </c>
      <c r="M54" s="90">
        <v>0.70906321632776081</v>
      </c>
      <c r="N54" s="4"/>
      <c r="O54" s="89">
        <v>3700767.1872998876</v>
      </c>
      <c r="P54" s="91">
        <v>1786863.2337536085</v>
      </c>
      <c r="Q54" s="91">
        <v>1896283.4714142613</v>
      </c>
      <c r="R54" s="42"/>
      <c r="S54" s="23">
        <v>0.51219405505470039</v>
      </c>
      <c r="T54" s="90">
        <v>0.49519741382554033</v>
      </c>
      <c r="U54" s="90">
        <v>0.52915715776819428</v>
      </c>
      <c r="V54" s="4"/>
      <c r="W54" s="89">
        <v>2679647.22566221</v>
      </c>
      <c r="X54" s="91">
        <v>1252079.315893448</v>
      </c>
      <c r="Y54" s="91">
        <v>1415151.6380346885</v>
      </c>
    </row>
    <row r="55" spans="1:25">
      <c r="A55" s="29"/>
      <c r="B55" s="29" t="s">
        <v>90</v>
      </c>
      <c r="C55" s="23">
        <v>0.77285242979453339</v>
      </c>
      <c r="D55" s="90">
        <v>0.77907661305825382</v>
      </c>
      <c r="E55" s="90">
        <v>0.76088419645127603</v>
      </c>
      <c r="F55" s="4"/>
      <c r="G55" s="89">
        <v>91857.701706397245</v>
      </c>
      <c r="H55" s="91">
        <v>59573.511586606946</v>
      </c>
      <c r="I55" s="91">
        <v>28825.267655194268</v>
      </c>
      <c r="J55" s="42"/>
      <c r="K55" s="23">
        <v>0.56412878857284221</v>
      </c>
      <c r="L55" s="90">
        <v>0.54574878237745383</v>
      </c>
      <c r="M55" s="90">
        <v>0.59371254571594689</v>
      </c>
      <c r="N55" s="4"/>
      <c r="O55" s="89">
        <v>67049.765242365684</v>
      </c>
      <c r="P55" s="91">
        <v>41731.674222274276</v>
      </c>
      <c r="Q55" s="91">
        <v>22492.152051951365</v>
      </c>
      <c r="R55" s="42"/>
      <c r="S55" s="23">
        <v>0.34933674609634852</v>
      </c>
      <c r="T55" s="90">
        <v>0.32697801319752251</v>
      </c>
      <c r="U55" s="90">
        <v>0.36141091858977242</v>
      </c>
      <c r="V55" s="4"/>
      <c r="W55" s="89">
        <v>41520.566386176593</v>
      </c>
      <c r="X55" s="91">
        <v>25002.96906785958</v>
      </c>
      <c r="Y55" s="91">
        <v>13691.658350176982</v>
      </c>
    </row>
    <row r="56" spans="1:25">
      <c r="A56" s="29" t="s">
        <v>91</v>
      </c>
      <c r="B56" s="29"/>
      <c r="C56" s="23"/>
      <c r="D56" s="90"/>
      <c r="E56" s="90"/>
      <c r="G56" s="89"/>
      <c r="H56" s="91"/>
      <c r="I56" s="91"/>
      <c r="J56" s="42"/>
      <c r="K56" s="23"/>
      <c r="L56" s="90"/>
      <c r="M56" s="90"/>
      <c r="O56" s="89"/>
      <c r="P56" s="91"/>
      <c r="Q56" s="91"/>
      <c r="R56" s="42"/>
      <c r="S56" s="23"/>
      <c r="T56" s="90"/>
      <c r="U56" s="90"/>
      <c r="W56" s="89"/>
      <c r="X56" s="91"/>
      <c r="Y56" s="91"/>
    </row>
    <row r="57" spans="1:25">
      <c r="A57" s="29"/>
      <c r="B57" s="29" t="s">
        <v>92</v>
      </c>
      <c r="C57" s="23">
        <v>0.87284729040971631</v>
      </c>
      <c r="D57" s="90">
        <v>0.88263982438464472</v>
      </c>
      <c r="E57" s="90">
        <v>0.86405239649204357</v>
      </c>
      <c r="F57" s="4"/>
      <c r="G57" s="89">
        <v>3894862.3262662166</v>
      </c>
      <c r="H57" s="91">
        <v>1887678.0981296212</v>
      </c>
      <c r="I57" s="91">
        <v>1987978.1048575097</v>
      </c>
      <c r="J57" s="42"/>
      <c r="K57" s="23">
        <v>0.71156112188584575</v>
      </c>
      <c r="L57" s="90">
        <v>0.71276443596189909</v>
      </c>
      <c r="M57" s="90">
        <v>0.71086806144464898</v>
      </c>
      <c r="N57" s="4"/>
      <c r="O57" s="89">
        <v>3175163.2123048557</v>
      </c>
      <c r="P57" s="91">
        <v>1524370.1651792328</v>
      </c>
      <c r="Q57" s="91">
        <v>1635537.5522732872</v>
      </c>
      <c r="R57" s="42"/>
      <c r="S57" s="23">
        <v>0.51732583946967314</v>
      </c>
      <c r="T57" s="90">
        <v>0.49812246238768909</v>
      </c>
      <c r="U57" s="90">
        <v>0.53528555310806047</v>
      </c>
      <c r="V57" s="4"/>
      <c r="W57" s="89">
        <v>2308436.9335770868</v>
      </c>
      <c r="X57" s="91">
        <v>1065321.1383150399</v>
      </c>
      <c r="Y57" s="91">
        <v>1231564.1548425064</v>
      </c>
    </row>
    <row r="58" spans="1:25">
      <c r="A58" s="29"/>
      <c r="B58" s="29" t="s">
        <v>93</v>
      </c>
      <c r="C58" s="23">
        <v>0.87408775791451332</v>
      </c>
      <c r="D58" s="90">
        <v>0.88140447382004328</v>
      </c>
      <c r="E58" s="90">
        <v>0.87288643550108203</v>
      </c>
      <c r="F58" s="4"/>
      <c r="G58" s="89">
        <v>866172.74988554092</v>
      </c>
      <c r="H58" s="91">
        <v>463457.34975826787</v>
      </c>
      <c r="I58" s="91">
        <v>397161.97815563262</v>
      </c>
      <c r="J58" s="42"/>
      <c r="K58" s="23">
        <v>0.65198719898663393</v>
      </c>
      <c r="L58" s="90">
        <v>0.64320424031968804</v>
      </c>
      <c r="M58" s="90">
        <v>0.66670200361207066</v>
      </c>
      <c r="N58" s="4"/>
      <c r="O58" s="89">
        <v>646083.34795103676</v>
      </c>
      <c r="P58" s="91">
        <v>338207.64634864492</v>
      </c>
      <c r="Q58" s="91">
        <v>303348.38052889582</v>
      </c>
      <c r="R58" s="42"/>
      <c r="S58" s="23">
        <v>0.44810763165560663</v>
      </c>
      <c r="T58" s="90">
        <v>0.44260981372903124</v>
      </c>
      <c r="U58" s="90">
        <v>0.45778456147960012</v>
      </c>
      <c r="V58" s="4"/>
      <c r="W58" s="89">
        <v>444049.9435455933</v>
      </c>
      <c r="X58" s="91">
        <v>232731.71096898592</v>
      </c>
      <c r="Y58" s="91">
        <v>208291.26746823118</v>
      </c>
    </row>
    <row r="59" spans="1:25">
      <c r="A59" s="29" t="s">
        <v>94</v>
      </c>
      <c r="B59" s="29"/>
      <c r="C59" s="23"/>
      <c r="D59" s="90"/>
      <c r="E59" s="90"/>
      <c r="F59" s="4"/>
      <c r="G59" s="89"/>
      <c r="H59" s="91"/>
      <c r="I59" s="91"/>
      <c r="J59" s="42"/>
      <c r="K59" s="23"/>
      <c r="L59" s="90"/>
      <c r="M59" s="90"/>
      <c r="N59" s="4"/>
      <c r="O59" s="89"/>
      <c r="P59" s="91"/>
      <c r="Q59" s="91"/>
      <c r="R59" s="42"/>
      <c r="S59" s="23"/>
      <c r="T59" s="90"/>
      <c r="U59" s="90"/>
      <c r="V59" s="4"/>
      <c r="W59" s="89"/>
      <c r="X59" s="91"/>
      <c r="Y59" s="91"/>
    </row>
    <row r="60" spans="1:25">
      <c r="A60" s="29"/>
      <c r="B60" s="29" t="s">
        <v>88</v>
      </c>
      <c r="C60" s="23">
        <v>0.7273094292438711</v>
      </c>
      <c r="D60" s="90">
        <v>0.72714473966640836</v>
      </c>
      <c r="E60" s="90">
        <v>0.724102246001043</v>
      </c>
      <c r="G60" s="89">
        <v>637082.73508793116</v>
      </c>
      <c r="H60" s="91">
        <v>260979.56128726111</v>
      </c>
      <c r="I60" s="91">
        <v>364939.77260297292</v>
      </c>
      <c r="J60" s="42"/>
      <c r="K60" s="23">
        <v>0.55067809725584205</v>
      </c>
      <c r="L60" s="90">
        <v>0.5520737615688398</v>
      </c>
      <c r="M60" s="90">
        <v>0.54558569647415756</v>
      </c>
      <c r="O60" s="89">
        <v>482363.48141051678</v>
      </c>
      <c r="P60" s="91">
        <v>198144.82623988076</v>
      </c>
      <c r="Q60" s="91">
        <v>274969.34460057854</v>
      </c>
      <c r="R60" s="42"/>
      <c r="S60" s="23">
        <v>0.37516752906663681</v>
      </c>
      <c r="T60" s="90">
        <v>0.36486533641253183</v>
      </c>
      <c r="U60" s="90">
        <v>0.37765897005476179</v>
      </c>
      <c r="W60" s="89">
        <v>328625.9546812661</v>
      </c>
      <c r="X60" s="91">
        <v>130953.83935467456</v>
      </c>
      <c r="Y60" s="91">
        <v>190336.07396524938</v>
      </c>
    </row>
    <row r="61" spans="1:25">
      <c r="A61" s="29"/>
      <c r="B61" s="29" t="s">
        <v>89</v>
      </c>
      <c r="C61" s="23">
        <v>0.90280328445779967</v>
      </c>
      <c r="D61" s="90">
        <v>0.9081656188776932</v>
      </c>
      <c r="E61" s="90">
        <v>0.89925640660555872</v>
      </c>
      <c r="G61" s="89">
        <v>4084963.4709701305</v>
      </c>
      <c r="H61" s="91">
        <v>2078335.0563398681</v>
      </c>
      <c r="I61" s="91">
        <v>1993442.6395896995</v>
      </c>
      <c r="J61" s="42"/>
      <c r="K61" s="23">
        <v>0.73107894755681413</v>
      </c>
      <c r="L61" s="90">
        <v>0.72266608845606517</v>
      </c>
      <c r="M61" s="90">
        <v>0.74185364388038932</v>
      </c>
      <c r="O61" s="89">
        <v>3307952.9578344924</v>
      </c>
      <c r="P61" s="91">
        <v>1653819.7818172651</v>
      </c>
      <c r="Q61" s="91">
        <v>1644517.2646902539</v>
      </c>
      <c r="R61" s="42"/>
      <c r="S61" s="23">
        <v>0.53068885585257486</v>
      </c>
      <c r="T61" s="90">
        <v>0.50672547577274984</v>
      </c>
      <c r="U61" s="90">
        <v>0.55683420290736485</v>
      </c>
      <c r="W61" s="89">
        <v>2401236.9338140511</v>
      </c>
      <c r="X61" s="91">
        <v>1159640.1563191486</v>
      </c>
      <c r="Y61" s="91">
        <v>1234372.12690815</v>
      </c>
    </row>
    <row r="62" spans="1:25">
      <c r="A62" s="29"/>
      <c r="B62" s="29" t="s">
        <v>90</v>
      </c>
      <c r="C62" s="23">
        <v>0.7137840737608292</v>
      </c>
      <c r="D62" s="90">
        <v>0.71416258682330225</v>
      </c>
      <c r="E62" s="90">
        <v>0.69944697270212375</v>
      </c>
      <c r="G62" s="89">
        <v>90005.442060858797</v>
      </c>
      <c r="H62" s="91">
        <v>47801.575942071562</v>
      </c>
      <c r="I62" s="91">
        <v>39465.971674373061</v>
      </c>
      <c r="J62" s="42"/>
      <c r="K62" s="23">
        <v>0.53644298695905368</v>
      </c>
      <c r="L62" s="90">
        <v>0.5359675475357405</v>
      </c>
      <c r="M62" s="90">
        <v>0.52573197780767345</v>
      </c>
      <c r="O62" s="89">
        <v>67643.409199790389</v>
      </c>
      <c r="P62" s="91">
        <v>35874.314755099957</v>
      </c>
      <c r="Q62" s="91">
        <v>29664.183496732385</v>
      </c>
      <c r="R62" s="42"/>
      <c r="S62" s="23">
        <v>0.38942859627779502</v>
      </c>
      <c r="T62" s="90">
        <v>0.37134436289041367</v>
      </c>
      <c r="U62" s="90">
        <v>0.40841730931899106</v>
      </c>
      <c r="W62" s="89">
        <v>49105.456744706309</v>
      </c>
      <c r="X62" s="91">
        <v>24855.468615801619</v>
      </c>
      <c r="Y62" s="91">
        <v>23044.757629927506</v>
      </c>
    </row>
    <row r="63" spans="1:25">
      <c r="A63" s="29" t="s">
        <v>95</v>
      </c>
      <c r="B63" s="29"/>
      <c r="C63" s="23"/>
      <c r="D63" s="90"/>
      <c r="E63" s="90"/>
      <c r="F63" s="4"/>
      <c r="G63" s="89"/>
      <c r="H63" s="91"/>
      <c r="I63" s="91"/>
      <c r="J63" s="42"/>
      <c r="K63" s="23"/>
      <c r="L63" s="90"/>
      <c r="M63" s="90"/>
      <c r="N63" s="4"/>
      <c r="O63" s="89"/>
      <c r="P63" s="91"/>
      <c r="Q63" s="91"/>
      <c r="R63" s="42"/>
      <c r="S63" s="23"/>
      <c r="T63" s="90"/>
      <c r="U63" s="90"/>
      <c r="V63" s="4"/>
      <c r="W63" s="89"/>
      <c r="X63" s="91"/>
      <c r="Y63" s="91"/>
    </row>
    <row r="64" spans="1:25">
      <c r="A64" s="29"/>
      <c r="B64" s="31" t="s">
        <v>96</v>
      </c>
      <c r="C64" s="23">
        <v>0.73349163300550857</v>
      </c>
      <c r="D64" s="90">
        <v>0.78524542150928722</v>
      </c>
      <c r="E64" s="90">
        <v>0.69365737721303289</v>
      </c>
      <c r="G64" s="89">
        <v>519637.30744041083</v>
      </c>
      <c r="H64" s="91">
        <v>227146.03622887452</v>
      </c>
      <c r="I64" s="91">
        <v>285986.72672244802</v>
      </c>
      <c r="J64" s="42"/>
      <c r="K64" s="23">
        <v>0.53384416793628942</v>
      </c>
      <c r="L64" s="90">
        <v>0.56138146557609048</v>
      </c>
      <c r="M64" s="90">
        <v>0.51176681663380708</v>
      </c>
      <c r="O64" s="89">
        <v>378198.37819076609</v>
      </c>
      <c r="P64" s="91">
        <v>162389.45331622948</v>
      </c>
      <c r="Q64" s="91">
        <v>210995.40139298595</v>
      </c>
      <c r="R64" s="42"/>
      <c r="S64" s="23">
        <v>0.39546179495578265</v>
      </c>
      <c r="T64" s="90">
        <v>0.38395175780480817</v>
      </c>
      <c r="U64" s="90">
        <v>0.40195218236081187</v>
      </c>
      <c r="W64" s="89">
        <v>280162.29917217261</v>
      </c>
      <c r="X64" s="91">
        <v>111064.79261075138</v>
      </c>
      <c r="Y64" s="91">
        <v>165720.12741242605</v>
      </c>
    </row>
    <row r="65" spans="1:25">
      <c r="A65" s="29"/>
      <c r="B65" s="29" t="s">
        <v>97</v>
      </c>
      <c r="C65" s="23">
        <v>0.82455525755601744</v>
      </c>
      <c r="D65" s="90">
        <v>0.81014840065952998</v>
      </c>
      <c r="E65" s="90">
        <v>0.84012992509326834</v>
      </c>
      <c r="F65" s="4"/>
      <c r="G65" s="89">
        <v>646534.82075582119</v>
      </c>
      <c r="H65" s="91">
        <v>275911.78562914679</v>
      </c>
      <c r="I65" s="91">
        <v>367153.9503645231</v>
      </c>
      <c r="J65" s="42"/>
      <c r="K65" s="23">
        <v>0.65208600628452995</v>
      </c>
      <c r="L65" s="90">
        <v>0.64192260992136019</v>
      </c>
      <c r="M65" s="90">
        <v>0.66422350623252857</v>
      </c>
      <c r="N65" s="4"/>
      <c r="O65" s="89">
        <v>511301.46260926133</v>
      </c>
      <c r="P65" s="91">
        <v>218619.22259543909</v>
      </c>
      <c r="Q65" s="91">
        <v>290279.24961865088</v>
      </c>
      <c r="R65" s="42"/>
      <c r="S65" s="23">
        <v>0.46381687310051445</v>
      </c>
      <c r="T65" s="90">
        <v>0.43485863212899628</v>
      </c>
      <c r="U65" s="90">
        <v>0.48895531400844272</v>
      </c>
      <c r="V65" s="4"/>
      <c r="W65" s="89">
        <v>363679.39706356695</v>
      </c>
      <c r="X65" s="91">
        <v>148099.56001799612</v>
      </c>
      <c r="Y65" s="91">
        <v>213683.46695898933</v>
      </c>
    </row>
    <row r="66" spans="1:25">
      <c r="A66" s="29"/>
      <c r="B66" s="29" t="s">
        <v>98</v>
      </c>
      <c r="C66" s="23">
        <v>0.87543793871663722</v>
      </c>
      <c r="D66" s="90">
        <v>0.87823841899902599</v>
      </c>
      <c r="E66" s="90">
        <v>0.87829291126949638</v>
      </c>
      <c r="F66" s="4"/>
      <c r="G66" s="89">
        <v>714707.7170496356</v>
      </c>
      <c r="H66" s="91">
        <v>371171.23944510071</v>
      </c>
      <c r="I66" s="91">
        <v>339949.78155915922</v>
      </c>
      <c r="J66" s="42"/>
      <c r="K66" s="23">
        <v>0.6900011713366293</v>
      </c>
      <c r="L66" s="90">
        <v>0.67080943219457789</v>
      </c>
      <c r="M66" s="90">
        <v>0.7148324121683397</v>
      </c>
      <c r="N66" s="4"/>
      <c r="O66" s="89">
        <v>563317.10121052887</v>
      </c>
      <c r="P66" s="91">
        <v>283505.21110532503</v>
      </c>
      <c r="Q66" s="91">
        <v>276681.1837485836</v>
      </c>
      <c r="R66" s="42"/>
      <c r="S66" s="23">
        <v>0.48968652181429567</v>
      </c>
      <c r="T66" s="90">
        <v>0.46287256788348718</v>
      </c>
      <c r="U66" s="90">
        <v>0.52155408862557884</v>
      </c>
      <c r="V66" s="4"/>
      <c r="W66" s="89">
        <v>399780.17926540272</v>
      </c>
      <c r="X66" s="91">
        <v>195624.53772207498</v>
      </c>
      <c r="Y66" s="91">
        <v>201871.37596644941</v>
      </c>
    </row>
    <row r="67" spans="1:25">
      <c r="A67" s="29"/>
      <c r="B67" s="29" t="s">
        <v>99</v>
      </c>
      <c r="C67" s="23">
        <v>0.92455065873437126</v>
      </c>
      <c r="D67" s="90">
        <v>0.93527110763969479</v>
      </c>
      <c r="E67" s="90">
        <v>0.91250424130244734</v>
      </c>
      <c r="F67" s="4"/>
      <c r="G67" s="89">
        <v>1017766.0586142457</v>
      </c>
      <c r="H67" s="91">
        <v>554956.03159791324</v>
      </c>
      <c r="I67" s="91">
        <v>459995.90147756698</v>
      </c>
      <c r="J67" s="42"/>
      <c r="K67" s="23">
        <v>0.7398168819040003</v>
      </c>
      <c r="L67" s="90">
        <v>0.73604124032781604</v>
      </c>
      <c r="M67" s="90">
        <v>0.74544325195151429</v>
      </c>
      <c r="N67" s="4"/>
      <c r="O67" s="89">
        <v>814406.98233069491</v>
      </c>
      <c r="P67" s="91">
        <v>436740.23765747563</v>
      </c>
      <c r="Q67" s="91">
        <v>375779.99658650596</v>
      </c>
      <c r="R67" s="42"/>
      <c r="S67" s="23">
        <v>0.51464577850872362</v>
      </c>
      <c r="T67" s="90">
        <v>0.48828558704082925</v>
      </c>
      <c r="U67" s="90">
        <v>0.54816841732886767</v>
      </c>
      <c r="V67" s="4"/>
      <c r="W67" s="89">
        <v>566533.59188809071</v>
      </c>
      <c r="X67" s="91">
        <v>289730.99827117473</v>
      </c>
      <c r="Y67" s="91">
        <v>276333.20907178929</v>
      </c>
    </row>
    <row r="68" spans="1:25">
      <c r="A68" s="29"/>
      <c r="B68" s="29" t="s">
        <v>100</v>
      </c>
      <c r="C68" s="23">
        <v>0.93391613195936463</v>
      </c>
      <c r="D68" s="90">
        <v>0.92350288449051698</v>
      </c>
      <c r="E68" s="90">
        <v>0.94698265362542866</v>
      </c>
      <c r="G68" s="89">
        <v>557307.50346878578</v>
      </c>
      <c r="H68" s="91">
        <v>292518.58391933679</v>
      </c>
      <c r="I68" s="91">
        <v>261750.42003406896</v>
      </c>
      <c r="J68" s="42"/>
      <c r="K68" s="23">
        <v>0.75287786248745536</v>
      </c>
      <c r="L68" s="90">
        <v>0.72478506864710313</v>
      </c>
      <c r="M68" s="90">
        <v>0.78568668604368141</v>
      </c>
      <c r="O68" s="89">
        <v>449274.26307489455</v>
      </c>
      <c r="P68" s="91">
        <v>229574.9211909548</v>
      </c>
      <c r="Q68" s="91">
        <v>217167.46267715056</v>
      </c>
      <c r="R68" s="42"/>
      <c r="S68" s="23">
        <v>0.54844459855769034</v>
      </c>
      <c r="T68" s="90">
        <v>0.53087310370901553</v>
      </c>
      <c r="U68" s="90">
        <v>0.56654199261156146</v>
      </c>
      <c r="W68" s="89">
        <v>327280.23379558238</v>
      </c>
      <c r="X68" s="91">
        <v>168153.50676841228</v>
      </c>
      <c r="Y68" s="91">
        <v>156594.84782038102</v>
      </c>
    </row>
    <row r="69" spans="1:25">
      <c r="A69" s="29"/>
      <c r="B69" s="29" t="s">
        <v>101</v>
      </c>
      <c r="C69" s="23">
        <v>0.93327068166441218</v>
      </c>
      <c r="D69" s="90">
        <v>0.92858196272655424</v>
      </c>
      <c r="E69" s="90">
        <v>0.9396038759601284</v>
      </c>
      <c r="G69" s="89">
        <v>619677.21400397189</v>
      </c>
      <c r="H69" s="91">
        <v>358975.13502225041</v>
      </c>
      <c r="I69" s="91">
        <v>259778.91946761598</v>
      </c>
      <c r="J69" s="42"/>
      <c r="K69" s="23">
        <v>0.80064165705203993</v>
      </c>
      <c r="L69" s="90">
        <v>0.78835589411726947</v>
      </c>
      <c r="M69" s="90">
        <v>0.81898917390827919</v>
      </c>
      <c r="O69" s="89">
        <v>531613.60493260913</v>
      </c>
      <c r="P69" s="91">
        <v>304765.94947566383</v>
      </c>
      <c r="Q69" s="91">
        <v>226431.72095918047</v>
      </c>
      <c r="R69" s="42"/>
      <c r="S69" s="23">
        <v>0.58826194664325104</v>
      </c>
      <c r="T69" s="90">
        <v>0.57364904205922207</v>
      </c>
      <c r="U69" s="90">
        <v>0.60915425287919744</v>
      </c>
      <c r="W69" s="89">
        <v>390596.78115070425</v>
      </c>
      <c r="X69" s="91">
        <v>221763.66825384286</v>
      </c>
      <c r="Y69" s="91">
        <v>168417.17839909793</v>
      </c>
    </row>
    <row r="70" spans="1:25">
      <c r="A70" s="29"/>
      <c r="B70" s="29" t="s">
        <v>102</v>
      </c>
      <c r="C70" s="23">
        <v>0.86000228628709574</v>
      </c>
      <c r="D70" s="90">
        <v>0.83914958864329736</v>
      </c>
      <c r="E70" s="90">
        <v>0.87475292258035764</v>
      </c>
      <c r="G70" s="89">
        <v>736421.02678590349</v>
      </c>
      <c r="H70" s="91">
        <v>306437.38172658283</v>
      </c>
      <c r="I70" s="91">
        <v>423232.68424169259</v>
      </c>
      <c r="J70" s="42"/>
      <c r="K70" s="23">
        <v>0.71218868480618924</v>
      </c>
      <c r="L70" s="90">
        <v>0.69074597486296252</v>
      </c>
      <c r="M70" s="90">
        <v>0.72714582616842194</v>
      </c>
      <c r="O70" s="89">
        <v>609848.05609597091</v>
      </c>
      <c r="P70" s="91">
        <v>252243.92747114639</v>
      </c>
      <c r="Q70" s="91">
        <v>351815.77780454152</v>
      </c>
      <c r="R70" s="42"/>
      <c r="S70" s="23">
        <v>0.52660890843829333</v>
      </c>
      <c r="T70" s="90">
        <v>0.49568522183896818</v>
      </c>
      <c r="U70" s="90">
        <v>0.54798615296935715</v>
      </c>
      <c r="W70" s="89">
        <v>450935.86290452018</v>
      </c>
      <c r="X70" s="91">
        <v>181012.40064536501</v>
      </c>
      <c r="Y70" s="91">
        <v>265132.75287422014</v>
      </c>
    </row>
    <row r="71" spans="1:25">
      <c r="A71" s="29" t="s">
        <v>103</v>
      </c>
      <c r="B71" s="29"/>
      <c r="C71" s="23"/>
      <c r="D71" s="90"/>
      <c r="E71" s="90"/>
      <c r="F71" s="4"/>
      <c r="G71" s="89"/>
      <c r="H71" s="91"/>
      <c r="I71" s="91"/>
      <c r="J71" s="42"/>
      <c r="K71" s="23"/>
      <c r="L71" s="90"/>
      <c r="M71" s="90"/>
      <c r="N71" s="4"/>
      <c r="O71" s="89"/>
      <c r="P71" s="91"/>
      <c r="Q71" s="91"/>
      <c r="R71" s="42"/>
      <c r="S71" s="23"/>
      <c r="T71" s="90"/>
      <c r="U71" s="90"/>
      <c r="V71" s="4"/>
      <c r="W71" s="89"/>
      <c r="X71" s="91"/>
      <c r="Y71" s="91"/>
    </row>
    <row r="72" spans="1:25">
      <c r="A72" s="29"/>
      <c r="B72" s="29" t="s">
        <v>104</v>
      </c>
      <c r="C72" s="23">
        <v>0.87030319875323192</v>
      </c>
      <c r="D72" s="90">
        <v>0.88228189632139153</v>
      </c>
      <c r="E72" s="90">
        <v>0.85973570292980117</v>
      </c>
      <c r="F72" s="4"/>
      <c r="G72" s="89">
        <v>4227655.6779776234</v>
      </c>
      <c r="H72" s="91">
        <v>2070915.1519151595</v>
      </c>
      <c r="I72" s="91">
        <v>2152023.2254129741</v>
      </c>
      <c r="J72" s="42"/>
      <c r="K72" s="23">
        <v>0.69834946563840683</v>
      </c>
      <c r="L72" s="90">
        <v>0.69801242068637526</v>
      </c>
      <c r="M72" s="90">
        <v>0.69923779140131126</v>
      </c>
      <c r="N72" s="4"/>
      <c r="O72" s="89">
        <v>3392359.2235997012</v>
      </c>
      <c r="P72" s="91">
        <v>1638393.0173013855</v>
      </c>
      <c r="Q72" s="91">
        <v>1750277.395778877</v>
      </c>
      <c r="R72" s="42"/>
      <c r="S72" s="23">
        <v>0.50040622105066346</v>
      </c>
      <c r="T72" s="90">
        <v>0.48049646143333535</v>
      </c>
      <c r="U72" s="90">
        <v>0.51960905777505295</v>
      </c>
      <c r="V72" s="4"/>
      <c r="W72" s="89">
        <v>2430814.0022360305</v>
      </c>
      <c r="X72" s="91">
        <v>1127833.8664465081</v>
      </c>
      <c r="Y72" s="91">
        <v>1300644.7872947876</v>
      </c>
    </row>
    <row r="73" spans="1:25">
      <c r="A73" s="29"/>
      <c r="B73" s="29" t="s">
        <v>105</v>
      </c>
      <c r="C73" s="23">
        <v>0.90134488841946425</v>
      </c>
      <c r="D73" s="90">
        <v>0.90140537808587284</v>
      </c>
      <c r="E73" s="90">
        <v>0.90187670088587946</v>
      </c>
      <c r="G73" s="89">
        <v>230622.8311204256</v>
      </c>
      <c r="H73" s="91">
        <v>176883.08274252963</v>
      </c>
      <c r="I73" s="91">
        <v>49370.358742259989</v>
      </c>
      <c r="J73" s="42"/>
      <c r="K73" s="23">
        <v>0.72244713417148576</v>
      </c>
      <c r="L73" s="90">
        <v>0.7344166838382945</v>
      </c>
      <c r="M73" s="90">
        <v>0.7006037105192362</v>
      </c>
      <c r="O73" s="89">
        <v>184849.11331735254</v>
      </c>
      <c r="P73" s="91">
        <v>144114.83469370616</v>
      </c>
      <c r="Q73" s="91">
        <v>38352.31189642402</v>
      </c>
      <c r="R73" s="42"/>
      <c r="S73" s="23">
        <v>0.56906559627168141</v>
      </c>
      <c r="T73" s="90">
        <v>0.59317087134508606</v>
      </c>
      <c r="U73" s="90">
        <v>0.49973197846621803</v>
      </c>
      <c r="W73" s="89">
        <v>145604.10847343996</v>
      </c>
      <c r="X73" s="91">
        <v>116398.12105336231</v>
      </c>
      <c r="Y73" s="91">
        <v>27356.230655057618</v>
      </c>
    </row>
    <row r="74" spans="1:25">
      <c r="A74" s="29"/>
      <c r="B74" s="29" t="s">
        <v>106</v>
      </c>
      <c r="C74" s="23">
        <v>0.88862246011511503</v>
      </c>
      <c r="D74" s="90">
        <v>0.85057814192735537</v>
      </c>
      <c r="E74" s="90">
        <v>0.91721632342001735</v>
      </c>
      <c r="G74" s="89">
        <v>163978.42773517131</v>
      </c>
      <c r="H74" s="91">
        <v>57828.581067307619</v>
      </c>
      <c r="I74" s="91">
        <v>99246.689068937718</v>
      </c>
      <c r="J74" s="42"/>
      <c r="K74" s="23">
        <v>0.73132595180916293</v>
      </c>
      <c r="L74" s="90">
        <v>0.63844840306025119</v>
      </c>
      <c r="M74" s="90">
        <v>0.78698783606224909</v>
      </c>
      <c r="O74" s="89">
        <v>134952.33929160328</v>
      </c>
      <c r="P74" s="91">
        <v>43406.435474585793</v>
      </c>
      <c r="Q74" s="91">
        <v>85155.415437301825</v>
      </c>
      <c r="R74" s="42"/>
      <c r="S74" s="23">
        <v>0.54029157081413748</v>
      </c>
      <c r="T74" s="90">
        <v>0.46391966844512944</v>
      </c>
      <c r="U74" s="90">
        <v>0.58869254779209201</v>
      </c>
      <c r="W74" s="89">
        <v>99700.56607526126</v>
      </c>
      <c r="X74" s="91">
        <v>31540.6837220241</v>
      </c>
      <c r="Y74" s="91">
        <v>63699.025798048104</v>
      </c>
    </row>
    <row r="75" spans="1:25">
      <c r="A75" s="29"/>
      <c r="B75" s="29" t="s">
        <v>107</v>
      </c>
      <c r="C75" s="23">
        <v>0.86690888601445193</v>
      </c>
      <c r="D75" s="90">
        <v>1</v>
      </c>
      <c r="E75" s="90">
        <v>0.80456467711995305</v>
      </c>
      <c r="F75" s="4"/>
      <c r="G75" s="89">
        <v>21745.337351005212</v>
      </c>
      <c r="H75" s="91">
        <v>6242.0243461390701</v>
      </c>
      <c r="I75" s="91">
        <v>9649.9967921452098</v>
      </c>
      <c r="J75" s="42"/>
      <c r="K75" s="23">
        <v>0.74214860055452836</v>
      </c>
      <c r="L75" s="90">
        <v>0.82107961011296704</v>
      </c>
      <c r="M75" s="90">
        <v>0.71706992003432934</v>
      </c>
      <c r="N75" s="4"/>
      <c r="O75" s="89">
        <v>18615.879873869002</v>
      </c>
      <c r="P75" s="91">
        <v>5125.1989164435154</v>
      </c>
      <c r="Q75" s="91">
        <v>8600.5794498028081</v>
      </c>
      <c r="R75" s="42"/>
      <c r="S75" s="23">
        <v>0.58002947009595396</v>
      </c>
      <c r="T75" s="90">
        <v>0.47699857616938218</v>
      </c>
      <c r="U75" s="90">
        <v>0.63245625575089293</v>
      </c>
      <c r="V75" s="4"/>
      <c r="W75" s="89">
        <v>14549.321969403649</v>
      </c>
      <c r="X75" s="91">
        <v>2977.4367255229554</v>
      </c>
      <c r="Y75" s="91">
        <v>7585.7181066107842</v>
      </c>
    </row>
    <row r="76" spans="1:25">
      <c r="A76" s="111"/>
      <c r="B76" s="111"/>
      <c r="C76" s="134"/>
      <c r="D76" s="97"/>
      <c r="E76" s="97"/>
      <c r="F76" s="97"/>
      <c r="G76" s="135"/>
      <c r="H76" s="136"/>
      <c r="I76" s="136"/>
      <c r="J76" s="97"/>
      <c r="K76" s="134"/>
      <c r="L76" s="97"/>
      <c r="M76" s="97"/>
      <c r="N76" s="97"/>
      <c r="O76" s="135"/>
      <c r="P76" s="136"/>
      <c r="Q76" s="136"/>
      <c r="R76" s="97"/>
      <c r="S76" s="134"/>
      <c r="T76" s="97"/>
      <c r="U76" s="97"/>
      <c r="V76" s="97"/>
      <c r="W76" s="135"/>
      <c r="X76" s="136"/>
      <c r="Y76" s="136"/>
    </row>
    <row r="77" spans="1:25" ht="15" customHeight="1">
      <c r="A77" s="115" t="s">
        <v>108</v>
      </c>
    </row>
    <row r="78" spans="1:25">
      <c r="A78" s="21" t="s">
        <v>109</v>
      </c>
      <c r="B78" s="116"/>
    </row>
    <row r="79" spans="1:25" ht="15" customHeight="1">
      <c r="A79" s="16" t="s">
        <v>110</v>
      </c>
      <c r="B79" s="16"/>
    </row>
    <row r="80" spans="1:25">
      <c r="A80" s="21" t="s">
        <v>111</v>
      </c>
      <c r="B80" s="21"/>
    </row>
    <row r="81" spans="1:22">
      <c r="A81" s="16" t="s">
        <v>112</v>
      </c>
      <c r="B81" s="16"/>
      <c r="D81" s="2"/>
      <c r="E81" s="2"/>
      <c r="F81" s="2"/>
      <c r="L81" s="2"/>
      <c r="M81" s="2"/>
      <c r="N81" s="2"/>
      <c r="T81" s="2"/>
      <c r="U81" s="2"/>
      <c r="V81" s="2"/>
    </row>
    <row r="82" spans="1:22">
      <c r="A82" s="16" t="s">
        <v>113</v>
      </c>
      <c r="B82" s="16"/>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1" formatCode="\*\*0.0%"/>
            </x14:dxf>
          </x14:cfRule>
          <x14:cfRule type="expression" priority="12" id="{CBF5BCDA-1D02-4223-AF26-D1579BA49BDB}">
            <xm:f>G16&lt;'27'!$C$103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69" formatCode="\*\*#,###,###,##0"/>
            </x14:dxf>
          </x14:cfRule>
          <x14:cfRule type="expression" priority="10" id="{679B6B3F-9DCA-484C-AF0F-279E5F4CD65D}">
            <xm:f>G16&lt;'27'!$C$103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24"/>
      <c r="B1" s="24"/>
      <c r="C1" s="25"/>
      <c r="D1" s="24"/>
      <c r="E1" s="24"/>
      <c r="F1" s="24"/>
      <c r="G1" s="25"/>
      <c r="H1" s="24"/>
      <c r="I1" s="24"/>
    </row>
    <row r="2" spans="1:9">
      <c r="A2" s="24"/>
      <c r="B2" s="24"/>
      <c r="C2" s="25"/>
      <c r="D2" s="24"/>
      <c r="E2" s="24"/>
      <c r="F2" s="24"/>
      <c r="G2" s="25"/>
      <c r="H2" s="24"/>
      <c r="I2" s="24"/>
    </row>
    <row r="3" spans="1:9">
      <c r="A3" s="24"/>
      <c r="B3" s="24"/>
      <c r="C3" s="25"/>
      <c r="D3" s="24"/>
      <c r="E3" s="24"/>
      <c r="F3" s="24"/>
      <c r="G3" s="25"/>
      <c r="H3" s="24"/>
      <c r="I3" s="24"/>
    </row>
    <row r="4" spans="1:9">
      <c r="A4" s="24"/>
      <c r="B4" s="24"/>
      <c r="C4" s="25"/>
      <c r="D4" s="24"/>
      <c r="E4" s="24"/>
      <c r="F4" s="24"/>
      <c r="G4" s="25"/>
      <c r="H4" s="24"/>
      <c r="I4" s="24"/>
    </row>
    <row r="5" spans="1:9">
      <c r="A5" s="24"/>
      <c r="B5" s="24"/>
      <c r="C5" s="25"/>
      <c r="D5" s="24"/>
      <c r="E5" s="24"/>
      <c r="F5" s="24"/>
      <c r="G5" s="25"/>
      <c r="H5" s="24"/>
      <c r="I5" s="24"/>
    </row>
    <row r="6" spans="1:9">
      <c r="A6" s="24"/>
      <c r="B6" s="24"/>
      <c r="C6" s="25"/>
      <c r="D6" s="24"/>
      <c r="E6" s="24"/>
      <c r="F6" s="24"/>
      <c r="G6" s="25"/>
      <c r="H6" s="24"/>
      <c r="I6" s="24"/>
    </row>
    <row r="7" spans="1:9">
      <c r="A7" s="24"/>
      <c r="B7" s="24"/>
      <c r="C7" s="25"/>
      <c r="D7" s="24"/>
      <c r="E7" s="24"/>
      <c r="F7" s="24"/>
      <c r="G7" s="25"/>
      <c r="H7" s="24"/>
      <c r="I7" s="24"/>
    </row>
    <row r="8" spans="1:9">
      <c r="A8" s="25" t="str">
        <f>Index!A8</f>
        <v>AusPlay survey results July 2024 - June 2025</v>
      </c>
      <c r="B8" s="24"/>
      <c r="C8" s="25"/>
      <c r="D8" s="24"/>
      <c r="E8" s="24"/>
      <c r="F8" s="24"/>
      <c r="G8" s="25"/>
      <c r="H8" s="24"/>
      <c r="I8" s="24"/>
    </row>
    <row r="9" spans="1:9">
      <c r="A9" s="24" t="s">
        <v>1</v>
      </c>
      <c r="B9" s="25" t="str">
        <f>Index!D9</f>
        <v>13 November 2025</v>
      </c>
      <c r="C9" s="25"/>
      <c r="D9" s="24"/>
      <c r="E9" s="24"/>
      <c r="F9" s="24"/>
      <c r="G9" s="25"/>
      <c r="H9" s="24"/>
      <c r="I9" s="24"/>
    </row>
    <row r="10" spans="1:9">
      <c r="A10" s="24" t="s">
        <v>40</v>
      </c>
      <c r="B10" s="26">
        <f>Index!B14</f>
        <v>2</v>
      </c>
      <c r="C10" s="25"/>
      <c r="D10" s="24"/>
      <c r="E10" s="24"/>
      <c r="F10" s="24"/>
      <c r="G10" s="25"/>
      <c r="H10" s="24"/>
      <c r="I10" s="24"/>
    </row>
    <row r="11" spans="1:9">
      <c r="A11" s="24" t="s">
        <v>3</v>
      </c>
      <c r="B11" s="25" t="str">
        <f>Index!D14</f>
        <v>Demographics of participants (children) (organised outside of school hours)</v>
      </c>
      <c r="C11" s="25"/>
      <c r="D11" s="24"/>
      <c r="E11" s="24"/>
      <c r="F11" s="24"/>
      <c r="G11" s="25"/>
      <c r="H11" s="24"/>
      <c r="I11" s="24"/>
    </row>
    <row r="12" spans="1:9">
      <c r="A12" s="109" t="s">
        <v>41</v>
      </c>
      <c r="B12" s="110" t="s">
        <v>114</v>
      </c>
      <c r="C12" s="110"/>
      <c r="D12" s="109"/>
      <c r="E12" s="109"/>
      <c r="F12" s="109"/>
      <c r="G12" s="110"/>
      <c r="H12" s="109"/>
      <c r="I12" s="109"/>
    </row>
    <row r="13" spans="1:9" s="80" customFormat="1" ht="24.95" customHeight="1">
      <c r="A13" s="79"/>
      <c r="B13" s="79"/>
      <c r="C13" s="154" t="s">
        <v>43</v>
      </c>
      <c r="D13" s="154"/>
      <c r="E13" s="154"/>
      <c r="F13" s="154"/>
      <c r="G13" s="154"/>
      <c r="H13" s="154"/>
      <c r="I13" s="154"/>
    </row>
    <row r="14" spans="1:9">
      <c r="A14" s="27"/>
      <c r="B14" s="27"/>
      <c r="C14" s="153" t="s">
        <v>46</v>
      </c>
      <c r="D14" s="153"/>
      <c r="E14" s="153"/>
      <c r="F14" s="50"/>
      <c r="G14" s="153" t="s">
        <v>47</v>
      </c>
      <c r="H14" s="153"/>
      <c r="I14" s="153"/>
    </row>
    <row r="15" spans="1:9" ht="17.25">
      <c r="A15" s="27"/>
      <c r="B15" s="27"/>
      <c r="C15" s="32" t="s">
        <v>48</v>
      </c>
      <c r="D15" s="32" t="s">
        <v>49</v>
      </c>
      <c r="E15" s="32" t="s">
        <v>50</v>
      </c>
      <c r="F15" s="32"/>
      <c r="G15" s="32" t="s">
        <v>51</v>
      </c>
      <c r="H15" s="32" t="s">
        <v>49</v>
      </c>
      <c r="I15" s="32" t="s">
        <v>50</v>
      </c>
    </row>
    <row r="16" spans="1:9">
      <c r="A16" s="30" t="s">
        <v>48</v>
      </c>
      <c r="B16" s="29"/>
      <c r="C16" s="23">
        <v>0.7321414301686382</v>
      </c>
      <c r="D16" s="23">
        <v>0.73432867500590415</v>
      </c>
      <c r="E16" s="23">
        <v>0.73189895947072481</v>
      </c>
      <c r="F16" s="23"/>
      <c r="G16" s="89">
        <v>895893.5630438556</v>
      </c>
      <c r="H16" s="89">
        <v>478087.93086315016</v>
      </c>
      <c r="I16" s="89">
        <v>417206.92130747216</v>
      </c>
    </row>
    <row r="17" spans="1:9">
      <c r="A17" s="29" t="s">
        <v>52</v>
      </c>
      <c r="B17" s="29"/>
      <c r="C17" s="23"/>
      <c r="D17" s="90"/>
      <c r="E17" s="90"/>
      <c r="F17" s="2"/>
      <c r="G17" s="89"/>
      <c r="H17" s="91"/>
      <c r="I17" s="91"/>
    </row>
    <row r="18" spans="1:9">
      <c r="A18" s="29"/>
      <c r="B18" s="29" t="s">
        <v>115</v>
      </c>
      <c r="C18" s="23">
        <v>0.49966693126775974</v>
      </c>
      <c r="D18" s="90">
        <v>0.47976558705708089</v>
      </c>
      <c r="E18" s="90">
        <v>0.52100405871336897</v>
      </c>
      <c r="F18" s="4"/>
      <c r="G18" s="89">
        <v>190197.738600613</v>
      </c>
      <c r="H18" s="91">
        <v>97826.679183964618</v>
      </c>
      <c r="I18" s="91">
        <v>91772.348543422486</v>
      </c>
    </row>
    <row r="19" spans="1:9">
      <c r="A19" s="29"/>
      <c r="B19" s="29" t="s">
        <v>116</v>
      </c>
      <c r="C19" s="23">
        <v>0.82201643120887102</v>
      </c>
      <c r="D19" s="90">
        <v>0.8251026345763316</v>
      </c>
      <c r="E19" s="90">
        <v>0.82368094713815931</v>
      </c>
      <c r="F19" s="4"/>
      <c r="G19" s="89">
        <v>275470.32591391803</v>
      </c>
      <c r="H19" s="91">
        <v>140638.56968061137</v>
      </c>
      <c r="I19" s="91">
        <v>134831.75623330593</v>
      </c>
    </row>
    <row r="20" spans="1:9">
      <c r="A20" s="29"/>
      <c r="B20" s="29" t="s">
        <v>117</v>
      </c>
      <c r="C20" s="23">
        <v>0.85018509064963932</v>
      </c>
      <c r="D20" s="90">
        <v>0.87466939261408116</v>
      </c>
      <c r="E20" s="90">
        <v>0.82780858584886241</v>
      </c>
      <c r="F20" s="4"/>
      <c r="G20" s="89">
        <v>211466.21785010039</v>
      </c>
      <c r="H20" s="91">
        <v>113824.17909498287</v>
      </c>
      <c r="I20" s="91">
        <v>97642.038755117945</v>
      </c>
    </row>
    <row r="21" spans="1:9">
      <c r="A21" s="29"/>
      <c r="B21" s="29" t="s">
        <v>118</v>
      </c>
      <c r="C21" s="23">
        <v>0.84408334484306835</v>
      </c>
      <c r="D21" s="90">
        <v>0.85830894695518234</v>
      </c>
      <c r="E21" s="90">
        <v>0.82821936434618981</v>
      </c>
      <c r="F21" s="4"/>
      <c r="G21" s="89">
        <v>218759.28067922179</v>
      </c>
      <c r="H21" s="91">
        <v>125798.50290359622</v>
      </c>
      <c r="I21" s="91">
        <v>92960.777775625669</v>
      </c>
    </row>
    <row r="22" spans="1:9">
      <c r="A22" s="29" t="s">
        <v>60</v>
      </c>
      <c r="B22" s="29"/>
      <c r="C22" s="23"/>
      <c r="D22" s="90"/>
      <c r="E22" s="90"/>
      <c r="F22" s="4"/>
      <c r="G22" s="89"/>
      <c r="H22" s="91"/>
      <c r="I22" s="91"/>
    </row>
    <row r="23" spans="1:9">
      <c r="A23" s="29"/>
      <c r="B23" s="29" t="s">
        <v>61</v>
      </c>
      <c r="C23" s="23">
        <v>0.73663156960220832</v>
      </c>
      <c r="D23" s="90">
        <v>0.74913360718114319</v>
      </c>
      <c r="E23" s="90">
        <v>0.72530239088433679</v>
      </c>
      <c r="F23" s="4"/>
      <c r="G23" s="89">
        <v>700762.26725185604</v>
      </c>
      <c r="H23" s="91">
        <v>378656.70348275563</v>
      </c>
      <c r="I23" s="91">
        <v>321506.85289587697</v>
      </c>
    </row>
    <row r="24" spans="1:9">
      <c r="A24" s="29"/>
      <c r="B24" s="29" t="s">
        <v>62</v>
      </c>
      <c r="C24" s="23">
        <v>0.72690453830619195</v>
      </c>
      <c r="D24" s="90">
        <v>0.68018163412153176</v>
      </c>
      <c r="E24" s="90">
        <v>0.77893629686353549</v>
      </c>
      <c r="F24" s="4"/>
      <c r="G24" s="89">
        <v>165120.12014016707</v>
      </c>
      <c r="H24" s="91">
        <v>81406.374022244694</v>
      </c>
      <c r="I24" s="91">
        <v>83713.746117922608</v>
      </c>
    </row>
    <row r="25" spans="1:9">
      <c r="A25" s="29"/>
      <c r="B25" s="29" t="s">
        <v>63</v>
      </c>
      <c r="C25" s="23">
        <v>0.663958164560709</v>
      </c>
      <c r="D25" s="90">
        <v>0.69562798557004546</v>
      </c>
      <c r="E25" s="90">
        <v>0.62141442303984262</v>
      </c>
      <c r="F25" s="4"/>
      <c r="G25" s="89">
        <v>30011.175651824211</v>
      </c>
      <c r="H25" s="91">
        <v>18024.85335815126</v>
      </c>
      <c r="I25" s="91">
        <v>11986.322293672945</v>
      </c>
    </row>
    <row r="26" spans="1:9">
      <c r="A26" s="29"/>
      <c r="B26" s="29" t="s">
        <v>64</v>
      </c>
      <c r="C26" s="23">
        <v>0</v>
      </c>
      <c r="D26" s="90">
        <v>0</v>
      </c>
      <c r="E26" s="90">
        <v>0</v>
      </c>
      <c r="F26" s="4"/>
      <c r="G26" s="89">
        <v>0</v>
      </c>
      <c r="H26" s="91">
        <v>0</v>
      </c>
      <c r="I26" s="91">
        <v>0</v>
      </c>
    </row>
    <row r="27" spans="1:9">
      <c r="A27" s="29" t="s">
        <v>81</v>
      </c>
      <c r="B27" s="29"/>
      <c r="C27" s="23"/>
      <c r="D27" s="90"/>
      <c r="E27" s="90"/>
      <c r="F27" s="4"/>
      <c r="G27" s="89"/>
      <c r="H27" s="91"/>
      <c r="I27" s="91"/>
    </row>
    <row r="28" spans="1:9">
      <c r="A28" s="29"/>
      <c r="B28" s="29" t="s">
        <v>82</v>
      </c>
      <c r="C28" s="23">
        <v>0.71811854876512826</v>
      </c>
      <c r="D28" s="90">
        <v>0.71670231470843559</v>
      </c>
      <c r="E28" s="90">
        <v>0.72179954126978108</v>
      </c>
      <c r="F28" s="4"/>
      <c r="G28" s="89">
        <v>743080.0001264608</v>
      </c>
      <c r="H28" s="91">
        <v>395110.60841246875</v>
      </c>
      <c r="I28" s="91">
        <v>347370.6808407653</v>
      </c>
    </row>
    <row r="29" spans="1:9">
      <c r="A29" s="29"/>
      <c r="B29" s="29" t="s">
        <v>83</v>
      </c>
      <c r="C29" s="23">
        <v>0.76824434851773615</v>
      </c>
      <c r="D29" s="90">
        <v>0.80154545556458301</v>
      </c>
      <c r="E29" s="90">
        <v>0.72090449855799765</v>
      </c>
      <c r="F29" s="4"/>
      <c r="G29" s="89">
        <v>58228.976042747301</v>
      </c>
      <c r="H29" s="91">
        <v>35664.746312653748</v>
      </c>
      <c r="I29" s="91">
        <v>22564.229730093582</v>
      </c>
    </row>
    <row r="30" spans="1:9">
      <c r="A30" s="29"/>
      <c r="B30" s="29" t="s">
        <v>84</v>
      </c>
      <c r="C30" s="23">
        <v>0.83623614806977897</v>
      </c>
      <c r="D30" s="90">
        <v>0.85603038782856178</v>
      </c>
      <c r="E30" s="90">
        <v>0.82244858439710422</v>
      </c>
      <c r="G30" s="89">
        <v>94584.586874642773</v>
      </c>
      <c r="H30" s="91">
        <v>47312.576138028904</v>
      </c>
      <c r="I30" s="91">
        <v>47272.010736613738</v>
      </c>
    </row>
    <row r="31" spans="1:9">
      <c r="A31" s="29" t="s">
        <v>119</v>
      </c>
      <c r="B31" s="29"/>
      <c r="C31" s="23"/>
      <c r="D31" s="90"/>
      <c r="E31" s="90"/>
      <c r="F31" s="4"/>
      <c r="G31" s="89"/>
      <c r="H31" s="91"/>
      <c r="I31" s="91"/>
    </row>
    <row r="32" spans="1:9">
      <c r="A32" s="29"/>
      <c r="B32" s="29" t="s">
        <v>88</v>
      </c>
      <c r="C32" s="23">
        <v>0.7684783035870637</v>
      </c>
      <c r="D32" s="90">
        <v>0.81327072825122149</v>
      </c>
      <c r="E32" s="90">
        <v>0.72922134792925197</v>
      </c>
      <c r="F32" s="4"/>
      <c r="G32" s="89">
        <v>60538.927986091127</v>
      </c>
      <c r="H32" s="91">
        <v>33240.505549412461</v>
      </c>
      <c r="I32" s="91">
        <v>27298.422436678648</v>
      </c>
    </row>
    <row r="33" spans="1:9">
      <c r="A33" s="29"/>
      <c r="B33" s="29" t="s">
        <v>89</v>
      </c>
      <c r="C33" s="23">
        <v>0.72998407474423299</v>
      </c>
      <c r="D33" s="90">
        <v>0.7275181653344408</v>
      </c>
      <c r="E33" s="90">
        <v>0.73457735407472224</v>
      </c>
      <c r="F33" s="4"/>
      <c r="G33" s="89">
        <v>816298.18909718492</v>
      </c>
      <c r="H33" s="91">
        <v>431777.97150144802</v>
      </c>
      <c r="I33" s="91">
        <v>383921.50672250753</v>
      </c>
    </row>
    <row r="34" spans="1:9">
      <c r="A34" s="29"/>
      <c r="B34" s="29" t="s">
        <v>90</v>
      </c>
      <c r="C34" s="23">
        <v>0.71524811866619975</v>
      </c>
      <c r="D34" s="90">
        <v>0.78319379636003728</v>
      </c>
      <c r="E34" s="90">
        <v>0.6013605591412079</v>
      </c>
      <c r="F34" s="4"/>
      <c r="G34" s="89">
        <v>19056.445960577126</v>
      </c>
      <c r="H34" s="91">
        <v>13069.453812290954</v>
      </c>
      <c r="I34" s="91">
        <v>5986.9921482861719</v>
      </c>
    </row>
    <row r="35" spans="1:9">
      <c r="A35" s="29" t="s">
        <v>120</v>
      </c>
      <c r="B35" s="29"/>
      <c r="C35" s="23"/>
      <c r="D35" s="90"/>
      <c r="E35" s="90"/>
      <c r="F35" s="4"/>
      <c r="G35" s="89"/>
      <c r="H35" s="91"/>
      <c r="I35" s="91"/>
    </row>
    <row r="36" spans="1:9">
      <c r="A36" s="29"/>
      <c r="B36" s="29" t="s">
        <v>92</v>
      </c>
      <c r="C36" s="23">
        <v>0.72538148095156485</v>
      </c>
      <c r="D36" s="90">
        <v>0.72310327051197409</v>
      </c>
      <c r="E36" s="90">
        <v>0.72872753718953065</v>
      </c>
      <c r="F36" s="4"/>
      <c r="G36" s="89">
        <v>690959.07028469245</v>
      </c>
      <c r="H36" s="91">
        <v>370397.57269567309</v>
      </c>
      <c r="I36" s="91">
        <v>319962.78671579488</v>
      </c>
    </row>
    <row r="37" spans="1:9">
      <c r="A37" s="29"/>
      <c r="B37" s="29" t="s">
        <v>93</v>
      </c>
      <c r="C37" s="23">
        <v>0.75812506204146135</v>
      </c>
      <c r="D37" s="90">
        <v>0.77708445825545414</v>
      </c>
      <c r="E37" s="90">
        <v>0.7403128644478304</v>
      </c>
      <c r="F37" s="4"/>
      <c r="G37" s="89">
        <v>195372.56479892242</v>
      </c>
      <c r="H37" s="91">
        <v>102647.0540324446</v>
      </c>
      <c r="I37" s="91">
        <v>92725.510766477571</v>
      </c>
    </row>
    <row r="38" spans="1:9">
      <c r="A38" s="29" t="s">
        <v>95</v>
      </c>
      <c r="B38" s="29"/>
      <c r="C38" s="23"/>
      <c r="D38" s="90"/>
      <c r="E38" s="90"/>
      <c r="G38" s="89"/>
      <c r="H38" s="91"/>
      <c r="I38" s="91"/>
    </row>
    <row r="39" spans="1:9">
      <c r="A39" s="29"/>
      <c r="B39" s="31" t="s">
        <v>96</v>
      </c>
      <c r="C39" s="23">
        <v>0.5867985378318199</v>
      </c>
      <c r="D39" s="90">
        <v>0.65186485338325861</v>
      </c>
      <c r="E39" s="90">
        <v>0.54542136574773836</v>
      </c>
      <c r="F39" s="4"/>
      <c r="G39" s="89">
        <v>35155.599703622531</v>
      </c>
      <c r="H39" s="91">
        <v>17329.70419493422</v>
      </c>
      <c r="I39" s="91">
        <v>17825.895508688311</v>
      </c>
    </row>
    <row r="40" spans="1:9">
      <c r="A40" s="29"/>
      <c r="B40" s="29" t="s">
        <v>97</v>
      </c>
      <c r="C40" s="23">
        <v>0.72075624086882595</v>
      </c>
      <c r="D40" s="90">
        <v>0.74800837076741988</v>
      </c>
      <c r="E40" s="90">
        <v>0.69666816407391419</v>
      </c>
      <c r="F40" s="4"/>
      <c r="G40" s="89">
        <v>66183.792634655663</v>
      </c>
      <c r="H40" s="91">
        <v>37315.80388190176</v>
      </c>
      <c r="I40" s="91">
        <v>28867.988752753903</v>
      </c>
    </row>
    <row r="41" spans="1:9">
      <c r="A41" s="29"/>
      <c r="B41" s="29" t="s">
        <v>98</v>
      </c>
      <c r="C41" s="23">
        <v>0.69245133955562299</v>
      </c>
      <c r="D41" s="90">
        <v>0.68732265514657376</v>
      </c>
      <c r="E41" s="90">
        <v>0.70093040725311495</v>
      </c>
      <c r="F41" s="4"/>
      <c r="G41" s="89">
        <v>117731.30434256852</v>
      </c>
      <c r="H41" s="91">
        <v>60048.876866953789</v>
      </c>
      <c r="I41" s="91">
        <v>57682.427475614633</v>
      </c>
    </row>
    <row r="42" spans="1:9">
      <c r="A42" s="29"/>
      <c r="B42" s="29" t="s">
        <v>99</v>
      </c>
      <c r="C42" s="23">
        <v>0.74443801545850841</v>
      </c>
      <c r="D42" s="90">
        <v>0.74052585234758705</v>
      </c>
      <c r="E42" s="90">
        <v>0.74848262582018843</v>
      </c>
      <c r="F42" s="4"/>
      <c r="G42" s="89">
        <v>262733.87699183013</v>
      </c>
      <c r="H42" s="91">
        <v>146866.65011430875</v>
      </c>
      <c r="I42" s="91">
        <v>115268.51600429547</v>
      </c>
    </row>
    <row r="43" spans="1:9">
      <c r="A43" s="29"/>
      <c r="B43" s="29" t="s">
        <v>100</v>
      </c>
      <c r="C43" s="23">
        <v>0.6838527358146288</v>
      </c>
      <c r="D43" s="90">
        <v>0.65888806051938109</v>
      </c>
      <c r="E43" s="90">
        <v>0.71608740615954147</v>
      </c>
      <c r="F43" s="4"/>
      <c r="G43" s="89">
        <v>139190.4781979481</v>
      </c>
      <c r="H43" s="91">
        <v>75577.191425589961</v>
      </c>
      <c r="I43" s="91">
        <v>63613.286772358006</v>
      </c>
    </row>
    <row r="44" spans="1:9">
      <c r="A44" s="29"/>
      <c r="B44" s="29" t="s">
        <v>101</v>
      </c>
      <c r="C44" s="23">
        <v>0.81950357293656273</v>
      </c>
      <c r="D44" s="90">
        <v>0.83945315980375168</v>
      </c>
      <c r="E44" s="90">
        <v>0.80011713165999399</v>
      </c>
      <c r="F44" s="4"/>
      <c r="G44" s="89">
        <v>189379.27382558427</v>
      </c>
      <c r="H44" s="91">
        <v>95606.110796123612</v>
      </c>
      <c r="I44" s="91">
        <v>93773.163029460222</v>
      </c>
    </row>
    <row r="45" spans="1:9">
      <c r="A45" s="29"/>
      <c r="B45" s="29" t="s">
        <v>102</v>
      </c>
      <c r="C45" s="23">
        <v>0.74789594803387449</v>
      </c>
      <c r="D45" s="90">
        <v>0.75204437445222883</v>
      </c>
      <c r="E45" s="90">
        <v>0.74978835402102706</v>
      </c>
      <c r="F45" s="4"/>
      <c r="G45" s="89">
        <v>85519.237347643997</v>
      </c>
      <c r="H45" s="91">
        <v>45343.59358334211</v>
      </c>
      <c r="I45" s="91">
        <v>40175.6437643018</v>
      </c>
    </row>
    <row r="46" spans="1:9">
      <c r="A46" s="111"/>
      <c r="B46" s="111"/>
      <c r="C46" s="98"/>
      <c r="D46" s="99"/>
      <c r="E46" s="99"/>
      <c r="F46" s="100"/>
      <c r="G46" s="101"/>
      <c r="H46" s="102"/>
      <c r="I46" s="102"/>
    </row>
    <row r="47" spans="1:9" ht="16.5" customHeight="1">
      <c r="A47" s="137" t="s">
        <v>121</v>
      </c>
      <c r="B47" s="138"/>
      <c r="C47" s="23"/>
      <c r="D47" s="90"/>
      <c r="E47" s="90"/>
      <c r="G47" s="117"/>
      <c r="H47" s="118"/>
      <c r="I47" s="118"/>
    </row>
    <row r="48" spans="1:9" ht="16.5" customHeight="1">
      <c r="A48" s="115" t="s">
        <v>108</v>
      </c>
      <c r="B48" s="17"/>
      <c r="C48" s="23"/>
      <c r="D48" s="90"/>
      <c r="E48" s="90"/>
      <c r="G48" s="117"/>
      <c r="H48" s="118"/>
      <c r="I48" s="118"/>
    </row>
    <row r="49" spans="1:23" ht="15" customHeight="1">
      <c r="A49" s="21" t="s">
        <v>111</v>
      </c>
      <c r="B49" s="21"/>
      <c r="K49" s="2"/>
      <c r="O49" s="2"/>
      <c r="S49" s="2"/>
      <c r="W49" s="2"/>
    </row>
    <row r="50" spans="1:23">
      <c r="A50" s="16" t="s">
        <v>109</v>
      </c>
      <c r="B50" s="17"/>
      <c r="C50" s="23"/>
      <c r="D50" s="90"/>
      <c r="E50" s="90"/>
      <c r="F50" s="4"/>
      <c r="G50" s="117"/>
      <c r="H50" s="118"/>
      <c r="I50" s="118"/>
    </row>
    <row r="51" spans="1:23">
      <c r="A51" s="16" t="s">
        <v>110</v>
      </c>
      <c r="C51" s="23"/>
      <c r="D51" s="90"/>
      <c r="E51" s="90"/>
      <c r="F51" s="4"/>
      <c r="G51" s="117"/>
      <c r="H51" s="118"/>
      <c r="I51" s="118"/>
    </row>
    <row r="52" spans="1:23">
      <c r="A52" s="16" t="s">
        <v>112</v>
      </c>
      <c r="C52" s="23"/>
      <c r="D52" s="90"/>
      <c r="E52" s="90"/>
      <c r="F52" s="4"/>
      <c r="G52" s="117"/>
      <c r="H52" s="118"/>
      <c r="I52" s="118"/>
    </row>
    <row r="53" spans="1:23">
      <c r="A53" s="16" t="s">
        <v>113</v>
      </c>
      <c r="C53" s="23"/>
      <c r="D53" s="90"/>
      <c r="E53" s="90"/>
      <c r="F53" s="4"/>
      <c r="G53" s="117"/>
      <c r="H53" s="118"/>
      <c r="I53" s="118"/>
    </row>
    <row r="54" spans="1:23">
      <c r="C54" s="23"/>
      <c r="D54" s="90"/>
      <c r="E54" s="90"/>
      <c r="F54" s="4"/>
      <c r="G54" s="117"/>
      <c r="H54" s="118"/>
      <c r="I54" s="118"/>
    </row>
    <row r="55" spans="1:23">
      <c r="C55" s="23"/>
      <c r="D55" s="90"/>
      <c r="E55" s="90"/>
      <c r="F55" s="4"/>
      <c r="G55" s="117"/>
      <c r="H55" s="118"/>
      <c r="I55" s="118"/>
    </row>
    <row r="56" spans="1:23">
      <c r="C56" s="23"/>
      <c r="D56" s="90"/>
      <c r="E56" s="90"/>
      <c r="G56" s="117"/>
      <c r="H56" s="118"/>
      <c r="I56" s="118"/>
    </row>
    <row r="57" spans="1:23">
      <c r="C57" s="23"/>
      <c r="D57" s="90"/>
      <c r="E57" s="90"/>
      <c r="F57" s="4"/>
      <c r="G57" s="117"/>
      <c r="H57" s="118"/>
      <c r="I57" s="118"/>
    </row>
    <row r="58" spans="1:23">
      <c r="C58" s="23"/>
      <c r="D58" s="90"/>
      <c r="E58" s="90"/>
      <c r="F58" s="4"/>
      <c r="G58" s="117"/>
      <c r="H58" s="118"/>
      <c r="I58" s="118"/>
    </row>
    <row r="59" spans="1:23">
      <c r="C59" s="23"/>
      <c r="D59" s="90"/>
      <c r="E59" s="90"/>
      <c r="F59" s="4"/>
      <c r="G59" s="117"/>
      <c r="H59" s="118"/>
      <c r="I59" s="118"/>
    </row>
    <row r="60" spans="1:23">
      <c r="C60" s="23"/>
      <c r="D60" s="90"/>
      <c r="E60" s="90"/>
      <c r="G60" s="117"/>
      <c r="H60" s="118"/>
      <c r="I60" s="118"/>
    </row>
    <row r="61" spans="1:23">
      <c r="C61" s="23"/>
      <c r="D61" s="90"/>
      <c r="E61" s="90"/>
      <c r="G61" s="117"/>
      <c r="H61" s="118"/>
      <c r="I61" s="118"/>
    </row>
    <row r="62" spans="1:23">
      <c r="C62" s="23"/>
      <c r="D62" s="90"/>
      <c r="E62" s="90"/>
      <c r="G62" s="117"/>
      <c r="H62" s="118"/>
      <c r="I62" s="118"/>
    </row>
    <row r="63" spans="1:23">
      <c r="C63" s="23"/>
      <c r="D63" s="90"/>
      <c r="E63" s="90"/>
      <c r="F63" s="4"/>
      <c r="G63" s="117"/>
      <c r="H63" s="118"/>
      <c r="I63" s="118"/>
    </row>
    <row r="64" spans="1:23">
      <c r="C64" s="23"/>
      <c r="D64" s="90"/>
      <c r="E64" s="90"/>
      <c r="G64" s="117"/>
      <c r="H64" s="118"/>
      <c r="I64" s="118"/>
    </row>
    <row r="65" spans="3:9">
      <c r="C65" s="23"/>
      <c r="D65" s="90"/>
      <c r="E65" s="90"/>
      <c r="F65" s="4"/>
      <c r="G65" s="117"/>
      <c r="H65" s="118"/>
      <c r="I65" s="118"/>
    </row>
    <row r="66" spans="3:9">
      <c r="C66" s="23"/>
      <c r="D66" s="90"/>
      <c r="E66" s="90"/>
      <c r="F66" s="4"/>
      <c r="G66" s="117"/>
      <c r="H66" s="118"/>
      <c r="I66" s="118"/>
    </row>
    <row r="67" spans="3:9">
      <c r="C67" s="23"/>
      <c r="D67" s="90"/>
      <c r="E67" s="90"/>
      <c r="F67" s="4"/>
      <c r="G67" s="117"/>
      <c r="H67" s="118"/>
      <c r="I67" s="118"/>
    </row>
    <row r="68" spans="3:9">
      <c r="C68" s="23"/>
      <c r="D68" s="90"/>
      <c r="E68" s="90"/>
      <c r="G68" s="117"/>
      <c r="H68" s="118"/>
      <c r="I68" s="118"/>
    </row>
    <row r="69" spans="3:9">
      <c r="C69" s="23"/>
      <c r="D69" s="90"/>
      <c r="E69" s="90"/>
      <c r="G69" s="117"/>
      <c r="H69" s="118"/>
      <c r="I69" s="118"/>
    </row>
    <row r="70" spans="3:9">
      <c r="C70" s="23"/>
      <c r="D70" s="90"/>
      <c r="E70" s="90"/>
      <c r="G70" s="117"/>
      <c r="H70" s="118"/>
      <c r="I70" s="118"/>
    </row>
    <row r="71" spans="3:9">
      <c r="C71" s="23"/>
      <c r="D71" s="90"/>
      <c r="E71" s="90"/>
      <c r="F71" s="4"/>
      <c r="G71" s="117"/>
      <c r="H71" s="118"/>
      <c r="I71" s="118"/>
    </row>
    <row r="72" spans="3:9">
      <c r="C72" s="23"/>
      <c r="D72" s="90"/>
      <c r="E72" s="90"/>
      <c r="F72" s="4"/>
      <c r="G72" s="117"/>
      <c r="H72" s="118"/>
      <c r="I72" s="118"/>
    </row>
    <row r="73" spans="3:9">
      <c r="C73" s="23"/>
      <c r="D73" s="90"/>
      <c r="E73" s="90"/>
      <c r="G73" s="117"/>
      <c r="H73" s="118"/>
      <c r="I73" s="118"/>
    </row>
    <row r="74" spans="3:9">
      <c r="C74" s="23"/>
      <c r="D74" s="90"/>
      <c r="E74" s="90"/>
      <c r="G74" s="117"/>
      <c r="H74" s="118"/>
      <c r="I74" s="118"/>
    </row>
    <row r="75" spans="3:9">
      <c r="C75" s="23"/>
      <c r="D75" s="90"/>
      <c r="E75" s="90"/>
      <c r="F75" s="4"/>
      <c r="G75" s="117"/>
      <c r="H75" s="118"/>
      <c r="I75" s="118"/>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1" formatCode="\*\*0.0%"/>
            </x14:dxf>
          </x14:cfRule>
          <x14:cfRule type="expression" priority="4" id="{960CF273-368D-4DB7-8B1A-07A8DECF66FC}">
            <xm:f>G16&lt;'27'!$D$103</xm:f>
            <x14:dxf>
              <font>
                <color rgb="FF00B050"/>
              </font>
              <numFmt numFmtId="170"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69" formatCode="\*\*#,###,###,##0"/>
            </x14:dxf>
          </x14:cfRule>
          <x14:cfRule type="expression" priority="2" id="{970DE5FB-C1A7-4AFD-B4DC-18E10C799A06}">
            <xm:f>G16&lt;'27'!$D$103</xm:f>
            <x14:dxf>
              <font>
                <color rgb="FF00B050"/>
              </font>
              <numFmt numFmtId="168"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bottomRight"/>
      <selection pane="bottomLeft" activeCell="A17" sqref="A17"/>
      <selection pane="topRight" activeCell="C1" sqref="C1"/>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61" customFormat="1">
      <c r="A1" s="24"/>
      <c r="B1" s="24"/>
      <c r="C1" s="24"/>
      <c r="D1" s="24"/>
      <c r="E1" s="24"/>
      <c r="F1" s="24"/>
      <c r="G1" s="24"/>
      <c r="H1" s="24"/>
      <c r="I1" s="24"/>
      <c r="J1" s="24"/>
    </row>
    <row r="2" spans="1:18" s="61" customFormat="1">
      <c r="A2" s="24"/>
      <c r="B2" s="24"/>
      <c r="C2" s="24"/>
      <c r="D2" s="24"/>
      <c r="E2" s="24"/>
      <c r="F2" s="24"/>
      <c r="G2" s="24"/>
      <c r="H2" s="24"/>
      <c r="I2" s="24"/>
      <c r="J2" s="24"/>
    </row>
    <row r="3" spans="1:18" s="61" customFormat="1">
      <c r="A3" s="24"/>
      <c r="B3" s="24"/>
      <c r="C3" s="24"/>
      <c r="D3" s="24"/>
      <c r="E3" s="169"/>
      <c r="F3" s="169"/>
      <c r="G3" s="169"/>
      <c r="H3" s="169"/>
      <c r="I3" s="169"/>
      <c r="J3" s="169"/>
      <c r="L3" s="62"/>
      <c r="M3" s="63"/>
      <c r="N3" s="63"/>
    </row>
    <row r="4" spans="1:18" s="61" customFormat="1" ht="15" customHeight="1">
      <c r="A4" s="24"/>
      <c r="B4" s="24"/>
      <c r="C4" s="24"/>
      <c r="D4" s="24"/>
      <c r="E4" s="156"/>
      <c r="F4" s="157"/>
      <c r="G4" s="157"/>
      <c r="H4" s="157"/>
      <c r="I4" s="157"/>
      <c r="J4" s="157"/>
      <c r="L4" s="155"/>
      <c r="M4" s="155"/>
      <c r="N4" s="155"/>
    </row>
    <row r="5" spans="1:18" s="61" customFormat="1">
      <c r="A5" s="24"/>
      <c r="B5" s="24"/>
      <c r="C5" s="24"/>
      <c r="D5" s="24"/>
      <c r="E5" s="156"/>
      <c r="F5" s="157"/>
      <c r="G5" s="157"/>
      <c r="H5" s="157"/>
      <c r="I5" s="157"/>
      <c r="J5" s="157"/>
      <c r="L5" s="155"/>
      <c r="M5" s="155"/>
      <c r="N5" s="155"/>
    </row>
    <row r="6" spans="1:18" s="61" customFormat="1" ht="15" customHeight="1">
      <c r="A6" s="24"/>
      <c r="B6" s="24"/>
      <c r="C6" s="24"/>
      <c r="D6" s="24"/>
      <c r="E6" s="156"/>
      <c r="F6" s="157"/>
      <c r="G6" s="157"/>
      <c r="H6" s="157"/>
      <c r="I6" s="157"/>
      <c r="J6" s="157"/>
      <c r="L6" s="158"/>
      <c r="M6" s="158"/>
      <c r="N6" s="158"/>
    </row>
    <row r="7" spans="1:18" s="61" customFormat="1">
      <c r="A7" s="24"/>
      <c r="B7" s="24"/>
      <c r="C7" s="24"/>
      <c r="D7" s="24"/>
      <c r="E7" s="156"/>
      <c r="F7" s="157"/>
      <c r="G7" s="157"/>
      <c r="H7" s="157"/>
      <c r="I7" s="157"/>
      <c r="J7" s="157"/>
      <c r="L7" s="158"/>
      <c r="M7" s="158"/>
      <c r="N7" s="158"/>
    </row>
    <row r="8" spans="1:18" s="61" customFormat="1">
      <c r="A8" s="25" t="str">
        <f>Index!A8</f>
        <v>AusPlay survey results July 2024 - June 2025</v>
      </c>
      <c r="B8" s="24"/>
      <c r="C8" s="24"/>
      <c r="D8" s="24"/>
      <c r="E8" s="156"/>
      <c r="F8" s="157"/>
      <c r="G8" s="157"/>
      <c r="H8" s="157"/>
      <c r="I8" s="157"/>
      <c r="J8" s="157"/>
      <c r="L8" s="158"/>
      <c r="M8" s="158"/>
      <c r="N8" s="158"/>
    </row>
    <row r="9" spans="1:18" s="61" customFormat="1">
      <c r="A9" s="24" t="s">
        <v>1</v>
      </c>
      <c r="B9" s="24"/>
      <c r="C9" s="133" t="s">
        <v>2</v>
      </c>
      <c r="D9" s="25"/>
      <c r="E9" s="156"/>
      <c r="F9" s="157"/>
      <c r="G9" s="157"/>
      <c r="H9" s="157"/>
      <c r="I9" s="157"/>
      <c r="J9" s="157"/>
      <c r="L9" s="158"/>
      <c r="M9" s="158"/>
      <c r="N9" s="158"/>
    </row>
    <row r="10" spans="1:18" s="61" customFormat="1">
      <c r="A10" s="24" t="s">
        <v>40</v>
      </c>
      <c r="B10" s="24"/>
      <c r="C10" s="26">
        <v>3</v>
      </c>
      <c r="D10" s="26"/>
      <c r="E10" s="24"/>
      <c r="F10" s="24"/>
      <c r="G10" s="24"/>
      <c r="H10" s="24"/>
      <c r="I10" s="24"/>
      <c r="J10" s="24"/>
      <c r="L10" s="64"/>
      <c r="M10" s="65"/>
    </row>
    <row r="11" spans="1:18" s="61" customFormat="1">
      <c r="A11" s="24" t="s">
        <v>3</v>
      </c>
      <c r="B11" s="24"/>
      <c r="C11" s="25" t="s">
        <v>12</v>
      </c>
      <c r="D11" s="25"/>
      <c r="E11" s="24"/>
      <c r="F11" s="24"/>
      <c r="G11" s="24"/>
      <c r="H11" s="24"/>
      <c r="I11" s="24"/>
      <c r="J11" s="24"/>
      <c r="R11" s="66"/>
    </row>
    <row r="12" spans="1:18" s="61" customFormat="1">
      <c r="A12" s="109" t="s">
        <v>41</v>
      </c>
      <c r="B12" s="109"/>
      <c r="C12" s="110" t="s">
        <v>42</v>
      </c>
      <c r="D12" s="110"/>
      <c r="E12" s="109"/>
      <c r="F12" s="109"/>
      <c r="G12" s="109"/>
      <c r="H12" s="109"/>
      <c r="I12" s="109"/>
      <c r="J12" s="109"/>
      <c r="R12" s="66"/>
    </row>
    <row r="13" spans="1:18" ht="24.95" customHeight="1">
      <c r="A13" s="27"/>
      <c r="B13" s="27"/>
      <c r="C13" s="28"/>
      <c r="D13" s="28"/>
      <c r="E13" s="154" t="s">
        <v>122</v>
      </c>
      <c r="F13" s="154"/>
      <c r="G13" s="154"/>
      <c r="H13" s="154"/>
      <c r="I13" s="154"/>
      <c r="J13" s="154"/>
      <c r="Q13" s="67"/>
      <c r="R13" s="5"/>
    </row>
    <row r="14" spans="1:18" s="5" customFormat="1" ht="34.5" customHeight="1">
      <c r="A14" s="68"/>
      <c r="B14" s="68"/>
      <c r="C14" s="32" t="s">
        <v>48</v>
      </c>
      <c r="D14" s="55"/>
      <c r="E14" s="55" t="s">
        <v>123</v>
      </c>
      <c r="F14" s="55" t="s">
        <v>124</v>
      </c>
      <c r="G14" s="55" t="s">
        <v>125</v>
      </c>
      <c r="H14" s="55" t="s">
        <v>126</v>
      </c>
      <c r="I14" s="55" t="s">
        <v>127</v>
      </c>
      <c r="J14" s="55" t="s">
        <v>128</v>
      </c>
      <c r="Q14" s="67"/>
      <c r="R14" s="1"/>
    </row>
    <row r="15" spans="1:18">
      <c r="A15" s="27"/>
      <c r="B15" s="27"/>
      <c r="C15" s="33"/>
      <c r="D15" s="33"/>
      <c r="E15" s="33" t="s">
        <v>129</v>
      </c>
      <c r="F15" s="33" t="s">
        <v>130</v>
      </c>
      <c r="G15" s="33" t="s">
        <v>131</v>
      </c>
      <c r="H15" s="33" t="s">
        <v>132</v>
      </c>
      <c r="I15" s="33" t="s">
        <v>133</v>
      </c>
      <c r="J15" s="33" t="s">
        <v>134</v>
      </c>
    </row>
    <row r="16" spans="1:18">
      <c r="A16" s="57"/>
      <c r="B16" s="57"/>
      <c r="C16" s="160" t="s">
        <v>135</v>
      </c>
      <c r="D16" s="160"/>
      <c r="E16" s="160"/>
      <c r="F16" s="160"/>
      <c r="G16" s="160"/>
      <c r="H16" s="160"/>
      <c r="I16" s="160"/>
      <c r="J16" s="160"/>
    </row>
    <row r="17" spans="1:13" ht="17.25">
      <c r="A17" s="30" t="s">
        <v>136</v>
      </c>
      <c r="B17" s="30" t="s">
        <v>48</v>
      </c>
      <c r="C17" s="23">
        <v>0.86963982973966603</v>
      </c>
      <c r="D17" s="23"/>
      <c r="E17" s="23">
        <v>0.42890993373680814</v>
      </c>
      <c r="F17" s="23">
        <v>0.36708204041569736</v>
      </c>
      <c r="G17" s="23">
        <v>6.6940659611363501E-2</v>
      </c>
      <c r="H17" s="23">
        <v>6.7071959757969753E-3</v>
      </c>
      <c r="I17" s="23">
        <v>0.79599197415250555</v>
      </c>
      <c r="J17" s="23">
        <v>0.43402270002706078</v>
      </c>
      <c r="K17" s="93" t="s">
        <v>137</v>
      </c>
      <c r="L17" s="131"/>
      <c r="M17" s="93"/>
    </row>
    <row r="18" spans="1:13">
      <c r="A18" s="30"/>
      <c r="B18" s="29" t="s">
        <v>53</v>
      </c>
      <c r="C18" s="4">
        <v>0.8458346814960821</v>
      </c>
      <c r="D18" s="4"/>
      <c r="E18" s="4">
        <v>0.21085199120850198</v>
      </c>
      <c r="F18" s="4">
        <v>0.54794243605662774</v>
      </c>
      <c r="G18" s="4">
        <v>5.241027316863682E-2</v>
      </c>
      <c r="H18" s="4">
        <v>3.4629981062315497E-2</v>
      </c>
      <c r="I18" s="4">
        <v>0.7587944272651298</v>
      </c>
      <c r="J18" s="4">
        <v>0.60035270922526451</v>
      </c>
    </row>
    <row r="19" spans="1:13">
      <c r="A19" s="30"/>
      <c r="B19" s="29" t="s">
        <v>54</v>
      </c>
      <c r="C19" s="4">
        <v>0.88919858930641882</v>
      </c>
      <c r="D19" s="4"/>
      <c r="E19" s="4">
        <v>0.33648745867522833</v>
      </c>
      <c r="F19" s="4">
        <v>0.48431626832937053</v>
      </c>
      <c r="G19" s="4">
        <v>6.5496992675440222E-2</v>
      </c>
      <c r="H19" s="4">
        <v>2.8978696263796846E-3</v>
      </c>
      <c r="I19" s="4">
        <v>0.82080372700459892</v>
      </c>
      <c r="J19" s="4">
        <v>0.54981326100481076</v>
      </c>
    </row>
    <row r="20" spans="1:13">
      <c r="A20" s="30"/>
      <c r="B20" s="29" t="s">
        <v>55</v>
      </c>
      <c r="C20" s="4">
        <v>0.91865091515149855</v>
      </c>
      <c r="D20" s="4"/>
      <c r="E20" s="4">
        <v>0.37709780030082735</v>
      </c>
      <c r="F20" s="4">
        <v>0.46759544621576254</v>
      </c>
      <c r="G20" s="4">
        <v>6.819254966558351E-2</v>
      </c>
      <c r="H20" s="4">
        <v>5.7651189693251658E-3</v>
      </c>
      <c r="I20" s="4">
        <v>0.84469324651658984</v>
      </c>
      <c r="J20" s="4">
        <v>0.53578799588134607</v>
      </c>
    </row>
    <row r="21" spans="1:13">
      <c r="A21" s="30"/>
      <c r="B21" s="29" t="s">
        <v>56</v>
      </c>
      <c r="C21" s="4">
        <v>0.89233388530672919</v>
      </c>
      <c r="D21" s="4"/>
      <c r="E21" s="4">
        <v>0.43925539947246356</v>
      </c>
      <c r="F21" s="4">
        <v>0.36511300985362971</v>
      </c>
      <c r="G21" s="4">
        <v>8.2833668941979466E-2</v>
      </c>
      <c r="H21" s="4">
        <v>5.1318070386563641E-3</v>
      </c>
      <c r="I21" s="4">
        <v>0.80436840932609333</v>
      </c>
      <c r="J21" s="4">
        <v>0.44794667879560923</v>
      </c>
    </row>
    <row r="22" spans="1:13">
      <c r="A22" s="30"/>
      <c r="B22" s="29" t="s">
        <v>57</v>
      </c>
      <c r="C22" s="4">
        <v>0.89145479394323424</v>
      </c>
      <c r="D22" s="4"/>
      <c r="E22" s="4">
        <v>0.51446194704812698</v>
      </c>
      <c r="F22" s="4">
        <v>0.32426379956038059</v>
      </c>
      <c r="G22" s="4">
        <v>4.8763048796551446E-2</v>
      </c>
      <c r="H22" s="4">
        <v>3.9659985381752094E-3</v>
      </c>
      <c r="I22" s="4">
        <v>0.83872574660850752</v>
      </c>
      <c r="J22" s="4">
        <v>0.37302684835693206</v>
      </c>
    </row>
    <row r="23" spans="1:13">
      <c r="A23" s="30"/>
      <c r="B23" s="29" t="s">
        <v>58</v>
      </c>
      <c r="C23" s="4">
        <v>0.87521020434302987</v>
      </c>
      <c r="D23" s="4"/>
      <c r="E23" s="4">
        <v>0.53538838430035851</v>
      </c>
      <c r="F23" s="4">
        <v>0.28875053623547231</v>
      </c>
      <c r="G23" s="4">
        <v>4.3577101445301532E-2</v>
      </c>
      <c r="H23" s="4">
        <v>7.4941823618975374E-3</v>
      </c>
      <c r="I23" s="4">
        <v>0.82413892053583082</v>
      </c>
      <c r="J23" s="4">
        <v>0.33232763768077384</v>
      </c>
    </row>
    <row r="24" spans="1:13">
      <c r="A24" s="30"/>
      <c r="B24" s="29" t="s">
        <v>59</v>
      </c>
      <c r="C24" s="4">
        <v>0.78038466500755543</v>
      </c>
      <c r="D24" s="4"/>
      <c r="E24" s="4">
        <v>0.43425343180928722</v>
      </c>
      <c r="F24" s="4">
        <v>0.25506468885969097</v>
      </c>
      <c r="G24" s="4">
        <v>8.4172258093090632E-2</v>
      </c>
      <c r="H24" s="4">
        <v>6.8942862454865455E-3</v>
      </c>
      <c r="I24" s="4">
        <v>0.68931812066897824</v>
      </c>
      <c r="J24" s="4">
        <v>0.33923694695278162</v>
      </c>
    </row>
    <row r="25" spans="1:13">
      <c r="A25" s="30"/>
      <c r="B25" s="30"/>
      <c r="C25" s="4"/>
      <c r="D25" s="4"/>
      <c r="E25" s="4"/>
      <c r="F25" s="4"/>
      <c r="G25" s="4"/>
      <c r="H25" s="4"/>
    </row>
    <row r="26" spans="1:13">
      <c r="A26" s="30" t="s">
        <v>49</v>
      </c>
      <c r="B26" s="30" t="s">
        <v>48</v>
      </c>
      <c r="C26" s="23">
        <v>0.87734997938212766</v>
      </c>
      <c r="D26" s="23"/>
      <c r="E26" s="23">
        <v>0.44169811459995345</v>
      </c>
      <c r="F26" s="23">
        <v>0.36410882957613799</v>
      </c>
      <c r="G26" s="23">
        <v>6.5213506380033925E-2</v>
      </c>
      <c r="H26" s="23">
        <v>6.3295288260023794E-3</v>
      </c>
      <c r="I26" s="23">
        <v>0.80580694417609144</v>
      </c>
      <c r="J26" s="23">
        <v>0.42932233595617186</v>
      </c>
    </row>
    <row r="27" spans="1:13">
      <c r="A27" s="30"/>
      <c r="B27" s="29" t="s">
        <v>53</v>
      </c>
      <c r="C27" s="4">
        <v>0.81985642470116016</v>
      </c>
      <c r="D27" s="4"/>
      <c r="E27" s="4">
        <v>0.15703660711909084</v>
      </c>
      <c r="F27" s="4">
        <v>0.6042842052596008</v>
      </c>
      <c r="G27" s="4">
        <v>3.1338435378205722E-2</v>
      </c>
      <c r="H27" s="4">
        <v>2.7197176944262959E-2</v>
      </c>
      <c r="I27" s="4">
        <v>0.76132081237869165</v>
      </c>
      <c r="J27" s="4">
        <v>0.63562264063780649</v>
      </c>
    </row>
    <row r="28" spans="1:13">
      <c r="A28" s="30"/>
      <c r="B28" s="29" t="s">
        <v>54</v>
      </c>
      <c r="C28" s="4">
        <v>0.88133156578454641</v>
      </c>
      <c r="D28" s="4"/>
      <c r="E28" s="4">
        <v>0.32876131104688494</v>
      </c>
      <c r="F28" s="4">
        <v>0.47759892573260654</v>
      </c>
      <c r="G28" s="4">
        <v>7.1064520860963903E-2</v>
      </c>
      <c r="H28" s="4">
        <v>3.9068081440909678E-3</v>
      </c>
      <c r="I28" s="4">
        <v>0.80636023677949153</v>
      </c>
      <c r="J28" s="4">
        <v>0.54866344659357047</v>
      </c>
    </row>
    <row r="29" spans="1:13">
      <c r="A29" s="30"/>
      <c r="B29" s="29" t="s">
        <v>55</v>
      </c>
      <c r="C29" s="4">
        <v>0.92020702602572468</v>
      </c>
      <c r="D29" s="4"/>
      <c r="E29" s="4">
        <v>0.38129063837109595</v>
      </c>
      <c r="F29" s="4">
        <v>0.46042583911445806</v>
      </c>
      <c r="G29" s="4">
        <v>7.3894660307643828E-2</v>
      </c>
      <c r="H29" s="4">
        <v>4.5958882325268314E-3</v>
      </c>
      <c r="I29" s="4">
        <v>0.841716477485554</v>
      </c>
      <c r="J29" s="4">
        <v>0.53432049942210191</v>
      </c>
    </row>
    <row r="30" spans="1:13">
      <c r="A30" s="30"/>
      <c r="B30" s="29" t="s">
        <v>56</v>
      </c>
      <c r="C30" s="4">
        <v>0.88795491604472043</v>
      </c>
      <c r="D30" s="4"/>
      <c r="E30" s="4">
        <v>0.44169799238175994</v>
      </c>
      <c r="F30" s="4">
        <v>0.34807441464614691</v>
      </c>
      <c r="G30" s="4">
        <v>9.0208515155951588E-2</v>
      </c>
      <c r="H30" s="4">
        <v>7.9739938608619602E-3</v>
      </c>
      <c r="I30" s="4">
        <v>0.78977240702790685</v>
      </c>
      <c r="J30" s="4">
        <v>0.43828292980209849</v>
      </c>
    </row>
    <row r="31" spans="1:13">
      <c r="A31" s="30"/>
      <c r="B31" s="29" t="s">
        <v>57</v>
      </c>
      <c r="C31" s="4">
        <v>0.90325367960492076</v>
      </c>
      <c r="D31" s="4"/>
      <c r="E31" s="4">
        <v>0.53869577531890944</v>
      </c>
      <c r="F31" s="4">
        <v>0.30475071750875171</v>
      </c>
      <c r="G31" s="4">
        <v>5.3906311958537415E-2</v>
      </c>
      <c r="H31" s="4">
        <v>5.9008748187222319E-3</v>
      </c>
      <c r="I31" s="4">
        <v>0.84344649282766115</v>
      </c>
      <c r="J31" s="4">
        <v>0.35865702946728911</v>
      </c>
    </row>
    <row r="32" spans="1:13">
      <c r="A32" s="30"/>
      <c r="B32" s="29" t="s">
        <v>58</v>
      </c>
      <c r="C32" s="4">
        <v>0.87325812495111199</v>
      </c>
      <c r="D32" s="4"/>
      <c r="E32" s="4">
        <v>0.54025083608881552</v>
      </c>
      <c r="F32" s="4">
        <v>0.28203281392019763</v>
      </c>
      <c r="G32" s="4">
        <v>4.5713952568033109E-2</v>
      </c>
      <c r="H32" s="4">
        <v>5.2605223740657169E-3</v>
      </c>
      <c r="I32" s="4">
        <v>0.82228365000901316</v>
      </c>
      <c r="J32" s="4">
        <v>0.3277467664882307</v>
      </c>
    </row>
    <row r="33" spans="1:13">
      <c r="A33" s="30"/>
      <c r="B33" s="29" t="s">
        <v>59</v>
      </c>
      <c r="C33" s="4">
        <v>0.81769266188684908</v>
      </c>
      <c r="D33" s="4"/>
      <c r="E33" s="4">
        <v>0.48248766901270207</v>
      </c>
      <c r="F33" s="4">
        <v>0.27169076082008842</v>
      </c>
      <c r="G33" s="4">
        <v>5.8216696618287066E-2</v>
      </c>
      <c r="H33" s="4">
        <v>5.2975354357714458E-3</v>
      </c>
      <c r="I33" s="4">
        <v>0.75417842983279049</v>
      </c>
      <c r="J33" s="4">
        <v>0.32990745743837546</v>
      </c>
    </row>
    <row r="34" spans="1:13">
      <c r="A34" s="30"/>
      <c r="B34" s="29"/>
      <c r="C34" s="4"/>
      <c r="D34" s="4"/>
      <c r="E34" s="4"/>
      <c r="F34" s="4"/>
      <c r="G34" s="4"/>
      <c r="H34" s="4"/>
    </row>
    <row r="35" spans="1:13">
      <c r="A35" s="30" t="s">
        <v>50</v>
      </c>
      <c r="B35" s="30" t="s">
        <v>48</v>
      </c>
      <c r="C35" s="23">
        <v>0.86443769586122865</v>
      </c>
      <c r="D35" s="23"/>
      <c r="E35" s="23">
        <v>0.41684610195492983</v>
      </c>
      <c r="F35" s="23">
        <v>0.37166087896046462</v>
      </c>
      <c r="G35" s="23">
        <v>6.9154195679906272E-2</v>
      </c>
      <c r="H35" s="23">
        <v>6.7765192659280157E-3</v>
      </c>
      <c r="I35" s="23">
        <v>0.7885069809153944</v>
      </c>
      <c r="J35" s="23">
        <v>0.44081507464037095</v>
      </c>
    </row>
    <row r="36" spans="1:13">
      <c r="A36" s="30"/>
      <c r="B36" s="29" t="s">
        <v>53</v>
      </c>
      <c r="C36" s="4">
        <v>0.88504675958372225</v>
      </c>
      <c r="D36" s="4"/>
      <c r="E36" s="4">
        <v>0.2544727040562042</v>
      </c>
      <c r="F36" s="4">
        <v>0.52103030800918537</v>
      </c>
      <c r="G36" s="4">
        <v>6.8754624690541194E-2</v>
      </c>
      <c r="H36" s="4">
        <v>4.0789122827791464E-2</v>
      </c>
      <c r="I36" s="4">
        <v>0.77550301206538963</v>
      </c>
      <c r="J36" s="4">
        <v>0.58978493269972665</v>
      </c>
    </row>
    <row r="37" spans="1:13">
      <c r="A37" s="29"/>
      <c r="B37" s="29" t="s">
        <v>54</v>
      </c>
      <c r="C37" s="4">
        <v>0.90036212964180995</v>
      </c>
      <c r="D37" s="4"/>
      <c r="E37" s="4">
        <v>0.33935104558797535</v>
      </c>
      <c r="F37" s="4">
        <v>0.4999617077821511</v>
      </c>
      <c r="G37" s="4">
        <v>5.9269496548521136E-2</v>
      </c>
      <c r="H37" s="4">
        <v>1.77987972316249E-3</v>
      </c>
      <c r="I37" s="4">
        <v>0.83931275337012634</v>
      </c>
      <c r="J37" s="4">
        <v>0.55923120433067219</v>
      </c>
    </row>
    <row r="38" spans="1:13">
      <c r="A38" s="29"/>
      <c r="B38" s="29" t="s">
        <v>55</v>
      </c>
      <c r="C38" s="4">
        <v>0.91694020598070725</v>
      </c>
      <c r="D38" s="4"/>
      <c r="E38" s="4">
        <v>0.37039180881309502</v>
      </c>
      <c r="F38" s="4">
        <v>0.47704140534966788</v>
      </c>
      <c r="G38" s="4">
        <v>6.3798418731979903E-2</v>
      </c>
      <c r="H38" s="4">
        <v>5.7085730859644255E-3</v>
      </c>
      <c r="I38" s="4">
        <v>0.84743321416276285</v>
      </c>
      <c r="J38" s="4">
        <v>0.54083982408164777</v>
      </c>
    </row>
    <row r="39" spans="1:13">
      <c r="A39" s="29"/>
      <c r="B39" s="29" t="s">
        <v>56</v>
      </c>
      <c r="C39" s="4">
        <v>0.89883807715386688</v>
      </c>
      <c r="D39" s="4"/>
      <c r="E39" s="4">
        <v>0.43634748428447978</v>
      </c>
      <c r="F39" s="4">
        <v>0.38397116380134644</v>
      </c>
      <c r="G39" s="4">
        <v>7.6246761006113856E-2</v>
      </c>
      <c r="H39" s="4">
        <v>2.2726680619268333E-3</v>
      </c>
      <c r="I39" s="4">
        <v>0.82031864808582622</v>
      </c>
      <c r="J39" s="4">
        <v>0.46021792480746032</v>
      </c>
    </row>
    <row r="40" spans="1:13">
      <c r="A40" s="29"/>
      <c r="B40" s="29" t="s">
        <v>57</v>
      </c>
      <c r="C40" s="4">
        <v>0.87860480728682233</v>
      </c>
      <c r="D40" s="4"/>
      <c r="E40" s="4">
        <v>0.49310940639286038</v>
      </c>
      <c r="F40" s="4">
        <v>0.34133573888026081</v>
      </c>
      <c r="G40" s="4">
        <v>4.3105285774058998E-2</v>
      </c>
      <c r="H40" s="4">
        <v>1.0543762396421877E-3</v>
      </c>
      <c r="I40" s="4">
        <v>0.83444514527312119</v>
      </c>
      <c r="J40" s="4">
        <v>0.38444102465431984</v>
      </c>
    </row>
    <row r="41" spans="1:13">
      <c r="A41" s="29"/>
      <c r="B41" s="29" t="s">
        <v>58</v>
      </c>
      <c r="C41" s="4">
        <v>0.8764925370315062</v>
      </c>
      <c r="D41" s="4"/>
      <c r="E41" s="4">
        <v>0.53077722048727827</v>
      </c>
      <c r="F41" s="4">
        <v>0.29427871164288699</v>
      </c>
      <c r="G41" s="4">
        <v>4.1683205706535158E-2</v>
      </c>
      <c r="H41" s="4">
        <v>9.7533991948057022E-3</v>
      </c>
      <c r="I41" s="4">
        <v>0.82505593213016526</v>
      </c>
      <c r="J41" s="4">
        <v>0.33596191734942221</v>
      </c>
    </row>
    <row r="42" spans="1:13">
      <c r="A42" s="29"/>
      <c r="B42" s="29" t="s">
        <v>59</v>
      </c>
      <c r="C42" s="4">
        <v>0.75356774163465612</v>
      </c>
      <c r="D42" s="119"/>
      <c r="E42" s="4">
        <v>0.39495702105800667</v>
      </c>
      <c r="F42" s="4">
        <v>0.24307167188493239</v>
      </c>
      <c r="G42" s="4">
        <v>0.10721202823710071</v>
      </c>
      <c r="H42" s="4">
        <v>8.3270204546163351E-3</v>
      </c>
      <c r="I42" s="4">
        <v>0.63802869294293907</v>
      </c>
      <c r="J42" s="4">
        <v>0.35028370012203308</v>
      </c>
    </row>
    <row r="43" spans="1:13">
      <c r="A43" s="132"/>
      <c r="B43" s="132"/>
      <c r="C43" s="159" t="s">
        <v>138</v>
      </c>
      <c r="D43" s="159"/>
      <c r="E43" s="159"/>
      <c r="F43" s="159"/>
      <c r="G43" s="159"/>
      <c r="H43" s="159"/>
      <c r="I43" s="159"/>
      <c r="J43" s="159"/>
    </row>
    <row r="44" spans="1:13" ht="17.25">
      <c r="A44" s="30" t="s">
        <v>136</v>
      </c>
      <c r="B44" s="30" t="s">
        <v>48</v>
      </c>
      <c r="C44" s="69">
        <v>5015652.8174779322</v>
      </c>
      <c r="D44" s="69"/>
      <c r="E44" s="69">
        <v>2473740.5578988874</v>
      </c>
      <c r="F44" s="69">
        <v>2117147.8206186877</v>
      </c>
      <c r="G44" s="69">
        <v>386080.64683982613</v>
      </c>
      <c r="H44" s="69">
        <v>38683.792120530466</v>
      </c>
      <c r="I44" s="69">
        <v>4590888.3785175756</v>
      </c>
      <c r="J44" s="69">
        <v>2503228.4674585136</v>
      </c>
    </row>
    <row r="45" spans="1:13">
      <c r="A45" s="30"/>
      <c r="B45" s="29" t="s">
        <v>53</v>
      </c>
      <c r="C45" s="70">
        <v>203601.16935916865</v>
      </c>
      <c r="D45" s="39"/>
      <c r="E45" s="70">
        <v>50754.25838040551</v>
      </c>
      <c r="F45" s="70">
        <v>131895.42018460928</v>
      </c>
      <c r="G45" s="70">
        <v>12615.695640067397</v>
      </c>
      <c r="H45" s="70">
        <v>8335.7951540864542</v>
      </c>
      <c r="I45" s="70">
        <v>182649.67856501479</v>
      </c>
      <c r="J45" s="70">
        <v>144511.11582467667</v>
      </c>
      <c r="L45" s="67"/>
      <c r="M45" s="67"/>
    </row>
    <row r="46" spans="1:13">
      <c r="A46" s="30"/>
      <c r="B46" s="29" t="s">
        <v>54</v>
      </c>
      <c r="C46" s="70">
        <v>603392.94720027607</v>
      </c>
      <c r="D46" s="39"/>
      <c r="E46" s="70">
        <v>228333.87482580825</v>
      </c>
      <c r="F46" s="70">
        <v>328647.64298855042</v>
      </c>
      <c r="G46" s="70">
        <v>44444.991162227307</v>
      </c>
      <c r="H46" s="70">
        <v>1966.4382236900367</v>
      </c>
      <c r="I46" s="70">
        <v>556981.5178143587</v>
      </c>
      <c r="J46" s="70">
        <v>373092.63415077771</v>
      </c>
      <c r="L46" s="67"/>
      <c r="M46" s="71"/>
    </row>
    <row r="47" spans="1:13">
      <c r="A47" s="30"/>
      <c r="B47" s="29" t="s">
        <v>55</v>
      </c>
      <c r="C47" s="70">
        <v>970562.02906689572</v>
      </c>
      <c r="D47" s="39"/>
      <c r="E47" s="70">
        <v>398406.83787516388</v>
      </c>
      <c r="F47" s="70">
        <v>494018.3235835213</v>
      </c>
      <c r="G47" s="70">
        <v>72045.973371461703</v>
      </c>
      <c r="H47" s="70">
        <v>6090.8942367488107</v>
      </c>
      <c r="I47" s="70">
        <v>892425.16145868518</v>
      </c>
      <c r="J47" s="70">
        <v>566064.29695498303</v>
      </c>
      <c r="L47" s="67"/>
      <c r="M47" s="71"/>
    </row>
    <row r="48" spans="1:13">
      <c r="A48" s="30"/>
      <c r="B48" s="29" t="s">
        <v>56</v>
      </c>
      <c r="C48" s="70">
        <v>896984.71225507965</v>
      </c>
      <c r="D48" s="39"/>
      <c r="E48" s="70">
        <v>441544.7901172812</v>
      </c>
      <c r="F48" s="70">
        <v>367015.97179801104</v>
      </c>
      <c r="G48" s="70">
        <v>83265.396422118443</v>
      </c>
      <c r="H48" s="70">
        <v>5158.5539176689363</v>
      </c>
      <c r="I48" s="70">
        <v>808560.76191529224</v>
      </c>
      <c r="J48" s="70">
        <v>450281.36822012952</v>
      </c>
      <c r="L48" s="67"/>
      <c r="M48" s="5"/>
    </row>
    <row r="49" spans="1:12">
      <c r="A49" s="30"/>
      <c r="B49" s="29" t="s">
        <v>57</v>
      </c>
      <c r="C49" s="70">
        <v>769097.39473075035</v>
      </c>
      <c r="D49" s="39"/>
      <c r="E49" s="70">
        <v>443849.02728788194</v>
      </c>
      <c r="F49" s="70">
        <v>279756.69113207277</v>
      </c>
      <c r="G49" s="70">
        <v>42070.034334174336</v>
      </c>
      <c r="H49" s="70">
        <v>3421.6419766213635</v>
      </c>
      <c r="I49" s="70">
        <v>723605.71841995465</v>
      </c>
      <c r="J49" s="70">
        <v>321826.72546624712</v>
      </c>
      <c r="L49" s="67"/>
    </row>
    <row r="50" spans="1:12">
      <c r="A50" s="30"/>
      <c r="B50" s="29" t="s">
        <v>58</v>
      </c>
      <c r="C50" s="70">
        <v>652990.95993130666</v>
      </c>
      <c r="D50" s="39"/>
      <c r="E50" s="70">
        <v>399451.20985282608</v>
      </c>
      <c r="F50" s="70">
        <v>215435.66208601897</v>
      </c>
      <c r="G50" s="70">
        <v>32512.707418843744</v>
      </c>
      <c r="H50" s="70">
        <v>5591.3805736178656</v>
      </c>
      <c r="I50" s="70">
        <v>614886.87193884503</v>
      </c>
      <c r="J50" s="70">
        <v>247948.36950486273</v>
      </c>
      <c r="L50" s="67"/>
    </row>
    <row r="51" spans="1:12">
      <c r="A51" s="30"/>
      <c r="B51" s="29" t="s">
        <v>59</v>
      </c>
      <c r="C51" s="70">
        <v>919023.60493447096</v>
      </c>
      <c r="D51" s="39"/>
      <c r="E51" s="70">
        <v>511400.5595595254</v>
      </c>
      <c r="F51" s="70">
        <v>300378.10884591501</v>
      </c>
      <c r="G51" s="70">
        <v>99125.848490933524</v>
      </c>
      <c r="H51" s="70">
        <v>8119.0880380970084</v>
      </c>
      <c r="I51" s="70">
        <v>811778.6684054404</v>
      </c>
      <c r="J51" s="70">
        <v>399503.95733684854</v>
      </c>
      <c r="L51" s="67"/>
    </row>
    <row r="52" spans="1:12">
      <c r="A52" s="30"/>
      <c r="B52" s="30"/>
      <c r="C52" s="39"/>
      <c r="D52" s="39"/>
      <c r="E52" s="19"/>
      <c r="F52" s="19"/>
      <c r="G52" s="19"/>
      <c r="H52" s="19"/>
    </row>
    <row r="53" spans="1:12">
      <c r="A53" s="30" t="s">
        <v>49</v>
      </c>
      <c r="B53" s="30" t="s">
        <v>48</v>
      </c>
      <c r="C53" s="40">
        <v>2468235.6042128871</v>
      </c>
      <c r="D53" s="40"/>
      <c r="E53" s="69">
        <v>1242622.7142982227</v>
      </c>
      <c r="F53" s="69">
        <v>1024341.9366135035</v>
      </c>
      <c r="G53" s="69">
        <v>183464.18431117013</v>
      </c>
      <c r="H53" s="69">
        <v>17806.768989990949</v>
      </c>
      <c r="I53" s="69">
        <v>2266964.6509117261</v>
      </c>
      <c r="J53" s="69">
        <v>1207806.1209246735</v>
      </c>
    </row>
    <row r="54" spans="1:12">
      <c r="A54" s="30"/>
      <c r="B54" s="29" t="s">
        <v>53</v>
      </c>
      <c r="C54" s="92">
        <v>81119.410643663708</v>
      </c>
      <c r="D54" s="39"/>
      <c r="E54" s="70">
        <v>15537.741286377684</v>
      </c>
      <c r="F54" s="70">
        <v>59789.954820200554</v>
      </c>
      <c r="G54" s="70">
        <v>3100.7324353178192</v>
      </c>
      <c r="H54" s="70">
        <v>2690.9821017676632</v>
      </c>
      <c r="I54" s="70">
        <v>75327.696106578238</v>
      </c>
      <c r="J54" s="70">
        <v>62890.687255518373</v>
      </c>
    </row>
    <row r="55" spans="1:12">
      <c r="A55" s="30"/>
      <c r="B55" s="29" t="s">
        <v>54</v>
      </c>
      <c r="C55" s="92">
        <v>321407.43637302675</v>
      </c>
      <c r="D55" s="39"/>
      <c r="E55" s="70">
        <v>119893.95848786167</v>
      </c>
      <c r="F55" s="70">
        <v>174172.64091475285</v>
      </c>
      <c r="G55" s="70">
        <v>25916.086923163264</v>
      </c>
      <c r="H55" s="70">
        <v>1424.7500472489692</v>
      </c>
      <c r="I55" s="70">
        <v>294066.59940261452</v>
      </c>
      <c r="J55" s="70">
        <v>200088.72783791611</v>
      </c>
    </row>
    <row r="56" spans="1:12">
      <c r="A56" s="30"/>
      <c r="B56" s="29" t="s">
        <v>55</v>
      </c>
      <c r="C56" s="92">
        <v>465225.36404006014</v>
      </c>
      <c r="D56" s="39"/>
      <c r="E56" s="70">
        <v>192767.57406142773</v>
      </c>
      <c r="F56" s="70">
        <v>232775.63913045565</v>
      </c>
      <c r="G56" s="70">
        <v>37358.626124290364</v>
      </c>
      <c r="H56" s="70">
        <v>2323.5247238863744</v>
      </c>
      <c r="I56" s="70">
        <v>425543.21319188341</v>
      </c>
      <c r="J56" s="70">
        <v>270134.26525474602</v>
      </c>
    </row>
    <row r="57" spans="1:12">
      <c r="A57" s="30"/>
      <c r="B57" s="29" t="s">
        <v>56</v>
      </c>
      <c r="C57" s="92">
        <v>449706.13616719306</v>
      </c>
      <c r="D57" s="39"/>
      <c r="E57" s="70">
        <v>223698.6291957233</v>
      </c>
      <c r="F57" s="70">
        <v>176282.82391455639</v>
      </c>
      <c r="G57" s="70">
        <v>45686.241572786741</v>
      </c>
      <c r="H57" s="70">
        <v>4038.4414841265984</v>
      </c>
      <c r="I57" s="70">
        <v>399981.45311027969</v>
      </c>
      <c r="J57" s="70">
        <v>221969.06548734312</v>
      </c>
    </row>
    <row r="58" spans="1:12">
      <c r="A58" s="30"/>
      <c r="B58" s="29" t="s">
        <v>57</v>
      </c>
      <c r="C58" s="92">
        <v>384156.93381922931</v>
      </c>
      <c r="D58" s="39"/>
      <c r="E58" s="70">
        <v>229109.18823868065</v>
      </c>
      <c r="F58" s="70">
        <v>129611.54087806099</v>
      </c>
      <c r="G58" s="70">
        <v>22926.542103379405</v>
      </c>
      <c r="H58" s="70">
        <v>2509.6625991083133</v>
      </c>
      <c r="I58" s="70">
        <v>358720.72911674163</v>
      </c>
      <c r="J58" s="70">
        <v>152538.08298144038</v>
      </c>
    </row>
    <row r="59" spans="1:12">
      <c r="A59" s="30"/>
      <c r="B59" s="29" t="s">
        <v>58</v>
      </c>
      <c r="C59" s="92">
        <v>323892.01208408043</v>
      </c>
      <c r="D59" s="39"/>
      <c r="E59" s="70">
        <v>200379.38993205401</v>
      </c>
      <c r="F59" s="70">
        <v>104606.15591691385</v>
      </c>
      <c r="G59" s="70">
        <v>16955.33503155825</v>
      </c>
      <c r="H59" s="70">
        <v>1951.1312035543392</v>
      </c>
      <c r="I59" s="70">
        <v>304985.54584896786</v>
      </c>
      <c r="J59" s="70">
        <v>121561.4909484721</v>
      </c>
    </row>
    <row r="60" spans="1:12">
      <c r="A60" s="30"/>
      <c r="B60" s="29" t="s">
        <v>59</v>
      </c>
      <c r="C60" s="92">
        <v>442728.31108561927</v>
      </c>
      <c r="D60" s="39"/>
      <c r="E60" s="70">
        <v>261236.2330960847</v>
      </c>
      <c r="F60" s="70">
        <v>147103.18103856183</v>
      </c>
      <c r="G60" s="70">
        <v>31520.620120674022</v>
      </c>
      <c r="H60" s="70">
        <v>2868.2768302986929</v>
      </c>
      <c r="I60" s="70">
        <v>408339.41413464653</v>
      </c>
      <c r="J60" s="70">
        <v>178623.80115923585</v>
      </c>
    </row>
    <row r="61" spans="1:12">
      <c r="A61" s="30"/>
      <c r="B61" s="29"/>
      <c r="C61" s="39"/>
      <c r="D61" s="39"/>
      <c r="E61" s="19"/>
      <c r="F61" s="19"/>
      <c r="G61" s="19"/>
      <c r="H61" s="19"/>
    </row>
    <row r="62" spans="1:12">
      <c r="A62" s="30" t="s">
        <v>50</v>
      </c>
      <c r="B62" s="30" t="s">
        <v>48</v>
      </c>
      <c r="C62" s="40">
        <v>2520330.1425825427</v>
      </c>
      <c r="D62" s="40"/>
      <c r="E62" s="69">
        <v>1215344.7271041966</v>
      </c>
      <c r="F62" s="69">
        <v>1083603.9665409897</v>
      </c>
      <c r="G62" s="69">
        <v>201624.02066984694</v>
      </c>
      <c r="H62" s="69">
        <v>19757.428267509829</v>
      </c>
      <c r="I62" s="69">
        <v>2298948.6936451863</v>
      </c>
      <c r="J62" s="69">
        <v>1285227.9872108367</v>
      </c>
    </row>
    <row r="63" spans="1:12">
      <c r="A63" s="29"/>
      <c r="B63" s="29" t="s">
        <v>53</v>
      </c>
      <c r="C63" s="92">
        <v>122481.75871550491</v>
      </c>
      <c r="D63" s="39"/>
      <c r="E63" s="70">
        <v>35216.517094027826</v>
      </c>
      <c r="F63" s="70">
        <v>72105.465364408708</v>
      </c>
      <c r="G63" s="70">
        <v>9514.9632047495779</v>
      </c>
      <c r="H63" s="70">
        <v>5644.813052318792</v>
      </c>
      <c r="I63" s="70">
        <v>107321.98245843654</v>
      </c>
      <c r="J63" s="70">
        <v>81620.428569158292</v>
      </c>
    </row>
    <row r="64" spans="1:12">
      <c r="A64" s="29"/>
      <c r="B64" s="29" t="s">
        <v>54</v>
      </c>
      <c r="C64" s="92">
        <v>274015.99883148016</v>
      </c>
      <c r="D64" s="39"/>
      <c r="E64" s="70">
        <v>103278.01742204481</v>
      </c>
      <c r="F64" s="70">
        <v>152158.22858955685</v>
      </c>
      <c r="G64" s="70">
        <v>18038.064643437458</v>
      </c>
      <c r="H64" s="70">
        <v>541.68817644106753</v>
      </c>
      <c r="I64" s="70">
        <v>255436.24601160164</v>
      </c>
      <c r="J64" s="70">
        <v>170196.2932329943</v>
      </c>
    </row>
    <row r="65" spans="1:10">
      <c r="A65" s="29"/>
      <c r="B65" s="29" t="s">
        <v>55</v>
      </c>
      <c r="C65" s="92">
        <v>498542.50249312649</v>
      </c>
      <c r="D65" s="39"/>
      <c r="E65" s="70">
        <v>201382.87978237186</v>
      </c>
      <c r="F65" s="70">
        <v>259368.51112499402</v>
      </c>
      <c r="G65" s="70">
        <v>34687.347247171354</v>
      </c>
      <c r="H65" s="70">
        <v>3103.7643385892652</v>
      </c>
      <c r="I65" s="70">
        <v>460751.39090736589</v>
      </c>
      <c r="J65" s="70">
        <v>294055.85837216536</v>
      </c>
    </row>
    <row r="66" spans="1:10">
      <c r="A66" s="29"/>
      <c r="B66" s="29" t="s">
        <v>56</v>
      </c>
      <c r="C66" s="92">
        <v>443003.41208110243</v>
      </c>
      <c r="D66" s="39"/>
      <c r="E66" s="70">
        <v>215059.22958128006</v>
      </c>
      <c r="F66" s="70">
        <v>189244.91521694828</v>
      </c>
      <c r="G66" s="70">
        <v>37579.154849331782</v>
      </c>
      <c r="H66" s="70">
        <v>1120.1124335423378</v>
      </c>
      <c r="I66" s="70">
        <v>404304.14479822834</v>
      </c>
      <c r="J66" s="70">
        <v>226824.07006628008</v>
      </c>
    </row>
    <row r="67" spans="1:10">
      <c r="A67" s="29"/>
      <c r="B67" s="29" t="s">
        <v>57</v>
      </c>
      <c r="C67" s="92">
        <v>379973.21786259528</v>
      </c>
      <c r="D67" s="39"/>
      <c r="E67" s="70">
        <v>213256.70694201265</v>
      </c>
      <c r="F67" s="70">
        <v>147618.63126421405</v>
      </c>
      <c r="G67" s="70">
        <v>18641.889967612067</v>
      </c>
      <c r="H67" s="70">
        <v>455.9896887565252</v>
      </c>
      <c r="I67" s="70">
        <v>360875.3382062267</v>
      </c>
      <c r="J67" s="70">
        <v>166260.52123182613</v>
      </c>
    </row>
    <row r="68" spans="1:10">
      <c r="A68" s="29"/>
      <c r="B68" s="29" t="s">
        <v>58</v>
      </c>
      <c r="C68" s="92">
        <v>327132.24815954879</v>
      </c>
      <c r="D68" s="39"/>
      <c r="E68" s="70">
        <v>198101.33922867439</v>
      </c>
      <c r="F68" s="70">
        <v>109833.28717352534</v>
      </c>
      <c r="G68" s="70">
        <v>15557.372387285513</v>
      </c>
      <c r="H68" s="70">
        <v>3640.2493700635264</v>
      </c>
      <c r="I68" s="70">
        <v>307934.62640219973</v>
      </c>
      <c r="J68" s="70">
        <v>125390.65956081086</v>
      </c>
    </row>
    <row r="69" spans="1:10">
      <c r="A69" s="29"/>
      <c r="B69" s="29" t="s">
        <v>59</v>
      </c>
      <c r="C69" s="92">
        <v>475181.00443921977</v>
      </c>
      <c r="D69" s="39"/>
      <c r="E69" s="70">
        <v>249050.03705380822</v>
      </c>
      <c r="F69" s="70">
        <v>153274.9278073539</v>
      </c>
      <c r="G69" s="70">
        <v>67605.228370259341</v>
      </c>
      <c r="H69" s="70">
        <v>5250.8112077983169</v>
      </c>
      <c r="I69" s="70">
        <v>402324.96486116212</v>
      </c>
      <c r="J69" s="70">
        <v>220880.15617761324</v>
      </c>
    </row>
    <row r="70" spans="1:10">
      <c r="A70" s="111"/>
      <c r="B70" s="111"/>
      <c r="C70" s="104"/>
      <c r="D70" s="104"/>
      <c r="E70" s="139"/>
      <c r="F70" s="139"/>
      <c r="G70" s="139"/>
      <c r="H70" s="139"/>
      <c r="I70" s="139"/>
      <c r="J70" s="139"/>
    </row>
    <row r="71" spans="1:10">
      <c r="A71" s="115" t="s">
        <v>108</v>
      </c>
    </row>
    <row r="72" spans="1:10">
      <c r="A72" s="16" t="s">
        <v>112</v>
      </c>
    </row>
    <row r="73" spans="1:10">
      <c r="A73" s="16" t="s">
        <v>113</v>
      </c>
    </row>
    <row r="74" spans="1:10">
      <c r="A74" s="21" t="s">
        <v>111</v>
      </c>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1" formatCode="\*\*0.0%"/>
            </x14:dxf>
          </x14:cfRule>
          <x14:cfRule type="expression" priority="4" id="{EFA72807-B0EB-465A-855A-CBBE8E448C34}">
            <xm:f>C44&lt;'27'!$C$103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69" formatCode="\*\*#,###,###,##0"/>
            </x14:dxf>
          </x14:cfRule>
          <x14:cfRule type="expression" priority="2" id="{6781CF44-E2AF-448A-A2EB-B08F0E69E821}">
            <xm:f>C44&lt;'27'!$C$103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24"/>
      <c r="B1" s="24"/>
      <c r="C1" s="24"/>
      <c r="D1" s="24"/>
      <c r="E1" s="24"/>
      <c r="F1" s="24"/>
      <c r="G1" s="24"/>
      <c r="H1" s="24"/>
      <c r="I1" s="24"/>
      <c r="J1" s="24"/>
      <c r="K1" s="24"/>
      <c r="L1" s="24"/>
      <c r="M1" s="24"/>
      <c r="N1" s="24"/>
      <c r="O1" s="24"/>
      <c r="P1" s="24"/>
      <c r="Q1" s="24"/>
      <c r="R1" s="24"/>
      <c r="S1" s="24"/>
      <c r="T1" s="24"/>
    </row>
    <row r="2" spans="1:20">
      <c r="A2" s="24"/>
      <c r="B2" s="24"/>
      <c r="C2" s="24"/>
      <c r="D2" s="24"/>
      <c r="E2" s="24"/>
      <c r="F2" s="24"/>
      <c r="G2" s="24"/>
      <c r="H2" s="24"/>
      <c r="I2" s="24"/>
      <c r="J2" s="24"/>
      <c r="K2" s="24"/>
      <c r="L2" s="24"/>
      <c r="M2" s="24"/>
      <c r="N2" s="24"/>
      <c r="O2" s="24"/>
      <c r="P2" s="24"/>
      <c r="Q2" s="24"/>
      <c r="R2" s="24"/>
      <c r="S2" s="24"/>
      <c r="T2" s="24"/>
    </row>
    <row r="3" spans="1:20">
      <c r="A3" s="24"/>
      <c r="B3" s="24"/>
      <c r="C3" s="24"/>
      <c r="D3" s="24"/>
      <c r="E3" s="24"/>
      <c r="F3" s="24"/>
      <c r="G3" s="24"/>
      <c r="H3" s="24"/>
      <c r="I3" s="24"/>
      <c r="J3" s="24"/>
      <c r="K3" s="24"/>
      <c r="L3" s="24"/>
      <c r="M3" s="24"/>
      <c r="N3" s="24"/>
      <c r="O3" s="24"/>
      <c r="P3" s="24"/>
      <c r="Q3" s="24"/>
      <c r="R3" s="24"/>
      <c r="S3" s="24"/>
      <c r="T3" s="24"/>
    </row>
    <row r="4" spans="1:20">
      <c r="A4" s="24"/>
      <c r="B4" s="24"/>
      <c r="C4" s="24"/>
      <c r="D4" s="24"/>
      <c r="E4" s="24"/>
      <c r="F4" s="24"/>
      <c r="G4" s="24"/>
      <c r="H4" s="24"/>
      <c r="I4" s="24"/>
      <c r="J4" s="24"/>
      <c r="K4" s="24"/>
      <c r="L4" s="24"/>
      <c r="M4" s="24"/>
      <c r="N4" s="24"/>
      <c r="O4" s="24"/>
      <c r="P4" s="24"/>
      <c r="Q4" s="24"/>
      <c r="R4" s="24"/>
      <c r="S4" s="24"/>
      <c r="T4" s="24"/>
    </row>
    <row r="5" spans="1:20">
      <c r="A5" s="24"/>
      <c r="B5" s="24"/>
      <c r="C5" s="24"/>
      <c r="D5" s="24"/>
      <c r="E5" s="24"/>
      <c r="F5" s="24"/>
      <c r="G5" s="24"/>
      <c r="H5" s="24"/>
      <c r="I5" s="24"/>
      <c r="J5" s="24"/>
      <c r="K5" s="24"/>
      <c r="L5" s="24"/>
      <c r="M5" s="24"/>
      <c r="N5" s="24"/>
      <c r="O5" s="24"/>
      <c r="P5" s="24"/>
      <c r="Q5" s="24"/>
      <c r="R5" s="24"/>
      <c r="S5" s="24"/>
      <c r="T5" s="24"/>
    </row>
    <row r="6" spans="1:20">
      <c r="A6" s="24"/>
      <c r="B6" s="24"/>
      <c r="C6" s="24"/>
      <c r="D6" s="24"/>
      <c r="E6" s="24"/>
      <c r="F6" s="24"/>
      <c r="G6" s="24"/>
      <c r="H6" s="24"/>
      <c r="I6" s="24"/>
      <c r="J6" s="24"/>
      <c r="K6" s="24"/>
      <c r="L6" s="24"/>
      <c r="M6" s="24"/>
      <c r="N6" s="24"/>
      <c r="O6" s="24"/>
      <c r="P6" s="24"/>
      <c r="Q6" s="24"/>
      <c r="R6" s="24"/>
      <c r="S6" s="24"/>
      <c r="T6" s="24"/>
    </row>
    <row r="7" spans="1:20">
      <c r="A7" s="24"/>
      <c r="B7" s="24"/>
      <c r="C7" s="24"/>
      <c r="D7" s="24"/>
      <c r="E7" s="24"/>
      <c r="F7" s="24"/>
      <c r="G7" s="24"/>
      <c r="H7" s="24"/>
      <c r="I7" s="24"/>
      <c r="J7" s="24"/>
      <c r="K7" s="24"/>
      <c r="L7" s="24"/>
      <c r="M7" s="24"/>
      <c r="N7" s="24"/>
      <c r="O7" s="24"/>
      <c r="P7" s="24"/>
      <c r="Q7" s="24"/>
      <c r="R7" s="24"/>
      <c r="S7" s="24"/>
      <c r="T7" s="24"/>
    </row>
    <row r="8" spans="1:20">
      <c r="A8" s="25" t="str">
        <f>Index!A8</f>
        <v>AusPlay survey results July 2024 - June 2025</v>
      </c>
      <c r="B8" s="24"/>
      <c r="C8" s="24"/>
      <c r="D8" s="24"/>
      <c r="E8" s="24"/>
      <c r="F8" s="24"/>
      <c r="G8" s="24"/>
      <c r="H8" s="24"/>
      <c r="I8" s="24"/>
      <c r="J8" s="24"/>
      <c r="K8" s="24"/>
      <c r="L8" s="24"/>
      <c r="M8" s="24"/>
      <c r="N8" s="24"/>
      <c r="O8" s="24"/>
      <c r="P8" s="24"/>
      <c r="Q8" s="24"/>
      <c r="R8" s="24"/>
      <c r="S8" s="24"/>
      <c r="T8" s="24"/>
    </row>
    <row r="9" spans="1:20">
      <c r="A9" s="24" t="s">
        <v>1</v>
      </c>
      <c r="B9" s="24"/>
      <c r="C9" s="133" t="s">
        <v>2</v>
      </c>
      <c r="D9" s="25"/>
      <c r="E9" s="25"/>
      <c r="F9" s="25"/>
      <c r="G9" s="25"/>
      <c r="H9" s="24"/>
      <c r="I9" s="24"/>
      <c r="J9" s="24"/>
      <c r="K9" s="24"/>
      <c r="L9" s="24"/>
      <c r="M9" s="24"/>
      <c r="N9" s="24"/>
      <c r="O9" s="24"/>
      <c r="P9" s="24"/>
      <c r="Q9" s="24"/>
      <c r="R9" s="24"/>
      <c r="S9" s="24"/>
      <c r="T9" s="24"/>
    </row>
    <row r="10" spans="1:20">
      <c r="A10" s="24" t="s">
        <v>40</v>
      </c>
      <c r="B10" s="24"/>
      <c r="C10" s="26">
        <v>4</v>
      </c>
      <c r="D10" s="26"/>
      <c r="E10" s="26"/>
      <c r="F10" s="26"/>
      <c r="G10" s="26"/>
      <c r="H10" s="24"/>
      <c r="I10" s="24"/>
      <c r="J10" s="24"/>
      <c r="K10" s="24"/>
      <c r="L10" s="24"/>
      <c r="M10" s="24"/>
      <c r="N10" s="24"/>
      <c r="O10" s="24"/>
      <c r="P10" s="24"/>
      <c r="Q10" s="24"/>
      <c r="R10" s="24"/>
      <c r="S10" s="24"/>
      <c r="T10" s="24"/>
    </row>
    <row r="11" spans="1:20">
      <c r="A11" s="24" t="s">
        <v>3</v>
      </c>
      <c r="B11" s="24"/>
      <c r="C11" s="25" t="s">
        <v>13</v>
      </c>
      <c r="D11" s="25"/>
      <c r="E11" s="25"/>
      <c r="F11" s="25"/>
      <c r="G11" s="25"/>
      <c r="H11" s="24"/>
      <c r="I11" s="24"/>
      <c r="J11" s="24"/>
      <c r="K11" s="24"/>
      <c r="L11" s="24"/>
      <c r="M11" s="24"/>
      <c r="N11" s="24"/>
      <c r="O11" s="24"/>
      <c r="P11" s="24"/>
      <c r="Q11" s="24"/>
      <c r="R11" s="24"/>
      <c r="S11" s="24"/>
      <c r="T11" s="24"/>
    </row>
    <row r="12" spans="1:20">
      <c r="A12" s="109" t="s">
        <v>41</v>
      </c>
      <c r="B12" s="109"/>
      <c r="C12" s="110" t="s">
        <v>42</v>
      </c>
      <c r="D12" s="110"/>
      <c r="E12" s="110"/>
      <c r="F12" s="110"/>
      <c r="G12" s="110"/>
      <c r="H12" s="109"/>
      <c r="I12" s="109"/>
      <c r="J12" s="109"/>
      <c r="K12" s="109"/>
      <c r="L12" s="109"/>
      <c r="M12" s="109"/>
      <c r="N12" s="109"/>
      <c r="O12" s="109"/>
      <c r="P12" s="109"/>
      <c r="Q12" s="109"/>
      <c r="R12" s="109"/>
      <c r="S12" s="109"/>
      <c r="T12" s="109"/>
    </row>
    <row r="13" spans="1:20" ht="24.95" customHeight="1">
      <c r="A13" s="27"/>
      <c r="B13" s="27"/>
      <c r="C13" s="27"/>
      <c r="D13" s="27"/>
      <c r="E13" s="161" t="s">
        <v>139</v>
      </c>
      <c r="F13" s="161"/>
      <c r="G13" s="27"/>
      <c r="H13" s="154" t="s">
        <v>140</v>
      </c>
      <c r="I13" s="154"/>
      <c r="J13" s="154"/>
      <c r="K13" s="154"/>
      <c r="L13" s="154"/>
      <c r="M13" s="154"/>
      <c r="N13" s="154"/>
      <c r="O13" s="154"/>
      <c r="P13" s="154"/>
      <c r="Q13" s="154"/>
      <c r="R13" s="140"/>
      <c r="S13" s="161" t="s">
        <v>107</v>
      </c>
      <c r="T13" s="161"/>
    </row>
    <row r="14" spans="1:20" s="8" customFormat="1" ht="50.25" customHeight="1">
      <c r="A14" s="72"/>
      <c r="B14" s="72"/>
      <c r="C14" s="32" t="s">
        <v>48</v>
      </c>
      <c r="D14" s="55"/>
      <c r="E14" s="55" t="s">
        <v>141</v>
      </c>
      <c r="F14" s="55" t="s">
        <v>142</v>
      </c>
      <c r="G14" s="55"/>
      <c r="H14" s="55" t="s">
        <v>143</v>
      </c>
      <c r="I14" s="55" t="s">
        <v>144</v>
      </c>
      <c r="J14" s="55" t="s">
        <v>145</v>
      </c>
      <c r="K14" s="55" t="s">
        <v>146</v>
      </c>
      <c r="L14" s="55" t="s">
        <v>147</v>
      </c>
      <c r="M14" s="55" t="s">
        <v>148</v>
      </c>
      <c r="N14" s="55" t="s">
        <v>149</v>
      </c>
      <c r="O14" s="55" t="s">
        <v>150</v>
      </c>
      <c r="P14" s="55" t="s">
        <v>151</v>
      </c>
      <c r="Q14" s="55" t="s">
        <v>152</v>
      </c>
      <c r="R14" s="55"/>
      <c r="S14" s="55" t="s">
        <v>107</v>
      </c>
      <c r="T14" s="55" t="s">
        <v>126</v>
      </c>
    </row>
    <row r="15" spans="1:20">
      <c r="A15" s="57"/>
      <c r="B15" s="57"/>
      <c r="C15" s="162" t="s">
        <v>135</v>
      </c>
      <c r="D15" s="162"/>
      <c r="E15" s="162"/>
      <c r="F15" s="162"/>
      <c r="G15" s="162"/>
      <c r="H15" s="162"/>
      <c r="I15" s="162"/>
      <c r="J15" s="162"/>
      <c r="K15" s="162"/>
      <c r="L15" s="162"/>
      <c r="M15" s="162"/>
      <c r="N15" s="162"/>
      <c r="O15" s="162"/>
      <c r="P15" s="162"/>
      <c r="Q15" s="162"/>
      <c r="R15" s="162"/>
      <c r="S15" s="162"/>
      <c r="T15" s="162"/>
    </row>
    <row r="16" spans="1:20" ht="17.25">
      <c r="A16" s="30" t="s">
        <v>136</v>
      </c>
      <c r="B16" s="30" t="s">
        <v>48</v>
      </c>
      <c r="C16" s="23">
        <v>0.86963982973969001</v>
      </c>
      <c r="D16" s="23"/>
      <c r="E16" s="23">
        <v>0.69950716947061831</v>
      </c>
      <c r="F16" s="23">
        <v>0.50707375011288969</v>
      </c>
      <c r="G16" s="23"/>
      <c r="H16" s="23">
        <v>0.13999695438321286</v>
      </c>
      <c r="I16" s="23">
        <v>0.11429196373041627</v>
      </c>
      <c r="J16" s="23">
        <v>0.11229376418255436</v>
      </c>
      <c r="K16" s="23">
        <v>7.4601629756610111E-2</v>
      </c>
      <c r="L16" s="23">
        <v>7.0460771206949879E-2</v>
      </c>
      <c r="M16" s="23">
        <v>6.3409976270674115E-2</v>
      </c>
      <c r="N16" s="23">
        <v>6.5158252583482831E-2</v>
      </c>
      <c r="O16" s="23">
        <v>4.8988487029634362E-2</v>
      </c>
      <c r="P16" s="23">
        <v>4.6018058505190931E-2</v>
      </c>
      <c r="Q16" s="23">
        <v>4.4744842419463582E-2</v>
      </c>
      <c r="R16" s="23"/>
      <c r="S16" s="23">
        <v>1.4171423513267771E-2</v>
      </c>
      <c r="T16" s="23">
        <v>1.2742962590940999E-2</v>
      </c>
    </row>
    <row r="17" spans="1:20">
      <c r="A17" s="30"/>
      <c r="B17" s="29" t="s">
        <v>53</v>
      </c>
      <c r="C17" s="4">
        <v>0.84583468149608265</v>
      </c>
      <c r="D17" s="4"/>
      <c r="E17" s="4">
        <v>0.64796570229517381</v>
      </c>
      <c r="F17" s="4">
        <v>0.60810516800965064</v>
      </c>
      <c r="G17" s="4"/>
      <c r="H17" s="4">
        <v>0.23695849958822923</v>
      </c>
      <c r="I17" s="4">
        <v>0.10024091555741056</v>
      </c>
      <c r="J17" s="4">
        <v>7.642983285032455E-2</v>
      </c>
      <c r="K17" s="90">
        <v>0.12257092350708518</v>
      </c>
      <c r="L17" s="90">
        <v>6.7718352850970095E-2</v>
      </c>
      <c r="M17" s="90">
        <v>8.6748113698618082E-2</v>
      </c>
      <c r="N17" s="90">
        <v>9.5586569677682989E-2</v>
      </c>
      <c r="O17" s="90">
        <v>9.8657037429754971E-2</v>
      </c>
      <c r="P17" s="90">
        <v>4.5714414697394984E-2</v>
      </c>
      <c r="Q17" s="90">
        <v>0.2705428354074696</v>
      </c>
      <c r="R17" s="90"/>
      <c r="S17" s="90">
        <v>2.4051303691500759E-2</v>
      </c>
      <c r="T17" s="90">
        <v>6.8162693928925697E-2</v>
      </c>
    </row>
    <row r="18" spans="1:20">
      <c r="A18" s="30"/>
      <c r="B18" s="29" t="s">
        <v>54</v>
      </c>
      <c r="C18" s="4">
        <v>0.88919858930641815</v>
      </c>
      <c r="D18" s="4"/>
      <c r="E18" s="4">
        <v>0.71750543492539487</v>
      </c>
      <c r="F18" s="4">
        <v>0.610877009825183</v>
      </c>
      <c r="G18" s="4"/>
      <c r="H18" s="4">
        <v>0.23475734127913545</v>
      </c>
      <c r="I18" s="4">
        <v>0.13157489577123363</v>
      </c>
      <c r="J18" s="4">
        <v>0.13171769115690399</v>
      </c>
      <c r="K18" s="90">
        <v>9.9229360166569108E-2</v>
      </c>
      <c r="L18" s="90">
        <v>0.10751976540795853</v>
      </c>
      <c r="M18" s="90">
        <v>9.8525485340693511E-2</v>
      </c>
      <c r="N18" s="90">
        <v>0.10880480856856529</v>
      </c>
      <c r="O18" s="90">
        <v>5.8736357292643988E-2</v>
      </c>
      <c r="P18" s="90">
        <v>5.9167243160518565E-2</v>
      </c>
      <c r="Q18" s="90">
        <v>0.12012418562740051</v>
      </c>
      <c r="R18" s="90"/>
      <c r="S18" s="90">
        <v>3.8543277762898005E-3</v>
      </c>
      <c r="T18" s="90">
        <v>1.7235060792388551E-2</v>
      </c>
    </row>
    <row r="19" spans="1:20">
      <c r="A19" s="30"/>
      <c r="B19" s="29" t="s">
        <v>55</v>
      </c>
      <c r="C19" s="4">
        <v>0.918650915151489</v>
      </c>
      <c r="D19" s="4"/>
      <c r="E19" s="4">
        <v>0.74652174878722399</v>
      </c>
      <c r="F19" s="4">
        <v>0.57750683405413283</v>
      </c>
      <c r="G19" s="4"/>
      <c r="H19" s="4">
        <v>0.17954233236245476</v>
      </c>
      <c r="I19" s="4">
        <v>0.17111295788541997</v>
      </c>
      <c r="J19" s="4">
        <v>0.17936667422697936</v>
      </c>
      <c r="K19" s="90">
        <v>0.10423881212226691</v>
      </c>
      <c r="L19" s="90">
        <v>0.10774985008946308</v>
      </c>
      <c r="M19" s="90">
        <v>9.8398331808938463E-2</v>
      </c>
      <c r="N19" s="90">
        <v>9.226735419898402E-2</v>
      </c>
      <c r="O19" s="90">
        <v>5.5175782159343302E-2</v>
      </c>
      <c r="P19" s="90">
        <v>9.5846639942330059E-2</v>
      </c>
      <c r="Q19" s="90">
        <v>5.7760757268441459E-2</v>
      </c>
      <c r="R19" s="90"/>
      <c r="S19" s="90">
        <v>9.6514544325929427E-3</v>
      </c>
      <c r="T19" s="90">
        <v>1.6830558709885261E-2</v>
      </c>
    </row>
    <row r="20" spans="1:20">
      <c r="A20" s="30"/>
      <c r="B20" s="29" t="s">
        <v>56</v>
      </c>
      <c r="C20" s="4">
        <v>0.89233388530674074</v>
      </c>
      <c r="D20" s="4"/>
      <c r="E20" s="4">
        <v>0.71827902917977515</v>
      </c>
      <c r="F20" s="4">
        <v>0.49528895558631431</v>
      </c>
      <c r="G20" s="4"/>
      <c r="H20" s="4">
        <v>0.13209301015200078</v>
      </c>
      <c r="I20" s="4">
        <v>0.11533462730900491</v>
      </c>
      <c r="J20" s="4">
        <v>0.1399464126544552</v>
      </c>
      <c r="K20" s="90">
        <v>6.0043821457767786E-2</v>
      </c>
      <c r="L20" s="90">
        <v>6.4149244161742086E-2</v>
      </c>
      <c r="M20" s="90">
        <v>7.3980993455193905E-2</v>
      </c>
      <c r="N20" s="90">
        <v>5.9833415267133143E-2</v>
      </c>
      <c r="O20" s="90">
        <v>3.9351111556820834E-2</v>
      </c>
      <c r="P20" s="90">
        <v>5.0170722615205533E-2</v>
      </c>
      <c r="Q20" s="90">
        <v>2.9914127167091065E-2</v>
      </c>
      <c r="R20" s="90"/>
      <c r="S20" s="90">
        <v>7.4041933373710147E-3</v>
      </c>
      <c r="T20" s="90">
        <v>1.135105714408415E-2</v>
      </c>
    </row>
    <row r="21" spans="1:20">
      <c r="A21" s="30"/>
      <c r="B21" s="29" t="s">
        <v>57</v>
      </c>
      <c r="C21" s="4">
        <v>0.89145479394323146</v>
      </c>
      <c r="D21" s="4"/>
      <c r="E21" s="4">
        <v>0.74623568151228947</v>
      </c>
      <c r="F21" s="4">
        <v>0.50011619283691655</v>
      </c>
      <c r="G21" s="4"/>
      <c r="H21" s="4">
        <v>0.10639953373979087</v>
      </c>
      <c r="I21" s="4">
        <v>9.1813734060774407E-2</v>
      </c>
      <c r="J21" s="4">
        <v>9.575606034752325E-2</v>
      </c>
      <c r="K21" s="90">
        <v>4.7143616666971443E-2</v>
      </c>
      <c r="L21" s="90">
        <v>5.3081356642389721E-2</v>
      </c>
      <c r="M21" s="90">
        <v>6.4586822612242314E-2</v>
      </c>
      <c r="N21" s="90">
        <v>3.8522044971266871E-2</v>
      </c>
      <c r="O21" s="90">
        <v>4.2633446598018057E-2</v>
      </c>
      <c r="P21" s="90">
        <v>4.4287416290942148E-2</v>
      </c>
      <c r="Q21" s="90">
        <v>1.3823881430276512E-2</v>
      </c>
      <c r="R21" s="90"/>
      <c r="S21" s="90">
        <v>1.5198724690055072E-2</v>
      </c>
      <c r="T21" s="90">
        <v>7.4166428806212116E-3</v>
      </c>
    </row>
    <row r="22" spans="1:20">
      <c r="A22" s="30"/>
      <c r="B22" s="29" t="s">
        <v>58</v>
      </c>
      <c r="C22" s="4">
        <v>0.87521020434302654</v>
      </c>
      <c r="D22" s="4"/>
      <c r="E22" s="4">
        <v>0.74421362992842166</v>
      </c>
      <c r="F22" s="4">
        <v>0.50430096273451874</v>
      </c>
      <c r="G22" s="4"/>
      <c r="H22" s="4">
        <v>8.7067693547389219E-2</v>
      </c>
      <c r="I22" s="4">
        <v>8.9229237522382043E-2</v>
      </c>
      <c r="J22" s="4">
        <v>8.7991421083217558E-2</v>
      </c>
      <c r="K22" s="90">
        <v>4.3513078086915645E-2</v>
      </c>
      <c r="L22" s="90">
        <v>4.7890955569198271E-2</v>
      </c>
      <c r="M22" s="90">
        <v>3.5191479779932942E-2</v>
      </c>
      <c r="N22" s="90">
        <v>3.2952640540693537E-2</v>
      </c>
      <c r="O22" s="90">
        <v>4.6189459560322672E-2</v>
      </c>
      <c r="P22" s="90">
        <v>2.3790412296485437E-2</v>
      </c>
      <c r="Q22" s="90">
        <v>5.8535970378860713E-3</v>
      </c>
      <c r="R22" s="90"/>
      <c r="S22" s="90">
        <v>1.9012549895411811E-2</v>
      </c>
      <c r="T22" s="90">
        <v>4.9744691198895857E-3</v>
      </c>
    </row>
    <row r="23" spans="1:20">
      <c r="A23" s="30"/>
      <c r="B23" s="29" t="s">
        <v>59</v>
      </c>
      <c r="C23" s="4">
        <v>0.78038466500754877</v>
      </c>
      <c r="D23" s="4"/>
      <c r="E23" s="4">
        <v>0.57891344738165829</v>
      </c>
      <c r="F23" s="4">
        <v>0.38033562996653703</v>
      </c>
      <c r="G23" s="4"/>
      <c r="H23" s="4">
        <v>9.4991581376434847E-2</v>
      </c>
      <c r="I23" s="4">
        <v>8.7685352938926403E-2</v>
      </c>
      <c r="J23" s="4">
        <v>5.2167452850018392E-2</v>
      </c>
      <c r="K23" s="90">
        <v>7.6255293551266506E-2</v>
      </c>
      <c r="L23" s="90">
        <v>4.8632695554172989E-2</v>
      </c>
      <c r="M23" s="90">
        <v>1.500900102798452E-2</v>
      </c>
      <c r="N23" s="90">
        <v>5.3931025187582721E-2</v>
      </c>
      <c r="O23" s="90">
        <v>4.2323838114009686E-2</v>
      </c>
      <c r="P23" s="90">
        <v>5.6061834307807564E-3</v>
      </c>
      <c r="Q23" s="90">
        <v>3.4315428255691743E-3</v>
      </c>
      <c r="R23" s="90"/>
      <c r="S23" s="90">
        <v>2.4108490139874473E-2</v>
      </c>
      <c r="T23" s="90">
        <v>5.1715762810455252E-3</v>
      </c>
    </row>
    <row r="24" spans="1:20">
      <c r="A24" s="30"/>
      <c r="B24" s="30"/>
      <c r="C24" s="4"/>
      <c r="D24" s="4"/>
      <c r="E24" s="4"/>
      <c r="F24" s="4"/>
      <c r="G24" s="4"/>
      <c r="H24" s="4"/>
      <c r="K24" s="22"/>
      <c r="L24" s="22"/>
      <c r="M24" s="22"/>
      <c r="N24" s="22"/>
      <c r="O24" s="22"/>
      <c r="P24" s="22"/>
      <c r="Q24" s="22"/>
      <c r="R24" s="22"/>
      <c r="S24" s="22"/>
      <c r="T24" s="22"/>
    </row>
    <row r="25" spans="1:20">
      <c r="A25" s="30" t="s">
        <v>49</v>
      </c>
      <c r="B25" s="30" t="s">
        <v>48</v>
      </c>
      <c r="C25" s="23">
        <v>0.8773499793821159</v>
      </c>
      <c r="D25" s="23"/>
      <c r="E25" s="23">
        <v>0.70438589979477906</v>
      </c>
      <c r="F25" s="23">
        <v>0.50149311953716824</v>
      </c>
      <c r="G25" s="23"/>
      <c r="H25" s="23">
        <v>0.18163806189872581</v>
      </c>
      <c r="I25" s="23">
        <v>9.1070637801403814E-2</v>
      </c>
      <c r="J25" s="23">
        <v>7.812553102703311E-2</v>
      </c>
      <c r="K25" s="23">
        <v>8.1764683344537542E-2</v>
      </c>
      <c r="L25" s="23">
        <v>6.6107034331904208E-2</v>
      </c>
      <c r="M25" s="23">
        <v>6.7575348949684852E-2</v>
      </c>
      <c r="N25" s="23">
        <v>7.7478785426065039E-2</v>
      </c>
      <c r="O25" s="23">
        <v>5.1702894094358388E-2</v>
      </c>
      <c r="P25" s="23">
        <v>5.5832889981584109E-2</v>
      </c>
      <c r="Q25" s="23">
        <v>5.2810090987586253E-2</v>
      </c>
      <c r="R25" s="23"/>
      <c r="S25" s="23">
        <v>9.1104393854721192E-3</v>
      </c>
      <c r="T25" s="23">
        <v>1.4103447925099063E-2</v>
      </c>
    </row>
    <row r="26" spans="1:20">
      <c r="A26" s="30"/>
      <c r="B26" s="29" t="s">
        <v>53</v>
      </c>
      <c r="C26" s="4">
        <v>0.81985642470116049</v>
      </c>
      <c r="D26" s="4"/>
      <c r="E26" s="4">
        <v>0.60335896813431711</v>
      </c>
      <c r="F26" s="4">
        <v>0.61999148534191306</v>
      </c>
      <c r="G26" s="4"/>
      <c r="H26" s="4">
        <v>0.22257341620499169</v>
      </c>
      <c r="I26" s="4">
        <v>9.4035150243768739E-2</v>
      </c>
      <c r="J26" s="4">
        <v>5.1415591117801002E-2</v>
      </c>
      <c r="K26" s="90">
        <v>0.12483949727281388</v>
      </c>
      <c r="L26" s="90">
        <v>6.845988158059621E-2</v>
      </c>
      <c r="M26" s="90">
        <v>6.5729580142363103E-2</v>
      </c>
      <c r="N26" s="90">
        <v>0.10998769613417488</v>
      </c>
      <c r="O26" s="90">
        <v>0.10863403716893834</v>
      </c>
      <c r="P26" s="90">
        <v>2.007715573959528E-2</v>
      </c>
      <c r="Q26" s="90">
        <v>0.32323801562443655</v>
      </c>
      <c r="R26" s="90"/>
      <c r="S26" s="90">
        <v>4.1491321859673476E-2</v>
      </c>
      <c r="T26" s="90">
        <v>4.1491321859673476E-2</v>
      </c>
    </row>
    <row r="27" spans="1:20">
      <c r="A27" s="30"/>
      <c r="B27" s="29" t="s">
        <v>54</v>
      </c>
      <c r="C27" s="4">
        <v>0.88133156578455152</v>
      </c>
      <c r="D27" s="4"/>
      <c r="E27" s="4">
        <v>0.67417755868182339</v>
      </c>
      <c r="F27" s="4">
        <v>0.58522429085129613</v>
      </c>
      <c r="G27" s="4"/>
      <c r="H27" s="4">
        <v>0.27517409167383483</v>
      </c>
      <c r="I27" s="4">
        <v>0.1181861107875701</v>
      </c>
      <c r="J27" s="4">
        <v>8.5346586273650202E-2</v>
      </c>
      <c r="K27" s="90">
        <v>0.11331675460017518</v>
      </c>
      <c r="L27" s="90">
        <v>0.11238997433350706</v>
      </c>
      <c r="M27" s="90">
        <v>0.10686851215434731</v>
      </c>
      <c r="N27" s="90">
        <v>0.12110458643881311</v>
      </c>
      <c r="O27" s="90">
        <v>7.0340582362143481E-2</v>
      </c>
      <c r="P27" s="90">
        <v>6.614116088350408E-2</v>
      </c>
      <c r="Q27" s="90">
        <v>0.13789469627613729</v>
      </c>
      <c r="R27" s="90"/>
      <c r="S27" s="90">
        <v>1.4593733256670202E-3</v>
      </c>
      <c r="T27" s="90">
        <v>1.8113091151221151E-2</v>
      </c>
    </row>
    <row r="28" spans="1:20">
      <c r="A28" s="30"/>
      <c r="B28" s="29" t="s">
        <v>55</v>
      </c>
      <c r="C28" s="4">
        <v>0.92020702602572513</v>
      </c>
      <c r="D28" s="4"/>
      <c r="E28" s="4">
        <v>0.7321122460416517</v>
      </c>
      <c r="F28" s="4">
        <v>0.54109845637297571</v>
      </c>
      <c r="G28" s="4"/>
      <c r="H28" s="4">
        <v>0.23658044041039766</v>
      </c>
      <c r="I28" s="4">
        <v>0.14903181560940076</v>
      </c>
      <c r="J28" s="4">
        <v>0.12566921296541128</v>
      </c>
      <c r="K28" s="90">
        <v>0.12918984984638626</v>
      </c>
      <c r="L28" s="90">
        <v>0.10738436884931823</v>
      </c>
      <c r="M28" s="90">
        <v>0.10475806056924902</v>
      </c>
      <c r="N28" s="90">
        <v>0.12616724188112985</v>
      </c>
      <c r="O28" s="90">
        <v>5.5862571051019154E-2</v>
      </c>
      <c r="P28" s="90">
        <v>0.12873199319401815</v>
      </c>
      <c r="Q28" s="90">
        <v>7.292935122586397E-2</v>
      </c>
      <c r="R28" s="90"/>
      <c r="S28" s="90">
        <v>3.424919333948462E-3</v>
      </c>
      <c r="T28" s="90">
        <v>1.8095602967682128E-2</v>
      </c>
    </row>
    <row r="29" spans="1:20">
      <c r="A29" s="30"/>
      <c r="B29" s="29" t="s">
        <v>56</v>
      </c>
      <c r="C29" s="4">
        <v>0.88795491604471199</v>
      </c>
      <c r="D29" s="4"/>
      <c r="E29" s="4">
        <v>0.7077592215140045</v>
      </c>
      <c r="F29" s="4">
        <v>0.47723342144184416</v>
      </c>
      <c r="G29" s="4"/>
      <c r="H29" s="4">
        <v>0.1699407901900967</v>
      </c>
      <c r="I29" s="4">
        <v>0.10766307152608783</v>
      </c>
      <c r="J29" s="4">
        <v>8.5458911455324499E-2</v>
      </c>
      <c r="K29" s="90">
        <v>6.918983453145458E-2</v>
      </c>
      <c r="L29" s="90">
        <v>5.5336430563236359E-2</v>
      </c>
      <c r="M29" s="90">
        <v>7.5449247604213954E-2</v>
      </c>
      <c r="N29" s="90">
        <v>7.1573291500768021E-2</v>
      </c>
      <c r="O29" s="90">
        <v>4.0251033934721125E-2</v>
      </c>
      <c r="P29" s="90">
        <v>6.1794876599638844E-2</v>
      </c>
      <c r="Q29" s="90">
        <v>3.8115179166141482E-2</v>
      </c>
      <c r="R29" s="90"/>
      <c r="S29" s="90">
        <v>5.2144366568494917E-3</v>
      </c>
      <c r="T29" s="90">
        <v>1.7105830611952692E-2</v>
      </c>
    </row>
    <row r="30" spans="1:20">
      <c r="A30" s="30"/>
      <c r="B30" s="29" t="s">
        <v>57</v>
      </c>
      <c r="C30" s="4">
        <v>0.90325367960492042</v>
      </c>
      <c r="D30" s="4"/>
      <c r="E30" s="4">
        <v>0.75390407682533089</v>
      </c>
      <c r="F30" s="4">
        <v>0.4807993905994084</v>
      </c>
      <c r="G30" s="4"/>
      <c r="H30" s="4">
        <v>0.13028131028945497</v>
      </c>
      <c r="I30" s="4">
        <v>7.4921278370289737E-2</v>
      </c>
      <c r="J30" s="4">
        <v>7.2413660336803298E-2</v>
      </c>
      <c r="K30" s="90">
        <v>5.4393822947802144E-2</v>
      </c>
      <c r="L30" s="90">
        <v>4.5027297829017508E-2</v>
      </c>
      <c r="M30" s="90">
        <v>6.4154955980533002E-2</v>
      </c>
      <c r="N30" s="90">
        <v>4.4720538491325297E-2</v>
      </c>
      <c r="O30" s="90">
        <v>4.1019650056937987E-2</v>
      </c>
      <c r="P30" s="90">
        <v>5.0477971583916321E-2</v>
      </c>
      <c r="Q30" s="90">
        <v>1.5362331827959909E-2</v>
      </c>
      <c r="R30" s="90"/>
      <c r="S30" s="90">
        <v>5.8230554069854355E-3</v>
      </c>
      <c r="T30" s="90">
        <v>8.1962508227337583E-3</v>
      </c>
    </row>
    <row r="31" spans="1:20">
      <c r="A31" s="30"/>
      <c r="B31" s="29" t="s">
        <v>58</v>
      </c>
      <c r="C31" s="4">
        <v>0.87325812495110633</v>
      </c>
      <c r="D31" s="4"/>
      <c r="E31" s="4">
        <v>0.74408211162966009</v>
      </c>
      <c r="F31" s="4">
        <v>0.50357173433473235</v>
      </c>
      <c r="G31" s="4"/>
      <c r="H31" s="4">
        <v>0.11694859303056908</v>
      </c>
      <c r="I31" s="4">
        <v>5.7671052534672945E-2</v>
      </c>
      <c r="J31" s="4">
        <v>5.9791720889355422E-2</v>
      </c>
      <c r="K31" s="90">
        <v>4.5704862740717063E-2</v>
      </c>
      <c r="L31" s="90">
        <v>4.2026679945355146E-2</v>
      </c>
      <c r="M31" s="90">
        <v>3.459958149444857E-2</v>
      </c>
      <c r="N31" s="90">
        <v>4.4360918261714677E-2</v>
      </c>
      <c r="O31" s="90">
        <v>5.9116485332077764E-2</v>
      </c>
      <c r="P31" s="90">
        <v>2.4967921552597194E-2</v>
      </c>
      <c r="Q31" s="90">
        <v>6.6940805544603689E-3</v>
      </c>
      <c r="R31" s="90"/>
      <c r="S31" s="90">
        <v>9.1840027927748494E-3</v>
      </c>
      <c r="T31" s="90">
        <v>6.4544096104950264E-3</v>
      </c>
    </row>
    <row r="32" spans="1:20">
      <c r="A32" s="30"/>
      <c r="B32" s="29" t="s">
        <v>59</v>
      </c>
      <c r="C32" s="4">
        <v>0.81769266188685452</v>
      </c>
      <c r="D32" s="4"/>
      <c r="E32" s="4">
        <v>0.64805962414216955</v>
      </c>
      <c r="F32" s="4">
        <v>0.42398325061295761</v>
      </c>
      <c r="G32" s="4"/>
      <c r="H32" s="4">
        <v>0.15545086486888959</v>
      </c>
      <c r="I32" s="4">
        <v>3.8188953730191481E-2</v>
      </c>
      <c r="J32" s="4">
        <v>4.3935348359244994E-2</v>
      </c>
      <c r="K32" s="90">
        <v>6.6322475896052627E-2</v>
      </c>
      <c r="L32" s="90">
        <v>3.9089321550640356E-2</v>
      </c>
      <c r="M32" s="90">
        <v>2.4638460492924161E-2</v>
      </c>
      <c r="N32" s="90">
        <v>5.0633666242798178E-2</v>
      </c>
      <c r="O32" s="90">
        <v>3.8886807595229431E-2</v>
      </c>
      <c r="P32" s="90">
        <v>7.127368961725924E-3</v>
      </c>
      <c r="Q32" s="90">
        <v>2.048262367634255E-3</v>
      </c>
      <c r="R32" s="90"/>
      <c r="S32" s="90">
        <v>1.9831442886922179E-2</v>
      </c>
      <c r="T32" s="90">
        <v>9.7417568158223219E-3</v>
      </c>
    </row>
    <row r="33" spans="1:22">
      <c r="A33" s="30"/>
      <c r="B33" s="29"/>
      <c r="C33" s="4"/>
      <c r="D33" s="4"/>
      <c r="E33" s="4"/>
      <c r="F33" s="4"/>
      <c r="G33" s="4"/>
      <c r="H33" s="4"/>
      <c r="K33" s="22"/>
      <c r="L33" s="22"/>
      <c r="M33" s="22"/>
      <c r="N33" s="22"/>
      <c r="O33" s="22"/>
      <c r="P33" s="22"/>
      <c r="Q33" s="22"/>
      <c r="R33" s="22"/>
      <c r="S33" s="22"/>
      <c r="T33" s="22"/>
    </row>
    <row r="34" spans="1:22">
      <c r="A34" s="30" t="s">
        <v>50</v>
      </c>
      <c r="B34" s="30" t="s">
        <v>48</v>
      </c>
      <c r="C34" s="23">
        <v>0.86443769586124619</v>
      </c>
      <c r="D34" s="23"/>
      <c r="E34" s="23">
        <v>0.69566262727101902</v>
      </c>
      <c r="F34" s="23">
        <v>0.51383388659093443</v>
      </c>
      <c r="G34" s="23"/>
      <c r="H34" s="23">
        <v>0.10122022153102586</v>
      </c>
      <c r="I34" s="23">
        <v>0.13704473956586144</v>
      </c>
      <c r="J34" s="23">
        <v>0.14576028718672163</v>
      </c>
      <c r="K34" s="23">
        <v>6.853891212647549E-2</v>
      </c>
      <c r="L34" s="23">
        <v>7.5082883178597556E-2</v>
      </c>
      <c r="M34" s="23">
        <v>5.9911789168981801E-2</v>
      </c>
      <c r="N34" s="23">
        <v>5.376804656635234E-2</v>
      </c>
      <c r="O34" s="23">
        <v>4.5709409014200779E-2</v>
      </c>
      <c r="P34" s="23">
        <v>3.6656359647335421E-2</v>
      </c>
      <c r="Q34" s="23">
        <v>3.738591040272933E-2</v>
      </c>
      <c r="R34" s="23"/>
      <c r="S34" s="23">
        <v>1.8742677018060819E-2</v>
      </c>
      <c r="T34" s="23">
        <v>1.1181965871691782E-2</v>
      </c>
    </row>
    <row r="35" spans="1:22">
      <c r="A35" s="30"/>
      <c r="B35" s="29" t="s">
        <v>53</v>
      </c>
      <c r="C35" s="4">
        <v>0.88504675958372225</v>
      </c>
      <c r="D35" s="4"/>
      <c r="E35" s="4">
        <v>0.69566832552966018</v>
      </c>
      <c r="F35" s="4">
        <v>0.61444490445319622</v>
      </c>
      <c r="G35" s="4"/>
      <c r="H35" s="4">
        <v>0.2530251299731025</v>
      </c>
      <c r="I35" s="4">
        <v>0.10712370331485377</v>
      </c>
      <c r="J35" s="4">
        <v>9.6178931407093271E-2</v>
      </c>
      <c r="K35" s="90">
        <v>0.12393975723711811</v>
      </c>
      <c r="L35" s="90">
        <v>6.8840540902568678E-2</v>
      </c>
      <c r="M35" s="90">
        <v>0.10389221013372649</v>
      </c>
      <c r="N35" s="90">
        <v>8.7622685069851436E-2</v>
      </c>
      <c r="O35" s="90">
        <v>9.3931147237924811E-2</v>
      </c>
      <c r="P35" s="90">
        <v>6.5159478750890371E-2</v>
      </c>
      <c r="Q35" s="90">
        <v>0.23946922563894227</v>
      </c>
      <c r="R35" s="90"/>
      <c r="S35" s="90">
        <v>1.2169247369332687E-2</v>
      </c>
      <c r="T35" s="90">
        <v>8.8894853420993861E-2</v>
      </c>
    </row>
    <row r="36" spans="1:22">
      <c r="A36" s="29"/>
      <c r="B36" s="29" t="s">
        <v>54</v>
      </c>
      <c r="C36" s="4">
        <v>0.90036212964181495</v>
      </c>
      <c r="D36" s="4"/>
      <c r="E36" s="4">
        <v>0.76738220574293337</v>
      </c>
      <c r="F36" s="4">
        <v>0.64433346365659261</v>
      </c>
      <c r="G36" s="4"/>
      <c r="H36" s="4">
        <v>0.19070559165413661</v>
      </c>
      <c r="I36" s="4">
        <v>0.14851089144140306</v>
      </c>
      <c r="J36" s="4">
        <v>0.18821373822380885</v>
      </c>
      <c r="K36" s="90">
        <v>8.5464763972799451E-2</v>
      </c>
      <c r="L36" s="90">
        <v>0.10506026552493158</v>
      </c>
      <c r="M36" s="90">
        <v>9.1622140095989943E-2</v>
      </c>
      <c r="N36" s="90">
        <v>9.5795932165398251E-2</v>
      </c>
      <c r="O36" s="90">
        <v>4.3709877076563181E-2</v>
      </c>
      <c r="P36" s="90">
        <v>5.2668532855937943E-2</v>
      </c>
      <c r="Q36" s="90">
        <v>0.10097587897176982</v>
      </c>
      <c r="R36" s="90"/>
      <c r="S36" s="90">
        <v>5.1606566292496693E-3</v>
      </c>
      <c r="T36" s="90">
        <v>1.6724156219282221E-2</v>
      </c>
    </row>
    <row r="37" spans="1:22">
      <c r="A37" s="29"/>
      <c r="B37" s="29" t="s">
        <v>55</v>
      </c>
      <c r="C37" s="4">
        <v>0.91694020598071568</v>
      </c>
      <c r="D37" s="4"/>
      <c r="E37" s="4">
        <v>0.75858532670966261</v>
      </c>
      <c r="F37" s="4">
        <v>0.60976047746263862</v>
      </c>
      <c r="G37" s="4"/>
      <c r="H37" s="4">
        <v>0.12889569562531367</v>
      </c>
      <c r="I37" s="4">
        <v>0.19299195566638633</v>
      </c>
      <c r="J37" s="4">
        <v>0.23078625649987253</v>
      </c>
      <c r="K37" s="90">
        <v>8.2425887472249562E-2</v>
      </c>
      <c r="L37" s="90">
        <v>0.10862464130809345</v>
      </c>
      <c r="M37" s="90">
        <v>9.3794916571868406E-2</v>
      </c>
      <c r="N37" s="90">
        <v>6.1973862377525814E-2</v>
      </c>
      <c r="O37" s="90">
        <v>5.4435701231765408E-2</v>
      </c>
      <c r="P37" s="90">
        <v>6.5764887607211733E-2</v>
      </c>
      <c r="Q37" s="90">
        <v>4.4425235131343103E-2</v>
      </c>
      <c r="R37" s="90"/>
      <c r="S37" s="90">
        <v>1.4669957825640146E-2</v>
      </c>
      <c r="T37" s="90">
        <v>1.4657825209315663E-2</v>
      </c>
    </row>
    <row r="38" spans="1:22">
      <c r="A38" s="29"/>
      <c r="B38" s="29" t="s">
        <v>56</v>
      </c>
      <c r="C38" s="4">
        <v>0.89883807715386654</v>
      </c>
      <c r="D38" s="4"/>
      <c r="E38" s="4">
        <v>0.72901044482384936</v>
      </c>
      <c r="F38" s="4">
        <v>0.516622781025732</v>
      </c>
      <c r="G38" s="4"/>
      <c r="H38" s="4">
        <v>9.4782457739559123E-2</v>
      </c>
      <c r="I38" s="4">
        <v>0.12359364626133705</v>
      </c>
      <c r="J38" s="4">
        <v>0.19761099801055826</v>
      </c>
      <c r="K38" s="90">
        <v>5.136418377494905E-2</v>
      </c>
      <c r="L38" s="90">
        <v>7.2968447657299831E-2</v>
      </c>
      <c r="M38" s="90">
        <v>7.2295001345586293E-2</v>
      </c>
      <c r="N38" s="90">
        <v>4.8485878317063302E-2</v>
      </c>
      <c r="O38" s="90">
        <v>3.6882001274005552E-2</v>
      </c>
      <c r="P38" s="90">
        <v>3.8826464299527394E-2</v>
      </c>
      <c r="Q38" s="90">
        <v>2.1844940311268719E-2</v>
      </c>
      <c r="R38" s="90"/>
      <c r="S38" s="90">
        <v>9.7429327767325005E-3</v>
      </c>
      <c r="T38" s="90">
        <v>5.5734518282500103E-3</v>
      </c>
    </row>
    <row r="39" spans="1:22">
      <c r="A39" s="29"/>
      <c r="B39" s="29" t="s">
        <v>57</v>
      </c>
      <c r="C39" s="4">
        <v>0.87860480728682355</v>
      </c>
      <c r="D39" s="4"/>
      <c r="E39" s="4">
        <v>0.73904836653460959</v>
      </c>
      <c r="F39" s="4">
        <v>0.51678766449634217</v>
      </c>
      <c r="G39" s="4"/>
      <c r="H39" s="4">
        <v>8.3192681281795924E-2</v>
      </c>
      <c r="I39" s="4">
        <v>0.10737774934292924</v>
      </c>
      <c r="J39" s="4">
        <v>0.11769583703075946</v>
      </c>
      <c r="K39" s="90">
        <v>3.9612008073863177E-2</v>
      </c>
      <c r="L39" s="90">
        <v>6.1611562553468786E-2</v>
      </c>
      <c r="M39" s="90">
        <v>6.4810273421262929E-2</v>
      </c>
      <c r="N39" s="90">
        <v>3.1590855397778859E-2</v>
      </c>
      <c r="O39" s="90">
        <v>4.1318426841135646E-2</v>
      </c>
      <c r="P39" s="90">
        <v>3.7430252438833203E-2</v>
      </c>
      <c r="Q39" s="90">
        <v>1.2469713254479998E-2</v>
      </c>
      <c r="R39" s="90"/>
      <c r="S39" s="90">
        <v>2.35391469193252E-2</v>
      </c>
      <c r="T39" s="90">
        <v>5.4572336541977955E-3</v>
      </c>
    </row>
    <row r="40" spans="1:22">
      <c r="A40" s="29"/>
      <c r="B40" s="29" t="s">
        <v>58</v>
      </c>
      <c r="C40" s="4">
        <v>0.87649253703150365</v>
      </c>
      <c r="D40" s="4"/>
      <c r="E40" s="4">
        <v>0.74299648172298882</v>
      </c>
      <c r="F40" s="4">
        <v>0.50638369654021009</v>
      </c>
      <c r="G40" s="4"/>
      <c r="H40" s="4">
        <v>5.7831981942177015E-2</v>
      </c>
      <c r="I40" s="4">
        <v>0.11969096021934911</v>
      </c>
      <c r="J40" s="4">
        <v>0.11510908601767135</v>
      </c>
      <c r="K40" s="90">
        <v>4.1564254116253585E-2</v>
      </c>
      <c r="L40" s="90">
        <v>5.260121394203518E-2</v>
      </c>
      <c r="M40" s="90">
        <v>3.5965124642387172E-2</v>
      </c>
      <c r="N40" s="90">
        <v>2.1789166890041508E-2</v>
      </c>
      <c r="O40" s="90">
        <v>3.3586461903182672E-2</v>
      </c>
      <c r="P40" s="90">
        <v>2.1446213236928593E-2</v>
      </c>
      <c r="Q40" s="90">
        <v>5.0492013704096618E-3</v>
      </c>
      <c r="R40" s="90"/>
      <c r="S40" s="90">
        <v>2.8879973470725583E-2</v>
      </c>
      <c r="T40" s="90">
        <v>3.5299727975398607E-3</v>
      </c>
    </row>
    <row r="41" spans="1:22">
      <c r="A41" s="111"/>
      <c r="B41" s="111" t="s">
        <v>59</v>
      </c>
      <c r="C41" s="4">
        <v>0.75356774163465556</v>
      </c>
      <c r="D41" s="119"/>
      <c r="E41" s="4">
        <v>0.52295591160644195</v>
      </c>
      <c r="F41" s="4">
        <v>0.34626201378779276</v>
      </c>
      <c r="G41" s="4"/>
      <c r="H41" s="4">
        <v>4.3929058103362208E-2</v>
      </c>
      <c r="I41" s="4">
        <v>0.13096963708263368</v>
      </c>
      <c r="J41" s="4">
        <v>5.9702742525206791E-2</v>
      </c>
      <c r="K41" s="90">
        <v>8.5466461909620067E-2</v>
      </c>
      <c r="L41" s="90">
        <v>5.7262256614751712E-2</v>
      </c>
      <c r="M41" s="90">
        <v>6.8751022954096595E-3</v>
      </c>
      <c r="N41" s="90">
        <v>5.7244935288765522E-2</v>
      </c>
      <c r="O41" s="90">
        <v>4.5653793953895072E-2</v>
      </c>
      <c r="P41" s="90">
        <v>4.350208833827105E-3</v>
      </c>
      <c r="Q41" s="90">
        <v>4.6499923830877615E-3</v>
      </c>
      <c r="R41" s="90"/>
      <c r="S41" s="90">
        <v>2.7996693596770938E-2</v>
      </c>
      <c r="T41" s="90">
        <v>1.2937271638662545E-3</v>
      </c>
    </row>
    <row r="42" spans="1:22">
      <c r="A42" s="57"/>
      <c r="B42" s="57"/>
      <c r="C42" s="159" t="s">
        <v>138</v>
      </c>
      <c r="D42" s="159"/>
      <c r="E42" s="159"/>
      <c r="F42" s="159"/>
      <c r="G42" s="159"/>
      <c r="H42" s="159"/>
      <c r="I42" s="159"/>
      <c r="J42" s="159"/>
      <c r="K42" s="159"/>
      <c r="L42" s="159"/>
      <c r="M42" s="159"/>
      <c r="N42" s="159"/>
      <c r="O42" s="159"/>
      <c r="P42" s="159"/>
      <c r="Q42" s="159"/>
      <c r="R42" s="159"/>
      <c r="S42" s="159"/>
      <c r="T42" s="159"/>
    </row>
    <row r="43" spans="1:22" ht="17.25">
      <c r="A43" s="30" t="s">
        <v>136</v>
      </c>
      <c r="B43" s="30" t="s">
        <v>48</v>
      </c>
      <c r="C43" s="69">
        <v>5015652.8174780728</v>
      </c>
      <c r="D43" s="69"/>
      <c r="E43" s="69">
        <v>4034411.7017404945</v>
      </c>
      <c r="F43" s="69">
        <v>2924550.8271903507</v>
      </c>
      <c r="G43" s="69"/>
      <c r="H43" s="69">
        <v>807433.25532904058</v>
      </c>
      <c r="I43" s="69">
        <v>659179.57100832742</v>
      </c>
      <c r="J43" s="69">
        <v>647654.94339885272</v>
      </c>
      <c r="K43" s="69">
        <v>430265.3370754646</v>
      </c>
      <c r="L43" s="69">
        <v>406382.91110884538</v>
      </c>
      <c r="M43" s="69">
        <v>365717.40996893402</v>
      </c>
      <c r="N43" s="69">
        <v>375800.60385472234</v>
      </c>
      <c r="O43" s="69">
        <v>282541.38620550744</v>
      </c>
      <c r="P43" s="69">
        <v>265409.42227257497</v>
      </c>
      <c r="Q43" s="69">
        <v>258066.1410321696</v>
      </c>
      <c r="R43" s="69"/>
      <c r="S43" s="69">
        <v>81733.76821214892</v>
      </c>
      <c r="T43" s="69">
        <v>73495.11146632093</v>
      </c>
      <c r="U43" s="38"/>
      <c r="V43" s="38"/>
    </row>
    <row r="44" spans="1:22">
      <c r="A44" s="30"/>
      <c r="B44" s="29" t="s">
        <v>53</v>
      </c>
      <c r="C44" s="70">
        <v>203601.16935916879</v>
      </c>
      <c r="D44" s="39"/>
      <c r="E44" s="70">
        <v>155972.05645266915</v>
      </c>
      <c r="F44" s="70">
        <v>146377.21295741416</v>
      </c>
      <c r="G44" s="70"/>
      <c r="H44" s="70">
        <v>57038.365369960331</v>
      </c>
      <c r="I44" s="70">
        <v>24129.026713616739</v>
      </c>
      <c r="J44" s="70">
        <v>18397.452460482917</v>
      </c>
      <c r="K44" s="70">
        <v>29504.090931025923</v>
      </c>
      <c r="L44" s="70">
        <v>16300.508987344199</v>
      </c>
      <c r="M44" s="70">
        <v>20881.169541902462</v>
      </c>
      <c r="N44" s="70">
        <v>23008.677448629842</v>
      </c>
      <c r="O44" s="70">
        <v>23747.770841792357</v>
      </c>
      <c r="P44" s="70">
        <v>11003.933147428759</v>
      </c>
      <c r="Q44" s="70">
        <v>65122.462882790947</v>
      </c>
      <c r="R44" s="70"/>
      <c r="S44" s="70">
        <v>5789.3979323957601</v>
      </c>
      <c r="T44" s="70">
        <v>16407.466487486017</v>
      </c>
      <c r="U44" s="38"/>
      <c r="V44" s="38"/>
    </row>
    <row r="45" spans="1:22">
      <c r="A45" s="30"/>
      <c r="B45" s="29" t="s">
        <v>54</v>
      </c>
      <c r="C45" s="70">
        <v>603392.94720027561</v>
      </c>
      <c r="D45" s="39"/>
      <c r="E45" s="70">
        <v>486885.29673618171</v>
      </c>
      <c r="F45" s="70">
        <v>414529.31186363992</v>
      </c>
      <c r="G45" s="70"/>
      <c r="H45" s="70">
        <v>159301.78672663806</v>
      </c>
      <c r="I45" s="70">
        <v>89284.176888876551</v>
      </c>
      <c r="J45" s="70">
        <v>89381.07507297449</v>
      </c>
      <c r="K45" s="70">
        <v>67335.122659614412</v>
      </c>
      <c r="L45" s="70">
        <v>72960.831148410449</v>
      </c>
      <c r="M45" s="70">
        <v>66857.486830281356</v>
      </c>
      <c r="N45" s="70">
        <v>73832.836557868955</v>
      </c>
      <c r="O45" s="70">
        <v>39857.354882064305</v>
      </c>
      <c r="P45" s="70">
        <v>40149.745689753938</v>
      </c>
      <c r="Q45" s="70">
        <v>81513.946678982902</v>
      </c>
      <c r="R45" s="70"/>
      <c r="S45" s="70">
        <v>2615.4722065241144</v>
      </c>
      <c r="T45" s="70">
        <v>11695.37857095224</v>
      </c>
      <c r="U45" s="38"/>
      <c r="V45" s="38"/>
    </row>
    <row r="46" spans="1:22">
      <c r="A46" s="30"/>
      <c r="B46" s="29" t="s">
        <v>55</v>
      </c>
      <c r="C46" s="70">
        <v>970562.02906688559</v>
      </c>
      <c r="D46" s="39"/>
      <c r="E46" s="70">
        <v>788706.19001779112</v>
      </c>
      <c r="F46" s="70">
        <v>610140.58269037132</v>
      </c>
      <c r="G46" s="70"/>
      <c r="H46" s="70">
        <v>189687.90813469078</v>
      </c>
      <c r="I46" s="70">
        <v>180782.20667479903</v>
      </c>
      <c r="J46" s="70">
        <v>189502.32391159009</v>
      </c>
      <c r="K46" s="70">
        <v>110129.13755626738</v>
      </c>
      <c r="L46" s="70">
        <v>113838.57721105817</v>
      </c>
      <c r="M46" s="70">
        <v>103958.6234576726</v>
      </c>
      <c r="N46" s="70">
        <v>97481.196645008109</v>
      </c>
      <c r="O46" s="70">
        <v>58293.654536983566</v>
      </c>
      <c r="P46" s="70">
        <v>101262.7406203921</v>
      </c>
      <c r="Q46" s="70">
        <v>61024.701385785731</v>
      </c>
      <c r="R46" s="70"/>
      <c r="S46" s="70">
        <v>10196.838693617678</v>
      </c>
      <c r="T46" s="70">
        <v>17781.619701648982</v>
      </c>
      <c r="U46" s="38"/>
      <c r="V46" s="38"/>
    </row>
    <row r="47" spans="1:22">
      <c r="A47" s="30"/>
      <c r="B47" s="29" t="s">
        <v>56</v>
      </c>
      <c r="C47" s="70">
        <v>896984.71225509129</v>
      </c>
      <c r="D47" s="39"/>
      <c r="E47" s="70">
        <v>722022.6855850186</v>
      </c>
      <c r="F47" s="70">
        <v>497870.39204164897</v>
      </c>
      <c r="G47" s="70"/>
      <c r="H47" s="70">
        <v>132781.47636562272</v>
      </c>
      <c r="I47" s="70">
        <v>115935.74915543385</v>
      </c>
      <c r="J47" s="70">
        <v>140675.81064999875</v>
      </c>
      <c r="K47" s="70">
        <v>60356.768693680206</v>
      </c>
      <c r="L47" s="70">
        <v>64483.588781369741</v>
      </c>
      <c r="M47" s="70">
        <v>74366.580961947489</v>
      </c>
      <c r="N47" s="70">
        <v>60145.265870050207</v>
      </c>
      <c r="O47" s="70">
        <v>39556.208789022319</v>
      </c>
      <c r="P47" s="70">
        <v>50432.211450941955</v>
      </c>
      <c r="Q47" s="70">
        <v>30070.039019208245</v>
      </c>
      <c r="R47" s="70"/>
      <c r="S47" s="70">
        <v>7442.7838498140172</v>
      </c>
      <c r="T47" s="70">
        <v>11410.218634337125</v>
      </c>
      <c r="U47" s="38"/>
      <c r="V47" s="38"/>
    </row>
    <row r="48" spans="1:22">
      <c r="A48" s="30"/>
      <c r="B48" s="29" t="s">
        <v>57</v>
      </c>
      <c r="C48" s="70">
        <v>769097.39473074803</v>
      </c>
      <c r="D48" s="39"/>
      <c r="E48" s="70">
        <v>643810.45724992105</v>
      </c>
      <c r="F48" s="70">
        <v>431472.31198582449</v>
      </c>
      <c r="G48" s="70"/>
      <c r="H48" s="70">
        <v>91795.573657603309</v>
      </c>
      <c r="I48" s="70">
        <v>79211.760536160262</v>
      </c>
      <c r="J48" s="70">
        <v>82612.979416710878</v>
      </c>
      <c r="K48" s="70">
        <v>40672.878763005167</v>
      </c>
      <c r="L48" s="70">
        <v>45795.629099545084</v>
      </c>
      <c r="M48" s="70">
        <v>55721.902380813015</v>
      </c>
      <c r="N48" s="70">
        <v>33234.66835154935</v>
      </c>
      <c r="O48" s="70">
        <v>36781.755989991572</v>
      </c>
      <c r="P48" s="70">
        <v>38208.708641359044</v>
      </c>
      <c r="Q48" s="70">
        <v>11926.472621302073</v>
      </c>
      <c r="R48" s="70"/>
      <c r="S48" s="70">
        <v>13112.610579662927</v>
      </c>
      <c r="T48" s="70">
        <v>6398.6651436386428</v>
      </c>
      <c r="U48" s="38"/>
      <c r="V48" s="38"/>
    </row>
    <row r="49" spans="1:26">
      <c r="A49" s="30"/>
      <c r="B49" s="29" t="s">
        <v>58</v>
      </c>
      <c r="C49" s="70">
        <v>652990.95993130421</v>
      </c>
      <c r="D49" s="39"/>
      <c r="E49" s="70">
        <v>555254.92069154768</v>
      </c>
      <c r="F49" s="70">
        <v>376257.00445013109</v>
      </c>
      <c r="G49" s="70"/>
      <c r="H49" s="70">
        <v>64960.870550168998</v>
      </c>
      <c r="I49" s="70">
        <v>66573.590178162602</v>
      </c>
      <c r="J49" s="70">
        <v>65650.060104109711</v>
      </c>
      <c r="K49" s="70">
        <v>32464.939837932361</v>
      </c>
      <c r="L49" s="70">
        <v>35731.257352778128</v>
      </c>
      <c r="M49" s="70">
        <v>26256.227416990801</v>
      </c>
      <c r="N49" s="70">
        <v>24585.83809028018</v>
      </c>
      <c r="O49" s="70">
        <v>34461.777739033256</v>
      </c>
      <c r="P49" s="70">
        <v>17749.934913412904</v>
      </c>
      <c r="Q49" s="70">
        <v>4367.3461870677056</v>
      </c>
      <c r="R49" s="70"/>
      <c r="S49" s="70">
        <v>14185.19019241334</v>
      </c>
      <c r="T49" s="70">
        <v>3711.4322360805231</v>
      </c>
      <c r="U49" s="38"/>
      <c r="V49" s="38"/>
      <c r="Z49"/>
    </row>
    <row r="50" spans="1:26">
      <c r="A50" s="30"/>
      <c r="B50" s="29" t="s">
        <v>59</v>
      </c>
      <c r="C50" s="70">
        <v>919023.60493446316</v>
      </c>
      <c r="D50" s="39"/>
      <c r="E50" s="70">
        <v>681760.09500722669</v>
      </c>
      <c r="F50" s="70">
        <v>447904.01120130386</v>
      </c>
      <c r="G50" s="70"/>
      <c r="H50" s="70">
        <v>111867.27452435538</v>
      </c>
      <c r="I50" s="70">
        <v>103263.0608612784</v>
      </c>
      <c r="J50" s="70">
        <v>61435.241782985031</v>
      </c>
      <c r="K50" s="70">
        <v>89802.398633938777</v>
      </c>
      <c r="L50" s="70">
        <v>57272.518528338791</v>
      </c>
      <c r="M50" s="70">
        <v>17675.41937932618</v>
      </c>
      <c r="N50" s="70">
        <v>63512.12089133526</v>
      </c>
      <c r="O50" s="70">
        <v>49842.863426619944</v>
      </c>
      <c r="P50" s="70">
        <v>6602.1478092860125</v>
      </c>
      <c r="Q50" s="70">
        <v>4041.1722570318198</v>
      </c>
      <c r="R50" s="70"/>
      <c r="S50" s="70">
        <v>28391.474757721026</v>
      </c>
      <c r="T50" s="70">
        <v>6090.3306921773619</v>
      </c>
      <c r="U50" s="38"/>
      <c r="V50" s="38"/>
    </row>
    <row r="51" spans="1:26">
      <c r="A51" s="30"/>
      <c r="B51" s="30"/>
      <c r="C51" s="39"/>
      <c r="D51" s="39"/>
      <c r="E51" s="19"/>
      <c r="F51" s="19"/>
      <c r="G51" s="19"/>
      <c r="H51" s="19"/>
      <c r="K51" s="76"/>
      <c r="L51" s="76"/>
      <c r="M51" s="76"/>
      <c r="N51" s="76"/>
      <c r="O51" s="76"/>
      <c r="P51" s="76"/>
      <c r="Q51" s="76"/>
      <c r="R51" s="76"/>
      <c r="S51" s="76"/>
      <c r="T51" s="76"/>
      <c r="U51" s="38"/>
    </row>
    <row r="52" spans="1:26">
      <c r="A52" s="30" t="s">
        <v>49</v>
      </c>
      <c r="B52" s="30" t="s">
        <v>48</v>
      </c>
      <c r="C52" s="40">
        <v>2468235.6042128541</v>
      </c>
      <c r="D52" s="40"/>
      <c r="E52" s="69">
        <v>1981638.3402703265</v>
      </c>
      <c r="F52" s="69">
        <v>1410843.1093611571</v>
      </c>
      <c r="G52" s="69"/>
      <c r="H52" s="69">
        <v>510999.64893643901</v>
      </c>
      <c r="I52" s="69">
        <v>256207.6662703116</v>
      </c>
      <c r="J52" s="69">
        <v>219789.39056311769</v>
      </c>
      <c r="K52" s="69">
        <v>230027.36347051329</v>
      </c>
      <c r="L52" s="69">
        <v>185977.93316395843</v>
      </c>
      <c r="M52" s="69">
        <v>190108.72076635255</v>
      </c>
      <c r="N52" s="69">
        <v>217969.91081536454</v>
      </c>
      <c r="O52" s="69">
        <v>145454.98038811854</v>
      </c>
      <c r="P52" s="69">
        <v>157073.83618530256</v>
      </c>
      <c r="Q52" s="69">
        <v>148569.84088502481</v>
      </c>
      <c r="R52" s="69"/>
      <c r="S52" s="69">
        <v>25630.26316713644</v>
      </c>
      <c r="T52" s="69">
        <v>39677.019580495355</v>
      </c>
      <c r="U52" s="38"/>
      <c r="V52" s="38"/>
    </row>
    <row r="53" spans="1:26">
      <c r="A53" s="30"/>
      <c r="B53" s="29" t="s">
        <v>53</v>
      </c>
      <c r="C53" s="92">
        <v>81119.410643663738</v>
      </c>
      <c r="D53" s="39"/>
      <c r="E53" s="70">
        <v>59698.408681087225</v>
      </c>
      <c r="F53" s="70">
        <v>61344.087061777565</v>
      </c>
      <c r="G53" s="70"/>
      <c r="H53" s="70">
        <v>22022.17827844296</v>
      </c>
      <c r="I53" s="70">
        <v>9304.160750272029</v>
      </c>
      <c r="J53" s="70">
        <v>5087.2351837602255</v>
      </c>
      <c r="K53" s="70">
        <v>12352.048649875749</v>
      </c>
      <c r="L53" s="70">
        <v>6773.6558246490677</v>
      </c>
      <c r="M53" s="70">
        <v>6503.5104225077748</v>
      </c>
      <c r="N53" s="70">
        <v>10882.56043332316</v>
      </c>
      <c r="O53" s="70">
        <v>10748.624765852452</v>
      </c>
      <c r="P53" s="70">
        <v>1986.5027484424061</v>
      </c>
      <c r="Q53" s="70">
        <v>31982.279500510387</v>
      </c>
      <c r="R53" s="70"/>
      <c r="S53" s="70">
        <v>4105.2938961966402</v>
      </c>
      <c r="T53" s="70">
        <v>4105.2938961966402</v>
      </c>
      <c r="U53" s="38"/>
      <c r="V53" s="38"/>
    </row>
    <row r="54" spans="1:26">
      <c r="A54" s="30"/>
      <c r="B54" s="29" t="s">
        <v>54</v>
      </c>
      <c r="C54" s="92">
        <v>321407.43637302861</v>
      </c>
      <c r="D54" s="39"/>
      <c r="E54" s="70">
        <v>245861.70427614352</v>
      </c>
      <c r="F54" s="70">
        <v>213421.87926549333</v>
      </c>
      <c r="G54" s="70"/>
      <c r="H54" s="70">
        <v>100351.56210754014</v>
      </c>
      <c r="I54" s="70">
        <v>43100.572313346151</v>
      </c>
      <c r="J54" s="70">
        <v>31124.526299003748</v>
      </c>
      <c r="K54" s="70">
        <v>41324.796487610736</v>
      </c>
      <c r="L54" s="70">
        <v>40986.81464155516</v>
      </c>
      <c r="M54" s="70">
        <v>38973.22625674041</v>
      </c>
      <c r="N54" s="70">
        <v>44164.893408379328</v>
      </c>
      <c r="O54" s="70">
        <v>25652.078204956873</v>
      </c>
      <c r="P54" s="70">
        <v>24120.616784421218</v>
      </c>
      <c r="Q54" s="70">
        <v>50287.976217097363</v>
      </c>
      <c r="R54" s="70"/>
      <c r="S54" s="70">
        <v>532.20996220221821</v>
      </c>
      <c r="T54" s="70">
        <v>6605.5527995557313</v>
      </c>
      <c r="U54" s="38"/>
      <c r="V54" s="38"/>
    </row>
    <row r="55" spans="1:26">
      <c r="A55" s="30"/>
      <c r="B55" s="29" t="s">
        <v>55</v>
      </c>
      <c r="C55" s="92">
        <v>465225.36404006038</v>
      </c>
      <c r="D55" s="39"/>
      <c r="E55" s="70">
        <v>370131.0428522983</v>
      </c>
      <c r="F55" s="70">
        <v>273560.96968183218</v>
      </c>
      <c r="G55" s="70"/>
      <c r="H55" s="70">
        <v>119607.02146563283</v>
      </c>
      <c r="I55" s="70">
        <v>75345.415444041995</v>
      </c>
      <c r="J55" s="70">
        <v>63534.078415987788</v>
      </c>
      <c r="K55" s="70">
        <v>65313.992639940538</v>
      </c>
      <c r="L55" s="70">
        <v>54289.883338425607</v>
      </c>
      <c r="M55" s="70">
        <v>52962.111227237154</v>
      </c>
      <c r="N55" s="70">
        <v>63785.864891275116</v>
      </c>
      <c r="O55" s="70">
        <v>28242.215304165249</v>
      </c>
      <c r="P55" s="70">
        <v>65082.515894217278</v>
      </c>
      <c r="Q55" s="70">
        <v>36870.59869537389</v>
      </c>
      <c r="R55" s="70"/>
      <c r="S55" s="70">
        <v>1731.5226887861977</v>
      </c>
      <c r="T55" s="70">
        <v>9148.521191500844</v>
      </c>
      <c r="U55" s="38"/>
      <c r="V55" s="38"/>
    </row>
    <row r="56" spans="1:26">
      <c r="A56" s="30"/>
      <c r="B56" s="29" t="s">
        <v>56</v>
      </c>
      <c r="C56" s="92">
        <v>449706.13616718882</v>
      </c>
      <c r="D56" s="39"/>
      <c r="E56" s="70">
        <v>358445.74886922934</v>
      </c>
      <c r="F56" s="70">
        <v>241695.6020272235</v>
      </c>
      <c r="G56" s="70"/>
      <c r="H56" s="70">
        <v>86066.775184945393</v>
      </c>
      <c r="I56" s="70">
        <v>54526.128555664945</v>
      </c>
      <c r="J56" s="70">
        <v>43280.797456267159</v>
      </c>
      <c r="K56" s="70">
        <v>35041.298366572482</v>
      </c>
      <c r="L56" s="70">
        <v>28025.220569445999</v>
      </c>
      <c r="M56" s="70">
        <v>38211.387767241184</v>
      </c>
      <c r="N56" s="70">
        <v>36248.403823193141</v>
      </c>
      <c r="O56" s="70">
        <v>20385.198190181956</v>
      </c>
      <c r="P56" s="70">
        <v>31296.110521395552</v>
      </c>
      <c r="Q56" s="70">
        <v>19303.491249844628</v>
      </c>
      <c r="R56" s="70"/>
      <c r="S56" s="70">
        <v>2640.859483818951</v>
      </c>
      <c r="T56" s="70">
        <v>8663.2742850249742</v>
      </c>
      <c r="U56" s="38"/>
      <c r="V56" s="38"/>
    </row>
    <row r="57" spans="1:26">
      <c r="A57" s="30"/>
      <c r="B57" s="29" t="s">
        <v>57</v>
      </c>
      <c r="C57" s="92">
        <v>384156.93381922919</v>
      </c>
      <c r="D57" s="39"/>
      <c r="E57" s="70">
        <v>320638.02792778355</v>
      </c>
      <c r="F57" s="70">
        <v>204485.65430213444</v>
      </c>
      <c r="G57" s="70"/>
      <c r="H57" s="70">
        <v>55409.094725902047</v>
      </c>
      <c r="I57" s="70">
        <v>31864.280463420164</v>
      </c>
      <c r="J57" s="70">
        <v>30797.781785711697</v>
      </c>
      <c r="K57" s="70">
        <v>23133.882223954428</v>
      </c>
      <c r="L57" s="70">
        <v>19150.266489616162</v>
      </c>
      <c r="M57" s="70">
        <v>27285.326077574413</v>
      </c>
      <c r="N57" s="70">
        <v>19019.800675582832</v>
      </c>
      <c r="O57" s="70">
        <v>17445.799943049828</v>
      </c>
      <c r="P57" s="70">
        <v>21468.457009301332</v>
      </c>
      <c r="Q57" s="70">
        <v>6533.653196878141</v>
      </c>
      <c r="R57" s="70"/>
      <c r="S57" s="70">
        <v>2476.5657324368158</v>
      </c>
      <c r="T57" s="70">
        <v>3485.8940029471464</v>
      </c>
      <c r="U57" s="38"/>
      <c r="V57" s="38"/>
    </row>
    <row r="58" spans="1:26">
      <c r="A58" s="30"/>
      <c r="B58" s="29" t="s">
        <v>58</v>
      </c>
      <c r="C58" s="92">
        <v>323892.01208407833</v>
      </c>
      <c r="D58" s="39"/>
      <c r="E58" s="70">
        <v>275980.54390274821</v>
      </c>
      <c r="F58" s="70">
        <v>186775.08700131194</v>
      </c>
      <c r="G58" s="70"/>
      <c r="H58" s="70">
        <v>43376.309964701293</v>
      </c>
      <c r="I58" s="70">
        <v>21390.231262386082</v>
      </c>
      <c r="J58" s="70">
        <v>22176.788547953391</v>
      </c>
      <c r="K58" s="70">
        <v>16951.963608636699</v>
      </c>
      <c r="L58" s="70">
        <v>15587.723194074837</v>
      </c>
      <c r="M58" s="70">
        <v>12833.007500653306</v>
      </c>
      <c r="N58" s="70">
        <v>16453.493718696947</v>
      </c>
      <c r="O58" s="70">
        <v>21926.343236276938</v>
      </c>
      <c r="P58" s="70">
        <v>9260.6185023253183</v>
      </c>
      <c r="Q58" s="70">
        <v>2482.8388741970957</v>
      </c>
      <c r="R58" s="70"/>
      <c r="S58" s="70">
        <v>3406.3526677226046</v>
      </c>
      <c r="T58" s="70">
        <v>2393.944763668927</v>
      </c>
      <c r="U58" s="38"/>
      <c r="V58" s="38"/>
    </row>
    <row r="59" spans="1:26">
      <c r="A59" s="30"/>
      <c r="B59" s="29" t="s">
        <v>59</v>
      </c>
      <c r="C59" s="92">
        <v>442728.31108562223</v>
      </c>
      <c r="D59" s="39"/>
      <c r="E59" s="70">
        <v>350882.86376103823</v>
      </c>
      <c r="F59" s="70">
        <v>229559.83002136869</v>
      </c>
      <c r="G59" s="70"/>
      <c r="H59" s="70">
        <v>84166.707209274013</v>
      </c>
      <c r="I59" s="70">
        <v>20676.877481180261</v>
      </c>
      <c r="J59" s="70">
        <v>23788.182874433725</v>
      </c>
      <c r="K59" s="70">
        <v>35909.381493922781</v>
      </c>
      <c r="L59" s="70">
        <v>21164.369106191727</v>
      </c>
      <c r="M59" s="70">
        <v>13340.151514398107</v>
      </c>
      <c r="N59" s="70">
        <v>27414.893864913993</v>
      </c>
      <c r="O59" s="70">
        <v>21054.72074363524</v>
      </c>
      <c r="P59" s="70">
        <v>3859.0147251995681</v>
      </c>
      <c r="Q59" s="70">
        <v>1109.0031511233376</v>
      </c>
      <c r="R59" s="70"/>
      <c r="S59" s="70">
        <v>10737.458735973012</v>
      </c>
      <c r="T59" s="70">
        <v>5274.5386416010861</v>
      </c>
      <c r="U59" s="38"/>
      <c r="V59" s="38"/>
    </row>
    <row r="60" spans="1:26">
      <c r="A60" s="30"/>
      <c r="B60" s="29"/>
      <c r="C60" s="39"/>
      <c r="D60" s="39"/>
      <c r="E60" s="19"/>
      <c r="F60" s="19"/>
      <c r="G60" s="19"/>
      <c r="H60" s="19"/>
      <c r="K60" s="76"/>
      <c r="L60" s="76"/>
      <c r="M60" s="76"/>
      <c r="N60" s="76"/>
      <c r="O60" s="76"/>
      <c r="P60" s="76"/>
      <c r="Q60" s="76"/>
      <c r="R60" s="76"/>
      <c r="S60" s="76"/>
      <c r="T60" s="76"/>
      <c r="U60" s="38"/>
    </row>
    <row r="61" spans="1:26">
      <c r="A61" s="30" t="s">
        <v>50</v>
      </c>
      <c r="B61" s="30" t="s">
        <v>48</v>
      </c>
      <c r="C61" s="40">
        <v>2520330.142582594</v>
      </c>
      <c r="D61" s="40"/>
      <c r="E61" s="69">
        <v>2028254.3171980984</v>
      </c>
      <c r="F61" s="69">
        <v>1498119.5739795316</v>
      </c>
      <c r="G61" s="69"/>
      <c r="H61" s="69">
        <v>295114.82040283497</v>
      </c>
      <c r="I61" s="69">
        <v>399563.77384271665</v>
      </c>
      <c r="J61" s="69">
        <v>424974.57844221179</v>
      </c>
      <c r="K61" s="69">
        <v>199830.11731119954</v>
      </c>
      <c r="L61" s="69">
        <v>218909.5345714789</v>
      </c>
      <c r="M61" s="69">
        <v>174677.12116394716</v>
      </c>
      <c r="N61" s="69">
        <v>156764.59867237677</v>
      </c>
      <c r="O61" s="69">
        <v>133269.06252433761</v>
      </c>
      <c r="P61" s="69">
        <v>106874.24736201802</v>
      </c>
      <c r="Q61" s="69">
        <v>109001.3049488939</v>
      </c>
      <c r="R61" s="69"/>
      <c r="S61" s="69">
        <v>54645.619999536691</v>
      </c>
      <c r="T61" s="69">
        <v>32601.824023507499</v>
      </c>
      <c r="U61" s="38"/>
      <c r="V61" s="38"/>
    </row>
    <row r="62" spans="1:26">
      <c r="A62" s="29"/>
      <c r="B62" s="29" t="s">
        <v>53</v>
      </c>
      <c r="C62" s="92">
        <v>122481.75871550491</v>
      </c>
      <c r="D62" s="39"/>
      <c r="E62" s="70">
        <v>96273.647771581847</v>
      </c>
      <c r="F62" s="70">
        <v>85033.125895636564</v>
      </c>
      <c r="G62" s="70"/>
      <c r="H62" s="70">
        <v>35016.187091517364</v>
      </c>
      <c r="I62" s="70">
        <v>14824.86596334471</v>
      </c>
      <c r="J62" s="70">
        <v>13310.217276722691</v>
      </c>
      <c r="K62" s="70">
        <v>17152.04228115017</v>
      </c>
      <c r="L62" s="70">
        <v>9526.8531626951317</v>
      </c>
      <c r="M62" s="70">
        <v>14377.659119394686</v>
      </c>
      <c r="N62" s="70">
        <v>12126.117015306683</v>
      </c>
      <c r="O62" s="70">
        <v>12999.146075939905</v>
      </c>
      <c r="P62" s="70">
        <v>9017.4303989863529</v>
      </c>
      <c r="Q62" s="70">
        <v>33140.183382280557</v>
      </c>
      <c r="R62" s="70"/>
      <c r="S62" s="70">
        <v>1684.1040361991202</v>
      </c>
      <c r="T62" s="70">
        <v>12302.172591289376</v>
      </c>
      <c r="U62" s="38"/>
      <c r="V62" s="38"/>
    </row>
    <row r="63" spans="1:26">
      <c r="A63" s="29"/>
      <c r="B63" s="29" t="s">
        <v>54</v>
      </c>
      <c r="C63" s="92">
        <v>274015.99883148167</v>
      </c>
      <c r="D63" s="39"/>
      <c r="E63" s="70">
        <v>233544.92005989607</v>
      </c>
      <c r="F63" s="70">
        <v>196096.29482600317</v>
      </c>
      <c r="G63" s="70"/>
      <c r="H63" s="70">
        <v>58039.294923083587</v>
      </c>
      <c r="I63" s="70">
        <v>45197.76978165326</v>
      </c>
      <c r="J63" s="70">
        <v>57280.924836011451</v>
      </c>
      <c r="K63" s="70">
        <v>26010.326172003683</v>
      </c>
      <c r="L63" s="70">
        <v>31974.016506855325</v>
      </c>
      <c r="M63" s="70">
        <v>27884.260573540952</v>
      </c>
      <c r="N63" s="70">
        <v>29154.511470553716</v>
      </c>
      <c r="O63" s="70">
        <v>13302.653711902072</v>
      </c>
      <c r="P63" s="70">
        <v>16029.128905332724</v>
      </c>
      <c r="Q63" s="70">
        <v>30730.975263634966</v>
      </c>
      <c r="R63" s="70"/>
      <c r="S63" s="70">
        <v>1570.5930251117052</v>
      </c>
      <c r="T63" s="70">
        <v>5089.8257713965086</v>
      </c>
      <c r="U63" s="38"/>
      <c r="V63" s="38"/>
    </row>
    <row r="64" spans="1:26">
      <c r="A64" s="29"/>
      <c r="B64" s="29" t="s">
        <v>55</v>
      </c>
      <c r="C64" s="92">
        <v>498542.50249313109</v>
      </c>
      <c r="D64" s="39"/>
      <c r="E64" s="70">
        <v>412444.58980606456</v>
      </c>
      <c r="F64" s="70">
        <v>331528.17639891303</v>
      </c>
      <c r="G64" s="70"/>
      <c r="H64" s="70">
        <v>70080.886669057538</v>
      </c>
      <c r="I64" s="70">
        <v>104930.17092216715</v>
      </c>
      <c r="J64" s="70">
        <v>125479.01935809309</v>
      </c>
      <c r="K64" s="70">
        <v>44815.144916327023</v>
      </c>
      <c r="L64" s="70">
        <v>59059.46773512358</v>
      </c>
      <c r="M64" s="70">
        <v>50996.512230435626</v>
      </c>
      <c r="N64" s="70">
        <v>33695.331753733153</v>
      </c>
      <c r="O64" s="70">
        <v>29596.816171918959</v>
      </c>
      <c r="P64" s="70">
        <v>35756.520905102923</v>
      </c>
      <c r="Q64" s="70">
        <v>24154.102690411801</v>
      </c>
      <c r="R64" s="70"/>
      <c r="S64" s="70">
        <v>7976.0898673224328</v>
      </c>
      <c r="T64" s="70">
        <v>7969.4933358749677</v>
      </c>
      <c r="U64" s="38"/>
      <c r="V64" s="38"/>
    </row>
    <row r="65" spans="1:22">
      <c r="A65" s="29"/>
      <c r="B65" s="29" t="s">
        <v>56</v>
      </c>
      <c r="C65" s="92">
        <v>443003.41208110232</v>
      </c>
      <c r="D65" s="39"/>
      <c r="E65" s="70">
        <v>359301.77270899364</v>
      </c>
      <c r="F65" s="70">
        <v>254623.89786369647</v>
      </c>
      <c r="G65" s="70"/>
      <c r="H65" s="70">
        <v>46714.701180677446</v>
      </c>
      <c r="I65" s="70">
        <v>60914.650143314255</v>
      </c>
      <c r="J65" s="70">
        <v>97395.013193731662</v>
      </c>
      <c r="K65" s="70">
        <v>25315.470327107669</v>
      </c>
      <c r="L65" s="70">
        <v>35963.397755468672</v>
      </c>
      <c r="M65" s="70">
        <v>35631.481449823041</v>
      </c>
      <c r="N65" s="70">
        <v>23896.862046857023</v>
      </c>
      <c r="O65" s="70">
        <v>18177.748388786909</v>
      </c>
      <c r="P65" s="70">
        <v>19136.10092954633</v>
      </c>
      <c r="Q65" s="70">
        <v>10766.547769363633</v>
      </c>
      <c r="R65" s="70"/>
      <c r="S65" s="70">
        <v>4801.9243659950671</v>
      </c>
      <c r="T65" s="70">
        <v>2746.9443493121503</v>
      </c>
      <c r="U65" s="38"/>
      <c r="V65" s="38"/>
    </row>
    <row r="66" spans="1:22">
      <c r="A66" s="29"/>
      <c r="B66" s="29" t="s">
        <v>57</v>
      </c>
      <c r="C66" s="92">
        <v>379973.2178625958</v>
      </c>
      <c r="D66" s="39"/>
      <c r="E66" s="70">
        <v>319618.76791390759</v>
      </c>
      <c r="F66" s="70">
        <v>223496.92398879226</v>
      </c>
      <c r="G66" s="70"/>
      <c r="H66" s="70">
        <v>35978.62263794992</v>
      </c>
      <c r="I66" s="70">
        <v>46438.021515805951</v>
      </c>
      <c r="J66" s="70">
        <v>50900.320092387024</v>
      </c>
      <c r="K66" s="70">
        <v>17131.140245299503</v>
      </c>
      <c r="L66" s="70">
        <v>26645.362609928932</v>
      </c>
      <c r="M66" s="70">
        <v>28028.720009487319</v>
      </c>
      <c r="N66" s="70">
        <v>13662.204987921657</v>
      </c>
      <c r="O66" s="70">
        <v>17869.120990048574</v>
      </c>
      <c r="P66" s="70">
        <v>16187.58894401285</v>
      </c>
      <c r="Q66" s="70">
        <v>5392.8194244239312</v>
      </c>
      <c r="R66" s="70"/>
      <c r="S66" s="70">
        <v>10180.055158469586</v>
      </c>
      <c r="T66" s="70">
        <v>2360.108452646622</v>
      </c>
      <c r="U66" s="38"/>
      <c r="V66" s="38"/>
    </row>
    <row r="67" spans="1:22">
      <c r="A67" s="29"/>
      <c r="B67" s="29" t="s">
        <v>58</v>
      </c>
      <c r="C67" s="92">
        <v>327132.24815954786</v>
      </c>
      <c r="D67" s="39"/>
      <c r="E67" s="70">
        <v>277307.67710112233</v>
      </c>
      <c r="F67" s="70">
        <v>188996.97382658615</v>
      </c>
      <c r="G67" s="70"/>
      <c r="H67" s="70">
        <v>21584.560585467654</v>
      </c>
      <c r="I67" s="70">
        <v>44672.112136333395</v>
      </c>
      <c r="J67" s="70">
        <v>42962.024776713122</v>
      </c>
      <c r="K67" s="70">
        <v>15512.976229295675</v>
      </c>
      <c r="L67" s="70">
        <v>19632.287379260175</v>
      </c>
      <c r="M67" s="70">
        <v>13423.219916337508</v>
      </c>
      <c r="N67" s="70">
        <v>8132.3443715832391</v>
      </c>
      <c r="O67" s="70">
        <v>12535.434502756343</v>
      </c>
      <c r="P67" s="70">
        <v>8004.3441949504449</v>
      </c>
      <c r="Q67" s="70">
        <v>1884.5073128706099</v>
      </c>
      <c r="R67" s="70"/>
      <c r="S67" s="70">
        <v>10778.83752469074</v>
      </c>
      <c r="T67" s="70">
        <v>1317.4874724115962</v>
      </c>
      <c r="U67" s="38"/>
      <c r="V67" s="38"/>
    </row>
    <row r="68" spans="1:22">
      <c r="A68" s="29"/>
      <c r="B68" s="29" t="s">
        <v>59</v>
      </c>
      <c r="C68" s="92">
        <v>475181.00443921948</v>
      </c>
      <c r="D68" s="39"/>
      <c r="E68" s="70">
        <v>329762.94183655991</v>
      </c>
      <c r="F68" s="70">
        <v>218344.18117993305</v>
      </c>
      <c r="G68" s="70"/>
      <c r="H68" s="70">
        <v>27700.567315081189</v>
      </c>
      <c r="I68" s="70">
        <v>82586.183380097922</v>
      </c>
      <c r="J68" s="70">
        <v>37647.058908551327</v>
      </c>
      <c r="K68" s="70">
        <v>53893.01714001588</v>
      </c>
      <c r="L68" s="70">
        <v>36108.149422147064</v>
      </c>
      <c r="M68" s="70">
        <v>4335.2678649280761</v>
      </c>
      <c r="N68" s="70">
        <v>36097.227026421257</v>
      </c>
      <c r="O68" s="70">
        <v>28788.142682984711</v>
      </c>
      <c r="P68" s="70">
        <v>2743.1330840864439</v>
      </c>
      <c r="Q68" s="70">
        <v>2932.1691059084824</v>
      </c>
      <c r="R68" s="70"/>
      <c r="S68" s="70">
        <v>17654.016021748015</v>
      </c>
      <c r="T68" s="70">
        <v>815.79205057627655</v>
      </c>
      <c r="U68" s="38"/>
      <c r="V68" s="38"/>
    </row>
    <row r="69" spans="1:22">
      <c r="A69" s="111"/>
      <c r="B69" s="111"/>
      <c r="C69" s="97"/>
      <c r="D69" s="97"/>
      <c r="E69" s="97"/>
      <c r="F69" s="97"/>
      <c r="G69" s="97"/>
      <c r="H69" s="97"/>
      <c r="I69" s="97"/>
      <c r="J69" s="97"/>
      <c r="K69" s="97"/>
      <c r="L69" s="97"/>
      <c r="M69" s="97"/>
      <c r="N69" s="97"/>
      <c r="O69" s="97"/>
      <c r="P69" s="97"/>
      <c r="Q69" s="97"/>
      <c r="R69" s="97"/>
      <c r="S69" s="97"/>
      <c r="T69" s="97"/>
    </row>
    <row r="70" spans="1:22">
      <c r="A70" s="115" t="s">
        <v>108</v>
      </c>
    </row>
    <row r="71" spans="1:22">
      <c r="A71" s="16" t="s">
        <v>112</v>
      </c>
    </row>
    <row r="72" spans="1:22">
      <c r="A72" s="16" t="s">
        <v>113</v>
      </c>
    </row>
    <row r="73" spans="1:22">
      <c r="A73" s="21" t="s">
        <v>111</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1" formatCode="\*\*0.0%"/>
            </x14:dxf>
          </x14:cfRule>
          <x14:cfRule type="expression" priority="4" id="{A6A0BA3A-C0E3-4086-97B2-3203ED7BF81E}">
            <xm:f>C43&lt;'27'!$C$103</xm:f>
            <x14:dxf>
              <font>
                <color rgb="FF00B050"/>
              </font>
              <numFmt numFmtId="170"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69" formatCode="\*\*#,###,###,##0"/>
            </x14:dxf>
          </x14:cfRule>
          <x14:cfRule type="expression" priority="2" id="{0B5F2508-6096-489A-AFDD-EF15C469F007}">
            <xm:f>C43&lt;'27'!$C$103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24"/>
      <c r="B1" s="24"/>
      <c r="C1" s="24"/>
      <c r="D1" s="24"/>
      <c r="E1" s="24"/>
      <c r="F1" s="24"/>
      <c r="G1" s="24"/>
      <c r="H1" s="24"/>
      <c r="I1" s="24"/>
      <c r="J1" s="24"/>
      <c r="K1" s="24"/>
      <c r="L1" s="24"/>
      <c r="M1" s="24"/>
      <c r="N1" s="24"/>
    </row>
    <row r="2" spans="1:16">
      <c r="A2" s="24"/>
      <c r="B2" s="24"/>
      <c r="C2" s="24"/>
      <c r="D2" s="24"/>
      <c r="E2" s="24"/>
      <c r="F2" s="24"/>
      <c r="G2" s="24"/>
      <c r="H2" s="24"/>
      <c r="I2" s="24"/>
      <c r="J2" s="24"/>
      <c r="K2" s="24"/>
      <c r="L2" s="24"/>
      <c r="M2" s="24"/>
      <c r="N2" s="24"/>
    </row>
    <row r="3" spans="1:16">
      <c r="A3" s="24"/>
      <c r="B3" s="24"/>
      <c r="C3" s="24"/>
      <c r="D3" s="24"/>
      <c r="E3" s="24"/>
      <c r="F3" s="24"/>
      <c r="G3" s="24"/>
      <c r="H3" s="24"/>
      <c r="I3" s="24"/>
      <c r="J3" s="24"/>
      <c r="K3" s="24"/>
      <c r="L3" s="24"/>
      <c r="M3" s="24"/>
      <c r="N3" s="24"/>
    </row>
    <row r="4" spans="1:16">
      <c r="A4" s="24"/>
      <c r="B4" s="24"/>
      <c r="C4" s="24"/>
      <c r="D4" s="24"/>
      <c r="E4" s="24"/>
      <c r="F4" s="24"/>
      <c r="G4" s="24"/>
      <c r="H4" s="24"/>
      <c r="I4" s="24"/>
      <c r="J4" s="24"/>
      <c r="K4" s="24"/>
      <c r="L4" s="24"/>
      <c r="M4" s="24"/>
      <c r="N4" s="24"/>
    </row>
    <row r="5" spans="1:16">
      <c r="A5" s="24"/>
      <c r="B5" s="24"/>
      <c r="C5" s="24"/>
      <c r="D5" s="24"/>
      <c r="E5" s="24"/>
      <c r="F5" s="24"/>
      <c r="G5" s="24"/>
      <c r="H5" s="24"/>
      <c r="I5" s="24"/>
      <c r="J5" s="24"/>
      <c r="K5" s="24"/>
      <c r="L5" s="24"/>
      <c r="M5" s="24"/>
      <c r="N5" s="24"/>
    </row>
    <row r="6" spans="1:16">
      <c r="A6" s="24"/>
      <c r="B6" s="24"/>
      <c r="C6" s="24"/>
      <c r="D6" s="24"/>
      <c r="E6" s="24"/>
      <c r="F6" s="24"/>
      <c r="G6" s="24"/>
      <c r="H6" s="24"/>
      <c r="I6" s="24"/>
      <c r="J6" s="24"/>
      <c r="K6" s="24"/>
      <c r="L6" s="24"/>
      <c r="M6" s="24"/>
      <c r="N6" s="24"/>
    </row>
    <row r="7" spans="1:16">
      <c r="A7" s="24"/>
      <c r="B7" s="24"/>
      <c r="C7" s="24"/>
      <c r="D7" s="24"/>
      <c r="E7" s="24"/>
      <c r="F7" s="24"/>
      <c r="G7" s="24"/>
      <c r="H7" s="24"/>
      <c r="I7" s="24"/>
      <c r="J7" s="24"/>
      <c r="K7" s="24"/>
      <c r="L7" s="24"/>
      <c r="M7" s="24"/>
      <c r="N7" s="24"/>
    </row>
    <row r="8" spans="1:16">
      <c r="A8" s="25" t="str">
        <f>Index!A8</f>
        <v>AusPlay survey results July 2024 - June 2025</v>
      </c>
      <c r="B8" s="24"/>
      <c r="C8" s="24"/>
      <c r="D8" s="24"/>
      <c r="E8" s="24"/>
      <c r="F8" s="24"/>
      <c r="G8" s="24"/>
      <c r="H8" s="24"/>
      <c r="I8" s="24"/>
      <c r="J8" s="24"/>
      <c r="K8" s="24"/>
      <c r="L8" s="24"/>
      <c r="M8" s="24"/>
      <c r="N8" s="24"/>
    </row>
    <row r="9" spans="1:16">
      <c r="A9" s="24" t="s">
        <v>1</v>
      </c>
      <c r="B9" s="24"/>
      <c r="C9" s="133" t="s">
        <v>2</v>
      </c>
      <c r="D9" s="25"/>
      <c r="E9" s="24"/>
      <c r="F9" s="24"/>
      <c r="G9" s="24"/>
      <c r="H9" s="24"/>
      <c r="I9" s="24"/>
      <c r="J9" s="24"/>
      <c r="K9" s="24"/>
      <c r="L9" s="24"/>
      <c r="M9" s="24"/>
      <c r="N9" s="24"/>
    </row>
    <row r="10" spans="1:16">
      <c r="A10" s="24" t="s">
        <v>40</v>
      </c>
      <c r="B10" s="24"/>
      <c r="C10" s="26">
        <v>5</v>
      </c>
      <c r="D10" s="26"/>
      <c r="E10" s="24"/>
      <c r="F10" s="24"/>
      <c r="G10" s="24"/>
      <c r="H10" s="24"/>
      <c r="I10" s="24"/>
      <c r="J10" s="24"/>
      <c r="K10" s="24"/>
      <c r="L10" s="24"/>
      <c r="M10" s="24"/>
      <c r="N10" s="24"/>
    </row>
    <row r="11" spans="1:16">
      <c r="A11" s="24" t="s">
        <v>3</v>
      </c>
      <c r="B11" s="24"/>
      <c r="C11" s="25" t="s">
        <v>14</v>
      </c>
      <c r="D11" s="25"/>
      <c r="E11" s="24"/>
      <c r="F11" s="24"/>
      <c r="G11" s="24"/>
      <c r="H11" s="24"/>
      <c r="I11" s="24"/>
      <c r="J11" s="24"/>
      <c r="K11" s="24"/>
      <c r="L11" s="24"/>
      <c r="M11" s="24"/>
      <c r="N11" s="24"/>
    </row>
    <row r="12" spans="1:16">
      <c r="A12" s="109" t="s">
        <v>41</v>
      </c>
      <c r="B12" s="109"/>
      <c r="C12" s="110" t="s">
        <v>42</v>
      </c>
      <c r="D12" s="110"/>
      <c r="E12" s="109"/>
      <c r="F12" s="109"/>
      <c r="G12" s="109"/>
      <c r="H12" s="109"/>
      <c r="I12" s="109"/>
      <c r="J12" s="109"/>
      <c r="K12" s="109"/>
      <c r="L12" s="109"/>
      <c r="M12" s="109"/>
      <c r="N12" s="109"/>
    </row>
    <row r="13" spans="1:16" ht="24.95" customHeight="1">
      <c r="A13" s="27"/>
      <c r="B13" s="27"/>
      <c r="C13" s="141"/>
      <c r="D13" s="141"/>
      <c r="E13" s="154" t="s">
        <v>153</v>
      </c>
      <c r="F13" s="154"/>
      <c r="G13" s="154"/>
      <c r="H13" s="154"/>
      <c r="I13" s="154"/>
      <c r="J13" s="154"/>
      <c r="K13" s="154"/>
      <c r="L13" s="154"/>
      <c r="M13" s="154"/>
      <c r="N13" s="154"/>
    </row>
    <row r="14" spans="1:16" s="8" customFormat="1" ht="50.25" customHeight="1">
      <c r="A14" s="72"/>
      <c r="B14" s="72"/>
      <c r="C14" s="55" t="s">
        <v>154</v>
      </c>
      <c r="D14" s="55"/>
      <c r="E14" s="55" t="s">
        <v>143</v>
      </c>
      <c r="F14" s="55" t="s">
        <v>144</v>
      </c>
      <c r="G14" s="55" t="s">
        <v>145</v>
      </c>
      <c r="H14" s="55" t="s">
        <v>146</v>
      </c>
      <c r="I14" s="55" t="s">
        <v>147</v>
      </c>
      <c r="J14" s="55" t="s">
        <v>148</v>
      </c>
      <c r="K14" s="55" t="s">
        <v>155</v>
      </c>
      <c r="L14" s="55" t="s">
        <v>150</v>
      </c>
      <c r="M14" s="55" t="s">
        <v>151</v>
      </c>
      <c r="N14" s="55" t="s">
        <v>152</v>
      </c>
    </row>
    <row r="15" spans="1:16">
      <c r="A15" s="57"/>
      <c r="B15" s="57"/>
      <c r="C15" s="162" t="s">
        <v>135</v>
      </c>
      <c r="D15" s="162"/>
      <c r="E15" s="162"/>
      <c r="F15" s="162"/>
      <c r="G15" s="162"/>
      <c r="H15" s="162"/>
      <c r="I15" s="162"/>
      <c r="J15" s="162"/>
      <c r="K15" s="162"/>
      <c r="L15" s="162"/>
      <c r="M15" s="162"/>
      <c r="N15" s="162"/>
    </row>
    <row r="16" spans="1:16" ht="17.25">
      <c r="A16" s="30" t="s">
        <v>136</v>
      </c>
      <c r="B16" s="30" t="s">
        <v>48</v>
      </c>
      <c r="C16" s="23">
        <v>0.43402270002706239</v>
      </c>
      <c r="D16" s="23"/>
      <c r="E16" s="23">
        <v>0.13999695438321286</v>
      </c>
      <c r="F16" s="23">
        <v>0.11429196373041627</v>
      </c>
      <c r="G16" s="23">
        <v>0.11229376418255436</v>
      </c>
      <c r="H16" s="23">
        <v>7.4601629756610111E-2</v>
      </c>
      <c r="I16" s="23">
        <v>7.0460771206949879E-2</v>
      </c>
      <c r="J16" s="78">
        <v>6.3409976270674115E-2</v>
      </c>
      <c r="K16" s="78">
        <v>6.5158252583482831E-2</v>
      </c>
      <c r="L16" s="78">
        <v>4.8988487029634362E-2</v>
      </c>
      <c r="M16" s="78">
        <v>4.6018058505190931E-2</v>
      </c>
      <c r="N16" s="78">
        <v>4.4744842419463582E-2</v>
      </c>
      <c r="O16" s="78"/>
      <c r="P16" s="22"/>
    </row>
    <row r="17" spans="1:16">
      <c r="A17" s="30"/>
      <c r="B17" s="29" t="s">
        <v>53</v>
      </c>
      <c r="C17" s="4">
        <v>0.60035270922526462</v>
      </c>
      <c r="D17" s="4"/>
      <c r="E17" s="4">
        <v>0.23695849958822923</v>
      </c>
      <c r="F17" s="4">
        <v>0.10024091555741056</v>
      </c>
      <c r="G17" s="4">
        <v>7.642983285032455E-2</v>
      </c>
      <c r="H17" s="4">
        <v>0.12257092350708518</v>
      </c>
      <c r="I17" s="4">
        <v>6.7718352850970095E-2</v>
      </c>
      <c r="J17" s="22">
        <v>8.6748113698618082E-2</v>
      </c>
      <c r="K17" s="22">
        <v>9.5586569677682989E-2</v>
      </c>
      <c r="L17" s="22">
        <v>9.8657037429754971E-2</v>
      </c>
      <c r="M17" s="22">
        <v>4.5714414697394984E-2</v>
      </c>
      <c r="N17" s="22">
        <v>0.2705428354074696</v>
      </c>
      <c r="O17" s="22"/>
      <c r="P17" s="22"/>
    </row>
    <row r="18" spans="1:16">
      <c r="A18" s="30"/>
      <c r="B18" s="29" t="s">
        <v>54</v>
      </c>
      <c r="C18" s="4">
        <v>0.54981326100481254</v>
      </c>
      <c r="D18" s="4"/>
      <c r="E18" s="4">
        <v>0.23475734127913545</v>
      </c>
      <c r="F18" s="4">
        <v>0.13157489577123363</v>
      </c>
      <c r="G18" s="4">
        <v>0.13171769115690399</v>
      </c>
      <c r="H18" s="4">
        <v>9.9229360166569108E-2</v>
      </c>
      <c r="I18" s="4">
        <v>0.10751976540795853</v>
      </c>
      <c r="J18" s="22">
        <v>9.8525485340693511E-2</v>
      </c>
      <c r="K18" s="22">
        <v>0.10880480856856529</v>
      </c>
      <c r="L18" s="22">
        <v>5.8736357292643988E-2</v>
      </c>
      <c r="M18" s="22">
        <v>5.9167243160518565E-2</v>
      </c>
      <c r="N18" s="22">
        <v>0.12012418562740051</v>
      </c>
      <c r="O18" s="22"/>
      <c r="P18" s="22"/>
    </row>
    <row r="19" spans="1:16">
      <c r="A19" s="30"/>
      <c r="B19" s="29" t="s">
        <v>55</v>
      </c>
      <c r="C19" s="4">
        <v>0.53578799588134551</v>
      </c>
      <c r="D19" s="4"/>
      <c r="E19" s="4">
        <v>0.17954233236245476</v>
      </c>
      <c r="F19" s="4">
        <v>0.17111295788541997</v>
      </c>
      <c r="G19" s="4">
        <v>0.17936667422697936</v>
      </c>
      <c r="H19" s="4">
        <v>0.10423881212226691</v>
      </c>
      <c r="I19" s="4">
        <v>0.10774985008946308</v>
      </c>
      <c r="J19" s="22">
        <v>9.8398331808938463E-2</v>
      </c>
      <c r="K19" s="22">
        <v>9.226735419898402E-2</v>
      </c>
      <c r="L19" s="22">
        <v>5.5175782159343302E-2</v>
      </c>
      <c r="M19" s="22">
        <v>9.5846639942330059E-2</v>
      </c>
      <c r="N19" s="22">
        <v>5.7760757268441459E-2</v>
      </c>
      <c r="O19" s="22"/>
      <c r="P19" s="22"/>
    </row>
    <row r="20" spans="1:16">
      <c r="A20" s="30"/>
      <c r="B20" s="29" t="s">
        <v>56</v>
      </c>
      <c r="C20" s="4">
        <v>0.44794667879560901</v>
      </c>
      <c r="D20" s="4"/>
      <c r="E20" s="4">
        <v>0.13209301015200078</v>
      </c>
      <c r="F20" s="4">
        <v>0.11533462730900491</v>
      </c>
      <c r="G20" s="4">
        <v>0.1399464126544552</v>
      </c>
      <c r="H20" s="4">
        <v>6.0043821457767786E-2</v>
      </c>
      <c r="I20" s="4">
        <v>6.4149244161742086E-2</v>
      </c>
      <c r="J20" s="22">
        <v>7.3980993455193905E-2</v>
      </c>
      <c r="K20" s="22">
        <v>5.9833415267133143E-2</v>
      </c>
      <c r="L20" s="22">
        <v>3.9351111556820834E-2</v>
      </c>
      <c r="M20" s="22">
        <v>5.0170722615205533E-2</v>
      </c>
      <c r="N20" s="22">
        <v>2.9914127167091065E-2</v>
      </c>
      <c r="O20" s="22"/>
      <c r="P20" s="22"/>
    </row>
    <row r="21" spans="1:16">
      <c r="A21" s="30"/>
      <c r="B21" s="29" t="s">
        <v>57</v>
      </c>
      <c r="C21" s="4">
        <v>0.37302684835693239</v>
      </c>
      <c r="D21" s="4"/>
      <c r="E21" s="4">
        <v>0.10639953373979087</v>
      </c>
      <c r="F21" s="4">
        <v>9.1813734060774407E-2</v>
      </c>
      <c r="G21" s="4">
        <v>9.575606034752325E-2</v>
      </c>
      <c r="H21" s="4">
        <v>4.7143616666971443E-2</v>
      </c>
      <c r="I21" s="4">
        <v>5.3081356642389721E-2</v>
      </c>
      <c r="J21" s="22">
        <v>6.4586822612242314E-2</v>
      </c>
      <c r="K21" s="22">
        <v>3.8522044971266871E-2</v>
      </c>
      <c r="L21" s="22">
        <v>4.2633446598018057E-2</v>
      </c>
      <c r="M21" s="22">
        <v>4.4287416290942148E-2</v>
      </c>
      <c r="N21" s="22">
        <v>1.3823881430276512E-2</v>
      </c>
      <c r="O21" s="22"/>
      <c r="P21" s="22"/>
    </row>
    <row r="22" spans="1:16">
      <c r="A22" s="30"/>
      <c r="B22" s="29" t="s">
        <v>58</v>
      </c>
      <c r="C22" s="4">
        <v>0.33232763768077356</v>
      </c>
      <c r="D22" s="4"/>
      <c r="E22" s="4">
        <v>8.7067693547389219E-2</v>
      </c>
      <c r="F22" s="4">
        <v>8.9229237522382043E-2</v>
      </c>
      <c r="G22" s="4">
        <v>8.7991421083217558E-2</v>
      </c>
      <c r="H22" s="4">
        <v>4.3513078086915645E-2</v>
      </c>
      <c r="I22" s="4">
        <v>4.7890955569198271E-2</v>
      </c>
      <c r="J22" s="22">
        <v>3.5191479779932942E-2</v>
      </c>
      <c r="K22" s="22">
        <v>3.2952640540693537E-2</v>
      </c>
      <c r="L22" s="22">
        <v>4.6189459560322672E-2</v>
      </c>
      <c r="M22" s="22">
        <v>2.3790412296485437E-2</v>
      </c>
      <c r="N22" s="22">
        <v>5.8535970378860713E-3</v>
      </c>
      <c r="O22" s="22"/>
      <c r="P22" s="22"/>
    </row>
    <row r="23" spans="1:16">
      <c r="A23" s="30"/>
      <c r="B23" s="29" t="s">
        <v>59</v>
      </c>
      <c r="C23" s="4">
        <v>0.33923694695278184</v>
      </c>
      <c r="D23" s="4"/>
      <c r="E23" s="4">
        <v>9.4991581376434847E-2</v>
      </c>
      <c r="F23" s="4">
        <v>8.7685352938926403E-2</v>
      </c>
      <c r="G23" s="4">
        <v>5.2167452850018392E-2</v>
      </c>
      <c r="H23" s="4">
        <v>7.6255293551266506E-2</v>
      </c>
      <c r="I23" s="4">
        <v>4.8632695554172989E-2</v>
      </c>
      <c r="J23" s="22">
        <v>1.500900102798452E-2</v>
      </c>
      <c r="K23" s="22">
        <v>5.3931025187582721E-2</v>
      </c>
      <c r="L23" s="22">
        <v>4.2323838114009686E-2</v>
      </c>
      <c r="M23" s="22">
        <v>5.6061834307807564E-3</v>
      </c>
      <c r="N23" s="22">
        <v>3.4315428255691743E-3</v>
      </c>
      <c r="O23" s="22"/>
      <c r="P23" s="22"/>
    </row>
    <row r="24" spans="1:16">
      <c r="A24" s="30"/>
      <c r="B24" s="30"/>
      <c r="C24" s="4"/>
      <c r="D24" s="4"/>
      <c r="E24" s="4"/>
      <c r="F24" s="4"/>
      <c r="G24" s="4"/>
      <c r="J24" s="22"/>
      <c r="K24" s="22"/>
      <c r="L24" s="22"/>
      <c r="M24" s="22"/>
      <c r="N24" s="22"/>
      <c r="O24" s="22"/>
    </row>
    <row r="25" spans="1:16">
      <c r="A25" s="30" t="s">
        <v>49</v>
      </c>
      <c r="B25" s="30" t="s">
        <v>48</v>
      </c>
      <c r="C25" s="23">
        <v>0.42932233595617414</v>
      </c>
      <c r="D25" s="23"/>
      <c r="E25" s="23">
        <v>0.18163806189872581</v>
      </c>
      <c r="F25" s="23">
        <v>9.1070637801403814E-2</v>
      </c>
      <c r="G25" s="23">
        <v>7.812553102703311E-2</v>
      </c>
      <c r="H25" s="23">
        <v>8.1764683344537542E-2</v>
      </c>
      <c r="I25" s="23">
        <v>6.6107034331904208E-2</v>
      </c>
      <c r="J25" s="78">
        <v>6.7575348949684852E-2</v>
      </c>
      <c r="K25" s="78">
        <v>7.7478785426065039E-2</v>
      </c>
      <c r="L25" s="78">
        <v>5.1702894094358388E-2</v>
      </c>
      <c r="M25" s="78">
        <v>5.5832889981584109E-2</v>
      </c>
      <c r="N25" s="78">
        <v>5.2810090987586253E-2</v>
      </c>
      <c r="O25" s="78"/>
      <c r="P25" s="22"/>
    </row>
    <row r="26" spans="1:16">
      <c r="A26" s="30"/>
      <c r="B26" s="29" t="s">
        <v>53</v>
      </c>
      <c r="C26" s="4">
        <v>0.63562264063780649</v>
      </c>
      <c r="D26" s="4"/>
      <c r="E26" s="4">
        <v>0.22257341620499169</v>
      </c>
      <c r="F26" s="4">
        <v>9.4035150243768739E-2</v>
      </c>
      <c r="G26" s="4">
        <v>5.1415591117801002E-2</v>
      </c>
      <c r="H26" s="4">
        <v>0.12483949727281388</v>
      </c>
      <c r="I26" s="4">
        <v>6.845988158059621E-2</v>
      </c>
      <c r="J26" s="22">
        <v>6.5729580142363103E-2</v>
      </c>
      <c r="K26" s="22">
        <v>0.10998769613417488</v>
      </c>
      <c r="L26" s="22">
        <v>0.10863403716893834</v>
      </c>
      <c r="M26" s="22">
        <v>2.007715573959528E-2</v>
      </c>
      <c r="N26" s="22">
        <v>0.32323801562443655</v>
      </c>
      <c r="O26" s="22"/>
      <c r="P26" s="22"/>
    </row>
    <row r="27" spans="1:16">
      <c r="A27" s="30"/>
      <c r="B27" s="29" t="s">
        <v>54</v>
      </c>
      <c r="C27" s="4">
        <v>0.54866344659357036</v>
      </c>
      <c r="D27" s="4"/>
      <c r="E27" s="4">
        <v>0.27517409167383483</v>
      </c>
      <c r="F27" s="4">
        <v>0.1181861107875701</v>
      </c>
      <c r="G27" s="4">
        <v>8.5346586273650202E-2</v>
      </c>
      <c r="H27" s="4">
        <v>0.11331675460017518</v>
      </c>
      <c r="I27" s="4">
        <v>0.11238997433350706</v>
      </c>
      <c r="J27" s="22">
        <v>0.10686851215434731</v>
      </c>
      <c r="K27" s="22">
        <v>0.12110458643881311</v>
      </c>
      <c r="L27" s="22">
        <v>7.0340582362143481E-2</v>
      </c>
      <c r="M27" s="22">
        <v>6.614116088350408E-2</v>
      </c>
      <c r="N27" s="22">
        <v>0.13789469627613729</v>
      </c>
      <c r="O27" s="22"/>
      <c r="P27" s="22"/>
    </row>
    <row r="28" spans="1:16">
      <c r="A28" s="30"/>
      <c r="B28" s="29" t="s">
        <v>55</v>
      </c>
      <c r="C28" s="4">
        <v>0.53432049942210247</v>
      </c>
      <c r="D28" s="4"/>
      <c r="E28" s="4">
        <v>0.23658044041039766</v>
      </c>
      <c r="F28" s="4">
        <v>0.14903181560940076</v>
      </c>
      <c r="G28" s="4">
        <v>0.12566921296541128</v>
      </c>
      <c r="H28" s="4">
        <v>0.12918984984638626</v>
      </c>
      <c r="I28" s="4">
        <v>0.10738436884931823</v>
      </c>
      <c r="J28" s="22">
        <v>0.10475806056924902</v>
      </c>
      <c r="K28" s="22">
        <v>0.12616724188112985</v>
      </c>
      <c r="L28" s="22">
        <v>5.5862571051019154E-2</v>
      </c>
      <c r="M28" s="22">
        <v>0.12873199319401815</v>
      </c>
      <c r="N28" s="22">
        <v>7.292935122586397E-2</v>
      </c>
      <c r="O28" s="22"/>
      <c r="P28" s="22"/>
    </row>
    <row r="29" spans="1:16">
      <c r="A29" s="30"/>
      <c r="B29" s="29" t="s">
        <v>56</v>
      </c>
      <c r="C29" s="4">
        <v>0.43828292980209832</v>
      </c>
      <c r="D29" s="4"/>
      <c r="E29" s="4">
        <v>0.1699407901900967</v>
      </c>
      <c r="F29" s="4">
        <v>0.10766307152608783</v>
      </c>
      <c r="G29" s="4">
        <v>8.5458911455324499E-2</v>
      </c>
      <c r="H29" s="4">
        <v>6.918983453145458E-2</v>
      </c>
      <c r="I29" s="4">
        <v>5.5336430563236359E-2</v>
      </c>
      <c r="J29" s="22">
        <v>7.5449247604213954E-2</v>
      </c>
      <c r="K29" s="22">
        <v>7.1573291500768021E-2</v>
      </c>
      <c r="L29" s="22">
        <v>4.0251033934721125E-2</v>
      </c>
      <c r="M29" s="22">
        <v>6.1794876599638844E-2</v>
      </c>
      <c r="N29" s="22">
        <v>3.8115179166141482E-2</v>
      </c>
      <c r="O29" s="22"/>
      <c r="P29" s="22"/>
    </row>
    <row r="30" spans="1:16">
      <c r="A30" s="30"/>
      <c r="B30" s="29" t="s">
        <v>57</v>
      </c>
      <c r="C30" s="4">
        <v>0.35865702946728961</v>
      </c>
      <c r="D30" s="4"/>
      <c r="E30" s="4">
        <v>0.13028131028945497</v>
      </c>
      <c r="F30" s="4">
        <v>7.4921278370289737E-2</v>
      </c>
      <c r="G30" s="4">
        <v>7.2413660336803298E-2</v>
      </c>
      <c r="H30" s="4">
        <v>5.4393822947802144E-2</v>
      </c>
      <c r="I30" s="4">
        <v>4.5027297829017508E-2</v>
      </c>
      <c r="J30" s="22">
        <v>6.4154955980533002E-2</v>
      </c>
      <c r="K30" s="22">
        <v>4.4720538491325297E-2</v>
      </c>
      <c r="L30" s="22">
        <v>4.1019650056937987E-2</v>
      </c>
      <c r="M30" s="22">
        <v>5.0477971583916321E-2</v>
      </c>
      <c r="N30" s="22">
        <v>1.5362331827959909E-2</v>
      </c>
      <c r="O30" s="22"/>
      <c r="P30" s="22"/>
    </row>
    <row r="31" spans="1:16">
      <c r="A31" s="30"/>
      <c r="B31" s="29" t="s">
        <v>58</v>
      </c>
      <c r="C31" s="4">
        <v>0.32774676648823076</v>
      </c>
      <c r="D31" s="4"/>
      <c r="E31" s="4">
        <v>0.11694859303056908</v>
      </c>
      <c r="F31" s="4">
        <v>5.7671052534672945E-2</v>
      </c>
      <c r="G31" s="4">
        <v>5.9791720889355422E-2</v>
      </c>
      <c r="H31" s="4">
        <v>4.5704862740717063E-2</v>
      </c>
      <c r="I31" s="4">
        <v>4.2026679945355146E-2</v>
      </c>
      <c r="J31" s="22">
        <v>3.459958149444857E-2</v>
      </c>
      <c r="K31" s="22">
        <v>4.4360918261714677E-2</v>
      </c>
      <c r="L31" s="22">
        <v>5.9116485332077764E-2</v>
      </c>
      <c r="M31" s="22">
        <v>2.4967921552597194E-2</v>
      </c>
      <c r="N31" s="22">
        <v>6.6940805544603689E-3</v>
      </c>
      <c r="O31" s="22"/>
      <c r="P31" s="22"/>
    </row>
    <row r="32" spans="1:16">
      <c r="A32" s="30"/>
      <c r="B32" s="29" t="s">
        <v>59</v>
      </c>
      <c r="C32" s="4">
        <v>0.32990745743837507</v>
      </c>
      <c r="D32" s="4"/>
      <c r="E32" s="4">
        <v>0.15545086486888959</v>
      </c>
      <c r="F32" s="4">
        <v>3.8188953730191481E-2</v>
      </c>
      <c r="G32" s="4">
        <v>4.3935348359244994E-2</v>
      </c>
      <c r="H32" s="4">
        <v>6.6322475896052627E-2</v>
      </c>
      <c r="I32" s="4">
        <v>3.9089321550640356E-2</v>
      </c>
      <c r="J32" s="22">
        <v>2.4638460492924161E-2</v>
      </c>
      <c r="K32" s="22">
        <v>5.0633666242798178E-2</v>
      </c>
      <c r="L32" s="22">
        <v>3.8886807595229431E-2</v>
      </c>
      <c r="M32" s="22">
        <v>7.127368961725924E-3</v>
      </c>
      <c r="N32" s="22">
        <v>2.048262367634255E-3</v>
      </c>
      <c r="O32" s="22"/>
      <c r="P32" s="22"/>
    </row>
    <row r="33" spans="1:18">
      <c r="A33" s="30"/>
      <c r="B33" s="29"/>
      <c r="C33" s="4"/>
      <c r="D33" s="4"/>
      <c r="E33" s="4"/>
      <c r="F33" s="4"/>
      <c r="G33" s="4"/>
      <c r="J33" s="22"/>
      <c r="K33" s="22"/>
      <c r="L33" s="22"/>
      <c r="M33" s="22"/>
      <c r="N33" s="22"/>
      <c r="O33" s="22"/>
    </row>
    <row r="34" spans="1:18">
      <c r="A34" s="30" t="s">
        <v>50</v>
      </c>
      <c r="B34" s="30" t="s">
        <v>48</v>
      </c>
      <c r="C34" s="23">
        <v>0.44081507464036696</v>
      </c>
      <c r="D34" s="23"/>
      <c r="E34" s="23">
        <v>0.10122022153102586</v>
      </c>
      <c r="F34" s="23">
        <v>0.13704473956586144</v>
      </c>
      <c r="G34" s="23">
        <v>0.14576028718672163</v>
      </c>
      <c r="H34" s="23">
        <v>6.853891212647549E-2</v>
      </c>
      <c r="I34" s="23">
        <v>7.5082883178597556E-2</v>
      </c>
      <c r="J34" s="78">
        <v>5.9911789168981801E-2</v>
      </c>
      <c r="K34" s="78">
        <v>5.376804656635234E-2</v>
      </c>
      <c r="L34" s="78">
        <v>4.5709409014200779E-2</v>
      </c>
      <c r="M34" s="78">
        <v>3.6656359647335421E-2</v>
      </c>
      <c r="N34" s="78">
        <v>3.738591040272933E-2</v>
      </c>
      <c r="O34" s="78"/>
      <c r="P34" s="22"/>
    </row>
    <row r="35" spans="1:18">
      <c r="A35" s="30"/>
      <c r="B35" s="29" t="s">
        <v>53</v>
      </c>
      <c r="C35" s="4">
        <v>0.58978493269972665</v>
      </c>
      <c r="D35" s="4"/>
      <c r="E35" s="4">
        <v>0.2530251299731025</v>
      </c>
      <c r="F35" s="4">
        <v>0.10712370331485377</v>
      </c>
      <c r="G35" s="4">
        <v>9.6178931407093271E-2</v>
      </c>
      <c r="H35" s="4">
        <v>0.12393975723711811</v>
      </c>
      <c r="I35" s="4">
        <v>6.8840540902568678E-2</v>
      </c>
      <c r="J35" s="22">
        <v>0.10389221013372649</v>
      </c>
      <c r="K35" s="22">
        <v>8.7622685069851436E-2</v>
      </c>
      <c r="L35" s="22">
        <v>9.3931147237924811E-2</v>
      </c>
      <c r="M35" s="22">
        <v>6.5159478750890371E-2</v>
      </c>
      <c r="N35" s="22">
        <v>0.23946922563894227</v>
      </c>
      <c r="O35" s="22"/>
      <c r="P35" s="22"/>
    </row>
    <row r="36" spans="1:18">
      <c r="A36" s="29"/>
      <c r="B36" s="29" t="s">
        <v>54</v>
      </c>
      <c r="C36" s="4">
        <v>0.55923120433067219</v>
      </c>
      <c r="D36" s="4"/>
      <c r="E36" s="4">
        <v>0.19070559165413661</v>
      </c>
      <c r="F36" s="4">
        <v>0.14851089144140306</v>
      </c>
      <c r="G36" s="4">
        <v>0.18821373822380885</v>
      </c>
      <c r="H36" s="4">
        <v>8.5464763972799451E-2</v>
      </c>
      <c r="I36" s="4">
        <v>0.10506026552493158</v>
      </c>
      <c r="J36" s="22">
        <v>9.1622140095989943E-2</v>
      </c>
      <c r="K36" s="22">
        <v>9.5795932165398251E-2</v>
      </c>
      <c r="L36" s="22">
        <v>4.3709877076563181E-2</v>
      </c>
      <c r="M36" s="22">
        <v>5.2668532855937943E-2</v>
      </c>
      <c r="N36" s="22">
        <v>0.10097587897176982</v>
      </c>
      <c r="O36" s="22"/>
      <c r="P36" s="22"/>
    </row>
    <row r="37" spans="1:18">
      <c r="A37" s="29"/>
      <c r="B37" s="29" t="s">
        <v>55</v>
      </c>
      <c r="C37" s="4">
        <v>0.5408398240816491</v>
      </c>
      <c r="D37" s="4"/>
      <c r="E37" s="4">
        <v>0.12889569562531367</v>
      </c>
      <c r="F37" s="4">
        <v>0.19299195566638633</v>
      </c>
      <c r="G37" s="4">
        <v>0.23078625649987253</v>
      </c>
      <c r="H37" s="4">
        <v>8.2425887472249562E-2</v>
      </c>
      <c r="I37" s="4">
        <v>0.10862464130809345</v>
      </c>
      <c r="J37" s="22">
        <v>9.3794916571868406E-2</v>
      </c>
      <c r="K37" s="22">
        <v>6.1973862377525814E-2</v>
      </c>
      <c r="L37" s="22">
        <v>5.4435701231765408E-2</v>
      </c>
      <c r="M37" s="22">
        <v>6.5764887607211733E-2</v>
      </c>
      <c r="N37" s="22">
        <v>4.4425235131343103E-2</v>
      </c>
      <c r="O37" s="22"/>
      <c r="P37" s="22"/>
    </row>
    <row r="38" spans="1:18">
      <c r="A38" s="29"/>
      <c r="B38" s="29" t="s">
        <v>56</v>
      </c>
      <c r="C38" s="4">
        <v>0.46021792480746027</v>
      </c>
      <c r="D38" s="4"/>
      <c r="E38" s="4">
        <v>9.4782457739559123E-2</v>
      </c>
      <c r="F38" s="4">
        <v>0.12359364626133705</v>
      </c>
      <c r="G38" s="4">
        <v>0.19761099801055826</v>
      </c>
      <c r="H38" s="4">
        <v>5.136418377494905E-2</v>
      </c>
      <c r="I38" s="4">
        <v>7.2968447657299831E-2</v>
      </c>
      <c r="J38" s="22">
        <v>7.2295001345586293E-2</v>
      </c>
      <c r="K38" s="22">
        <v>4.8485878317063302E-2</v>
      </c>
      <c r="L38" s="22">
        <v>3.6882001274005552E-2</v>
      </c>
      <c r="M38" s="22">
        <v>3.8826464299527394E-2</v>
      </c>
      <c r="N38" s="22">
        <v>2.1844940311268719E-2</v>
      </c>
      <c r="O38" s="22"/>
      <c r="P38" s="22"/>
    </row>
    <row r="39" spans="1:18">
      <c r="A39" s="29"/>
      <c r="B39" s="29" t="s">
        <v>57</v>
      </c>
      <c r="C39" s="4">
        <v>0.3844410246543199</v>
      </c>
      <c r="D39" s="4"/>
      <c r="E39" s="4">
        <v>8.3192681281795924E-2</v>
      </c>
      <c r="F39" s="4">
        <v>0.10737774934292924</v>
      </c>
      <c r="G39" s="4">
        <v>0.11769583703075946</v>
      </c>
      <c r="H39" s="4">
        <v>3.9612008073863177E-2</v>
      </c>
      <c r="I39" s="4">
        <v>6.1611562553468786E-2</v>
      </c>
      <c r="J39" s="22">
        <v>6.4810273421262929E-2</v>
      </c>
      <c r="K39" s="22">
        <v>3.1590855397778859E-2</v>
      </c>
      <c r="L39" s="22">
        <v>4.1318426841135646E-2</v>
      </c>
      <c r="M39" s="22">
        <v>3.7430252438833203E-2</v>
      </c>
      <c r="N39" s="22">
        <v>1.2469713254479998E-2</v>
      </c>
      <c r="O39" s="22"/>
      <c r="P39" s="22"/>
    </row>
    <row r="40" spans="1:18">
      <c r="A40" s="29"/>
      <c r="B40" s="29" t="s">
        <v>58</v>
      </c>
      <c r="C40" s="4">
        <v>0.33596191734942238</v>
      </c>
      <c r="D40" s="4"/>
      <c r="E40" s="4">
        <v>5.7831981942177015E-2</v>
      </c>
      <c r="F40" s="4">
        <v>0.11969096021934911</v>
      </c>
      <c r="G40" s="4">
        <v>0.11510908601767135</v>
      </c>
      <c r="H40" s="4">
        <v>4.1564254116253585E-2</v>
      </c>
      <c r="I40" s="4">
        <v>5.260121394203518E-2</v>
      </c>
      <c r="J40" s="22">
        <v>3.5965124642387172E-2</v>
      </c>
      <c r="K40" s="22">
        <v>2.1789166890041508E-2</v>
      </c>
      <c r="L40" s="22">
        <v>3.3586461903182672E-2</v>
      </c>
      <c r="M40" s="22">
        <v>2.1446213236928593E-2</v>
      </c>
      <c r="N40" s="22">
        <v>5.0492013704096618E-3</v>
      </c>
      <c r="O40" s="22"/>
      <c r="P40" s="22"/>
    </row>
    <row r="41" spans="1:18">
      <c r="A41" s="111"/>
      <c r="B41" s="111" t="s">
        <v>59</v>
      </c>
      <c r="C41" s="4">
        <v>0.35028370012203158</v>
      </c>
      <c r="D41" s="119"/>
      <c r="E41" s="4">
        <v>4.3929058103362208E-2</v>
      </c>
      <c r="F41" s="4">
        <v>0.13096963708263368</v>
      </c>
      <c r="G41" s="4">
        <v>5.9702742525206791E-2</v>
      </c>
      <c r="H41" s="4">
        <v>8.5466461909620067E-2</v>
      </c>
      <c r="I41" s="4">
        <v>5.7262256614751712E-2</v>
      </c>
      <c r="J41" s="22">
        <v>6.8751022954096595E-3</v>
      </c>
      <c r="K41" s="22">
        <v>5.7244935288765522E-2</v>
      </c>
      <c r="L41" s="22">
        <v>4.5653793953895072E-2</v>
      </c>
      <c r="M41" s="22">
        <v>4.350208833827105E-3</v>
      </c>
      <c r="N41" s="22">
        <v>4.6499923830877615E-3</v>
      </c>
      <c r="O41" s="22"/>
      <c r="P41" s="108"/>
    </row>
    <row r="42" spans="1:18">
      <c r="A42" s="57"/>
      <c r="B42" s="57"/>
      <c r="C42" s="159" t="s">
        <v>138</v>
      </c>
      <c r="D42" s="159"/>
      <c r="E42" s="159"/>
      <c r="F42" s="159"/>
      <c r="G42" s="159"/>
      <c r="H42" s="159"/>
      <c r="I42" s="159"/>
      <c r="J42" s="159"/>
      <c r="K42" s="159"/>
      <c r="L42" s="159"/>
      <c r="M42" s="159"/>
      <c r="N42" s="159"/>
    </row>
    <row r="43" spans="1:18" ht="17.25">
      <c r="A43" s="30" t="s">
        <v>136</v>
      </c>
      <c r="B43" s="30" t="s">
        <v>48</v>
      </c>
      <c r="C43" s="69">
        <v>2503228.4674585229</v>
      </c>
      <c r="D43" s="69"/>
      <c r="E43" s="69">
        <v>807433.25532904058</v>
      </c>
      <c r="F43" s="69">
        <v>659179.57100832742</v>
      </c>
      <c r="G43" s="69">
        <v>647654.94339885272</v>
      </c>
      <c r="H43" s="69">
        <v>430265.3370754646</v>
      </c>
      <c r="I43" s="69">
        <v>406382.91110884538</v>
      </c>
      <c r="J43" s="73">
        <v>365717.40996893402</v>
      </c>
      <c r="K43" s="73">
        <v>375800.60385472234</v>
      </c>
      <c r="L43" s="73">
        <v>282541.38620550744</v>
      </c>
      <c r="M43" s="73">
        <v>265409.42227257497</v>
      </c>
      <c r="N43" s="73">
        <v>258066.1410321696</v>
      </c>
      <c r="O43" s="73"/>
      <c r="P43" s="73"/>
      <c r="Q43" s="38"/>
      <c r="R43" s="38"/>
    </row>
    <row r="44" spans="1:18">
      <c r="A44" s="30"/>
      <c r="B44" s="29" t="s">
        <v>53</v>
      </c>
      <c r="C44" s="70">
        <v>144511.1158246767</v>
      </c>
      <c r="D44" s="39"/>
      <c r="E44" s="70">
        <v>57038.365369960331</v>
      </c>
      <c r="F44" s="70">
        <v>24129.026713616739</v>
      </c>
      <c r="G44" s="70">
        <v>18397.452460482917</v>
      </c>
      <c r="H44" s="70">
        <v>29504.090931025923</v>
      </c>
      <c r="I44" s="70">
        <v>16300.508987344199</v>
      </c>
      <c r="J44" s="75">
        <v>20881.169541902462</v>
      </c>
      <c r="K44" s="75">
        <v>23008.677448629842</v>
      </c>
      <c r="L44" s="75">
        <v>23747.770841792357</v>
      </c>
      <c r="M44" s="75">
        <v>11003.933147428759</v>
      </c>
      <c r="N44" s="75">
        <v>65122.462882790947</v>
      </c>
      <c r="O44" s="75"/>
      <c r="P44" s="75"/>
      <c r="Q44" s="38"/>
      <c r="R44" s="38"/>
    </row>
    <row r="45" spans="1:18">
      <c r="A45" s="30"/>
      <c r="B45" s="29" t="s">
        <v>54</v>
      </c>
      <c r="C45" s="70">
        <v>373092.63415077893</v>
      </c>
      <c r="D45" s="39"/>
      <c r="E45" s="70">
        <v>159301.78672663806</v>
      </c>
      <c r="F45" s="70">
        <v>89284.176888876551</v>
      </c>
      <c r="G45" s="70">
        <v>89381.07507297449</v>
      </c>
      <c r="H45" s="70">
        <v>67335.122659614412</v>
      </c>
      <c r="I45" s="70">
        <v>72960.831148410449</v>
      </c>
      <c r="J45" s="75">
        <v>66857.486830281356</v>
      </c>
      <c r="K45" s="75">
        <v>73832.836557868955</v>
      </c>
      <c r="L45" s="75">
        <v>39857.354882064305</v>
      </c>
      <c r="M45" s="75">
        <v>40149.745689753938</v>
      </c>
      <c r="N45" s="75">
        <v>81513.946678982902</v>
      </c>
      <c r="O45" s="75"/>
      <c r="P45" s="75"/>
      <c r="Q45" s="38"/>
      <c r="R45" s="38"/>
    </row>
    <row r="46" spans="1:18">
      <c r="A46" s="30"/>
      <c r="B46" s="29" t="s">
        <v>55</v>
      </c>
      <c r="C46" s="70">
        <v>566064.29695498245</v>
      </c>
      <c r="D46" s="39"/>
      <c r="E46" s="70">
        <v>189687.90813469078</v>
      </c>
      <c r="F46" s="70">
        <v>180782.20667479903</v>
      </c>
      <c r="G46" s="70">
        <v>189502.32391159009</v>
      </c>
      <c r="H46" s="70">
        <v>110129.13755626738</v>
      </c>
      <c r="I46" s="70">
        <v>113838.57721105817</v>
      </c>
      <c r="J46" s="75">
        <v>103958.6234576726</v>
      </c>
      <c r="K46" s="75">
        <v>97481.196645008109</v>
      </c>
      <c r="L46" s="75">
        <v>58293.654536983566</v>
      </c>
      <c r="M46" s="75">
        <v>101262.7406203921</v>
      </c>
      <c r="N46" s="75">
        <v>61024.701385785731</v>
      </c>
      <c r="O46" s="75"/>
      <c r="P46" s="75"/>
      <c r="Q46" s="38"/>
      <c r="R46" s="38"/>
    </row>
    <row r="47" spans="1:18">
      <c r="A47" s="30"/>
      <c r="B47" s="29" t="s">
        <v>56</v>
      </c>
      <c r="C47" s="70">
        <v>450281.36822012928</v>
      </c>
      <c r="D47" s="39"/>
      <c r="E47" s="70">
        <v>132781.47636562272</v>
      </c>
      <c r="F47" s="70">
        <v>115935.74915543385</v>
      </c>
      <c r="G47" s="70">
        <v>140675.81064999875</v>
      </c>
      <c r="H47" s="70">
        <v>60356.768693680206</v>
      </c>
      <c r="I47" s="70">
        <v>64483.588781369741</v>
      </c>
      <c r="J47" s="75">
        <v>74366.580961947489</v>
      </c>
      <c r="K47" s="75">
        <v>60145.265870050207</v>
      </c>
      <c r="L47" s="75">
        <v>39556.208789022319</v>
      </c>
      <c r="M47" s="75">
        <v>50432.211450941955</v>
      </c>
      <c r="N47" s="75">
        <v>30070.039019208245</v>
      </c>
      <c r="O47" s="75"/>
      <c r="P47" s="75"/>
      <c r="Q47" s="38"/>
      <c r="R47" s="38"/>
    </row>
    <row r="48" spans="1:18">
      <c r="A48" s="30"/>
      <c r="B48" s="29" t="s">
        <v>57</v>
      </c>
      <c r="C48" s="70">
        <v>321826.72546624742</v>
      </c>
      <c r="D48" s="39"/>
      <c r="E48" s="70">
        <v>91795.573657603309</v>
      </c>
      <c r="F48" s="70">
        <v>79211.760536160262</v>
      </c>
      <c r="G48" s="70">
        <v>82612.979416710878</v>
      </c>
      <c r="H48" s="70">
        <v>40672.878763005167</v>
      </c>
      <c r="I48" s="70">
        <v>45795.629099545084</v>
      </c>
      <c r="J48" s="75">
        <v>55721.902380813015</v>
      </c>
      <c r="K48" s="75">
        <v>33234.66835154935</v>
      </c>
      <c r="L48" s="75">
        <v>36781.755989991572</v>
      </c>
      <c r="M48" s="75">
        <v>38208.708641359044</v>
      </c>
      <c r="N48" s="75">
        <v>11926.472621302073</v>
      </c>
      <c r="O48" s="75"/>
      <c r="P48" s="75"/>
      <c r="Q48" s="38"/>
      <c r="R48" s="38"/>
    </row>
    <row r="49" spans="1:22">
      <c r="A49" s="30"/>
      <c r="B49" s="29" t="s">
        <v>58</v>
      </c>
      <c r="C49" s="70">
        <v>247948.36950486252</v>
      </c>
      <c r="D49" s="39"/>
      <c r="E49" s="70">
        <v>64960.870550168998</v>
      </c>
      <c r="F49" s="70">
        <v>66573.590178162602</v>
      </c>
      <c r="G49" s="70">
        <v>65650.060104109711</v>
      </c>
      <c r="H49" s="70">
        <v>32464.939837932361</v>
      </c>
      <c r="I49" s="70">
        <v>35731.257352778128</v>
      </c>
      <c r="J49" s="75">
        <v>26256.227416990801</v>
      </c>
      <c r="K49" s="75">
        <v>24585.83809028018</v>
      </c>
      <c r="L49" s="75">
        <v>34461.777739033256</v>
      </c>
      <c r="M49" s="75">
        <v>17749.934913412904</v>
      </c>
      <c r="N49" s="75">
        <v>4367.3461870677056</v>
      </c>
      <c r="O49" s="75"/>
      <c r="P49" s="75"/>
      <c r="Q49" s="38"/>
      <c r="R49" s="38"/>
      <c r="V49"/>
    </row>
    <row r="50" spans="1:22">
      <c r="A50" s="30"/>
      <c r="B50" s="29" t="s">
        <v>59</v>
      </c>
      <c r="C50" s="70">
        <v>399503.95733684883</v>
      </c>
      <c r="D50" s="39"/>
      <c r="E50" s="70">
        <v>111867.27452435538</v>
      </c>
      <c r="F50" s="70">
        <v>103263.0608612784</v>
      </c>
      <c r="G50" s="70">
        <v>61435.241782985031</v>
      </c>
      <c r="H50" s="70">
        <v>89802.398633938777</v>
      </c>
      <c r="I50" s="70">
        <v>57272.518528338791</v>
      </c>
      <c r="J50" s="75">
        <v>17675.41937932618</v>
      </c>
      <c r="K50" s="75">
        <v>63512.12089133526</v>
      </c>
      <c r="L50" s="75">
        <v>49842.863426619944</v>
      </c>
      <c r="M50" s="75">
        <v>6602.1478092860125</v>
      </c>
      <c r="N50" s="75">
        <v>4041.1722570318198</v>
      </c>
      <c r="O50" s="75"/>
      <c r="P50" s="75"/>
      <c r="Q50" s="38"/>
      <c r="R50" s="38"/>
    </row>
    <row r="51" spans="1:22">
      <c r="A51" s="30"/>
      <c r="B51" s="30"/>
      <c r="C51" s="39"/>
      <c r="D51" s="39"/>
      <c r="E51" s="19"/>
      <c r="F51" s="19"/>
      <c r="G51" s="19"/>
      <c r="J51" s="76"/>
      <c r="K51" s="76"/>
      <c r="L51" s="76"/>
      <c r="M51" s="76"/>
      <c r="N51" s="76"/>
      <c r="O51" s="76"/>
      <c r="P51" s="38"/>
      <c r="Q51" s="38"/>
    </row>
    <row r="52" spans="1:22">
      <c r="A52" s="30" t="s">
        <v>49</v>
      </c>
      <c r="B52" s="30" t="s">
        <v>48</v>
      </c>
      <c r="C52" s="40">
        <v>1207806.12092468</v>
      </c>
      <c r="D52" s="40"/>
      <c r="E52" s="69">
        <v>510999.64893643901</v>
      </c>
      <c r="F52" s="69">
        <v>256207.6662703116</v>
      </c>
      <c r="G52" s="69">
        <v>219789.39056311769</v>
      </c>
      <c r="H52" s="69">
        <v>230027.36347051329</v>
      </c>
      <c r="I52" s="69">
        <v>185977.93316395843</v>
      </c>
      <c r="J52" s="77">
        <v>190108.72076635255</v>
      </c>
      <c r="K52" s="77">
        <v>217969.91081536454</v>
      </c>
      <c r="L52" s="77">
        <v>145454.98038811854</v>
      </c>
      <c r="M52" s="77">
        <v>157073.83618530256</v>
      </c>
      <c r="N52" s="77">
        <v>148569.84088502481</v>
      </c>
      <c r="O52" s="77"/>
      <c r="P52" s="73"/>
      <c r="Q52" s="38"/>
      <c r="R52" s="38"/>
    </row>
    <row r="53" spans="1:22">
      <c r="A53" s="30"/>
      <c r="B53" s="29" t="s">
        <v>53</v>
      </c>
      <c r="C53" s="92">
        <v>62890.687255518373</v>
      </c>
      <c r="D53" s="39"/>
      <c r="E53" s="70">
        <v>22022.17827844296</v>
      </c>
      <c r="F53" s="70">
        <v>9304.160750272029</v>
      </c>
      <c r="G53" s="70">
        <v>5087.2351837602255</v>
      </c>
      <c r="H53" s="70">
        <v>12352.048649875749</v>
      </c>
      <c r="I53" s="70">
        <v>6773.6558246490677</v>
      </c>
      <c r="J53" s="74">
        <v>6503.5104225077748</v>
      </c>
      <c r="K53" s="74">
        <v>10882.56043332316</v>
      </c>
      <c r="L53" s="74">
        <v>10748.624765852452</v>
      </c>
      <c r="M53" s="74">
        <v>1986.5027484424061</v>
      </c>
      <c r="N53" s="74">
        <v>31982.279500510387</v>
      </c>
      <c r="O53" s="74"/>
      <c r="P53" s="75"/>
      <c r="Q53" s="38"/>
      <c r="R53" s="38"/>
    </row>
    <row r="54" spans="1:22">
      <c r="A54" s="30"/>
      <c r="B54" s="29" t="s">
        <v>54</v>
      </c>
      <c r="C54" s="92">
        <v>200088.72783791609</v>
      </c>
      <c r="D54" s="39"/>
      <c r="E54" s="70">
        <v>100351.56210754014</v>
      </c>
      <c r="F54" s="70">
        <v>43100.572313346151</v>
      </c>
      <c r="G54" s="70">
        <v>31124.526299003748</v>
      </c>
      <c r="H54" s="70">
        <v>41324.796487610736</v>
      </c>
      <c r="I54" s="70">
        <v>40986.81464155516</v>
      </c>
      <c r="J54" s="74">
        <v>38973.22625674041</v>
      </c>
      <c r="K54" s="74">
        <v>44164.893408379328</v>
      </c>
      <c r="L54" s="74">
        <v>25652.078204956873</v>
      </c>
      <c r="M54" s="74">
        <v>24120.616784421218</v>
      </c>
      <c r="N54" s="74">
        <v>50287.976217097363</v>
      </c>
      <c r="O54" s="74"/>
      <c r="P54" s="75"/>
      <c r="Q54" s="38"/>
      <c r="R54" s="38"/>
    </row>
    <row r="55" spans="1:22">
      <c r="A55" s="30"/>
      <c r="B55" s="29" t="s">
        <v>55</v>
      </c>
      <c r="C55" s="92">
        <v>270134.26525474631</v>
      </c>
      <c r="D55" s="39"/>
      <c r="E55" s="70">
        <v>119607.02146563283</v>
      </c>
      <c r="F55" s="70">
        <v>75345.415444041995</v>
      </c>
      <c r="G55" s="70">
        <v>63534.078415987788</v>
      </c>
      <c r="H55" s="70">
        <v>65313.992639940538</v>
      </c>
      <c r="I55" s="70">
        <v>54289.883338425607</v>
      </c>
      <c r="J55" s="74">
        <v>52962.111227237154</v>
      </c>
      <c r="K55" s="74">
        <v>63785.864891275116</v>
      </c>
      <c r="L55" s="74">
        <v>28242.215304165249</v>
      </c>
      <c r="M55" s="74">
        <v>65082.515894217278</v>
      </c>
      <c r="N55" s="74">
        <v>36870.59869537389</v>
      </c>
      <c r="O55" s="74"/>
      <c r="P55" s="75"/>
      <c r="Q55" s="38"/>
      <c r="R55" s="38"/>
    </row>
    <row r="56" spans="1:22">
      <c r="A56" s="30"/>
      <c r="B56" s="29" t="s">
        <v>56</v>
      </c>
      <c r="C56" s="92">
        <v>221969.06548734303</v>
      </c>
      <c r="D56" s="39"/>
      <c r="E56" s="70">
        <v>86066.775184945393</v>
      </c>
      <c r="F56" s="70">
        <v>54526.128555664945</v>
      </c>
      <c r="G56" s="70">
        <v>43280.797456267159</v>
      </c>
      <c r="H56" s="70">
        <v>35041.298366572482</v>
      </c>
      <c r="I56" s="70">
        <v>28025.220569445999</v>
      </c>
      <c r="J56" s="74">
        <v>38211.387767241184</v>
      </c>
      <c r="K56" s="74">
        <v>36248.403823193141</v>
      </c>
      <c r="L56" s="74">
        <v>20385.198190181956</v>
      </c>
      <c r="M56" s="74">
        <v>31296.110521395552</v>
      </c>
      <c r="N56" s="74">
        <v>19303.491249844628</v>
      </c>
      <c r="O56" s="74"/>
      <c r="P56" s="75"/>
      <c r="Q56" s="38"/>
      <c r="R56" s="38"/>
    </row>
    <row r="57" spans="1:22">
      <c r="A57" s="30"/>
      <c r="B57" s="29" t="s">
        <v>57</v>
      </c>
      <c r="C57" s="92">
        <v>152538.08298144059</v>
      </c>
      <c r="D57" s="39"/>
      <c r="E57" s="70">
        <v>55409.094725902047</v>
      </c>
      <c r="F57" s="70">
        <v>31864.280463420164</v>
      </c>
      <c r="G57" s="70">
        <v>30797.781785711697</v>
      </c>
      <c r="H57" s="70">
        <v>23133.882223954428</v>
      </c>
      <c r="I57" s="70">
        <v>19150.266489616162</v>
      </c>
      <c r="J57" s="74">
        <v>27285.326077574413</v>
      </c>
      <c r="K57" s="74">
        <v>19019.800675582832</v>
      </c>
      <c r="L57" s="74">
        <v>17445.799943049828</v>
      </c>
      <c r="M57" s="74">
        <v>21468.457009301332</v>
      </c>
      <c r="N57" s="74">
        <v>6533.653196878141</v>
      </c>
      <c r="O57" s="74"/>
      <c r="P57" s="75"/>
      <c r="Q57" s="38"/>
      <c r="R57" s="38"/>
    </row>
    <row r="58" spans="1:22">
      <c r="A58" s="30"/>
      <c r="B58" s="29" t="s">
        <v>58</v>
      </c>
      <c r="C58" s="92">
        <v>121561.49094847211</v>
      </c>
      <c r="D58" s="39"/>
      <c r="E58" s="70">
        <v>43376.309964701293</v>
      </c>
      <c r="F58" s="70">
        <v>21390.231262386082</v>
      </c>
      <c r="G58" s="70">
        <v>22176.788547953391</v>
      </c>
      <c r="H58" s="70">
        <v>16951.963608636699</v>
      </c>
      <c r="I58" s="70">
        <v>15587.723194074837</v>
      </c>
      <c r="J58" s="74">
        <v>12833.007500653306</v>
      </c>
      <c r="K58" s="74">
        <v>16453.493718696947</v>
      </c>
      <c r="L58" s="74">
        <v>21926.343236276938</v>
      </c>
      <c r="M58" s="74">
        <v>9260.6185023253183</v>
      </c>
      <c r="N58" s="74">
        <v>2482.8388741970957</v>
      </c>
      <c r="O58" s="74"/>
      <c r="P58" s="75"/>
      <c r="Q58" s="38"/>
      <c r="R58" s="38"/>
    </row>
    <row r="59" spans="1:22">
      <c r="A59" s="30"/>
      <c r="B59" s="29" t="s">
        <v>59</v>
      </c>
      <c r="C59" s="92">
        <v>178623.80115923562</v>
      </c>
      <c r="D59" s="39"/>
      <c r="E59" s="70">
        <v>84166.707209274013</v>
      </c>
      <c r="F59" s="70">
        <v>20676.877481180261</v>
      </c>
      <c r="G59" s="70">
        <v>23788.182874433725</v>
      </c>
      <c r="H59" s="70">
        <v>35909.381493922781</v>
      </c>
      <c r="I59" s="70">
        <v>21164.369106191727</v>
      </c>
      <c r="J59" s="74">
        <v>13340.151514398107</v>
      </c>
      <c r="K59" s="74">
        <v>27414.893864913993</v>
      </c>
      <c r="L59" s="74">
        <v>21054.72074363524</v>
      </c>
      <c r="M59" s="74">
        <v>3859.0147251995681</v>
      </c>
      <c r="N59" s="74">
        <v>1109.0031511233376</v>
      </c>
      <c r="O59" s="74"/>
      <c r="P59" s="75"/>
      <c r="Q59" s="38"/>
      <c r="R59" s="38"/>
    </row>
    <row r="60" spans="1:22">
      <c r="A60" s="30"/>
      <c r="B60" s="29"/>
      <c r="C60" s="39"/>
      <c r="D60" s="39"/>
      <c r="E60" s="19"/>
      <c r="F60" s="19"/>
      <c r="G60" s="19"/>
      <c r="J60" s="76"/>
      <c r="K60" s="76"/>
      <c r="L60" s="76"/>
      <c r="M60" s="76"/>
      <c r="N60" s="76"/>
      <c r="O60" s="76"/>
      <c r="P60" s="38"/>
      <c r="Q60" s="38"/>
    </row>
    <row r="61" spans="1:22">
      <c r="A61" s="30" t="s">
        <v>50</v>
      </c>
      <c r="B61" s="30" t="s">
        <v>48</v>
      </c>
      <c r="C61" s="40">
        <v>1285227.9872108251</v>
      </c>
      <c r="D61" s="40"/>
      <c r="E61" s="69">
        <v>295114.82040283497</v>
      </c>
      <c r="F61" s="69">
        <v>399563.77384271665</v>
      </c>
      <c r="G61" s="69">
        <v>424974.57844221179</v>
      </c>
      <c r="H61" s="69">
        <v>199830.11731119954</v>
      </c>
      <c r="I61" s="69">
        <v>218909.5345714789</v>
      </c>
      <c r="J61" s="77">
        <v>174677.12116394716</v>
      </c>
      <c r="K61" s="77">
        <v>156764.59867237677</v>
      </c>
      <c r="L61" s="77">
        <v>133269.06252433761</v>
      </c>
      <c r="M61" s="77">
        <v>106874.24736201802</v>
      </c>
      <c r="N61" s="77">
        <v>109001.3049488939</v>
      </c>
      <c r="O61" s="77"/>
      <c r="P61" s="73"/>
      <c r="Q61" s="38"/>
      <c r="R61" s="38"/>
    </row>
    <row r="62" spans="1:22">
      <c r="A62" s="29"/>
      <c r="B62" s="29" t="s">
        <v>53</v>
      </c>
      <c r="C62" s="92">
        <v>81620.428569158292</v>
      </c>
      <c r="D62" s="39"/>
      <c r="E62" s="70">
        <v>35016.187091517364</v>
      </c>
      <c r="F62" s="70">
        <v>14824.86596334471</v>
      </c>
      <c r="G62" s="70">
        <v>13310.217276722691</v>
      </c>
      <c r="H62" s="70">
        <v>17152.04228115017</v>
      </c>
      <c r="I62" s="70">
        <v>9526.8531626951317</v>
      </c>
      <c r="J62" s="74">
        <v>14377.659119394686</v>
      </c>
      <c r="K62" s="74">
        <v>12126.117015306683</v>
      </c>
      <c r="L62" s="74">
        <v>12999.146075939905</v>
      </c>
      <c r="M62" s="74">
        <v>9017.4303989863529</v>
      </c>
      <c r="N62" s="74">
        <v>33140.183382280557</v>
      </c>
      <c r="O62" s="74"/>
      <c r="P62" s="75"/>
      <c r="Q62" s="38"/>
      <c r="R62" s="38"/>
    </row>
    <row r="63" spans="1:22">
      <c r="A63" s="29"/>
      <c r="B63" s="29" t="s">
        <v>54</v>
      </c>
      <c r="C63" s="92">
        <v>170196.2932329943</v>
      </c>
      <c r="D63" s="39"/>
      <c r="E63" s="70">
        <v>58039.294923083587</v>
      </c>
      <c r="F63" s="70">
        <v>45197.76978165326</v>
      </c>
      <c r="G63" s="70">
        <v>57280.924836011451</v>
      </c>
      <c r="H63" s="70">
        <v>26010.326172003683</v>
      </c>
      <c r="I63" s="70">
        <v>31974.016506855325</v>
      </c>
      <c r="J63" s="74">
        <v>27884.260573540952</v>
      </c>
      <c r="K63" s="74">
        <v>29154.511470553716</v>
      </c>
      <c r="L63" s="74">
        <v>13302.653711902072</v>
      </c>
      <c r="M63" s="74">
        <v>16029.128905332724</v>
      </c>
      <c r="N63" s="74">
        <v>30730.975263634966</v>
      </c>
      <c r="O63" s="74"/>
      <c r="P63" s="75"/>
      <c r="Q63" s="38"/>
      <c r="R63" s="38"/>
    </row>
    <row r="64" spans="1:22">
      <c r="A64" s="29"/>
      <c r="B64" s="29" t="s">
        <v>55</v>
      </c>
      <c r="C64" s="92">
        <v>294055.85837216611</v>
      </c>
      <c r="D64" s="39"/>
      <c r="E64" s="70">
        <v>70080.886669057538</v>
      </c>
      <c r="F64" s="70">
        <v>104930.17092216715</v>
      </c>
      <c r="G64" s="70">
        <v>125479.01935809309</v>
      </c>
      <c r="H64" s="70">
        <v>44815.144916327023</v>
      </c>
      <c r="I64" s="70">
        <v>59059.46773512358</v>
      </c>
      <c r="J64" s="74">
        <v>50996.512230435626</v>
      </c>
      <c r="K64" s="74">
        <v>33695.331753733153</v>
      </c>
      <c r="L64" s="74">
        <v>29596.816171918959</v>
      </c>
      <c r="M64" s="74">
        <v>35756.520905102923</v>
      </c>
      <c r="N64" s="74">
        <v>24154.102690411801</v>
      </c>
      <c r="O64" s="74"/>
      <c r="P64" s="75"/>
      <c r="Q64" s="38"/>
      <c r="R64" s="38"/>
    </row>
    <row r="65" spans="1:18">
      <c r="A65" s="29"/>
      <c r="B65" s="29" t="s">
        <v>56</v>
      </c>
      <c r="C65" s="92">
        <v>226824.07006628005</v>
      </c>
      <c r="D65" s="39"/>
      <c r="E65" s="70">
        <v>46714.701180677446</v>
      </c>
      <c r="F65" s="70">
        <v>60914.650143314255</v>
      </c>
      <c r="G65" s="70">
        <v>97395.013193731662</v>
      </c>
      <c r="H65" s="70">
        <v>25315.470327107669</v>
      </c>
      <c r="I65" s="70">
        <v>35963.397755468672</v>
      </c>
      <c r="J65" s="74">
        <v>35631.481449823041</v>
      </c>
      <c r="K65" s="74">
        <v>23896.862046857023</v>
      </c>
      <c r="L65" s="74">
        <v>18177.748388786909</v>
      </c>
      <c r="M65" s="74">
        <v>19136.10092954633</v>
      </c>
      <c r="N65" s="74">
        <v>10766.547769363633</v>
      </c>
      <c r="O65" s="74"/>
      <c r="P65" s="75"/>
      <c r="Q65" s="38"/>
      <c r="R65" s="38"/>
    </row>
    <row r="66" spans="1:18">
      <c r="A66" s="29"/>
      <c r="B66" s="29" t="s">
        <v>57</v>
      </c>
      <c r="C66" s="92">
        <v>166260.52123182616</v>
      </c>
      <c r="D66" s="39"/>
      <c r="E66" s="70">
        <v>35978.62263794992</v>
      </c>
      <c r="F66" s="70">
        <v>46438.021515805951</v>
      </c>
      <c r="G66" s="70">
        <v>50900.320092387024</v>
      </c>
      <c r="H66" s="70">
        <v>17131.140245299503</v>
      </c>
      <c r="I66" s="70">
        <v>26645.362609928932</v>
      </c>
      <c r="J66" s="74">
        <v>28028.720009487319</v>
      </c>
      <c r="K66" s="74">
        <v>13662.204987921657</v>
      </c>
      <c r="L66" s="74">
        <v>17869.120990048574</v>
      </c>
      <c r="M66" s="74">
        <v>16187.58894401285</v>
      </c>
      <c r="N66" s="74">
        <v>5392.8194244239312</v>
      </c>
      <c r="O66" s="74"/>
      <c r="P66" s="75"/>
      <c r="Q66" s="38"/>
      <c r="R66" s="38"/>
    </row>
    <row r="67" spans="1:18">
      <c r="A67" s="29"/>
      <c r="B67" s="29" t="s">
        <v>58</v>
      </c>
      <c r="C67" s="92">
        <v>125390.65956081093</v>
      </c>
      <c r="D67" s="39"/>
      <c r="E67" s="70">
        <v>21584.560585467654</v>
      </c>
      <c r="F67" s="70">
        <v>44672.112136333395</v>
      </c>
      <c r="G67" s="70">
        <v>42962.024776713122</v>
      </c>
      <c r="H67" s="70">
        <v>15512.976229295675</v>
      </c>
      <c r="I67" s="70">
        <v>19632.287379260175</v>
      </c>
      <c r="J67" s="74">
        <v>13423.219916337508</v>
      </c>
      <c r="K67" s="74">
        <v>8132.3443715832391</v>
      </c>
      <c r="L67" s="74">
        <v>12535.434502756343</v>
      </c>
      <c r="M67" s="74">
        <v>8004.3441949504449</v>
      </c>
      <c r="N67" s="74">
        <v>1884.5073128706099</v>
      </c>
      <c r="O67" s="74"/>
      <c r="P67" s="75"/>
      <c r="Q67" s="38"/>
      <c r="R67" s="38"/>
    </row>
    <row r="68" spans="1:18">
      <c r="A68" s="29"/>
      <c r="B68" s="29" t="s">
        <v>59</v>
      </c>
      <c r="C68" s="92">
        <v>220880.15617761228</v>
      </c>
      <c r="D68" s="39"/>
      <c r="E68" s="70">
        <v>27700.567315081189</v>
      </c>
      <c r="F68" s="70">
        <v>82586.183380097922</v>
      </c>
      <c r="G68" s="70">
        <v>37647.058908551327</v>
      </c>
      <c r="H68" s="70">
        <v>53893.01714001588</v>
      </c>
      <c r="I68" s="70">
        <v>36108.149422147064</v>
      </c>
      <c r="J68" s="74">
        <v>4335.2678649280761</v>
      </c>
      <c r="K68" s="74">
        <v>36097.227026421257</v>
      </c>
      <c r="L68" s="74">
        <v>28788.142682984711</v>
      </c>
      <c r="M68" s="74">
        <v>2743.1330840864439</v>
      </c>
      <c r="N68" s="74">
        <v>2932.1691059084824</v>
      </c>
      <c r="O68" s="74"/>
      <c r="P68" s="75"/>
      <c r="Q68" s="38"/>
      <c r="R68" s="38"/>
    </row>
    <row r="69" spans="1:18">
      <c r="A69" s="111"/>
      <c r="B69" s="111"/>
      <c r="C69" s="97"/>
      <c r="D69" s="97"/>
      <c r="E69" s="97"/>
      <c r="F69" s="97"/>
      <c r="G69" s="97"/>
      <c r="H69" s="97"/>
      <c r="I69" s="97"/>
      <c r="J69" s="97"/>
      <c r="K69" s="97"/>
      <c r="L69" s="97"/>
      <c r="M69" s="97"/>
      <c r="N69" s="97"/>
    </row>
    <row r="70" spans="1:18">
      <c r="A70" s="115" t="s">
        <v>108</v>
      </c>
    </row>
    <row r="71" spans="1:18">
      <c r="A71" s="16" t="s">
        <v>112</v>
      </c>
    </row>
    <row r="72" spans="1:18">
      <c r="A72" s="16" t="s">
        <v>113</v>
      </c>
    </row>
    <row r="73" spans="1:18">
      <c r="A73" s="21" t="s">
        <v>111</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1" formatCode="\*\*0.0%"/>
            </x14:dxf>
          </x14:cfRule>
          <x14:cfRule type="expression" priority="4" id="{EDCE512B-7B5B-4E1B-9C0A-6E5ECA220EFC}">
            <xm:f>C43&lt;'27'!$C$103</xm:f>
            <x14:dxf>
              <font>
                <color rgb="FF00B050"/>
              </font>
              <numFmt numFmtId="170"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69" formatCode="\*\*#,###,###,##0"/>
            </x14:dxf>
          </x14:cfRule>
          <x14:cfRule type="expression" priority="2" id="{9DE07595-3FD4-4042-9FB6-73689C82AD15}">
            <xm:f>C43&lt;'27'!$C$103</xm:f>
            <x14:dxf>
              <font>
                <color rgb="FF00B050"/>
              </font>
              <numFmt numFmtId="168"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24"/>
      <c r="B1" s="24"/>
      <c r="C1" s="24"/>
      <c r="D1" s="24"/>
      <c r="E1" s="24"/>
      <c r="F1" s="24"/>
      <c r="G1" s="24"/>
      <c r="H1" s="24"/>
      <c r="I1" s="24"/>
      <c r="J1" s="24"/>
      <c r="K1" s="24"/>
      <c r="L1" s="24"/>
      <c r="M1" s="24"/>
    </row>
    <row r="2" spans="1:15">
      <c r="A2" s="24"/>
      <c r="B2" s="24"/>
      <c r="C2" s="24"/>
      <c r="D2" s="24"/>
      <c r="E2" s="24"/>
      <c r="F2" s="24"/>
      <c r="G2" s="24"/>
      <c r="H2" s="24"/>
      <c r="I2" s="24"/>
      <c r="J2" s="24"/>
      <c r="K2" s="24"/>
      <c r="L2" s="24"/>
      <c r="M2" s="24"/>
    </row>
    <row r="3" spans="1:15">
      <c r="A3" s="24"/>
      <c r="B3" s="24"/>
      <c r="C3" s="24"/>
      <c r="D3" s="24"/>
      <c r="E3" s="24"/>
      <c r="F3" s="24"/>
      <c r="G3" s="24"/>
      <c r="H3" s="24"/>
      <c r="I3" s="24"/>
      <c r="J3" s="24"/>
      <c r="K3" s="24"/>
      <c r="L3" s="24"/>
      <c r="M3" s="24"/>
    </row>
    <row r="4" spans="1:15">
      <c r="A4" s="24"/>
      <c r="B4" s="24"/>
      <c r="C4" s="24"/>
      <c r="D4" s="24"/>
      <c r="E4" s="24"/>
      <c r="F4" s="24"/>
      <c r="G4" s="24"/>
      <c r="H4" s="24"/>
      <c r="I4" s="24"/>
      <c r="J4" s="24"/>
      <c r="K4" s="24"/>
      <c r="L4" s="24"/>
      <c r="M4" s="24"/>
    </row>
    <row r="5" spans="1:15">
      <c r="A5" s="24"/>
      <c r="B5" s="24"/>
      <c r="C5" s="24"/>
      <c r="D5" s="24"/>
      <c r="E5" s="24"/>
      <c r="F5" s="24"/>
      <c r="G5" s="24"/>
      <c r="H5" s="24"/>
      <c r="I5" s="24"/>
      <c r="J5" s="24"/>
      <c r="K5" s="24"/>
      <c r="L5" s="24"/>
      <c r="M5" s="24"/>
    </row>
    <row r="6" spans="1:15">
      <c r="A6" s="24"/>
      <c r="B6" s="24"/>
      <c r="C6" s="24"/>
      <c r="D6" s="24"/>
      <c r="E6" s="24"/>
      <c r="F6" s="24"/>
      <c r="G6" s="24"/>
      <c r="H6" s="24"/>
      <c r="I6" s="24"/>
      <c r="J6" s="24"/>
      <c r="K6" s="24"/>
      <c r="L6" s="24"/>
      <c r="M6" s="24"/>
    </row>
    <row r="7" spans="1:15">
      <c r="A7" s="24"/>
      <c r="B7" s="24"/>
      <c r="C7" s="24"/>
      <c r="D7" s="24"/>
      <c r="E7" s="24"/>
      <c r="F7" s="24"/>
      <c r="G7" s="24"/>
      <c r="H7" s="24"/>
      <c r="I7" s="24"/>
      <c r="J7" s="24"/>
      <c r="K7" s="24"/>
      <c r="L7" s="24"/>
      <c r="M7" s="24"/>
    </row>
    <row r="8" spans="1:15">
      <c r="A8" s="25" t="str">
        <f>Index!A8</f>
        <v>AusPlay survey results July 2024 - June 2025</v>
      </c>
      <c r="B8" s="24"/>
      <c r="C8" s="24"/>
      <c r="D8" s="24"/>
      <c r="E8" s="24"/>
      <c r="F8" s="24"/>
      <c r="G8" s="24"/>
      <c r="H8" s="24"/>
      <c r="I8" s="24"/>
      <c r="J8" s="24"/>
      <c r="K8" s="24"/>
      <c r="L8" s="24"/>
      <c r="M8" s="24"/>
    </row>
    <row r="9" spans="1:15">
      <c r="A9" s="24" t="s">
        <v>1</v>
      </c>
      <c r="B9" s="24"/>
      <c r="C9" s="133" t="s">
        <v>2</v>
      </c>
      <c r="D9" s="25"/>
      <c r="E9" s="24"/>
      <c r="F9" s="24"/>
      <c r="G9" s="24"/>
      <c r="H9" s="24"/>
      <c r="I9" s="24"/>
      <c r="J9" s="24"/>
      <c r="K9" s="24"/>
      <c r="L9" s="24"/>
      <c r="M9" s="24"/>
    </row>
    <row r="10" spans="1:15">
      <c r="A10" s="24" t="s">
        <v>40</v>
      </c>
      <c r="B10" s="24"/>
      <c r="C10" s="26">
        <v>6</v>
      </c>
      <c r="D10" s="26"/>
      <c r="E10" s="24"/>
      <c r="F10" s="24"/>
      <c r="G10" s="24"/>
      <c r="H10" s="24"/>
      <c r="I10" s="24"/>
      <c r="J10" s="24"/>
      <c r="K10" s="24"/>
      <c r="L10" s="24"/>
      <c r="M10" s="24"/>
    </row>
    <row r="11" spans="1:15">
      <c r="A11" s="24" t="s">
        <v>3</v>
      </c>
      <c r="B11" s="24"/>
      <c r="C11" s="25" t="s">
        <v>15</v>
      </c>
      <c r="D11" s="25"/>
      <c r="E11" s="24"/>
      <c r="F11" s="24"/>
      <c r="G11" s="24"/>
      <c r="H11" s="24"/>
      <c r="I11" s="24"/>
      <c r="J11" s="24"/>
      <c r="K11" s="24"/>
      <c r="L11" s="24"/>
      <c r="M11" s="24"/>
    </row>
    <row r="12" spans="1:15">
      <c r="A12" s="109" t="s">
        <v>41</v>
      </c>
      <c r="B12" s="109"/>
      <c r="C12" s="110" t="s">
        <v>114</v>
      </c>
      <c r="D12" s="110"/>
      <c r="E12" s="109"/>
      <c r="F12" s="109"/>
      <c r="G12" s="109"/>
      <c r="H12" s="109"/>
      <c r="I12" s="109"/>
      <c r="J12" s="109"/>
      <c r="K12" s="109"/>
      <c r="L12" s="109"/>
      <c r="M12" s="109"/>
    </row>
    <row r="13" spans="1:15" ht="24.95" customHeight="1">
      <c r="A13" s="27"/>
      <c r="B13" s="27"/>
      <c r="C13" s="27"/>
      <c r="D13" s="27"/>
      <c r="E13" s="154" t="s">
        <v>153</v>
      </c>
      <c r="F13" s="154"/>
      <c r="G13" s="154"/>
      <c r="H13" s="154"/>
      <c r="I13" s="154"/>
      <c r="J13" s="154"/>
      <c r="K13" s="154"/>
      <c r="L13" s="154"/>
      <c r="M13" s="154"/>
    </row>
    <row r="14" spans="1:15" s="8" customFormat="1" ht="50.25" customHeight="1">
      <c r="A14" s="72"/>
      <c r="B14" s="72"/>
      <c r="C14" s="32" t="s">
        <v>48</v>
      </c>
      <c r="D14" s="55"/>
      <c r="E14" s="55" t="s">
        <v>143</v>
      </c>
      <c r="F14" s="55" t="s">
        <v>145</v>
      </c>
      <c r="G14" s="55" t="s">
        <v>144</v>
      </c>
      <c r="H14" s="55" t="s">
        <v>152</v>
      </c>
      <c r="I14" s="55" t="s">
        <v>155</v>
      </c>
      <c r="J14" s="55" t="s">
        <v>147</v>
      </c>
      <c r="K14" s="55" t="s">
        <v>146</v>
      </c>
      <c r="L14" s="55" t="s">
        <v>148</v>
      </c>
      <c r="M14" s="55" t="s">
        <v>150</v>
      </c>
    </row>
    <row r="15" spans="1:15">
      <c r="A15" s="57"/>
      <c r="B15" s="57"/>
      <c r="C15" s="162" t="s">
        <v>135</v>
      </c>
      <c r="D15" s="162"/>
      <c r="E15" s="162"/>
      <c r="F15" s="162"/>
      <c r="G15" s="162"/>
      <c r="H15" s="162"/>
      <c r="I15" s="162"/>
      <c r="J15" s="162"/>
      <c r="K15" s="162"/>
      <c r="L15" s="162"/>
      <c r="M15" s="162"/>
    </row>
    <row r="16" spans="1:15" ht="17.25">
      <c r="A16" s="30" t="s">
        <v>136</v>
      </c>
      <c r="B16" s="30" t="s">
        <v>48</v>
      </c>
      <c r="C16" s="78">
        <v>0.73214143016863809</v>
      </c>
      <c r="D16" s="78"/>
      <c r="E16" s="78">
        <v>0.29415288471597795</v>
      </c>
      <c r="F16" s="78">
        <v>0.17082769658870847</v>
      </c>
      <c r="G16" s="78">
        <v>0.1559418912888286</v>
      </c>
      <c r="H16" s="78">
        <v>0.12636589856586075</v>
      </c>
      <c r="I16" s="78">
        <v>0.11265287422302543</v>
      </c>
      <c r="J16" s="78">
        <v>9.9630493597593836E-2</v>
      </c>
      <c r="K16" s="78">
        <v>0.1149919811230337</v>
      </c>
      <c r="L16" s="78">
        <v>5.2779329031859994E-2</v>
      </c>
      <c r="M16" s="78">
        <v>7.028995998151015E-2</v>
      </c>
      <c r="N16" s="78"/>
      <c r="O16" s="78"/>
    </row>
    <row r="17" spans="1:15">
      <c r="A17" s="29" t="s">
        <v>52</v>
      </c>
      <c r="B17" s="29" t="s">
        <v>115</v>
      </c>
      <c r="C17" s="22">
        <v>0.49966693126775974</v>
      </c>
      <c r="D17" s="22"/>
      <c r="E17" s="22">
        <v>9.8603385815694486E-2</v>
      </c>
      <c r="F17" s="22">
        <v>0.13316321424256031</v>
      </c>
      <c r="G17" s="22">
        <v>0.14868621878575133</v>
      </c>
      <c r="H17" s="22">
        <v>4.5297034773443004E-2</v>
      </c>
      <c r="I17" s="22">
        <v>4.8907477844805751E-2</v>
      </c>
      <c r="J17" s="22">
        <v>5.0242549648426726E-2</v>
      </c>
      <c r="K17" s="22">
        <v>8.5186972365541652E-2</v>
      </c>
      <c r="L17" s="22">
        <v>3.9389434867725344E-2</v>
      </c>
      <c r="M17" s="22">
        <v>5.5258628010365317E-2</v>
      </c>
      <c r="N17" s="22"/>
      <c r="O17" s="22"/>
    </row>
    <row r="18" spans="1:15">
      <c r="A18" s="29"/>
      <c r="B18" s="29" t="s">
        <v>116</v>
      </c>
      <c r="C18" s="22">
        <v>0.82201643120887102</v>
      </c>
      <c r="D18" s="22"/>
      <c r="E18" s="22">
        <v>0.32769587923283161</v>
      </c>
      <c r="F18" s="22">
        <v>0.20578539015523287</v>
      </c>
      <c r="G18" s="22">
        <v>0.20090938476320508</v>
      </c>
      <c r="H18" s="22">
        <v>0.12269435155492664</v>
      </c>
      <c r="I18" s="22">
        <v>0.12397403123829677</v>
      </c>
      <c r="J18" s="22">
        <v>0.11192860815355489</v>
      </c>
      <c r="K18" s="22">
        <v>0.14080248485954389</v>
      </c>
      <c r="L18" s="22">
        <v>4.4180848343502714E-2</v>
      </c>
      <c r="M18" s="22">
        <v>6.1101160685533187E-2</v>
      </c>
      <c r="N18" s="22"/>
      <c r="O18" s="22"/>
    </row>
    <row r="19" spans="1:15">
      <c r="A19" s="29"/>
      <c r="B19" s="29" t="s">
        <v>117</v>
      </c>
      <c r="C19" s="22">
        <v>0.85018509064963943</v>
      </c>
      <c r="D19" s="22"/>
      <c r="E19" s="22">
        <v>0.39759249570241212</v>
      </c>
      <c r="F19" s="22">
        <v>0.19565946170279316</v>
      </c>
      <c r="G19" s="22">
        <v>0.14635231974489019</v>
      </c>
      <c r="H19" s="22">
        <v>0.18163683932455085</v>
      </c>
      <c r="I19" s="22">
        <v>0.16642992606509108</v>
      </c>
      <c r="J19" s="22">
        <v>0.12660670062388435</v>
      </c>
      <c r="K19" s="22">
        <v>0.11845364745595488</v>
      </c>
      <c r="L19" s="22">
        <v>6.3154940799551113E-2</v>
      </c>
      <c r="M19" s="22">
        <v>9.6953300915438148E-2</v>
      </c>
      <c r="N19" s="22"/>
      <c r="O19" s="22"/>
    </row>
    <row r="20" spans="1:15">
      <c r="A20" s="29"/>
      <c r="B20" s="29" t="s">
        <v>118</v>
      </c>
      <c r="C20" s="22">
        <v>0.84408334484306835</v>
      </c>
      <c r="D20" s="22"/>
      <c r="E20" s="22">
        <v>0.43871733918950251</v>
      </c>
      <c r="F20" s="22">
        <v>0.1571133950888822</v>
      </c>
      <c r="G20" s="22">
        <v>0.11765696733858734</v>
      </c>
      <c r="H20" s="22">
        <v>0.19713723663048441</v>
      </c>
      <c r="I20" s="22">
        <v>0.14002812220726227</v>
      </c>
      <c r="J20" s="22">
        <v>0.13037660726449318</v>
      </c>
      <c r="K20" s="22">
        <v>0.12207130396924841</v>
      </c>
      <c r="L20" s="22">
        <v>7.360602835344246E-2</v>
      </c>
      <c r="M20" s="22">
        <v>7.8659080277411988E-2</v>
      </c>
      <c r="N20" s="22"/>
      <c r="O20" s="22"/>
    </row>
    <row r="21" spans="1:15">
      <c r="A21" s="29"/>
      <c r="B21" s="29"/>
      <c r="C21" s="22"/>
      <c r="D21" s="22"/>
      <c r="E21" s="22"/>
      <c r="F21" s="22"/>
      <c r="G21" s="22"/>
      <c r="H21" s="22"/>
      <c r="I21" s="22"/>
      <c r="J21" s="22"/>
      <c r="K21" s="22"/>
      <c r="L21" s="22"/>
      <c r="M21" s="22"/>
      <c r="N21" s="22"/>
    </row>
    <row r="22" spans="1:15">
      <c r="A22" s="30" t="s">
        <v>49</v>
      </c>
      <c r="B22" s="30" t="s">
        <v>48</v>
      </c>
      <c r="C22" s="78">
        <v>0.73432867500590415</v>
      </c>
      <c r="D22" s="78"/>
      <c r="E22" s="78">
        <v>0.32278295297956888</v>
      </c>
      <c r="F22" s="78">
        <v>0.15094883083764357</v>
      </c>
      <c r="G22" s="78">
        <v>0.15743989509764098</v>
      </c>
      <c r="H22" s="78">
        <v>0.13814350048710539</v>
      </c>
      <c r="I22" s="78">
        <v>0.1226857560729601</v>
      </c>
      <c r="J22" s="78">
        <v>0.10715416834862551</v>
      </c>
      <c r="K22" s="78">
        <v>0.10947545864332703</v>
      </c>
      <c r="L22" s="78">
        <v>5.6342304995143512E-2</v>
      </c>
      <c r="M22" s="78">
        <v>7.681497243270187E-2</v>
      </c>
      <c r="N22" s="78"/>
      <c r="O22" s="78"/>
    </row>
    <row r="23" spans="1:15">
      <c r="A23" s="29" t="s">
        <v>52</v>
      </c>
      <c r="B23" s="29" t="s">
        <v>115</v>
      </c>
      <c r="C23" s="22">
        <v>0.47976558705708089</v>
      </c>
      <c r="D23" s="22"/>
      <c r="E23" s="22">
        <v>0.11411611243676198</v>
      </c>
      <c r="F23" s="22">
        <v>0.1241361546171677</v>
      </c>
      <c r="G23" s="22">
        <v>0.14626088764949524</v>
      </c>
      <c r="H23" s="22">
        <v>5.3055218999692094E-2</v>
      </c>
      <c r="I23" s="22">
        <v>5.3310009275357326E-2</v>
      </c>
      <c r="J23" s="22">
        <v>3.7462122423594799E-2</v>
      </c>
      <c r="K23" s="22">
        <v>7.3634059190893802E-2</v>
      </c>
      <c r="L23" s="22">
        <v>3.503510382416114E-2</v>
      </c>
      <c r="M23" s="22">
        <v>4.7568396540899248E-2</v>
      </c>
      <c r="N23" s="22"/>
      <c r="O23" s="22"/>
    </row>
    <row r="24" spans="1:15">
      <c r="A24" s="29"/>
      <c r="B24" s="29" t="s">
        <v>116</v>
      </c>
      <c r="C24" s="22">
        <v>0.8251026345763316</v>
      </c>
      <c r="D24" s="22"/>
      <c r="E24" s="22">
        <v>0.36274476435659458</v>
      </c>
      <c r="F24" s="22">
        <v>0.16599271469206206</v>
      </c>
      <c r="G24" s="22">
        <v>0.18855983311921526</v>
      </c>
      <c r="H24" s="22">
        <v>0.14705215248964587</v>
      </c>
      <c r="I24" s="22">
        <v>0.14682954111274749</v>
      </c>
      <c r="J24" s="22">
        <v>0.11899509789853169</v>
      </c>
      <c r="K24" s="22">
        <v>0.1289994868148128</v>
      </c>
      <c r="L24" s="22">
        <v>4.6042366146518569E-2</v>
      </c>
      <c r="M24" s="22">
        <v>6.9324886725537299E-2</v>
      </c>
      <c r="N24" s="22"/>
      <c r="O24" s="22"/>
    </row>
    <row r="25" spans="1:15">
      <c r="A25" s="29"/>
      <c r="B25" s="29" t="s">
        <v>117</v>
      </c>
      <c r="C25" s="22">
        <v>0.87466939261408116</v>
      </c>
      <c r="D25" s="22"/>
      <c r="E25" s="22">
        <v>0.43733400147175094</v>
      </c>
      <c r="F25" s="22">
        <v>0.18068333000991732</v>
      </c>
      <c r="G25" s="22">
        <v>0.17315265504861235</v>
      </c>
      <c r="H25" s="22">
        <v>0.17681701639569802</v>
      </c>
      <c r="I25" s="22">
        <v>0.16543614693386691</v>
      </c>
      <c r="J25" s="22">
        <v>0.16368495702460892</v>
      </c>
      <c r="K25" s="22">
        <v>0.12294734528816699</v>
      </c>
      <c r="L25" s="22">
        <v>7.8118345693706459E-2</v>
      </c>
      <c r="M25" s="22">
        <v>0.11791002847744086</v>
      </c>
      <c r="N25" s="22"/>
      <c r="O25" s="22"/>
    </row>
    <row r="26" spans="1:15">
      <c r="A26" s="29"/>
      <c r="B26" s="29" t="s">
        <v>118</v>
      </c>
      <c r="C26" s="22">
        <v>0.85830894695518234</v>
      </c>
      <c r="D26" s="22"/>
      <c r="E26" s="22">
        <v>0.4649022080011837</v>
      </c>
      <c r="F26" s="22">
        <v>0.14435484189608222</v>
      </c>
      <c r="G26" s="22">
        <v>0.12284995360169955</v>
      </c>
      <c r="H26" s="22">
        <v>0.2118219765790145</v>
      </c>
      <c r="I26" s="22">
        <v>0.15316695321722537</v>
      </c>
      <c r="J26" s="22">
        <v>0.1401476657049911</v>
      </c>
      <c r="K26" s="22">
        <v>0.12467159739951413</v>
      </c>
      <c r="L26" s="22">
        <v>7.862905045367298E-2</v>
      </c>
      <c r="M26" s="22">
        <v>8.9726258898170763E-2</v>
      </c>
      <c r="N26" s="22"/>
      <c r="O26" s="22"/>
    </row>
    <row r="27" spans="1:15">
      <c r="A27" s="29"/>
      <c r="B27" s="29"/>
      <c r="C27" s="22"/>
      <c r="D27" s="22"/>
      <c r="E27" s="22"/>
      <c r="F27" s="22"/>
      <c r="G27" s="22"/>
      <c r="H27" s="22"/>
      <c r="I27" s="22"/>
      <c r="J27" s="22"/>
      <c r="K27" s="22"/>
      <c r="L27" s="22"/>
      <c r="M27" s="22"/>
      <c r="N27" s="22"/>
    </row>
    <row r="28" spans="1:15">
      <c r="A28" s="30" t="s">
        <v>50</v>
      </c>
      <c r="B28" s="30" t="s">
        <v>48</v>
      </c>
      <c r="C28" s="78">
        <v>0.73189895947072492</v>
      </c>
      <c r="D28" s="78"/>
      <c r="E28" s="78">
        <v>0.26173145163060602</v>
      </c>
      <c r="F28" s="78">
        <v>0.19430338512369247</v>
      </c>
      <c r="G28" s="78">
        <v>0.15493512185859309</v>
      </c>
      <c r="H28" s="78">
        <v>0.11348490493159707</v>
      </c>
      <c r="I28" s="78">
        <v>0.10170266328605941</v>
      </c>
      <c r="J28" s="78">
        <v>9.1487330280466128E-2</v>
      </c>
      <c r="K28" s="78">
        <v>0.12181182990447424</v>
      </c>
      <c r="L28" s="78">
        <v>4.8948257906556859E-2</v>
      </c>
      <c r="M28" s="78">
        <v>6.3154916128641131E-2</v>
      </c>
      <c r="N28" s="78"/>
      <c r="O28" s="78"/>
    </row>
    <row r="29" spans="1:15">
      <c r="A29" s="29" t="s">
        <v>52</v>
      </c>
      <c r="B29" s="29" t="s">
        <v>115</v>
      </c>
      <c r="C29" s="22">
        <v>0.52100405871336897</v>
      </c>
      <c r="D29" s="22"/>
      <c r="E29" s="22">
        <v>7.7582082941727692E-2</v>
      </c>
      <c r="F29" s="22">
        <v>0.14406553025754035</v>
      </c>
      <c r="G29" s="22">
        <v>0.15199915430898658</v>
      </c>
      <c r="H29" s="22">
        <v>3.6470145144795553E-2</v>
      </c>
      <c r="I29" s="22">
        <v>4.3977354355713212E-2</v>
      </c>
      <c r="J29" s="22">
        <v>6.5207909345338738E-2</v>
      </c>
      <c r="K29" s="22">
        <v>9.885013999074585E-2</v>
      </c>
      <c r="L29" s="22">
        <v>4.4563879640388535E-2</v>
      </c>
      <c r="M29" s="22">
        <v>6.4348640668996607E-2</v>
      </c>
      <c r="N29" s="22"/>
      <c r="O29" s="22"/>
    </row>
    <row r="30" spans="1:15">
      <c r="A30" s="29"/>
      <c r="B30" s="29" t="s">
        <v>116</v>
      </c>
      <c r="C30" s="22">
        <v>0.82368094713815931</v>
      </c>
      <c r="D30" s="22"/>
      <c r="E30" s="22">
        <v>0.29314517508388499</v>
      </c>
      <c r="F30" s="22">
        <v>0.24844149442084335</v>
      </c>
      <c r="G30" s="22">
        <v>0.21496085580425314</v>
      </c>
      <c r="H30" s="22">
        <v>9.8059411938496599E-2</v>
      </c>
      <c r="I30" s="22">
        <v>0.10091097601177625</v>
      </c>
      <c r="J30" s="22">
        <v>0.10523470256742681</v>
      </c>
      <c r="K30" s="22">
        <v>0.15392815414970662</v>
      </c>
      <c r="L30" s="22">
        <v>4.2504688074381312E-2</v>
      </c>
      <c r="M30" s="22">
        <v>5.2900634856899831E-2</v>
      </c>
      <c r="N30" s="22"/>
      <c r="O30" s="22"/>
    </row>
    <row r="31" spans="1:15">
      <c r="A31" s="29"/>
      <c r="B31" s="29" t="s">
        <v>117</v>
      </c>
      <c r="C31" s="22">
        <v>0.82780858584886241</v>
      </c>
      <c r="D31" s="22"/>
      <c r="E31" s="22">
        <v>0.35591493005494584</v>
      </c>
      <c r="F31" s="22">
        <v>0.21324926111278075</v>
      </c>
      <c r="G31" s="22">
        <v>0.11758230527032197</v>
      </c>
      <c r="H31" s="22">
        <v>0.18794496845720909</v>
      </c>
      <c r="I31" s="22">
        <v>0.16843394809387813</v>
      </c>
      <c r="J31" s="22">
        <v>8.6389634207271346E-2</v>
      </c>
      <c r="K31" s="22">
        <v>0.1141418403159922</v>
      </c>
      <c r="L31" s="22">
        <v>4.69906035458479E-2</v>
      </c>
      <c r="M31" s="22">
        <v>7.4360998308686962E-2</v>
      </c>
      <c r="N31" s="22"/>
      <c r="O31" s="22"/>
    </row>
    <row r="32" spans="1:15">
      <c r="A32" s="111"/>
      <c r="B32" s="111" t="s">
        <v>118</v>
      </c>
      <c r="C32" s="22">
        <v>0.82821936434618981</v>
      </c>
      <c r="D32" s="22"/>
      <c r="E32" s="22">
        <v>0.40593457202735023</v>
      </c>
      <c r="F32" s="22">
        <v>0.17427831363690302</v>
      </c>
      <c r="G32" s="22">
        <v>0.11125395805874351</v>
      </c>
      <c r="H32" s="22">
        <v>0.17859522430335087</v>
      </c>
      <c r="I32" s="22">
        <v>0.12332128308862721</v>
      </c>
      <c r="J32" s="22">
        <v>0.11803640558336595</v>
      </c>
      <c r="K32" s="22">
        <v>0.11906802147606481</v>
      </c>
      <c r="L32" s="22">
        <v>6.7283433186067762E-2</v>
      </c>
      <c r="M32" s="22">
        <v>6.4460245266663538E-2</v>
      </c>
      <c r="N32" s="22"/>
      <c r="O32" s="108"/>
    </row>
    <row r="33" spans="1:21">
      <c r="A33" s="57"/>
      <c r="B33" s="57"/>
      <c r="C33" s="159" t="s">
        <v>138</v>
      </c>
      <c r="D33" s="159"/>
      <c r="E33" s="159"/>
      <c r="F33" s="159"/>
      <c r="G33" s="159"/>
      <c r="H33" s="159"/>
      <c r="I33" s="159"/>
      <c r="J33" s="159"/>
      <c r="K33" s="159"/>
      <c r="L33" s="159"/>
      <c r="M33" s="159"/>
    </row>
    <row r="34" spans="1:21" ht="17.25">
      <c r="A34" s="30" t="s">
        <v>136</v>
      </c>
      <c r="B34" s="30" t="s">
        <v>48</v>
      </c>
      <c r="C34" s="73">
        <v>895893.5630438556</v>
      </c>
      <c r="D34" s="73"/>
      <c r="E34" s="73">
        <v>359943.67359749845</v>
      </c>
      <c r="F34" s="73">
        <v>209035.34133860096</v>
      </c>
      <c r="G34" s="73">
        <v>190820.14875509328</v>
      </c>
      <c r="H34" s="73">
        <v>154629.13372807091</v>
      </c>
      <c r="I34" s="73">
        <v>137849.02850198079</v>
      </c>
      <c r="J34" s="73">
        <v>121914.03766948012</v>
      </c>
      <c r="K34" s="73">
        <v>140711.3044621135</v>
      </c>
      <c r="L34" s="73">
        <v>64584.053289438532</v>
      </c>
      <c r="M34" s="73">
        <v>86011.144977194359</v>
      </c>
      <c r="N34" s="73"/>
      <c r="O34" s="73"/>
      <c r="P34" s="38"/>
      <c r="Q34" s="38"/>
    </row>
    <row r="35" spans="1:21">
      <c r="A35" s="29" t="s">
        <v>52</v>
      </c>
      <c r="B35" s="29" t="s">
        <v>115</v>
      </c>
      <c r="C35" s="75">
        <v>190197.738600613</v>
      </c>
      <c r="D35" s="75"/>
      <c r="E35" s="75">
        <v>37533.284327873502</v>
      </c>
      <c r="F35" s="75">
        <v>50688.449902944623</v>
      </c>
      <c r="G35" s="75">
        <v>56597.266707993163</v>
      </c>
      <c r="H35" s="75">
        <v>17242.272882384132</v>
      </c>
      <c r="I35" s="75">
        <v>18616.584577931302</v>
      </c>
      <c r="J35" s="75">
        <v>19124.778380698845</v>
      </c>
      <c r="K35" s="75">
        <v>32426.339403830723</v>
      </c>
      <c r="L35" s="75">
        <v>14993.550639001218</v>
      </c>
      <c r="M35" s="75">
        <v>21034.143802708204</v>
      </c>
      <c r="N35" s="75"/>
      <c r="O35" s="75"/>
      <c r="P35" s="38"/>
      <c r="Q35" s="38"/>
    </row>
    <row r="36" spans="1:21">
      <c r="A36" s="29"/>
      <c r="B36" s="29" t="s">
        <v>116</v>
      </c>
      <c r="C36" s="75">
        <v>275470.32591391803</v>
      </c>
      <c r="D36" s="75"/>
      <c r="E36" s="75">
        <v>109815.92000559253</v>
      </c>
      <c r="F36" s="75">
        <v>68961.843513296684</v>
      </c>
      <c r="G36" s="75">
        <v>67327.819248690939</v>
      </c>
      <c r="H36" s="75">
        <v>41116.760842514566</v>
      </c>
      <c r="I36" s="75">
        <v>41545.601150396215</v>
      </c>
      <c r="J36" s="75">
        <v>37508.994950146494</v>
      </c>
      <c r="K36" s="75">
        <v>47185.074313791265</v>
      </c>
      <c r="L36" s="75">
        <v>14805.680556092924</v>
      </c>
      <c r="M36" s="75">
        <v>20475.93698706209</v>
      </c>
      <c r="N36" s="75"/>
      <c r="O36" s="75"/>
      <c r="P36" s="38"/>
      <c r="Q36" s="38"/>
    </row>
    <row r="37" spans="1:21">
      <c r="A37" s="29"/>
      <c r="B37" s="29" t="s">
        <v>117</v>
      </c>
      <c r="C37" s="75">
        <v>211466.21785010039</v>
      </c>
      <c r="D37" s="75"/>
      <c r="E37" s="75">
        <v>98893.031924997151</v>
      </c>
      <c r="F37" s="75">
        <v>48666.304323521697</v>
      </c>
      <c r="G37" s="75">
        <v>36402.157448317776</v>
      </c>
      <c r="H37" s="75">
        <v>45178.462733167245</v>
      </c>
      <c r="I37" s="75">
        <v>41396.052917329027</v>
      </c>
      <c r="J37" s="75">
        <v>31490.837030504827</v>
      </c>
      <c r="K37" s="75">
        <v>29462.931182337794</v>
      </c>
      <c r="L37" s="75">
        <v>15708.504673050906</v>
      </c>
      <c r="M37" s="75">
        <v>24115.158073407551</v>
      </c>
      <c r="N37" s="75"/>
      <c r="O37" s="75"/>
      <c r="P37" s="38"/>
      <c r="Q37" s="38"/>
    </row>
    <row r="38" spans="1:21">
      <c r="A38" s="29"/>
      <c r="B38" s="29" t="s">
        <v>118</v>
      </c>
      <c r="C38" s="75">
        <v>218759.28067922179</v>
      </c>
      <c r="D38" s="75"/>
      <c r="E38" s="75">
        <v>113701.43733903562</v>
      </c>
      <c r="F38" s="75">
        <v>40718.743598837747</v>
      </c>
      <c r="G38" s="75">
        <v>30492.905350091183</v>
      </c>
      <c r="H38" s="75">
        <v>51091.637270004656</v>
      </c>
      <c r="I38" s="75">
        <v>36290.789856324001</v>
      </c>
      <c r="J38" s="75">
        <v>33789.427308129816</v>
      </c>
      <c r="K38" s="75">
        <v>31636.95956215349</v>
      </c>
      <c r="L38" s="75">
        <v>19076.317421293457</v>
      </c>
      <c r="M38" s="75">
        <v>20385.906114016503</v>
      </c>
      <c r="N38" s="75"/>
      <c r="O38" s="75"/>
      <c r="P38" s="38"/>
      <c r="Q38" s="38"/>
    </row>
    <row r="39" spans="1:21">
      <c r="A39" s="29"/>
      <c r="B39" s="29"/>
      <c r="C39" s="74"/>
      <c r="D39" s="75"/>
      <c r="E39" s="75"/>
      <c r="F39" s="75"/>
      <c r="G39" s="75"/>
      <c r="H39" s="75"/>
      <c r="I39" s="75"/>
      <c r="J39" s="76"/>
      <c r="K39" s="75"/>
      <c r="L39" s="75"/>
      <c r="M39" s="75"/>
      <c r="N39" s="75"/>
      <c r="O39" s="38"/>
      <c r="P39" s="38"/>
    </row>
    <row r="40" spans="1:21">
      <c r="A40" s="30" t="s">
        <v>49</v>
      </c>
      <c r="B40" s="30" t="s">
        <v>48</v>
      </c>
      <c r="C40" s="77">
        <v>478087.93086315016</v>
      </c>
      <c r="D40" s="77"/>
      <c r="E40" s="77">
        <v>210149.26879528275</v>
      </c>
      <c r="F40" s="77">
        <v>98275.903771292127</v>
      </c>
      <c r="G40" s="77">
        <v>102501.93985947425</v>
      </c>
      <c r="H40" s="77">
        <v>89938.936824905802</v>
      </c>
      <c r="I40" s="77">
        <v>79875.103974158526</v>
      </c>
      <c r="J40" s="77">
        <v>69763.195109797583</v>
      </c>
      <c r="K40" s="77">
        <v>71274.481420273791</v>
      </c>
      <c r="L40" s="77">
        <v>36681.906797350814</v>
      </c>
      <c r="M40" s="77">
        <v>50010.727457109155</v>
      </c>
      <c r="N40" s="77"/>
      <c r="O40" s="73"/>
      <c r="P40" s="38"/>
      <c r="Q40" s="38"/>
      <c r="U40"/>
    </row>
    <row r="41" spans="1:21">
      <c r="A41" s="29" t="s">
        <v>52</v>
      </c>
      <c r="B41" s="29" t="s">
        <v>115</v>
      </c>
      <c r="C41" s="74">
        <v>97826.679183964618</v>
      </c>
      <c r="D41" s="74"/>
      <c r="E41" s="74">
        <v>23268.864258378209</v>
      </c>
      <c r="F41" s="74">
        <v>25312.00257058008</v>
      </c>
      <c r="G41" s="74">
        <v>29823.349817598988</v>
      </c>
      <c r="H41" s="74">
        <v>10818.232962382832</v>
      </c>
      <c r="I41" s="74">
        <v>10870.186014517292</v>
      </c>
      <c r="J41" s="74">
        <v>7638.7200973782856</v>
      </c>
      <c r="K41" s="74">
        <v>15014.364681024101</v>
      </c>
      <c r="L41" s="74">
        <v>7143.8384795517377</v>
      </c>
      <c r="M41" s="74">
        <v>9699.4415465411657</v>
      </c>
      <c r="N41" s="74"/>
      <c r="O41" s="75"/>
      <c r="P41" s="38"/>
      <c r="Q41" s="38"/>
    </row>
    <row r="42" spans="1:21">
      <c r="A42" s="29"/>
      <c r="B42" s="29" t="s">
        <v>116</v>
      </c>
      <c r="C42" s="74">
        <v>140638.56968061137</v>
      </c>
      <c r="D42" s="74"/>
      <c r="E42" s="74">
        <v>61829.768419582368</v>
      </c>
      <c r="F42" s="74">
        <v>28293.423137208189</v>
      </c>
      <c r="G42" s="74">
        <v>32139.983703624825</v>
      </c>
      <c r="H42" s="74">
        <v>25065.00831283638</v>
      </c>
      <c r="I42" s="74">
        <v>25027.064250692289</v>
      </c>
      <c r="J42" s="74">
        <v>20282.689287553851</v>
      </c>
      <c r="K42" s="74">
        <v>21987.935263936895</v>
      </c>
      <c r="L42" s="74">
        <v>7847.9115787604851</v>
      </c>
      <c r="M42" s="74">
        <v>11816.412290764541</v>
      </c>
      <c r="N42" s="74"/>
      <c r="O42" s="75"/>
      <c r="P42" s="38"/>
      <c r="Q42" s="38"/>
    </row>
    <row r="43" spans="1:21">
      <c r="A43" s="29"/>
      <c r="B43" s="29" t="s">
        <v>117</v>
      </c>
      <c r="C43" s="74">
        <v>113824.17909498287</v>
      </c>
      <c r="D43" s="74"/>
      <c r="E43" s="74">
        <v>56911.999125833703</v>
      </c>
      <c r="F43" s="74">
        <v>23513.034625644945</v>
      </c>
      <c r="G43" s="74">
        <v>22533.038180428208</v>
      </c>
      <c r="H43" s="74">
        <v>23009.895980371188</v>
      </c>
      <c r="I43" s="74">
        <v>21528.858533744031</v>
      </c>
      <c r="J43" s="74">
        <v>21300.969281480397</v>
      </c>
      <c r="K43" s="74">
        <v>15999.623134758041</v>
      </c>
      <c r="L43" s="74">
        <v>10165.848543379201</v>
      </c>
      <c r="M43" s="74">
        <v>15344.097223294901</v>
      </c>
      <c r="N43" s="74"/>
      <c r="O43" s="75"/>
      <c r="P43" s="38"/>
      <c r="Q43" s="38"/>
    </row>
    <row r="44" spans="1:21">
      <c r="A44" s="29"/>
      <c r="B44" s="29" t="s">
        <v>118</v>
      </c>
      <c r="C44" s="74">
        <v>125798.50290359622</v>
      </c>
      <c r="D44" s="74"/>
      <c r="E44" s="74">
        <v>68138.636991487656</v>
      </c>
      <c r="F44" s="74">
        <v>21157.443437858863</v>
      </c>
      <c r="G44" s="74">
        <v>18005.568157822116</v>
      </c>
      <c r="H44" s="74">
        <v>31045.799569315273</v>
      </c>
      <c r="I44" s="74">
        <v>22448.995175204931</v>
      </c>
      <c r="J44" s="74">
        <v>20540.816443385094</v>
      </c>
      <c r="K44" s="74">
        <v>18272.558340554839</v>
      </c>
      <c r="L44" s="74">
        <v>11524.308195659398</v>
      </c>
      <c r="M44" s="74">
        <v>13150.776396508596</v>
      </c>
      <c r="N44" s="74"/>
      <c r="O44" s="75"/>
      <c r="P44" s="38"/>
      <c r="Q44" s="38"/>
    </row>
    <row r="45" spans="1:21">
      <c r="A45" s="29"/>
      <c r="B45" s="29"/>
      <c r="C45" s="74"/>
      <c r="D45" s="75"/>
      <c r="E45" s="75"/>
      <c r="F45" s="75"/>
      <c r="G45" s="75"/>
      <c r="H45" s="75"/>
      <c r="I45" s="75"/>
      <c r="J45" s="76"/>
      <c r="K45" s="75"/>
      <c r="L45" s="75"/>
      <c r="M45" s="75"/>
      <c r="N45" s="75"/>
      <c r="O45" s="38"/>
      <c r="P45" s="38"/>
    </row>
    <row r="46" spans="1:21">
      <c r="A46" s="30" t="s">
        <v>50</v>
      </c>
      <c r="B46" s="30" t="s">
        <v>48</v>
      </c>
      <c r="C46" s="77">
        <v>417206.92130747216</v>
      </c>
      <c r="D46" s="77"/>
      <c r="E46" s="77">
        <v>149195.69392899022</v>
      </c>
      <c r="F46" s="77">
        <v>110759.43756730852</v>
      </c>
      <c r="G46" s="77">
        <v>88318.208895618998</v>
      </c>
      <c r="H46" s="77">
        <v>64690.196903165008</v>
      </c>
      <c r="I46" s="77">
        <v>57973.924527822091</v>
      </c>
      <c r="J46" s="77">
        <v>52150.842559682402</v>
      </c>
      <c r="K46" s="77">
        <v>69436.823041839481</v>
      </c>
      <c r="L46" s="77">
        <v>27902.146492087693</v>
      </c>
      <c r="M46" s="77">
        <v>36000.417520085161</v>
      </c>
      <c r="N46" s="77"/>
      <c r="O46" s="73"/>
      <c r="P46" s="38"/>
      <c r="Q46" s="38"/>
    </row>
    <row r="47" spans="1:21">
      <c r="A47" s="29" t="s">
        <v>52</v>
      </c>
      <c r="B47" s="29" t="s">
        <v>115</v>
      </c>
      <c r="C47" s="74">
        <v>91772.348543422486</v>
      </c>
      <c r="D47" s="74"/>
      <c r="E47" s="74">
        <v>13665.709196269356</v>
      </c>
      <c r="F47" s="74">
        <v>25376.447332364543</v>
      </c>
      <c r="G47" s="74">
        <v>26773.91689039415</v>
      </c>
      <c r="H47" s="74">
        <v>6424.0399200013026</v>
      </c>
      <c r="I47" s="74">
        <v>7746.3985634140136</v>
      </c>
      <c r="J47" s="74">
        <v>11486.058283320559</v>
      </c>
      <c r="K47" s="74">
        <v>17411.974722806615</v>
      </c>
      <c r="L47" s="74">
        <v>7849.7121594494847</v>
      </c>
      <c r="M47" s="74">
        <v>11334.702256167038</v>
      </c>
      <c r="N47" s="74"/>
      <c r="O47" s="75"/>
      <c r="P47" s="38"/>
      <c r="Q47" s="38"/>
    </row>
    <row r="48" spans="1:21">
      <c r="A48" s="29"/>
      <c r="B48" s="29" t="s">
        <v>116</v>
      </c>
      <c r="C48" s="74">
        <v>134831.75623330593</v>
      </c>
      <c r="D48" s="74"/>
      <c r="E48" s="74">
        <v>47986.151586010201</v>
      </c>
      <c r="F48" s="74">
        <v>40668.420376088492</v>
      </c>
      <c r="G48" s="74">
        <v>35187.835545066162</v>
      </c>
      <c r="H48" s="74">
        <v>16051.752529678222</v>
      </c>
      <c r="I48" s="74">
        <v>16518.536899703966</v>
      </c>
      <c r="J48" s="74">
        <v>17226.305662592644</v>
      </c>
      <c r="K48" s="74">
        <v>25197.13904985441</v>
      </c>
      <c r="L48" s="74">
        <v>6957.768977332441</v>
      </c>
      <c r="M48" s="74">
        <v>8659.5246962975471</v>
      </c>
      <c r="N48" s="74"/>
      <c r="O48" s="75"/>
      <c r="P48" s="38"/>
      <c r="Q48" s="38"/>
    </row>
    <row r="49" spans="1:17">
      <c r="A49" s="29"/>
      <c r="B49" s="29" t="s">
        <v>117</v>
      </c>
      <c r="C49" s="74">
        <v>97642.038755117945</v>
      </c>
      <c r="D49" s="74"/>
      <c r="E49" s="74">
        <v>41981.032799163338</v>
      </c>
      <c r="F49" s="74">
        <v>25153.26969787676</v>
      </c>
      <c r="G49" s="74">
        <v>13869.119267889584</v>
      </c>
      <c r="H49" s="74">
        <v>22168.56675279608</v>
      </c>
      <c r="I49" s="74">
        <v>19867.194383585014</v>
      </c>
      <c r="J49" s="74">
        <v>10189.867749024439</v>
      </c>
      <c r="K49" s="74">
        <v>13463.308047579741</v>
      </c>
      <c r="L49" s="74">
        <v>5542.6561296717055</v>
      </c>
      <c r="M49" s="74">
        <v>8771.060850112648</v>
      </c>
      <c r="N49" s="74"/>
      <c r="O49" s="75"/>
      <c r="P49" s="38"/>
      <c r="Q49" s="38"/>
    </row>
    <row r="50" spans="1:17">
      <c r="A50" s="29"/>
      <c r="B50" s="29" t="s">
        <v>118</v>
      </c>
      <c r="C50" s="74">
        <v>92960.777775625669</v>
      </c>
      <c r="D50" s="74"/>
      <c r="E50" s="74">
        <v>45562.800347547585</v>
      </c>
      <c r="F50" s="74">
        <v>19561.300160978863</v>
      </c>
      <c r="G50" s="74">
        <v>12487.337192269082</v>
      </c>
      <c r="H50" s="74">
        <v>20045.83770068935</v>
      </c>
      <c r="I50" s="74">
        <v>13841.79468111906</v>
      </c>
      <c r="J50" s="74">
        <v>13248.610864744729</v>
      </c>
      <c r="K50" s="74">
        <v>13364.40122159866</v>
      </c>
      <c r="L50" s="74">
        <v>7552.0092256340613</v>
      </c>
      <c r="M50" s="74">
        <v>7235.129717507918</v>
      </c>
      <c r="N50" s="74"/>
      <c r="O50" s="75"/>
      <c r="P50" s="38"/>
      <c r="Q50" s="38"/>
    </row>
    <row r="51" spans="1:17">
      <c r="A51" s="111"/>
      <c r="B51" s="111"/>
      <c r="C51" s="97"/>
      <c r="D51" s="97"/>
      <c r="E51" s="97"/>
      <c r="F51" s="97"/>
      <c r="G51" s="97"/>
      <c r="H51" s="97"/>
      <c r="I51" s="97"/>
      <c r="J51" s="97"/>
      <c r="K51" s="97"/>
      <c r="L51" s="97"/>
      <c r="M51" s="97"/>
    </row>
    <row r="52" spans="1:17">
      <c r="A52" s="137" t="s">
        <v>121</v>
      </c>
    </row>
    <row r="53" spans="1:17">
      <c r="A53" s="115" t="s">
        <v>108</v>
      </c>
    </row>
    <row r="54" spans="1:17">
      <c r="A54" s="16" t="s">
        <v>112</v>
      </c>
    </row>
    <row r="55" spans="1:17">
      <c r="A55" s="16" t="s">
        <v>113</v>
      </c>
    </row>
    <row r="56" spans="1:17">
      <c r="A56" s="21" t="s">
        <v>111</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1" formatCode="\*\*0.0%"/>
            </x14:dxf>
          </x14:cfRule>
          <x14:cfRule type="expression" priority="4" id="{631786B4-464F-4B04-81C1-7994D274B302}">
            <xm:f>C34&lt;'27'!$D$103</xm:f>
            <x14:dxf>
              <font>
                <color rgb="FF00B050"/>
              </font>
              <numFmt numFmtId="170"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69" formatCode="\*\*#,###,###,##0"/>
            </x14:dxf>
          </x14:cfRule>
          <x14:cfRule type="expression" priority="2" id="{1E197729-0375-47A7-8316-BADF5A695DD1}">
            <xm:f>C34&lt;'27'!$D$103</xm:f>
            <x14:dxf>
              <font>
                <color rgb="FF00B050"/>
              </font>
              <numFmt numFmtId="168"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61" customFormat="1">
      <c r="A1" s="24"/>
      <c r="B1" s="24"/>
      <c r="C1" s="107"/>
      <c r="D1" s="24"/>
      <c r="E1" s="24"/>
      <c r="F1" s="24"/>
      <c r="G1" s="24"/>
      <c r="H1" s="24"/>
      <c r="I1" s="24"/>
      <c r="J1" s="24"/>
      <c r="K1" s="24"/>
      <c r="L1" s="24"/>
      <c r="M1" s="24"/>
    </row>
    <row r="2" spans="1:13" s="61" customFormat="1">
      <c r="A2" s="24"/>
      <c r="B2" s="24"/>
      <c r="C2" s="107"/>
      <c r="D2" s="24"/>
      <c r="E2" s="24"/>
      <c r="F2" s="24"/>
      <c r="G2" s="24"/>
      <c r="H2" s="24"/>
      <c r="I2" s="24"/>
      <c r="J2" s="24"/>
      <c r="K2" s="24"/>
      <c r="L2" s="24"/>
      <c r="M2" s="24"/>
    </row>
    <row r="3" spans="1:13" s="61" customFormat="1">
      <c r="A3" s="24"/>
      <c r="B3" s="24"/>
      <c r="C3" s="107"/>
      <c r="D3" s="24"/>
      <c r="E3" s="24"/>
      <c r="F3" s="24"/>
      <c r="G3" s="24"/>
      <c r="H3" s="24"/>
      <c r="I3" s="24"/>
      <c r="J3" s="24"/>
      <c r="K3" s="24"/>
      <c r="L3" s="24"/>
      <c r="M3" s="24"/>
    </row>
    <row r="4" spans="1:13" s="61" customFormat="1">
      <c r="A4" s="24"/>
      <c r="B4" s="24"/>
      <c r="C4" s="107"/>
      <c r="D4" s="24"/>
      <c r="E4" s="24"/>
      <c r="F4" s="24"/>
      <c r="G4" s="24"/>
      <c r="H4" s="24"/>
      <c r="I4" s="24"/>
      <c r="J4" s="24"/>
      <c r="K4" s="24"/>
      <c r="L4" s="24"/>
      <c r="M4" s="24"/>
    </row>
    <row r="5" spans="1:13" s="61" customFormat="1">
      <c r="A5" s="24"/>
      <c r="B5" s="24"/>
      <c r="C5" s="107"/>
      <c r="D5" s="24"/>
      <c r="E5" s="24"/>
      <c r="F5" s="24"/>
      <c r="G5" s="24"/>
      <c r="H5" s="24"/>
      <c r="I5" s="24"/>
      <c r="J5" s="24"/>
      <c r="K5" s="24"/>
      <c r="L5" s="24"/>
      <c r="M5" s="24"/>
    </row>
    <row r="6" spans="1:13" s="61" customFormat="1">
      <c r="A6" s="24"/>
      <c r="B6" s="24"/>
      <c r="C6" s="107"/>
      <c r="D6" s="24"/>
      <c r="E6" s="24"/>
      <c r="F6" s="24"/>
      <c r="G6" s="24"/>
      <c r="H6" s="24"/>
      <c r="I6" s="24"/>
      <c r="J6" s="24"/>
      <c r="K6" s="24"/>
      <c r="L6" s="24"/>
      <c r="M6" s="24"/>
    </row>
    <row r="7" spans="1:13" s="61" customFormat="1">
      <c r="A7" s="24"/>
      <c r="B7" s="24"/>
      <c r="C7" s="107"/>
      <c r="D7" s="24"/>
      <c r="E7" s="24"/>
      <c r="F7" s="24"/>
      <c r="G7" s="24"/>
      <c r="H7" s="24"/>
      <c r="I7" s="24"/>
      <c r="J7" s="24"/>
      <c r="K7" s="24"/>
      <c r="L7" s="24"/>
      <c r="M7" s="24"/>
    </row>
    <row r="8" spans="1:13" s="61" customFormat="1">
      <c r="A8" s="25" t="str">
        <f>Index!A8</f>
        <v>AusPlay survey results July 2024 - June 2025</v>
      </c>
      <c r="B8" s="24"/>
      <c r="C8" s="24"/>
      <c r="D8" s="24"/>
      <c r="E8" s="24"/>
      <c r="F8" s="24"/>
      <c r="G8" s="24"/>
      <c r="H8" s="24"/>
      <c r="I8" s="24"/>
      <c r="J8" s="24"/>
      <c r="K8" s="24"/>
      <c r="L8" s="24"/>
      <c r="M8" s="24"/>
    </row>
    <row r="9" spans="1:13" s="61" customFormat="1">
      <c r="A9" s="24" t="s">
        <v>1</v>
      </c>
      <c r="B9" s="24"/>
      <c r="C9" s="133" t="s">
        <v>2</v>
      </c>
      <c r="D9" s="25"/>
      <c r="E9" s="24"/>
      <c r="F9" s="24"/>
      <c r="G9" s="24"/>
      <c r="H9" s="24"/>
      <c r="I9" s="24"/>
      <c r="J9" s="24"/>
      <c r="K9" s="24"/>
      <c r="L9" s="24"/>
      <c r="M9" s="24"/>
    </row>
    <row r="10" spans="1:13" s="61" customFormat="1">
      <c r="A10" s="24" t="s">
        <v>40</v>
      </c>
      <c r="B10" s="24"/>
      <c r="C10" s="26">
        <v>7</v>
      </c>
      <c r="D10" s="26"/>
      <c r="E10" s="24"/>
      <c r="F10" s="95" t="s">
        <v>137</v>
      </c>
      <c r="G10" s="24"/>
      <c r="H10" s="24"/>
      <c r="I10" s="24"/>
      <c r="J10" s="24"/>
      <c r="K10" s="24"/>
      <c r="L10" s="24"/>
      <c r="M10" s="24"/>
    </row>
    <row r="11" spans="1:13" s="61" customFormat="1">
      <c r="A11" s="24" t="s">
        <v>3</v>
      </c>
      <c r="B11" s="24"/>
      <c r="C11" s="25" t="s">
        <v>16</v>
      </c>
      <c r="D11" s="25"/>
      <c r="E11" s="24"/>
      <c r="F11" s="24"/>
      <c r="G11" s="24"/>
      <c r="H11" s="24"/>
      <c r="I11" s="24"/>
      <c r="J11" s="24"/>
      <c r="K11" s="24"/>
      <c r="L11" s="24"/>
      <c r="M11" s="24"/>
    </row>
    <row r="12" spans="1:13" s="61" customFormat="1">
      <c r="A12" s="109" t="s">
        <v>41</v>
      </c>
      <c r="B12" s="109"/>
      <c r="C12" s="110" t="s">
        <v>42</v>
      </c>
      <c r="D12" s="110"/>
      <c r="E12" s="109"/>
      <c r="F12" s="109"/>
      <c r="G12" s="109"/>
      <c r="H12" s="109"/>
      <c r="I12" s="109"/>
      <c r="J12" s="109"/>
      <c r="K12" s="109"/>
      <c r="L12" s="109"/>
      <c r="M12" s="109"/>
    </row>
    <row r="13" spans="1:13" s="8" customFormat="1" ht="50.1" customHeight="1">
      <c r="A13" s="88"/>
      <c r="B13" s="88"/>
      <c r="C13" s="32" t="s">
        <v>48</v>
      </c>
      <c r="D13" s="55"/>
      <c r="E13" s="55" t="s">
        <v>156</v>
      </c>
      <c r="F13" s="55" t="s">
        <v>157</v>
      </c>
      <c r="G13" s="55" t="s">
        <v>144</v>
      </c>
      <c r="H13" s="55" t="s">
        <v>158</v>
      </c>
      <c r="I13" s="55" t="s">
        <v>159</v>
      </c>
      <c r="J13" s="55" t="s">
        <v>160</v>
      </c>
      <c r="K13" s="55" t="s">
        <v>161</v>
      </c>
      <c r="L13" s="55" t="s">
        <v>162</v>
      </c>
      <c r="M13" s="55" t="s">
        <v>163</v>
      </c>
    </row>
    <row r="14" spans="1:13">
      <c r="A14" s="57"/>
      <c r="B14" s="57"/>
      <c r="C14" s="160" t="s">
        <v>135</v>
      </c>
      <c r="D14" s="160"/>
      <c r="E14" s="160"/>
      <c r="F14" s="160"/>
      <c r="G14" s="160"/>
      <c r="H14" s="160"/>
      <c r="I14" s="160"/>
      <c r="J14" s="160"/>
      <c r="K14" s="160"/>
      <c r="L14" s="160"/>
      <c r="M14" s="160"/>
    </row>
    <row r="15" spans="1:13" ht="17.25">
      <c r="A15" s="30" t="s">
        <v>136</v>
      </c>
      <c r="B15" s="30" t="s">
        <v>48</v>
      </c>
      <c r="C15" s="78">
        <v>0.86963982973969045</v>
      </c>
      <c r="D15" s="23"/>
      <c r="E15" s="23">
        <v>0.62703703049895299</v>
      </c>
      <c r="F15" s="23">
        <v>0.29549356791479825</v>
      </c>
      <c r="G15" s="23">
        <v>0.29835973229711188</v>
      </c>
      <c r="H15" s="23">
        <v>0.2169757029507601</v>
      </c>
      <c r="I15" s="23">
        <v>0.20193378628387518</v>
      </c>
      <c r="J15" s="78">
        <v>0.16610904014053146</v>
      </c>
      <c r="K15" s="23">
        <v>9.951005357406939E-2</v>
      </c>
      <c r="L15" s="23">
        <v>6.9293788197343373E-2</v>
      </c>
      <c r="M15" s="23">
        <v>6.5911353779145782E-2</v>
      </c>
    </row>
    <row r="16" spans="1:13">
      <c r="A16" s="30"/>
      <c r="B16" s="29" t="s">
        <v>53</v>
      </c>
      <c r="C16" s="22">
        <v>0.84583468149608265</v>
      </c>
      <c r="D16" s="4"/>
      <c r="E16" s="4">
        <v>0.58422971812470426</v>
      </c>
      <c r="F16" s="4">
        <v>0.37406513808280856</v>
      </c>
      <c r="G16" s="4">
        <v>0.26609016481417297</v>
      </c>
      <c r="H16" s="4">
        <v>0.39331415337051062</v>
      </c>
      <c r="I16" s="4">
        <v>0.34458279157924931</v>
      </c>
      <c r="J16" s="22">
        <v>0.17584778115979488</v>
      </c>
      <c r="K16" s="90">
        <v>0.16202015238566361</v>
      </c>
      <c r="L16" s="90">
        <v>0.36541546713504652</v>
      </c>
      <c r="M16" s="90">
        <v>7.6663680050841496E-2</v>
      </c>
    </row>
    <row r="17" spans="1:13">
      <c r="A17" s="30"/>
      <c r="B17" s="29" t="s">
        <v>54</v>
      </c>
      <c r="C17" s="22">
        <v>0.88919858930641815</v>
      </c>
      <c r="D17" s="4"/>
      <c r="E17" s="4">
        <v>0.56609598002954742</v>
      </c>
      <c r="F17" s="4">
        <v>0.37605380978166453</v>
      </c>
      <c r="G17" s="4">
        <v>0.42006251196605365</v>
      </c>
      <c r="H17" s="4">
        <v>0.33538969979422606</v>
      </c>
      <c r="I17" s="4">
        <v>0.3171820874402751</v>
      </c>
      <c r="J17" s="22">
        <v>0.21279522068096163</v>
      </c>
      <c r="K17" s="90">
        <v>0.15628243541246872</v>
      </c>
      <c r="L17" s="90">
        <v>0.18563491948726826</v>
      </c>
      <c r="M17" s="90">
        <v>7.6757978459131404E-2</v>
      </c>
    </row>
    <row r="18" spans="1:13">
      <c r="A18" s="30"/>
      <c r="B18" s="29" t="s">
        <v>55</v>
      </c>
      <c r="C18" s="22">
        <v>0.918650915151489</v>
      </c>
      <c r="D18" s="4"/>
      <c r="E18" s="4">
        <v>0.61391422037642152</v>
      </c>
      <c r="F18" s="4">
        <v>0.34294366328004999</v>
      </c>
      <c r="G18" s="4">
        <v>0.42251938589188931</v>
      </c>
      <c r="H18" s="4">
        <v>0.29742986765325863</v>
      </c>
      <c r="I18" s="4">
        <v>0.25179730236395287</v>
      </c>
      <c r="J18" s="22">
        <v>0.25458804318860301</v>
      </c>
      <c r="K18" s="90">
        <v>0.13876204561881703</v>
      </c>
      <c r="L18" s="90">
        <v>8.5954387554360134E-2</v>
      </c>
      <c r="M18" s="90">
        <v>0.11376044485509561</v>
      </c>
    </row>
    <row r="19" spans="1:13">
      <c r="A19" s="30"/>
      <c r="B19" s="29" t="s">
        <v>56</v>
      </c>
      <c r="C19" s="22">
        <v>0.89233388530674074</v>
      </c>
      <c r="D19" s="4"/>
      <c r="E19" s="4">
        <v>0.61673064432536107</v>
      </c>
      <c r="F19" s="4">
        <v>0.30855170372827673</v>
      </c>
      <c r="G19" s="4">
        <v>0.3117377806262227</v>
      </c>
      <c r="H19" s="4">
        <v>0.23864723232917523</v>
      </c>
      <c r="I19" s="4">
        <v>0.19927410236987944</v>
      </c>
      <c r="J19" s="22">
        <v>0.18836189320769128</v>
      </c>
      <c r="K19" s="90">
        <v>8.7440176314402693E-2</v>
      </c>
      <c r="L19" s="90">
        <v>4.3707320330409027E-2</v>
      </c>
      <c r="M19" s="90">
        <v>7.0371314267732049E-2</v>
      </c>
    </row>
    <row r="20" spans="1:13">
      <c r="A20" s="30"/>
      <c r="B20" s="29" t="s">
        <v>57</v>
      </c>
      <c r="C20" s="22">
        <v>0.89145479394323146</v>
      </c>
      <c r="D20" s="4"/>
      <c r="E20" s="4">
        <v>0.675895226424164</v>
      </c>
      <c r="F20" s="4">
        <v>0.30970315276934218</v>
      </c>
      <c r="G20" s="4">
        <v>0.26892716564415725</v>
      </c>
      <c r="H20" s="4">
        <v>0.19173824532300138</v>
      </c>
      <c r="I20" s="4">
        <v>0.15303571659177045</v>
      </c>
      <c r="J20" s="22">
        <v>0.14424445161713584</v>
      </c>
      <c r="K20" s="90">
        <v>8.0007510920155178E-2</v>
      </c>
      <c r="L20" s="90">
        <v>3.9322155616148019E-2</v>
      </c>
      <c r="M20" s="90">
        <v>7.9573834028849211E-2</v>
      </c>
    </row>
    <row r="21" spans="1:13">
      <c r="A21" s="30"/>
      <c r="B21" s="29" t="s">
        <v>58</v>
      </c>
      <c r="C21" s="22">
        <v>0.87521020434302654</v>
      </c>
      <c r="D21" s="4"/>
      <c r="E21" s="4">
        <v>0.71794332658888604</v>
      </c>
      <c r="F21" s="4">
        <v>0.28428968352853695</v>
      </c>
      <c r="G21" s="4">
        <v>0.22328741387586393</v>
      </c>
      <c r="H21" s="4">
        <v>0.14237809399771192</v>
      </c>
      <c r="I21" s="4">
        <v>0.14800542249846241</v>
      </c>
      <c r="J21" s="22">
        <v>0.11914987754981265</v>
      </c>
      <c r="K21" s="90">
        <v>4.9436580456683345E-2</v>
      </c>
      <c r="L21" s="90">
        <v>1.1035597407401529E-2</v>
      </c>
      <c r="M21" s="90">
        <v>4.8758623953796994E-2</v>
      </c>
    </row>
    <row r="22" spans="1:13">
      <c r="A22" s="30"/>
      <c r="B22" s="29" t="s">
        <v>59</v>
      </c>
      <c r="C22" s="22">
        <v>0.78038466500754877</v>
      </c>
      <c r="D22" s="4"/>
      <c r="E22" s="4">
        <v>0.59808548436609044</v>
      </c>
      <c r="F22" s="4">
        <v>0.17598716139206322</v>
      </c>
      <c r="G22" s="4">
        <v>0.1811462240260959</v>
      </c>
      <c r="H22" s="4">
        <v>8.7774469907020577E-2</v>
      </c>
      <c r="I22" s="4">
        <v>0.13389367715144798</v>
      </c>
      <c r="J22" s="22">
        <v>8.461437712978144E-2</v>
      </c>
      <c r="K22" s="90">
        <v>7.5119714243956665E-2</v>
      </c>
      <c r="L22" s="90">
        <v>7.4891096225503323E-3</v>
      </c>
      <c r="M22" s="90">
        <v>1.1587873435022242E-2</v>
      </c>
    </row>
    <row r="23" spans="1:13">
      <c r="A23" s="30"/>
      <c r="B23" s="30"/>
      <c r="C23" s="22"/>
      <c r="D23" s="4"/>
      <c r="E23" s="4"/>
      <c r="F23" s="4"/>
      <c r="G23" s="4"/>
      <c r="J23" s="22"/>
    </row>
    <row r="24" spans="1:13">
      <c r="A24" s="30" t="s">
        <v>49</v>
      </c>
      <c r="B24" s="30" t="s">
        <v>48</v>
      </c>
      <c r="C24" s="78">
        <v>0.8773499793821159</v>
      </c>
      <c r="D24" s="23"/>
      <c r="E24" s="23">
        <v>0.60583452753279166</v>
      </c>
      <c r="F24" s="23">
        <v>0.28452822226316599</v>
      </c>
      <c r="G24" s="23">
        <v>0.28988568954840366</v>
      </c>
      <c r="H24" s="23">
        <v>0.21778530829720585</v>
      </c>
      <c r="I24" s="23">
        <v>0.26775544567117615</v>
      </c>
      <c r="J24" s="78">
        <v>0.13544199781765728</v>
      </c>
      <c r="K24" s="23">
        <v>0.11883481402721748</v>
      </c>
      <c r="L24" s="23">
        <v>8.0959792373649198E-2</v>
      </c>
      <c r="M24" s="23">
        <v>7.4564253338004649E-2</v>
      </c>
    </row>
    <row r="25" spans="1:13">
      <c r="A25" s="30"/>
      <c r="B25" s="29" t="s">
        <v>53</v>
      </c>
      <c r="C25" s="22">
        <v>0.81985642470116049</v>
      </c>
      <c r="D25" s="4"/>
      <c r="E25" s="4">
        <v>0.53221395806982441</v>
      </c>
      <c r="F25" s="4">
        <v>0.38261435028174018</v>
      </c>
      <c r="G25" s="4">
        <v>0.23864255223965172</v>
      </c>
      <c r="H25" s="4">
        <v>0.36857529775099124</v>
      </c>
      <c r="I25" s="4">
        <v>0.38923715856502261</v>
      </c>
      <c r="J25" s="22">
        <v>0.1350298376756032</v>
      </c>
      <c r="K25" s="90">
        <v>0.22217576210923659</v>
      </c>
      <c r="L25" s="90">
        <v>0.40633446531647388</v>
      </c>
      <c r="M25" s="90">
        <v>7.8349892441800142E-2</v>
      </c>
    </row>
    <row r="26" spans="1:13">
      <c r="A26" s="30"/>
      <c r="B26" s="29" t="s">
        <v>54</v>
      </c>
      <c r="C26" s="22">
        <v>0.88133156578455152</v>
      </c>
      <c r="D26" s="4"/>
      <c r="E26" s="4">
        <v>0.50206536878408914</v>
      </c>
      <c r="F26" s="4">
        <v>0.35917969352783713</v>
      </c>
      <c r="G26" s="4">
        <v>0.39246394793686062</v>
      </c>
      <c r="H26" s="4">
        <v>0.3367279837627245</v>
      </c>
      <c r="I26" s="4">
        <v>0.37884498256267174</v>
      </c>
      <c r="J26" s="22">
        <v>0.16323219962867352</v>
      </c>
      <c r="K26" s="90">
        <v>0.17682669724692116</v>
      </c>
      <c r="L26" s="90">
        <v>0.20860064697665651</v>
      </c>
      <c r="M26" s="90">
        <v>8.4217690645748605E-2</v>
      </c>
    </row>
    <row r="27" spans="1:13">
      <c r="A27" s="30"/>
      <c r="B27" s="29" t="s">
        <v>55</v>
      </c>
      <c r="C27" s="22">
        <v>0.92020702602572513</v>
      </c>
      <c r="D27" s="4"/>
      <c r="E27" s="4">
        <v>0.55729311194079778</v>
      </c>
      <c r="F27" s="4">
        <v>0.32358961664324964</v>
      </c>
      <c r="G27" s="4">
        <v>0.42005015740912854</v>
      </c>
      <c r="H27" s="4">
        <v>0.29521530676044772</v>
      </c>
      <c r="I27" s="4">
        <v>0.32914636298394601</v>
      </c>
      <c r="J27" s="22">
        <v>0.20989828603348964</v>
      </c>
      <c r="K27" s="90">
        <v>0.17860661783728266</v>
      </c>
      <c r="L27" s="90">
        <v>0.10887547039197949</v>
      </c>
      <c r="M27" s="90">
        <v>0.13190370461675102</v>
      </c>
    </row>
    <row r="28" spans="1:13">
      <c r="A28" s="30"/>
      <c r="B28" s="29" t="s">
        <v>56</v>
      </c>
      <c r="C28" s="22">
        <v>0.88795491604471199</v>
      </c>
      <c r="D28" s="4"/>
      <c r="E28" s="4">
        <v>0.57115814919661578</v>
      </c>
      <c r="F28" s="4">
        <v>0.26708602273837823</v>
      </c>
      <c r="G28" s="4">
        <v>0.3235065192913989</v>
      </c>
      <c r="H28" s="4">
        <v>0.23505512674041837</v>
      </c>
      <c r="I28" s="4">
        <v>0.2753612771875697</v>
      </c>
      <c r="J28" s="22">
        <v>0.14277350698958427</v>
      </c>
      <c r="K28" s="90">
        <v>0.10988589488455702</v>
      </c>
      <c r="L28" s="90">
        <v>5.2051037091219748E-2</v>
      </c>
      <c r="M28" s="90">
        <v>7.5461070680990935E-2</v>
      </c>
    </row>
    <row r="29" spans="1:13">
      <c r="A29" s="30"/>
      <c r="B29" s="29" t="s">
        <v>57</v>
      </c>
      <c r="C29" s="22">
        <v>0.90325367960492042</v>
      </c>
      <c r="D29" s="4"/>
      <c r="E29" s="4">
        <v>0.6581287405906372</v>
      </c>
      <c r="F29" s="4">
        <v>0.28811445904591443</v>
      </c>
      <c r="G29" s="4">
        <v>0.26410210802747341</v>
      </c>
      <c r="H29" s="4">
        <v>0.18895947968555168</v>
      </c>
      <c r="I29" s="4">
        <v>0.18934193161497276</v>
      </c>
      <c r="J29" s="22">
        <v>0.12043332064221005</v>
      </c>
      <c r="K29" s="90">
        <v>9.7621428126303714E-2</v>
      </c>
      <c r="L29" s="90">
        <v>5.5441524657246194E-2</v>
      </c>
      <c r="M29" s="90">
        <v>9.2995353738351702E-2</v>
      </c>
    </row>
    <row r="30" spans="1:13">
      <c r="A30" s="30"/>
      <c r="B30" s="29" t="s">
        <v>58</v>
      </c>
      <c r="C30" s="22">
        <v>0.87325812495110633</v>
      </c>
      <c r="D30" s="4"/>
      <c r="E30" s="4">
        <v>0.72036097904220486</v>
      </c>
      <c r="F30" s="4">
        <v>0.28157012127620523</v>
      </c>
      <c r="G30" s="4">
        <v>0.21456906679847301</v>
      </c>
      <c r="H30" s="4">
        <v>0.14718867045149986</v>
      </c>
      <c r="I30" s="4">
        <v>0.20748330831917991</v>
      </c>
      <c r="J30" s="22">
        <v>9.7106494666492751E-2</v>
      </c>
      <c r="K30" s="90">
        <v>5.5143934326042657E-2</v>
      </c>
      <c r="L30" s="90">
        <v>1.0548820442132239E-2</v>
      </c>
      <c r="M30" s="90">
        <v>5.0085252255348149E-2</v>
      </c>
    </row>
    <row r="31" spans="1:13">
      <c r="A31" s="30"/>
      <c r="B31" s="29" t="s">
        <v>59</v>
      </c>
      <c r="C31" s="22">
        <v>0.81769266188685452</v>
      </c>
      <c r="D31" s="4"/>
      <c r="E31" s="4">
        <v>0.64741129210987691</v>
      </c>
      <c r="F31" s="4">
        <v>0.19537323135743773</v>
      </c>
      <c r="G31" s="4">
        <v>0.14901646067531379</v>
      </c>
      <c r="H31" s="4">
        <v>9.2665473443173774E-2</v>
      </c>
      <c r="I31" s="4">
        <v>0.20917602434988053</v>
      </c>
      <c r="J31" s="22">
        <v>7.8468378851435608E-2</v>
      </c>
      <c r="K31" s="90">
        <v>7.3741965453548011E-2</v>
      </c>
      <c r="L31" s="90">
        <v>4.7807126530549993E-3</v>
      </c>
      <c r="M31" s="90">
        <v>1.5281870409876875E-2</v>
      </c>
    </row>
    <row r="32" spans="1:13">
      <c r="A32" s="30"/>
      <c r="B32" s="29"/>
      <c r="C32" s="22"/>
      <c r="D32" s="4"/>
      <c r="E32" s="4"/>
      <c r="F32" s="4"/>
      <c r="G32" s="4"/>
      <c r="J32" s="22"/>
    </row>
    <row r="33" spans="1:13">
      <c r="A33" s="30" t="s">
        <v>50</v>
      </c>
      <c r="B33" s="30" t="s">
        <v>48</v>
      </c>
      <c r="C33" s="78">
        <v>0.86443769586124619</v>
      </c>
      <c r="D33" s="23"/>
      <c r="E33" s="23">
        <v>0.64898907075557422</v>
      </c>
      <c r="F33" s="23">
        <v>0.30692033450922496</v>
      </c>
      <c r="G33" s="23">
        <v>0.30750975446150208</v>
      </c>
      <c r="H33" s="23">
        <v>0.21652181183301072</v>
      </c>
      <c r="I33" s="23">
        <v>0.14014627187735465</v>
      </c>
      <c r="J33" s="78">
        <v>0.19611539852159948</v>
      </c>
      <c r="K33" s="23">
        <v>8.1658127920013659E-2</v>
      </c>
      <c r="L33" s="23">
        <v>5.8420124674202059E-2</v>
      </c>
      <c r="M33" s="23">
        <v>5.7479929370464658E-2</v>
      </c>
    </row>
    <row r="34" spans="1:13">
      <c r="A34" s="30"/>
      <c r="B34" s="29" t="s">
        <v>53</v>
      </c>
      <c r="C34" s="22">
        <v>0.88504675958372225</v>
      </c>
      <c r="D34" s="4"/>
      <c r="E34" s="4">
        <v>0.63567431870779334</v>
      </c>
      <c r="F34" s="4">
        <v>0.37708011289184545</v>
      </c>
      <c r="G34" s="4">
        <v>0.29220680474573268</v>
      </c>
      <c r="H34" s="4">
        <v>0.42059845004378993</v>
      </c>
      <c r="I34" s="4">
        <v>0.32106464298055121</v>
      </c>
      <c r="J34" s="22">
        <v>0.20932172805412699</v>
      </c>
      <c r="K34" s="90">
        <v>0.1229646420444693</v>
      </c>
      <c r="L34" s="90">
        <v>0.34507628262880563</v>
      </c>
      <c r="M34" s="90">
        <v>7.7328726120223054E-2</v>
      </c>
    </row>
    <row r="35" spans="1:13">
      <c r="A35" s="29"/>
      <c r="B35" s="29" t="s">
        <v>54</v>
      </c>
      <c r="C35" s="22">
        <v>0.90036212964181495</v>
      </c>
      <c r="D35" s="4"/>
      <c r="E35" s="4">
        <v>0.63777240868099561</v>
      </c>
      <c r="F35" s="4">
        <v>0.39641405081174563</v>
      </c>
      <c r="G35" s="4">
        <v>0.45974332029306514</v>
      </c>
      <c r="H35" s="4">
        <v>0.3330277667798745</v>
      </c>
      <c r="I35" s="4">
        <v>0.25025985891577529</v>
      </c>
      <c r="J35" s="22">
        <v>0.27725499974413798</v>
      </c>
      <c r="K35" s="90">
        <v>0.13461098845216501</v>
      </c>
      <c r="L35" s="90">
        <v>0.16035716122734978</v>
      </c>
      <c r="M35" s="90">
        <v>6.5372572202369528E-2</v>
      </c>
    </row>
    <row r="36" spans="1:13">
      <c r="A36" s="29"/>
      <c r="B36" s="29" t="s">
        <v>55</v>
      </c>
      <c r="C36" s="22">
        <v>0.91694020598071568</v>
      </c>
      <c r="D36" s="4"/>
      <c r="E36" s="4">
        <v>0.66592015046478115</v>
      </c>
      <c r="F36" s="4">
        <v>0.36201030298361153</v>
      </c>
      <c r="G36" s="4">
        <v>0.42477468600356405</v>
      </c>
      <c r="H36" s="4">
        <v>0.29974299021366146</v>
      </c>
      <c r="I36" s="4">
        <v>0.18156392465026042</v>
      </c>
      <c r="J36" s="22">
        <v>0.2961760598221736</v>
      </c>
      <c r="K36" s="90">
        <v>0.10355994421467583</v>
      </c>
      <c r="L36" s="90">
        <v>6.4922253633144592E-2</v>
      </c>
      <c r="M36" s="90">
        <v>9.5997759625803342E-2</v>
      </c>
    </row>
    <row r="37" spans="1:13">
      <c r="A37" s="29"/>
      <c r="B37" s="29" t="s">
        <v>56</v>
      </c>
      <c r="C37" s="22">
        <v>0.89883807715386654</v>
      </c>
      <c r="D37" s="4"/>
      <c r="E37" s="4">
        <v>0.66455456185395079</v>
      </c>
      <c r="F37" s="4">
        <v>0.35278627543469426</v>
      </c>
      <c r="G37" s="4">
        <v>0.30002397712377282</v>
      </c>
      <c r="H37" s="4">
        <v>0.24303269225786145</v>
      </c>
      <c r="I37" s="4">
        <v>0.12347377839116846</v>
      </c>
      <c r="J37" s="22">
        <v>0.236508687958877</v>
      </c>
      <c r="K37" s="90">
        <v>6.4359395078738349E-2</v>
      </c>
      <c r="L37" s="90">
        <v>3.5656599539769088E-2</v>
      </c>
      <c r="M37" s="90">
        <v>6.5983362647346486E-2</v>
      </c>
    </row>
    <row r="38" spans="1:13">
      <c r="A38" s="29"/>
      <c r="B38" s="29" t="s">
        <v>57</v>
      </c>
      <c r="C38" s="22">
        <v>0.87860480728682355</v>
      </c>
      <c r="D38" s="4"/>
      <c r="E38" s="4">
        <v>0.69559132387504985</v>
      </c>
      <c r="F38" s="4">
        <v>0.32987162410834214</v>
      </c>
      <c r="G38" s="4">
        <v>0.27223334639461005</v>
      </c>
      <c r="H38" s="4">
        <v>0.19455772877403715</v>
      </c>
      <c r="I38" s="4">
        <v>0.11686814511869202</v>
      </c>
      <c r="J38" s="22">
        <v>0.16489534333232403</v>
      </c>
      <c r="K38" s="90">
        <v>6.2661473806892395E-2</v>
      </c>
      <c r="L38" s="90">
        <v>2.3921668820476898E-2</v>
      </c>
      <c r="M38" s="90">
        <v>6.7288786348470395E-2</v>
      </c>
    </row>
    <row r="39" spans="1:13">
      <c r="A39" s="29"/>
      <c r="B39" s="29" t="s">
        <v>58</v>
      </c>
      <c r="C39" s="22">
        <v>0.87649253703150365</v>
      </c>
      <c r="D39" s="4"/>
      <c r="E39" s="4">
        <v>0.71535387618562551</v>
      </c>
      <c r="F39" s="4">
        <v>0.28719100375636369</v>
      </c>
      <c r="G39" s="4">
        <v>0.23312797294439999</v>
      </c>
      <c r="H39" s="4">
        <v>0.13834777517568375</v>
      </c>
      <c r="I39" s="4">
        <v>8.9678451646930488E-2</v>
      </c>
      <c r="J39" s="22">
        <v>0.14031381417403552</v>
      </c>
      <c r="K39" s="90">
        <v>4.4025330170437131E-2</v>
      </c>
      <c r="L39" s="90">
        <v>1.1577489158687526E-2</v>
      </c>
      <c r="M39" s="90">
        <v>4.7697200640458418E-2</v>
      </c>
    </row>
    <row r="40" spans="1:13">
      <c r="A40" s="29"/>
      <c r="B40" s="29" t="s">
        <v>59</v>
      </c>
      <c r="C40" s="22">
        <v>0.75356774163465556</v>
      </c>
      <c r="D40" s="119"/>
      <c r="E40" s="4">
        <v>0.55931806838838816</v>
      </c>
      <c r="F40" s="4">
        <v>0.16091657773124748</v>
      </c>
      <c r="G40" s="4">
        <v>0.21035529721387952</v>
      </c>
      <c r="H40" s="4">
        <v>8.4360426776062036E-2</v>
      </c>
      <c r="I40" s="4">
        <v>7.04516636619896E-2</v>
      </c>
      <c r="J40" s="22">
        <v>9.0648847981864705E-2</v>
      </c>
      <c r="K40" s="90">
        <v>7.6975006838171642E-2</v>
      </c>
      <c r="L40" s="90">
        <v>9.8816696978783636E-3</v>
      </c>
      <c r="M40" s="90">
        <v>8.5197737594634136E-3</v>
      </c>
    </row>
    <row r="41" spans="1:13">
      <c r="A41" s="132"/>
      <c r="B41" s="132"/>
      <c r="C41" s="159" t="s">
        <v>138</v>
      </c>
      <c r="D41" s="159"/>
      <c r="E41" s="159"/>
      <c r="F41" s="159"/>
      <c r="G41" s="159"/>
      <c r="H41" s="159"/>
      <c r="I41" s="159"/>
      <c r="J41" s="159"/>
      <c r="K41" s="159"/>
      <c r="L41" s="159"/>
      <c r="M41" s="159"/>
    </row>
    <row r="42" spans="1:13" ht="17.25">
      <c r="A42" s="30" t="s">
        <v>136</v>
      </c>
      <c r="B42" s="30" t="s">
        <v>48</v>
      </c>
      <c r="C42" s="73">
        <v>5015652.8174780728</v>
      </c>
      <c r="D42" s="69"/>
      <c r="E42" s="69">
        <v>3616439.7502659829</v>
      </c>
      <c r="F42" s="69">
        <v>1704260.885684297</v>
      </c>
      <c r="G42" s="69">
        <v>1720791.5055661045</v>
      </c>
      <c r="H42" s="69">
        <v>1251408.6390856993</v>
      </c>
      <c r="I42" s="69">
        <v>1164654.2965056053</v>
      </c>
      <c r="J42" s="73">
        <v>958034.86305223685</v>
      </c>
      <c r="K42" s="73">
        <v>573924.81750240584</v>
      </c>
      <c r="L42" s="73">
        <v>399652.32975790382</v>
      </c>
      <c r="M42" s="73">
        <v>380144.11941679544</v>
      </c>
    </row>
    <row r="43" spans="1:13">
      <c r="A43" s="30"/>
      <c r="B43" s="29" t="s">
        <v>53</v>
      </c>
      <c r="C43" s="75">
        <v>203601.16935916879</v>
      </c>
      <c r="D43" s="39"/>
      <c r="E43" s="70">
        <v>140630.14485782615</v>
      </c>
      <c r="F43" s="70">
        <v>90041.35346572625</v>
      </c>
      <c r="G43" s="70">
        <v>64050.658948288197</v>
      </c>
      <c r="H43" s="70">
        <v>94674.790835138265</v>
      </c>
      <c r="I43" s="70">
        <v>82944.647271367328</v>
      </c>
      <c r="J43" s="75">
        <v>42328.382432868195</v>
      </c>
      <c r="K43" s="75">
        <v>38999.928954349227</v>
      </c>
      <c r="L43" s="75">
        <v>87959.288071550836</v>
      </c>
      <c r="M43" s="75">
        <v>18453.741903938233</v>
      </c>
    </row>
    <row r="44" spans="1:13">
      <c r="A44" s="30"/>
      <c r="B44" s="29" t="s">
        <v>54</v>
      </c>
      <c r="C44" s="75">
        <v>603392.94720027561</v>
      </c>
      <c r="D44" s="39"/>
      <c r="E44" s="70">
        <v>384141.77203620033</v>
      </c>
      <c r="F44" s="70">
        <v>255182.83465456302</v>
      </c>
      <c r="G44" s="70">
        <v>285046.28791781043</v>
      </c>
      <c r="H44" s="70">
        <v>227588.95690253546</v>
      </c>
      <c r="I44" s="70">
        <v>215233.62367118153</v>
      </c>
      <c r="J44" s="75">
        <v>144398.7168906451</v>
      </c>
      <c r="K44" s="75">
        <v>106050.234934269</v>
      </c>
      <c r="L44" s="75">
        <v>125968.26234292383</v>
      </c>
      <c r="M44" s="75">
        <v>52086.478094524195</v>
      </c>
    </row>
    <row r="45" spans="1:13">
      <c r="A45" s="30"/>
      <c r="B45" s="29" t="s">
        <v>55</v>
      </c>
      <c r="C45" s="75">
        <v>970562.02906688559</v>
      </c>
      <c r="D45" s="39"/>
      <c r="E45" s="70">
        <v>648605.27712346346</v>
      </c>
      <c r="F45" s="70">
        <v>362322.71932568448</v>
      </c>
      <c r="G45" s="70">
        <v>446395.10583157977</v>
      </c>
      <c r="H45" s="70">
        <v>314237.03073004447</v>
      </c>
      <c r="I45" s="70">
        <v>266025.86103735195</v>
      </c>
      <c r="J45" s="75">
        <v>268974.30100807315</v>
      </c>
      <c r="K45" s="75">
        <v>146603.20948035197</v>
      </c>
      <c r="L45" s="75">
        <v>90811.496963679936</v>
      </c>
      <c r="M45" s="75">
        <v>120188.81858720606</v>
      </c>
    </row>
    <row r="46" spans="1:13">
      <c r="A46" s="30"/>
      <c r="B46" s="29" t="s">
        <v>56</v>
      </c>
      <c r="C46" s="75">
        <v>896984.71225509129</v>
      </c>
      <c r="D46" s="39"/>
      <c r="E46" s="70">
        <v>619945.03251315921</v>
      </c>
      <c r="F46" s="70">
        <v>310159.86923929019</v>
      </c>
      <c r="G46" s="70">
        <v>313362.55190839479</v>
      </c>
      <c r="H46" s="70">
        <v>239891.05708753265</v>
      </c>
      <c r="I46" s="70">
        <v>200312.71513654763</v>
      </c>
      <c r="J46" s="75">
        <v>189343.63175129879</v>
      </c>
      <c r="K46" s="75">
        <v>87895.912821855571</v>
      </c>
      <c r="L46" s="75">
        <v>43935.122038469213</v>
      </c>
      <c r="M46" s="75">
        <v>70738.088196388489</v>
      </c>
    </row>
    <row r="47" spans="1:13">
      <c r="A47" s="30"/>
      <c r="B47" s="29" t="s">
        <v>57</v>
      </c>
      <c r="C47" s="75">
        <v>769097.39473074803</v>
      </c>
      <c r="D47" s="39"/>
      <c r="E47" s="70">
        <v>583124.64219792699</v>
      </c>
      <c r="F47" s="70">
        <v>267194.57851720089</v>
      </c>
      <c r="G47" s="70">
        <v>232015.33479264326</v>
      </c>
      <c r="H47" s="70">
        <v>165421.0465298772</v>
      </c>
      <c r="I47" s="70">
        <v>132030.66687302929</v>
      </c>
      <c r="J47" s="75">
        <v>124446.05458049646</v>
      </c>
      <c r="K47" s="75">
        <v>69026.010769876142</v>
      </c>
      <c r="L47" s="75">
        <v>33924.959117447252</v>
      </c>
      <c r="M47" s="75">
        <v>68651.858575592705</v>
      </c>
    </row>
    <row r="48" spans="1:13">
      <c r="A48" s="30"/>
      <c r="B48" s="29" t="s">
        <v>58</v>
      </c>
      <c r="C48" s="75">
        <v>652990.95993130421</v>
      </c>
      <c r="D48" s="39"/>
      <c r="E48" s="70">
        <v>535654.7486297437</v>
      </c>
      <c r="F48" s="70">
        <v>212107.4370758908</v>
      </c>
      <c r="G48" s="70">
        <v>166593.8788234611</v>
      </c>
      <c r="H48" s="70">
        <v>106227.74713023848</v>
      </c>
      <c r="I48" s="70">
        <v>110426.27523390949</v>
      </c>
      <c r="J48" s="75">
        <v>88897.264372451711</v>
      </c>
      <c r="K48" s="75">
        <v>36884.442123664347</v>
      </c>
      <c r="L48" s="75">
        <v>8233.6166885574694</v>
      </c>
      <c r="M48" s="75">
        <v>36378.621390068423</v>
      </c>
    </row>
    <row r="49" spans="1:13">
      <c r="A49" s="30"/>
      <c r="B49" s="29" t="s">
        <v>59</v>
      </c>
      <c r="C49" s="75">
        <v>919023.60493446316</v>
      </c>
      <c r="D49" s="39"/>
      <c r="E49" s="70">
        <v>704338.13290754764</v>
      </c>
      <c r="F49" s="70">
        <v>207252.09340595207</v>
      </c>
      <c r="G49" s="70">
        <v>213327.68734393077</v>
      </c>
      <c r="H49" s="70">
        <v>103368.00987033914</v>
      </c>
      <c r="I49" s="70">
        <v>157680.50728221907</v>
      </c>
      <c r="J49" s="75">
        <v>99646.512016408888</v>
      </c>
      <c r="K49" s="75">
        <v>88465.078418038873</v>
      </c>
      <c r="L49" s="75">
        <v>8819.5845352740325</v>
      </c>
      <c r="M49" s="75">
        <v>13646.512669076381</v>
      </c>
    </row>
    <row r="50" spans="1:13">
      <c r="A50" s="30"/>
      <c r="B50" s="30"/>
      <c r="C50" s="74"/>
      <c r="D50" s="39"/>
      <c r="E50" s="19"/>
      <c r="F50" s="19"/>
      <c r="G50" s="19"/>
      <c r="J50" s="76"/>
      <c r="K50" s="76"/>
      <c r="L50" s="76"/>
      <c r="M50" s="76"/>
    </row>
    <row r="51" spans="1:13">
      <c r="A51" s="30" t="s">
        <v>49</v>
      </c>
      <c r="B51" s="30" t="s">
        <v>48</v>
      </c>
      <c r="C51" s="77">
        <v>2468235.6042128541</v>
      </c>
      <c r="D51" s="40"/>
      <c r="E51" s="69">
        <v>1704385.2353778153</v>
      </c>
      <c r="F51" s="69">
        <v>800459.00164940523</v>
      </c>
      <c r="G51" s="69">
        <v>815531.08441293589</v>
      </c>
      <c r="H51" s="69">
        <v>612692.1578002536</v>
      </c>
      <c r="I51" s="69">
        <v>753272.39956500882</v>
      </c>
      <c r="J51" s="77">
        <v>381036.95124572527</v>
      </c>
      <c r="K51" s="77">
        <v>334316.20891877142</v>
      </c>
      <c r="L51" s="77">
        <v>227762.9757135828</v>
      </c>
      <c r="M51" s="77">
        <v>209770.5011858826</v>
      </c>
    </row>
    <row r="52" spans="1:13">
      <c r="A52" s="30"/>
      <c r="B52" s="29" t="s">
        <v>53</v>
      </c>
      <c r="C52" s="74">
        <v>81119.410643663738</v>
      </c>
      <c r="D52" s="39"/>
      <c r="E52" s="70">
        <v>52659.077021555735</v>
      </c>
      <c r="F52" s="70">
        <v>37857.177993056896</v>
      </c>
      <c r="G52" s="70">
        <v>23612.113790821993</v>
      </c>
      <c r="H52" s="70">
        <v>36468.105915339263</v>
      </c>
      <c r="I52" s="70">
        <v>38512.461392149205</v>
      </c>
      <c r="J52" s="74">
        <v>13360.315930374154</v>
      </c>
      <c r="K52" s="74">
        <v>21982.833016375334</v>
      </c>
      <c r="L52" s="74">
        <v>40204.127646734203</v>
      </c>
      <c r="M52" s="74">
        <v>7752.2074687527611</v>
      </c>
    </row>
    <row r="53" spans="1:13">
      <c r="A53" s="30"/>
      <c r="B53" s="29" t="s">
        <v>54</v>
      </c>
      <c r="C53" s="74">
        <v>321407.43637302861</v>
      </c>
      <c r="D53" s="39"/>
      <c r="E53" s="70">
        <v>183095.15889054275</v>
      </c>
      <c r="F53" s="70">
        <v>130987.05297281181</v>
      </c>
      <c r="G53" s="70">
        <v>143125.28482164937</v>
      </c>
      <c r="H53" s="70">
        <v>122799.27579797251</v>
      </c>
      <c r="I53" s="70">
        <v>138158.66735677447</v>
      </c>
      <c r="J53" s="74">
        <v>59528.155864336361</v>
      </c>
      <c r="K53" s="74">
        <v>64485.850332445698</v>
      </c>
      <c r="L53" s="74">
        <v>76073.298374192367</v>
      </c>
      <c r="M53" s="74">
        <v>30712.836233899157</v>
      </c>
    </row>
    <row r="54" spans="1:13">
      <c r="A54" s="30"/>
      <c r="B54" s="29" t="s">
        <v>55</v>
      </c>
      <c r="C54" s="74">
        <v>465225.36404006038</v>
      </c>
      <c r="D54" s="39"/>
      <c r="E54" s="70">
        <v>281748.43654413451</v>
      </c>
      <c r="F54" s="70">
        <v>163595.90064489559</v>
      </c>
      <c r="G54" s="70">
        <v>212363.06816710116</v>
      </c>
      <c r="H54" s="70">
        <v>149250.81495083898</v>
      </c>
      <c r="I54" s="70">
        <v>166405.2025368771</v>
      </c>
      <c r="J54" s="74">
        <v>106117.43202293813</v>
      </c>
      <c r="K54" s="74">
        <v>90297.429223270083</v>
      </c>
      <c r="L54" s="74">
        <v>55043.733546461168</v>
      </c>
      <c r="M54" s="74">
        <v>66686.025278017245</v>
      </c>
    </row>
    <row r="55" spans="1:13">
      <c r="A55" s="30"/>
      <c r="B55" s="29" t="s">
        <v>56</v>
      </c>
      <c r="C55" s="74">
        <v>449706.13616718882</v>
      </c>
      <c r="D55" s="39"/>
      <c r="E55" s="70">
        <v>289263.92519986822</v>
      </c>
      <c r="F55" s="70">
        <v>135266.12797522929</v>
      </c>
      <c r="G55" s="70">
        <v>163840.3754364771</v>
      </c>
      <c r="H55" s="70">
        <v>119044.03131588688</v>
      </c>
      <c r="I55" s="70">
        <v>139457.14334876076</v>
      </c>
      <c r="J55" s="74">
        <v>72307.862724971987</v>
      </c>
      <c r="K55" s="74">
        <v>55651.880872428985</v>
      </c>
      <c r="L55" s="74">
        <v>26361.327980539943</v>
      </c>
      <c r="M55" s="74">
        <v>38217.375582702211</v>
      </c>
    </row>
    <row r="56" spans="1:13">
      <c r="A56" s="30"/>
      <c r="B56" s="29" t="s">
        <v>57</v>
      </c>
      <c r="C56" s="74">
        <v>384156.93381922919</v>
      </c>
      <c r="D56" s="39"/>
      <c r="E56" s="70">
        <v>279904.44406957144</v>
      </c>
      <c r="F56" s="70">
        <v>122536.08224931436</v>
      </c>
      <c r="G56" s="70">
        <v>112323.54578329064</v>
      </c>
      <c r="H56" s="70">
        <v>80365.124406500152</v>
      </c>
      <c r="I56" s="70">
        <v>80527.78254325295</v>
      </c>
      <c r="J56" s="74">
        <v>51220.710451814324</v>
      </c>
      <c r="K56" s="74">
        <v>41518.733165259066</v>
      </c>
      <c r="L56" s="74">
        <v>23579.47340763301</v>
      </c>
      <c r="M56" s="74">
        <v>39551.247626453813</v>
      </c>
    </row>
    <row r="57" spans="1:13">
      <c r="A57" s="30"/>
      <c r="B57" s="29" t="s">
        <v>58</v>
      </c>
      <c r="C57" s="74">
        <v>323892.01208407833</v>
      </c>
      <c r="D57" s="39"/>
      <c r="E57" s="70">
        <v>267182.36024646187</v>
      </c>
      <c r="F57" s="70">
        <v>104434.54291136914</v>
      </c>
      <c r="G57" s="70">
        <v>79583.807800530427</v>
      </c>
      <c r="H57" s="70">
        <v>54592.374541245568</v>
      </c>
      <c r="I57" s="70">
        <v>76955.695326766087</v>
      </c>
      <c r="J57" s="74">
        <v>36016.862649543807</v>
      </c>
      <c r="K57" s="74">
        <v>20452.921459040819</v>
      </c>
      <c r="L57" s="74">
        <v>3912.5644302561368</v>
      </c>
      <c r="M57" s="74">
        <v>18576.652956571823</v>
      </c>
    </row>
    <row r="58" spans="1:13">
      <c r="A58" s="30"/>
      <c r="B58" s="29" t="s">
        <v>59</v>
      </c>
      <c r="C58" s="74">
        <v>442728.31108562223</v>
      </c>
      <c r="D58" s="39"/>
      <c r="E58" s="70">
        <v>350531.83340567548</v>
      </c>
      <c r="F58" s="70">
        <v>105782.11690272903</v>
      </c>
      <c r="G58" s="70">
        <v>80682.888613066243</v>
      </c>
      <c r="H58" s="70">
        <v>50172.43087247209</v>
      </c>
      <c r="I58" s="70">
        <v>113255.4470604286</v>
      </c>
      <c r="J58" s="74">
        <v>42485.611601746154</v>
      </c>
      <c r="K58" s="74">
        <v>39926.560849950642</v>
      </c>
      <c r="L58" s="74">
        <v>2588.4503277657827</v>
      </c>
      <c r="M58" s="74">
        <v>8274.1560394855514</v>
      </c>
    </row>
    <row r="59" spans="1:13">
      <c r="A59" s="30"/>
      <c r="B59" s="29"/>
      <c r="C59" s="74"/>
      <c r="D59" s="39"/>
      <c r="E59" s="19"/>
      <c r="F59" s="19"/>
      <c r="G59" s="19"/>
      <c r="J59" s="76"/>
      <c r="K59" s="76"/>
      <c r="L59" s="76"/>
      <c r="M59" s="76"/>
    </row>
    <row r="60" spans="1:13">
      <c r="A60" s="30" t="s">
        <v>50</v>
      </c>
      <c r="B60" s="30" t="s">
        <v>48</v>
      </c>
      <c r="C60" s="77">
        <v>2520330.142582594</v>
      </c>
      <c r="D60" s="40"/>
      <c r="E60" s="69">
        <v>1892174.2134374573</v>
      </c>
      <c r="F60" s="69">
        <v>894848.26279405563</v>
      </c>
      <c r="G60" s="69">
        <v>896566.75896732078</v>
      </c>
      <c r="H60" s="69">
        <v>631284.88207081461</v>
      </c>
      <c r="I60" s="69">
        <v>408606.5138924343</v>
      </c>
      <c r="J60" s="77">
        <v>571788.51950241986</v>
      </c>
      <c r="K60" s="77">
        <v>238080.13251739342</v>
      </c>
      <c r="L60" s="77">
        <v>170328.06627333644</v>
      </c>
      <c r="M60" s="77">
        <v>167586.85938790196</v>
      </c>
    </row>
    <row r="61" spans="1:13">
      <c r="A61" s="29"/>
      <c r="B61" s="29" t="s">
        <v>53</v>
      </c>
      <c r="C61" s="74">
        <v>122481.75871550491</v>
      </c>
      <c r="D61" s="39"/>
      <c r="E61" s="70">
        <v>87971.067836270377</v>
      </c>
      <c r="F61" s="70">
        <v>52184.175472669347</v>
      </c>
      <c r="G61" s="70">
        <v>40438.5451574662</v>
      </c>
      <c r="H61" s="70">
        <v>58206.684919799001</v>
      </c>
      <c r="I61" s="70">
        <v>44432.185879218101</v>
      </c>
      <c r="J61" s="74">
        <v>28968.066502494035</v>
      </c>
      <c r="K61" s="74">
        <v>17017.095937973896</v>
      </c>
      <c r="L61" s="74">
        <v>47755.160424816604</v>
      </c>
      <c r="M61" s="74">
        <v>10701.534435185473</v>
      </c>
    </row>
    <row r="62" spans="1:13">
      <c r="A62" s="29"/>
      <c r="B62" s="29" t="s">
        <v>54</v>
      </c>
      <c r="C62" s="74">
        <v>274015.99883148167</v>
      </c>
      <c r="D62" s="39"/>
      <c r="E62" s="70">
        <v>194099.50489744218</v>
      </c>
      <c r="F62" s="70">
        <v>120644.55901452372</v>
      </c>
      <c r="G62" s="70">
        <v>139918.1739977476</v>
      </c>
      <c r="H62" s="70">
        <v>101353.5922363909</v>
      </c>
      <c r="I62" s="70">
        <v>76164.0266183926</v>
      </c>
      <c r="J62" s="74">
        <v>84379.721430682242</v>
      </c>
      <c r="K62" s="74">
        <v>40967.476574216838</v>
      </c>
      <c r="L62" s="74">
        <v>48803.060742874339</v>
      </c>
      <c r="M62" s="74">
        <v>19895.473252902921</v>
      </c>
    </row>
    <row r="63" spans="1:13">
      <c r="A63" s="29"/>
      <c r="B63" s="29" t="s">
        <v>55</v>
      </c>
      <c r="C63" s="74">
        <v>498542.50249313109</v>
      </c>
      <c r="D63" s="39"/>
      <c r="E63" s="70">
        <v>362062.31999417476</v>
      </c>
      <c r="F63" s="70">
        <v>196825.83575306975</v>
      </c>
      <c r="G63" s="70">
        <v>230950.9754013388</v>
      </c>
      <c r="H63" s="70">
        <v>162970.95434490708</v>
      </c>
      <c r="I63" s="70">
        <v>98716.724130121525</v>
      </c>
      <c r="J63" s="74">
        <v>161031.60607334861</v>
      </c>
      <c r="K63" s="74">
        <v>56305.780257081846</v>
      </c>
      <c r="L63" s="74">
        <v>35298.378872092326</v>
      </c>
      <c r="M63" s="74">
        <v>52194.203073900972</v>
      </c>
    </row>
    <row r="64" spans="1:13">
      <c r="A64" s="29"/>
      <c r="B64" s="29" t="s">
        <v>56</v>
      </c>
      <c r="C64" s="74">
        <v>443003.41208110232</v>
      </c>
      <c r="D64" s="39"/>
      <c r="E64" s="70">
        <v>327533.89725941222</v>
      </c>
      <c r="F64" s="70">
        <v>173875.05906272322</v>
      </c>
      <c r="G64" s="70">
        <v>147870.51077412424</v>
      </c>
      <c r="H64" s="70">
        <v>119781.65439809102</v>
      </c>
      <c r="I64" s="70">
        <v>60855.571787786947</v>
      </c>
      <c r="J64" s="74">
        <v>116566.21856115646</v>
      </c>
      <c r="K64" s="74">
        <v>31720.320204543463</v>
      </c>
      <c r="L64" s="74">
        <v>17573.794057929244</v>
      </c>
      <c r="M64" s="74">
        <v>32520.712613686257</v>
      </c>
    </row>
    <row r="65" spans="1:13">
      <c r="A65" s="29"/>
      <c r="B65" s="29" t="s">
        <v>57</v>
      </c>
      <c r="C65" s="74">
        <v>379973.2178625958</v>
      </c>
      <c r="D65" s="39"/>
      <c r="E65" s="70">
        <v>300824.75244620658</v>
      </c>
      <c r="F65" s="70">
        <v>142660.7064455646</v>
      </c>
      <c r="G65" s="70">
        <v>117733.68388285393</v>
      </c>
      <c r="H65" s="70">
        <v>84141.044584764502</v>
      </c>
      <c r="I65" s="70">
        <v>50542.365347980034</v>
      </c>
      <c r="J65" s="74">
        <v>71312.851576609333</v>
      </c>
      <c r="K65" s="74">
        <v>27099.421310865779</v>
      </c>
      <c r="L65" s="74">
        <v>10345.485709814247</v>
      </c>
      <c r="M65" s="74">
        <v>29100.610949138889</v>
      </c>
    </row>
    <row r="66" spans="1:13">
      <c r="A66" s="29"/>
      <c r="B66" s="29" t="s">
        <v>58</v>
      </c>
      <c r="C66" s="74">
        <v>327132.24815954786</v>
      </c>
      <c r="D66" s="39"/>
      <c r="E66" s="70">
        <v>266990.66091174184</v>
      </c>
      <c r="F66" s="70">
        <v>107187.95054228693</v>
      </c>
      <c r="G66" s="70">
        <v>87010.071022930657</v>
      </c>
      <c r="H66" s="70">
        <v>51635.372588992628</v>
      </c>
      <c r="I66" s="70">
        <v>33470.57990714327</v>
      </c>
      <c r="J66" s="74">
        <v>52369.15494346468</v>
      </c>
      <c r="K66" s="74">
        <v>16431.520664623542</v>
      </c>
      <c r="L66" s="74">
        <v>4321.0522583013317</v>
      </c>
      <c r="M66" s="74">
        <v>17801.968433496611</v>
      </c>
    </row>
    <row r="67" spans="1:13">
      <c r="A67" s="29"/>
      <c r="B67" s="29" t="s">
        <v>59</v>
      </c>
      <c r="C67" s="74">
        <v>475181.00443921948</v>
      </c>
      <c r="D67" s="39"/>
      <c r="E67" s="70">
        <v>352692.0100922425</v>
      </c>
      <c r="F67" s="70">
        <v>101469.97650322379</v>
      </c>
      <c r="G67" s="70">
        <v>132644.79873086559</v>
      </c>
      <c r="H67" s="70">
        <v>53195.578997866782</v>
      </c>
      <c r="I67" s="70">
        <v>44425.060221790547</v>
      </c>
      <c r="J67" s="74">
        <v>57160.900414662385</v>
      </c>
      <c r="K67" s="74">
        <v>48538.517568088078</v>
      </c>
      <c r="L67" s="74">
        <v>6231.1342075082475</v>
      </c>
      <c r="M67" s="74">
        <v>5372.3566295908277</v>
      </c>
    </row>
    <row r="68" spans="1:13">
      <c r="A68" s="111"/>
      <c r="B68" s="111"/>
      <c r="C68" s="142"/>
      <c r="D68" s="97"/>
      <c r="E68" s="97"/>
      <c r="F68" s="97"/>
      <c r="G68" s="97"/>
      <c r="H68" s="97"/>
      <c r="I68" s="97"/>
      <c r="J68" s="97"/>
      <c r="K68" s="97"/>
      <c r="L68" s="97"/>
      <c r="M68" s="97"/>
    </row>
    <row r="69" spans="1:13">
      <c r="A69" s="115" t="s">
        <v>108</v>
      </c>
    </row>
    <row r="70" spans="1:13">
      <c r="A70" s="16" t="s">
        <v>112</v>
      </c>
    </row>
    <row r="71" spans="1:13">
      <c r="A71" s="16" t="s">
        <v>113</v>
      </c>
    </row>
    <row r="72" spans="1:13">
      <c r="A72" s="21" t="s">
        <v>111</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1" formatCode="\*\*0.0%"/>
            </x14:dxf>
          </x14:cfRule>
          <x14:cfRule type="expression" priority="4" id="{A8E4BA90-86F7-4D16-A1FA-E53F96B7178D}">
            <xm:f>C42&lt;'27'!$C$103</xm:f>
            <x14:dxf>
              <font>
                <color rgb="FF00B050"/>
              </font>
              <numFmt numFmtId="170"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69" formatCode="\*\*#,###,###,##0"/>
            </x14:dxf>
          </x14:cfRule>
          <x14:cfRule type="expression" priority="2" id="{2ECF344A-5978-490F-9B33-C99F11969352}">
            <xm:f>C42&lt;'27'!$C$103</xm:f>
            <x14:dxf>
              <font>
                <color rgb="FF00B050"/>
              </font>
              <numFmt numFmtId="168"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67"/>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61" customFormat="1">
      <c r="A1" s="24"/>
      <c r="B1" s="24"/>
      <c r="C1" s="107"/>
      <c r="D1" s="24"/>
      <c r="E1" s="24"/>
      <c r="F1" s="24"/>
      <c r="G1" s="24"/>
      <c r="H1" s="24"/>
      <c r="I1" s="24"/>
      <c r="J1" s="24"/>
      <c r="K1" s="24"/>
      <c r="L1" s="24"/>
    </row>
    <row r="2" spans="1:12" s="61" customFormat="1">
      <c r="A2" s="24"/>
      <c r="B2" s="24"/>
      <c r="C2" s="107"/>
      <c r="D2" s="24"/>
      <c r="E2" s="24"/>
      <c r="F2" s="24"/>
      <c r="G2" s="24"/>
      <c r="H2" s="24"/>
      <c r="I2" s="24"/>
      <c r="J2" s="24"/>
      <c r="K2" s="24"/>
      <c r="L2" s="24"/>
    </row>
    <row r="3" spans="1:12" s="61" customFormat="1">
      <c r="A3" s="24"/>
      <c r="B3" s="24"/>
      <c r="C3" s="107"/>
      <c r="D3" s="24"/>
      <c r="E3" s="24"/>
      <c r="F3" s="24"/>
      <c r="G3" s="24"/>
      <c r="H3" s="24"/>
      <c r="I3" s="24"/>
      <c r="J3" s="24"/>
      <c r="K3" s="24"/>
      <c r="L3" s="24"/>
    </row>
    <row r="4" spans="1:12" s="61" customFormat="1">
      <c r="A4" s="24"/>
      <c r="B4" s="24"/>
      <c r="C4" s="107"/>
      <c r="D4" s="24"/>
      <c r="E4" s="24"/>
      <c r="F4" s="24"/>
      <c r="G4" s="24"/>
      <c r="H4" s="24"/>
      <c r="I4" s="24"/>
      <c r="J4" s="24"/>
      <c r="K4" s="24"/>
      <c r="L4" s="24"/>
    </row>
    <row r="5" spans="1:12" s="61" customFormat="1">
      <c r="A5" s="24"/>
      <c r="B5" s="24"/>
      <c r="C5" s="107"/>
      <c r="D5" s="24"/>
      <c r="E5" s="24"/>
      <c r="F5" s="24"/>
      <c r="G5" s="24"/>
      <c r="H5" s="24"/>
      <c r="I5" s="24"/>
      <c r="J5" s="24"/>
      <c r="K5" s="24"/>
      <c r="L5" s="24"/>
    </row>
    <row r="6" spans="1:12" s="61" customFormat="1">
      <c r="A6" s="24"/>
      <c r="B6" s="24"/>
      <c r="C6" s="107"/>
      <c r="D6" s="24"/>
      <c r="E6" s="24"/>
      <c r="F6" s="24"/>
      <c r="G6" s="24"/>
      <c r="H6" s="24"/>
      <c r="I6" s="24"/>
      <c r="J6" s="24"/>
      <c r="K6" s="24"/>
      <c r="L6" s="24"/>
    </row>
    <row r="7" spans="1:12" s="61" customFormat="1">
      <c r="A7" s="24"/>
      <c r="B7" s="24"/>
      <c r="C7" s="107"/>
      <c r="D7" s="24"/>
      <c r="E7" s="24"/>
      <c r="F7" s="24"/>
      <c r="G7" s="24"/>
      <c r="H7" s="24"/>
      <c r="I7" s="24"/>
      <c r="J7" s="24"/>
      <c r="K7" s="24"/>
      <c r="L7" s="24"/>
    </row>
    <row r="8" spans="1:12" s="61" customFormat="1">
      <c r="A8" s="25" t="str">
        <f>Index!A8</f>
        <v>AusPlay survey results July 2024 - June 2025</v>
      </c>
      <c r="B8" s="24"/>
      <c r="C8" s="24"/>
      <c r="D8" s="24"/>
      <c r="E8" s="24"/>
      <c r="F8" s="24"/>
      <c r="G8" s="24"/>
      <c r="H8" s="24"/>
      <c r="I8" s="24"/>
      <c r="J8" s="24"/>
      <c r="K8" s="24"/>
      <c r="L8" s="24"/>
    </row>
    <row r="9" spans="1:12" s="61" customFormat="1">
      <c r="A9" s="24" t="s">
        <v>1</v>
      </c>
      <c r="B9" s="24"/>
      <c r="C9" s="133" t="s">
        <v>2</v>
      </c>
      <c r="D9" s="25"/>
      <c r="E9" s="24"/>
      <c r="F9" s="24"/>
      <c r="G9" s="24"/>
      <c r="H9" s="24"/>
      <c r="I9" s="24"/>
      <c r="J9" s="24"/>
      <c r="K9" s="24"/>
      <c r="L9" s="24"/>
    </row>
    <row r="10" spans="1:12" s="61" customFormat="1">
      <c r="A10" s="24" t="s">
        <v>40</v>
      </c>
      <c r="B10" s="24"/>
      <c r="C10" s="26">
        <v>8</v>
      </c>
      <c r="D10" s="26"/>
      <c r="E10" s="24"/>
      <c r="F10" s="24"/>
      <c r="G10" s="24"/>
      <c r="H10" s="24"/>
      <c r="I10" s="24"/>
      <c r="J10" s="24"/>
      <c r="K10" s="24"/>
      <c r="L10" s="24"/>
    </row>
    <row r="11" spans="1:12" s="61" customFormat="1">
      <c r="A11" s="24" t="s">
        <v>3</v>
      </c>
      <c r="B11" s="24"/>
      <c r="C11" s="25" t="s">
        <v>17</v>
      </c>
      <c r="D11" s="25"/>
      <c r="E11" s="24"/>
      <c r="F11" s="95" t="s">
        <v>137</v>
      </c>
      <c r="G11" s="24"/>
      <c r="H11" s="24"/>
      <c r="I11" s="24"/>
      <c r="J11" s="24"/>
      <c r="K11" s="24"/>
      <c r="L11" s="24"/>
    </row>
    <row r="12" spans="1:12" s="61" customFormat="1">
      <c r="A12" s="109" t="s">
        <v>41</v>
      </c>
      <c r="B12" s="109"/>
      <c r="C12" s="110" t="s">
        <v>114</v>
      </c>
      <c r="D12" s="143"/>
      <c r="E12" s="109"/>
      <c r="F12" s="109"/>
      <c r="G12" s="109"/>
      <c r="H12" s="109"/>
      <c r="I12" s="109"/>
      <c r="J12" s="109"/>
      <c r="K12" s="109"/>
      <c r="L12" s="109"/>
    </row>
    <row r="13" spans="1:12" s="8" customFormat="1" ht="50.1" customHeight="1">
      <c r="A13" s="88"/>
      <c r="B13" s="88"/>
      <c r="C13" s="32" t="s">
        <v>48</v>
      </c>
      <c r="D13" s="55"/>
      <c r="E13" s="55" t="s">
        <v>156</v>
      </c>
      <c r="F13" s="55" t="s">
        <v>157</v>
      </c>
      <c r="G13" s="55" t="s">
        <v>144</v>
      </c>
      <c r="H13" s="55" t="s">
        <v>158</v>
      </c>
      <c r="I13" s="55" t="s">
        <v>159</v>
      </c>
      <c r="J13" s="55" t="s">
        <v>160</v>
      </c>
      <c r="K13" s="55" t="s">
        <v>161</v>
      </c>
      <c r="L13" s="55" t="s">
        <v>162</v>
      </c>
    </row>
    <row r="14" spans="1:12">
      <c r="A14" s="57"/>
      <c r="B14" s="57"/>
      <c r="C14" s="160" t="s">
        <v>135</v>
      </c>
      <c r="D14" s="160"/>
      <c r="E14" s="160"/>
      <c r="F14" s="160"/>
      <c r="G14" s="160"/>
      <c r="H14" s="160"/>
      <c r="I14" s="160"/>
      <c r="J14" s="160"/>
      <c r="K14" s="160"/>
      <c r="L14" s="160"/>
    </row>
    <row r="15" spans="1:12" ht="17.25">
      <c r="A15" s="30" t="s">
        <v>136</v>
      </c>
      <c r="B15" s="30" t="s">
        <v>48</v>
      </c>
      <c r="C15" s="78">
        <v>0.73214143016863809</v>
      </c>
      <c r="D15" s="78"/>
      <c r="E15" s="78">
        <v>0.16234612904909165</v>
      </c>
      <c r="F15" s="78">
        <v>0.11891082296667946</v>
      </c>
      <c r="G15" s="78">
        <v>0.20081420871507535</v>
      </c>
      <c r="H15" s="78">
        <v>0.14240244605929031</v>
      </c>
      <c r="I15" s="78">
        <v>0.29566526009661825</v>
      </c>
      <c r="J15" s="78">
        <v>0.1779734285463862</v>
      </c>
      <c r="K15" s="78">
        <v>0.12133397797097145</v>
      </c>
      <c r="L15" s="78">
        <v>0.15038405244280761</v>
      </c>
    </row>
    <row r="16" spans="1:12">
      <c r="A16" s="30"/>
      <c r="B16" s="29" t="s">
        <v>115</v>
      </c>
      <c r="C16" s="22">
        <v>0.49966693126775974</v>
      </c>
      <c r="D16" s="22"/>
      <c r="E16" s="22">
        <v>0.11150202538175623</v>
      </c>
      <c r="F16" s="22">
        <v>9.8760909374136646E-2</v>
      </c>
      <c r="G16" s="22">
        <v>0.16187359984256822</v>
      </c>
      <c r="H16" s="22">
        <v>7.4227715068097902E-2</v>
      </c>
      <c r="I16" s="22">
        <v>9.8060483903844933E-2</v>
      </c>
      <c r="J16" s="22">
        <v>0.13290477234141113</v>
      </c>
      <c r="K16" s="22">
        <v>5.9995076709941239E-2</v>
      </c>
      <c r="L16" s="22">
        <v>6.5457928225068893E-2</v>
      </c>
    </row>
    <row r="17" spans="1:12">
      <c r="A17" s="30"/>
      <c r="B17" s="29" t="s">
        <v>116</v>
      </c>
      <c r="C17" s="22">
        <v>0.82201643120887102</v>
      </c>
      <c r="D17" s="22"/>
      <c r="E17" s="22">
        <v>0.14030567263944982</v>
      </c>
      <c r="F17" s="22">
        <v>0.11194927886597753</v>
      </c>
      <c r="G17" s="22">
        <v>0.26936484316400489</v>
      </c>
      <c r="H17" s="22">
        <v>0.15340182364108274</v>
      </c>
      <c r="I17" s="22">
        <v>0.32500187388062679</v>
      </c>
      <c r="J17" s="22">
        <v>0.23362003871063694</v>
      </c>
      <c r="K17" s="22">
        <v>0.13168052220953638</v>
      </c>
      <c r="L17" s="22">
        <v>0.15655240902091108</v>
      </c>
    </row>
    <row r="18" spans="1:12">
      <c r="A18" s="30"/>
      <c r="B18" s="29" t="s">
        <v>117</v>
      </c>
      <c r="C18" s="22">
        <v>0.85018509064963943</v>
      </c>
      <c r="D18" s="22"/>
      <c r="E18" s="22">
        <v>0.23289397733190526</v>
      </c>
      <c r="F18" s="22">
        <v>0.14399315057623657</v>
      </c>
      <c r="G18" s="22">
        <v>0.21745909453412446</v>
      </c>
      <c r="H18" s="22">
        <v>0.18339856229433599</v>
      </c>
      <c r="I18" s="22">
        <v>0.41341775270056169</v>
      </c>
      <c r="J18" s="22">
        <v>0.19722074785693519</v>
      </c>
      <c r="K18" s="22">
        <v>0.16207030316259494</v>
      </c>
      <c r="L18" s="22">
        <v>0.19585002265784321</v>
      </c>
    </row>
    <row r="19" spans="1:12">
      <c r="A19" s="30"/>
      <c r="B19" s="29" t="s">
        <v>118</v>
      </c>
      <c r="C19" s="22">
        <v>0.84408334484306835</v>
      </c>
      <c r="D19" s="22"/>
      <c r="E19" s="22">
        <v>0.19781547547916048</v>
      </c>
      <c r="F19" s="22">
        <v>0.1334351840476965</v>
      </c>
      <c r="G19" s="22">
        <v>0.1533942069441683</v>
      </c>
      <c r="H19" s="22">
        <v>0.18896546046866677</v>
      </c>
      <c r="I19" s="22">
        <v>0.43495099085859329</v>
      </c>
      <c r="J19" s="22">
        <v>0.15374175539716564</v>
      </c>
      <c r="K19" s="22">
        <v>0.15895043641834097</v>
      </c>
      <c r="L19" s="22">
        <v>0.22350732698931164</v>
      </c>
    </row>
    <row r="20" spans="1:12">
      <c r="A20" s="30"/>
      <c r="B20" s="30"/>
      <c r="C20" s="22"/>
      <c r="D20" s="22"/>
      <c r="E20" s="22"/>
      <c r="F20" s="22"/>
      <c r="G20" s="22"/>
      <c r="H20" s="22"/>
      <c r="I20" s="22"/>
      <c r="J20" s="22"/>
      <c r="K20" s="22"/>
      <c r="L20" s="22"/>
    </row>
    <row r="21" spans="1:12">
      <c r="A21" s="30" t="s">
        <v>49</v>
      </c>
      <c r="B21" s="30" t="s">
        <v>48</v>
      </c>
      <c r="C21" s="78">
        <v>0.73432867500590415</v>
      </c>
      <c r="D21" s="78"/>
      <c r="E21" s="78">
        <v>0.17448139496122206</v>
      </c>
      <c r="F21" s="78">
        <v>0.12995240809242428</v>
      </c>
      <c r="G21" s="78">
        <v>0.19887492908150231</v>
      </c>
      <c r="H21" s="78">
        <v>0.16649166363149384</v>
      </c>
      <c r="I21" s="78">
        <v>0.32315120272981906</v>
      </c>
      <c r="J21" s="78">
        <v>0.14823441749696004</v>
      </c>
      <c r="K21" s="78">
        <v>0.11327297158514586</v>
      </c>
      <c r="L21" s="78">
        <v>0.15903373268709795</v>
      </c>
    </row>
    <row r="22" spans="1:12">
      <c r="A22" s="30"/>
      <c r="B22" s="29" t="s">
        <v>115</v>
      </c>
      <c r="C22" s="22">
        <v>0.47976558705708089</v>
      </c>
      <c r="D22" s="22"/>
      <c r="E22" s="22">
        <v>0.10157533411529646</v>
      </c>
      <c r="F22" s="22">
        <v>9.3280273861957502E-2</v>
      </c>
      <c r="G22" s="22">
        <v>0.15583288932700215</v>
      </c>
      <c r="H22" s="22">
        <v>7.5052411941132616E-2</v>
      </c>
      <c r="I22" s="22">
        <v>0.11478136622696553</v>
      </c>
      <c r="J22" s="22">
        <v>0.12172604692723719</v>
      </c>
      <c r="K22" s="22">
        <v>5.3949786022928367E-2</v>
      </c>
      <c r="L22" s="22">
        <v>6.5355264209761704E-2</v>
      </c>
    </row>
    <row r="23" spans="1:12">
      <c r="A23" s="30"/>
      <c r="B23" s="29" t="s">
        <v>116</v>
      </c>
      <c r="C23" s="22">
        <v>0.8251026345763316</v>
      </c>
      <c r="D23" s="22"/>
      <c r="E23" s="22">
        <v>0.14685839901061115</v>
      </c>
      <c r="F23" s="22">
        <v>0.12448968768507862</v>
      </c>
      <c r="G23" s="22">
        <v>0.23950978486382732</v>
      </c>
      <c r="H23" s="22">
        <v>0.18740012325683031</v>
      </c>
      <c r="I23" s="22">
        <v>0.3588066644763484</v>
      </c>
      <c r="J23" s="22">
        <v>0.18578472759549788</v>
      </c>
      <c r="K23" s="22">
        <v>0.11844159167383447</v>
      </c>
      <c r="L23" s="22">
        <v>0.17348411542355768</v>
      </c>
    </row>
    <row r="24" spans="1:12">
      <c r="A24" s="30"/>
      <c r="B24" s="29" t="s">
        <v>117</v>
      </c>
      <c r="C24" s="22">
        <v>0.87466939261408116</v>
      </c>
      <c r="D24" s="22"/>
      <c r="E24" s="22">
        <v>0.25677134907122917</v>
      </c>
      <c r="F24" s="22">
        <v>0.17782096981275483</v>
      </c>
      <c r="G24" s="22">
        <v>0.25491327648621837</v>
      </c>
      <c r="H24" s="22">
        <v>0.23922161439614695</v>
      </c>
      <c r="I24" s="22">
        <v>0.44381440252028642</v>
      </c>
      <c r="J24" s="22">
        <v>0.16374493109511495</v>
      </c>
      <c r="K24" s="22">
        <v>0.14488230837186769</v>
      </c>
      <c r="L24" s="22">
        <v>0.18820443843053505</v>
      </c>
    </row>
    <row r="25" spans="1:12">
      <c r="A25" s="30"/>
      <c r="B25" s="29" t="s">
        <v>118</v>
      </c>
      <c r="C25" s="22">
        <v>0.85830894695518234</v>
      </c>
      <c r="D25" s="22"/>
      <c r="E25" s="22">
        <v>0.23496996737959167</v>
      </c>
      <c r="F25" s="22">
        <v>0.14482242706556495</v>
      </c>
      <c r="G25" s="22">
        <v>0.16174341587856439</v>
      </c>
      <c r="H25" s="22">
        <v>0.20481211640865213</v>
      </c>
      <c r="I25" s="22">
        <v>0.46443845694611896</v>
      </c>
      <c r="J25" s="22">
        <v>0.12767232997777184</v>
      </c>
      <c r="K25" s="22">
        <v>0.16172819797848861</v>
      </c>
      <c r="L25" s="22">
        <v>0.24665569776541638</v>
      </c>
    </row>
    <row r="26" spans="1:12">
      <c r="A26" s="30"/>
      <c r="B26" s="29"/>
      <c r="C26" s="22"/>
      <c r="D26" s="22"/>
      <c r="E26" s="22"/>
      <c r="F26" s="22"/>
      <c r="G26" s="22"/>
      <c r="H26" s="22"/>
      <c r="I26" s="22"/>
      <c r="J26" s="22"/>
      <c r="K26" s="22"/>
      <c r="L26" s="22"/>
    </row>
    <row r="27" spans="1:12">
      <c r="A27" s="30" t="s">
        <v>50</v>
      </c>
      <c r="B27" s="30" t="s">
        <v>48</v>
      </c>
      <c r="C27" s="78">
        <v>0.73189895947072492</v>
      </c>
      <c r="D27" s="78"/>
      <c r="E27" s="78">
        <v>0.14816879479726991</v>
      </c>
      <c r="F27" s="78">
        <v>0.10683679568599275</v>
      </c>
      <c r="G27" s="78">
        <v>0.20393589593559597</v>
      </c>
      <c r="H27" s="78">
        <v>0.11553235476536385</v>
      </c>
      <c r="I27" s="78">
        <v>0.26560770868825589</v>
      </c>
      <c r="J27" s="78">
        <v>0.21274298692936744</v>
      </c>
      <c r="K27" s="78">
        <v>0.13003829625040836</v>
      </c>
      <c r="L27" s="78">
        <v>0.14118401661315255</v>
      </c>
    </row>
    <row r="28" spans="1:12">
      <c r="A28" s="30"/>
      <c r="B28" s="29" t="s">
        <v>115</v>
      </c>
      <c r="C28" s="22">
        <v>0.52100405871336897</v>
      </c>
      <c r="D28" s="22"/>
      <c r="E28" s="22">
        <v>0.11997316415901571</v>
      </c>
      <c r="F28" s="22">
        <v>0.10544096250951113</v>
      </c>
      <c r="G28" s="22">
        <v>0.16941651193441509</v>
      </c>
      <c r="H28" s="22">
        <v>7.3525345492205629E-2</v>
      </c>
      <c r="I28" s="22">
        <v>7.9037740791881084E-2</v>
      </c>
      <c r="J28" s="22">
        <v>0.14629697227696786</v>
      </c>
      <c r="K28" s="22">
        <v>6.3798046731197891E-2</v>
      </c>
      <c r="L28" s="22">
        <v>6.5799260864989245E-2</v>
      </c>
    </row>
    <row r="29" spans="1:12">
      <c r="A29" s="29"/>
      <c r="B29" s="29" t="s">
        <v>116</v>
      </c>
      <c r="C29" s="22">
        <v>0.82368094713815931</v>
      </c>
      <c r="D29" s="22"/>
      <c r="E29" s="22">
        <v>0.13431513118640398</v>
      </c>
      <c r="F29" s="22">
        <v>9.9555669021472754E-2</v>
      </c>
      <c r="G29" s="22">
        <v>0.30205050535177635</v>
      </c>
      <c r="H29" s="22">
        <v>0.11891075049494025</v>
      </c>
      <c r="I29" s="22">
        <v>0.29173062084390805</v>
      </c>
      <c r="J29" s="22">
        <v>0.28481587600487607</v>
      </c>
      <c r="K29" s="22">
        <v>0.14624725231704186</v>
      </c>
      <c r="L29" s="22">
        <v>0.139850961424307</v>
      </c>
    </row>
    <row r="30" spans="1:12">
      <c r="A30" s="29"/>
      <c r="B30" s="29" t="s">
        <v>117</v>
      </c>
      <c r="C30" s="22">
        <v>0.82780858584886241</v>
      </c>
      <c r="D30" s="22"/>
      <c r="E30" s="22">
        <v>0.20782074192276404</v>
      </c>
      <c r="F30" s="22">
        <v>0.10745702489670246</v>
      </c>
      <c r="G30" s="22">
        <v>0.17732273427874512</v>
      </c>
      <c r="H30" s="22">
        <v>0.12281054508975833</v>
      </c>
      <c r="I30" s="22">
        <v>0.38213643242212686</v>
      </c>
      <c r="J30" s="22">
        <v>0.23522929730819367</v>
      </c>
      <c r="K30" s="22">
        <v>0.1819172198668548</v>
      </c>
      <c r="L30" s="22">
        <v>0.20535325323804349</v>
      </c>
    </row>
    <row r="31" spans="1:12">
      <c r="A31" s="29"/>
      <c r="B31" s="29" t="s">
        <v>118</v>
      </c>
      <c r="C31" s="108">
        <v>0.82821936434618981</v>
      </c>
      <c r="D31" s="108"/>
      <c r="E31" s="108">
        <v>0.14993458599257314</v>
      </c>
      <c r="F31" s="108">
        <v>0.11899439115654224</v>
      </c>
      <c r="G31" s="108">
        <v>0.14298461000614021</v>
      </c>
      <c r="H31" s="108">
        <v>0.16887996141225461</v>
      </c>
      <c r="I31" s="108">
        <v>0.39784358381620616</v>
      </c>
      <c r="J31" s="108">
        <v>0.18827721063825623</v>
      </c>
      <c r="K31" s="108">
        <v>0.15583389975528311</v>
      </c>
      <c r="L31" s="108">
        <v>0.19399820616967089</v>
      </c>
    </row>
    <row r="32" spans="1:12">
      <c r="A32" s="132"/>
      <c r="B32" s="132"/>
      <c r="C32" s="159" t="s">
        <v>138</v>
      </c>
      <c r="D32" s="159"/>
      <c r="E32" s="159"/>
      <c r="F32" s="159"/>
      <c r="G32" s="159"/>
      <c r="H32" s="159"/>
      <c r="I32" s="159"/>
      <c r="J32" s="159"/>
      <c r="K32" s="159"/>
      <c r="L32" s="159"/>
    </row>
    <row r="33" spans="1:13" ht="17.25">
      <c r="A33" s="30" t="s">
        <v>136</v>
      </c>
      <c r="B33" s="30" t="s">
        <v>48</v>
      </c>
      <c r="C33" s="73">
        <v>895893.5630438556</v>
      </c>
      <c r="D33" s="73"/>
      <c r="E33" s="73">
        <v>198656.77040932819</v>
      </c>
      <c r="F33" s="73">
        <v>145506.64186229379</v>
      </c>
      <c r="G33" s="73">
        <v>245728.69331290558</v>
      </c>
      <c r="H33" s="73">
        <v>174252.44567409941</v>
      </c>
      <c r="I33" s="73">
        <v>361794.30970766855</v>
      </c>
      <c r="J33" s="73">
        <v>217779.30118068459</v>
      </c>
      <c r="K33" s="73">
        <v>148471.76428420437</v>
      </c>
      <c r="L33" s="73">
        <v>184019.23319231955</v>
      </c>
      <c r="M33" s="38"/>
    </row>
    <row r="34" spans="1:13">
      <c r="A34" s="30"/>
      <c r="B34" s="29" t="s">
        <v>115</v>
      </c>
      <c r="C34" s="75">
        <v>190197.738600613</v>
      </c>
      <c r="D34" s="75"/>
      <c r="E34" s="75">
        <v>42443.139119073749</v>
      </c>
      <c r="F34" s="75">
        <v>37593.245519453667</v>
      </c>
      <c r="G34" s="75">
        <v>61617.030670974018</v>
      </c>
      <c r="H34" s="75">
        <v>28254.708614842064</v>
      </c>
      <c r="I34" s="75">
        <v>37326.629235342669</v>
      </c>
      <c r="J34" s="75">
        <v>50590.074240914117</v>
      </c>
      <c r="K34" s="75">
        <v>22837.068461683491</v>
      </c>
      <c r="L34" s="75">
        <v>24916.497656351217</v>
      </c>
      <c r="M34" s="38"/>
    </row>
    <row r="35" spans="1:13">
      <c r="A35" s="30"/>
      <c r="B35" s="29" t="s">
        <v>116</v>
      </c>
      <c r="C35" s="75">
        <v>275470.32591391803</v>
      </c>
      <c r="D35" s="75"/>
      <c r="E35" s="75">
        <v>47018.584911643826</v>
      </c>
      <c r="F35" s="75">
        <v>37515.922023221618</v>
      </c>
      <c r="G35" s="75">
        <v>90268.294305281845</v>
      </c>
      <c r="H35" s="75">
        <v>51407.306167899384</v>
      </c>
      <c r="I35" s="75">
        <v>108913.11745297893</v>
      </c>
      <c r="J35" s="75">
        <v>78289.661569172284</v>
      </c>
      <c r="K35" s="75">
        <v>44128.16458696653</v>
      </c>
      <c r="L35" s="75">
        <v>52463.115697308182</v>
      </c>
      <c r="M35" s="38"/>
    </row>
    <row r="36" spans="1:13">
      <c r="A36" s="30"/>
      <c r="B36" s="29" t="s">
        <v>117</v>
      </c>
      <c r="C36" s="75">
        <v>211466.21785010039</v>
      </c>
      <c r="D36" s="75"/>
      <c r="E36" s="75">
        <v>57927.631392374744</v>
      </c>
      <c r="F36" s="75">
        <v>35815.362188261475</v>
      </c>
      <c r="G36" s="75">
        <v>54088.518799007288</v>
      </c>
      <c r="H36" s="75">
        <v>45616.655424873286</v>
      </c>
      <c r="I36" s="75">
        <v>102829.242146406</v>
      </c>
      <c r="J36" s="75">
        <v>49054.642441455362</v>
      </c>
      <c r="K36" s="75">
        <v>40311.685552407245</v>
      </c>
      <c r="L36" s="75">
        <v>48713.702478202984</v>
      </c>
      <c r="M36" s="38"/>
    </row>
    <row r="37" spans="1:13">
      <c r="A37" s="30"/>
      <c r="B37" s="29" t="s">
        <v>118</v>
      </c>
      <c r="C37" s="75">
        <v>218759.28067922179</v>
      </c>
      <c r="D37" s="75"/>
      <c r="E37" s="75">
        <v>51267.414986235584</v>
      </c>
      <c r="F37" s="75">
        <v>34582.112131356749</v>
      </c>
      <c r="G37" s="75">
        <v>39754.849537642214</v>
      </c>
      <c r="H37" s="75">
        <v>48973.775466484294</v>
      </c>
      <c r="I37" s="75">
        <v>112725.32087294153</v>
      </c>
      <c r="J37" s="75">
        <v>39844.922929142442</v>
      </c>
      <c r="K37" s="75">
        <v>41194.845683146879</v>
      </c>
      <c r="L37" s="75">
        <v>57925.917360456675</v>
      </c>
      <c r="M37" s="38"/>
    </row>
    <row r="38" spans="1:13">
      <c r="A38" s="30"/>
      <c r="B38" s="30"/>
      <c r="C38" s="74"/>
      <c r="D38" s="75"/>
      <c r="E38" s="75"/>
      <c r="F38" s="75"/>
      <c r="G38" s="75"/>
      <c r="H38" s="75"/>
      <c r="I38" s="75"/>
      <c r="J38" s="76"/>
      <c r="K38" s="75"/>
      <c r="L38" s="75"/>
      <c r="M38" s="38"/>
    </row>
    <row r="39" spans="1:13">
      <c r="A39" s="30" t="s">
        <v>49</v>
      </c>
      <c r="B39" s="30" t="s">
        <v>48</v>
      </c>
      <c r="C39" s="77">
        <v>478087.93086315016</v>
      </c>
      <c r="D39" s="77"/>
      <c r="E39" s="77">
        <v>113596.88369851012</v>
      </c>
      <c r="F39" s="77">
        <v>84606.089902578417</v>
      </c>
      <c r="G39" s="77">
        <v>129478.40194905463</v>
      </c>
      <c r="H39" s="77">
        <v>108395.13378788388</v>
      </c>
      <c r="I39" s="77">
        <v>210389.01942348279</v>
      </c>
      <c r="J39" s="77">
        <v>96508.672963446734</v>
      </c>
      <c r="K39" s="77">
        <v>73746.869012608528</v>
      </c>
      <c r="L39" s="77">
        <v>103539.61486960409</v>
      </c>
      <c r="M39" s="38"/>
    </row>
    <row r="40" spans="1:13">
      <c r="A40" s="30"/>
      <c r="B40" s="29" t="s">
        <v>115</v>
      </c>
      <c r="C40" s="74">
        <v>97826.679183964618</v>
      </c>
      <c r="D40" s="74"/>
      <c r="E40" s="74">
        <v>20711.734837953016</v>
      </c>
      <c r="F40" s="74">
        <v>19020.32924299837</v>
      </c>
      <c r="G40" s="74">
        <v>31775.130359004157</v>
      </c>
      <c r="H40" s="74">
        <v>15303.574126658639</v>
      </c>
      <c r="I40" s="74">
        <v>23404.512939454653</v>
      </c>
      <c r="J40" s="74">
        <v>24820.569174475357</v>
      </c>
      <c r="K40" s="74">
        <v>11000.639795118581</v>
      </c>
      <c r="L40" s="74">
        <v>13326.275659014551</v>
      </c>
      <c r="M40" s="38"/>
    </row>
    <row r="41" spans="1:13">
      <c r="A41" s="30"/>
      <c r="B41" s="29" t="s">
        <v>116</v>
      </c>
      <c r="C41" s="74">
        <v>140638.56968061137</v>
      </c>
      <c r="D41" s="74"/>
      <c r="E41" s="74">
        <v>25031.983073284122</v>
      </c>
      <c r="F41" s="74">
        <v>21219.240955405989</v>
      </c>
      <c r="G41" s="74">
        <v>40824.392210377104</v>
      </c>
      <c r="H41" s="74">
        <v>31942.311402682451</v>
      </c>
      <c r="I41" s="74">
        <v>61158.520127299802</v>
      </c>
      <c r="J41" s="74">
        <v>31666.967553617287</v>
      </c>
      <c r="K41" s="74">
        <v>20188.344268536064</v>
      </c>
      <c r="L41" s="74">
        <v>29570.33080860693</v>
      </c>
      <c r="M41" s="38"/>
    </row>
    <row r="42" spans="1:13">
      <c r="A42" s="30"/>
      <c r="B42" s="29" t="s">
        <v>117</v>
      </c>
      <c r="C42" s="74">
        <v>113824.17909498287</v>
      </c>
      <c r="D42" s="74"/>
      <c r="E42" s="74">
        <v>33414.668753636499</v>
      </c>
      <c r="F42" s="74">
        <v>23140.544399660866</v>
      </c>
      <c r="G42" s="74">
        <v>33172.870437068377</v>
      </c>
      <c r="H42" s="74">
        <v>31130.852537367733</v>
      </c>
      <c r="I42" s="74">
        <v>57755.319282894772</v>
      </c>
      <c r="J42" s="74">
        <v>21308.773943904827</v>
      </c>
      <c r="K42" s="74">
        <v>18854.106425889488</v>
      </c>
      <c r="L42" s="74">
        <v>24491.786139176977</v>
      </c>
      <c r="M42" s="38"/>
    </row>
    <row r="43" spans="1:13">
      <c r="A43" s="30"/>
      <c r="B43" s="29" t="s">
        <v>118</v>
      </c>
      <c r="C43" s="74">
        <v>125798.50290359622</v>
      </c>
      <c r="D43" s="74"/>
      <c r="E43" s="74">
        <v>34438.497033636217</v>
      </c>
      <c r="F43" s="74">
        <v>21225.975304513078</v>
      </c>
      <c r="G43" s="74">
        <v>23706.008942604676</v>
      </c>
      <c r="H43" s="74">
        <v>30018.39572117482</v>
      </c>
      <c r="I43" s="74">
        <v>68070.667073832636</v>
      </c>
      <c r="J43" s="74">
        <v>18712.362291449201</v>
      </c>
      <c r="K43" s="74">
        <v>23703.778523064415</v>
      </c>
      <c r="L43" s="74">
        <v>36151.222262805444</v>
      </c>
      <c r="M43" s="38"/>
    </row>
    <row r="44" spans="1:13">
      <c r="A44" s="30"/>
      <c r="B44" s="29"/>
      <c r="C44" s="74"/>
      <c r="D44" s="75"/>
      <c r="E44" s="75"/>
      <c r="F44" s="75"/>
      <c r="G44" s="75"/>
      <c r="H44" s="75"/>
      <c r="I44" s="75"/>
      <c r="J44" s="76"/>
      <c r="K44" s="75"/>
      <c r="L44" s="75"/>
      <c r="M44" s="38"/>
    </row>
    <row r="45" spans="1:13">
      <c r="A45" s="30" t="s">
        <v>50</v>
      </c>
      <c r="B45" s="30" t="s">
        <v>48</v>
      </c>
      <c r="C45" s="77">
        <v>417206.92130747216</v>
      </c>
      <c r="D45" s="77"/>
      <c r="E45" s="77">
        <v>84461.175837592091</v>
      </c>
      <c r="F45" s="77">
        <v>60900.551959715318</v>
      </c>
      <c r="G45" s="77">
        <v>116250.29136385083</v>
      </c>
      <c r="H45" s="77">
        <v>65857.311886215481</v>
      </c>
      <c r="I45" s="77">
        <v>151405.29028418651</v>
      </c>
      <c r="J45" s="77">
        <v>121270.62821723739</v>
      </c>
      <c r="K45" s="77">
        <v>74126.184398369718</v>
      </c>
      <c r="L45" s="77">
        <v>80479.618322715251</v>
      </c>
      <c r="M45" s="38"/>
    </row>
    <row r="46" spans="1:13">
      <c r="A46" s="29"/>
      <c r="B46" s="29" t="s">
        <v>115</v>
      </c>
      <c r="C46" s="74">
        <v>91772.348543422486</v>
      </c>
      <c r="D46" s="74"/>
      <c r="E46" s="74">
        <v>21132.693407894771</v>
      </c>
      <c r="F46" s="74">
        <v>18572.916276455289</v>
      </c>
      <c r="G46" s="74">
        <v>29841.900311969839</v>
      </c>
      <c r="H46" s="74">
        <v>12951.134488183419</v>
      </c>
      <c r="I46" s="74">
        <v>13922.116295888018</v>
      </c>
      <c r="J46" s="74">
        <v>25769.505066438745</v>
      </c>
      <c r="K46" s="74">
        <v>11237.71779333897</v>
      </c>
      <c r="L46" s="74">
        <v>11590.221997336665</v>
      </c>
      <c r="M46" s="38"/>
    </row>
    <row r="47" spans="1:13">
      <c r="A47" s="29"/>
      <c r="B47" s="29" t="s">
        <v>116</v>
      </c>
      <c r="C47" s="74">
        <v>134831.75623330593</v>
      </c>
      <c r="D47" s="74"/>
      <c r="E47" s="74">
        <v>21986.601838359718</v>
      </c>
      <c r="F47" s="74">
        <v>16296.681067815645</v>
      </c>
      <c r="G47" s="74">
        <v>49443.90209490477</v>
      </c>
      <c r="H47" s="74">
        <v>19464.994765216994</v>
      </c>
      <c r="I47" s="74">
        <v>47754.59732567914</v>
      </c>
      <c r="J47" s="74">
        <v>46622.694015555004</v>
      </c>
      <c r="K47" s="74">
        <v>23939.820318430488</v>
      </c>
      <c r="L47" s="74">
        <v>22892.784888701306</v>
      </c>
      <c r="M47" s="38"/>
    </row>
    <row r="48" spans="1:13">
      <c r="A48" s="29"/>
      <c r="B48" s="29" t="s">
        <v>117</v>
      </c>
      <c r="C48" s="74">
        <v>97642.038755117945</v>
      </c>
      <c r="D48" s="74"/>
      <c r="E48" s="74">
        <v>24512.962638738227</v>
      </c>
      <c r="F48" s="74">
        <v>12674.817788600632</v>
      </c>
      <c r="G48" s="74">
        <v>20915.648361938896</v>
      </c>
      <c r="H48" s="74">
        <v>14485.802887505557</v>
      </c>
      <c r="I48" s="74">
        <v>45073.922863511085</v>
      </c>
      <c r="J48" s="74">
        <v>27745.868497550531</v>
      </c>
      <c r="K48" s="74">
        <v>21457.579126517776</v>
      </c>
      <c r="L48" s="74">
        <v>24221.916339026029</v>
      </c>
      <c r="M48" s="38"/>
    </row>
    <row r="49" spans="1:13">
      <c r="A49" s="29"/>
      <c r="B49" s="29" t="s">
        <v>118</v>
      </c>
      <c r="C49" s="74">
        <v>92960.777775625669</v>
      </c>
      <c r="D49" s="74"/>
      <c r="E49" s="74">
        <v>16828.917952599368</v>
      </c>
      <c r="F49" s="74">
        <v>13356.136826843669</v>
      </c>
      <c r="G49" s="74">
        <v>16048.840595037522</v>
      </c>
      <c r="H49" s="74">
        <v>18955.379745309456</v>
      </c>
      <c r="I49" s="74">
        <v>44654.653799108542</v>
      </c>
      <c r="J49" s="74">
        <v>21132.560637693234</v>
      </c>
      <c r="K49" s="74">
        <v>17491.06716008245</v>
      </c>
      <c r="L49" s="74">
        <v>21774.69509765122</v>
      </c>
      <c r="M49" s="38"/>
    </row>
    <row r="50" spans="1:13">
      <c r="A50" s="111"/>
      <c r="B50" s="111"/>
      <c r="C50" s="142"/>
      <c r="D50" s="97"/>
      <c r="E50" s="97"/>
      <c r="F50" s="97"/>
      <c r="G50" s="97"/>
      <c r="H50" s="97"/>
      <c r="I50" s="97"/>
      <c r="J50" s="97"/>
      <c r="K50" s="97"/>
      <c r="L50" s="129"/>
    </row>
    <row r="51" spans="1:13">
      <c r="A51" s="16" t="s">
        <v>121</v>
      </c>
      <c r="L51" s="22"/>
    </row>
    <row r="52" spans="1:13">
      <c r="A52" s="115" t="s">
        <v>108</v>
      </c>
      <c r="L52" s="2"/>
    </row>
    <row r="53" spans="1:13">
      <c r="A53" s="16" t="s">
        <v>112</v>
      </c>
    </row>
    <row r="54" spans="1:13">
      <c r="A54" s="16" t="s">
        <v>113</v>
      </c>
    </row>
    <row r="55" spans="1:13">
      <c r="A55" s="21" t="s">
        <v>111</v>
      </c>
    </row>
    <row r="67" spans="12:12">
      <c r="L67" s="97"/>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37 B43 B49 B31 B25 B1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1" formatCode="\*\*0.0%"/>
            </x14:dxf>
          </x14:cfRule>
          <x14:cfRule type="expression" priority="6" id="{C5C847DE-6B3B-49AB-B4CA-691B70E2918B}">
            <xm:f>C33&lt;'27'!$D$103</xm:f>
            <x14:dxf>
              <font>
                <color rgb="FF00B050"/>
              </font>
              <numFmt numFmtId="170"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69" formatCode="\*\*#,###,###,##0"/>
            </x14:dxf>
          </x14:cfRule>
          <x14:cfRule type="expression" priority="2" id="{DD561816-C9E2-425A-9C3F-4B4DC0A3F41E}">
            <xm:f>C33&lt;'27'!$D$103</xm:f>
            <x14:dxf>
              <font>
                <color rgb="FF00B050"/>
              </font>
              <numFmt numFmtId="168"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4"/>
      <c r="B1" s="24"/>
      <c r="C1" s="24"/>
      <c r="D1" s="24"/>
      <c r="E1" s="24"/>
      <c r="F1" s="24"/>
      <c r="G1" s="24"/>
      <c r="H1" s="24"/>
      <c r="I1" s="24"/>
      <c r="J1" s="24"/>
      <c r="K1" s="24"/>
      <c r="L1" s="24"/>
    </row>
    <row r="2" spans="1:12">
      <c r="A2" s="24"/>
      <c r="B2" s="24"/>
      <c r="C2" s="24"/>
      <c r="D2" s="24"/>
      <c r="E2" s="24"/>
      <c r="F2" s="24"/>
      <c r="G2" s="24"/>
      <c r="H2" s="24"/>
      <c r="I2" s="24"/>
      <c r="J2" s="24"/>
      <c r="K2" s="24"/>
      <c r="L2" s="24"/>
    </row>
    <row r="3" spans="1:12">
      <c r="A3" s="24"/>
      <c r="B3" s="24"/>
      <c r="C3" s="24"/>
      <c r="D3" s="24"/>
      <c r="E3" s="24"/>
      <c r="F3" s="24"/>
      <c r="G3" s="24"/>
      <c r="H3" s="24"/>
      <c r="I3" s="24"/>
      <c r="J3" s="24"/>
      <c r="K3" s="24"/>
      <c r="L3" s="24"/>
    </row>
    <row r="4" spans="1:12">
      <c r="A4" s="24"/>
      <c r="B4" s="24"/>
      <c r="C4" s="24"/>
      <c r="D4" s="24"/>
      <c r="E4" s="24"/>
      <c r="F4" s="24"/>
      <c r="G4" s="24"/>
      <c r="H4" s="24"/>
      <c r="I4" s="24"/>
      <c r="J4" s="24"/>
      <c r="K4" s="24"/>
      <c r="L4" s="24"/>
    </row>
    <row r="5" spans="1:12">
      <c r="A5" s="24"/>
      <c r="B5" s="24"/>
      <c r="C5" s="24"/>
      <c r="D5" s="24"/>
      <c r="E5" s="24"/>
      <c r="F5" s="24"/>
      <c r="G5" s="24"/>
      <c r="H5" s="24"/>
      <c r="I5" s="24"/>
      <c r="J5" s="24"/>
      <c r="K5" s="24"/>
      <c r="L5" s="24"/>
    </row>
    <row r="6" spans="1:12">
      <c r="A6" s="24"/>
      <c r="B6" s="24"/>
      <c r="C6" s="24"/>
      <c r="D6" s="24"/>
      <c r="E6" s="24"/>
      <c r="F6" s="24"/>
      <c r="G6" s="24"/>
      <c r="H6" s="24"/>
      <c r="I6" s="24"/>
      <c r="J6" s="24"/>
      <c r="K6" s="24"/>
      <c r="L6" s="24"/>
    </row>
    <row r="7" spans="1:12">
      <c r="A7" s="24"/>
      <c r="B7" s="24"/>
      <c r="C7" s="24"/>
      <c r="D7" s="24"/>
      <c r="E7" s="24"/>
      <c r="F7" s="24"/>
      <c r="G7" s="24"/>
      <c r="H7" s="24"/>
      <c r="I7" s="24"/>
      <c r="J7" s="24"/>
      <c r="K7" s="24"/>
      <c r="L7" s="24"/>
    </row>
    <row r="8" spans="1:12">
      <c r="A8" s="25" t="str">
        <f>Index!A8</f>
        <v>AusPlay survey results July 2024 - June 2025</v>
      </c>
      <c r="B8" s="24"/>
      <c r="C8" s="24"/>
      <c r="D8" s="24"/>
      <c r="E8" s="24"/>
      <c r="F8" s="24"/>
      <c r="G8" s="24"/>
      <c r="H8" s="24"/>
      <c r="I8" s="24"/>
      <c r="J8" s="24"/>
      <c r="K8" s="24"/>
      <c r="L8" s="24"/>
    </row>
    <row r="9" spans="1:12">
      <c r="A9" s="24" t="s">
        <v>1</v>
      </c>
      <c r="B9" s="24"/>
      <c r="C9" s="133" t="s">
        <v>2</v>
      </c>
      <c r="D9" s="24"/>
      <c r="E9" s="24"/>
      <c r="F9" s="24"/>
      <c r="G9" s="24"/>
      <c r="H9" s="24"/>
      <c r="I9" s="24"/>
      <c r="J9" s="24"/>
      <c r="K9" s="24"/>
      <c r="L9" s="24"/>
    </row>
    <row r="10" spans="1:12">
      <c r="A10" s="24" t="s">
        <v>40</v>
      </c>
      <c r="B10" s="24"/>
      <c r="C10" s="26">
        <v>9</v>
      </c>
      <c r="D10" s="24"/>
      <c r="E10" s="24"/>
      <c r="F10" s="24"/>
      <c r="G10" s="24"/>
      <c r="H10" s="24"/>
      <c r="I10" s="24"/>
      <c r="J10" s="24"/>
      <c r="K10" s="24"/>
      <c r="L10" s="24"/>
    </row>
    <row r="11" spans="1:12">
      <c r="A11" s="24" t="s">
        <v>3</v>
      </c>
      <c r="B11" s="24"/>
      <c r="C11" s="25" t="s">
        <v>18</v>
      </c>
      <c r="D11" s="24"/>
      <c r="E11" s="24"/>
      <c r="F11" s="24" t="s">
        <v>137</v>
      </c>
      <c r="G11" s="24"/>
      <c r="H11" s="24"/>
      <c r="I11" s="24"/>
      <c r="J11" s="24"/>
      <c r="K11" s="24"/>
      <c r="L11" s="24"/>
    </row>
    <row r="12" spans="1:12">
      <c r="A12" s="109" t="s">
        <v>41</v>
      </c>
      <c r="B12" s="109"/>
      <c r="C12" s="110" t="s">
        <v>42</v>
      </c>
      <c r="D12" s="109"/>
      <c r="E12" s="109"/>
      <c r="F12" s="144" t="s">
        <v>137</v>
      </c>
      <c r="G12" s="109"/>
      <c r="H12" s="109"/>
      <c r="I12" s="109"/>
      <c r="J12" s="109"/>
      <c r="K12" s="109"/>
      <c r="L12" s="109"/>
    </row>
    <row r="13" spans="1:12" s="2" customFormat="1" ht="50.1" customHeight="1">
      <c r="A13" s="51"/>
      <c r="B13" s="51"/>
      <c r="C13" s="52" t="s">
        <v>164</v>
      </c>
      <c r="D13" s="52" t="s">
        <v>165</v>
      </c>
      <c r="E13" s="52" t="s">
        <v>166</v>
      </c>
      <c r="F13" s="52" t="s">
        <v>167</v>
      </c>
      <c r="G13" s="52" t="s">
        <v>168</v>
      </c>
      <c r="H13" s="52" t="s">
        <v>169</v>
      </c>
      <c r="I13" s="52" t="s">
        <v>170</v>
      </c>
      <c r="J13" s="52" t="s">
        <v>171</v>
      </c>
      <c r="K13" s="52" t="s">
        <v>172</v>
      </c>
      <c r="L13" s="52" t="s">
        <v>173</v>
      </c>
    </row>
    <row r="14" spans="1:12">
      <c r="A14" s="132"/>
      <c r="B14" s="132"/>
      <c r="C14" s="159" t="s">
        <v>135</v>
      </c>
      <c r="D14" s="159"/>
      <c r="E14" s="159"/>
      <c r="F14" s="159"/>
      <c r="G14" s="159"/>
      <c r="H14" s="159"/>
      <c r="I14" s="159"/>
      <c r="J14" s="159"/>
      <c r="K14" s="159"/>
      <c r="L14" s="159"/>
    </row>
    <row r="15" spans="1:12">
      <c r="A15" s="30" t="s">
        <v>174</v>
      </c>
      <c r="B15" s="30" t="s">
        <v>48</v>
      </c>
      <c r="C15" s="23">
        <v>0.86963982973966802</v>
      </c>
      <c r="D15" s="23">
        <v>0.81713530075686747</v>
      </c>
      <c r="E15" s="23">
        <v>0.77222213940445428</v>
      </c>
      <c r="F15" s="23">
        <v>0.6958765549601551</v>
      </c>
      <c r="G15" s="23">
        <v>0.59510744014571249</v>
      </c>
      <c r="H15" s="23">
        <v>0.5005129089977729</v>
      </c>
      <c r="I15" s="23">
        <v>0.40920594950894496</v>
      </c>
      <c r="J15" s="23">
        <v>0.33822000935166674</v>
      </c>
      <c r="K15" s="23">
        <v>0.25788474065854289</v>
      </c>
      <c r="L15" s="23">
        <v>0.19587427168908342</v>
      </c>
    </row>
    <row r="16" spans="1:12">
      <c r="A16" s="29" t="s">
        <v>52</v>
      </c>
      <c r="B16" s="29" t="s">
        <v>53</v>
      </c>
      <c r="C16" s="90">
        <v>0.84583468149608199</v>
      </c>
      <c r="D16" s="90">
        <v>0.77018314088014139</v>
      </c>
      <c r="E16" s="90">
        <v>0.71914428803448205</v>
      </c>
      <c r="F16" s="90">
        <v>0.64605554920316421</v>
      </c>
      <c r="G16" s="90">
        <v>0.52918113106868014</v>
      </c>
      <c r="H16" s="90">
        <v>0.44760347268697354</v>
      </c>
      <c r="I16" s="90">
        <v>0.36008206526901704</v>
      </c>
      <c r="J16" s="90">
        <v>0.312737125389765</v>
      </c>
      <c r="K16" s="90">
        <v>0.26277145567437815</v>
      </c>
      <c r="L16" s="90">
        <v>0.20240423214375775</v>
      </c>
    </row>
    <row r="17" spans="1:12">
      <c r="A17" s="29"/>
      <c r="B17" s="29" t="s">
        <v>54</v>
      </c>
      <c r="C17" s="90">
        <v>0.8891985893064146</v>
      </c>
      <c r="D17" s="90">
        <v>0.83066301906360152</v>
      </c>
      <c r="E17" s="90">
        <v>0.77873471079617396</v>
      </c>
      <c r="F17" s="90">
        <v>0.69715930098827283</v>
      </c>
      <c r="G17" s="90">
        <v>0.57879600885022553</v>
      </c>
      <c r="H17" s="90">
        <v>0.47908838724191477</v>
      </c>
      <c r="I17" s="90">
        <v>0.38622870977424639</v>
      </c>
      <c r="J17" s="90">
        <v>0.32851292284994066</v>
      </c>
      <c r="K17" s="90">
        <v>0.24805688588917987</v>
      </c>
      <c r="L17" s="90">
        <v>0.18406607377769815</v>
      </c>
    </row>
    <row r="18" spans="1:12">
      <c r="A18" s="29"/>
      <c r="B18" s="29" t="s">
        <v>55</v>
      </c>
      <c r="C18" s="90">
        <v>0.91865091515149455</v>
      </c>
      <c r="D18" s="90">
        <v>0.85615696270166164</v>
      </c>
      <c r="E18" s="90">
        <v>0.80734146856640199</v>
      </c>
      <c r="F18" s="90">
        <v>0.72103125584634953</v>
      </c>
      <c r="G18" s="90">
        <v>0.61186879308991293</v>
      </c>
      <c r="H18" s="90">
        <v>0.51492308779729101</v>
      </c>
      <c r="I18" s="90">
        <v>0.42246991704638776</v>
      </c>
      <c r="J18" s="90">
        <v>0.34196080547256275</v>
      </c>
      <c r="K18" s="90">
        <v>0.25956660238246887</v>
      </c>
      <c r="L18" s="90">
        <v>0.20817462641776038</v>
      </c>
    </row>
    <row r="19" spans="1:12">
      <c r="A19" s="29"/>
      <c r="B19" s="29" t="s">
        <v>56</v>
      </c>
      <c r="C19" s="90">
        <v>0.89233388530673263</v>
      </c>
      <c r="D19" s="90">
        <v>0.82789500842123775</v>
      </c>
      <c r="E19" s="90">
        <v>0.7727170530166485</v>
      </c>
      <c r="F19" s="90">
        <v>0.69155327036456926</v>
      </c>
      <c r="G19" s="90">
        <v>0.58077595571738094</v>
      </c>
      <c r="H19" s="90">
        <v>0.47027909960069614</v>
      </c>
      <c r="I19" s="90">
        <v>0.36475184269939637</v>
      </c>
      <c r="J19" s="90">
        <v>0.2918836171271465</v>
      </c>
      <c r="K19" s="90">
        <v>0.21708316070627179</v>
      </c>
      <c r="L19" s="90">
        <v>0.16408617830234495</v>
      </c>
    </row>
    <row r="20" spans="1:12">
      <c r="A20" s="29"/>
      <c r="B20" s="29" t="s">
        <v>57</v>
      </c>
      <c r="C20" s="90">
        <v>0.89145479394323446</v>
      </c>
      <c r="D20" s="90">
        <v>0.8419701033990028</v>
      </c>
      <c r="E20" s="90">
        <v>0.79728021151406014</v>
      </c>
      <c r="F20" s="90">
        <v>0.72534801849094632</v>
      </c>
      <c r="G20" s="90">
        <v>0.62578541819803823</v>
      </c>
      <c r="H20" s="90">
        <v>0.53644837412828639</v>
      </c>
      <c r="I20" s="90">
        <v>0.44874346250913699</v>
      </c>
      <c r="J20" s="90">
        <v>0.37526798873335998</v>
      </c>
      <c r="K20" s="90">
        <v>0.29216316050298857</v>
      </c>
      <c r="L20" s="90">
        <v>0.219144113223637</v>
      </c>
    </row>
    <row r="21" spans="1:12">
      <c r="A21" s="29"/>
      <c r="B21" s="29" t="s">
        <v>58</v>
      </c>
      <c r="C21" s="90">
        <v>0.87521020434303309</v>
      </c>
      <c r="D21" s="90">
        <v>0.83729241093876583</v>
      </c>
      <c r="E21" s="90">
        <v>0.80305799551915225</v>
      </c>
      <c r="F21" s="90">
        <v>0.74021625878742159</v>
      </c>
      <c r="G21" s="90">
        <v>0.65275286050550696</v>
      </c>
      <c r="H21" s="90">
        <v>0.57773149938766755</v>
      </c>
      <c r="I21" s="90">
        <v>0.48286978391787733</v>
      </c>
      <c r="J21" s="90">
        <v>0.3990371234889587</v>
      </c>
      <c r="K21" s="90">
        <v>0.30256411436742303</v>
      </c>
      <c r="L21" s="90">
        <v>0.22941298240249089</v>
      </c>
    </row>
    <row r="22" spans="1:12">
      <c r="A22" s="29"/>
      <c r="B22" s="29" t="s">
        <v>59</v>
      </c>
      <c r="C22" s="90">
        <v>0.78038466500755455</v>
      </c>
      <c r="D22" s="90">
        <v>0.74378146489280628</v>
      </c>
      <c r="E22" s="90">
        <v>0.70949621106749416</v>
      </c>
      <c r="F22" s="90">
        <v>0.6367621484831294</v>
      </c>
      <c r="G22" s="90">
        <v>0.55618191199375366</v>
      </c>
      <c r="H22" s="90">
        <v>0.46130398457445182</v>
      </c>
      <c r="I22" s="90">
        <v>0.3828975489476244</v>
      </c>
      <c r="J22" s="90">
        <v>0.31954595137284003</v>
      </c>
      <c r="K22" s="90">
        <v>0.24244849289804565</v>
      </c>
      <c r="L22" s="90">
        <v>0.17914637277266124</v>
      </c>
    </row>
    <row r="23" spans="1:12">
      <c r="A23" s="29"/>
      <c r="B23" s="29"/>
    </row>
    <row r="24" spans="1:12">
      <c r="A24" s="30" t="s">
        <v>49</v>
      </c>
      <c r="B24" s="30" t="s">
        <v>48</v>
      </c>
      <c r="C24" s="23">
        <v>0.87734997938212211</v>
      </c>
      <c r="D24" s="23">
        <v>0.82369864426831396</v>
      </c>
      <c r="E24" s="23">
        <v>0.7754135695389972</v>
      </c>
      <c r="F24" s="23">
        <v>0.69330247305460346</v>
      </c>
      <c r="G24" s="23">
        <v>0.57997334486025365</v>
      </c>
      <c r="H24" s="23">
        <v>0.48381291944075339</v>
      </c>
      <c r="I24" s="23">
        <v>0.39295092284101568</v>
      </c>
      <c r="J24" s="23">
        <v>0.32568054243876099</v>
      </c>
      <c r="K24" s="23">
        <v>0.24716663114185783</v>
      </c>
      <c r="L24" s="23">
        <v>0.18701728914105076</v>
      </c>
    </row>
    <row r="25" spans="1:12">
      <c r="A25" s="29" t="s">
        <v>52</v>
      </c>
      <c r="B25" s="29" t="s">
        <v>53</v>
      </c>
      <c r="C25" s="90">
        <v>0.81985642470116027</v>
      </c>
      <c r="D25" s="90">
        <v>0.76870370920362308</v>
      </c>
      <c r="E25" s="90">
        <v>0.71728811808582216</v>
      </c>
      <c r="F25" s="90">
        <v>0.63287249509042187</v>
      </c>
      <c r="G25" s="90">
        <v>0.5129374900645699</v>
      </c>
      <c r="H25" s="90">
        <v>0.46141719366497747</v>
      </c>
      <c r="I25" s="90">
        <v>0.36547741541070294</v>
      </c>
      <c r="J25" s="90">
        <v>0.33164124890947294</v>
      </c>
      <c r="K25" s="90">
        <v>0.24886737830431463</v>
      </c>
      <c r="L25" s="90">
        <v>0.21583189953742538</v>
      </c>
    </row>
    <row r="26" spans="1:12">
      <c r="A26" s="29"/>
      <c r="B26" s="29" t="s">
        <v>54</v>
      </c>
      <c r="C26" s="90">
        <v>0.88133156578454686</v>
      </c>
      <c r="D26" s="90">
        <v>0.81576551325053837</v>
      </c>
      <c r="E26" s="90">
        <v>0.75887876605746285</v>
      </c>
      <c r="F26" s="90">
        <v>0.67068209758236697</v>
      </c>
      <c r="G26" s="90">
        <v>0.53759603613864215</v>
      </c>
      <c r="H26" s="90">
        <v>0.43906983866380617</v>
      </c>
      <c r="I26" s="90">
        <v>0.34632798161682699</v>
      </c>
      <c r="J26" s="90">
        <v>0.29211478699679416</v>
      </c>
      <c r="K26" s="90">
        <v>0.22443824179423372</v>
      </c>
      <c r="L26" s="90">
        <v>0.1609022419771706</v>
      </c>
    </row>
    <row r="27" spans="1:12">
      <c r="A27" s="29"/>
      <c r="B27" s="29" t="s">
        <v>55</v>
      </c>
      <c r="C27" s="90">
        <v>0.92020702602572457</v>
      </c>
      <c r="D27" s="90">
        <v>0.85706581306826679</v>
      </c>
      <c r="E27" s="90">
        <v>0.80032160505298999</v>
      </c>
      <c r="F27" s="90">
        <v>0.69533249319758639</v>
      </c>
      <c r="G27" s="90">
        <v>0.57593664768323072</v>
      </c>
      <c r="H27" s="90">
        <v>0.47116948721926477</v>
      </c>
      <c r="I27" s="90">
        <v>0.36689148645384723</v>
      </c>
      <c r="J27" s="90">
        <v>0.28950747443788816</v>
      </c>
      <c r="K27" s="90">
        <v>0.20937656292775653</v>
      </c>
      <c r="L27" s="90">
        <v>0.16246799230495917</v>
      </c>
    </row>
    <row r="28" spans="1:12">
      <c r="A28" s="29"/>
      <c r="B28" s="29" t="s">
        <v>56</v>
      </c>
      <c r="C28" s="90">
        <v>0.88795491604471843</v>
      </c>
      <c r="D28" s="90">
        <v>0.81730768634883855</v>
      </c>
      <c r="E28" s="90">
        <v>0.76000445135685191</v>
      </c>
      <c r="F28" s="90">
        <v>0.67214659722290304</v>
      </c>
      <c r="G28" s="90">
        <v>0.54937548484423038</v>
      </c>
      <c r="H28" s="90">
        <v>0.4434332698292518</v>
      </c>
      <c r="I28" s="90">
        <v>0.34655871492877854</v>
      </c>
      <c r="J28" s="90">
        <v>0.27098024219147859</v>
      </c>
      <c r="K28" s="90">
        <v>0.19334748924273279</v>
      </c>
      <c r="L28" s="90">
        <v>0.14474049695923738</v>
      </c>
    </row>
    <row r="29" spans="1:12">
      <c r="A29" s="29"/>
      <c r="B29" s="29" t="s">
        <v>57</v>
      </c>
      <c r="C29" s="90">
        <v>0.90325367960492098</v>
      </c>
      <c r="D29" s="90">
        <v>0.84698584007465527</v>
      </c>
      <c r="E29" s="90">
        <v>0.79770189565669569</v>
      </c>
      <c r="F29" s="90">
        <v>0.72477687288451409</v>
      </c>
      <c r="G29" s="90">
        <v>0.6119886862836289</v>
      </c>
      <c r="H29" s="90">
        <v>0.51398846800672093</v>
      </c>
      <c r="I29" s="90">
        <v>0.43508379320369822</v>
      </c>
      <c r="J29" s="90">
        <v>0.36412625489089906</v>
      </c>
      <c r="K29" s="90">
        <v>0.29023352896522348</v>
      </c>
      <c r="L29" s="90">
        <v>0.2265127875906624</v>
      </c>
    </row>
    <row r="30" spans="1:12">
      <c r="A30" s="29"/>
      <c r="B30" s="29" t="s">
        <v>58</v>
      </c>
      <c r="C30" s="90">
        <v>0.87325812495111199</v>
      </c>
      <c r="D30" s="90">
        <v>0.8397069868799778</v>
      </c>
      <c r="E30" s="90">
        <v>0.79960312345496887</v>
      </c>
      <c r="F30" s="90">
        <v>0.7366969059331715</v>
      </c>
      <c r="G30" s="90">
        <v>0.63664242608417443</v>
      </c>
      <c r="H30" s="90">
        <v>0.56162513602940634</v>
      </c>
      <c r="I30" s="90">
        <v>0.48898942211900914</v>
      </c>
      <c r="J30" s="90">
        <v>0.41514494818778658</v>
      </c>
      <c r="K30" s="90">
        <v>0.31357432666031054</v>
      </c>
      <c r="L30" s="90">
        <v>0.24091907760980996</v>
      </c>
    </row>
    <row r="31" spans="1:12">
      <c r="A31" s="29"/>
      <c r="B31" s="29" t="s">
        <v>59</v>
      </c>
      <c r="C31" s="90">
        <v>0.81769266188685075</v>
      </c>
      <c r="D31" s="90">
        <v>0.78465478893216556</v>
      </c>
      <c r="E31" s="90">
        <v>0.75424985393633925</v>
      </c>
      <c r="F31" s="90">
        <v>0.68302491232025775</v>
      </c>
      <c r="G31" s="90">
        <v>0.58918845783490947</v>
      </c>
      <c r="H31" s="90">
        <v>0.49061159508938618</v>
      </c>
      <c r="I31" s="90">
        <v>0.39821678944866518</v>
      </c>
      <c r="J31" s="90">
        <v>0.34065652930470397</v>
      </c>
      <c r="K31" s="90">
        <v>0.26847182504436362</v>
      </c>
      <c r="L31" s="90">
        <v>0.19386089463857126</v>
      </c>
    </row>
    <row r="32" spans="1:12">
      <c r="A32" s="29"/>
      <c r="B32" s="29"/>
    </row>
    <row r="33" spans="1:12">
      <c r="A33" s="30" t="s">
        <v>50</v>
      </c>
      <c r="B33" s="30" t="s">
        <v>48</v>
      </c>
      <c r="C33" s="23">
        <v>0.86443769586124097</v>
      </c>
      <c r="D33" s="23">
        <v>0.81286345329173482</v>
      </c>
      <c r="E33" s="23">
        <v>0.77119576453345429</v>
      </c>
      <c r="F33" s="23">
        <v>0.70039245767400271</v>
      </c>
      <c r="G33" s="23">
        <v>0.61106751682320648</v>
      </c>
      <c r="H33" s="23">
        <v>0.51785435866763474</v>
      </c>
      <c r="I33" s="23">
        <v>0.42575062886825965</v>
      </c>
      <c r="J33" s="23">
        <v>0.35071958397673314</v>
      </c>
      <c r="K33" s="23">
        <v>0.26949898681327017</v>
      </c>
      <c r="L33" s="23">
        <v>0.20588758690173781</v>
      </c>
    </row>
    <row r="34" spans="1:12">
      <c r="A34" s="29" t="s">
        <v>52</v>
      </c>
      <c r="B34" s="29" t="s">
        <v>53</v>
      </c>
      <c r="C34" s="90">
        <v>0.88504675958372225</v>
      </c>
      <c r="D34" s="90">
        <v>0.79003361331000921</v>
      </c>
      <c r="E34" s="90">
        <v>0.73801874743378892</v>
      </c>
      <c r="F34" s="90">
        <v>0.67124488767513757</v>
      </c>
      <c r="G34" s="90">
        <v>0.55370689028950348</v>
      </c>
      <c r="H34" s="90">
        <v>0.44864889502239669</v>
      </c>
      <c r="I34" s="90">
        <v>0.36501073363792991</v>
      </c>
      <c r="J34" s="90">
        <v>0.30685232717068472</v>
      </c>
      <c r="K34" s="90">
        <v>0.27912403111997142</v>
      </c>
      <c r="L34" s="90">
        <v>0.19774272019477621</v>
      </c>
    </row>
    <row r="35" spans="1:12">
      <c r="A35" s="29"/>
      <c r="B35" s="29" t="s">
        <v>54</v>
      </c>
      <c r="C35" s="90">
        <v>0.90036212964181073</v>
      </c>
      <c r="D35" s="90">
        <v>0.84841288581518004</v>
      </c>
      <c r="E35" s="90">
        <v>0.80079550147373746</v>
      </c>
      <c r="F35" s="90">
        <v>0.72796411367698122</v>
      </c>
      <c r="G35" s="90">
        <v>0.62517774449900443</v>
      </c>
      <c r="H35" s="90">
        <v>0.52569604742094855</v>
      </c>
      <c r="I35" s="90">
        <v>0.43140563618274103</v>
      </c>
      <c r="J35" s="90">
        <v>0.3690470363391064</v>
      </c>
      <c r="K35" s="90">
        <v>0.27760360846292925</v>
      </c>
      <c r="L35" s="90">
        <v>0.21280495957984238</v>
      </c>
    </row>
    <row r="36" spans="1:12">
      <c r="A36" s="29"/>
      <c r="B36" s="29" t="s">
        <v>55</v>
      </c>
      <c r="C36" s="90">
        <v>0.91694020598070625</v>
      </c>
      <c r="D36" s="90">
        <v>0.85514776857208519</v>
      </c>
      <c r="E36" s="90">
        <v>0.81503961089379318</v>
      </c>
      <c r="F36" s="90">
        <v>0.74571160235613954</v>
      </c>
      <c r="G36" s="90">
        <v>0.64554296998383198</v>
      </c>
      <c r="H36" s="90">
        <v>0.55700452316866655</v>
      </c>
      <c r="I36" s="90">
        <v>0.47509645285294611</v>
      </c>
      <c r="J36" s="90">
        <v>0.39147272916828374</v>
      </c>
      <c r="K36" s="90">
        <v>0.3070973907031555</v>
      </c>
      <c r="L36" s="90">
        <v>0.25183181751117212</v>
      </c>
    </row>
    <row r="37" spans="1:12">
      <c r="A37" s="29"/>
      <c r="B37" s="29" t="s">
        <v>56</v>
      </c>
      <c r="C37" s="90">
        <v>0.89883807715386888</v>
      </c>
      <c r="D37" s="90">
        <v>0.840007584309866</v>
      </c>
      <c r="E37" s="90">
        <v>0.78763748813018164</v>
      </c>
      <c r="F37" s="90">
        <v>0.71238105199842983</v>
      </c>
      <c r="G37" s="90">
        <v>0.61260254669236014</v>
      </c>
      <c r="H37" s="90">
        <v>0.49610314276480139</v>
      </c>
      <c r="I37" s="90">
        <v>0.38142603415600657</v>
      </c>
      <c r="J37" s="90">
        <v>0.3104707622148381</v>
      </c>
      <c r="K37" s="90">
        <v>0.24092442268558983</v>
      </c>
      <c r="L37" s="90">
        <v>0.18497619300365342</v>
      </c>
    </row>
    <row r="38" spans="1:12">
      <c r="A38" s="29"/>
      <c r="B38" s="29" t="s">
        <v>57</v>
      </c>
      <c r="C38" s="90">
        <v>0.87860480728682233</v>
      </c>
      <c r="D38" s="90">
        <v>0.83755473184919693</v>
      </c>
      <c r="E38" s="90">
        <v>0.79686943523848797</v>
      </c>
      <c r="F38" s="90">
        <v>0.72731464610028129</v>
      </c>
      <c r="G38" s="90">
        <v>0.63961482424921234</v>
      </c>
      <c r="H38" s="90">
        <v>0.55894360906637808</v>
      </c>
      <c r="I38" s="90">
        <v>0.46398924512555711</v>
      </c>
      <c r="J38" s="90">
        <v>0.38838993253999426</v>
      </c>
      <c r="K38" s="90">
        <v>0.29621429287584061</v>
      </c>
      <c r="L38" s="90">
        <v>0.21441461834357678</v>
      </c>
    </row>
    <row r="39" spans="1:12">
      <c r="A39" s="29"/>
      <c r="B39" s="29" t="s">
        <v>58</v>
      </c>
      <c r="C39" s="90">
        <v>0.87649253703150443</v>
      </c>
      <c r="D39" s="90">
        <v>0.83403552185925967</v>
      </c>
      <c r="E39" s="90">
        <v>0.80545354635917021</v>
      </c>
      <c r="F39" s="90">
        <v>0.74364565863540633</v>
      </c>
      <c r="G39" s="90">
        <v>0.66953331618787126</v>
      </c>
      <c r="H39" s="90">
        <v>0.59411259025187868</v>
      </c>
      <c r="I39" s="90">
        <v>0.47666364857993043</v>
      </c>
      <c r="J39" s="90">
        <v>0.3824633565180085</v>
      </c>
      <c r="K39" s="90">
        <v>0.29191759951941576</v>
      </c>
      <c r="L39" s="90">
        <v>0.21788821374153255</v>
      </c>
    </row>
    <row r="40" spans="1:12">
      <c r="A40" s="29"/>
      <c r="B40" s="29" t="s">
        <v>59</v>
      </c>
      <c r="C40" s="90">
        <v>0.75356774163465612</v>
      </c>
      <c r="D40" s="90">
        <v>0.71357562362989024</v>
      </c>
      <c r="E40" s="90">
        <v>0.67565173298903247</v>
      </c>
      <c r="F40" s="90">
        <v>0.6009709276207269</v>
      </c>
      <c r="G40" s="90">
        <v>0.5317364820967988</v>
      </c>
      <c r="H40" s="90">
        <v>0.43918546767641053</v>
      </c>
      <c r="I40" s="90">
        <v>0.3720882672121566</v>
      </c>
      <c r="J40" s="90">
        <v>0.30319702130318194</v>
      </c>
      <c r="K40" s="90">
        <v>0.2217988516938493</v>
      </c>
      <c r="L40" s="90">
        <v>0.16811523498008751</v>
      </c>
    </row>
    <row r="41" spans="1:12">
      <c r="A41" s="132"/>
      <c r="B41" s="132"/>
      <c r="C41" s="159" t="s">
        <v>138</v>
      </c>
      <c r="D41" s="159"/>
      <c r="E41" s="159"/>
      <c r="F41" s="159"/>
      <c r="G41" s="159"/>
      <c r="H41" s="159"/>
      <c r="I41" s="159"/>
      <c r="J41" s="159"/>
      <c r="K41" s="159"/>
      <c r="L41" s="159"/>
    </row>
    <row r="42" spans="1:12" ht="17.25">
      <c r="A42" s="30" t="s">
        <v>175</v>
      </c>
      <c r="B42" s="30" t="s">
        <v>48</v>
      </c>
      <c r="C42" s="40">
        <v>5015652.8174779434</v>
      </c>
      <c r="D42" s="40">
        <v>4712832.6386899389</v>
      </c>
      <c r="E42" s="40">
        <v>4453795.7172249826</v>
      </c>
      <c r="F42" s="40">
        <v>4013472.1112619489</v>
      </c>
      <c r="G42" s="40">
        <v>3432285.6506727198</v>
      </c>
      <c r="H42" s="40">
        <v>2886711.1375869992</v>
      </c>
      <c r="I42" s="40">
        <v>2360097.7133230958</v>
      </c>
      <c r="J42" s="40">
        <v>1950685.8872137095</v>
      </c>
      <c r="K42" s="40">
        <v>1487351.7539505921</v>
      </c>
      <c r="L42" s="40">
        <v>1129706.0105479416</v>
      </c>
    </row>
    <row r="43" spans="1:12">
      <c r="A43" s="29" t="s">
        <v>52</v>
      </c>
      <c r="B43" s="29" t="s">
        <v>53</v>
      </c>
      <c r="C43" s="92">
        <v>203601.16935916862</v>
      </c>
      <c r="D43" s="92">
        <v>185391.05990139098</v>
      </c>
      <c r="E43" s="92">
        <v>173105.4793388317</v>
      </c>
      <c r="F43" s="92">
        <v>155512.26281722693</v>
      </c>
      <c r="G43" s="92">
        <v>127379.37973626332</v>
      </c>
      <c r="H43" s="92">
        <v>107742.79234696366</v>
      </c>
      <c r="I43" s="92">
        <v>86675.482996704173</v>
      </c>
      <c r="J43" s="92">
        <v>75279.065548314291</v>
      </c>
      <c r="K43" s="92">
        <v>63251.811281708673</v>
      </c>
      <c r="L43" s="92">
        <v>48720.795267963476</v>
      </c>
    </row>
    <row r="44" spans="1:12">
      <c r="A44" s="29"/>
      <c r="B44" s="29" t="s">
        <v>54</v>
      </c>
      <c r="C44" s="92">
        <v>603392.94720027316</v>
      </c>
      <c r="D44" s="92">
        <v>563671.84252284723</v>
      </c>
      <c r="E44" s="92">
        <v>528434.29790073121</v>
      </c>
      <c r="F44" s="92">
        <v>473078.80416175292</v>
      </c>
      <c r="G44" s="92">
        <v>392759.76571252261</v>
      </c>
      <c r="H44" s="92">
        <v>325100.1040980164</v>
      </c>
      <c r="I44" s="92">
        <v>262087.32479638932</v>
      </c>
      <c r="J44" s="92">
        <v>222922.50920732733</v>
      </c>
      <c r="K44" s="92">
        <v>168326.60021058173</v>
      </c>
      <c r="L44" s="92">
        <v>124903.67401835351</v>
      </c>
    </row>
    <row r="45" spans="1:12">
      <c r="A45" s="29"/>
      <c r="B45" s="29" t="s">
        <v>55</v>
      </c>
      <c r="C45" s="92">
        <v>970562.02906689153</v>
      </c>
      <c r="D45" s="92">
        <v>904536.66916822176</v>
      </c>
      <c r="E45" s="92">
        <v>852962.70972791873</v>
      </c>
      <c r="F45" s="92">
        <v>761775.28063473071</v>
      </c>
      <c r="G45" s="92">
        <v>646444.26685856306</v>
      </c>
      <c r="H45" s="92">
        <v>544020.35491741903</v>
      </c>
      <c r="I45" s="92">
        <v>446342.84160120267</v>
      </c>
      <c r="J45" s="92">
        <v>361284.32220204826</v>
      </c>
      <c r="K45" s="92">
        <v>274234.18855984381</v>
      </c>
      <c r="L45" s="92">
        <v>219938.15548852331</v>
      </c>
    </row>
    <row r="46" spans="1:12">
      <c r="A46" s="29"/>
      <c r="B46" s="29" t="s">
        <v>56</v>
      </c>
      <c r="C46" s="92">
        <v>896984.71225508314</v>
      </c>
      <c r="D46" s="92">
        <v>832209.98118980729</v>
      </c>
      <c r="E46" s="92">
        <v>776744.43934904633</v>
      </c>
      <c r="F46" s="92">
        <v>695157.63263186777</v>
      </c>
      <c r="G46" s="92">
        <v>583802.94876368437</v>
      </c>
      <c r="H46" s="92">
        <v>472730.18517044012</v>
      </c>
      <c r="I46" s="92">
        <v>366652.92224755645</v>
      </c>
      <c r="J46" s="92">
        <v>293404.90889323282</v>
      </c>
      <c r="K46" s="92">
        <v>218214.59394047962</v>
      </c>
      <c r="L46" s="92">
        <v>164941.3922894705</v>
      </c>
    </row>
    <row r="47" spans="1:12">
      <c r="A47" s="29"/>
      <c r="B47" s="29" t="s">
        <v>57</v>
      </c>
      <c r="C47" s="92">
        <v>769097.39473075059</v>
      </c>
      <c r="D47" s="92">
        <v>726404.76821148652</v>
      </c>
      <c r="E47" s="92">
        <v>687848.82611208607</v>
      </c>
      <c r="F47" s="92">
        <v>625789.74849286908</v>
      </c>
      <c r="G47" s="92">
        <v>539892.69906517747</v>
      </c>
      <c r="H47" s="92">
        <v>462817.688291981</v>
      </c>
      <c r="I47" s="92">
        <v>387150.79021742335</v>
      </c>
      <c r="J47" s="92">
        <v>323760.25618081342</v>
      </c>
      <c r="K47" s="92">
        <v>252062.05306856992</v>
      </c>
      <c r="L47" s="92">
        <v>189065.29831462461</v>
      </c>
    </row>
    <row r="48" spans="1:12">
      <c r="A48" s="29"/>
      <c r="B48" s="29" t="s">
        <v>58</v>
      </c>
      <c r="C48" s="92">
        <v>652990.9599313091</v>
      </c>
      <c r="D48" s="92">
        <v>624700.6404278758</v>
      </c>
      <c r="E48" s="92">
        <v>599158.4750410805</v>
      </c>
      <c r="F48" s="92">
        <v>552272.4974912575</v>
      </c>
      <c r="G48" s="92">
        <v>487016.39316391712</v>
      </c>
      <c r="H48" s="92">
        <v>431043.24480641616</v>
      </c>
      <c r="I48" s="92">
        <v>360267.28454227996</v>
      </c>
      <c r="J48" s="92">
        <v>297720.05973225104</v>
      </c>
      <c r="K48" s="92">
        <v>225741.91948533658</v>
      </c>
      <c r="L48" s="92">
        <v>171164.14188995457</v>
      </c>
    </row>
    <row r="49" spans="1:12">
      <c r="A49" s="29"/>
      <c r="B49" s="29" t="s">
        <v>59</v>
      </c>
      <c r="C49" s="92">
        <v>919023.60493447003</v>
      </c>
      <c r="D49" s="92">
        <v>875917.67726831301</v>
      </c>
      <c r="E49" s="92">
        <v>835541.48975529126</v>
      </c>
      <c r="F49" s="92">
        <v>749885.88503224729</v>
      </c>
      <c r="G49" s="92">
        <v>654990.19737259636</v>
      </c>
      <c r="H49" s="92">
        <v>543256.76795576676</v>
      </c>
      <c r="I49" s="92">
        <v>450921.06692154432</v>
      </c>
      <c r="J49" s="92">
        <v>376314.76544972777</v>
      </c>
      <c r="K49" s="92">
        <v>285520.58740407741</v>
      </c>
      <c r="L49" s="92">
        <v>210972.5532790572</v>
      </c>
    </row>
    <row r="50" spans="1:12">
      <c r="A50" s="29"/>
      <c r="B50" s="29"/>
    </row>
    <row r="51" spans="1:12">
      <c r="A51" s="30" t="s">
        <v>49</v>
      </c>
      <c r="B51" s="30" t="s">
        <v>48</v>
      </c>
      <c r="C51" s="40">
        <v>2468235.6042128713</v>
      </c>
      <c r="D51" s="40">
        <v>2317299.1037815181</v>
      </c>
      <c r="E51" s="40">
        <v>2181459.4236086057</v>
      </c>
      <c r="F51" s="40">
        <v>1950457.5012212934</v>
      </c>
      <c r="G51" s="40">
        <v>1631630.3560942197</v>
      </c>
      <c r="H51" s="40">
        <v>1361103.666273335</v>
      </c>
      <c r="I51" s="40">
        <v>1105482.9671820968</v>
      </c>
      <c r="J51" s="40">
        <v>916232.20987915283</v>
      </c>
      <c r="K51" s="40">
        <v>695350.19489864795</v>
      </c>
      <c r="L51" s="40">
        <v>526132.94866251736</v>
      </c>
    </row>
    <row r="52" spans="1:12">
      <c r="A52" s="29" t="s">
        <v>52</v>
      </c>
      <c r="B52" s="29" t="s">
        <v>53</v>
      </c>
      <c r="C52" s="92">
        <v>81119.410643663723</v>
      </c>
      <c r="D52" s="92">
        <v>76058.185276678618</v>
      </c>
      <c r="E52" s="92">
        <v>70970.9500929184</v>
      </c>
      <c r="F52" s="92">
        <v>62618.578409058515</v>
      </c>
      <c r="G52" s="92">
        <v>50751.7970676935</v>
      </c>
      <c r="H52" s="92">
        <v>45654.201983718682</v>
      </c>
      <c r="I52" s="92">
        <v>36161.590796208257</v>
      </c>
      <c r="J52" s="92">
        <v>32813.724264551653</v>
      </c>
      <c r="K52" s="92">
        <v>24623.793201155037</v>
      </c>
      <c r="L52" s="92">
        <v>21355.149464078604</v>
      </c>
    </row>
    <row r="53" spans="1:12">
      <c r="A53" s="29"/>
      <c r="B53" s="29" t="s">
        <v>54</v>
      </c>
      <c r="C53" s="92">
        <v>321407.43637302693</v>
      </c>
      <c r="D53" s="92">
        <v>297496.55234688218</v>
      </c>
      <c r="E53" s="92">
        <v>276750.87127888261</v>
      </c>
      <c r="F53" s="92">
        <v>244586.96587514476</v>
      </c>
      <c r="G53" s="92">
        <v>196052.62138297479</v>
      </c>
      <c r="H53" s="92">
        <v>160121.7030142674</v>
      </c>
      <c r="I53" s="92">
        <v>126300.24049645913</v>
      </c>
      <c r="J53" s="92">
        <v>106529.56101908706</v>
      </c>
      <c r="K53" s="92">
        <v>81849.014286626421</v>
      </c>
      <c r="L53" s="92">
        <v>58678.457811185785</v>
      </c>
    </row>
    <row r="54" spans="1:12">
      <c r="A54" s="29"/>
      <c r="B54" s="29" t="s">
        <v>55</v>
      </c>
      <c r="C54" s="92">
        <v>465225.36404006009</v>
      </c>
      <c r="D54" s="92">
        <v>433303.31503014185</v>
      </c>
      <c r="E54" s="92">
        <v>404615.37407289247</v>
      </c>
      <c r="F54" s="92">
        <v>351536.45117646235</v>
      </c>
      <c r="G54" s="92">
        <v>291173.97390416416</v>
      </c>
      <c r="H54" s="92">
        <v>238207.26207976497</v>
      </c>
      <c r="I54" s="92">
        <v>185487.85275621037</v>
      </c>
      <c r="J54" s="92">
        <v>146365.12912684469</v>
      </c>
      <c r="K54" s="92">
        <v>105853.66657132983</v>
      </c>
      <c r="L54" s="92">
        <v>82138.289240598926</v>
      </c>
    </row>
    <row r="55" spans="1:12">
      <c r="A55" s="29"/>
      <c r="B55" s="29" t="s">
        <v>56</v>
      </c>
      <c r="C55" s="92">
        <v>449706.13616719207</v>
      </c>
      <c r="D55" s="92">
        <v>413926.73777276924</v>
      </c>
      <c r="E55" s="92">
        <v>384905.42606821284</v>
      </c>
      <c r="F55" s="92">
        <v>340409.68039397063</v>
      </c>
      <c r="G55" s="92">
        <v>278232.06125685159</v>
      </c>
      <c r="H55" s="92">
        <v>224577.4631342364</v>
      </c>
      <c r="I55" s="92">
        <v>175515.19545598148</v>
      </c>
      <c r="J55" s="92">
        <v>137238.36142086596</v>
      </c>
      <c r="K55" s="92">
        <v>97921.134005634827</v>
      </c>
      <c r="L55" s="92">
        <v>73304.047827558636</v>
      </c>
    </row>
    <row r="56" spans="1:12">
      <c r="A56" s="29"/>
      <c r="B56" s="29" t="s">
        <v>57</v>
      </c>
      <c r="C56" s="92">
        <v>384156.93381922942</v>
      </c>
      <c r="D56" s="92">
        <v>360226.02582001273</v>
      </c>
      <c r="E56" s="92">
        <v>339265.3927203482</v>
      </c>
      <c r="F56" s="92">
        <v>308250.12671101157</v>
      </c>
      <c r="G56" s="92">
        <v>260280.91837678282</v>
      </c>
      <c r="H56" s="92">
        <v>218601.08444204699</v>
      </c>
      <c r="I56" s="92">
        <v>185042.6516110943</v>
      </c>
      <c r="J56" s="92">
        <v>154864.16359039972</v>
      </c>
      <c r="K56" s="92">
        <v>123437.33006167466</v>
      </c>
      <c r="L56" s="92">
        <v>96336.676967356354</v>
      </c>
    </row>
    <row r="57" spans="1:12">
      <c r="A57" s="29"/>
      <c r="B57" s="29" t="s">
        <v>58</v>
      </c>
      <c r="C57" s="92">
        <v>323892.01208408043</v>
      </c>
      <c r="D57" s="92">
        <v>311447.87293773261</v>
      </c>
      <c r="E57" s="92">
        <v>296573.32365392434</v>
      </c>
      <c r="F57" s="92">
        <v>273241.36625945469</v>
      </c>
      <c r="G57" s="92">
        <v>236131.09396953817</v>
      </c>
      <c r="H57" s="92">
        <v>208307.13181826222</v>
      </c>
      <c r="I57" s="92">
        <v>181366.49782310845</v>
      </c>
      <c r="J57" s="92">
        <v>153977.53394233942</v>
      </c>
      <c r="K57" s="92">
        <v>116304.92370810131</v>
      </c>
      <c r="L57" s="92">
        <v>89357.044116652876</v>
      </c>
    </row>
    <row r="58" spans="1:12">
      <c r="A58" s="29"/>
      <c r="B58" s="29" t="s">
        <v>59</v>
      </c>
      <c r="C58" s="92">
        <v>442728.3110856202</v>
      </c>
      <c r="D58" s="92">
        <v>424840.41459730233</v>
      </c>
      <c r="E58" s="92">
        <v>408378.08572142827</v>
      </c>
      <c r="F58" s="92">
        <v>369814.33239619283</v>
      </c>
      <c r="G58" s="92">
        <v>319007.89013621613</v>
      </c>
      <c r="H58" s="92">
        <v>265634.8198010397</v>
      </c>
      <c r="I58" s="92">
        <v>215608.93824303578</v>
      </c>
      <c r="J58" s="92">
        <v>184443.73651506528</v>
      </c>
      <c r="K58" s="92">
        <v>145360.33306412701</v>
      </c>
      <c r="L58" s="92">
        <v>104963.28323508734</v>
      </c>
    </row>
    <row r="59" spans="1:12">
      <c r="A59" s="29"/>
      <c r="B59" s="29"/>
    </row>
    <row r="60" spans="1:12">
      <c r="A60" s="30" t="s">
        <v>50</v>
      </c>
      <c r="B60" s="30" t="s">
        <v>48</v>
      </c>
      <c r="C60" s="40">
        <v>2520330.1425825786</v>
      </c>
      <c r="D60" s="40">
        <v>2369961.7369113192</v>
      </c>
      <c r="E60" s="40">
        <v>2248476.5998655362</v>
      </c>
      <c r="F60" s="40">
        <v>2042044.4771957679</v>
      </c>
      <c r="G60" s="40">
        <v>1781611.2013350108</v>
      </c>
      <c r="H60" s="40">
        <v>1509841.5488665986</v>
      </c>
      <c r="I60" s="40">
        <v>1241306.5143938446</v>
      </c>
      <c r="J60" s="40">
        <v>1022548.1180687316</v>
      </c>
      <c r="K60" s="40">
        <v>785743.63787344447</v>
      </c>
      <c r="L60" s="40">
        <v>600280.03607021575</v>
      </c>
    </row>
    <row r="61" spans="1:12">
      <c r="A61" s="29" t="s">
        <v>52</v>
      </c>
      <c r="B61" s="29" t="s">
        <v>53</v>
      </c>
      <c r="C61" s="92">
        <v>122481.7587155049</v>
      </c>
      <c r="D61" s="92">
        <v>109332.87462471236</v>
      </c>
      <c r="E61" s="92">
        <v>102134.52924591332</v>
      </c>
      <c r="F61" s="92">
        <v>92893.68440816841</v>
      </c>
      <c r="G61" s="92">
        <v>76627.582668569812</v>
      </c>
      <c r="H61" s="92">
        <v>62088.590363244963</v>
      </c>
      <c r="I61" s="92">
        <v>50513.892200495902</v>
      </c>
      <c r="J61" s="92">
        <v>42465.341283762624</v>
      </c>
      <c r="K61" s="92">
        <v>38628.018080553622</v>
      </c>
      <c r="L61" s="92">
        <v>27365.645803884858</v>
      </c>
    </row>
    <row r="62" spans="1:12">
      <c r="A62" s="29"/>
      <c r="B62" s="29" t="s">
        <v>54</v>
      </c>
      <c r="C62" s="92">
        <v>274015.99883148039</v>
      </c>
      <c r="D62" s="92">
        <v>258205.77818019936</v>
      </c>
      <c r="E62" s="92">
        <v>243713.91462608284</v>
      </c>
      <c r="F62" s="92">
        <v>221548.42718898851</v>
      </c>
      <c r="G62" s="92">
        <v>190266.44776170023</v>
      </c>
      <c r="H62" s="92">
        <v>159990.21146426856</v>
      </c>
      <c r="I62" s="92">
        <v>131293.88987870034</v>
      </c>
      <c r="J62" s="92">
        <v>112315.68826477426</v>
      </c>
      <c r="K62" s="92">
        <v>84485.816926190208</v>
      </c>
      <c r="L62" s="92">
        <v>64765.011361330195</v>
      </c>
    </row>
    <row r="63" spans="1:12">
      <c r="A63" s="29"/>
      <c r="B63" s="29" t="s">
        <v>55</v>
      </c>
      <c r="C63" s="92">
        <v>498542.50249312597</v>
      </c>
      <c r="D63" s="92">
        <v>464945.81191296398</v>
      </c>
      <c r="E63" s="92">
        <v>443138.91417971603</v>
      </c>
      <c r="F63" s="92">
        <v>405445.1162158018</v>
      </c>
      <c r="G63" s="92">
        <v>350983.20002052159</v>
      </c>
      <c r="H63" s="92">
        <v>302844.64250697324</v>
      </c>
      <c r="I63" s="92">
        <v>258311.03597162908</v>
      </c>
      <c r="J63" s="92">
        <v>212844.62474696687</v>
      </c>
      <c r="K63" s="92">
        <v>166969.55883455049</v>
      </c>
      <c r="L63" s="92">
        <v>136921.53936595263</v>
      </c>
    </row>
    <row r="64" spans="1:12">
      <c r="A64" s="29"/>
      <c r="B64" s="29" t="s">
        <v>56</v>
      </c>
      <c r="C64" s="92">
        <v>443003.41208110342</v>
      </c>
      <c r="D64" s="92">
        <v>414008.07941025047</v>
      </c>
      <c r="E64" s="92">
        <v>388196.83277050208</v>
      </c>
      <c r="F64" s="92">
        <v>351105.77172756573</v>
      </c>
      <c r="G64" s="92">
        <v>301928.70699650119</v>
      </c>
      <c r="H64" s="92">
        <v>244510.54152587178</v>
      </c>
      <c r="I64" s="92">
        <v>187990.5167376977</v>
      </c>
      <c r="J64" s="92">
        <v>153019.33741848954</v>
      </c>
      <c r="K64" s="92">
        <v>118742.56778411438</v>
      </c>
      <c r="L64" s="92">
        <v>91167.793996741544</v>
      </c>
    </row>
    <row r="65" spans="1:12">
      <c r="A65" s="29"/>
      <c r="B65" s="29" t="s">
        <v>57</v>
      </c>
      <c r="C65" s="92">
        <v>379973.21786259528</v>
      </c>
      <c r="D65" s="92">
        <v>362220.15171934932</v>
      </c>
      <c r="E65" s="92">
        <v>344624.84271961323</v>
      </c>
      <c r="F65" s="92">
        <v>314544.24581483111</v>
      </c>
      <c r="G65" s="92">
        <v>276616.4047213684</v>
      </c>
      <c r="H65" s="92">
        <v>241728.24912776865</v>
      </c>
      <c r="I65" s="92">
        <v>200663.0114720506</v>
      </c>
      <c r="J65" s="92">
        <v>167968.31889457311</v>
      </c>
      <c r="K65" s="92">
        <v>128104.80560480597</v>
      </c>
      <c r="L65" s="92">
        <v>92728.621347267996</v>
      </c>
    </row>
    <row r="66" spans="1:12">
      <c r="A66" s="29"/>
      <c r="B66" s="29" t="s">
        <v>58</v>
      </c>
      <c r="C66" s="92">
        <v>327132.24815954815</v>
      </c>
      <c r="D66" s="92">
        <v>311286.06780246284</v>
      </c>
      <c r="E66" s="92">
        <v>300618.45169947564</v>
      </c>
      <c r="F66" s="92">
        <v>277549.96861398756</v>
      </c>
      <c r="G66" s="92">
        <v>249889.10879270078</v>
      </c>
      <c r="H66" s="92">
        <v>221739.92258647573</v>
      </c>
      <c r="I66" s="92">
        <v>177904.59631749341</v>
      </c>
      <c r="J66" s="92">
        <v>142746.33538823359</v>
      </c>
      <c r="K66" s="92">
        <v>108952.05215500042</v>
      </c>
      <c r="L66" s="92">
        <v>81322.154151066876</v>
      </c>
    </row>
    <row r="67" spans="1:12">
      <c r="A67" s="29"/>
      <c r="B67" s="29" t="s">
        <v>59</v>
      </c>
      <c r="C67" s="92">
        <v>475181.00443921983</v>
      </c>
      <c r="D67" s="92">
        <v>449962.9732613808</v>
      </c>
      <c r="E67" s="92">
        <v>426049.11462423299</v>
      </c>
      <c r="F67" s="92">
        <v>378957.26322642458</v>
      </c>
      <c r="G67" s="92">
        <v>335299.75037364825</v>
      </c>
      <c r="H67" s="92">
        <v>276939.3912919953</v>
      </c>
      <c r="I67" s="92">
        <v>234629.57181577693</v>
      </c>
      <c r="J67" s="92">
        <v>191188.47207193094</v>
      </c>
      <c r="K67" s="92">
        <v>139860.81848822843</v>
      </c>
      <c r="L67" s="92">
        <v>106009.27004397076</v>
      </c>
    </row>
    <row r="68" spans="1:12">
      <c r="A68" s="111"/>
      <c r="B68" s="111"/>
      <c r="C68" s="104"/>
      <c r="D68" s="104"/>
      <c r="E68" s="104"/>
      <c r="F68" s="104"/>
      <c r="G68" s="104"/>
      <c r="H68" s="104"/>
      <c r="I68" s="104"/>
      <c r="J68" s="104"/>
      <c r="K68" s="104"/>
      <c r="L68" s="104"/>
    </row>
    <row r="69" spans="1:12">
      <c r="A69" s="115" t="s">
        <v>108</v>
      </c>
    </row>
    <row r="70" spans="1:12">
      <c r="A70" s="16" t="s">
        <v>112</v>
      </c>
    </row>
    <row r="71" spans="1:12">
      <c r="A71" s="16" t="s">
        <v>113</v>
      </c>
    </row>
    <row r="72" spans="1:12">
      <c r="A72" s="21" t="s">
        <v>111</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1" formatCode="\*\*0.0%"/>
            </x14:dxf>
          </x14:cfRule>
          <x14:cfRule type="expression" priority="4" id="{8D6C7A71-338B-4991-AD3D-51157481F7DA}">
            <xm:f>C42&lt;'27'!$C$103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69" formatCode="\*\*#,###,###,##0"/>
            </x14:dxf>
          </x14:cfRule>
          <x14:cfRule type="expression" priority="2" id="{C2B14B71-CAA6-48DB-97F4-356CF8C8DAA8}">
            <xm:f>C42&lt;'27'!$C$103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4"/>
      <c r="B1" s="24"/>
      <c r="C1" s="24"/>
      <c r="D1" s="24"/>
      <c r="E1" s="24"/>
      <c r="F1" s="24"/>
      <c r="G1" s="24"/>
      <c r="H1" s="24"/>
      <c r="I1" s="24"/>
      <c r="J1" s="24"/>
      <c r="K1" s="24"/>
      <c r="L1" s="24"/>
    </row>
    <row r="2" spans="1:12">
      <c r="A2" s="24"/>
      <c r="B2" s="24"/>
      <c r="C2" s="24"/>
      <c r="D2" s="24"/>
      <c r="E2" s="24"/>
      <c r="F2" s="24"/>
      <c r="G2" s="24"/>
      <c r="H2" s="24"/>
      <c r="I2" s="24"/>
      <c r="J2" s="24"/>
      <c r="K2" s="24"/>
      <c r="L2" s="24"/>
    </row>
    <row r="3" spans="1:12">
      <c r="A3" s="24"/>
      <c r="B3" s="24"/>
      <c r="C3" s="24"/>
      <c r="D3" s="24"/>
      <c r="E3" s="24"/>
      <c r="F3" s="24"/>
      <c r="G3" s="24"/>
      <c r="H3" s="24"/>
      <c r="I3" s="24"/>
      <c r="J3" s="24"/>
      <c r="K3" s="24"/>
      <c r="L3" s="24"/>
    </row>
    <row r="4" spans="1:12">
      <c r="A4" s="24"/>
      <c r="B4" s="24"/>
      <c r="C4" s="24"/>
      <c r="D4" s="24"/>
      <c r="E4" s="24"/>
      <c r="F4" s="24"/>
      <c r="G4" s="24"/>
      <c r="H4" s="24"/>
      <c r="I4" s="24"/>
      <c r="J4" s="24"/>
      <c r="K4" s="24"/>
      <c r="L4" s="24"/>
    </row>
    <row r="5" spans="1:12">
      <c r="A5" s="24"/>
      <c r="B5" s="24"/>
      <c r="C5" s="24"/>
      <c r="D5" s="24"/>
      <c r="E5" s="24"/>
      <c r="F5" s="24"/>
      <c r="G5" s="24"/>
      <c r="H5" s="24"/>
      <c r="I5" s="24"/>
      <c r="J5" s="24"/>
      <c r="K5" s="24"/>
      <c r="L5" s="24"/>
    </row>
    <row r="6" spans="1:12">
      <c r="A6" s="24"/>
      <c r="B6" s="24"/>
      <c r="C6" s="24"/>
      <c r="D6" s="24"/>
      <c r="E6" s="24"/>
      <c r="F6" s="24"/>
      <c r="G6" s="24"/>
      <c r="H6" s="24"/>
      <c r="I6" s="24"/>
      <c r="J6" s="24"/>
      <c r="K6" s="24"/>
      <c r="L6" s="24"/>
    </row>
    <row r="7" spans="1:12">
      <c r="A7" s="24"/>
      <c r="B7" s="24"/>
      <c r="C7" s="24"/>
      <c r="D7" s="24"/>
      <c r="E7" s="24"/>
      <c r="F7" s="24"/>
      <c r="G7" s="24"/>
      <c r="H7" s="24"/>
      <c r="I7" s="24"/>
      <c r="J7" s="24"/>
      <c r="K7" s="24"/>
      <c r="L7" s="24"/>
    </row>
    <row r="8" spans="1:12">
      <c r="A8" s="25" t="str">
        <f>Index!A8</f>
        <v>AusPlay survey results July 2024 - June 2025</v>
      </c>
      <c r="B8" s="24"/>
      <c r="C8" s="24"/>
      <c r="D8" s="24"/>
      <c r="E8" s="24"/>
      <c r="F8" s="24"/>
      <c r="G8" s="24"/>
      <c r="H8" s="24"/>
      <c r="I8" s="24"/>
      <c r="J8" s="24"/>
      <c r="K8" s="24"/>
      <c r="L8" s="24"/>
    </row>
    <row r="9" spans="1:12">
      <c r="A9" s="24" t="s">
        <v>1</v>
      </c>
      <c r="B9" s="24"/>
      <c r="C9" s="133" t="s">
        <v>2</v>
      </c>
      <c r="D9" s="24"/>
      <c r="E9" s="24"/>
      <c r="F9" s="24"/>
      <c r="G9" s="24"/>
      <c r="H9" s="24"/>
      <c r="I9" s="24"/>
      <c r="J9" s="24"/>
      <c r="K9" s="24"/>
      <c r="L9" s="24"/>
    </row>
    <row r="10" spans="1:12">
      <c r="A10" s="24" t="s">
        <v>40</v>
      </c>
      <c r="B10" s="24"/>
      <c r="C10" s="26">
        <v>10</v>
      </c>
      <c r="D10" s="24"/>
      <c r="E10" s="24"/>
      <c r="F10" s="24"/>
      <c r="G10" s="24"/>
      <c r="H10" s="24"/>
      <c r="I10" s="24"/>
      <c r="J10" s="24"/>
      <c r="K10" s="24"/>
      <c r="L10" s="24"/>
    </row>
    <row r="11" spans="1:12">
      <c r="A11" s="24" t="s">
        <v>3</v>
      </c>
      <c r="B11" s="24"/>
      <c r="C11" s="25" t="s">
        <v>19</v>
      </c>
      <c r="D11" s="24"/>
      <c r="E11" s="24"/>
      <c r="F11" s="24"/>
      <c r="G11" s="24"/>
      <c r="H11" s="24"/>
      <c r="I11" s="24"/>
      <c r="J11" s="24"/>
      <c r="K11" s="24"/>
      <c r="L11" s="24"/>
    </row>
    <row r="12" spans="1:12">
      <c r="A12" s="109" t="s">
        <v>41</v>
      </c>
      <c r="B12" s="109"/>
      <c r="C12" s="110" t="s">
        <v>114</v>
      </c>
      <c r="D12" s="109"/>
      <c r="E12" s="109"/>
      <c r="F12" s="109"/>
      <c r="G12" s="109"/>
      <c r="H12" s="109"/>
      <c r="I12" s="109"/>
      <c r="J12" s="109"/>
      <c r="K12" s="109"/>
      <c r="L12" s="109"/>
    </row>
    <row r="13" spans="1:12" s="2" customFormat="1" ht="50.1" customHeight="1">
      <c r="A13" s="32"/>
      <c r="B13" s="32"/>
      <c r="C13" s="48" t="s">
        <v>164</v>
      </c>
      <c r="D13" s="48" t="s">
        <v>165</v>
      </c>
      <c r="E13" s="48" t="s">
        <v>166</v>
      </c>
      <c r="F13" s="48" t="s">
        <v>167</v>
      </c>
      <c r="G13" s="48" t="s">
        <v>168</v>
      </c>
      <c r="H13" s="48" t="s">
        <v>169</v>
      </c>
      <c r="I13" s="48" t="s">
        <v>170</v>
      </c>
      <c r="J13" s="48" t="s">
        <v>171</v>
      </c>
      <c r="K13" s="48" t="s">
        <v>172</v>
      </c>
      <c r="L13" s="48" t="s">
        <v>173</v>
      </c>
    </row>
    <row r="14" spans="1:12">
      <c r="A14" s="57"/>
      <c r="B14" s="57"/>
      <c r="C14" s="160" t="s">
        <v>135</v>
      </c>
      <c r="D14" s="160"/>
      <c r="E14" s="160"/>
      <c r="F14" s="160"/>
      <c r="G14" s="160"/>
      <c r="H14" s="160"/>
      <c r="I14" s="160"/>
      <c r="J14" s="160"/>
      <c r="K14" s="160"/>
      <c r="L14" s="160"/>
    </row>
    <row r="15" spans="1:12">
      <c r="A15" s="30" t="s">
        <v>174</v>
      </c>
      <c r="B15" s="30" t="s">
        <v>48</v>
      </c>
      <c r="C15" s="23">
        <v>0.73214143016863575</v>
      </c>
      <c r="D15" s="23">
        <v>0.62345840085503534</v>
      </c>
      <c r="E15" s="23">
        <v>0.5511704470413763</v>
      </c>
      <c r="F15" s="23">
        <v>0.43185378443223343</v>
      </c>
      <c r="G15" s="23">
        <v>0.24038796984354463</v>
      </c>
      <c r="H15" s="23">
        <v>0.13103424798760935</v>
      </c>
      <c r="I15" s="23">
        <v>7.5779465466243534E-2</v>
      </c>
      <c r="J15" s="23">
        <v>4.669433943438759E-2</v>
      </c>
      <c r="K15" s="23">
        <v>3.0716461297950595E-2</v>
      </c>
      <c r="L15" s="23">
        <v>2.2252013893653791E-2</v>
      </c>
    </row>
    <row r="16" spans="1:12">
      <c r="A16" s="29" t="s">
        <v>52</v>
      </c>
      <c r="B16" s="29" t="s">
        <v>115</v>
      </c>
      <c r="C16" s="90">
        <v>0.49966693126775957</v>
      </c>
      <c r="D16" s="90">
        <v>0.36735874878021063</v>
      </c>
      <c r="E16" s="90">
        <v>0.31791629812753436</v>
      </c>
      <c r="F16" s="90">
        <v>0.21953089461276418</v>
      </c>
      <c r="G16" s="90">
        <v>8.3170473163774225E-2</v>
      </c>
      <c r="H16" s="90">
        <v>4.7884368182703134E-2</v>
      </c>
      <c r="I16" s="90">
        <v>3.4893973985954972E-2</v>
      </c>
      <c r="J16" s="90">
        <v>1.9931505528949473E-2</v>
      </c>
      <c r="K16" s="90">
        <v>1.697127633499218E-2</v>
      </c>
      <c r="L16" s="90">
        <v>1.697127633499218E-2</v>
      </c>
    </row>
    <row r="17" spans="1:12">
      <c r="A17" s="29"/>
      <c r="B17" s="29" t="s">
        <v>116</v>
      </c>
      <c r="C17" s="90">
        <v>0.82201643120886903</v>
      </c>
      <c r="D17" s="90">
        <v>0.70634376239929064</v>
      </c>
      <c r="E17" s="90">
        <v>0.61123759745962314</v>
      </c>
      <c r="F17" s="90">
        <v>0.48414459332766024</v>
      </c>
      <c r="G17" s="90">
        <v>0.23799133809271608</v>
      </c>
      <c r="H17" s="90">
        <v>0.10953138767485499</v>
      </c>
      <c r="I17" s="90">
        <v>5.589962095986277E-2</v>
      </c>
      <c r="J17" s="90">
        <v>3.4913257377394327E-2</v>
      </c>
      <c r="K17" s="90">
        <v>2.624957933703382E-2</v>
      </c>
      <c r="L17" s="90">
        <v>2.1799573433258911E-2</v>
      </c>
    </row>
    <row r="18" spans="1:12">
      <c r="A18" s="29"/>
      <c r="B18" s="29" t="s">
        <v>117</v>
      </c>
      <c r="C18" s="90">
        <v>0.85018509064963965</v>
      </c>
      <c r="D18" s="90">
        <v>0.76632043745617529</v>
      </c>
      <c r="E18" s="90">
        <v>0.69334120851094905</v>
      </c>
      <c r="F18" s="90">
        <v>0.56515464057187348</v>
      </c>
      <c r="G18" s="90">
        <v>0.34641529920055664</v>
      </c>
      <c r="H18" s="90">
        <v>0.18431201591036314</v>
      </c>
      <c r="I18" s="90">
        <v>9.6194528412408192E-2</v>
      </c>
      <c r="J18" s="90">
        <v>6.5528716260939646E-2</v>
      </c>
      <c r="K18" s="90">
        <v>3.8449436335363962E-2</v>
      </c>
      <c r="L18" s="90">
        <v>2.9235101118037336E-2</v>
      </c>
    </row>
    <row r="19" spans="1:12">
      <c r="A19" s="29"/>
      <c r="B19" s="29" t="s">
        <v>118</v>
      </c>
      <c r="C19" s="90">
        <v>0.84408334484306624</v>
      </c>
      <c r="D19" s="90">
        <v>0.75531853342540545</v>
      </c>
      <c r="E19" s="90">
        <v>0.67964495379336609</v>
      </c>
      <c r="F19" s="90">
        <v>0.54815361806748641</v>
      </c>
      <c r="G19" s="90">
        <v>0.37264086099349508</v>
      </c>
      <c r="H19" s="90">
        <v>0.22983160942768446</v>
      </c>
      <c r="I19" s="90">
        <v>0.14194211699612655</v>
      </c>
      <c r="J19" s="90">
        <v>8.3159512231469793E-2</v>
      </c>
      <c r="K19" s="90">
        <v>4.9258853440740699E-2</v>
      </c>
      <c r="L19" s="90">
        <v>2.3891209294560518E-2</v>
      </c>
    </row>
    <row r="20" spans="1:12">
      <c r="A20" s="29"/>
      <c r="B20" s="29"/>
    </row>
    <row r="21" spans="1:12">
      <c r="A21" s="30" t="s">
        <v>49</v>
      </c>
      <c r="B21" s="30" t="s">
        <v>48</v>
      </c>
      <c r="C21" s="23">
        <v>0.73432867500590993</v>
      </c>
      <c r="D21" s="23">
        <v>0.61279138327984795</v>
      </c>
      <c r="E21" s="23">
        <v>0.52995614741232688</v>
      </c>
      <c r="F21" s="23">
        <v>0.40526975104671703</v>
      </c>
      <c r="G21" s="23">
        <v>0.22884862180186552</v>
      </c>
      <c r="H21" s="23">
        <v>0.1192448926055643</v>
      </c>
      <c r="I21" s="23">
        <v>6.8752947669116188E-2</v>
      </c>
      <c r="J21" s="23">
        <v>4.5935811673768083E-2</v>
      </c>
      <c r="K21" s="23">
        <v>2.4230345022152138E-2</v>
      </c>
      <c r="L21" s="23">
        <v>1.5630612207897455E-2</v>
      </c>
    </row>
    <row r="22" spans="1:12">
      <c r="A22" s="29" t="s">
        <v>52</v>
      </c>
      <c r="B22" s="29" t="s">
        <v>115</v>
      </c>
      <c r="C22" s="90">
        <v>0.47976558705708056</v>
      </c>
      <c r="D22" s="90">
        <v>0.32917625692829</v>
      </c>
      <c r="E22" s="90">
        <v>0.26565816144009341</v>
      </c>
      <c r="F22" s="90">
        <v>0.17148566858920569</v>
      </c>
      <c r="G22" s="90">
        <v>5.2852716523414153E-2</v>
      </c>
      <c r="H22" s="90">
        <v>2.1875369330679427E-2</v>
      </c>
      <c r="I22" s="90">
        <v>1.3118879948264399E-2</v>
      </c>
      <c r="J22" s="90">
        <v>7.6760188675400499E-3</v>
      </c>
      <c r="K22" s="90">
        <v>5.0880242402478936E-3</v>
      </c>
      <c r="L22" s="90">
        <v>5.0880242402478936E-3</v>
      </c>
    </row>
    <row r="23" spans="1:12">
      <c r="A23" s="29"/>
      <c r="B23" s="29" t="s">
        <v>116</v>
      </c>
      <c r="C23" s="90">
        <v>0.8251026345763316</v>
      </c>
      <c r="D23" s="90">
        <v>0.70821663874187624</v>
      </c>
      <c r="E23" s="90">
        <v>0.58797287456203073</v>
      </c>
      <c r="F23" s="90">
        <v>0.43532210052786197</v>
      </c>
      <c r="G23" s="90">
        <v>0.21158763226889582</v>
      </c>
      <c r="H23" s="90">
        <v>8.5235368619285726E-2</v>
      </c>
      <c r="I23" s="90">
        <v>5.6137952804453543E-2</v>
      </c>
      <c r="J23" s="90">
        <v>4.1388635420280318E-2</v>
      </c>
      <c r="K23" s="90">
        <v>2.7300291395513866E-2</v>
      </c>
      <c r="L23" s="90">
        <v>2.1932602275529008E-2</v>
      </c>
    </row>
    <row r="24" spans="1:12">
      <c r="A24" s="29"/>
      <c r="B24" s="29" t="s">
        <v>117</v>
      </c>
      <c r="C24" s="90">
        <v>0.87466939261407894</v>
      </c>
      <c r="D24" s="90">
        <v>0.77654079001257259</v>
      </c>
      <c r="E24" s="90">
        <v>0.70957943232918386</v>
      </c>
      <c r="F24" s="90">
        <v>0.57832924116947648</v>
      </c>
      <c r="G24" s="90">
        <v>0.36561563079794668</v>
      </c>
      <c r="H24" s="90">
        <v>0.17735703500458605</v>
      </c>
      <c r="I24" s="90">
        <v>8.8774796892120131E-2</v>
      </c>
      <c r="J24" s="90">
        <v>5.2473998357575623E-2</v>
      </c>
      <c r="K24" s="90">
        <v>2.1172026328910815E-2</v>
      </c>
      <c r="L24" s="90">
        <v>1.3369800300412734E-2</v>
      </c>
    </row>
    <row r="25" spans="1:12">
      <c r="A25" s="29"/>
      <c r="B25" s="29" t="s">
        <v>118</v>
      </c>
      <c r="C25" s="90">
        <v>0.85830894695517679</v>
      </c>
      <c r="D25" s="90">
        <v>0.75099589425750457</v>
      </c>
      <c r="E25" s="90">
        <v>0.67069659394322079</v>
      </c>
      <c r="F25" s="90">
        <v>0.5419079530786971</v>
      </c>
      <c r="G25" s="90">
        <v>0.3723378539419977</v>
      </c>
      <c r="H25" s="90">
        <v>0.24266205971430549</v>
      </c>
      <c r="I25" s="90">
        <v>0.14304582363542975</v>
      </c>
      <c r="J25" s="90">
        <v>9.8646667897860266E-2</v>
      </c>
      <c r="K25" s="90">
        <v>5.0006784063452221E-2</v>
      </c>
      <c r="L25" s="90">
        <v>2.4976081255685848E-2</v>
      </c>
    </row>
    <row r="26" spans="1:12">
      <c r="A26" s="29"/>
      <c r="B26" s="29"/>
    </row>
    <row r="27" spans="1:12">
      <c r="A27" s="30" t="s">
        <v>50</v>
      </c>
      <c r="B27" s="30" t="s">
        <v>48</v>
      </c>
      <c r="C27" s="23">
        <v>0.73189895947072525</v>
      </c>
      <c r="D27" s="23">
        <v>0.63845676866089984</v>
      </c>
      <c r="E27" s="23">
        <v>0.57788880618285476</v>
      </c>
      <c r="F27" s="23">
        <v>0.46416632612679071</v>
      </c>
      <c r="G27" s="23">
        <v>0.25465291217647196</v>
      </c>
      <c r="H27" s="23">
        <v>0.14509094854821758</v>
      </c>
      <c r="I27" s="23">
        <v>8.4146867696537939E-2</v>
      </c>
      <c r="J27" s="23">
        <v>4.7771526432775387E-2</v>
      </c>
      <c r="K27" s="23">
        <v>3.826317208958728E-2</v>
      </c>
      <c r="L27" s="23">
        <v>2.9915017734113925E-2</v>
      </c>
    </row>
    <row r="28" spans="1:12">
      <c r="A28" s="29" t="s">
        <v>52</v>
      </c>
      <c r="B28" s="29" t="s">
        <v>115</v>
      </c>
      <c r="C28" s="90">
        <v>0.52100405871336863</v>
      </c>
      <c r="D28" s="90">
        <v>0.41280733425296856</v>
      </c>
      <c r="E28" s="90">
        <v>0.37949075801078774</v>
      </c>
      <c r="F28" s="90">
        <v>0.27589409246268376</v>
      </c>
      <c r="G28" s="90">
        <v>0.11854891758309526</v>
      </c>
      <c r="H28" s="90">
        <v>7.8155070368802315E-2</v>
      </c>
      <c r="I28" s="90">
        <v>6.0219365824752812E-2</v>
      </c>
      <c r="J28" s="90">
        <v>3.4186169374089304E-2</v>
      </c>
      <c r="K28" s="90">
        <v>3.0784980768410627E-2</v>
      </c>
      <c r="L28" s="90">
        <v>3.0784980768410627E-2</v>
      </c>
    </row>
    <row r="29" spans="1:12">
      <c r="A29" s="29"/>
      <c r="B29" s="29" t="s">
        <v>116</v>
      </c>
      <c r="C29" s="90">
        <v>0.82368094713816054</v>
      </c>
      <c r="D29" s="90">
        <v>0.70858524366029796</v>
      </c>
      <c r="E29" s="90">
        <v>0.63908971519249502</v>
      </c>
      <c r="F29" s="90">
        <v>0.5378550392967949</v>
      </c>
      <c r="G29" s="90">
        <v>0.26689703140969212</v>
      </c>
      <c r="H29" s="90">
        <v>0.1354800912929281</v>
      </c>
      <c r="I29" s="90">
        <v>5.5983177931335171E-2</v>
      </c>
      <c r="J29" s="90">
        <v>2.8377826920623146E-2</v>
      </c>
      <c r="K29" s="90">
        <v>2.5311277241965448E-2</v>
      </c>
      <c r="L29" s="90">
        <v>2.1790419568830093E-2</v>
      </c>
    </row>
    <row r="30" spans="1:12">
      <c r="A30" s="29"/>
      <c r="B30" s="29" t="s">
        <v>117</v>
      </c>
      <c r="C30" s="90">
        <v>0.82780858584886163</v>
      </c>
      <c r="D30" s="90">
        <v>0.75922363977297558</v>
      </c>
      <c r="E30" s="90">
        <v>0.67920705967922845</v>
      </c>
      <c r="F30" s="90">
        <v>0.55370145604424015</v>
      </c>
      <c r="G30" s="90">
        <v>0.32712120244750409</v>
      </c>
      <c r="H30" s="90">
        <v>0.19299039979374813</v>
      </c>
      <c r="I30" s="90">
        <v>0.10490511915072202</v>
      </c>
      <c r="J30" s="90">
        <v>8.0289012039500868E-2</v>
      </c>
      <c r="K30" s="90">
        <v>5.7720847343475233E-2</v>
      </c>
      <c r="L30" s="90">
        <v>4.6898318145821849E-2</v>
      </c>
    </row>
    <row r="31" spans="1:12">
      <c r="A31" s="111"/>
      <c r="B31" s="111" t="s">
        <v>118</v>
      </c>
      <c r="C31" s="90">
        <v>0.82821936434619081</v>
      </c>
      <c r="D31" s="90">
        <v>0.76338971018506219</v>
      </c>
      <c r="E31" s="90">
        <v>0.69351328600737938</v>
      </c>
      <c r="F31" s="90">
        <v>0.55807031351098424</v>
      </c>
      <c r="G31" s="90">
        <v>0.37423373741602933</v>
      </c>
      <c r="H31" s="90">
        <v>0.21381597247874742</v>
      </c>
      <c r="I31" s="90">
        <v>0.14095692147323391</v>
      </c>
      <c r="J31" s="90">
        <v>6.3203519404704228E-2</v>
      </c>
      <c r="K31" s="90">
        <v>4.8440461161059975E-2</v>
      </c>
      <c r="L31" s="90">
        <v>2.2551337818054133E-2</v>
      </c>
    </row>
    <row r="32" spans="1:12">
      <c r="A32" s="57"/>
      <c r="B32" s="57"/>
      <c r="C32" s="159" t="s">
        <v>138</v>
      </c>
      <c r="D32" s="159"/>
      <c r="E32" s="159"/>
      <c r="F32" s="159"/>
      <c r="G32" s="159"/>
      <c r="H32" s="159"/>
      <c r="I32" s="159"/>
      <c r="J32" s="159"/>
      <c r="K32" s="159"/>
      <c r="L32" s="159"/>
    </row>
    <row r="33" spans="1:12" ht="17.25">
      <c r="A33" s="30" t="s">
        <v>175</v>
      </c>
      <c r="B33" s="30" t="s">
        <v>48</v>
      </c>
      <c r="C33" s="40">
        <v>895893.5630438528</v>
      </c>
      <c r="D33" s="40">
        <v>762902.28244970052</v>
      </c>
      <c r="E33" s="40">
        <v>674446.26857222931</v>
      </c>
      <c r="F33" s="40">
        <v>528443.01620774437</v>
      </c>
      <c r="G33" s="40">
        <v>294153.59647985856</v>
      </c>
      <c r="H33" s="40">
        <v>160341.61498462368</v>
      </c>
      <c r="I33" s="40">
        <v>92728.443610238231</v>
      </c>
      <c r="J33" s="40">
        <v>57138.083444092292</v>
      </c>
      <c r="K33" s="40">
        <v>37586.562954074499</v>
      </c>
      <c r="L33" s="40">
        <v>27228.941281870961</v>
      </c>
    </row>
    <row r="34" spans="1:12">
      <c r="A34" s="29" t="s">
        <v>52</v>
      </c>
      <c r="B34" s="29" t="s">
        <v>115</v>
      </c>
      <c r="C34" s="92">
        <v>190197.73860061294</v>
      </c>
      <c r="D34" s="92">
        <v>139834.75571591238</v>
      </c>
      <c r="E34" s="92">
        <v>121014.53425128211</v>
      </c>
      <c r="F34" s="92">
        <v>83564.224677382357</v>
      </c>
      <c r="G34" s="92">
        <v>31658.760914910112</v>
      </c>
      <c r="H34" s="92">
        <v>18227.138865407098</v>
      </c>
      <c r="I34" s="92">
        <v>13282.35776195638</v>
      </c>
      <c r="J34" s="92">
        <v>7586.9084810023905</v>
      </c>
      <c r="K34" s="92">
        <v>6460.1000748473734</v>
      </c>
      <c r="L34" s="92">
        <v>6460.1000748473734</v>
      </c>
    </row>
    <row r="35" spans="1:12">
      <c r="A35" s="29"/>
      <c r="B35" s="29" t="s">
        <v>116</v>
      </c>
      <c r="C35" s="92">
        <v>275470.32591391733</v>
      </c>
      <c r="D35" s="92">
        <v>236706.63875811809</v>
      </c>
      <c r="E35" s="92">
        <v>204835.10279158701</v>
      </c>
      <c r="F35" s="92">
        <v>162244.28594121829</v>
      </c>
      <c r="G35" s="92">
        <v>79754.551101462755</v>
      </c>
      <c r="H35" s="92">
        <v>36705.649564965031</v>
      </c>
      <c r="I35" s="92">
        <v>18732.821169562652</v>
      </c>
      <c r="J35" s="92">
        <v>11699.968544817973</v>
      </c>
      <c r="K35" s="92">
        <v>8796.6370263936878</v>
      </c>
      <c r="L35" s="92">
        <v>7305.3717303594149</v>
      </c>
    </row>
    <row r="36" spans="1:12">
      <c r="A36" s="29"/>
      <c r="B36" s="29" t="s">
        <v>117</v>
      </c>
      <c r="C36" s="92">
        <v>211466.21785010045</v>
      </c>
      <c r="D36" s="92">
        <v>190606.59420205338</v>
      </c>
      <c r="E36" s="92">
        <v>172454.49803335764</v>
      </c>
      <c r="F36" s="92">
        <v>140570.7011997196</v>
      </c>
      <c r="G36" s="92">
        <v>86163.747086387099</v>
      </c>
      <c r="H36" s="92">
        <v>45843.858399245793</v>
      </c>
      <c r="I36" s="92">
        <v>23926.428874096619</v>
      </c>
      <c r="J36" s="92">
        <v>16298.932950805865</v>
      </c>
      <c r="K36" s="92">
        <v>9563.5138391980108</v>
      </c>
      <c r="L36" s="92">
        <v>7271.6357060233267</v>
      </c>
    </row>
    <row r="37" spans="1:12">
      <c r="A37" s="29"/>
      <c r="B37" s="29" t="s">
        <v>118</v>
      </c>
      <c r="C37" s="92">
        <v>218759.28067922124</v>
      </c>
      <c r="D37" s="92">
        <v>195754.29377361602</v>
      </c>
      <c r="E37" s="92">
        <v>176142.13349600206</v>
      </c>
      <c r="F37" s="92">
        <v>142063.80438942378</v>
      </c>
      <c r="G37" s="92">
        <v>96576.537377098444</v>
      </c>
      <c r="H37" s="92">
        <v>59564.96815500575</v>
      </c>
      <c r="I37" s="92">
        <v>36786.835804622591</v>
      </c>
      <c r="J37" s="92">
        <v>21552.273467466075</v>
      </c>
      <c r="K37" s="92">
        <v>12766.312013635434</v>
      </c>
      <c r="L37" s="92">
        <v>6191.8337706408502</v>
      </c>
    </row>
    <row r="38" spans="1:12">
      <c r="A38" s="29"/>
      <c r="B38" s="29"/>
    </row>
    <row r="39" spans="1:12">
      <c r="A39" s="30" t="s">
        <v>49</v>
      </c>
      <c r="B39" s="30" t="s">
        <v>48</v>
      </c>
      <c r="C39" s="40">
        <v>478087.93086315395</v>
      </c>
      <c r="D39" s="40">
        <v>398960.5396802387</v>
      </c>
      <c r="E39" s="40">
        <v>345030.29309393215</v>
      </c>
      <c r="F39" s="40">
        <v>263852.66341095982</v>
      </c>
      <c r="G39" s="40">
        <v>148992.90713011828</v>
      </c>
      <c r="H39" s="40">
        <v>77634.91459915333</v>
      </c>
      <c r="I39" s="40">
        <v>44761.910586708225</v>
      </c>
      <c r="J39" s="40">
        <v>29906.713305802132</v>
      </c>
      <c r="K39" s="40">
        <v>15775.273266630651</v>
      </c>
      <c r="L39" s="40">
        <v>10176.379192243727</v>
      </c>
    </row>
    <row r="40" spans="1:12">
      <c r="A40" s="29" t="s">
        <v>52</v>
      </c>
      <c r="B40" s="29" t="s">
        <v>115</v>
      </c>
      <c r="C40" s="92">
        <v>97826.679183964545</v>
      </c>
      <c r="D40" s="92">
        <v>67120.737606532057</v>
      </c>
      <c r="E40" s="92">
        <v>54169.0701311386</v>
      </c>
      <c r="F40" s="92">
        <v>34966.812831717267</v>
      </c>
      <c r="G40" s="92">
        <v>10776.941662391273</v>
      </c>
      <c r="H40" s="92">
        <v>4460.5007013320983</v>
      </c>
      <c r="I40" s="92">
        <v>2675.0073256069445</v>
      </c>
      <c r="J40" s="92">
        <v>1565.1798616301298</v>
      </c>
      <c r="K40" s="92">
        <v>1037.4744009552023</v>
      </c>
      <c r="L40" s="92">
        <v>1037.4744009552023</v>
      </c>
    </row>
    <row r="41" spans="1:12">
      <c r="A41" s="29"/>
      <c r="B41" s="29" t="s">
        <v>116</v>
      </c>
      <c r="C41" s="92">
        <v>140638.56968061137</v>
      </c>
      <c r="D41" s="92">
        <v>120715.37639412704</v>
      </c>
      <c r="E41" s="92">
        <v>100219.85220282506</v>
      </c>
      <c r="F41" s="92">
        <v>74200.560030976339</v>
      </c>
      <c r="G41" s="92">
        <v>36065.06720183279</v>
      </c>
      <c r="H41" s="92">
        <v>14528.350566922156</v>
      </c>
      <c r="I41" s="92">
        <v>9568.7021909340638</v>
      </c>
      <c r="J41" s="92">
        <v>7054.6841600249645</v>
      </c>
      <c r="K41" s="92">
        <v>4653.3288985320478</v>
      </c>
      <c r="L41" s="92">
        <v>3738.4074224753472</v>
      </c>
    </row>
    <row r="42" spans="1:12">
      <c r="A42" s="29"/>
      <c r="B42" s="29" t="s">
        <v>117</v>
      </c>
      <c r="C42" s="92">
        <v>113824.17909498258</v>
      </c>
      <c r="D42" s="92">
        <v>101054.31686912739</v>
      </c>
      <c r="E42" s="92">
        <v>92340.371195758984</v>
      </c>
      <c r="F42" s="92">
        <v>75260.265968611973</v>
      </c>
      <c r="G42" s="92">
        <v>47579.004583086229</v>
      </c>
      <c r="H42" s="92">
        <v>23080.170732605275</v>
      </c>
      <c r="I42" s="92">
        <v>11552.614583174036</v>
      </c>
      <c r="J42" s="92">
        <v>6828.6484439930882</v>
      </c>
      <c r="K42" s="92">
        <v>2755.1993210409737</v>
      </c>
      <c r="L42" s="92">
        <v>1739.8648640375843</v>
      </c>
    </row>
    <row r="43" spans="1:12">
      <c r="A43" s="29"/>
      <c r="B43" s="29" t="s">
        <v>118</v>
      </c>
      <c r="C43" s="92">
        <v>125798.50290359541</v>
      </c>
      <c r="D43" s="92">
        <v>110070.10881045216</v>
      </c>
      <c r="E43" s="92">
        <v>98300.999564209342</v>
      </c>
      <c r="F43" s="92">
        <v>79425.024579654084</v>
      </c>
      <c r="G43" s="92">
        <v>54571.893682808099</v>
      </c>
      <c r="H43" s="92">
        <v>35565.892598293838</v>
      </c>
      <c r="I43" s="92">
        <v>20965.586486993187</v>
      </c>
      <c r="J43" s="92">
        <v>14458.200840153948</v>
      </c>
      <c r="K43" s="92">
        <v>7329.2706461024281</v>
      </c>
      <c r="L43" s="92">
        <v>3660.632504775594</v>
      </c>
    </row>
    <row r="44" spans="1:12">
      <c r="A44" s="29"/>
      <c r="B44" s="29"/>
    </row>
    <row r="45" spans="1:12">
      <c r="A45" s="30" t="s">
        <v>50</v>
      </c>
      <c r="B45" s="30" t="s">
        <v>48</v>
      </c>
      <c r="C45" s="40">
        <v>417206.9213074724</v>
      </c>
      <c r="D45" s="40">
        <v>363941.74276946136</v>
      </c>
      <c r="E45" s="40">
        <v>329415.97547829687</v>
      </c>
      <c r="F45" s="40">
        <v>264590.35279678431</v>
      </c>
      <c r="G45" s="40">
        <v>145160.68934974016</v>
      </c>
      <c r="H45" s="40">
        <v>82706.700385470293</v>
      </c>
      <c r="I45" s="40">
        <v>47966.533023530006</v>
      </c>
      <c r="J45" s="40">
        <v>27231.370138290171</v>
      </c>
      <c r="K45" s="40">
        <v>21811.289687443848</v>
      </c>
      <c r="L45" s="40">
        <v>17052.562089627234</v>
      </c>
    </row>
    <row r="46" spans="1:12">
      <c r="A46" s="29" t="s">
        <v>52</v>
      </c>
      <c r="B46" s="29" t="s">
        <v>115</v>
      </c>
      <c r="C46" s="92">
        <v>91772.348543422428</v>
      </c>
      <c r="D46" s="92">
        <v>72714.018109380282</v>
      </c>
      <c r="E46" s="92">
        <v>66845.464120143442</v>
      </c>
      <c r="F46" s="92">
        <v>48597.411845665047</v>
      </c>
      <c r="G46" s="92">
        <v>20881.819252518839</v>
      </c>
      <c r="H46" s="92">
        <v>13766.638164075001</v>
      </c>
      <c r="I46" s="92">
        <v>10607.350436349432</v>
      </c>
      <c r="J46" s="92">
        <v>6021.7286193722593</v>
      </c>
      <c r="K46" s="92">
        <v>5422.6256738921702</v>
      </c>
      <c r="L46" s="92">
        <v>5422.6256738921702</v>
      </c>
    </row>
    <row r="47" spans="1:12">
      <c r="A47" s="29"/>
      <c r="B47" s="29" t="s">
        <v>116</v>
      </c>
      <c r="C47" s="92">
        <v>134831.75623330614</v>
      </c>
      <c r="D47" s="92">
        <v>115991.26236399116</v>
      </c>
      <c r="E47" s="92">
        <v>104615.25058876205</v>
      </c>
      <c r="F47" s="92">
        <v>88043.725910242007</v>
      </c>
      <c r="G47" s="92">
        <v>43689.483899630002</v>
      </c>
      <c r="H47" s="92">
        <v>22177.298998042883</v>
      </c>
      <c r="I47" s="92">
        <v>9164.1189786285868</v>
      </c>
      <c r="J47" s="92">
        <v>4645.284384793008</v>
      </c>
      <c r="K47" s="92">
        <v>4143.3081278616401</v>
      </c>
      <c r="L47" s="92">
        <v>3566.9643078840681</v>
      </c>
    </row>
    <row r="48" spans="1:12">
      <c r="A48" s="29"/>
      <c r="B48" s="29" t="s">
        <v>117</v>
      </c>
      <c r="C48" s="92">
        <v>97642.038755117857</v>
      </c>
      <c r="D48" s="92">
        <v>89552.27733292598</v>
      </c>
      <c r="E48" s="92">
        <v>80114.12683759864</v>
      </c>
      <c r="F48" s="92">
        <v>65310.435231107636</v>
      </c>
      <c r="G48" s="92">
        <v>38584.742503300855</v>
      </c>
      <c r="H48" s="92">
        <v>22763.687666640497</v>
      </c>
      <c r="I48" s="92">
        <v>12373.814290922581</v>
      </c>
      <c r="J48" s="92">
        <v>9470.2845068127754</v>
      </c>
      <c r="K48" s="92">
        <v>6808.3145181570362</v>
      </c>
      <c r="L48" s="92">
        <v>5531.7708419857418</v>
      </c>
    </row>
    <row r="49" spans="1:12">
      <c r="A49" s="29"/>
      <c r="B49" s="29" t="s">
        <v>118</v>
      </c>
      <c r="C49" s="92">
        <v>92960.777775625786</v>
      </c>
      <c r="D49" s="92">
        <v>85684.184963163774</v>
      </c>
      <c r="E49" s="92">
        <v>77841.133931792632</v>
      </c>
      <c r="F49" s="92">
        <v>62638.779809769636</v>
      </c>
      <c r="G49" s="92">
        <v>42004.64369429036</v>
      </c>
      <c r="H49" s="92">
        <v>23999.075556711927</v>
      </c>
      <c r="I49" s="92">
        <v>15821.249317629405</v>
      </c>
      <c r="J49" s="92">
        <v>7094.0726273121272</v>
      </c>
      <c r="K49" s="92">
        <v>5437.0413675330037</v>
      </c>
      <c r="L49" s="92">
        <v>2531.2012658652561</v>
      </c>
    </row>
    <row r="50" spans="1:12">
      <c r="A50" s="111"/>
      <c r="B50" s="111"/>
      <c r="C50" s="100"/>
      <c r="D50" s="100"/>
      <c r="E50" s="100"/>
      <c r="F50" s="100"/>
      <c r="G50" s="100"/>
      <c r="H50" s="100"/>
      <c r="I50" s="100"/>
      <c r="J50" s="100"/>
      <c r="K50" s="100"/>
      <c r="L50" s="100"/>
    </row>
    <row r="51" spans="1:12">
      <c r="A51" s="16" t="s">
        <v>121</v>
      </c>
    </row>
    <row r="52" spans="1:12">
      <c r="A52" s="115" t="s">
        <v>108</v>
      </c>
    </row>
    <row r="53" spans="1:12">
      <c r="A53" s="16" t="s">
        <v>112</v>
      </c>
    </row>
    <row r="54" spans="1:12">
      <c r="A54" s="16" t="s">
        <v>113</v>
      </c>
    </row>
    <row r="55" spans="1:12">
      <c r="A55" s="21" t="s">
        <v>111</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25 B31 B37 B43 B49 B1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1" formatCode="\*\*0.0%"/>
            </x14:dxf>
          </x14:cfRule>
          <x14:cfRule type="expression" priority="4" id="{1E21C768-CB14-416E-AAAC-77710CCF2246}">
            <xm:f>C33&lt;'27'!$D$103</xm:f>
            <x14:dxf>
              <font>
                <color rgb="FF00B050"/>
              </font>
              <numFmt numFmtId="170"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69" formatCode="\*\*#,###,###,##0"/>
            </x14:dxf>
          </x14:cfRule>
          <x14:cfRule type="expression" priority="2" id="{7C976751-4B44-40B9-A498-16EAA96732F5}">
            <xm:f>C33&lt;'27'!$D$103</xm:f>
            <x14:dxf>
              <font>
                <color rgb="FF00B050"/>
              </font>
              <numFmt numFmtId="168"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24"/>
      <c r="B1" s="24"/>
      <c r="C1" s="24"/>
      <c r="D1" s="24"/>
      <c r="E1" s="24"/>
      <c r="F1" s="24"/>
      <c r="G1" s="24"/>
      <c r="H1" s="24"/>
      <c r="I1" s="24"/>
      <c r="J1" s="24"/>
      <c r="K1" s="24"/>
      <c r="L1" s="24"/>
      <c r="M1" s="24"/>
      <c r="N1" s="24"/>
      <c r="O1" s="24"/>
      <c r="P1" s="24"/>
      <c r="Q1" s="24"/>
      <c r="R1" s="24"/>
    </row>
    <row r="2" spans="1:18">
      <c r="A2" s="24"/>
      <c r="B2" s="24"/>
      <c r="C2" s="24"/>
      <c r="D2" s="24"/>
      <c r="E2" s="24"/>
      <c r="F2" s="24"/>
      <c r="G2" s="24"/>
      <c r="H2" s="24"/>
      <c r="I2" s="24"/>
      <c r="J2" s="24"/>
      <c r="K2" s="24"/>
      <c r="L2" s="24"/>
      <c r="M2" s="24"/>
      <c r="N2" s="24"/>
      <c r="O2" s="24"/>
      <c r="P2" s="24"/>
      <c r="Q2" s="24"/>
      <c r="R2" s="24"/>
    </row>
    <row r="3" spans="1:18">
      <c r="A3" s="24"/>
      <c r="B3" s="24"/>
      <c r="C3" s="24"/>
      <c r="D3" s="24"/>
      <c r="E3" s="24"/>
      <c r="F3" s="24"/>
      <c r="G3" s="24"/>
      <c r="H3" s="24"/>
      <c r="I3" s="24"/>
      <c r="J3" s="24"/>
      <c r="K3" s="24"/>
      <c r="L3" s="24"/>
      <c r="M3" s="24"/>
      <c r="N3" s="24"/>
      <c r="O3" s="24"/>
      <c r="P3" s="24"/>
      <c r="Q3" s="24"/>
      <c r="R3" s="24"/>
    </row>
    <row r="4" spans="1:18">
      <c r="A4" s="24"/>
      <c r="B4" s="24"/>
      <c r="C4" s="24"/>
      <c r="D4" s="24"/>
      <c r="E4" s="24"/>
      <c r="F4" s="24"/>
      <c r="G4" s="24"/>
      <c r="H4" s="24"/>
      <c r="I4" s="24"/>
      <c r="J4" s="24"/>
      <c r="K4" s="24"/>
      <c r="L4" s="24"/>
      <c r="M4" s="24"/>
      <c r="N4" s="24"/>
      <c r="O4" s="24"/>
      <c r="P4" s="24"/>
      <c r="Q4" s="24"/>
      <c r="R4" s="24"/>
    </row>
    <row r="5" spans="1:18">
      <c r="A5" s="24"/>
      <c r="B5" s="24"/>
      <c r="C5" s="24"/>
      <c r="D5" s="24"/>
      <c r="E5" s="24"/>
      <c r="F5" s="24"/>
      <c r="G5" s="24"/>
      <c r="H5" s="24"/>
      <c r="I5" s="24"/>
      <c r="J5" s="24"/>
      <c r="K5" s="24"/>
      <c r="L5" s="24"/>
      <c r="M5" s="24"/>
      <c r="N5" s="24"/>
      <c r="O5" s="24"/>
      <c r="P5" s="24"/>
      <c r="Q5" s="24"/>
      <c r="R5" s="24"/>
    </row>
    <row r="6" spans="1:18">
      <c r="A6" s="24"/>
      <c r="B6" s="24"/>
      <c r="C6" s="24"/>
      <c r="D6" s="24"/>
      <c r="E6" s="24"/>
      <c r="F6" s="24"/>
      <c r="G6" s="24"/>
      <c r="H6" s="24"/>
      <c r="I6" s="24"/>
      <c r="J6" s="24"/>
      <c r="K6" s="24"/>
      <c r="L6" s="24"/>
      <c r="M6" s="24"/>
      <c r="N6" s="24"/>
      <c r="O6" s="24"/>
      <c r="P6" s="24"/>
      <c r="Q6" s="24"/>
      <c r="R6" s="24"/>
    </row>
    <row r="7" spans="1:18">
      <c r="A7" s="24"/>
      <c r="B7" s="24"/>
      <c r="C7" s="24"/>
      <c r="D7" s="24"/>
      <c r="E7" s="24"/>
      <c r="F7" s="24"/>
      <c r="G7" s="24"/>
      <c r="H7" s="24"/>
      <c r="I7" s="24"/>
      <c r="J7" s="24"/>
      <c r="K7" s="24"/>
      <c r="L7" s="24"/>
      <c r="M7" s="24"/>
      <c r="N7" s="24"/>
      <c r="O7" s="24"/>
      <c r="P7" s="24"/>
      <c r="Q7" s="24"/>
      <c r="R7" s="24"/>
    </row>
    <row r="8" spans="1:18">
      <c r="A8" s="25" t="str">
        <f>Index!A8</f>
        <v>AusPlay survey results July 2024 - June 2025</v>
      </c>
      <c r="B8" s="24"/>
      <c r="C8" s="24"/>
      <c r="D8" s="24"/>
      <c r="E8" s="24"/>
      <c r="F8" s="24"/>
      <c r="G8" s="24"/>
      <c r="H8" s="24"/>
      <c r="I8" s="24"/>
      <c r="J8" s="24"/>
      <c r="K8" s="24"/>
      <c r="L8" s="24"/>
      <c r="M8" s="24"/>
      <c r="N8" s="24"/>
      <c r="O8" s="24"/>
      <c r="P8" s="24"/>
      <c r="Q8" s="24"/>
      <c r="R8" s="24"/>
    </row>
    <row r="9" spans="1:18">
      <c r="A9" s="24" t="s">
        <v>1</v>
      </c>
      <c r="B9" s="24"/>
      <c r="C9" s="133" t="s">
        <v>2</v>
      </c>
      <c r="D9" s="24"/>
      <c r="E9" s="24"/>
      <c r="F9" s="24"/>
      <c r="G9" s="24"/>
      <c r="H9" s="24"/>
      <c r="I9" s="24"/>
      <c r="J9" s="24"/>
      <c r="K9" s="24"/>
      <c r="L9" s="24"/>
      <c r="M9" s="24"/>
      <c r="N9" s="24"/>
      <c r="O9" s="24"/>
      <c r="P9" s="24"/>
      <c r="Q9" s="24"/>
      <c r="R9" s="24"/>
    </row>
    <row r="10" spans="1:18">
      <c r="A10" s="24" t="s">
        <v>40</v>
      </c>
      <c r="B10" s="24"/>
      <c r="C10" s="26">
        <v>11</v>
      </c>
      <c r="D10" s="24"/>
      <c r="E10" s="24"/>
      <c r="F10" s="24"/>
      <c r="G10" s="24"/>
      <c r="H10" s="24"/>
      <c r="I10" s="24"/>
      <c r="J10" s="24"/>
      <c r="K10" s="24"/>
      <c r="L10" s="24"/>
      <c r="M10" s="24"/>
      <c r="N10" s="24"/>
      <c r="O10" s="24"/>
      <c r="P10" s="24"/>
      <c r="Q10" s="24"/>
      <c r="R10" s="24"/>
    </row>
    <row r="11" spans="1:18">
      <c r="A11" s="24" t="s">
        <v>3</v>
      </c>
      <c r="B11" s="24"/>
      <c r="C11" s="25" t="s">
        <v>20</v>
      </c>
      <c r="D11" s="24"/>
      <c r="E11" s="24"/>
      <c r="F11" s="24"/>
      <c r="G11" s="24"/>
      <c r="H11" s="24"/>
      <c r="I11" s="24"/>
      <c r="J11" s="24"/>
      <c r="K11" s="24"/>
      <c r="L11" s="24"/>
      <c r="M11" s="24"/>
      <c r="N11" s="24"/>
      <c r="O11" s="24"/>
      <c r="P11" s="24"/>
      <c r="Q11" s="24"/>
      <c r="R11" s="24"/>
    </row>
    <row r="12" spans="1:18">
      <c r="A12" s="109" t="s">
        <v>41</v>
      </c>
      <c r="B12" s="109"/>
      <c r="C12" s="110" t="s">
        <v>176</v>
      </c>
      <c r="D12" s="109"/>
      <c r="E12" s="109"/>
      <c r="F12" s="109"/>
      <c r="G12" s="109"/>
      <c r="H12" s="109"/>
      <c r="I12" s="109"/>
      <c r="J12" s="109"/>
      <c r="K12" s="109"/>
      <c r="L12" s="109"/>
      <c r="M12" s="109"/>
      <c r="N12" s="109"/>
      <c r="O12" s="109"/>
      <c r="P12" s="109"/>
      <c r="Q12" s="109"/>
      <c r="R12" s="109"/>
    </row>
    <row r="13" spans="1:18" s="87" customFormat="1" ht="50.1" customHeight="1">
      <c r="A13" s="55"/>
      <c r="B13" s="55"/>
      <c r="C13" s="55" t="s">
        <v>177</v>
      </c>
      <c r="D13" s="55" t="s">
        <v>178</v>
      </c>
      <c r="E13" s="55" t="s">
        <v>179</v>
      </c>
      <c r="F13" s="55" t="s">
        <v>180</v>
      </c>
      <c r="G13" s="55" t="s">
        <v>181</v>
      </c>
      <c r="H13" s="55" t="s">
        <v>182</v>
      </c>
      <c r="I13" s="55" t="s">
        <v>183</v>
      </c>
      <c r="J13" s="55" t="s">
        <v>184</v>
      </c>
      <c r="K13" s="55" t="s">
        <v>185</v>
      </c>
      <c r="L13" s="55" t="s">
        <v>186</v>
      </c>
      <c r="M13" s="55" t="s">
        <v>187</v>
      </c>
      <c r="N13" s="55" t="s">
        <v>188</v>
      </c>
      <c r="O13" s="55" t="s">
        <v>189</v>
      </c>
      <c r="P13" s="55" t="s">
        <v>190</v>
      </c>
      <c r="Q13" s="55" t="s">
        <v>191</v>
      </c>
      <c r="R13" s="55" t="s">
        <v>192</v>
      </c>
    </row>
    <row r="14" spans="1:18">
      <c r="A14" s="57"/>
      <c r="B14" s="57"/>
      <c r="C14" s="160" t="s">
        <v>193</v>
      </c>
      <c r="D14" s="160"/>
      <c r="E14" s="160"/>
      <c r="F14" s="160"/>
      <c r="G14" s="160"/>
      <c r="H14" s="160"/>
      <c r="I14" s="160"/>
      <c r="J14" s="160"/>
      <c r="K14" s="160"/>
      <c r="L14" s="160"/>
      <c r="M14" s="160"/>
      <c r="N14" s="160"/>
      <c r="O14" s="160"/>
      <c r="P14" s="160"/>
      <c r="Q14" s="160"/>
      <c r="R14" s="160"/>
    </row>
    <row r="15" spans="1:18">
      <c r="A15" s="30" t="s">
        <v>174</v>
      </c>
      <c r="B15" s="30" t="s">
        <v>48</v>
      </c>
      <c r="C15" s="23">
        <v>0.63988540051162779</v>
      </c>
      <c r="D15" s="23">
        <v>0.58130012795848196</v>
      </c>
      <c r="E15" s="23">
        <v>0.52062684642468726</v>
      </c>
      <c r="F15" s="23">
        <v>0.49963317180549227</v>
      </c>
      <c r="G15" s="23">
        <v>0.43667965043549206</v>
      </c>
      <c r="H15" s="23">
        <v>0.3649788263657387</v>
      </c>
      <c r="I15" s="23">
        <v>0.31257808202056264</v>
      </c>
      <c r="J15" s="23">
        <v>0.29270091697391643</v>
      </c>
      <c r="K15" s="23">
        <v>0.21927799180728261</v>
      </c>
      <c r="L15" s="23">
        <v>0.20189522546990335</v>
      </c>
      <c r="M15" s="23">
        <v>0.14521284347005317</v>
      </c>
      <c r="N15" s="23">
        <v>0.142194746459812</v>
      </c>
      <c r="O15" s="23">
        <v>0.12881773827019324</v>
      </c>
      <c r="P15" s="23">
        <v>0.12827661354507111</v>
      </c>
      <c r="Q15" s="23">
        <v>8.938667945074498E-2</v>
      </c>
      <c r="R15" s="23">
        <v>4.3699090806924898E-2</v>
      </c>
    </row>
    <row r="16" spans="1:18">
      <c r="A16" s="29" t="s">
        <v>52</v>
      </c>
      <c r="B16" s="29" t="s">
        <v>53</v>
      </c>
      <c r="C16" s="90">
        <v>0.53857609832754061</v>
      </c>
      <c r="D16" s="90">
        <v>0.73576457414810936</v>
      </c>
      <c r="E16" s="90">
        <v>0.34800405610999635</v>
      </c>
      <c r="F16" s="90">
        <v>0.51211556172047701</v>
      </c>
      <c r="G16" s="90">
        <v>0.59825662785437317</v>
      </c>
      <c r="H16" s="90">
        <v>0.21231120952167787</v>
      </c>
      <c r="I16" s="90">
        <v>0.33811108646123289</v>
      </c>
      <c r="J16" s="90">
        <v>0.53984653353148526</v>
      </c>
      <c r="K16" s="90">
        <v>0.18839305451622654</v>
      </c>
      <c r="L16" s="90">
        <v>0.31840930876930917</v>
      </c>
      <c r="M16" s="90">
        <v>0.29510997544184336</v>
      </c>
      <c r="N16" s="90">
        <v>0.30319097538227519</v>
      </c>
      <c r="O16" s="90">
        <v>0.24852540034459533</v>
      </c>
      <c r="P16" s="90">
        <v>5.9698998096107951E-2</v>
      </c>
      <c r="Q16" s="90">
        <v>9.0451066987166123E-2</v>
      </c>
      <c r="R16" s="90">
        <v>5.2949860389799722E-2</v>
      </c>
    </row>
    <row r="17" spans="1:18">
      <c r="A17" s="29"/>
      <c r="B17" s="29" t="s">
        <v>54</v>
      </c>
      <c r="C17" s="90">
        <v>0.59002890280431519</v>
      </c>
      <c r="D17" s="90">
        <v>0.65522063703798006</v>
      </c>
      <c r="E17" s="90">
        <v>0.49627859332415442</v>
      </c>
      <c r="F17" s="90">
        <v>0.45875768358510483</v>
      </c>
      <c r="G17" s="90">
        <v>0.54249718293603921</v>
      </c>
      <c r="H17" s="90">
        <v>0.35314104503458904</v>
      </c>
      <c r="I17" s="90">
        <v>0.35473813415811545</v>
      </c>
      <c r="J17" s="90">
        <v>0.47248404545736294</v>
      </c>
      <c r="K17" s="90">
        <v>0.17531507653441439</v>
      </c>
      <c r="L17" s="90">
        <v>0.3215722182871128</v>
      </c>
      <c r="M17" s="90">
        <v>0.27133316527943485</v>
      </c>
      <c r="N17" s="90">
        <v>0.24567266928505016</v>
      </c>
      <c r="O17" s="90">
        <v>0.15080856988423008</v>
      </c>
      <c r="P17" s="90">
        <v>9.973616789985866E-2</v>
      </c>
      <c r="Q17" s="90">
        <v>0.10494008781356033</v>
      </c>
      <c r="R17" s="90">
        <v>8.6041065378405973E-2</v>
      </c>
    </row>
    <row r="18" spans="1:18">
      <c r="A18" s="29"/>
      <c r="B18" s="29" t="s">
        <v>55</v>
      </c>
      <c r="C18" s="90">
        <v>0.57844223567802733</v>
      </c>
      <c r="D18" s="90">
        <v>0.60492227657391806</v>
      </c>
      <c r="E18" s="90">
        <v>0.54803242391581086</v>
      </c>
      <c r="F18" s="90">
        <v>0.48001077950434795</v>
      </c>
      <c r="G18" s="90">
        <v>0.4985112946290024</v>
      </c>
      <c r="H18" s="90">
        <v>0.40326877722654925</v>
      </c>
      <c r="I18" s="90">
        <v>0.34149333549044492</v>
      </c>
      <c r="J18" s="90">
        <v>0.41732714218655736</v>
      </c>
      <c r="K18" s="90">
        <v>0.22503069791807592</v>
      </c>
      <c r="L18" s="90">
        <v>0.26975337218559947</v>
      </c>
      <c r="M18" s="90">
        <v>0.21929793508074022</v>
      </c>
      <c r="N18" s="90">
        <v>0.18120603231160831</v>
      </c>
      <c r="O18" s="90">
        <v>0.14026833226091789</v>
      </c>
      <c r="P18" s="90">
        <v>0.13002831537371656</v>
      </c>
      <c r="Q18" s="90">
        <v>0.10669086482057616</v>
      </c>
      <c r="R18" s="90">
        <v>6.8039158747962319E-2</v>
      </c>
    </row>
    <row r="19" spans="1:18">
      <c r="A19" s="29"/>
      <c r="B19" s="29" t="s">
        <v>56</v>
      </c>
      <c r="C19" s="90">
        <v>0.60509388873850001</v>
      </c>
      <c r="D19" s="90">
        <v>0.5846256061967231</v>
      </c>
      <c r="E19" s="90">
        <v>0.5211257303220419</v>
      </c>
      <c r="F19" s="90">
        <v>0.4575715134938817</v>
      </c>
      <c r="G19" s="90">
        <v>0.39176285461934451</v>
      </c>
      <c r="H19" s="90">
        <v>0.38813389376790502</v>
      </c>
      <c r="I19" s="90">
        <v>0.28474881236002986</v>
      </c>
      <c r="J19" s="90">
        <v>0.29817457587105595</v>
      </c>
      <c r="K19" s="90">
        <v>0.19209716631804347</v>
      </c>
      <c r="L19" s="90">
        <v>0.20159563092543065</v>
      </c>
      <c r="M19" s="90">
        <v>0.11761524520968755</v>
      </c>
      <c r="N19" s="90">
        <v>0.12387253131824971</v>
      </c>
      <c r="O19" s="90">
        <v>0.13059039381837387</v>
      </c>
      <c r="P19" s="90">
        <v>0.12177793268615603</v>
      </c>
      <c r="Q19" s="90">
        <v>0.11270442613434525</v>
      </c>
      <c r="R19" s="90">
        <v>4.6228151472677677E-2</v>
      </c>
    </row>
    <row r="20" spans="1:18">
      <c r="A20" s="29"/>
      <c r="B20" s="29" t="s">
        <v>57</v>
      </c>
      <c r="C20" s="90">
        <v>0.65337467419731299</v>
      </c>
      <c r="D20" s="90">
        <v>0.55565338642485429</v>
      </c>
      <c r="E20" s="90">
        <v>0.55891604562661734</v>
      </c>
      <c r="F20" s="90">
        <v>0.50619382248806755</v>
      </c>
      <c r="G20" s="90">
        <v>0.37115002553642462</v>
      </c>
      <c r="H20" s="90">
        <v>0.39745030848923124</v>
      </c>
      <c r="I20" s="90">
        <v>0.27520029034765758</v>
      </c>
      <c r="J20" s="90">
        <v>0.20738374030436363</v>
      </c>
      <c r="K20" s="90">
        <v>0.24928028287235185</v>
      </c>
      <c r="L20" s="90">
        <v>0.18318932646105515</v>
      </c>
      <c r="M20" s="90">
        <v>9.968060954971171E-2</v>
      </c>
      <c r="N20" s="90">
        <v>9.5327059062488631E-2</v>
      </c>
      <c r="O20" s="90">
        <v>0.14393839314914117</v>
      </c>
      <c r="P20" s="90">
        <v>0.1238351979221098</v>
      </c>
      <c r="Q20" s="90">
        <v>0.11729262419477914</v>
      </c>
      <c r="R20" s="90">
        <v>3.0291078926874281E-2</v>
      </c>
    </row>
    <row r="21" spans="1:18">
      <c r="A21" s="29"/>
      <c r="B21" s="29" t="s">
        <v>58</v>
      </c>
      <c r="C21" s="90">
        <v>0.69247599270686588</v>
      </c>
      <c r="D21" s="90">
        <v>0.56767840017357507</v>
      </c>
      <c r="E21" s="90">
        <v>0.61163683015947756</v>
      </c>
      <c r="F21" s="90">
        <v>0.55704179363291761</v>
      </c>
      <c r="G21" s="90">
        <v>0.3626962618273224</v>
      </c>
      <c r="H21" s="90">
        <v>0.40327245919462573</v>
      </c>
      <c r="I21" s="90">
        <v>0.27869592474320548</v>
      </c>
      <c r="J21" s="90">
        <v>0.17329231585014837</v>
      </c>
      <c r="K21" s="90">
        <v>0.27618983842611533</v>
      </c>
      <c r="L21" s="90">
        <v>0.141090489836039</v>
      </c>
      <c r="M21" s="90">
        <v>7.7294502840408438E-2</v>
      </c>
      <c r="N21" s="90">
        <v>7.994738280307033E-2</v>
      </c>
      <c r="O21" s="90">
        <v>0.11504035550384856</v>
      </c>
      <c r="P21" s="90">
        <v>0.14092598468180087</v>
      </c>
      <c r="Q21" s="90">
        <v>5.6246569127126993E-2</v>
      </c>
      <c r="R21" s="90">
        <v>2.2032116641590174E-2</v>
      </c>
    </row>
    <row r="22" spans="1:18">
      <c r="A22" s="29"/>
      <c r="B22" s="29" t="s">
        <v>59</v>
      </c>
      <c r="C22" s="90">
        <v>0.74525359926186818</v>
      </c>
      <c r="D22" s="90">
        <v>0.50149563573486777</v>
      </c>
      <c r="E22" s="90">
        <v>0.44871861947274488</v>
      </c>
      <c r="F22" s="90">
        <v>0.53920002827002345</v>
      </c>
      <c r="G22" s="90">
        <v>0.41735540958445111</v>
      </c>
      <c r="H22" s="90">
        <v>0.28915324062118702</v>
      </c>
      <c r="I22" s="90">
        <v>0.33122032275824231</v>
      </c>
      <c r="J22" s="90">
        <v>0.1391941707684074</v>
      </c>
      <c r="K22" s="90">
        <v>0.2098929705456016</v>
      </c>
      <c r="L22" s="90">
        <v>8.4994131316448424E-2</v>
      </c>
      <c r="M22" s="90">
        <v>6.425723818893686E-2</v>
      </c>
      <c r="N22" s="90">
        <v>9.8722290546129299E-2</v>
      </c>
      <c r="O22" s="90">
        <v>7.1171733385590699E-2</v>
      </c>
      <c r="P22" s="90">
        <v>0.16142986927054764</v>
      </c>
      <c r="Q22" s="90">
        <v>3.8099452750542884E-2</v>
      </c>
      <c r="R22" s="90">
        <v>1.2291861009934716E-2</v>
      </c>
    </row>
    <row r="23" spans="1:18">
      <c r="A23" s="29"/>
      <c r="B23" s="29"/>
    </row>
    <row r="24" spans="1:18">
      <c r="A24" s="30" t="s">
        <v>49</v>
      </c>
      <c r="B24" s="30" t="s">
        <v>48</v>
      </c>
      <c r="C24" s="103">
        <v>0.61200642152520524</v>
      </c>
      <c r="D24" s="103">
        <v>0.59258546287219238</v>
      </c>
      <c r="E24" s="103">
        <v>0.49293973239180972</v>
      </c>
      <c r="F24" s="103">
        <v>0.46037627377810497</v>
      </c>
      <c r="G24" s="103">
        <v>0.42519751644075204</v>
      </c>
      <c r="H24" s="103">
        <v>0.30822537693775942</v>
      </c>
      <c r="I24" s="103">
        <v>0.30972572791586495</v>
      </c>
      <c r="J24" s="103">
        <v>0.32436349145529508</v>
      </c>
      <c r="K24" s="103">
        <v>0.1744117170636211</v>
      </c>
      <c r="L24" s="103">
        <v>0.24497468800005315</v>
      </c>
      <c r="M24" s="103">
        <v>0.13542982828115283</v>
      </c>
      <c r="N24" s="103">
        <v>0.18973888641139183</v>
      </c>
      <c r="O24" s="103">
        <v>0.1208094570948394</v>
      </c>
      <c r="P24" s="103">
        <v>0.10979585760412694</v>
      </c>
      <c r="Q24" s="103">
        <v>9.3282901894398015E-2</v>
      </c>
      <c r="R24" s="103">
        <v>5.2776866998506297E-2</v>
      </c>
    </row>
    <row r="25" spans="1:18">
      <c r="A25" s="29" t="s">
        <v>52</v>
      </c>
      <c r="B25" s="29" t="s">
        <v>53</v>
      </c>
      <c r="C25" s="10">
        <v>0.54155079535762463</v>
      </c>
      <c r="D25" s="10">
        <v>0.74578727011142554</v>
      </c>
      <c r="E25" s="10">
        <v>0.20056701097233373</v>
      </c>
      <c r="F25" s="10">
        <v>0.34526914369278727</v>
      </c>
      <c r="G25" s="10">
        <v>0.64374572113822226</v>
      </c>
      <c r="H25" s="10">
        <v>0.13124747509718193</v>
      </c>
      <c r="I25" s="10">
        <v>0.25829617214778167</v>
      </c>
      <c r="J25" s="10">
        <v>0.52773035920383138</v>
      </c>
      <c r="K25" s="10">
        <v>6.8042970810917189E-2</v>
      </c>
      <c r="L25" s="10">
        <v>0.41394719849412814</v>
      </c>
      <c r="M25" s="10">
        <v>0.24633657850046939</v>
      </c>
      <c r="N25" s="10">
        <v>0.35304298772740011</v>
      </c>
      <c r="O25" s="10">
        <v>0.14323392988710426</v>
      </c>
      <c r="P25" s="10">
        <v>2.0789360123643463E-2</v>
      </c>
      <c r="Q25" s="10">
        <v>0.10093721778928641</v>
      </c>
      <c r="R25" s="10">
        <v>4.1923560783870439E-2</v>
      </c>
    </row>
    <row r="26" spans="1:18">
      <c r="A26" s="29"/>
      <c r="B26" s="29" t="s">
        <v>54</v>
      </c>
      <c r="C26" s="10">
        <v>0.54034106174467555</v>
      </c>
      <c r="D26" s="10">
        <v>0.6506014717040034</v>
      </c>
      <c r="E26" s="10">
        <v>0.43705333033824434</v>
      </c>
      <c r="F26" s="10">
        <v>0.38895300865572729</v>
      </c>
      <c r="G26" s="10">
        <v>0.52519402075162314</v>
      </c>
      <c r="H26" s="10">
        <v>0.27784149820095488</v>
      </c>
      <c r="I26" s="10">
        <v>0.34795964100886834</v>
      </c>
      <c r="J26" s="10">
        <v>0.50809701342659952</v>
      </c>
      <c r="K26" s="10">
        <v>0.11328760844054134</v>
      </c>
      <c r="L26" s="10">
        <v>0.36987295645861168</v>
      </c>
      <c r="M26" s="10">
        <v>0.2579807889386363</v>
      </c>
      <c r="N26" s="10">
        <v>0.29482822340658871</v>
      </c>
      <c r="O26" s="10">
        <v>0.13351687348250177</v>
      </c>
      <c r="P26" s="10">
        <v>0.10057108997006724</v>
      </c>
      <c r="Q26" s="10">
        <v>0.13004219657339483</v>
      </c>
      <c r="R26" s="10">
        <v>0.10042300259944537</v>
      </c>
    </row>
    <row r="27" spans="1:18">
      <c r="A27" s="29"/>
      <c r="B27" s="29" t="s">
        <v>55</v>
      </c>
      <c r="C27" s="10">
        <v>0.52654849315204411</v>
      </c>
      <c r="D27" s="10">
        <v>0.59971814043038174</v>
      </c>
      <c r="E27" s="10">
        <v>0.48115267858007305</v>
      </c>
      <c r="F27" s="10">
        <v>0.4111006925271577</v>
      </c>
      <c r="G27" s="10">
        <v>0.48584826508695078</v>
      </c>
      <c r="H27" s="10">
        <v>0.33036766834655995</v>
      </c>
      <c r="I27" s="10">
        <v>0.32080300420713692</v>
      </c>
      <c r="J27" s="10">
        <v>0.4362015175095782</v>
      </c>
      <c r="K27" s="10">
        <v>0.15219042286251788</v>
      </c>
      <c r="L27" s="10">
        <v>0.30850397156570564</v>
      </c>
      <c r="M27" s="10">
        <v>0.20592107788996858</v>
      </c>
      <c r="N27" s="10">
        <v>0.24118480174689735</v>
      </c>
      <c r="O27" s="10">
        <v>0.13262602841172694</v>
      </c>
      <c r="P27" s="10">
        <v>0.11087098382592257</v>
      </c>
      <c r="Q27" s="10">
        <v>0.1074541680240271</v>
      </c>
      <c r="R27" s="10">
        <v>8.0392548476966225E-2</v>
      </c>
    </row>
    <row r="28" spans="1:18">
      <c r="A28" s="29"/>
      <c r="B28" s="29" t="s">
        <v>56</v>
      </c>
      <c r="C28" s="10">
        <v>0.56206514893207671</v>
      </c>
      <c r="D28" s="10">
        <v>0.58967535416602435</v>
      </c>
      <c r="E28" s="10">
        <v>0.47653522116065106</v>
      </c>
      <c r="F28" s="10">
        <v>0.41773592101934248</v>
      </c>
      <c r="G28" s="10">
        <v>0.3842809532578656</v>
      </c>
      <c r="H28" s="10">
        <v>0.31716992296296731</v>
      </c>
      <c r="I28" s="10">
        <v>0.27797289710161321</v>
      </c>
      <c r="J28" s="10">
        <v>0.34167197451264336</v>
      </c>
      <c r="K28" s="10">
        <v>0.1413437061319831</v>
      </c>
      <c r="L28" s="10">
        <v>0.25213338321814671</v>
      </c>
      <c r="M28" s="10">
        <v>0.11991594124714827</v>
      </c>
      <c r="N28" s="10">
        <v>0.16281165231815731</v>
      </c>
      <c r="O28" s="10">
        <v>0.11896014243785653</v>
      </c>
      <c r="P28" s="10">
        <v>0.1068522018672444</v>
      </c>
      <c r="Q28" s="10">
        <v>0.11134755842578321</v>
      </c>
      <c r="R28" s="10">
        <v>5.4800137075009595E-2</v>
      </c>
    </row>
    <row r="29" spans="1:18">
      <c r="A29" s="29"/>
      <c r="B29" s="29" t="s">
        <v>57</v>
      </c>
      <c r="C29" s="10">
        <v>0.60345029027287622</v>
      </c>
      <c r="D29" s="10">
        <v>0.54369835843938874</v>
      </c>
      <c r="E29" s="10">
        <v>0.54760676561399924</v>
      </c>
      <c r="F29" s="10">
        <v>0.46571281461893743</v>
      </c>
      <c r="G29" s="10">
        <v>0.35938837835805226</v>
      </c>
      <c r="H29" s="10">
        <v>0.34226319554297457</v>
      </c>
      <c r="I29" s="10">
        <v>0.28206499085609316</v>
      </c>
      <c r="J29" s="10">
        <v>0.2391778698373353</v>
      </c>
      <c r="K29" s="10">
        <v>0.20022446946512737</v>
      </c>
      <c r="L29" s="10">
        <v>0.21218103365052926</v>
      </c>
      <c r="M29" s="10">
        <v>8.6742826322342301E-2</v>
      </c>
      <c r="N29" s="10">
        <v>0.13959936126175251</v>
      </c>
      <c r="O29" s="10">
        <v>0.14071635058788817</v>
      </c>
      <c r="P29" s="10">
        <v>9.7232719536075013E-2</v>
      </c>
      <c r="Q29" s="10">
        <v>0.11627415977344339</v>
      </c>
      <c r="R29" s="10">
        <v>3.889606033931866E-2</v>
      </c>
    </row>
    <row r="30" spans="1:18">
      <c r="A30" s="29"/>
      <c r="B30" s="29" t="s">
        <v>58</v>
      </c>
      <c r="C30" s="10">
        <v>0.69684954682547007</v>
      </c>
      <c r="D30" s="10">
        <v>0.5963799734503239</v>
      </c>
      <c r="E30" s="10">
        <v>0.61569469329430182</v>
      </c>
      <c r="F30" s="10">
        <v>0.52792198985009808</v>
      </c>
      <c r="G30" s="10">
        <v>0.34880523614603692</v>
      </c>
      <c r="H30" s="10">
        <v>0.3690802921929513</v>
      </c>
      <c r="I30" s="10">
        <v>0.27173553833597186</v>
      </c>
      <c r="J30" s="10">
        <v>0.22021584061723087</v>
      </c>
      <c r="K30" s="10">
        <v>0.25508562948608893</v>
      </c>
      <c r="L30" s="10">
        <v>0.19960064662928878</v>
      </c>
      <c r="M30" s="10">
        <v>7.0577427071319046E-2</v>
      </c>
      <c r="N30" s="10">
        <v>0.11879341058826676</v>
      </c>
      <c r="O30" s="10">
        <v>0.12791615053962541</v>
      </c>
      <c r="P30" s="10">
        <v>0.12504387043891116</v>
      </c>
      <c r="Q30" s="10">
        <v>5.8015133175546241E-2</v>
      </c>
      <c r="R30" s="10">
        <v>3.2808290554637576E-2</v>
      </c>
    </row>
    <row r="31" spans="1:18">
      <c r="A31" s="29"/>
      <c r="B31" s="29" t="s">
        <v>59</v>
      </c>
      <c r="C31" s="10">
        <v>0.76282595557349131</v>
      </c>
      <c r="D31" s="10">
        <v>0.55750137882686457</v>
      </c>
      <c r="E31" s="10">
        <v>0.47889089665228751</v>
      </c>
      <c r="F31" s="10">
        <v>0.57436420110737407</v>
      </c>
      <c r="G31" s="10">
        <v>0.40337810163088206</v>
      </c>
      <c r="H31" s="10">
        <v>0.25630208775821611</v>
      </c>
      <c r="I31" s="10">
        <v>0.36379967463580587</v>
      </c>
      <c r="J31" s="10">
        <v>0.16872244244923296</v>
      </c>
      <c r="K31" s="10">
        <v>0.21379778319307133</v>
      </c>
      <c r="L31" s="10">
        <v>0.11096309390427354</v>
      </c>
      <c r="M31" s="10">
        <v>5.7516393787194697E-2</v>
      </c>
      <c r="N31" s="10">
        <v>0.15222578963463734</v>
      </c>
      <c r="O31" s="10">
        <v>7.4464530474757915E-2</v>
      </c>
      <c r="P31" s="10">
        <v>0.13440728263474594</v>
      </c>
      <c r="Q31" s="10">
        <v>3.7805207023060429E-2</v>
      </c>
      <c r="R31" s="10">
        <v>1.5754770168309506E-2</v>
      </c>
    </row>
    <row r="32" spans="1:18">
      <c r="A32" s="29"/>
      <c r="B32" s="29"/>
    </row>
    <row r="33" spans="1:18">
      <c r="A33" s="30" t="s">
        <v>50</v>
      </c>
      <c r="B33" s="30" t="s">
        <v>48</v>
      </c>
      <c r="C33" s="103">
        <v>0.66798976223210482</v>
      </c>
      <c r="D33" s="103">
        <v>0.57128143905419038</v>
      </c>
      <c r="E33" s="103">
        <v>0.54898174317502157</v>
      </c>
      <c r="F33" s="103">
        <v>0.53816031702186196</v>
      </c>
      <c r="G33" s="103">
        <v>0.4485011747028384</v>
      </c>
      <c r="H33" s="103">
        <v>0.42004898793212675</v>
      </c>
      <c r="I33" s="103">
        <v>0.31456468004079036</v>
      </c>
      <c r="J33" s="103">
        <v>0.26204320538051667</v>
      </c>
      <c r="K33" s="103">
        <v>0.26308851029965585</v>
      </c>
      <c r="L33" s="103">
        <v>0.160677433245771</v>
      </c>
      <c r="M33" s="103">
        <v>0.15479426166907637</v>
      </c>
      <c r="N33" s="103">
        <v>9.6242534172488334E-2</v>
      </c>
      <c r="O33" s="103">
        <v>0.13556334282586693</v>
      </c>
      <c r="P33" s="103">
        <v>0.14618989751627456</v>
      </c>
      <c r="Q33" s="103">
        <v>8.6159327806098043E-2</v>
      </c>
      <c r="R33" s="103">
        <v>3.4469503622493382E-2</v>
      </c>
    </row>
    <row r="34" spans="1:18">
      <c r="A34" s="29" t="s">
        <v>52</v>
      </c>
      <c r="B34" s="29" t="s">
        <v>53</v>
      </c>
      <c r="C34" s="10">
        <v>0.53660596275425665</v>
      </c>
      <c r="D34" s="10">
        <v>0.72912656373634432</v>
      </c>
      <c r="E34" s="10">
        <v>0.44565130035304035</v>
      </c>
      <c r="F34" s="10">
        <v>0.6226175927196389</v>
      </c>
      <c r="G34" s="10">
        <v>0.56812929724940131</v>
      </c>
      <c r="H34" s="10">
        <v>0.26599954997377473</v>
      </c>
      <c r="I34" s="10">
        <v>0.39097233598591119</v>
      </c>
      <c r="J34" s="10">
        <v>0.54787105025154792</v>
      </c>
      <c r="K34" s="10">
        <v>0.26810066129354865</v>
      </c>
      <c r="L34" s="10">
        <v>0.25513476576884569</v>
      </c>
      <c r="M34" s="10">
        <v>0.32741249343689993</v>
      </c>
      <c r="N34" s="10">
        <v>0.27017409267870229</v>
      </c>
      <c r="O34" s="10">
        <v>0.31825971930678071</v>
      </c>
      <c r="P34" s="10">
        <v>8.5468769315804591E-2</v>
      </c>
      <c r="Q34" s="10">
        <v>8.3506111412480308E-2</v>
      </c>
      <c r="R34" s="10">
        <v>6.0252555378781991E-2</v>
      </c>
    </row>
    <row r="35" spans="1:18">
      <c r="A35" s="29"/>
      <c r="B35" s="29" t="s">
        <v>54</v>
      </c>
      <c r="C35" s="10">
        <v>0.6472525027522833</v>
      </c>
      <c r="D35" s="10">
        <v>0.6580623879230687</v>
      </c>
      <c r="E35" s="10">
        <v>0.56764705773816193</v>
      </c>
      <c r="F35" s="10">
        <v>0.53565485506220667</v>
      </c>
      <c r="G35" s="10">
        <v>0.56344383959032296</v>
      </c>
      <c r="H35" s="10">
        <v>0.44215441345838374</v>
      </c>
      <c r="I35" s="10">
        <v>0.3607523316688554</v>
      </c>
      <c r="J35" s="10">
        <v>0.4355384672736114</v>
      </c>
      <c r="K35" s="10">
        <v>0.24471011201303458</v>
      </c>
      <c r="L35" s="10">
        <v>0.26849434815183393</v>
      </c>
      <c r="M35" s="10">
        <v>0.28565006173806201</v>
      </c>
      <c r="N35" s="10">
        <v>0.19004511941408175</v>
      </c>
      <c r="O35" s="10">
        <v>0.1631296053866805</v>
      </c>
      <c r="P35" s="10">
        <v>9.9822965366656177E-2</v>
      </c>
      <c r="Q35" s="10">
        <v>7.8548624664593128E-2</v>
      </c>
      <c r="R35" s="10">
        <v>6.9802176960426551E-2</v>
      </c>
    </row>
    <row r="36" spans="1:18">
      <c r="A36" s="29"/>
      <c r="B36" s="29" t="s">
        <v>55</v>
      </c>
      <c r="C36" s="10">
        <v>0.62568698485824503</v>
      </c>
      <c r="D36" s="10">
        <v>0.61057001282460333</v>
      </c>
      <c r="E36" s="10">
        <v>0.61148032376826056</v>
      </c>
      <c r="F36" s="10">
        <v>0.54113590638647524</v>
      </c>
      <c r="G36" s="10">
        <v>0.51260912758183841</v>
      </c>
      <c r="H36" s="10">
        <v>0.46856155821770124</v>
      </c>
      <c r="I36" s="10">
        <v>0.3580823787118928</v>
      </c>
      <c r="J36" s="10">
        <v>0.3999986554886506</v>
      </c>
      <c r="K36" s="10">
        <v>0.29345658759918142</v>
      </c>
      <c r="L36" s="10">
        <v>0.23625244964879005</v>
      </c>
      <c r="M36" s="10">
        <v>0.23382791896211166</v>
      </c>
      <c r="N36" s="10">
        <v>0.12668887122249789</v>
      </c>
      <c r="O36" s="10">
        <v>0.14540837430289874</v>
      </c>
      <c r="P36" s="10">
        <v>0.1478446227351651</v>
      </c>
      <c r="Q36" s="10">
        <v>0.10660071971385832</v>
      </c>
      <c r="R36" s="10">
        <v>5.6588690787578375E-2</v>
      </c>
    </row>
    <row r="37" spans="1:18">
      <c r="A37" s="29"/>
      <c r="B37" s="29" t="s">
        <v>56</v>
      </c>
      <c r="C37" s="10">
        <v>0.65128969902745437</v>
      </c>
      <c r="D37" s="10">
        <v>0.58063578049784581</v>
      </c>
      <c r="E37" s="10">
        <v>0.57030267230357701</v>
      </c>
      <c r="F37" s="10">
        <v>0.50009725922667969</v>
      </c>
      <c r="G37" s="10">
        <v>0.40089652060775005</v>
      </c>
      <c r="H37" s="10">
        <v>0.46059384766516098</v>
      </c>
      <c r="I37" s="10">
        <v>0.29098694693223603</v>
      </c>
      <c r="J37" s="10">
        <v>0.25350831605174345</v>
      </c>
      <c r="K37" s="10">
        <v>0.24175633904167512</v>
      </c>
      <c r="L37" s="10">
        <v>0.15105652882556719</v>
      </c>
      <c r="M37" s="10">
        <v>0.11523258995551088</v>
      </c>
      <c r="N37" s="10">
        <v>8.5539674730267037E-2</v>
      </c>
      <c r="O37" s="10">
        <v>0.14365686374708028</v>
      </c>
      <c r="P37" s="10">
        <v>0.13692251496891128</v>
      </c>
      <c r="Q37" s="10">
        <v>0.11398728283509003</v>
      </c>
      <c r="R37" s="10">
        <v>3.5483819878266772E-2</v>
      </c>
    </row>
    <row r="38" spans="1:18">
      <c r="A38" s="29"/>
      <c r="B38" s="29" t="s">
        <v>57</v>
      </c>
      <c r="C38" s="10">
        <v>0.70462698554946579</v>
      </c>
      <c r="D38" s="10">
        <v>0.57105059795033675</v>
      </c>
      <c r="E38" s="10">
        <v>0.5696802910181602</v>
      </c>
      <c r="F38" s="10">
        <v>0.54996853040983484</v>
      </c>
      <c r="G38" s="10">
        <v>0.38137817606063357</v>
      </c>
      <c r="H38" s="10">
        <v>0.45324605166136805</v>
      </c>
      <c r="I38" s="10">
        <v>0.26796143291193003</v>
      </c>
      <c r="J38" s="10">
        <v>0.17687720557723829</v>
      </c>
      <c r="K38" s="10">
        <v>0.3021349728155816</v>
      </c>
      <c r="L38" s="10">
        <v>0.15519978607931692</v>
      </c>
      <c r="M38" s="10">
        <v>0.11299054935188976</v>
      </c>
      <c r="N38" s="10">
        <v>5.0740086371263628E-2</v>
      </c>
      <c r="O38" s="10">
        <v>0.14664262911450715</v>
      </c>
      <c r="P38" s="10">
        <v>0.14956245140252539</v>
      </c>
      <c r="Q38" s="10">
        <v>0.11985562362669676</v>
      </c>
      <c r="R38" s="10">
        <v>2.198733546442538E-2</v>
      </c>
    </row>
    <row r="39" spans="1:18">
      <c r="A39" s="29"/>
      <c r="B39" s="29" t="s">
        <v>58</v>
      </c>
      <c r="C39" s="10">
        <v>0.68926366089782021</v>
      </c>
      <c r="D39" s="10">
        <v>0.54267396410137814</v>
      </c>
      <c r="E39" s="10">
        <v>0.60973347066007977</v>
      </c>
      <c r="F39" s="10">
        <v>0.5861750324517272</v>
      </c>
      <c r="G39" s="10">
        <v>0.37706739194270561</v>
      </c>
      <c r="H39" s="10">
        <v>0.43650336748656854</v>
      </c>
      <c r="I39" s="10">
        <v>0.28577864951167964</v>
      </c>
      <c r="J39" s="10">
        <v>0.12787539045983368</v>
      </c>
      <c r="K39" s="10">
        <v>0.29570013802613387</v>
      </c>
      <c r="L39" s="10">
        <v>8.400810222710331E-2</v>
      </c>
      <c r="M39" s="10">
        <v>8.4409736125608092E-2</v>
      </c>
      <c r="N39" s="10">
        <v>4.1966762800201861E-2</v>
      </c>
      <c r="O39" s="10">
        <v>0.10298371066901499</v>
      </c>
      <c r="P39" s="10">
        <v>0.15593521191793749</v>
      </c>
      <c r="Q39" s="10">
        <v>5.4833673697810101E-2</v>
      </c>
      <c r="R39" s="10">
        <v>1.1495136219330408E-2</v>
      </c>
    </row>
    <row r="40" spans="1:18">
      <c r="A40" s="111"/>
      <c r="B40" s="111" t="s">
        <v>59</v>
      </c>
      <c r="C40" s="10">
        <v>0.72982269528841948</v>
      </c>
      <c r="D40" s="10">
        <v>0.45049082588783002</v>
      </c>
      <c r="E40" s="10">
        <v>0.42102905562121973</v>
      </c>
      <c r="F40" s="10">
        <v>0.50770182057651514</v>
      </c>
      <c r="G40" s="10">
        <v>0.43135682082479804</v>
      </c>
      <c r="H40" s="10">
        <v>0.32043886794874915</v>
      </c>
      <c r="I40" s="10">
        <v>0.30164269654041226</v>
      </c>
      <c r="J40" s="10">
        <v>0.11200895263157078</v>
      </c>
      <c r="K40" s="10">
        <v>0.20674703335467631</v>
      </c>
      <c r="L40" s="10">
        <v>6.0998039763495236E-2</v>
      </c>
      <c r="M40" s="10">
        <v>7.0688395555772748E-2</v>
      </c>
      <c r="N40" s="10">
        <v>4.9104337880697874E-2</v>
      </c>
      <c r="O40" s="10">
        <v>6.8270715515809599E-2</v>
      </c>
      <c r="P40" s="10">
        <v>0.18607692182493549</v>
      </c>
      <c r="Q40" s="10">
        <v>3.8462945249340484E-2</v>
      </c>
      <c r="R40" s="10">
        <v>9.0942768927509098E-3</v>
      </c>
    </row>
    <row r="41" spans="1:18">
      <c r="A41" s="57"/>
      <c r="B41" s="57"/>
      <c r="C41" s="159" t="s">
        <v>194</v>
      </c>
      <c r="D41" s="159"/>
      <c r="E41" s="159"/>
      <c r="F41" s="159"/>
      <c r="G41" s="159"/>
      <c r="H41" s="159"/>
      <c r="I41" s="159"/>
      <c r="J41" s="159"/>
      <c r="K41" s="159"/>
      <c r="L41" s="159"/>
      <c r="M41" s="159"/>
      <c r="N41" s="159"/>
      <c r="O41" s="159"/>
      <c r="P41" s="159"/>
      <c r="Q41" s="159"/>
      <c r="R41" s="159"/>
    </row>
    <row r="42" spans="1:18" ht="17.25">
      <c r="A42" s="30" t="s">
        <v>175</v>
      </c>
      <c r="B42" s="30" t="s">
        <v>48</v>
      </c>
      <c r="C42" s="40">
        <v>3209443.0119392308</v>
      </c>
      <c r="D42" s="40">
        <v>2915599.6245953245</v>
      </c>
      <c r="E42" s="40">
        <v>2611283.5091247065</v>
      </c>
      <c r="F42" s="40">
        <v>2505986.5258717234</v>
      </c>
      <c r="G42" s="40">
        <v>2190233.5190421157</v>
      </c>
      <c r="H42" s="40">
        <v>1830607.0787811577</v>
      </c>
      <c r="I42" s="40">
        <v>1567783.1377683273</v>
      </c>
      <c r="J42" s="40">
        <v>1468086.1788986393</v>
      </c>
      <c r="K42" s="40">
        <v>1099822.2774191308</v>
      </c>
      <c r="L42" s="40">
        <v>1012636.3564634915</v>
      </c>
      <c r="M42" s="40">
        <v>728337.20748457452</v>
      </c>
      <c r="N42" s="40">
        <v>713199.48071173625</v>
      </c>
      <c r="O42" s="40">
        <v>646105.05189604778</v>
      </c>
      <c r="P42" s="40">
        <v>643390.95814388187</v>
      </c>
      <c r="Q42" s="40">
        <v>448332.55063213839</v>
      </c>
      <c r="R42" s="40">
        <v>219179.46792698302</v>
      </c>
    </row>
    <row r="43" spans="1:18">
      <c r="A43" s="29" t="s">
        <v>52</v>
      </c>
      <c r="B43" s="29" t="s">
        <v>53</v>
      </c>
      <c r="C43" s="92">
        <v>109654.72340838595</v>
      </c>
      <c r="D43" s="92">
        <v>149802.52766960592</v>
      </c>
      <c r="E43" s="92">
        <v>70854.032765729047</v>
      </c>
      <c r="F43" s="92">
        <v>104267.32721331669</v>
      </c>
      <c r="G43" s="92">
        <v>121805.74900802346</v>
      </c>
      <c r="H43" s="92">
        <v>43226.810526673107</v>
      </c>
      <c r="I43" s="92">
        <v>68839.812576806042</v>
      </c>
      <c r="J43" s="92">
        <v>109913.38550150413</v>
      </c>
      <c r="K43" s="92">
        <v>38357.046198649361</v>
      </c>
      <c r="L43" s="92">
        <v>64828.507600275989</v>
      </c>
      <c r="M43" s="92">
        <v>60084.736089514896</v>
      </c>
      <c r="N43" s="92">
        <v>61730.037126978183</v>
      </c>
      <c r="O43" s="92">
        <v>50600.062125615179</v>
      </c>
      <c r="P43" s="92">
        <v>12154.785821938371</v>
      </c>
      <c r="Q43" s="92">
        <v>18415.943008371531</v>
      </c>
      <c r="R43" s="92">
        <v>10780.653492767957</v>
      </c>
    </row>
    <row r="44" spans="1:18">
      <c r="A44" s="29"/>
      <c r="B44" s="29" t="s">
        <v>54</v>
      </c>
      <c r="C44" s="92">
        <v>356019.27859644074</v>
      </c>
      <c r="D44" s="92">
        <v>395355.51124878885</v>
      </c>
      <c r="E44" s="92">
        <v>299451.00305826857</v>
      </c>
      <c r="F44" s="92">
        <v>276811.15074918792</v>
      </c>
      <c r="G44" s="92">
        <v>327338.97405962378</v>
      </c>
      <c r="H44" s="92">
        <v>213082.81594080594</v>
      </c>
      <c r="I44" s="92">
        <v>214046.48825399205</v>
      </c>
      <c r="J44" s="92">
        <v>285093.5406936272</v>
      </c>
      <c r="K44" s="92">
        <v>105783.88071874218</v>
      </c>
      <c r="L44" s="92">
        <v>194034.40852999134</v>
      </c>
      <c r="M44" s="92">
        <v>163720.5182711377</v>
      </c>
      <c r="N44" s="92">
        <v>148237.15596646504</v>
      </c>
      <c r="O44" s="92">
        <v>90996.827445504314</v>
      </c>
      <c r="P44" s="92">
        <v>60180.100291557239</v>
      </c>
      <c r="Q44" s="92">
        <v>63320.108865279894</v>
      </c>
      <c r="R44" s="92">
        <v>51916.572018927975</v>
      </c>
    </row>
    <row r="45" spans="1:18">
      <c r="A45" s="29"/>
      <c r="B45" s="29" t="s">
        <v>55</v>
      </c>
      <c r="C45" s="92">
        <v>561414.0699576519</v>
      </c>
      <c r="D45" s="92">
        <v>587114.59217934171</v>
      </c>
      <c r="E45" s="92">
        <v>531899.46135017299</v>
      </c>
      <c r="F45" s="92">
        <v>465880.23612971738</v>
      </c>
      <c r="G45" s="92">
        <v>483836.13362788461</v>
      </c>
      <c r="H45" s="92">
        <v>391397.36268432147</v>
      </c>
      <c r="I45" s="92">
        <v>331440.46460642491</v>
      </c>
      <c r="J45" s="92">
        <v>405041.87790526979</v>
      </c>
      <c r="K45" s="92">
        <v>218406.25077370516</v>
      </c>
      <c r="L45" s="92">
        <v>261812.38025609023</v>
      </c>
      <c r="M45" s="92">
        <v>212842.24884214139</v>
      </c>
      <c r="N45" s="92">
        <v>175871.69439951421</v>
      </c>
      <c r="O45" s="92">
        <v>136139.11717298455</v>
      </c>
      <c r="P45" s="92">
        <v>126200.54560526327</v>
      </c>
      <c r="Q45" s="92">
        <v>103550.1022431592</v>
      </c>
      <c r="R45" s="92">
        <v>66036.223970426247</v>
      </c>
    </row>
    <row r="46" spans="1:18">
      <c r="A46" s="29"/>
      <c r="B46" s="29" t="s">
        <v>56</v>
      </c>
      <c r="C46" s="92">
        <v>542759.96767741768</v>
      </c>
      <c r="D46" s="92">
        <v>524400.23115132598</v>
      </c>
      <c r="E46" s="92">
        <v>467441.81326164107</v>
      </c>
      <c r="F46" s="92">
        <v>410434.65236743609</v>
      </c>
      <c r="G46" s="92">
        <v>351405.29142296588</v>
      </c>
      <c r="H46" s="92">
        <v>348150.16901785246</v>
      </c>
      <c r="I46" s="92">
        <v>255415.33151974034</v>
      </c>
      <c r="J46" s="92">
        <v>267458.03613948298</v>
      </c>
      <c r="K46" s="92">
        <v>172308.22145480863</v>
      </c>
      <c r="L46" s="92">
        <v>180828.198997531</v>
      </c>
      <c r="M46" s="92">
        <v>105499.07688122359</v>
      </c>
      <c r="N46" s="92">
        <v>111111.76686081001</v>
      </c>
      <c r="O46" s="92">
        <v>117137.58682245314</v>
      </c>
      <c r="P46" s="92">
        <v>109232.94390951154</v>
      </c>
      <c r="Q46" s="92">
        <v>101094.14724599087</v>
      </c>
      <c r="R46" s="92">
        <v>41465.945146804559</v>
      </c>
    </row>
    <row r="47" spans="1:18">
      <c r="A47" s="29"/>
      <c r="B47" s="29" t="s">
        <v>57</v>
      </c>
      <c r="C47" s="92">
        <v>502508.75970820471</v>
      </c>
      <c r="D47" s="92">
        <v>427351.57187267306</v>
      </c>
      <c r="E47" s="92">
        <v>429860.87456464325</v>
      </c>
      <c r="F47" s="92">
        <v>389312.35010437149</v>
      </c>
      <c r="G47" s="92">
        <v>285450.51769431477</v>
      </c>
      <c r="H47" s="92">
        <v>305677.99679399986</v>
      </c>
      <c r="I47" s="92">
        <v>211655.82633552887</v>
      </c>
      <c r="J47" s="92">
        <v>159498.29437760409</v>
      </c>
      <c r="K47" s="92">
        <v>191720.81611486973</v>
      </c>
      <c r="L47" s="92">
        <v>140890.433723678</v>
      </c>
      <c r="M47" s="92">
        <v>76664.0971098562</v>
      </c>
      <c r="N47" s="92">
        <v>73315.79277230415</v>
      </c>
      <c r="O47" s="92">
        <v>110702.64317273462</v>
      </c>
      <c r="P47" s="92">
        <v>95241.328097861187</v>
      </c>
      <c r="Q47" s="92">
        <v>90209.451689337337</v>
      </c>
      <c r="R47" s="92">
        <v>23296.789886242474</v>
      </c>
    </row>
    <row r="48" spans="1:18">
      <c r="A48" s="29"/>
      <c r="B48" s="29" t="s">
        <v>58</v>
      </c>
      <c r="C48" s="92">
        <v>452180.56320703914</v>
      </c>
      <c r="D48" s="92">
        <v>370688.86346160987</v>
      </c>
      <c r="E48" s="92">
        <v>399393.3208551773</v>
      </c>
      <c r="F48" s="92">
        <v>363743.25554621435</v>
      </c>
      <c r="G48" s="92">
        <v>236837.38017411891</v>
      </c>
      <c r="H48" s="92">
        <v>263333.27024335635</v>
      </c>
      <c r="I48" s="92">
        <v>181985.91942700828</v>
      </c>
      <c r="J48" s="92">
        <v>113158.31567570714</v>
      </c>
      <c r="K48" s="92">
        <v>180349.46771714085</v>
      </c>
      <c r="L48" s="92">
        <v>92130.814395213019</v>
      </c>
      <c r="M48" s="92">
        <v>50472.611607171224</v>
      </c>
      <c r="N48" s="92">
        <v>52204.918240572333</v>
      </c>
      <c r="O48" s="92">
        <v>75120.312171296566</v>
      </c>
      <c r="P48" s="92">
        <v>92023.394016633421</v>
      </c>
      <c r="Q48" s="92">
        <v>36728.501167165115</v>
      </c>
      <c r="R48" s="92">
        <v>14386.77299511043</v>
      </c>
    </row>
    <row r="49" spans="1:18">
      <c r="A49" s="29"/>
      <c r="B49" s="29" t="s">
        <v>59</v>
      </c>
      <c r="C49" s="92">
        <v>684905.64938402583</v>
      </c>
      <c r="D49" s="92">
        <v>460886.32701195852</v>
      </c>
      <c r="E49" s="92">
        <v>412383.0032690576</v>
      </c>
      <c r="F49" s="92">
        <v>495537.55376148142</v>
      </c>
      <c r="G49" s="92">
        <v>383559.47305520164</v>
      </c>
      <c r="H49" s="92">
        <v>265738.65357416554</v>
      </c>
      <c r="I49" s="92">
        <v>304399.29504883627</v>
      </c>
      <c r="J49" s="92">
        <v>127922.72860544505</v>
      </c>
      <c r="K49" s="92">
        <v>192896.59444122188</v>
      </c>
      <c r="L49" s="92">
        <v>78111.612960715574</v>
      </c>
      <c r="M49" s="92">
        <v>59053.918683529206</v>
      </c>
      <c r="N49" s="92">
        <v>90728.115345091224</v>
      </c>
      <c r="O49" s="92">
        <v>65408.502985460043</v>
      </c>
      <c r="P49" s="92">
        <v>148357.86040111782</v>
      </c>
      <c r="Q49" s="92">
        <v>35014.29641283417</v>
      </c>
      <c r="R49" s="92">
        <v>11296.510416703573</v>
      </c>
    </row>
    <row r="50" spans="1:18">
      <c r="A50" s="29"/>
      <c r="B50" s="29"/>
    </row>
    <row r="51" spans="1:18">
      <c r="A51" s="30" t="s">
        <v>49</v>
      </c>
      <c r="B51" s="30" t="s">
        <v>48</v>
      </c>
      <c r="C51" s="40">
        <v>1510576.0396154115</v>
      </c>
      <c r="D51" s="40">
        <v>1462640.5380000996</v>
      </c>
      <c r="E51" s="40">
        <v>1216691.398220621</v>
      </c>
      <c r="F51" s="40">
        <v>1136317.1102739633</v>
      </c>
      <c r="G51" s="40">
        <v>1049487.6489019445</v>
      </c>
      <c r="H51" s="40">
        <v>760772.84947970533</v>
      </c>
      <c r="I51" s="40">
        <v>764476.06918268092</v>
      </c>
      <c r="J51" s="40">
        <v>800605.51831675123</v>
      </c>
      <c r="K51" s="40">
        <v>430489.2098483282</v>
      </c>
      <c r="L51" s="40">
        <v>604655.24705266661</v>
      </c>
      <c r="M51" s="40">
        <v>334272.7240359743</v>
      </c>
      <c r="N51" s="40">
        <v>468320.27494429582</v>
      </c>
      <c r="O51" s="40">
        <v>298186.20332710777</v>
      </c>
      <c r="P51" s="40">
        <v>271002.04493359075</v>
      </c>
      <c r="Q51" s="40">
        <v>230244.17972004789</v>
      </c>
      <c r="R51" s="40">
        <v>130265.74220451963</v>
      </c>
    </row>
    <row r="52" spans="1:18">
      <c r="A52" s="29" t="s">
        <v>52</v>
      </c>
      <c r="B52" s="29" t="s">
        <v>53</v>
      </c>
      <c r="C52" s="92">
        <v>43930.281353017854</v>
      </c>
      <c r="D52" s="92">
        <v>60497.8238169857</v>
      </c>
      <c r="E52" s="92">
        <v>16269.87772463695</v>
      </c>
      <c r="F52" s="92">
        <v>28008.029449801354</v>
      </c>
      <c r="G52" s="92">
        <v>52220.273503112898</v>
      </c>
      <c r="H52" s="92">
        <v>10646.717828352332</v>
      </c>
      <c r="I52" s="92">
        <v>20952.833256142359</v>
      </c>
      <c r="J52" s="92">
        <v>42809.175717383769</v>
      </c>
      <c r="K52" s="92">
        <v>5519.6056906256172</v>
      </c>
      <c r="L52" s="92">
        <v>33579.152779439362</v>
      </c>
      <c r="M52" s="92">
        <v>19982.678067934685</v>
      </c>
      <c r="N52" s="92">
        <v>28638.639096324907</v>
      </c>
      <c r="O52" s="92">
        <v>11619.051976617751</v>
      </c>
      <c r="P52" s="92">
        <v>1686.4206408888419</v>
      </c>
      <c r="Q52" s="92">
        <v>8187.9676190780447</v>
      </c>
      <c r="R52" s="92">
        <v>3400.8145428713833</v>
      </c>
    </row>
    <row r="53" spans="1:18">
      <c r="A53" s="29"/>
      <c r="B53" s="29" t="s">
        <v>54</v>
      </c>
      <c r="C53" s="92">
        <v>173669.63542243652</v>
      </c>
      <c r="D53" s="92">
        <v>209108.15112090326</v>
      </c>
      <c r="E53" s="92">
        <v>140472.19046230952</v>
      </c>
      <c r="F53" s="92">
        <v>125012.38938161371</v>
      </c>
      <c r="G53" s="92">
        <v>168801.26380822237</v>
      </c>
      <c r="H53" s="92">
        <v>89300.32365481036</v>
      </c>
      <c r="I53" s="92">
        <v>111836.81617793972</v>
      </c>
      <c r="J53" s="92">
        <v>163306.15851423566</v>
      </c>
      <c r="K53" s="92">
        <v>36411.479801705871</v>
      </c>
      <c r="L53" s="92">
        <v>118879.91871907521</v>
      </c>
      <c r="M53" s="92">
        <v>82916.944006258462</v>
      </c>
      <c r="N53" s="92">
        <v>94759.98345552622</v>
      </c>
      <c r="O53" s="92">
        <v>42913.316018552898</v>
      </c>
      <c r="P53" s="92">
        <v>32324.296200520523</v>
      </c>
      <c r="Q53" s="92">
        <v>41796.529020972281</v>
      </c>
      <c r="R53" s="92">
        <v>32276.699818369721</v>
      </c>
    </row>
    <row r="54" spans="1:18">
      <c r="A54" s="29"/>
      <c r="B54" s="29" t="s">
        <v>55</v>
      </c>
      <c r="C54" s="92">
        <v>244963.71441140497</v>
      </c>
      <c r="D54" s="92">
        <v>279004.09020315239</v>
      </c>
      <c r="E54" s="92">
        <v>223844.43005126464</v>
      </c>
      <c r="F54" s="92">
        <v>191254.46933806787</v>
      </c>
      <c r="G54" s="92">
        <v>226028.93599330843</v>
      </c>
      <c r="H54" s="92">
        <v>153695.41877359428</v>
      </c>
      <c r="I54" s="92">
        <v>149245.6944174103</v>
      </c>
      <c r="J54" s="92">
        <v>202932.00977822029</v>
      </c>
      <c r="K54" s="92">
        <v>70802.844879625613</v>
      </c>
      <c r="L54" s="92">
        <v>143523.87247945985</v>
      </c>
      <c r="M54" s="92">
        <v>95799.708424882265</v>
      </c>
      <c r="N54" s="92">
        <v>112205.28719363011</v>
      </c>
      <c r="O54" s="92">
        <v>61700.992349033055</v>
      </c>
      <c r="P54" s="92">
        <v>51579.993811894477</v>
      </c>
      <c r="Q54" s="92">
        <v>49990.404436599827</v>
      </c>
      <c r="R54" s="92">
        <v>37400.652631304816</v>
      </c>
    </row>
    <row r="55" spans="1:18">
      <c r="A55" s="29"/>
      <c r="B55" s="29" t="s">
        <v>56</v>
      </c>
      <c r="C55" s="92">
        <v>252764.14640047975</v>
      </c>
      <c r="D55" s="92">
        <v>265180.62511502142</v>
      </c>
      <c r="E55" s="92">
        <v>214300.81305573319</v>
      </c>
      <c r="F55" s="92">
        <v>187858.40697985046</v>
      </c>
      <c r="G55" s="92">
        <v>172813.50269223884</v>
      </c>
      <c r="H55" s="92">
        <v>142633.26056412095</v>
      </c>
      <c r="I55" s="92">
        <v>125006.11751476603</v>
      </c>
      <c r="J55" s="92">
        <v>153651.98349469507</v>
      </c>
      <c r="K55" s="92">
        <v>63563.131956164718</v>
      </c>
      <c r="L55" s="92">
        <v>113385.92956579388</v>
      </c>
      <c r="M55" s="92">
        <v>53926.934603106674</v>
      </c>
      <c r="N55" s="92">
        <v>73217.39908699425</v>
      </c>
      <c r="O55" s="92">
        <v>53497.106013626886</v>
      </c>
      <c r="P55" s="92">
        <v>48052.090842674952</v>
      </c>
      <c r="Q55" s="92">
        <v>50073.680271309277</v>
      </c>
      <c r="R55" s="92">
        <v>24643.957905434876</v>
      </c>
    </row>
    <row r="56" spans="1:18">
      <c r="A56" s="29"/>
      <c r="B56" s="29" t="s">
        <v>57</v>
      </c>
      <c r="C56" s="92">
        <v>231819.61322355195</v>
      </c>
      <c r="D56" s="92">
        <v>208865.4943006238</v>
      </c>
      <c r="E56" s="92">
        <v>210366.93601693926</v>
      </c>
      <c r="F56" s="92">
        <v>178906.80690433411</v>
      </c>
      <c r="G56" s="92">
        <v>138061.53748029438</v>
      </c>
      <c r="H56" s="92">
        <v>131482.77975896039</v>
      </c>
      <c r="I56" s="92">
        <v>108357.22202502567</v>
      </c>
      <c r="J56" s="92">
        <v>91881.837114125432</v>
      </c>
      <c r="K56" s="92">
        <v>76917.618265305209</v>
      </c>
      <c r="L56" s="92">
        <v>81510.815301782015</v>
      </c>
      <c r="M56" s="92">
        <v>33322.858190804945</v>
      </c>
      <c r="N56" s="92">
        <v>53628.062585437729</v>
      </c>
      <c r="O56" s="92">
        <v>54057.161780074814</v>
      </c>
      <c r="P56" s="92">
        <v>37352.623403883641</v>
      </c>
      <c r="Q56" s="92">
        <v>44667.524700973176</v>
      </c>
      <c r="R56" s="92">
        <v>14942.191277600385</v>
      </c>
    </row>
    <row r="57" spans="1:18">
      <c r="A57" s="29"/>
      <c r="B57" s="29" t="s">
        <v>58</v>
      </c>
      <c r="C57" s="92">
        <v>225704.00184117968</v>
      </c>
      <c r="D57" s="92">
        <v>193162.70956747464</v>
      </c>
      <c r="E57" s="92">
        <v>199418.59304058092</v>
      </c>
      <c r="F57" s="92">
        <v>170989.71551597863</v>
      </c>
      <c r="G57" s="92">
        <v>112975.22976080199</v>
      </c>
      <c r="H57" s="92">
        <v>119542.15845895454</v>
      </c>
      <c r="I57" s="92">
        <v>88012.970266388133</v>
      </c>
      <c r="J57" s="92">
        <v>71326.151710301609</v>
      </c>
      <c r="K57" s="92">
        <v>82620.197787983037</v>
      </c>
      <c r="L57" s="92">
        <v>64649.055050043455</v>
      </c>
      <c r="M57" s="92">
        <v>22859.464861846827</v>
      </c>
      <c r="N57" s="92">
        <v>38476.236777763777</v>
      </c>
      <c r="O57" s="92">
        <v>41431.019376329139</v>
      </c>
      <c r="P57" s="92">
        <v>40500.710795239735</v>
      </c>
      <c r="Q57" s="92">
        <v>18790.638215553437</v>
      </c>
      <c r="R57" s="92">
        <v>10626.343240780627</v>
      </c>
    </row>
    <row r="58" spans="1:18">
      <c r="A58" s="29"/>
      <c r="B58" s="29" t="s">
        <v>59</v>
      </c>
      <c r="C58" s="92">
        <v>337724.64696332772</v>
      </c>
      <c r="D58" s="92">
        <v>246821.64387592342</v>
      </c>
      <c r="E58" s="92">
        <v>212018.55786914652</v>
      </c>
      <c r="F58" s="92">
        <v>254287.29270431038</v>
      </c>
      <c r="G58" s="92">
        <v>178586.90566396489</v>
      </c>
      <c r="H58" s="92">
        <v>113472.19044091395</v>
      </c>
      <c r="I58" s="92">
        <v>161064.41552500922</v>
      </c>
      <c r="J58" s="92">
        <v>74698.201987790002</v>
      </c>
      <c r="K58" s="92">
        <v>94654.331466918506</v>
      </c>
      <c r="L58" s="92">
        <v>49126.50315707433</v>
      </c>
      <c r="M58" s="92">
        <v>25464.135881140282</v>
      </c>
      <c r="N58" s="92">
        <v>67394.666748618212</v>
      </c>
      <c r="O58" s="92">
        <v>32967.555812873419</v>
      </c>
      <c r="P58" s="92">
        <v>59505.909238488952</v>
      </c>
      <c r="Q58" s="92">
        <v>16737.435455561848</v>
      </c>
      <c r="R58" s="92">
        <v>6975.0827881578125</v>
      </c>
    </row>
    <row r="59" spans="1:18">
      <c r="A59" s="29"/>
      <c r="B59" s="29"/>
    </row>
    <row r="60" spans="1:18">
      <c r="A60" s="30" t="s">
        <v>50</v>
      </c>
      <c r="B60" s="30" t="s">
        <v>48</v>
      </c>
      <c r="C60" s="40">
        <v>1683554.7326901539</v>
      </c>
      <c r="D60" s="40">
        <v>1439817.8307462372</v>
      </c>
      <c r="E60" s="40">
        <v>1383615.235051543</v>
      </c>
      <c r="F60" s="40">
        <v>1356341.6685320032</v>
      </c>
      <c r="G60" s="40">
        <v>1130371.0295872656</v>
      </c>
      <c r="H60" s="40">
        <v>1058662.1256466513</v>
      </c>
      <c r="I60" s="40">
        <v>792806.84489865322</v>
      </c>
      <c r="J60" s="40">
        <v>660435.38917947758</v>
      </c>
      <c r="K60" s="40">
        <v>663069.90267537383</v>
      </c>
      <c r="L60" s="40">
        <v>404960.1782421192</v>
      </c>
      <c r="M60" s="40">
        <v>390132.64358339057</v>
      </c>
      <c r="N60" s="40">
        <v>242562.9598734577</v>
      </c>
      <c r="O60" s="40">
        <v>341664.3791532903</v>
      </c>
      <c r="P60" s="40">
        <v>368446.80525132705</v>
      </c>
      <c r="Q60" s="40">
        <v>217149.95093436353</v>
      </c>
      <c r="R60" s="40">
        <v>86874.528979629991</v>
      </c>
    </row>
    <row r="61" spans="1:18">
      <c r="A61" s="29" t="s">
        <v>52</v>
      </c>
      <c r="B61" s="29" t="s">
        <v>53</v>
      </c>
      <c r="C61" s="92">
        <v>65724.442055368083</v>
      </c>
      <c r="D61" s="92">
        <v>89304.703852620136</v>
      </c>
      <c r="E61" s="92">
        <v>54584.155041092097</v>
      </c>
      <c r="F61" s="92">
        <v>76259.297763515322</v>
      </c>
      <c r="G61" s="92">
        <v>69585.475504910544</v>
      </c>
      <c r="H61" s="92">
        <v>32580.092698320768</v>
      </c>
      <c r="I61" s="92">
        <v>47886.97932066369</v>
      </c>
      <c r="J61" s="92">
        <v>67104.209784120365</v>
      </c>
      <c r="K61" s="92">
        <v>32837.440508023734</v>
      </c>
      <c r="L61" s="92">
        <v>31249.354820836619</v>
      </c>
      <c r="M61" s="92">
        <v>40102.058021580211</v>
      </c>
      <c r="N61" s="92">
        <v>33091.398030653276</v>
      </c>
      <c r="O61" s="92">
        <v>38981.010148997433</v>
      </c>
      <c r="P61" s="92">
        <v>10468.365181049528</v>
      </c>
      <c r="Q61" s="92">
        <v>10227.975389293484</v>
      </c>
      <c r="R61" s="92">
        <v>7379.8389498965735</v>
      </c>
    </row>
    <row r="62" spans="1:18">
      <c r="A62" s="29"/>
      <c r="B62" s="29" t="s">
        <v>54</v>
      </c>
      <c r="C62" s="92">
        <v>177357.54103784324</v>
      </c>
      <c r="D62" s="92">
        <v>180319.62252016962</v>
      </c>
      <c r="E62" s="92">
        <v>155544.3755098742</v>
      </c>
      <c r="F62" s="92">
        <v>146778.00013880309</v>
      </c>
      <c r="G62" s="92">
        <v>154392.62649078749</v>
      </c>
      <c r="H62" s="92">
        <v>121157.38324154695</v>
      </c>
      <c r="I62" s="92">
        <v>98851.910493027375</v>
      </c>
      <c r="J62" s="92">
        <v>119344.50813951122</v>
      </c>
      <c r="K62" s="92">
        <v>67054.485767415434</v>
      </c>
      <c r="L62" s="92">
        <v>73571.746989432359</v>
      </c>
      <c r="M62" s="92">
        <v>78272.686983429463</v>
      </c>
      <c r="N62" s="92">
        <v>52075.403219297819</v>
      </c>
      <c r="O62" s="92">
        <v>44700.121759016714</v>
      </c>
      <c r="P62" s="92">
        <v>27353.089561264696</v>
      </c>
      <c r="Q62" s="92">
        <v>21523.579844307642</v>
      </c>
      <c r="R62" s="92">
        <v>19126.91324042312</v>
      </c>
    </row>
    <row r="63" spans="1:18">
      <c r="A63" s="29"/>
      <c r="B63" s="29" t="s">
        <v>55</v>
      </c>
      <c r="C63" s="92">
        <v>311931.5552086113</v>
      </c>
      <c r="D63" s="92">
        <v>304395.1021408409</v>
      </c>
      <c r="E63" s="92">
        <v>304848.93083673867</v>
      </c>
      <c r="F63" s="92">
        <v>269779.24895880208</v>
      </c>
      <c r="G63" s="92">
        <v>255557.43726547045</v>
      </c>
      <c r="H63" s="92">
        <v>233597.85180593369</v>
      </c>
      <c r="I63" s="92">
        <v>178519.28518172013</v>
      </c>
      <c r="J63" s="92">
        <v>199416.33070119968</v>
      </c>
      <c r="K63" s="92">
        <v>146300.58155479064</v>
      </c>
      <c r="L63" s="92">
        <v>117781.88746804024</v>
      </c>
      <c r="M63" s="92">
        <v>116573.15587213221</v>
      </c>
      <c r="N63" s="92">
        <v>63159.786897294121</v>
      </c>
      <c r="O63" s="92">
        <v>72492.25480842503</v>
      </c>
      <c r="P63" s="92">
        <v>73706.828198542076</v>
      </c>
      <c r="Q63" s="92">
        <v>53144.989573715779</v>
      </c>
      <c r="R63" s="92">
        <v>28211.867518049316</v>
      </c>
    </row>
    <row r="64" spans="1:18">
      <c r="A64" s="29"/>
      <c r="B64" s="29" t="s">
        <v>56</v>
      </c>
      <c r="C64" s="92">
        <v>288523.5589224365</v>
      </c>
      <c r="D64" s="92">
        <v>257223.63193691964</v>
      </c>
      <c r="E64" s="92">
        <v>252646.0297494554</v>
      </c>
      <c r="F64" s="92">
        <v>221544.79220982661</v>
      </c>
      <c r="G64" s="92">
        <v>177598.52652067522</v>
      </c>
      <c r="H64" s="92">
        <v>204044.64609922978</v>
      </c>
      <c r="I64" s="92">
        <v>128908.21036204322</v>
      </c>
      <c r="J64" s="92">
        <v>112305.04900185684</v>
      </c>
      <c r="K64" s="92">
        <v>107098.88308769789</v>
      </c>
      <c r="L64" s="92">
        <v>66918.557686853659</v>
      </c>
      <c r="M64" s="92">
        <v>51048.430533233877</v>
      </c>
      <c r="N64" s="92">
        <v>37894.367773815946</v>
      </c>
      <c r="O64" s="92">
        <v>63640.480808826571</v>
      </c>
      <c r="P64" s="92">
        <v>60657.14132195351</v>
      </c>
      <c r="Q64" s="92">
        <v>50496.755229798553</v>
      </c>
      <c r="R64" s="92">
        <v>15719.453279743424</v>
      </c>
    </row>
    <row r="65" spans="1:18">
      <c r="A65" s="29"/>
      <c r="B65" s="29" t="s">
        <v>57</v>
      </c>
      <c r="C65" s="92">
        <v>267739.38309205131</v>
      </c>
      <c r="D65" s="92">
        <v>216983.93326554893</v>
      </c>
      <c r="E65" s="92">
        <v>216463.25333107036</v>
      </c>
      <c r="F65" s="92">
        <v>208973.31222298782</v>
      </c>
      <c r="G65" s="92">
        <v>144913.49278032655</v>
      </c>
      <c r="H65" s="92">
        <v>172221.36073328636</v>
      </c>
      <c r="I65" s="92">
        <v>101818.16792661813</v>
      </c>
      <c r="J65" s="92">
        <v>67208.600969727107</v>
      </c>
      <c r="K65" s="92">
        <v>114803.19784956444</v>
      </c>
      <c r="L65" s="92">
        <v>58971.762128144554</v>
      </c>
      <c r="M65" s="92">
        <v>42933.382625299993</v>
      </c>
      <c r="N65" s="92">
        <v>19279.873893115084</v>
      </c>
      <c r="O65" s="92">
        <v>55720.271660470462</v>
      </c>
      <c r="P65" s="92">
        <v>56829.725930835673</v>
      </c>
      <c r="Q65" s="92">
        <v>45541.926988364132</v>
      </c>
      <c r="R65" s="92">
        <v>8354.5986086420835</v>
      </c>
    </row>
    <row r="66" spans="1:18">
      <c r="A66" s="29"/>
      <c r="B66" s="29" t="s">
        <v>58</v>
      </c>
      <c r="C66" s="92">
        <v>225480.37096418417</v>
      </c>
      <c r="D66" s="92">
        <v>177526.15389413759</v>
      </c>
      <c r="E66" s="92">
        <v>199463.48103515559</v>
      </c>
      <c r="F66" s="92">
        <v>191756.75618092946</v>
      </c>
      <c r="G66" s="92">
        <v>123350.90363387467</v>
      </c>
      <c r="H66" s="92">
        <v>142794.32793509445</v>
      </c>
      <c r="I66" s="92">
        <v>93487.412090755228</v>
      </c>
      <c r="J66" s="92">
        <v>41832.163965405387</v>
      </c>
      <c r="K66" s="92">
        <v>96733.05093357779</v>
      </c>
      <c r="L66" s="92">
        <v>27481.759345169423</v>
      </c>
      <c r="M66" s="92">
        <v>27613.146745324379</v>
      </c>
      <c r="N66" s="92">
        <v>13728.681462808518</v>
      </c>
      <c r="O66" s="92">
        <v>33689.292794967289</v>
      </c>
      <c r="P66" s="92">
        <v>51011.436441950413</v>
      </c>
      <c r="Q66" s="92">
        <v>17937.862951611685</v>
      </c>
      <c r="R66" s="92">
        <v>3760.4297543298017</v>
      </c>
    </row>
    <row r="67" spans="1:18">
      <c r="A67" s="29"/>
      <c r="B67" s="29" t="s">
        <v>59</v>
      </c>
      <c r="C67" s="92">
        <v>346797.88140968961</v>
      </c>
      <c r="D67" s="92">
        <v>214064.6831360326</v>
      </c>
      <c r="E67" s="92">
        <v>200065.0095481872</v>
      </c>
      <c r="F67" s="92">
        <v>241250.26105716886</v>
      </c>
      <c r="G67" s="92">
        <v>204972.56739123596</v>
      </c>
      <c r="H67" s="92">
        <v>152266.46313325304</v>
      </c>
      <c r="I67" s="92">
        <v>143334.87952382778</v>
      </c>
      <c r="J67" s="92">
        <v>53224.526617654759</v>
      </c>
      <c r="K67" s="92">
        <v>98242.2629743039</v>
      </c>
      <c r="L67" s="92">
        <v>28985.109803641117</v>
      </c>
      <c r="M67" s="92">
        <v>33589.782802388952</v>
      </c>
      <c r="N67" s="92">
        <v>23333.44859647283</v>
      </c>
      <c r="O67" s="92">
        <v>32440.94717258661</v>
      </c>
      <c r="P67" s="92">
        <v>88420.218615730962</v>
      </c>
      <c r="Q67" s="92">
        <v>18276.860957272318</v>
      </c>
      <c r="R67" s="92">
        <v>4321.4276285457609</v>
      </c>
    </row>
    <row r="68" spans="1:18">
      <c r="A68" s="111"/>
      <c r="B68" s="111"/>
      <c r="C68" s="97"/>
      <c r="D68" s="97"/>
      <c r="E68" s="97"/>
      <c r="F68" s="97"/>
      <c r="G68" s="97"/>
      <c r="H68" s="97"/>
      <c r="I68" s="97"/>
      <c r="J68" s="97"/>
      <c r="K68" s="97"/>
      <c r="L68" s="97"/>
      <c r="M68" s="97"/>
      <c r="N68" s="97"/>
      <c r="O68" s="97"/>
      <c r="P68" s="97"/>
      <c r="Q68" s="97"/>
      <c r="R68" s="97"/>
    </row>
    <row r="69" spans="1:18">
      <c r="A69" s="16" t="s">
        <v>195</v>
      </c>
      <c r="B69" s="16"/>
    </row>
    <row r="70" spans="1:18">
      <c r="A70" s="16" t="s">
        <v>196</v>
      </c>
      <c r="B70" s="16"/>
    </row>
    <row r="71" spans="1:18" ht="14.45" customHeight="1">
      <c r="A71" s="115" t="s">
        <v>108</v>
      </c>
      <c r="B71" s="16"/>
    </row>
    <row r="72" spans="1:18" ht="14.45" customHeight="1">
      <c r="A72" s="16" t="s">
        <v>112</v>
      </c>
      <c r="B72" s="16"/>
    </row>
    <row r="73" spans="1:18" ht="14.45" customHeight="1">
      <c r="A73" s="16" t="s">
        <v>113</v>
      </c>
    </row>
    <row r="74" spans="1:18">
      <c r="A74" s="21" t="s">
        <v>111</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1" formatCode="\*\*0.0%"/>
            </x14:dxf>
          </x14:cfRule>
          <x14:cfRule type="expression" priority="4" id="{58838599-BD83-47F3-9078-68047C58AA52}">
            <xm:f>C42&lt;'27'!$C$103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69" formatCode="\*\*#,###,###,##0"/>
            </x14:dxf>
          </x14:cfRule>
          <x14:cfRule type="expression" priority="2" id="{133792BD-1E1F-4C9A-ADD0-1C8213E6DD07}">
            <xm:f>C42&lt;'27'!$C$103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24"/>
      <c r="B1" s="24"/>
      <c r="C1" s="24"/>
      <c r="D1" s="24"/>
      <c r="E1" s="24"/>
      <c r="F1" s="24"/>
      <c r="G1" s="24"/>
      <c r="H1" s="24"/>
      <c r="I1" s="24"/>
      <c r="J1" s="24"/>
      <c r="K1" s="24"/>
      <c r="L1" s="24"/>
      <c r="M1" s="24"/>
      <c r="N1" s="24"/>
      <c r="O1" s="24"/>
      <c r="P1" s="24"/>
      <c r="Q1" s="24"/>
      <c r="R1" s="24"/>
      <c r="S1" s="24"/>
      <c r="T1" s="24"/>
      <c r="U1" s="24"/>
      <c r="V1" s="24"/>
      <c r="W1" s="24"/>
      <c r="X1" s="24"/>
      <c r="Y1" s="24"/>
      <c r="Z1" s="24"/>
    </row>
    <row r="2" spans="1:26">
      <c r="A2" s="24"/>
      <c r="B2" s="24"/>
      <c r="C2" s="24"/>
      <c r="D2" s="24"/>
      <c r="E2" s="24"/>
      <c r="F2" s="24"/>
      <c r="G2" s="24"/>
      <c r="H2" s="24"/>
      <c r="I2" s="24"/>
      <c r="J2" s="24"/>
      <c r="K2" s="24"/>
      <c r="L2" s="24"/>
      <c r="M2" s="24"/>
      <c r="N2" s="24"/>
      <c r="O2" s="24"/>
      <c r="P2" s="24"/>
      <c r="Q2" s="24"/>
      <c r="R2" s="24"/>
      <c r="S2" s="24"/>
      <c r="T2" s="24"/>
      <c r="U2" s="24"/>
      <c r="V2" s="24"/>
      <c r="W2" s="24"/>
      <c r="X2" s="24"/>
      <c r="Y2" s="24"/>
      <c r="Z2" s="24"/>
    </row>
    <row r="3" spans="1:26">
      <c r="A3" s="24"/>
      <c r="B3" s="24"/>
      <c r="C3" s="24"/>
      <c r="D3" s="24"/>
      <c r="E3" s="24"/>
      <c r="F3" s="24"/>
      <c r="G3" s="24"/>
      <c r="H3" s="24"/>
      <c r="I3" s="24"/>
      <c r="J3" s="24"/>
      <c r="K3" s="24"/>
      <c r="L3" s="24"/>
      <c r="M3" s="24"/>
      <c r="N3" s="24"/>
      <c r="O3" s="24"/>
      <c r="P3" s="24"/>
      <c r="Q3" s="24"/>
      <c r="R3" s="24"/>
      <c r="S3" s="24"/>
      <c r="T3" s="24"/>
      <c r="U3" s="24"/>
      <c r="V3" s="24"/>
      <c r="W3" s="24"/>
      <c r="X3" s="24"/>
      <c r="Y3" s="24"/>
      <c r="Z3" s="24"/>
    </row>
    <row r="4" spans="1:26">
      <c r="A4" s="24"/>
      <c r="B4" s="24"/>
      <c r="C4" s="24"/>
      <c r="D4" s="24"/>
      <c r="E4" s="24"/>
      <c r="F4" s="24"/>
      <c r="G4" s="24"/>
      <c r="H4" s="24"/>
      <c r="I4" s="24"/>
      <c r="J4" s="24"/>
      <c r="K4" s="24"/>
      <c r="L4" s="24"/>
      <c r="M4" s="24"/>
      <c r="N4" s="24"/>
      <c r="O4" s="24"/>
      <c r="P4" s="24"/>
      <c r="Q4" s="24"/>
      <c r="R4" s="24"/>
      <c r="S4" s="24"/>
      <c r="T4" s="24"/>
      <c r="U4" s="24"/>
      <c r="V4" s="24"/>
      <c r="W4" s="24"/>
      <c r="X4" s="24"/>
      <c r="Y4" s="24"/>
      <c r="Z4" s="24"/>
    </row>
    <row r="5" spans="1:26">
      <c r="A5" s="24"/>
      <c r="B5" s="24"/>
      <c r="C5" s="24"/>
      <c r="D5" s="24"/>
      <c r="E5" s="24"/>
      <c r="F5" s="24"/>
      <c r="G5" s="24"/>
      <c r="H5" s="24"/>
      <c r="I5" s="24"/>
      <c r="J5" s="24"/>
      <c r="K5" s="24"/>
      <c r="L5" s="24"/>
      <c r="M5" s="24"/>
      <c r="N5" s="24"/>
      <c r="O5" s="24"/>
      <c r="P5" s="24"/>
      <c r="Q5" s="24"/>
      <c r="R5" s="24"/>
      <c r="S5" s="24"/>
      <c r="T5" s="24"/>
      <c r="U5" s="24"/>
      <c r="V5" s="24"/>
      <c r="W5" s="24"/>
      <c r="X5" s="24"/>
      <c r="Y5" s="24"/>
      <c r="Z5" s="24"/>
    </row>
    <row r="6" spans="1:26">
      <c r="A6" s="24"/>
      <c r="B6" s="24"/>
      <c r="C6" s="24"/>
      <c r="D6" s="24"/>
      <c r="E6" s="24"/>
      <c r="F6" s="24"/>
      <c r="G6" s="24"/>
      <c r="H6" s="24"/>
      <c r="I6" s="24"/>
      <c r="J6" s="24"/>
      <c r="K6" s="24"/>
      <c r="L6" s="24"/>
      <c r="M6" s="24"/>
      <c r="N6" s="24"/>
      <c r="O6" s="24"/>
      <c r="P6" s="24"/>
      <c r="Q6" s="24"/>
      <c r="R6" s="24"/>
      <c r="S6" s="24"/>
      <c r="T6" s="24"/>
      <c r="U6" s="24"/>
      <c r="V6" s="24"/>
      <c r="W6" s="24"/>
      <c r="X6" s="24"/>
      <c r="Y6" s="24"/>
      <c r="Z6" s="24"/>
    </row>
    <row r="7" spans="1:26">
      <c r="A7" s="24"/>
      <c r="B7" s="24"/>
      <c r="C7" s="24"/>
      <c r="D7" s="24"/>
      <c r="E7" s="24"/>
      <c r="F7" s="24"/>
      <c r="G7" s="24"/>
      <c r="H7" s="24"/>
      <c r="I7" s="24"/>
      <c r="J7" s="24"/>
      <c r="K7" s="24"/>
      <c r="L7" s="24"/>
      <c r="M7" s="24"/>
      <c r="N7" s="24"/>
      <c r="O7" s="24"/>
      <c r="P7" s="24"/>
      <c r="Q7" s="24"/>
      <c r="R7" s="24"/>
      <c r="S7" s="24"/>
      <c r="T7" s="24"/>
      <c r="U7" s="24"/>
      <c r="V7" s="24"/>
      <c r="W7" s="24"/>
      <c r="X7" s="24"/>
      <c r="Y7" s="24"/>
      <c r="Z7" s="24"/>
    </row>
    <row r="8" spans="1:26">
      <c r="A8" s="25" t="str">
        <f>Index!A8</f>
        <v>AusPlay survey results July 2024 - June 2025</v>
      </c>
      <c r="B8" s="24"/>
      <c r="C8" s="24"/>
      <c r="D8" s="24"/>
      <c r="E8" s="24"/>
      <c r="F8" s="24"/>
      <c r="G8" s="24"/>
      <c r="H8" s="24"/>
      <c r="I8" s="24"/>
      <c r="J8" s="24"/>
      <c r="K8" s="24"/>
      <c r="L8" s="24"/>
      <c r="M8" s="24"/>
      <c r="N8" s="24"/>
      <c r="O8" s="24"/>
      <c r="P8" s="24"/>
      <c r="Q8" s="24"/>
      <c r="R8" s="24"/>
      <c r="S8" s="24"/>
      <c r="T8" s="24"/>
      <c r="U8" s="24"/>
      <c r="V8" s="24"/>
      <c r="W8" s="24"/>
      <c r="X8" s="24"/>
      <c r="Y8" s="24"/>
      <c r="Z8" s="24"/>
    </row>
    <row r="9" spans="1:26">
      <c r="A9" s="24" t="s">
        <v>1</v>
      </c>
      <c r="B9" s="24"/>
      <c r="C9" s="133" t="s">
        <v>2</v>
      </c>
      <c r="D9" s="24"/>
      <c r="E9" s="24"/>
      <c r="F9" s="24"/>
      <c r="G9" s="24"/>
      <c r="H9" s="24"/>
      <c r="I9" s="24"/>
      <c r="J9" s="24"/>
      <c r="K9" s="24"/>
      <c r="L9" s="24"/>
      <c r="M9" s="24"/>
      <c r="N9" s="24"/>
      <c r="O9" s="24"/>
      <c r="P9" s="24"/>
      <c r="Q9" s="24"/>
      <c r="R9" s="24"/>
      <c r="S9" s="24"/>
      <c r="T9" s="24"/>
      <c r="U9" s="24"/>
      <c r="V9" s="24"/>
      <c r="W9" s="24"/>
      <c r="X9" s="24"/>
      <c r="Y9" s="24"/>
      <c r="Z9" s="24"/>
    </row>
    <row r="10" spans="1:26">
      <c r="A10" s="24" t="s">
        <v>40</v>
      </c>
      <c r="B10" s="24"/>
      <c r="C10" s="26">
        <v>12</v>
      </c>
      <c r="D10" s="24"/>
      <c r="E10" s="24"/>
      <c r="F10" s="24"/>
      <c r="G10" s="24"/>
      <c r="H10" s="24"/>
      <c r="I10" s="24"/>
      <c r="J10" s="24"/>
      <c r="K10" s="24"/>
      <c r="L10" s="24"/>
      <c r="M10" s="24"/>
      <c r="N10" s="24"/>
      <c r="O10" s="24"/>
      <c r="P10" s="24"/>
      <c r="Q10" s="24"/>
      <c r="R10" s="24"/>
      <c r="S10" s="24"/>
      <c r="T10" s="24"/>
      <c r="U10" s="24"/>
      <c r="V10" s="24"/>
      <c r="W10" s="24"/>
      <c r="X10" s="24"/>
      <c r="Y10" s="24"/>
      <c r="Z10" s="24"/>
    </row>
    <row r="11" spans="1:26">
      <c r="A11" s="24" t="s">
        <v>3</v>
      </c>
      <c r="B11" s="24"/>
      <c r="C11" s="25" t="s">
        <v>21</v>
      </c>
      <c r="D11" s="24"/>
      <c r="E11" s="24"/>
      <c r="F11" s="24"/>
      <c r="G11" s="24"/>
      <c r="H11" s="24"/>
      <c r="I11" s="24"/>
      <c r="J11" s="24"/>
      <c r="K11" s="24"/>
      <c r="L11" s="24"/>
      <c r="M11" s="24"/>
      <c r="N11" s="24"/>
      <c r="O11" s="24"/>
      <c r="P11" s="24"/>
      <c r="Q11" s="24"/>
      <c r="R11" s="24"/>
      <c r="S11" s="24"/>
      <c r="T11" s="24"/>
      <c r="U11" s="24"/>
      <c r="V11" s="24"/>
      <c r="W11" s="24"/>
      <c r="X11" s="24"/>
      <c r="Y11" s="24"/>
      <c r="Z11" s="24"/>
    </row>
    <row r="12" spans="1:26">
      <c r="A12" s="109" t="s">
        <v>41</v>
      </c>
      <c r="B12" s="109"/>
      <c r="C12" s="110" t="s">
        <v>197</v>
      </c>
      <c r="D12" s="109"/>
      <c r="E12" s="144" t="s">
        <v>137</v>
      </c>
      <c r="F12" s="109"/>
      <c r="G12" s="109"/>
      <c r="H12" s="109"/>
      <c r="I12" s="109"/>
      <c r="J12" s="109"/>
      <c r="K12" s="109"/>
      <c r="L12" s="109"/>
      <c r="M12" s="109"/>
      <c r="N12" s="109"/>
      <c r="O12" s="109"/>
      <c r="P12" s="109"/>
      <c r="Q12" s="109"/>
      <c r="R12" s="109"/>
      <c r="S12" s="109"/>
      <c r="T12" s="109"/>
      <c r="U12" s="109"/>
      <c r="V12" s="109"/>
      <c r="W12" s="109"/>
      <c r="X12" s="109"/>
      <c r="Y12" s="109"/>
      <c r="Z12" s="109"/>
    </row>
    <row r="13" spans="1:26" s="87" customFormat="1" ht="50.1" customHeight="1">
      <c r="A13" s="55"/>
      <c r="B13" s="55"/>
      <c r="C13" s="55" t="s">
        <v>198</v>
      </c>
      <c r="D13" s="55" t="s">
        <v>199</v>
      </c>
      <c r="E13" s="55" t="s">
        <v>200</v>
      </c>
      <c r="F13" s="55" t="s">
        <v>201</v>
      </c>
      <c r="G13" s="55" t="s">
        <v>202</v>
      </c>
      <c r="H13" s="55" t="s">
        <v>203</v>
      </c>
      <c r="I13" s="55" t="s">
        <v>204</v>
      </c>
      <c r="J13" s="55" t="s">
        <v>205</v>
      </c>
      <c r="K13" s="55" t="s">
        <v>206</v>
      </c>
      <c r="L13" s="55" t="s">
        <v>207</v>
      </c>
      <c r="M13" s="55" t="s">
        <v>208</v>
      </c>
      <c r="N13" s="55" t="s">
        <v>209</v>
      </c>
      <c r="O13" s="55" t="s">
        <v>210</v>
      </c>
      <c r="P13" s="55" t="s">
        <v>211</v>
      </c>
      <c r="Q13" s="55" t="s">
        <v>212</v>
      </c>
      <c r="R13" s="55" t="s">
        <v>213</v>
      </c>
      <c r="S13" s="55" t="s">
        <v>214</v>
      </c>
      <c r="T13" s="55" t="s">
        <v>215</v>
      </c>
      <c r="U13" s="55" t="s">
        <v>216</v>
      </c>
      <c r="V13" s="55" t="s">
        <v>217</v>
      </c>
      <c r="W13" s="55" t="s">
        <v>218</v>
      </c>
      <c r="X13" s="55" t="s">
        <v>219</v>
      </c>
      <c r="Y13" s="55" t="s">
        <v>220</v>
      </c>
      <c r="Z13" s="55" t="s">
        <v>221</v>
      </c>
    </row>
    <row r="14" spans="1:26">
      <c r="A14" s="57"/>
      <c r="B14" s="57"/>
      <c r="C14" s="160" t="s">
        <v>222</v>
      </c>
      <c r="D14" s="160"/>
      <c r="E14" s="160"/>
      <c r="F14" s="160"/>
      <c r="G14" s="160"/>
      <c r="H14" s="160"/>
      <c r="I14" s="160"/>
      <c r="J14" s="160"/>
      <c r="K14" s="160"/>
      <c r="L14" s="160"/>
      <c r="M14" s="160"/>
      <c r="N14" s="160"/>
      <c r="O14" s="160"/>
      <c r="P14" s="160"/>
      <c r="Q14" s="160"/>
      <c r="R14" s="160"/>
      <c r="S14" s="160"/>
      <c r="T14" s="160"/>
      <c r="U14" s="160"/>
      <c r="V14" s="160"/>
      <c r="W14" s="160"/>
      <c r="X14" s="160"/>
      <c r="Y14" s="160"/>
      <c r="Z14" s="160"/>
    </row>
    <row r="15" spans="1:26">
      <c r="A15" s="30" t="s">
        <v>174</v>
      </c>
      <c r="B15" s="30" t="s">
        <v>48</v>
      </c>
      <c r="C15" s="23">
        <v>0.30104044312567263</v>
      </c>
      <c r="D15" s="23">
        <v>0.20049340175167668</v>
      </c>
      <c r="E15" s="23">
        <v>0.16302271590286824</v>
      </c>
      <c r="F15" s="23">
        <v>0.16167304515480663</v>
      </c>
      <c r="G15" s="23">
        <v>0.16073831789031504</v>
      </c>
      <c r="H15" s="23">
        <v>0.14965673539737678</v>
      </c>
      <c r="I15" s="23">
        <v>0.13001295214869335</v>
      </c>
      <c r="J15" s="23">
        <v>7.7725305103196904E-2</v>
      </c>
      <c r="K15" s="23">
        <v>5.7537505095954636E-2</v>
      </c>
      <c r="L15" s="23">
        <v>6.9389863145241037E-2</v>
      </c>
      <c r="M15" s="23">
        <v>5.4542260573496405E-2</v>
      </c>
      <c r="N15" s="23">
        <v>5.9156763629563743E-2</v>
      </c>
      <c r="O15" s="23">
        <v>4.6063334763355127E-2</v>
      </c>
      <c r="P15" s="23">
        <v>2.632614357115411E-2</v>
      </c>
      <c r="Q15" s="23">
        <v>2.9193361964246399E-2</v>
      </c>
      <c r="R15" s="23">
        <v>3.9348904598953814E-2</v>
      </c>
      <c r="S15" s="23">
        <v>2.1909755113934955E-2</v>
      </c>
      <c r="T15" s="23">
        <v>2.2047707371334591E-2</v>
      </c>
      <c r="U15" s="23">
        <v>3.0848997628685565E-2</v>
      </c>
      <c r="V15" s="23">
        <v>2.5729902197699293E-2</v>
      </c>
      <c r="W15" s="23">
        <v>1.6917037007265549E-2</v>
      </c>
      <c r="X15" s="23">
        <v>1.3689390409995774E-2</v>
      </c>
      <c r="Y15" s="23">
        <v>1.404778593518417E-2</v>
      </c>
      <c r="Z15" s="23">
        <v>8.5606553542863072E-3</v>
      </c>
    </row>
    <row r="16" spans="1:26">
      <c r="A16" s="30"/>
      <c r="B16" s="29"/>
    </row>
    <row r="17" spans="1:26">
      <c r="A17" s="30" t="s">
        <v>223</v>
      </c>
      <c r="B17" s="30" t="s">
        <v>48</v>
      </c>
      <c r="C17" s="23">
        <v>0.24652520713941256</v>
      </c>
      <c r="D17" s="23">
        <v>0.17115255717207628</v>
      </c>
      <c r="E17" s="23">
        <v>0.12263895097223412</v>
      </c>
      <c r="F17" s="23">
        <v>0.15855089706144357</v>
      </c>
      <c r="G17" s="23">
        <v>0.14627067816990724</v>
      </c>
      <c r="H17" s="23">
        <v>0.11099159048929805</v>
      </c>
      <c r="I17" s="23">
        <v>0.13931389771097233</v>
      </c>
      <c r="J17" s="23">
        <v>7.2532397427676185E-2</v>
      </c>
      <c r="K17" s="23">
        <v>4.0255633807538153E-2</v>
      </c>
      <c r="L17" s="23">
        <v>8.9250701226279122E-2</v>
      </c>
      <c r="M17" s="23">
        <v>7.0530481748056234E-2</v>
      </c>
      <c r="N17" s="23">
        <v>5.2943822976581137E-2</v>
      </c>
      <c r="O17" s="23">
        <v>4.7968414840475433E-2</v>
      </c>
      <c r="P17" s="23">
        <v>2.7274500290664819E-2</v>
      </c>
      <c r="Q17" s="23">
        <v>2.3614186378376197E-2</v>
      </c>
      <c r="R17" s="23">
        <v>4.622406664909337E-2</v>
      </c>
      <c r="S17" s="23">
        <v>1.1221909017674302E-2</v>
      </c>
      <c r="T17" s="23">
        <v>1.9075428420797475E-2</v>
      </c>
      <c r="U17" s="23">
        <v>3.2797045316220727E-2</v>
      </c>
      <c r="V17" s="23">
        <v>2.3708952852297419E-2</v>
      </c>
      <c r="W17" s="23">
        <v>1.9644998236303304E-2</v>
      </c>
      <c r="X17" s="23">
        <v>9.2338690249293854E-3</v>
      </c>
      <c r="Y17" s="23">
        <v>9.3074439242667156E-3</v>
      </c>
      <c r="Z17" s="23">
        <v>8.1205066550424088E-3</v>
      </c>
    </row>
    <row r="18" spans="1:26">
      <c r="A18" s="30"/>
      <c r="B18" s="29"/>
    </row>
    <row r="19" spans="1:26">
      <c r="A19" s="30" t="s">
        <v>224</v>
      </c>
      <c r="B19" s="30" t="s">
        <v>48</v>
      </c>
      <c r="C19" s="23">
        <v>0.34252319209727505</v>
      </c>
      <c r="D19" s="23">
        <v>0.2319732260801555</v>
      </c>
      <c r="E19" s="23">
        <v>0.19764793770098016</v>
      </c>
      <c r="F19" s="23">
        <v>0.16485632980993795</v>
      </c>
      <c r="G19" s="23">
        <v>0.17667810319535709</v>
      </c>
      <c r="H19" s="23">
        <v>0.18639699104227259</v>
      </c>
      <c r="I19" s="23">
        <v>0.12569639382966188</v>
      </c>
      <c r="J19" s="23">
        <v>8.2435844389105201E-2</v>
      </c>
      <c r="K19" s="23">
        <v>6.6367294317657491E-2</v>
      </c>
      <c r="L19" s="23">
        <v>5.4081025735645119E-2</v>
      </c>
      <c r="M19" s="23">
        <v>3.6934908350311768E-2</v>
      </c>
      <c r="N19" s="23">
        <v>6.6311220685487823E-2</v>
      </c>
      <c r="O19" s="23">
        <v>4.3506416350758303E-2</v>
      </c>
      <c r="P19" s="23">
        <v>2.6268334589343044E-2</v>
      </c>
      <c r="Q19" s="23">
        <v>3.4918021352094236E-2</v>
      </c>
      <c r="R19" s="23">
        <v>3.0652935013093061E-2</v>
      </c>
      <c r="S19" s="23">
        <v>3.1881263205770907E-2</v>
      </c>
      <c r="T19" s="23">
        <v>2.396244991492965E-2</v>
      </c>
      <c r="U19" s="23">
        <v>2.8923486804552284E-2</v>
      </c>
      <c r="V19" s="23">
        <v>2.824688218424035E-2</v>
      </c>
      <c r="W19" s="23">
        <v>1.5030374136341633E-2</v>
      </c>
      <c r="X19" s="23">
        <v>1.7979554177360028E-2</v>
      </c>
      <c r="Y19" s="23">
        <v>1.859708474741471E-2</v>
      </c>
      <c r="Z19" s="23">
        <v>9.1953327282545336E-3</v>
      </c>
    </row>
    <row r="20" spans="1:26">
      <c r="A20" s="132"/>
      <c r="B20" s="132"/>
      <c r="C20" s="159" t="s">
        <v>225</v>
      </c>
      <c r="D20" s="159"/>
      <c r="E20" s="159"/>
      <c r="F20" s="159"/>
      <c r="G20" s="159"/>
      <c r="H20" s="159"/>
      <c r="I20" s="159"/>
      <c r="J20" s="159"/>
      <c r="K20" s="159"/>
      <c r="L20" s="159"/>
      <c r="M20" s="159"/>
      <c r="N20" s="159"/>
      <c r="O20" s="159"/>
      <c r="P20" s="159"/>
      <c r="Q20" s="159"/>
      <c r="R20" s="159"/>
      <c r="S20" s="159"/>
      <c r="T20" s="159"/>
      <c r="U20" s="159"/>
      <c r="V20" s="159"/>
      <c r="W20" s="159"/>
      <c r="X20" s="159"/>
      <c r="Y20" s="159"/>
      <c r="Z20" s="159"/>
    </row>
    <row r="21" spans="1:26" ht="17.25">
      <c r="A21" s="30" t="s">
        <v>175</v>
      </c>
      <c r="B21" s="30" t="s">
        <v>48</v>
      </c>
      <c r="C21" s="40">
        <v>226338.17425105986</v>
      </c>
      <c r="D21" s="40">
        <v>150741.5748883769</v>
      </c>
      <c r="E21" s="40">
        <v>122569.12558257442</v>
      </c>
      <c r="F21" s="40">
        <v>121554.37151901891</v>
      </c>
      <c r="G21" s="40">
        <v>120851.59397766578</v>
      </c>
      <c r="H21" s="40">
        <v>112519.87242151234</v>
      </c>
      <c r="I21" s="40">
        <v>97750.634143336953</v>
      </c>
      <c r="J21" s="40">
        <v>58438.007423541145</v>
      </c>
      <c r="K21" s="40">
        <v>43259.748488155325</v>
      </c>
      <c r="L21" s="40">
        <v>52170.979994433168</v>
      </c>
      <c r="M21" s="40">
        <v>41007.76476925789</v>
      </c>
      <c r="N21" s="40">
        <v>44477.192949544631</v>
      </c>
      <c r="O21" s="40">
        <v>34632.858568776333</v>
      </c>
      <c r="P21" s="40">
        <v>19793.391243710103</v>
      </c>
      <c r="Q21" s="40">
        <v>21949.118127226051</v>
      </c>
      <c r="R21" s="40">
        <v>29584.593794888766</v>
      </c>
      <c r="S21" s="40">
        <v>16472.916128101981</v>
      </c>
      <c r="T21" s="40">
        <v>16576.635953084471</v>
      </c>
      <c r="U21" s="40">
        <v>23193.91284524892</v>
      </c>
      <c r="V21" s="40">
        <v>19345.105350693495</v>
      </c>
      <c r="W21" s="40">
        <v>12719.125809828987</v>
      </c>
      <c r="X21" s="40">
        <v>10292.409882996808</v>
      </c>
      <c r="Y21" s="40">
        <v>10561.870650422756</v>
      </c>
      <c r="Z21" s="40">
        <v>6436.3548072271769</v>
      </c>
    </row>
    <row r="22" spans="1:26">
      <c r="A22" s="30"/>
      <c r="B22" s="29"/>
    </row>
    <row r="23" spans="1:26">
      <c r="A23" s="30" t="s">
        <v>223</v>
      </c>
      <c r="B23" s="30" t="s">
        <v>48</v>
      </c>
      <c r="C23" s="40">
        <v>85063.392727154438</v>
      </c>
      <c r="D23" s="40">
        <v>59056.099601011243</v>
      </c>
      <c r="E23" s="40">
        <v>42316.505363680466</v>
      </c>
      <c r="F23" s="40">
        <v>54707.90342487469</v>
      </c>
      <c r="G23" s="40">
        <v>50470.620371886747</v>
      </c>
      <c r="H23" s="40">
        <v>38297.589770864666</v>
      </c>
      <c r="I23" s="40">
        <v>48070.186942941997</v>
      </c>
      <c r="J23" s="40">
        <v>25027.265485039632</v>
      </c>
      <c r="K23" s="40">
        <v>13890.185217914317</v>
      </c>
      <c r="L23" s="40">
        <v>30795.907394944683</v>
      </c>
      <c r="M23" s="40">
        <v>24336.505535425797</v>
      </c>
      <c r="N23" s="40">
        <v>18268.238200027317</v>
      </c>
      <c r="O23" s="40">
        <v>16551.476246268565</v>
      </c>
      <c r="P23" s="40">
        <v>9411.0519430562344</v>
      </c>
      <c r="Q23" s="40">
        <v>8148.062557757401</v>
      </c>
      <c r="R23" s="40">
        <v>15949.589822652162</v>
      </c>
      <c r="S23" s="40">
        <v>3872.1137890739246</v>
      </c>
      <c r="T23" s="40">
        <v>6581.9665178474434</v>
      </c>
      <c r="U23" s="40">
        <v>11316.6031920066</v>
      </c>
      <c r="V23" s="40">
        <v>8180.7616796121893</v>
      </c>
      <c r="W23" s="40">
        <v>6778.4962823453452</v>
      </c>
      <c r="X23" s="40">
        <v>3186.1416378994736</v>
      </c>
      <c r="Y23" s="40">
        <v>3211.528618118713</v>
      </c>
      <c r="Z23" s="40">
        <v>2801.9765392620193</v>
      </c>
    </row>
    <row r="24" spans="1:26">
      <c r="A24" s="30"/>
      <c r="B24" s="29"/>
      <c r="C24" s="40"/>
      <c r="D24" s="40"/>
      <c r="E24" s="40"/>
      <c r="F24" s="40"/>
      <c r="G24" s="40"/>
      <c r="H24" s="40"/>
      <c r="I24" s="40"/>
      <c r="J24" s="40"/>
      <c r="K24" s="40"/>
      <c r="L24" s="40"/>
      <c r="M24" s="40"/>
      <c r="N24" s="40"/>
      <c r="O24" s="40"/>
      <c r="P24" s="40"/>
      <c r="Q24" s="40"/>
      <c r="R24" s="40"/>
      <c r="S24" s="40"/>
      <c r="T24" s="40"/>
      <c r="U24" s="40"/>
      <c r="V24" s="40"/>
      <c r="W24" s="40"/>
      <c r="X24" s="40"/>
      <c r="Y24" s="40"/>
      <c r="Z24" s="40"/>
    </row>
    <row r="25" spans="1:26">
      <c r="A25" s="30" t="s">
        <v>224</v>
      </c>
      <c r="B25" s="30" t="s">
        <v>48</v>
      </c>
      <c r="C25" s="40">
        <v>135379.42371648052</v>
      </c>
      <c r="D25" s="40">
        <v>91685.47528736564</v>
      </c>
      <c r="E25" s="40">
        <v>78118.692462467006</v>
      </c>
      <c r="F25" s="40">
        <v>65158.084008936814</v>
      </c>
      <c r="G25" s="40">
        <v>69830.540955356832</v>
      </c>
      <c r="H25" s="40">
        <v>73671.85000022543</v>
      </c>
      <c r="I25" s="40">
        <v>49680.447200394934</v>
      </c>
      <c r="J25" s="40">
        <v>32582.077256272631</v>
      </c>
      <c r="K25" s="40">
        <v>26231.117383125671</v>
      </c>
      <c r="L25" s="40">
        <v>21375.072599488467</v>
      </c>
      <c r="M25" s="40">
        <v>14598.213268041103</v>
      </c>
      <c r="N25" s="40">
        <v>26208.954749517306</v>
      </c>
      <c r="O25" s="40">
        <v>17195.546781726323</v>
      </c>
      <c r="P25" s="40">
        <v>10382.33930065387</v>
      </c>
      <c r="Q25" s="40">
        <v>13801.055569468655</v>
      </c>
      <c r="R25" s="40">
        <v>12115.315905711719</v>
      </c>
      <c r="S25" s="40">
        <v>12600.802339028058</v>
      </c>
      <c r="T25" s="40">
        <v>9470.9576903537563</v>
      </c>
      <c r="U25" s="40">
        <v>11431.76598202288</v>
      </c>
      <c r="V25" s="40">
        <v>11164.343671081308</v>
      </c>
      <c r="W25" s="40">
        <v>5940.629527483643</v>
      </c>
      <c r="X25" s="40">
        <v>7106.2682450973371</v>
      </c>
      <c r="Y25" s="40">
        <v>7350.3420323040446</v>
      </c>
      <c r="Z25" s="40">
        <v>3634.3782679651576</v>
      </c>
    </row>
    <row r="26" spans="1:26">
      <c r="A26" s="111"/>
      <c r="B26" s="111"/>
      <c r="C26" s="97"/>
      <c r="D26" s="97"/>
      <c r="E26" s="97"/>
      <c r="F26" s="97"/>
      <c r="G26" s="97"/>
      <c r="H26" s="97"/>
      <c r="I26" s="97"/>
      <c r="J26" s="97"/>
      <c r="K26" s="97"/>
      <c r="L26" s="97"/>
      <c r="M26" s="97"/>
      <c r="N26" s="97"/>
      <c r="O26" s="97"/>
      <c r="P26" s="97"/>
      <c r="Q26" s="97"/>
      <c r="R26" s="97"/>
      <c r="S26" s="97"/>
      <c r="T26" s="97"/>
      <c r="U26" s="97"/>
      <c r="V26" s="97"/>
      <c r="W26" s="97"/>
      <c r="X26" s="97"/>
      <c r="Y26" s="97"/>
      <c r="Z26" s="97"/>
    </row>
    <row r="27" spans="1:26" ht="14.45" customHeight="1">
      <c r="A27" s="137" t="s">
        <v>226</v>
      </c>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spans="1:26" ht="15" customHeight="1">
      <c r="A28" s="115" t="s">
        <v>108</v>
      </c>
    </row>
    <row r="29" spans="1:26">
      <c r="A29" s="16" t="s">
        <v>227</v>
      </c>
    </row>
    <row r="30" spans="1:26">
      <c r="A30" s="16" t="s">
        <v>112</v>
      </c>
    </row>
    <row r="31" spans="1:26">
      <c r="A31" s="16" t="s">
        <v>113</v>
      </c>
    </row>
    <row r="32" spans="1:26">
      <c r="A32" s="21" t="s">
        <v>111</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1" formatCode="\*\*0.0%"/>
            </x14:dxf>
          </x14:cfRule>
          <x14:cfRule type="expression" priority="4" id="{E524F568-C616-457D-8467-0472D862CDFD}">
            <xm:f>C21&lt;'27'!$C$103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69" formatCode="\*\*#,###,###,##0"/>
            </x14:dxf>
          </x14:cfRule>
          <x14:cfRule type="expression" priority="2" id="{8A57AEED-2150-4E39-AF42-BCEE9D9CEAF5}">
            <xm:f>C21&lt;'27'!$C$103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3"/>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5" width="19" style="1" customWidth="1"/>
    <col min="26" max="16384" width="8.85546875" style="1"/>
  </cols>
  <sheetData>
    <row r="1" spans="1:25">
      <c r="A1" s="24"/>
      <c r="B1" s="24"/>
      <c r="C1" s="24"/>
      <c r="D1" s="24"/>
      <c r="E1" s="24"/>
      <c r="F1" s="24"/>
      <c r="G1" s="24"/>
      <c r="H1" s="24"/>
      <c r="I1" s="24"/>
      <c r="J1" s="24"/>
      <c r="K1" s="24"/>
      <c r="L1" s="24"/>
      <c r="M1" s="24"/>
      <c r="N1" s="24"/>
      <c r="O1" s="24"/>
      <c r="P1" s="24"/>
      <c r="Q1" s="24"/>
      <c r="R1" s="24"/>
      <c r="S1" s="24"/>
      <c r="T1" s="24"/>
      <c r="U1" s="24"/>
      <c r="V1" s="24"/>
      <c r="W1" s="24"/>
      <c r="X1" s="24"/>
      <c r="Y1" s="24"/>
    </row>
    <row r="2" spans="1:25">
      <c r="A2" s="24"/>
      <c r="B2" s="24"/>
      <c r="C2" s="24"/>
      <c r="D2" s="24"/>
      <c r="E2" s="24"/>
      <c r="F2" s="24"/>
      <c r="G2" s="24"/>
      <c r="H2" s="24"/>
      <c r="I2" s="24"/>
      <c r="J2" s="24"/>
      <c r="K2" s="24"/>
      <c r="L2" s="24"/>
      <c r="M2" s="24"/>
      <c r="N2" s="24"/>
      <c r="O2" s="24"/>
      <c r="P2" s="24"/>
      <c r="Q2" s="24"/>
      <c r="R2" s="24"/>
      <c r="S2" s="24"/>
      <c r="T2" s="24"/>
      <c r="U2" s="24"/>
      <c r="V2" s="24"/>
      <c r="W2" s="24"/>
      <c r="X2" s="24"/>
      <c r="Y2" s="24"/>
    </row>
    <row r="3" spans="1:25">
      <c r="A3" s="24"/>
      <c r="B3" s="24"/>
      <c r="C3" s="24"/>
      <c r="D3" s="24"/>
      <c r="E3" s="24"/>
      <c r="F3" s="24"/>
      <c r="G3" s="24"/>
      <c r="H3" s="24"/>
      <c r="I3" s="24"/>
      <c r="J3" s="24"/>
      <c r="K3" s="24"/>
      <c r="L3" s="24"/>
      <c r="M3" s="24"/>
      <c r="N3" s="24"/>
      <c r="O3" s="24"/>
      <c r="P3" s="24"/>
      <c r="Q3" s="24"/>
      <c r="R3" s="24"/>
      <c r="S3" s="24"/>
      <c r="T3" s="24"/>
      <c r="U3" s="24"/>
      <c r="V3" s="24"/>
      <c r="W3" s="24"/>
      <c r="X3" s="24"/>
      <c r="Y3" s="24"/>
    </row>
    <row r="4" spans="1:25">
      <c r="A4" s="24"/>
      <c r="B4" s="24"/>
      <c r="C4" s="24"/>
      <c r="D4" s="24"/>
      <c r="E4" s="24"/>
      <c r="F4" s="24"/>
      <c r="G4" s="24"/>
      <c r="H4" s="24"/>
      <c r="I4" s="24"/>
      <c r="J4" s="24"/>
      <c r="K4" s="24"/>
      <c r="L4" s="24"/>
      <c r="M4" s="24"/>
      <c r="N4" s="24"/>
      <c r="O4" s="24"/>
      <c r="P4" s="24"/>
      <c r="Q4" s="24"/>
      <c r="R4" s="24"/>
      <c r="S4" s="24"/>
      <c r="T4" s="24"/>
      <c r="U4" s="24"/>
      <c r="V4" s="24"/>
      <c r="W4" s="24"/>
      <c r="X4" s="24"/>
      <c r="Y4" s="24"/>
    </row>
    <row r="5" spans="1:25">
      <c r="A5" s="24"/>
      <c r="B5" s="24"/>
      <c r="C5" s="24"/>
      <c r="D5" s="24"/>
      <c r="E5" s="24"/>
      <c r="F5" s="24"/>
      <c r="G5" s="24"/>
      <c r="H5" s="24"/>
      <c r="I5" s="24"/>
      <c r="J5" s="24"/>
      <c r="K5" s="24"/>
      <c r="L5" s="24"/>
      <c r="M5" s="24"/>
      <c r="N5" s="24"/>
      <c r="O5" s="24"/>
      <c r="P5" s="24"/>
      <c r="Q5" s="24"/>
      <c r="R5" s="24"/>
      <c r="S5" s="24"/>
      <c r="T5" s="24"/>
      <c r="U5" s="24"/>
      <c r="V5" s="24"/>
      <c r="W5" s="24"/>
      <c r="X5" s="24"/>
      <c r="Y5" s="24"/>
    </row>
    <row r="6" spans="1:25">
      <c r="A6" s="24"/>
      <c r="B6" s="24"/>
      <c r="C6" s="24"/>
      <c r="D6" s="24"/>
      <c r="E6" s="24"/>
      <c r="F6" s="24"/>
      <c r="G6" s="24"/>
      <c r="H6" s="24"/>
      <c r="I6" s="24"/>
      <c r="J6" s="24"/>
      <c r="K6" s="24"/>
      <c r="L6" s="24"/>
      <c r="M6" s="24"/>
      <c r="N6" s="24"/>
      <c r="O6" s="24"/>
      <c r="P6" s="24"/>
      <c r="Q6" s="24"/>
      <c r="R6" s="24"/>
      <c r="S6" s="24"/>
      <c r="T6" s="24"/>
      <c r="U6" s="24"/>
      <c r="V6" s="24"/>
      <c r="W6" s="24"/>
      <c r="X6" s="24"/>
      <c r="Y6" s="24"/>
    </row>
    <row r="7" spans="1:25">
      <c r="A7" s="24"/>
      <c r="B7" s="24"/>
      <c r="C7" s="24"/>
      <c r="D7" s="24"/>
      <c r="E7" s="24"/>
      <c r="F7" s="24"/>
      <c r="G7" s="24"/>
      <c r="H7" s="24"/>
      <c r="I7" s="24"/>
      <c r="J7" s="24"/>
      <c r="K7" s="24"/>
      <c r="L7" s="24"/>
      <c r="M7" s="24"/>
      <c r="N7" s="24"/>
      <c r="O7" s="24"/>
      <c r="P7" s="24"/>
      <c r="Q7" s="24"/>
      <c r="R7" s="24"/>
      <c r="S7" s="24"/>
      <c r="T7" s="24"/>
      <c r="U7" s="24"/>
      <c r="V7" s="24"/>
      <c r="W7" s="24"/>
      <c r="X7" s="24"/>
      <c r="Y7" s="24"/>
    </row>
    <row r="8" spans="1:25">
      <c r="A8" s="25" t="str">
        <f>Index!A8</f>
        <v>AusPlay survey results July 2024 - June 2025</v>
      </c>
      <c r="B8" s="24"/>
      <c r="C8" s="24"/>
      <c r="D8" s="24"/>
      <c r="E8" s="24"/>
      <c r="F8" s="24"/>
      <c r="G8" s="24"/>
      <c r="H8" s="24"/>
      <c r="I8" s="24"/>
      <c r="J8" s="24"/>
      <c r="K8" s="24"/>
      <c r="L8" s="24"/>
      <c r="M8" s="24"/>
      <c r="N8" s="24"/>
      <c r="O8" s="24"/>
      <c r="P8" s="24"/>
      <c r="Q8" s="24"/>
      <c r="R8" s="24"/>
      <c r="S8" s="24"/>
      <c r="T8" s="24"/>
      <c r="U8" s="24"/>
      <c r="V8" s="24"/>
      <c r="W8" s="24"/>
      <c r="X8" s="24"/>
      <c r="Y8" s="24"/>
    </row>
    <row r="9" spans="1:25">
      <c r="A9" s="24" t="s">
        <v>1</v>
      </c>
      <c r="B9" s="24"/>
      <c r="C9" s="133" t="s">
        <v>2</v>
      </c>
      <c r="D9" s="24"/>
      <c r="E9" s="24"/>
      <c r="F9" s="24"/>
      <c r="G9" s="24"/>
      <c r="H9" s="24"/>
      <c r="I9" s="24"/>
      <c r="J9" s="24"/>
      <c r="K9" s="24"/>
      <c r="L9" s="24"/>
      <c r="M9" s="24"/>
      <c r="N9" s="24"/>
      <c r="O9" s="24"/>
      <c r="P9" s="24"/>
      <c r="Q9" s="24"/>
      <c r="R9" s="24"/>
      <c r="S9" s="24"/>
      <c r="T9" s="24"/>
      <c r="U9" s="24"/>
      <c r="V9" s="24"/>
      <c r="W9" s="24"/>
      <c r="X9" s="24"/>
      <c r="Y9" s="24"/>
    </row>
    <row r="10" spans="1:25">
      <c r="A10" s="24" t="s">
        <v>40</v>
      </c>
      <c r="B10" s="24"/>
      <c r="C10" s="26">
        <v>13</v>
      </c>
      <c r="D10" s="24"/>
      <c r="E10" s="24"/>
      <c r="F10" s="24"/>
      <c r="G10" s="24"/>
      <c r="H10" s="24"/>
      <c r="I10" s="24"/>
      <c r="J10" s="24"/>
      <c r="K10" s="24"/>
      <c r="L10" s="24"/>
      <c r="M10" s="24"/>
      <c r="N10" s="24"/>
      <c r="O10" s="24"/>
      <c r="P10" s="24"/>
      <c r="Q10" s="24"/>
      <c r="R10" s="24"/>
      <c r="S10" s="24"/>
      <c r="T10" s="24"/>
      <c r="U10" s="24"/>
      <c r="V10" s="24"/>
      <c r="W10" s="24"/>
      <c r="X10" s="24"/>
      <c r="Y10" s="24"/>
    </row>
    <row r="11" spans="1:25">
      <c r="A11" s="24" t="s">
        <v>3</v>
      </c>
      <c r="B11" s="24"/>
      <c r="C11" s="25" t="s">
        <v>22</v>
      </c>
      <c r="D11" s="24"/>
      <c r="E11" s="95" t="s">
        <v>137</v>
      </c>
      <c r="F11" s="24"/>
      <c r="G11" s="24"/>
      <c r="H11" s="24"/>
      <c r="I11" s="24"/>
      <c r="J11" s="24"/>
      <c r="K11" s="24"/>
      <c r="L11" s="24"/>
      <c r="M11" s="24"/>
      <c r="N11" s="24"/>
      <c r="O11" s="24"/>
      <c r="P11" s="24"/>
      <c r="Q11" s="24"/>
      <c r="R11" s="24"/>
      <c r="S11" s="24"/>
      <c r="T11" s="24"/>
      <c r="U11" s="24"/>
      <c r="V11" s="24"/>
      <c r="W11" s="24"/>
      <c r="X11" s="24"/>
      <c r="Y11" s="24"/>
    </row>
    <row r="12" spans="1:25">
      <c r="A12" s="109" t="s">
        <v>41</v>
      </c>
      <c r="B12" s="109"/>
      <c r="C12" s="110" t="s">
        <v>228</v>
      </c>
      <c r="D12" s="109"/>
      <c r="E12" s="144" t="s">
        <v>137</v>
      </c>
      <c r="F12" s="144" t="s">
        <v>137</v>
      </c>
      <c r="G12" s="109"/>
      <c r="H12" s="109"/>
      <c r="I12" s="109"/>
      <c r="J12" s="109"/>
      <c r="K12" s="109"/>
      <c r="L12" s="109"/>
      <c r="M12" s="109"/>
      <c r="N12" s="109"/>
      <c r="O12" s="109"/>
      <c r="P12" s="109"/>
      <c r="Q12" s="109"/>
      <c r="R12" s="109"/>
      <c r="S12" s="109"/>
      <c r="T12" s="109"/>
      <c r="U12" s="109"/>
      <c r="V12" s="109"/>
      <c r="W12" s="109"/>
      <c r="X12" s="109"/>
      <c r="Y12" s="109"/>
    </row>
    <row r="13" spans="1:25" s="87" customFormat="1" ht="50.1" customHeight="1">
      <c r="A13" s="55"/>
      <c r="B13" s="55"/>
      <c r="C13" s="55" t="s">
        <v>229</v>
      </c>
      <c r="D13" s="55" t="s">
        <v>230</v>
      </c>
      <c r="E13" s="55" t="s">
        <v>231</v>
      </c>
      <c r="F13" s="55" t="s">
        <v>232</v>
      </c>
      <c r="G13" s="55" t="s">
        <v>204</v>
      </c>
      <c r="H13" s="55" t="s">
        <v>202</v>
      </c>
      <c r="I13" s="55" t="s">
        <v>201</v>
      </c>
      <c r="J13" s="55" t="s">
        <v>200</v>
      </c>
      <c r="K13" s="55" t="s">
        <v>233</v>
      </c>
      <c r="L13" s="55" t="s">
        <v>213</v>
      </c>
      <c r="M13" s="55" t="s">
        <v>215</v>
      </c>
      <c r="N13" s="55" t="s">
        <v>234</v>
      </c>
      <c r="O13" s="55" t="s">
        <v>207</v>
      </c>
      <c r="P13" s="55" t="s">
        <v>235</v>
      </c>
      <c r="Q13" s="55" t="s">
        <v>209</v>
      </c>
      <c r="R13" s="55" t="s">
        <v>236</v>
      </c>
      <c r="S13" s="55" t="s">
        <v>218</v>
      </c>
      <c r="T13" s="55" t="s">
        <v>237</v>
      </c>
      <c r="U13" s="55" t="s">
        <v>238</v>
      </c>
      <c r="V13" s="55" t="s">
        <v>210</v>
      </c>
      <c r="W13" s="55" t="s">
        <v>217</v>
      </c>
      <c r="X13" s="55" t="s">
        <v>221</v>
      </c>
      <c r="Y13" s="55" t="s">
        <v>239</v>
      </c>
    </row>
    <row r="14" spans="1:25">
      <c r="A14" s="57"/>
      <c r="B14" s="57"/>
      <c r="C14" s="160" t="s">
        <v>222</v>
      </c>
      <c r="D14" s="160"/>
      <c r="E14" s="160"/>
      <c r="F14" s="160"/>
      <c r="G14" s="160"/>
      <c r="H14" s="160"/>
      <c r="I14" s="160"/>
      <c r="J14" s="160"/>
      <c r="K14" s="160"/>
      <c r="L14" s="160"/>
      <c r="M14" s="160"/>
      <c r="N14" s="160"/>
      <c r="O14" s="160"/>
      <c r="P14" s="160"/>
      <c r="Q14" s="160"/>
      <c r="R14" s="160"/>
      <c r="S14" s="160"/>
      <c r="T14" s="160"/>
      <c r="U14" s="160"/>
      <c r="V14" s="160"/>
      <c r="W14" s="160"/>
      <c r="X14" s="160"/>
      <c r="Y14" s="160"/>
    </row>
    <row r="15" spans="1:25">
      <c r="A15" s="30" t="s">
        <v>174</v>
      </c>
      <c r="B15" s="30" t="s">
        <v>48</v>
      </c>
      <c r="C15" s="23">
        <v>0.44685678982742555</v>
      </c>
      <c r="D15" s="23">
        <v>7.1129956640077818E-2</v>
      </c>
      <c r="E15" s="23">
        <v>7.3031458029398838E-2</v>
      </c>
      <c r="F15" s="23">
        <v>5.8691151641630412E-2</v>
      </c>
      <c r="G15" s="23">
        <v>7.631027527292393E-2</v>
      </c>
      <c r="H15" s="23">
        <v>5.6218542449521333E-2</v>
      </c>
      <c r="I15" s="23">
        <v>3.4586445737281694E-2</v>
      </c>
      <c r="J15" s="23">
        <v>3.87759034277095E-2</v>
      </c>
      <c r="K15" s="23">
        <v>3.8387445188436752E-2</v>
      </c>
      <c r="L15" s="23">
        <v>3.1740896771742702E-2</v>
      </c>
      <c r="M15" s="23">
        <v>1.2992579656194617E-2</v>
      </c>
      <c r="N15" s="23">
        <v>1.770530982374087E-2</v>
      </c>
      <c r="O15" s="23">
        <v>2.3103193521918985E-2</v>
      </c>
      <c r="P15" s="23">
        <v>2.261579604031988E-2</v>
      </c>
      <c r="Q15" s="23">
        <v>2.5349015187865798E-2</v>
      </c>
      <c r="R15" s="23">
        <v>1.9917559231691383E-2</v>
      </c>
      <c r="S15" s="23">
        <v>2.8793550801461607E-2</v>
      </c>
      <c r="T15" s="23">
        <v>1.6275399968978674E-2</v>
      </c>
      <c r="U15" s="23">
        <v>1.9481351953640185E-2</v>
      </c>
      <c r="V15" s="23">
        <v>1.7427633065873336E-2</v>
      </c>
      <c r="W15" s="23">
        <v>8.7228486657355189E-3</v>
      </c>
      <c r="X15" s="23">
        <v>1.4603223978028443E-2</v>
      </c>
      <c r="Y15" s="23">
        <v>6.9026652744108895E-3</v>
      </c>
    </row>
    <row r="16" spans="1:25">
      <c r="A16" s="30"/>
      <c r="B16" s="29"/>
    </row>
    <row r="17" spans="1:25">
      <c r="A17" s="30" t="s">
        <v>223</v>
      </c>
      <c r="B17" s="30" t="s">
        <v>48</v>
      </c>
      <c r="C17" s="23">
        <v>0.48164436848963604</v>
      </c>
      <c r="D17" s="23">
        <v>7.7493053655622757E-2</v>
      </c>
      <c r="E17" s="23">
        <v>5.7045030905966972E-2</v>
      </c>
      <c r="F17" s="23">
        <v>7.1547583606687656E-2</v>
      </c>
      <c r="G17" s="23">
        <v>6.2132770818480017E-2</v>
      </c>
      <c r="H17" s="23">
        <v>4.0378796760007919E-2</v>
      </c>
      <c r="I17" s="23">
        <v>2.9571502550382094E-2</v>
      </c>
      <c r="J17" s="23">
        <v>4.655160998378808E-2</v>
      </c>
      <c r="K17" s="23">
        <v>4.0499048721045837E-2</v>
      </c>
      <c r="L17" s="23">
        <v>3.2588836634185922E-2</v>
      </c>
      <c r="M17" s="23">
        <v>1.4071810073418029E-2</v>
      </c>
      <c r="N17" s="23">
        <v>1.4418180681022489E-2</v>
      </c>
      <c r="O17" s="23">
        <v>1.6614599331548158E-2</v>
      </c>
      <c r="P17" s="23">
        <v>2.3516802877488224E-2</v>
      </c>
      <c r="Q17" s="23">
        <v>2.9139380140496229E-2</v>
      </c>
      <c r="R17" s="23">
        <v>1.2968132166214168E-2</v>
      </c>
      <c r="S17" s="23">
        <v>3.0684611371633939E-2</v>
      </c>
      <c r="T17" s="23">
        <v>1.0254988743255944E-2</v>
      </c>
      <c r="U17" s="23">
        <v>1.9269734464251984E-2</v>
      </c>
      <c r="V17" s="23">
        <v>1.972492321794779E-2</v>
      </c>
      <c r="W17" s="23">
        <v>1.2170409227503265E-2</v>
      </c>
      <c r="X17" s="23">
        <v>2.9990618291923649E-3</v>
      </c>
      <c r="Y17" s="23">
        <v>8.1200269124618377E-3</v>
      </c>
    </row>
    <row r="18" spans="1:25">
      <c r="A18" s="30"/>
      <c r="B18" s="29"/>
      <c r="K18" s="23"/>
      <c r="L18" s="23"/>
      <c r="M18" s="23"/>
      <c r="N18" s="23"/>
      <c r="O18" s="23"/>
      <c r="P18" s="23"/>
      <c r="Q18" s="23"/>
      <c r="R18" s="23"/>
      <c r="S18" s="23"/>
      <c r="T18" s="23"/>
      <c r="U18" s="23"/>
      <c r="V18" s="23"/>
      <c r="W18" s="23"/>
      <c r="X18" s="23"/>
      <c r="Y18" s="23"/>
    </row>
    <row r="19" spans="1:25">
      <c r="A19" s="30" t="s">
        <v>224</v>
      </c>
      <c r="B19" s="30" t="s">
        <v>48</v>
      </c>
      <c r="C19" s="23">
        <v>0.41326035775655329</v>
      </c>
      <c r="D19" s="23">
        <v>6.4847655946478469E-2</v>
      </c>
      <c r="E19" s="23">
        <v>9.2068541561008604E-2</v>
      </c>
      <c r="F19" s="23">
        <v>4.4899036406021317E-2</v>
      </c>
      <c r="G19" s="23">
        <v>9.3342429376337049E-2</v>
      </c>
      <c r="H19" s="23">
        <v>7.4872310225772856E-2</v>
      </c>
      <c r="I19" s="23">
        <v>3.4140741521640004E-2</v>
      </c>
      <c r="J19" s="23">
        <v>2.8117082863439218E-2</v>
      </c>
      <c r="K19" s="23">
        <v>3.3212933983941186E-2</v>
      </c>
      <c r="L19" s="23">
        <v>3.1191458977690729E-2</v>
      </c>
      <c r="M19" s="23">
        <v>1.1939052203446748E-2</v>
      </c>
      <c r="N19" s="23">
        <v>2.1654464418885046E-2</v>
      </c>
      <c r="O19" s="23">
        <v>3.0745478059050521E-2</v>
      </c>
      <c r="P19" s="23">
        <v>2.1888357497569611E-2</v>
      </c>
      <c r="Q19" s="23">
        <v>2.1386777164693272E-2</v>
      </c>
      <c r="R19" s="23">
        <v>2.8040232692892287E-2</v>
      </c>
      <c r="S19" s="23">
        <v>2.7025432931071566E-2</v>
      </c>
      <c r="T19" s="23">
        <v>2.3299554934009134E-2</v>
      </c>
      <c r="U19" s="23">
        <v>1.6897152488906442E-2</v>
      </c>
      <c r="V19" s="23">
        <v>1.505284887357527E-2</v>
      </c>
      <c r="W19" s="23">
        <v>4.9337002395613543E-3</v>
      </c>
      <c r="X19" s="23">
        <v>2.7925359746021523E-2</v>
      </c>
      <c r="Y19" s="23">
        <v>5.6140921149454752E-3</v>
      </c>
    </row>
    <row r="20" spans="1:25">
      <c r="A20" s="132"/>
      <c r="B20" s="132"/>
      <c r="C20" s="159" t="s">
        <v>138</v>
      </c>
      <c r="D20" s="159"/>
      <c r="E20" s="159"/>
      <c r="F20" s="159"/>
      <c r="G20" s="159"/>
      <c r="H20" s="159"/>
      <c r="I20" s="159"/>
      <c r="J20" s="159"/>
      <c r="K20" s="159"/>
      <c r="L20" s="159"/>
      <c r="M20" s="159"/>
      <c r="N20" s="159"/>
      <c r="O20" s="159"/>
      <c r="P20" s="159"/>
      <c r="Q20" s="159"/>
      <c r="R20" s="159"/>
      <c r="S20" s="159"/>
      <c r="T20" s="159"/>
      <c r="U20" s="159"/>
      <c r="V20" s="159"/>
      <c r="W20" s="159"/>
      <c r="X20" s="159"/>
      <c r="Y20" s="159"/>
    </row>
    <row r="21" spans="1:25" ht="17.25">
      <c r="A21" s="30" t="s">
        <v>175</v>
      </c>
      <c r="B21" s="30" t="s">
        <v>48</v>
      </c>
      <c r="C21" s="40">
        <v>146465.50047205601</v>
      </c>
      <c r="D21" s="40">
        <v>23314.146578970118</v>
      </c>
      <c r="E21" s="40">
        <v>23937.398499888161</v>
      </c>
      <c r="F21" s="40">
        <v>19237.100328703884</v>
      </c>
      <c r="G21" s="40">
        <v>25012.090928115053</v>
      </c>
      <c r="H21" s="40">
        <v>18426.657361206569</v>
      </c>
      <c r="I21" s="40">
        <v>11336.341306164184</v>
      </c>
      <c r="J21" s="40">
        <v>12709.512826220951</v>
      </c>
      <c r="K21" s="40">
        <v>12582.188520710117</v>
      </c>
      <c r="L21" s="40">
        <v>10403.660494675638</v>
      </c>
      <c r="M21" s="40">
        <v>4258.5560409690006</v>
      </c>
      <c r="N21" s="40">
        <v>5803.239703146297</v>
      </c>
      <c r="O21" s="40">
        <v>7572.4949888250458</v>
      </c>
      <c r="P21" s="40">
        <v>7412.7415338114115</v>
      </c>
      <c r="Q21" s="40">
        <v>8308.6041892713911</v>
      </c>
      <c r="R21" s="40">
        <v>6528.3449809012045</v>
      </c>
      <c r="S21" s="40">
        <v>9437.6138496907133</v>
      </c>
      <c r="T21" s="40">
        <v>5334.5605484924054</v>
      </c>
      <c r="U21" s="40">
        <v>6385.3700530412161</v>
      </c>
      <c r="V21" s="40">
        <v>5712.2260579777121</v>
      </c>
      <c r="W21" s="40">
        <v>2859.0734760063997</v>
      </c>
      <c r="X21" s="40">
        <v>4786.4742287422505</v>
      </c>
      <c r="Y21" s="40">
        <v>2262.4750188939015</v>
      </c>
    </row>
    <row r="22" spans="1:25">
      <c r="A22" s="30"/>
      <c r="B22" s="29"/>
    </row>
    <row r="23" spans="1:25">
      <c r="A23" s="30" t="s">
        <v>223</v>
      </c>
      <c r="B23" s="30" t="s">
        <v>48</v>
      </c>
      <c r="C23" s="40">
        <v>83308.336261743112</v>
      </c>
      <c r="D23" s="40">
        <v>13403.701557097802</v>
      </c>
      <c r="E23" s="40">
        <v>9866.8788169960408</v>
      </c>
      <c r="F23" s="40">
        <v>12375.334466200391</v>
      </c>
      <c r="G23" s="40">
        <v>10746.887336088792</v>
      </c>
      <c r="H23" s="40">
        <v>6984.1787808626832</v>
      </c>
      <c r="I23" s="40">
        <v>5114.879025695981</v>
      </c>
      <c r="J23" s="40">
        <v>8051.8686229347759</v>
      </c>
      <c r="K23" s="40">
        <v>7004.9783405828475</v>
      </c>
      <c r="L23" s="40">
        <v>5636.7767139338885</v>
      </c>
      <c r="M23" s="40">
        <v>2433.951608494554</v>
      </c>
      <c r="N23" s="40">
        <v>2493.8621170301012</v>
      </c>
      <c r="O23" s="40">
        <v>2873.7689434783247</v>
      </c>
      <c r="P23" s="40">
        <v>4067.6188700440994</v>
      </c>
      <c r="Q23" s="40">
        <v>5040.136328834612</v>
      </c>
      <c r="R23" s="40">
        <v>2243.052313842104</v>
      </c>
      <c r="S23" s="40">
        <v>5307.4095524569448</v>
      </c>
      <c r="T23" s="40">
        <v>1773.769416764062</v>
      </c>
      <c r="U23" s="40">
        <v>3333.0183501500815</v>
      </c>
      <c r="V23" s="40">
        <v>3411.7507515573034</v>
      </c>
      <c r="W23" s="40">
        <v>2105.0729764520856</v>
      </c>
      <c r="X23" s="40">
        <v>518.73720047760116</v>
      </c>
      <c r="Y23" s="40">
        <v>1404.4925607644275</v>
      </c>
    </row>
    <row r="24" spans="1:25">
      <c r="A24" s="30"/>
      <c r="B24" s="29"/>
      <c r="C24" s="40"/>
      <c r="D24" s="40"/>
      <c r="E24" s="40"/>
      <c r="F24" s="40"/>
      <c r="G24" s="40"/>
      <c r="H24" s="40"/>
      <c r="I24" s="40"/>
      <c r="J24" s="40"/>
      <c r="K24" s="40"/>
      <c r="L24" s="40"/>
      <c r="M24" s="40"/>
      <c r="N24" s="40"/>
      <c r="O24" s="40"/>
      <c r="P24" s="40"/>
      <c r="Q24" s="40"/>
      <c r="R24" s="40"/>
      <c r="S24" s="40"/>
      <c r="T24" s="40"/>
      <c r="U24" s="40"/>
      <c r="V24" s="40"/>
      <c r="W24" s="40"/>
      <c r="X24" s="40"/>
      <c r="Y24" s="40"/>
    </row>
    <row r="25" spans="1:25">
      <c r="A25" s="30" t="s">
        <v>224</v>
      </c>
      <c r="B25" s="30" t="s">
        <v>48</v>
      </c>
      <c r="C25" s="40">
        <v>63157.164210312745</v>
      </c>
      <c r="D25" s="40">
        <v>9910.4450218723141</v>
      </c>
      <c r="E25" s="40">
        <v>14070.519682892125</v>
      </c>
      <c r="F25" s="40">
        <v>6861.7658625034946</v>
      </c>
      <c r="G25" s="40">
        <v>14265.203592026257</v>
      </c>
      <c r="H25" s="40">
        <v>11442.478580343892</v>
      </c>
      <c r="I25" s="40">
        <v>5217.6125245825569</v>
      </c>
      <c r="J25" s="40">
        <v>4297.0374152540926</v>
      </c>
      <c r="K25" s="40">
        <v>5075.8188782427123</v>
      </c>
      <c r="L25" s="40">
        <v>4766.8837807417503</v>
      </c>
      <c r="M25" s="40">
        <v>1824.6044324744462</v>
      </c>
      <c r="N25" s="40">
        <v>3309.3775861161948</v>
      </c>
      <c r="O25" s="40">
        <v>4698.7260453467225</v>
      </c>
      <c r="P25" s="40">
        <v>3345.1226637673126</v>
      </c>
      <c r="Q25" s="40">
        <v>3268.4678604367796</v>
      </c>
      <c r="R25" s="40">
        <v>4285.2926670591005</v>
      </c>
      <c r="S25" s="40">
        <v>4130.2042972337676</v>
      </c>
      <c r="T25" s="40">
        <v>3560.7911317283433</v>
      </c>
      <c r="U25" s="40">
        <v>2582.3339074231253</v>
      </c>
      <c r="V25" s="40">
        <v>2300.4753064204087</v>
      </c>
      <c r="W25" s="40">
        <v>754.00049955431427</v>
      </c>
      <c r="X25" s="40">
        <v>4267.7370282646498</v>
      </c>
      <c r="Y25" s="40">
        <v>857.98245812947391</v>
      </c>
    </row>
    <row r="26" spans="1:25">
      <c r="A26" s="111"/>
      <c r="B26" s="111"/>
      <c r="C26" s="97"/>
      <c r="D26" s="97"/>
      <c r="E26" s="97"/>
      <c r="F26" s="97"/>
      <c r="G26" s="97"/>
      <c r="H26" s="97"/>
      <c r="I26" s="97"/>
      <c r="J26" s="97"/>
      <c r="K26" s="97"/>
      <c r="L26" s="97"/>
      <c r="M26" s="97"/>
      <c r="N26" s="97"/>
      <c r="O26" s="97"/>
      <c r="P26" s="97"/>
      <c r="Q26" s="97"/>
      <c r="R26" s="97"/>
      <c r="S26" s="97"/>
      <c r="T26" s="97"/>
      <c r="U26" s="97"/>
      <c r="V26" s="97"/>
      <c r="W26" s="97"/>
      <c r="X26" s="97"/>
      <c r="Y26" s="97"/>
    </row>
    <row r="27" spans="1:25" ht="14.45" customHeight="1">
      <c r="A27" s="137" t="s">
        <v>121</v>
      </c>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row>
    <row r="28" spans="1:25" ht="14.45" customHeight="1">
      <c r="A28" s="16" t="s">
        <v>240</v>
      </c>
      <c r="B28" s="16"/>
      <c r="C28" s="16"/>
      <c r="D28" s="16"/>
      <c r="E28" s="16"/>
      <c r="F28" s="16"/>
      <c r="G28" s="16"/>
      <c r="H28" s="16"/>
      <c r="I28" s="16"/>
      <c r="J28" s="16"/>
      <c r="K28" s="16"/>
      <c r="L28" s="16"/>
      <c r="M28" s="16"/>
      <c r="N28" s="16"/>
      <c r="O28" s="16"/>
      <c r="P28" s="16"/>
      <c r="Q28" s="16"/>
      <c r="R28" s="16"/>
      <c r="S28" s="16"/>
      <c r="T28" s="16"/>
      <c r="U28" s="16"/>
      <c r="V28" s="16"/>
      <c r="W28" s="16"/>
      <c r="X28" s="16"/>
      <c r="Y28" s="16"/>
    </row>
    <row r="29" spans="1:25">
      <c r="A29" s="115" t="s">
        <v>108</v>
      </c>
      <c r="B29" s="16"/>
      <c r="C29" s="16"/>
      <c r="D29" s="16"/>
      <c r="E29" s="16"/>
      <c r="F29" s="16"/>
      <c r="G29" s="16"/>
      <c r="H29" s="16"/>
      <c r="I29" s="16"/>
      <c r="J29" s="16"/>
      <c r="K29" s="16"/>
      <c r="L29" s="16"/>
      <c r="M29" s="16"/>
      <c r="N29" s="16"/>
      <c r="O29" s="16"/>
      <c r="P29" s="16"/>
      <c r="Q29" s="16"/>
      <c r="R29" s="16"/>
      <c r="S29" s="16"/>
      <c r="T29" s="16"/>
      <c r="U29" s="16"/>
      <c r="V29" s="16"/>
      <c r="W29" s="16"/>
      <c r="X29" s="16"/>
      <c r="Y29" s="16"/>
    </row>
    <row r="30" spans="1:25">
      <c r="A30" s="16" t="s">
        <v>227</v>
      </c>
    </row>
    <row r="31" spans="1:25">
      <c r="A31" s="16" t="s">
        <v>112</v>
      </c>
    </row>
    <row r="32" spans="1:25">
      <c r="A32" s="16" t="s">
        <v>113</v>
      </c>
    </row>
    <row r="33" spans="1:1">
      <c r="A33" s="21" t="s">
        <v>111</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1" formatCode="\*\*0.0%"/>
            </x14:dxf>
          </x14:cfRule>
          <x14:cfRule type="expression" priority="4" id="{C6BCFDF9-0F6D-4D42-B343-0CCBD0C52185}">
            <xm:f>C21&lt;'27'!$D$103</xm:f>
            <x14:dxf>
              <font>
                <color rgb="FF00B050"/>
              </font>
              <numFmt numFmtId="170"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69" formatCode="\*\*#,###,###,##0"/>
            </x14:dxf>
          </x14:cfRule>
          <x14:cfRule type="expression" priority="2" id="{5087DADF-6456-4762-B112-1FF1D634844B}">
            <xm:f>C21&lt;'27'!$D$103</xm:f>
            <x14:dxf>
              <font>
                <color rgb="FF00B050"/>
              </font>
              <numFmt numFmtId="168"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4"/>
      <c r="B1" s="24"/>
      <c r="C1" s="24"/>
      <c r="D1" s="24"/>
      <c r="E1" s="24"/>
      <c r="F1" s="24"/>
    </row>
    <row r="2" spans="1:6">
      <c r="A2" s="24"/>
      <c r="B2" s="24"/>
      <c r="C2" s="24"/>
      <c r="D2" s="24"/>
      <c r="E2" s="24"/>
      <c r="F2" s="24"/>
    </row>
    <row r="3" spans="1:6">
      <c r="A3" s="24"/>
      <c r="B3" s="24"/>
      <c r="C3" s="24"/>
      <c r="D3" s="24"/>
      <c r="E3" s="24"/>
      <c r="F3" s="24"/>
    </row>
    <row r="4" spans="1:6">
      <c r="A4" s="24"/>
      <c r="B4" s="24"/>
      <c r="C4" s="24"/>
      <c r="D4" s="24"/>
      <c r="E4" s="24"/>
      <c r="F4" s="24"/>
    </row>
    <row r="5" spans="1:6">
      <c r="A5" s="24"/>
      <c r="B5" s="24"/>
      <c r="C5" s="24"/>
      <c r="D5" s="24"/>
      <c r="E5" s="24"/>
      <c r="F5" s="24"/>
    </row>
    <row r="6" spans="1:6">
      <c r="A6" s="24"/>
      <c r="B6" s="24"/>
      <c r="C6" s="24"/>
      <c r="D6" s="24"/>
      <c r="E6" s="24"/>
      <c r="F6" s="24"/>
    </row>
    <row r="7" spans="1:6">
      <c r="A7" s="24"/>
      <c r="B7" s="24"/>
      <c r="C7" s="24"/>
      <c r="D7" s="24"/>
      <c r="E7" s="24"/>
      <c r="F7" s="24"/>
    </row>
    <row r="8" spans="1:6">
      <c r="A8" s="25" t="str">
        <f>Index!A8</f>
        <v>AusPlay survey results July 2024 - June 2025</v>
      </c>
      <c r="B8" s="24"/>
      <c r="C8" s="24"/>
      <c r="D8" s="24"/>
      <c r="E8" s="24"/>
      <c r="F8" s="24"/>
    </row>
    <row r="9" spans="1:6">
      <c r="A9" s="24" t="s">
        <v>1</v>
      </c>
      <c r="B9" s="24"/>
      <c r="C9" s="133" t="s">
        <v>2</v>
      </c>
      <c r="D9" s="24"/>
      <c r="E9" s="24"/>
      <c r="F9" s="24"/>
    </row>
    <row r="10" spans="1:6">
      <c r="A10" s="24" t="s">
        <v>40</v>
      </c>
      <c r="B10" s="24"/>
      <c r="C10" s="26">
        <v>14</v>
      </c>
      <c r="D10" s="24"/>
      <c r="E10" s="24"/>
      <c r="F10" s="24"/>
    </row>
    <row r="11" spans="1:6">
      <c r="A11" s="24" t="s">
        <v>3</v>
      </c>
      <c r="B11" s="24"/>
      <c r="C11" s="25" t="s">
        <v>23</v>
      </c>
      <c r="D11" s="24"/>
      <c r="E11" s="24"/>
      <c r="F11" s="24"/>
    </row>
    <row r="12" spans="1:6">
      <c r="A12" s="109" t="s">
        <v>41</v>
      </c>
      <c r="B12" s="109"/>
      <c r="C12" s="110" t="s">
        <v>42</v>
      </c>
      <c r="D12" s="109"/>
      <c r="E12" s="109"/>
      <c r="F12" s="109"/>
    </row>
    <row r="13" spans="1:6" s="53" customFormat="1" ht="50.1" customHeight="1">
      <c r="A13" s="45"/>
      <c r="B13" s="45"/>
      <c r="C13" s="32" t="s">
        <v>48</v>
      </c>
      <c r="D13" s="55" t="s">
        <v>241</v>
      </c>
      <c r="E13" s="55" t="s">
        <v>242</v>
      </c>
      <c r="F13" s="55" t="s">
        <v>243</v>
      </c>
    </row>
    <row r="14" spans="1:6">
      <c r="A14" s="57"/>
      <c r="B14" s="57"/>
      <c r="C14" s="160" t="s">
        <v>135</v>
      </c>
      <c r="D14" s="160"/>
      <c r="E14" s="160"/>
      <c r="F14" s="160"/>
    </row>
    <row r="15" spans="1:6" ht="17.25">
      <c r="A15" s="30" t="s">
        <v>136</v>
      </c>
      <c r="B15" s="30" t="s">
        <v>48</v>
      </c>
      <c r="C15" s="23">
        <v>0.86963982973966125</v>
      </c>
      <c r="D15" s="23">
        <v>0.14694135689993082</v>
      </c>
      <c r="E15" s="23">
        <v>0.35403483481191411</v>
      </c>
      <c r="F15" s="23">
        <v>0.36866363802781632</v>
      </c>
    </row>
    <row r="16" spans="1:6">
      <c r="A16" s="29" t="s">
        <v>52</v>
      </c>
      <c r="B16" s="29" t="s">
        <v>53</v>
      </c>
      <c r="C16" s="90">
        <v>0.8458346814960821</v>
      </c>
      <c r="D16" s="90">
        <v>0.22673128842188653</v>
      </c>
      <c r="E16" s="90">
        <v>0.13853886079073799</v>
      </c>
      <c r="F16" s="90">
        <v>0.48056453228345752</v>
      </c>
    </row>
    <row r="17" spans="1:6">
      <c r="A17" s="29"/>
      <c r="B17" s="29" t="s">
        <v>54</v>
      </c>
      <c r="C17" s="90">
        <v>0.88919858930641682</v>
      </c>
      <c r="D17" s="90">
        <v>0.23501445995089085</v>
      </c>
      <c r="E17" s="90">
        <v>0.20348316223477347</v>
      </c>
      <c r="F17" s="90">
        <v>0.45070096712075247</v>
      </c>
    </row>
    <row r="18" spans="1:6">
      <c r="A18" s="29"/>
      <c r="B18" s="29" t="s">
        <v>55</v>
      </c>
      <c r="C18" s="90">
        <v>0.91865091515149733</v>
      </c>
      <c r="D18" s="90">
        <v>0.21148444646449197</v>
      </c>
      <c r="E18" s="90">
        <v>0.25751204756526108</v>
      </c>
      <c r="F18" s="90">
        <v>0.44965442112174436</v>
      </c>
    </row>
    <row r="19" spans="1:6">
      <c r="A19" s="29"/>
      <c r="B19" s="29" t="s">
        <v>56</v>
      </c>
      <c r="C19" s="90">
        <v>0.89233388530672997</v>
      </c>
      <c r="D19" s="90">
        <v>0.17399174359349803</v>
      </c>
      <c r="E19" s="90">
        <v>0.32382582152006945</v>
      </c>
      <c r="F19" s="90">
        <v>0.39451632019316241</v>
      </c>
    </row>
    <row r="20" spans="1:6">
      <c r="A20" s="29"/>
      <c r="B20" s="29" t="s">
        <v>57</v>
      </c>
      <c r="C20" s="90">
        <v>0.89145479394323379</v>
      </c>
      <c r="D20" s="90">
        <v>0.12662477971348068</v>
      </c>
      <c r="E20" s="90">
        <v>0.38929426678067874</v>
      </c>
      <c r="F20" s="90">
        <v>0.37553574744907436</v>
      </c>
    </row>
    <row r="21" spans="1:6">
      <c r="A21" s="29"/>
      <c r="B21" s="29" t="s">
        <v>58</v>
      </c>
      <c r="C21" s="90">
        <v>0.87521020434303098</v>
      </c>
      <c r="D21" s="90">
        <v>6.0100071055314896E-2</v>
      </c>
      <c r="E21" s="90">
        <v>0.46332736472695829</v>
      </c>
      <c r="F21" s="90">
        <v>0.3517827685607578</v>
      </c>
    </row>
    <row r="22" spans="1:6">
      <c r="A22" s="29"/>
      <c r="B22" s="29" t="s">
        <v>59</v>
      </c>
      <c r="C22" s="90">
        <v>0.78038466500755366</v>
      </c>
      <c r="D22" s="90">
        <v>6.8792237353336505E-2</v>
      </c>
      <c r="E22" s="90">
        <v>0.50213811989384383</v>
      </c>
      <c r="F22" s="90">
        <v>0.2094543077603733</v>
      </c>
    </row>
    <row r="23" spans="1:6">
      <c r="A23" s="29"/>
      <c r="B23" s="29"/>
    </row>
    <row r="24" spans="1:6">
      <c r="A24" s="30" t="s">
        <v>49</v>
      </c>
      <c r="B24" s="30" t="s">
        <v>48</v>
      </c>
      <c r="C24" s="23">
        <v>0.87734997938212389</v>
      </c>
      <c r="D24" s="23">
        <v>0.2143273481413748</v>
      </c>
      <c r="E24" s="23">
        <v>0.27801159671374753</v>
      </c>
      <c r="F24" s="23">
        <v>0.38501103452700142</v>
      </c>
    </row>
    <row r="25" spans="1:6">
      <c r="A25" s="29" t="s">
        <v>52</v>
      </c>
      <c r="B25" s="29" t="s">
        <v>53</v>
      </c>
      <c r="C25" s="90">
        <v>0.81985642470116027</v>
      </c>
      <c r="D25" s="90">
        <v>0.32047672017789103</v>
      </c>
      <c r="E25" s="90">
        <v>4.5883219797300159E-2</v>
      </c>
      <c r="F25" s="90">
        <v>0.4534964847259691</v>
      </c>
    </row>
    <row r="26" spans="1:6">
      <c r="A26" s="29"/>
      <c r="B26" s="29" t="s">
        <v>54</v>
      </c>
      <c r="C26" s="90">
        <v>0.88133156578454619</v>
      </c>
      <c r="D26" s="90">
        <v>0.33472051107732104</v>
      </c>
      <c r="E26" s="90">
        <v>0.15565819836254602</v>
      </c>
      <c r="F26" s="90">
        <v>0.39095285634467913</v>
      </c>
    </row>
    <row r="27" spans="1:6">
      <c r="A27" s="29"/>
      <c r="B27" s="29" t="s">
        <v>55</v>
      </c>
      <c r="C27" s="90">
        <v>0.92020702602572413</v>
      </c>
      <c r="D27" s="90">
        <v>0.31279580792495293</v>
      </c>
      <c r="E27" s="90">
        <v>0.16772340194321117</v>
      </c>
      <c r="F27" s="90">
        <v>0.43968781615756009</v>
      </c>
    </row>
    <row r="28" spans="1:6">
      <c r="A28" s="29"/>
      <c r="B28" s="29" t="s">
        <v>56</v>
      </c>
      <c r="C28" s="90">
        <v>0.88795491604471899</v>
      </c>
      <c r="D28" s="90">
        <v>0.24984070116990464</v>
      </c>
      <c r="E28" s="90">
        <v>0.23679955061698224</v>
      </c>
      <c r="F28" s="90">
        <v>0.40131466425783208</v>
      </c>
    </row>
    <row r="29" spans="1:6">
      <c r="A29" s="29"/>
      <c r="B29" s="29" t="s">
        <v>57</v>
      </c>
      <c r="C29" s="90">
        <v>0.9032536796049232</v>
      </c>
      <c r="D29" s="90">
        <v>0.19020405672082141</v>
      </c>
      <c r="E29" s="90">
        <v>0.33311047625981088</v>
      </c>
      <c r="F29" s="90">
        <v>0.3799391466242909</v>
      </c>
    </row>
    <row r="30" spans="1:6">
      <c r="A30" s="29"/>
      <c r="B30" s="29" t="s">
        <v>58</v>
      </c>
      <c r="C30" s="90">
        <v>0.87325812495111244</v>
      </c>
      <c r="D30" s="90">
        <v>9.0623180516132662E-2</v>
      </c>
      <c r="E30" s="90">
        <v>0.36494960620525929</v>
      </c>
      <c r="F30" s="90">
        <v>0.41768533822972054</v>
      </c>
    </row>
    <row r="31" spans="1:6">
      <c r="A31" s="29"/>
      <c r="B31" s="29" t="s">
        <v>59</v>
      </c>
      <c r="C31" s="90">
        <v>0.81769266188684953</v>
      </c>
      <c r="D31" s="90">
        <v>9.236530497008083E-2</v>
      </c>
      <c r="E31" s="90">
        <v>0.44153717251902658</v>
      </c>
      <c r="F31" s="90">
        <v>0.28379018439774201</v>
      </c>
    </row>
    <row r="32" spans="1:6">
      <c r="A32" s="29"/>
      <c r="B32" s="29"/>
    </row>
    <row r="33" spans="1:6">
      <c r="A33" s="30" t="s">
        <v>50</v>
      </c>
      <c r="B33" s="30" t="s">
        <v>48</v>
      </c>
      <c r="C33" s="23">
        <v>0.86443769586122843</v>
      </c>
      <c r="D33" s="23">
        <v>8.3152156741598995E-2</v>
      </c>
      <c r="E33" s="23">
        <v>0.42837026477073392</v>
      </c>
      <c r="F33" s="23">
        <v>0.35291527434889552</v>
      </c>
    </row>
    <row r="34" spans="1:6">
      <c r="A34" s="29" t="s">
        <v>52</v>
      </c>
      <c r="B34" s="29" t="s">
        <v>53</v>
      </c>
      <c r="C34" s="90">
        <v>0.88504675958372225</v>
      </c>
      <c r="D34" s="90">
        <v>0.16523937104493894</v>
      </c>
      <c r="E34" s="90">
        <v>0.20816434061597192</v>
      </c>
      <c r="F34" s="90">
        <v>0.51164304792281146</v>
      </c>
    </row>
    <row r="35" spans="1:6">
      <c r="A35" s="29"/>
      <c r="B35" s="29" t="s">
        <v>54</v>
      </c>
      <c r="C35" s="90">
        <v>0.90036212964181039</v>
      </c>
      <c r="D35" s="90">
        <v>0.12123427398560832</v>
      </c>
      <c r="E35" s="90">
        <v>0.25879390290258536</v>
      </c>
      <c r="F35" s="90">
        <v>0.52033395275361671</v>
      </c>
    </row>
    <row r="36" spans="1:6">
      <c r="A36" s="29"/>
      <c r="B36" s="29" t="s">
        <v>55</v>
      </c>
      <c r="C36" s="90">
        <v>0.91694020598070736</v>
      </c>
      <c r="D36" s="90">
        <v>0.12009529506071909</v>
      </c>
      <c r="E36" s="90">
        <v>0.34075235442491358</v>
      </c>
      <c r="F36" s="90">
        <v>0.45609255649507474</v>
      </c>
    </row>
    <row r="37" spans="1:6">
      <c r="A37" s="29"/>
      <c r="B37" s="29" t="s">
        <v>56</v>
      </c>
      <c r="C37" s="90">
        <v>0.89883807715386699</v>
      </c>
      <c r="D37" s="90">
        <v>9.5819158646641311E-2</v>
      </c>
      <c r="E37" s="90">
        <v>0.41278246779767114</v>
      </c>
      <c r="F37" s="90">
        <v>0.39023645070955454</v>
      </c>
    </row>
    <row r="38" spans="1:6">
      <c r="A38" s="29"/>
      <c r="B38" s="29" t="s">
        <v>57</v>
      </c>
      <c r="C38" s="90">
        <v>0.878604807286822</v>
      </c>
      <c r="D38" s="90">
        <v>6.5553946033322055E-2</v>
      </c>
      <c r="E38" s="90">
        <v>0.44328171015444034</v>
      </c>
      <c r="F38" s="90">
        <v>0.36976915109905956</v>
      </c>
    </row>
    <row r="39" spans="1:6">
      <c r="A39" s="29"/>
      <c r="B39" s="29" t="s">
        <v>58</v>
      </c>
      <c r="C39" s="90">
        <v>0.8764925370315062</v>
      </c>
      <c r="D39" s="90">
        <v>3.008405169835042E-2</v>
      </c>
      <c r="E39" s="90">
        <v>0.56093262139529443</v>
      </c>
      <c r="F39" s="90">
        <v>0.2854758639378614</v>
      </c>
    </row>
    <row r="40" spans="1:6">
      <c r="A40" s="111"/>
      <c r="B40" s="111" t="s">
        <v>59</v>
      </c>
      <c r="C40" s="90">
        <v>0.75356774163465479</v>
      </c>
      <c r="D40" s="90">
        <v>4.848250089192252E-2</v>
      </c>
      <c r="E40" s="90">
        <v>0.5575840199239207</v>
      </c>
      <c r="F40" s="90">
        <v>0.14750122081881165</v>
      </c>
    </row>
    <row r="41" spans="1:6">
      <c r="A41" s="57"/>
      <c r="B41" s="57"/>
      <c r="C41" s="159" t="s">
        <v>138</v>
      </c>
      <c r="D41" s="159"/>
      <c r="E41" s="159"/>
      <c r="F41" s="159"/>
    </row>
    <row r="42" spans="1:6" ht="17.25">
      <c r="A42" s="30" t="s">
        <v>136</v>
      </c>
      <c r="B42" s="30" t="s">
        <v>48</v>
      </c>
      <c r="C42" s="40">
        <v>5015652.8174779043</v>
      </c>
      <c r="D42" s="40">
        <v>847485.13756528101</v>
      </c>
      <c r="E42" s="40">
        <v>2041897.9857917577</v>
      </c>
      <c r="F42" s="40">
        <v>2126269.6941208658</v>
      </c>
    </row>
    <row r="43" spans="1:6">
      <c r="A43" s="29" t="s">
        <v>52</v>
      </c>
      <c r="B43" s="29" t="s">
        <v>53</v>
      </c>
      <c r="C43" s="92">
        <v>203601.16935916865</v>
      </c>
      <c r="D43" s="92">
        <v>54576.569704325681</v>
      </c>
      <c r="E43" s="92">
        <v>33347.738838032012</v>
      </c>
      <c r="F43" s="92">
        <v>115676.86081681095</v>
      </c>
    </row>
    <row r="44" spans="1:6">
      <c r="A44" s="29"/>
      <c r="B44" s="29" t="s">
        <v>54</v>
      </c>
      <c r="C44" s="92">
        <v>603392.94720027468</v>
      </c>
      <c r="D44" s="92">
        <v>159476.26247929499</v>
      </c>
      <c r="E44" s="92">
        <v>138079.73431698917</v>
      </c>
      <c r="F44" s="92">
        <v>305836.95040399052</v>
      </c>
    </row>
    <row r="45" spans="1:6">
      <c r="A45" s="29"/>
      <c r="B45" s="29" t="s">
        <v>55</v>
      </c>
      <c r="C45" s="92">
        <v>970562.02906689444</v>
      </c>
      <c r="D45" s="92">
        <v>223435.00680322788</v>
      </c>
      <c r="E45" s="92">
        <v>272063.5349858586</v>
      </c>
      <c r="F45" s="92">
        <v>475063.48727780802</v>
      </c>
    </row>
    <row r="46" spans="1:6">
      <c r="A46" s="29"/>
      <c r="B46" s="29" t="s">
        <v>56</v>
      </c>
      <c r="C46" s="92">
        <v>896984.71225508046</v>
      </c>
      <c r="D46" s="92">
        <v>174898.58519530157</v>
      </c>
      <c r="E46" s="92">
        <v>325513.5954375416</v>
      </c>
      <c r="F46" s="92">
        <v>396572.53162223723</v>
      </c>
    </row>
    <row r="47" spans="1:6">
      <c r="A47" s="29"/>
      <c r="B47" s="29" t="s">
        <v>57</v>
      </c>
      <c r="C47" s="92">
        <v>769097.39473075001</v>
      </c>
      <c r="D47" s="92">
        <v>109244.78599213695</v>
      </c>
      <c r="E47" s="92">
        <v>335861.34529633046</v>
      </c>
      <c r="F47" s="92">
        <v>323991.26344228256</v>
      </c>
    </row>
    <row r="48" spans="1:6">
      <c r="A48" s="29"/>
      <c r="B48" s="29" t="s">
        <v>58</v>
      </c>
      <c r="C48" s="92">
        <v>652990.95993130747</v>
      </c>
      <c r="D48" s="92">
        <v>44840.431356497538</v>
      </c>
      <c r="E48" s="92">
        <v>345686.76091088884</v>
      </c>
      <c r="F48" s="92">
        <v>262463.76766392111</v>
      </c>
    </row>
    <row r="49" spans="1:6">
      <c r="A49" s="29"/>
      <c r="B49" s="29" t="s">
        <v>59</v>
      </c>
      <c r="C49" s="92">
        <v>919023.60493446887</v>
      </c>
      <c r="D49" s="92">
        <v>81013.496034496013</v>
      </c>
      <c r="E49" s="92">
        <v>591345.27600614773</v>
      </c>
      <c r="F49" s="92">
        <v>246664.83289382519</v>
      </c>
    </row>
    <row r="50" spans="1:6">
      <c r="A50" s="29"/>
      <c r="B50" s="29"/>
    </row>
    <row r="51" spans="1:6">
      <c r="A51" s="30" t="s">
        <v>49</v>
      </c>
      <c r="B51" s="30" t="s">
        <v>48</v>
      </c>
      <c r="C51" s="40">
        <v>2468235.6042128764</v>
      </c>
      <c r="D51" s="40">
        <v>602963.93009734468</v>
      </c>
      <c r="E51" s="40">
        <v>782125.87623949116</v>
      </c>
      <c r="F51" s="40">
        <v>1083145.7978760402</v>
      </c>
    </row>
    <row r="52" spans="1:6">
      <c r="A52" s="29" t="s">
        <v>52</v>
      </c>
      <c r="B52" s="29" t="s">
        <v>53</v>
      </c>
      <c r="C52" s="92">
        <v>81119.410643663723</v>
      </c>
      <c r="D52" s="92">
        <v>31709.067444730685</v>
      </c>
      <c r="E52" s="92">
        <v>4539.8433631197777</v>
      </c>
      <c r="F52" s="92">
        <v>44870.499835813258</v>
      </c>
    </row>
    <row r="53" spans="1:6">
      <c r="A53" s="29"/>
      <c r="B53" s="29" t="s">
        <v>54</v>
      </c>
      <c r="C53" s="92">
        <v>321407.43637302669</v>
      </c>
      <c r="D53" s="92">
        <v>122067.18282132978</v>
      </c>
      <c r="E53" s="92">
        <v>56766.039511604686</v>
      </c>
      <c r="F53" s="92">
        <v>142574.21404009222</v>
      </c>
    </row>
    <row r="54" spans="1:6">
      <c r="A54" s="29"/>
      <c r="B54" s="29" t="s">
        <v>55</v>
      </c>
      <c r="C54" s="92">
        <v>465225.36404005985</v>
      </c>
      <c r="D54" s="92">
        <v>158138.91819602656</v>
      </c>
      <c r="E54" s="92">
        <v>84795.245548240811</v>
      </c>
      <c r="F54" s="92">
        <v>222291.20029579251</v>
      </c>
    </row>
    <row r="55" spans="1:6">
      <c r="A55" s="29"/>
      <c r="B55" s="29" t="s">
        <v>56</v>
      </c>
      <c r="C55" s="92">
        <v>449706.13616719231</v>
      </c>
      <c r="D55" s="92">
        <v>126532.20828022485</v>
      </c>
      <c r="E55" s="92">
        <v>119927.49747750429</v>
      </c>
      <c r="F55" s="92">
        <v>203246.43040946318</v>
      </c>
    </row>
    <row r="56" spans="1:6">
      <c r="A56" s="29"/>
      <c r="B56" s="29" t="s">
        <v>57</v>
      </c>
      <c r="C56" s="92">
        <v>384156.93381923035</v>
      </c>
      <c r="D56" s="92">
        <v>80894.447351500683</v>
      </c>
      <c r="E56" s="92">
        <v>141673.04498444358</v>
      </c>
      <c r="F56" s="92">
        <v>161589.44148328609</v>
      </c>
    </row>
    <row r="57" spans="1:6">
      <c r="A57" s="29"/>
      <c r="B57" s="29" t="s">
        <v>58</v>
      </c>
      <c r="C57" s="92">
        <v>323892.0120840806</v>
      </c>
      <c r="D57" s="92">
        <v>33612.197173054963</v>
      </c>
      <c r="E57" s="92">
        <v>135360.04863365195</v>
      </c>
      <c r="F57" s="92">
        <v>154919.76627737371</v>
      </c>
    </row>
    <row r="58" spans="1:6">
      <c r="A58" s="29"/>
      <c r="B58" s="29" t="s">
        <v>59</v>
      </c>
      <c r="C58" s="92">
        <v>442728.3110856195</v>
      </c>
      <c r="D58" s="92">
        <v>50009.908830477812</v>
      </c>
      <c r="E58" s="92">
        <v>239064.15672092538</v>
      </c>
      <c r="F58" s="92">
        <v>153654.24553421626</v>
      </c>
    </row>
    <row r="59" spans="1:6">
      <c r="A59" s="29"/>
      <c r="B59" s="29"/>
    </row>
    <row r="60" spans="1:6">
      <c r="A60" s="30" t="s">
        <v>50</v>
      </c>
      <c r="B60" s="30" t="s">
        <v>48</v>
      </c>
      <c r="C60" s="40">
        <v>2520330.1425825423</v>
      </c>
      <c r="D60" s="40">
        <v>242436.08077249251</v>
      </c>
      <c r="E60" s="40">
        <v>1248944.2508775822</v>
      </c>
      <c r="F60" s="40">
        <v>1028949.8109324675</v>
      </c>
    </row>
    <row r="61" spans="1:6">
      <c r="A61" s="29" t="s">
        <v>52</v>
      </c>
      <c r="B61" s="29" t="s">
        <v>53</v>
      </c>
      <c r="C61" s="92">
        <v>122481.75871550491</v>
      </c>
      <c r="D61" s="92">
        <v>22867.502259594996</v>
      </c>
      <c r="E61" s="92">
        <v>28807.895474912235</v>
      </c>
      <c r="F61" s="92">
        <v>70806.360980997677</v>
      </c>
    </row>
    <row r="62" spans="1:6">
      <c r="A62" s="29"/>
      <c r="B62" s="29" t="s">
        <v>54</v>
      </c>
      <c r="C62" s="92">
        <v>274015.99883148028</v>
      </c>
      <c r="D62" s="92">
        <v>36896.41043875504</v>
      </c>
      <c r="E62" s="92">
        <v>78761.275558713824</v>
      </c>
      <c r="F62" s="92">
        <v>158358.31283401142</v>
      </c>
    </row>
    <row r="63" spans="1:6">
      <c r="A63" s="29"/>
      <c r="B63" s="29" t="s">
        <v>55</v>
      </c>
      <c r="C63" s="92">
        <v>498542.50249312661</v>
      </c>
      <c r="D63" s="92">
        <v>65296.088607200909</v>
      </c>
      <c r="E63" s="92">
        <v>185267.84014637867</v>
      </c>
      <c r="F63" s="92">
        <v>247978.57373954702</v>
      </c>
    </row>
    <row r="64" spans="1:6">
      <c r="A64" s="29"/>
      <c r="B64" s="29" t="s">
        <v>56</v>
      </c>
      <c r="C64" s="92">
        <v>443003.41208110249</v>
      </c>
      <c r="D64" s="92">
        <v>47225.651985742596</v>
      </c>
      <c r="E64" s="92">
        <v>203444.92109263712</v>
      </c>
      <c r="F64" s="92">
        <v>192332.83900272282</v>
      </c>
    </row>
    <row r="65" spans="1:6">
      <c r="A65" s="29"/>
      <c r="B65" s="29" t="s">
        <v>57</v>
      </c>
      <c r="C65" s="92">
        <v>379973.21786259511</v>
      </c>
      <c r="D65" s="92">
        <v>28350.338640636168</v>
      </c>
      <c r="E65" s="92">
        <v>191707.55319123922</v>
      </c>
      <c r="F65" s="92">
        <v>159915.32603071973</v>
      </c>
    </row>
    <row r="66" spans="1:6">
      <c r="A66" s="29"/>
      <c r="B66" s="29" t="s">
        <v>58</v>
      </c>
      <c r="C66" s="92">
        <v>327132.24815954879</v>
      </c>
      <c r="D66" s="92">
        <v>11228.234183442575</v>
      </c>
      <c r="E66" s="92">
        <v>209356.20299123626</v>
      </c>
      <c r="F66" s="92">
        <v>106547.81098486997</v>
      </c>
    </row>
    <row r="67" spans="1:6">
      <c r="A67" s="29"/>
      <c r="B67" s="29" t="s">
        <v>59</v>
      </c>
      <c r="C67" s="92">
        <v>475181.00443921896</v>
      </c>
      <c r="D67" s="92">
        <v>30571.854657120333</v>
      </c>
      <c r="E67" s="92">
        <v>351598.56242248882</v>
      </c>
      <c r="F67" s="92">
        <v>93010.587359609839</v>
      </c>
    </row>
    <row r="68" spans="1:6">
      <c r="A68" s="111"/>
      <c r="B68" s="111"/>
      <c r="C68" s="100"/>
      <c r="D68" s="100"/>
      <c r="E68" s="100"/>
      <c r="F68" s="100"/>
    </row>
    <row r="69" spans="1:6">
      <c r="A69" s="115" t="s">
        <v>108</v>
      </c>
    </row>
    <row r="70" spans="1:6">
      <c r="A70" s="16" t="s">
        <v>112</v>
      </c>
    </row>
    <row r="71" spans="1:6">
      <c r="A71" s="16" t="s">
        <v>113</v>
      </c>
    </row>
    <row r="72" spans="1:6">
      <c r="A72" s="21" t="s">
        <v>111</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1" formatCode="\*\*0.0%"/>
            </x14:dxf>
          </x14:cfRule>
          <x14:cfRule type="expression" priority="4" id="{63009E4E-FE50-4B59-9065-881163C02C17}">
            <xm:f>C42&lt;'27'!$C$103</xm:f>
            <x14:dxf>
              <font>
                <color rgb="FF00B050"/>
              </font>
              <numFmt numFmtId="170"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69" formatCode="\*\*#,###,###,##0"/>
            </x14:dxf>
          </x14:cfRule>
          <x14:cfRule type="expression" priority="2" id="{1EADCA83-390F-41E2-AAFF-44497EFBC9C4}">
            <xm:f>C42&lt;'27'!$C$103</xm:f>
            <x14:dxf>
              <font>
                <color rgb="FF00B050"/>
              </font>
              <numFmt numFmtId="168"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4"/>
      <c r="B1" s="24"/>
      <c r="C1" s="24"/>
      <c r="D1" s="24"/>
      <c r="E1" s="24"/>
      <c r="F1" s="24"/>
    </row>
    <row r="2" spans="1:6">
      <c r="A2" s="24"/>
      <c r="B2" s="24"/>
      <c r="C2" s="24"/>
      <c r="D2" s="24"/>
      <c r="E2" s="24"/>
      <c r="F2" s="24"/>
    </row>
    <row r="3" spans="1:6">
      <c r="A3" s="24"/>
      <c r="B3" s="24"/>
      <c r="C3" s="24"/>
      <c r="D3" s="24"/>
      <c r="E3" s="24"/>
      <c r="F3" s="24"/>
    </row>
    <row r="4" spans="1:6">
      <c r="A4" s="24"/>
      <c r="B4" s="24"/>
      <c r="C4" s="24"/>
      <c r="D4" s="24"/>
      <c r="E4" s="24"/>
      <c r="F4" s="24"/>
    </row>
    <row r="5" spans="1:6">
      <c r="A5" s="24"/>
      <c r="B5" s="24"/>
      <c r="C5" s="24"/>
      <c r="D5" s="24"/>
      <c r="E5" s="24"/>
      <c r="F5" s="24"/>
    </row>
    <row r="6" spans="1:6">
      <c r="A6" s="24"/>
      <c r="B6" s="24"/>
      <c r="C6" s="24"/>
      <c r="D6" s="24"/>
      <c r="E6" s="24"/>
      <c r="F6" s="24"/>
    </row>
    <row r="7" spans="1:6">
      <c r="A7" s="24"/>
      <c r="B7" s="24"/>
      <c r="C7" s="24"/>
      <c r="D7" s="24"/>
      <c r="E7" s="24"/>
      <c r="F7" s="24"/>
    </row>
    <row r="8" spans="1:6">
      <c r="A8" s="25" t="str">
        <f>Index!A8</f>
        <v>AusPlay survey results July 2024 - June 2025</v>
      </c>
      <c r="B8" s="24"/>
      <c r="C8" s="24"/>
      <c r="D8" s="24"/>
      <c r="E8" s="24"/>
      <c r="F8" s="24"/>
    </row>
    <row r="9" spans="1:6">
      <c r="A9" s="24" t="s">
        <v>1</v>
      </c>
      <c r="B9" s="25"/>
      <c r="C9" s="133" t="s">
        <v>2</v>
      </c>
      <c r="D9" s="24"/>
      <c r="E9" s="24"/>
      <c r="F9" s="24"/>
    </row>
    <row r="10" spans="1:6">
      <c r="A10" s="24" t="s">
        <v>40</v>
      </c>
      <c r="B10" s="25"/>
      <c r="C10" s="26">
        <v>15</v>
      </c>
      <c r="D10" s="24"/>
      <c r="E10" s="24"/>
      <c r="F10" s="24"/>
    </row>
    <row r="11" spans="1:6">
      <c r="A11" s="24" t="s">
        <v>3</v>
      </c>
      <c r="B11" s="25"/>
      <c r="C11" s="25" t="s">
        <v>24</v>
      </c>
      <c r="D11" s="24"/>
      <c r="E11" s="24"/>
      <c r="F11" s="24"/>
    </row>
    <row r="12" spans="1:6">
      <c r="A12" s="109" t="s">
        <v>41</v>
      </c>
      <c r="B12" s="110"/>
      <c r="C12" s="110" t="s">
        <v>114</v>
      </c>
      <c r="D12" s="109"/>
      <c r="E12" s="109"/>
      <c r="F12" s="109"/>
    </row>
    <row r="13" spans="1:6" ht="50.1" customHeight="1">
      <c r="A13" s="37"/>
      <c r="B13" s="37"/>
      <c r="C13" s="32" t="s">
        <v>48</v>
      </c>
      <c r="D13" s="55" t="s">
        <v>241</v>
      </c>
      <c r="E13" s="55" t="s">
        <v>242</v>
      </c>
      <c r="F13" s="55" t="s">
        <v>243</v>
      </c>
    </row>
    <row r="14" spans="1:6">
      <c r="A14" s="57"/>
      <c r="B14" s="57"/>
      <c r="C14" s="160" t="s">
        <v>135</v>
      </c>
      <c r="D14" s="160"/>
      <c r="E14" s="160"/>
      <c r="F14" s="160"/>
    </row>
    <row r="15" spans="1:6" ht="17.25">
      <c r="A15" s="30" t="s">
        <v>136</v>
      </c>
      <c r="B15" s="30" t="s">
        <v>48</v>
      </c>
      <c r="C15" s="23">
        <v>0.73214143016863364</v>
      </c>
      <c r="D15" s="23">
        <v>0.60153011141629353</v>
      </c>
      <c r="E15" s="23">
        <v>5.7285156709274497E-2</v>
      </c>
      <c r="F15" s="23">
        <v>7.3326162043065524E-2</v>
      </c>
    </row>
    <row r="16" spans="1:6">
      <c r="A16" s="29" t="s">
        <v>52</v>
      </c>
      <c r="B16" s="29" t="s">
        <v>115</v>
      </c>
      <c r="C16" s="4">
        <v>0.49966693126776002</v>
      </c>
      <c r="D16" s="4">
        <v>0.37837688693121313</v>
      </c>
      <c r="E16" s="4">
        <v>7.6992389800888739E-2</v>
      </c>
      <c r="F16" s="4">
        <v>4.4297654535658176E-2</v>
      </c>
    </row>
    <row r="17" spans="1:6">
      <c r="A17" s="29"/>
      <c r="B17" s="29" t="s">
        <v>116</v>
      </c>
      <c r="C17" s="4">
        <v>0.82201643120887125</v>
      </c>
      <c r="D17" s="4">
        <v>0.68215779714409996</v>
      </c>
      <c r="E17" s="4">
        <v>4.5765207134108761E-2</v>
      </c>
      <c r="F17" s="4">
        <v>9.4093426930662527E-2</v>
      </c>
    </row>
    <row r="18" spans="1:6">
      <c r="A18" s="29"/>
      <c r="B18" s="29" t="s">
        <v>117</v>
      </c>
      <c r="C18" s="4">
        <v>0.85018509064963976</v>
      </c>
      <c r="D18" s="4">
        <v>0.71064032048447445</v>
      </c>
      <c r="E18" s="4">
        <v>4.6960687185169235E-2</v>
      </c>
      <c r="F18" s="4">
        <v>9.258408297999618E-2</v>
      </c>
    </row>
    <row r="19" spans="1:6">
      <c r="A19" s="29"/>
      <c r="B19" s="29" t="s">
        <v>118</v>
      </c>
      <c r="C19" s="4">
        <v>0.84408334484306846</v>
      </c>
      <c r="D19" s="4">
        <v>0.72031236929914833</v>
      </c>
      <c r="E19" s="4">
        <v>5.3144882607349217E-2</v>
      </c>
      <c r="F19" s="4">
        <v>7.0626092936570808E-2</v>
      </c>
    </row>
    <row r="20" spans="1:6">
      <c r="A20" s="29"/>
      <c r="B20" s="29"/>
    </row>
    <row r="21" spans="1:6">
      <c r="A21" s="30" t="s">
        <v>49</v>
      </c>
      <c r="B21" s="30" t="s">
        <v>48</v>
      </c>
      <c r="C21" s="23">
        <v>0.73432867500590604</v>
      </c>
      <c r="D21" s="23">
        <v>0.63434648559756646</v>
      </c>
      <c r="E21" s="23">
        <v>4.8864810712158098E-2</v>
      </c>
      <c r="F21" s="23">
        <v>5.1117378696181444E-2</v>
      </c>
    </row>
    <row r="22" spans="1:6">
      <c r="A22" s="29" t="s">
        <v>52</v>
      </c>
      <c r="B22" s="29" t="s">
        <v>115</v>
      </c>
      <c r="C22" s="4">
        <v>0.47976558705708011</v>
      </c>
      <c r="D22" s="4">
        <v>0.37454752072598435</v>
      </c>
      <c r="E22" s="4">
        <v>6.8556056663524656E-2</v>
      </c>
      <c r="F22" s="4">
        <v>3.6662009667571105E-2</v>
      </c>
    </row>
    <row r="23" spans="1:6">
      <c r="A23" s="29"/>
      <c r="B23" s="29" t="s">
        <v>116</v>
      </c>
      <c r="C23" s="4">
        <v>0.82510263457633104</v>
      </c>
      <c r="D23" s="4">
        <v>0.71465608768601319</v>
      </c>
      <c r="E23" s="4">
        <v>5.0127796768979278E-2</v>
      </c>
      <c r="F23" s="4">
        <v>6.0318750121338582E-2</v>
      </c>
    </row>
    <row r="24" spans="1:6">
      <c r="A24" s="29"/>
      <c r="B24" s="29" t="s">
        <v>117</v>
      </c>
      <c r="C24" s="4">
        <v>0.87466939261408039</v>
      </c>
      <c r="D24" s="4">
        <v>0.78291768518873572</v>
      </c>
      <c r="E24" s="4">
        <v>1.9418474228159815E-2</v>
      </c>
      <c r="F24" s="4">
        <v>7.2333233197184835E-2</v>
      </c>
    </row>
    <row r="25" spans="1:6">
      <c r="A25" s="29"/>
      <c r="B25" s="29" t="s">
        <v>118</v>
      </c>
      <c r="C25" s="4">
        <v>0.8583089469551809</v>
      </c>
      <c r="D25" s="4">
        <v>0.77047289308681732</v>
      </c>
      <c r="E25" s="4">
        <v>4.6146201229243233E-2</v>
      </c>
      <c r="F25" s="4">
        <v>4.1689852639120277E-2</v>
      </c>
    </row>
    <row r="26" spans="1:6">
      <c r="A26" s="29"/>
      <c r="B26" s="29"/>
    </row>
    <row r="27" spans="1:6">
      <c r="A27" s="30" t="s">
        <v>50</v>
      </c>
      <c r="B27" s="30" t="s">
        <v>48</v>
      </c>
      <c r="C27" s="23">
        <v>0.73189895947072592</v>
      </c>
      <c r="D27" s="23">
        <v>0.56571531053451152</v>
      </c>
      <c r="E27" s="23">
        <v>6.716098648031163E-2</v>
      </c>
      <c r="F27" s="23">
        <v>9.9022662455902674E-2</v>
      </c>
    </row>
    <row r="28" spans="1:6">
      <c r="A28" s="29" t="s">
        <v>52</v>
      </c>
      <c r="B28" s="29" t="s">
        <v>115</v>
      </c>
      <c r="C28" s="4">
        <v>0.52100405871336908</v>
      </c>
      <c r="D28" s="4">
        <v>0.3806968768284093</v>
      </c>
      <c r="E28" s="4">
        <v>8.7019959929806642E-2</v>
      </c>
      <c r="F28" s="4">
        <v>5.3287221955153112E-2</v>
      </c>
    </row>
    <row r="29" spans="1:6">
      <c r="A29" s="29"/>
      <c r="B29" s="29" t="s">
        <v>116</v>
      </c>
      <c r="C29" s="4">
        <v>0.82368094713815987</v>
      </c>
      <c r="D29" s="4">
        <v>0.65236643117334969</v>
      </c>
      <c r="E29" s="4">
        <v>4.149415820902317E-2</v>
      </c>
      <c r="F29" s="4">
        <v>0.1298203577557871</v>
      </c>
    </row>
    <row r="30" spans="1:6">
      <c r="A30" s="29"/>
      <c r="B30" s="29" t="s">
        <v>117</v>
      </c>
      <c r="C30" s="4">
        <v>0.8278085858488623</v>
      </c>
      <c r="D30" s="4">
        <v>0.63477394077435811</v>
      </c>
      <c r="E30" s="4">
        <v>7.7603411601291111E-2</v>
      </c>
      <c r="F30" s="4">
        <v>0.11543123347321313</v>
      </c>
    </row>
    <row r="31" spans="1:6">
      <c r="A31" s="111"/>
      <c r="B31" s="111" t="s">
        <v>118</v>
      </c>
      <c r="C31" s="4">
        <v>0.82821936434619126</v>
      </c>
      <c r="D31" s="4">
        <v>0.65712683400202887</v>
      </c>
      <c r="E31" s="4">
        <v>6.2454519839591056E-2</v>
      </c>
      <c r="F31" s="4">
        <v>0.10863801050457129</v>
      </c>
    </row>
    <row r="32" spans="1:6">
      <c r="A32" s="57"/>
      <c r="B32" s="57"/>
      <c r="C32" s="159" t="s">
        <v>138</v>
      </c>
      <c r="D32" s="159"/>
      <c r="E32" s="159"/>
      <c r="F32" s="159"/>
    </row>
    <row r="33" spans="1:6" ht="17.25">
      <c r="A33" s="30" t="s">
        <v>136</v>
      </c>
      <c r="B33" s="30" t="s">
        <v>48</v>
      </c>
      <c r="C33" s="40">
        <v>895893.56304385024</v>
      </c>
      <c r="D33" s="40">
        <v>736069.47044477647</v>
      </c>
      <c r="E33" s="40">
        <v>70097.662881851153</v>
      </c>
      <c r="F33" s="40">
        <v>89726.429717222534</v>
      </c>
    </row>
    <row r="34" spans="1:6">
      <c r="A34" s="29" t="s">
        <v>52</v>
      </c>
      <c r="B34" s="29" t="s">
        <v>115</v>
      </c>
      <c r="C34" s="92">
        <v>190197.73860061311</v>
      </c>
      <c r="D34" s="92">
        <v>144028.79944538788</v>
      </c>
      <c r="E34" s="92">
        <v>29307.079402736545</v>
      </c>
      <c r="F34" s="92">
        <v>16861.859752488694</v>
      </c>
    </row>
    <row r="35" spans="1:6">
      <c r="A35" s="29"/>
      <c r="B35" s="29" t="s">
        <v>116</v>
      </c>
      <c r="C35" s="92">
        <v>275470.32591391809</v>
      </c>
      <c r="D35" s="92">
        <v>228601.55049170466</v>
      </c>
      <c r="E35" s="92">
        <v>15336.623510324369</v>
      </c>
      <c r="F35" s="92">
        <v>31532.151911889076</v>
      </c>
    </row>
    <row r="36" spans="1:6">
      <c r="A36" s="29"/>
      <c r="B36" s="29" t="s">
        <v>117</v>
      </c>
      <c r="C36" s="92">
        <v>211466.21785010048</v>
      </c>
      <c r="D36" s="92">
        <v>176757.29964848774</v>
      </c>
      <c r="E36" s="92">
        <v>11680.514062062995</v>
      </c>
      <c r="F36" s="92">
        <v>23028.404139549759</v>
      </c>
    </row>
    <row r="37" spans="1:6">
      <c r="A37" s="29"/>
      <c r="B37" s="29" t="s">
        <v>118</v>
      </c>
      <c r="C37" s="92">
        <v>218759.28067922182</v>
      </c>
      <c r="D37" s="92">
        <v>186681.82085919956</v>
      </c>
      <c r="E37" s="92">
        <v>13773.445906727244</v>
      </c>
      <c r="F37" s="92">
        <v>18304.013913294992</v>
      </c>
    </row>
    <row r="38" spans="1:6">
      <c r="A38" s="29"/>
      <c r="B38" s="29"/>
    </row>
    <row r="39" spans="1:6">
      <c r="A39" s="30" t="s">
        <v>49</v>
      </c>
      <c r="B39" s="30" t="s">
        <v>48</v>
      </c>
      <c r="C39" s="40">
        <v>478087.93086315138</v>
      </c>
      <c r="D39" s="40">
        <v>412994.08435495629</v>
      </c>
      <c r="E39" s="40">
        <v>31813.651080978594</v>
      </c>
      <c r="F39" s="40">
        <v>33280.195427216524</v>
      </c>
    </row>
    <row r="40" spans="1:6">
      <c r="A40" s="29" t="s">
        <v>52</v>
      </c>
      <c r="B40" s="29" t="s">
        <v>115</v>
      </c>
      <c r="C40" s="92">
        <v>97826.679183964457</v>
      </c>
      <c r="D40" s="92">
        <v>76372.172447730845</v>
      </c>
      <c r="E40" s="92">
        <v>13978.933759045116</v>
      </c>
      <c r="F40" s="92">
        <v>7475.5729771884935</v>
      </c>
    </row>
    <row r="41" spans="1:6">
      <c r="A41" s="29"/>
      <c r="B41" s="29" t="s">
        <v>116</v>
      </c>
      <c r="C41" s="92">
        <v>140638.56968061128</v>
      </c>
      <c r="D41" s="92">
        <v>121812.9791056973</v>
      </c>
      <c r="E41" s="92">
        <v>8544.272364915616</v>
      </c>
      <c r="F41" s="92">
        <v>10281.318209998362</v>
      </c>
    </row>
    <row r="42" spans="1:6">
      <c r="A42" s="29"/>
      <c r="B42" s="29" t="s">
        <v>117</v>
      </c>
      <c r="C42" s="92">
        <v>113824.17909498277</v>
      </c>
      <c r="D42" s="92">
        <v>101884.16739863115</v>
      </c>
      <c r="E42" s="92">
        <v>2527.0026674782594</v>
      </c>
      <c r="F42" s="92">
        <v>9413.0090288733645</v>
      </c>
    </row>
    <row r="43" spans="1:6">
      <c r="A43" s="29"/>
      <c r="B43" s="29" t="s">
        <v>118</v>
      </c>
      <c r="C43" s="92">
        <v>125798.50290359602</v>
      </c>
      <c r="D43" s="92">
        <v>112924.76540290008</v>
      </c>
      <c r="E43" s="92">
        <v>6763.4422895396101</v>
      </c>
      <c r="F43" s="92">
        <v>6110.2952111563154</v>
      </c>
    </row>
    <row r="44" spans="1:6">
      <c r="A44" s="29"/>
      <c r="B44" s="29"/>
    </row>
    <row r="45" spans="1:6">
      <c r="A45" s="30" t="s">
        <v>50</v>
      </c>
      <c r="B45" s="30" t="s">
        <v>48</v>
      </c>
      <c r="C45" s="40">
        <v>417206.92130747274</v>
      </c>
      <c r="D45" s="40">
        <v>322476.67521659413</v>
      </c>
      <c r="E45" s="40">
        <v>38284.011800872555</v>
      </c>
      <c r="F45" s="40">
        <v>56446.234290006032</v>
      </c>
    </row>
    <row r="46" spans="1:6">
      <c r="A46" s="29" t="s">
        <v>52</v>
      </c>
      <c r="B46" s="29" t="s">
        <v>115</v>
      </c>
      <c r="C46" s="92">
        <v>91772.3485434225</v>
      </c>
      <c r="D46" s="92">
        <v>67057.916124430878</v>
      </c>
      <c r="E46" s="92">
        <v>15328.145643691416</v>
      </c>
      <c r="F46" s="92">
        <v>9386.2867753002047</v>
      </c>
    </row>
    <row r="47" spans="1:6">
      <c r="A47" s="29"/>
      <c r="B47" s="29" t="s">
        <v>116</v>
      </c>
      <c r="C47" s="92">
        <v>134831.75623330602</v>
      </c>
      <c r="D47" s="92">
        <v>106788.57138600657</v>
      </c>
      <c r="E47" s="92">
        <v>6792.351145408752</v>
      </c>
      <c r="F47" s="92">
        <v>21250.833701890704</v>
      </c>
    </row>
    <row r="48" spans="1:6">
      <c r="A48" s="29"/>
      <c r="B48" s="29" t="s">
        <v>117</v>
      </c>
      <c r="C48" s="92">
        <v>97642.03875511793</v>
      </c>
      <c r="D48" s="92">
        <v>74873.132249856804</v>
      </c>
      <c r="E48" s="92">
        <v>9153.5113945847334</v>
      </c>
      <c r="F48" s="92">
        <v>13615.395110676398</v>
      </c>
    </row>
    <row r="49" spans="1:6">
      <c r="A49" s="29"/>
      <c r="B49" s="29" t="s">
        <v>118</v>
      </c>
      <c r="C49" s="92">
        <v>92960.777775625829</v>
      </c>
      <c r="D49" s="92">
        <v>73757.055456299524</v>
      </c>
      <c r="E49" s="92">
        <v>7010.0036171876282</v>
      </c>
      <c r="F49" s="92">
        <v>12193.718702138674</v>
      </c>
    </row>
    <row r="50" spans="1:6">
      <c r="A50" s="29"/>
      <c r="B50" s="29"/>
      <c r="C50" s="4"/>
      <c r="D50" s="4"/>
      <c r="E50" s="4"/>
      <c r="F50" s="4"/>
    </row>
    <row r="51" spans="1:6" ht="14.45" customHeight="1">
      <c r="A51" s="137" t="s">
        <v>121</v>
      </c>
      <c r="B51" s="138"/>
      <c r="C51" s="138"/>
      <c r="D51" s="138"/>
      <c r="E51" s="138"/>
      <c r="F51" s="138"/>
    </row>
    <row r="52" spans="1:6">
      <c r="A52" s="115" t="s">
        <v>108</v>
      </c>
    </row>
    <row r="53" spans="1:6" ht="14.45" customHeight="1">
      <c r="A53" s="16" t="s">
        <v>112</v>
      </c>
    </row>
    <row r="54" spans="1:6">
      <c r="A54" s="16" t="s">
        <v>113</v>
      </c>
    </row>
    <row r="55" spans="1:6">
      <c r="A55" s="21" t="s">
        <v>111</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1" formatCode="\*\*0.0%"/>
            </x14:dxf>
          </x14:cfRule>
          <x14:cfRule type="expression" priority="4" id="{CBD53215-54F7-4FB8-AB65-18379144F32B}">
            <xm:f>C33&lt;'27'!$D$103</xm:f>
            <x14:dxf>
              <font>
                <color rgb="FF00B050"/>
              </font>
              <numFmt numFmtId="170"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69" formatCode="\*\*#,###,###,##0"/>
            </x14:dxf>
          </x14:cfRule>
          <x14:cfRule type="expression" priority="2" id="{E26BB99C-8890-40ED-A476-25384435F848}">
            <xm:f>C33&lt;'27'!$D$103</xm:f>
            <x14:dxf>
              <font>
                <color rgb="FF00B050"/>
              </font>
              <numFmt numFmtId="168"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4"/>
      <c r="B1" s="24"/>
      <c r="C1" s="24"/>
      <c r="D1" s="24"/>
      <c r="E1" s="24"/>
      <c r="F1" s="24"/>
      <c r="G1" s="24"/>
      <c r="H1" s="24"/>
      <c r="I1" s="24"/>
      <c r="J1" s="24"/>
      <c r="K1" s="24"/>
      <c r="L1" s="24"/>
      <c r="M1" s="24"/>
    </row>
    <row r="2" spans="1:13">
      <c r="A2" s="24"/>
      <c r="B2" s="24"/>
      <c r="C2" s="24"/>
      <c r="D2" s="24"/>
      <c r="E2" s="24"/>
      <c r="F2" s="24"/>
      <c r="G2" s="24"/>
      <c r="H2" s="24"/>
      <c r="I2" s="24"/>
      <c r="J2" s="24"/>
      <c r="K2" s="24"/>
      <c r="L2" s="24"/>
      <c r="M2" s="24"/>
    </row>
    <row r="3" spans="1:13">
      <c r="A3" s="24"/>
      <c r="B3" s="24"/>
      <c r="C3" s="24"/>
      <c r="D3" s="24"/>
      <c r="E3" s="24"/>
      <c r="F3" s="24"/>
      <c r="G3" s="24"/>
      <c r="H3" s="24"/>
      <c r="I3" s="24"/>
      <c r="J3" s="24"/>
      <c r="K3" s="24"/>
      <c r="L3" s="24"/>
      <c r="M3" s="24"/>
    </row>
    <row r="4" spans="1:13">
      <c r="A4" s="24"/>
      <c r="B4" s="24"/>
      <c r="C4" s="24"/>
      <c r="D4" s="24"/>
      <c r="E4" s="24"/>
      <c r="F4" s="24"/>
      <c r="G4" s="24"/>
      <c r="H4" s="24"/>
      <c r="I4" s="24"/>
      <c r="J4" s="24"/>
      <c r="K4" s="24"/>
      <c r="L4" s="24"/>
      <c r="M4" s="24"/>
    </row>
    <row r="5" spans="1:13">
      <c r="A5" s="24"/>
      <c r="B5" s="24"/>
      <c r="C5" s="24"/>
      <c r="D5" s="24"/>
      <c r="E5" s="24"/>
      <c r="F5" s="24"/>
      <c r="G5" s="24"/>
      <c r="H5" s="24"/>
      <c r="I5" s="24"/>
      <c r="J5" s="24"/>
      <c r="K5" s="24"/>
      <c r="L5" s="24"/>
      <c r="M5" s="24"/>
    </row>
    <row r="6" spans="1:13">
      <c r="A6" s="24"/>
      <c r="B6" s="24"/>
      <c r="C6" s="24"/>
      <c r="D6" s="24"/>
      <c r="E6" s="24"/>
      <c r="F6" s="24"/>
      <c r="G6" s="24"/>
      <c r="H6" s="24"/>
      <c r="I6" s="24"/>
      <c r="J6" s="24"/>
      <c r="K6" s="24"/>
      <c r="L6" s="24"/>
      <c r="M6" s="24"/>
    </row>
    <row r="7" spans="1:13">
      <c r="A7" s="24"/>
      <c r="B7" s="24"/>
      <c r="C7" s="24"/>
      <c r="D7" s="24"/>
      <c r="E7" s="24"/>
      <c r="F7" s="24"/>
      <c r="G7" s="24"/>
      <c r="H7" s="24"/>
      <c r="I7" s="24"/>
      <c r="J7" s="24"/>
      <c r="K7" s="24"/>
      <c r="L7" s="24"/>
      <c r="M7" s="24"/>
    </row>
    <row r="8" spans="1:13">
      <c r="A8" s="25" t="str">
        <f>Index!A8</f>
        <v>AusPlay survey results July 2024 - June 2025</v>
      </c>
      <c r="B8" s="24"/>
      <c r="C8" s="24"/>
      <c r="D8" s="24"/>
      <c r="E8" s="24"/>
      <c r="F8" s="24"/>
      <c r="G8" s="24"/>
      <c r="H8" s="24"/>
      <c r="I8" s="24"/>
      <c r="J8" s="24"/>
      <c r="K8" s="25"/>
      <c r="L8" s="24"/>
      <c r="M8" s="24"/>
    </row>
    <row r="9" spans="1:13">
      <c r="A9" s="24" t="s">
        <v>1</v>
      </c>
      <c r="B9" s="133" t="s">
        <v>2</v>
      </c>
      <c r="C9" s="24"/>
      <c r="D9" s="24"/>
      <c r="E9" s="24"/>
      <c r="F9" s="24"/>
      <c r="G9" s="25"/>
      <c r="H9" s="24"/>
      <c r="I9" s="24"/>
      <c r="J9" s="24"/>
      <c r="K9" s="24"/>
      <c r="L9" s="24"/>
      <c r="M9" s="25"/>
    </row>
    <row r="10" spans="1:13">
      <c r="A10" s="24" t="s">
        <v>40</v>
      </c>
      <c r="B10" s="26">
        <v>16</v>
      </c>
      <c r="C10" s="24"/>
      <c r="D10" s="24"/>
      <c r="E10" s="24"/>
      <c r="F10" s="24"/>
      <c r="G10" s="26"/>
      <c r="H10" s="24"/>
      <c r="I10" s="24"/>
      <c r="J10" s="24"/>
      <c r="K10" s="24"/>
      <c r="L10" s="24"/>
      <c r="M10" s="26"/>
    </row>
    <row r="11" spans="1:13">
      <c r="A11" s="24" t="s">
        <v>3</v>
      </c>
      <c r="B11" s="25" t="s">
        <v>25</v>
      </c>
      <c r="C11" s="24"/>
      <c r="D11" s="24"/>
      <c r="E11" s="24"/>
      <c r="F11" s="24"/>
      <c r="G11" s="25"/>
      <c r="H11" s="24"/>
      <c r="I11" s="24"/>
      <c r="J11" s="24"/>
      <c r="K11" s="24"/>
      <c r="L11" s="24"/>
      <c r="M11" s="25"/>
    </row>
    <row r="12" spans="1:13">
      <c r="A12" s="109" t="s">
        <v>41</v>
      </c>
      <c r="B12" s="25" t="s">
        <v>42</v>
      </c>
      <c r="C12" s="24"/>
      <c r="D12" s="24"/>
      <c r="E12" s="95" t="s">
        <v>137</v>
      </c>
      <c r="F12" s="24"/>
      <c r="G12" s="25"/>
      <c r="H12" s="24"/>
      <c r="I12" s="24"/>
      <c r="J12" s="24"/>
      <c r="K12" s="24"/>
      <c r="L12" s="24"/>
      <c r="M12" s="25"/>
    </row>
    <row r="13" spans="1:13" s="2" customFormat="1" ht="24.95" customHeight="1">
      <c r="A13" s="45"/>
      <c r="B13" s="45"/>
      <c r="C13" s="45"/>
      <c r="D13" s="45"/>
      <c r="E13" s="45"/>
      <c r="F13" s="45"/>
      <c r="G13" s="163" t="s">
        <v>52</v>
      </c>
      <c r="H13" s="163"/>
      <c r="I13" s="163"/>
      <c r="J13" s="163"/>
      <c r="K13" s="163"/>
      <c r="L13" s="163"/>
      <c r="M13" s="163"/>
    </row>
    <row r="14" spans="1:13" s="54" customFormat="1" ht="24.95" customHeight="1">
      <c r="A14" s="48"/>
      <c r="B14" s="32" t="s">
        <v>51</v>
      </c>
      <c r="C14" s="32"/>
      <c r="D14" s="32" t="s">
        <v>49</v>
      </c>
      <c r="E14" s="32" t="s">
        <v>50</v>
      </c>
      <c r="F14" s="32"/>
      <c r="G14" s="32" t="s">
        <v>53</v>
      </c>
      <c r="H14" s="32" t="s">
        <v>54</v>
      </c>
      <c r="I14" s="32" t="s">
        <v>55</v>
      </c>
      <c r="J14" s="32" t="s">
        <v>56</v>
      </c>
      <c r="K14" s="32" t="s">
        <v>57</v>
      </c>
      <c r="L14" s="32" t="s">
        <v>58</v>
      </c>
      <c r="M14" s="32" t="s">
        <v>59</v>
      </c>
    </row>
    <row r="15" spans="1:13">
      <c r="A15" s="57"/>
      <c r="B15" s="160" t="s">
        <v>135</v>
      </c>
      <c r="C15" s="160"/>
      <c r="D15" s="160"/>
      <c r="E15" s="160"/>
      <c r="F15" s="160"/>
      <c r="G15" s="160"/>
      <c r="H15" s="160"/>
      <c r="I15" s="160"/>
      <c r="J15" s="160"/>
      <c r="K15" s="160"/>
      <c r="L15" s="160"/>
      <c r="M15" s="160"/>
    </row>
    <row r="16" spans="1:13">
      <c r="A16" s="29" t="s">
        <v>244</v>
      </c>
      <c r="B16" s="4">
        <v>1.401119790749702E-3</v>
      </c>
      <c r="D16" s="4">
        <v>2.2006672197752799E-3</v>
      </c>
      <c r="E16" s="4">
        <v>6.481961378075479E-4</v>
      </c>
      <c r="F16" s="4"/>
      <c r="G16" s="4">
        <v>0</v>
      </c>
      <c r="H16" s="4">
        <v>3.9616804547042972E-3</v>
      </c>
      <c r="I16" s="4">
        <v>1.831361194496866E-3</v>
      </c>
      <c r="J16" s="4">
        <v>2.4474282622826476E-3</v>
      </c>
      <c r="K16" s="4">
        <v>1.1563277841689769E-3</v>
      </c>
      <c r="L16" s="4">
        <v>0</v>
      </c>
      <c r="M16" s="4">
        <v>0</v>
      </c>
    </row>
    <row r="17" spans="1:13">
      <c r="A17" s="29" t="s">
        <v>245</v>
      </c>
      <c r="B17" s="4">
        <v>3.9644977410639775E-3</v>
      </c>
      <c r="D17" s="4">
        <v>6.1822445992964969E-3</v>
      </c>
      <c r="E17" s="4">
        <v>1.8771095100852337E-3</v>
      </c>
      <c r="F17" s="4"/>
      <c r="G17" s="4">
        <v>1.4044024586740004E-2</v>
      </c>
      <c r="H17" s="4">
        <v>9.0046002836014164E-3</v>
      </c>
      <c r="I17" s="4">
        <v>9.1072311093997726E-3</v>
      </c>
      <c r="J17" s="4">
        <v>1.5994722593046071E-3</v>
      </c>
      <c r="K17" s="4">
        <v>1.4522614774952535E-3</v>
      </c>
      <c r="L17" s="4">
        <v>1.1952523943059188E-3</v>
      </c>
      <c r="M17" s="4">
        <v>0</v>
      </c>
    </row>
    <row r="18" spans="1:13">
      <c r="A18" s="29" t="s">
        <v>246</v>
      </c>
      <c r="B18" s="4">
        <v>2.0585147544121244E-3</v>
      </c>
      <c r="D18" s="4">
        <v>2.9559074900038628E-3</v>
      </c>
      <c r="E18" s="4">
        <v>1.2198929636261107E-3</v>
      </c>
      <c r="F18" s="4"/>
      <c r="G18" s="4">
        <v>5.8824184875024537E-3</v>
      </c>
      <c r="H18" s="4">
        <v>4.1941819047795377E-3</v>
      </c>
      <c r="I18" s="4">
        <v>1.4425659790387134E-3</v>
      </c>
      <c r="J18" s="4">
        <v>3.7290417170874517E-3</v>
      </c>
      <c r="K18" s="4">
        <v>1.1164546549492158E-3</v>
      </c>
      <c r="L18" s="4">
        <v>1.3289850336842357E-3</v>
      </c>
      <c r="M18" s="4">
        <v>3.2532544346916857E-4</v>
      </c>
    </row>
    <row r="19" spans="1:13">
      <c r="A19" s="29" t="s">
        <v>247</v>
      </c>
      <c r="B19" s="4">
        <v>1.536918798774784E-2</v>
      </c>
      <c r="D19" s="4">
        <v>2.0713358717359628E-2</v>
      </c>
      <c r="E19" s="4">
        <v>1.0416241228390875E-2</v>
      </c>
      <c r="F19" s="4"/>
      <c r="G19" s="4">
        <v>4.9037755820257413E-2</v>
      </c>
      <c r="H19" s="4">
        <v>3.2176071651119978E-2</v>
      </c>
      <c r="I19" s="4">
        <v>2.3885593158357483E-2</v>
      </c>
      <c r="J19" s="4">
        <v>1.922111824869616E-2</v>
      </c>
      <c r="K19" s="4">
        <v>8.3744828209451425E-3</v>
      </c>
      <c r="L19" s="4">
        <v>3.8355040046337933E-3</v>
      </c>
      <c r="M19" s="4">
        <v>3.0621695645712395E-4</v>
      </c>
    </row>
    <row r="20" spans="1:13">
      <c r="A20" s="29" t="s">
        <v>248</v>
      </c>
      <c r="B20" s="4">
        <v>4.1251129569273848E-2</v>
      </c>
      <c r="D20" s="4">
        <v>6.594348353939937E-2</v>
      </c>
      <c r="E20" s="4">
        <v>1.7971882588962099E-2</v>
      </c>
      <c r="F20" s="4"/>
      <c r="G20" s="4">
        <v>0.11656741439172127</v>
      </c>
      <c r="H20" s="4">
        <v>9.6273005710159315E-2</v>
      </c>
      <c r="I20" s="4">
        <v>7.195617008362902E-2</v>
      </c>
      <c r="J20" s="4">
        <v>4.1535805737457986E-2</v>
      </c>
      <c r="K20" s="4">
        <v>2.1387337799396309E-2</v>
      </c>
      <c r="L20" s="4">
        <v>9.7754229385635782E-3</v>
      </c>
      <c r="M20" s="4">
        <v>8.562665415296042E-4</v>
      </c>
    </row>
    <row r="21" spans="1:13">
      <c r="A21" s="29" t="s">
        <v>249</v>
      </c>
      <c r="B21" s="4">
        <v>2.1625797410931208E-2</v>
      </c>
      <c r="D21" s="4">
        <v>2.774224320383244E-2</v>
      </c>
      <c r="E21" s="4">
        <v>1.6010607271270225E-2</v>
      </c>
      <c r="F21" s="4"/>
      <c r="G21" s="4">
        <v>7.827117147940596E-2</v>
      </c>
      <c r="H21" s="4">
        <v>4.7857417132346293E-2</v>
      </c>
      <c r="I21" s="4">
        <v>3.8119183974375914E-2</v>
      </c>
      <c r="J21" s="4">
        <v>1.7346188653209214E-2</v>
      </c>
      <c r="K21" s="4">
        <v>9.3196835587281823E-3</v>
      </c>
      <c r="L21" s="4">
        <v>4.9516152979846122E-3</v>
      </c>
      <c r="M21" s="4">
        <v>3.3680609488273344E-3</v>
      </c>
    </row>
    <row r="22" spans="1:13">
      <c r="A22" s="29" t="s">
        <v>250</v>
      </c>
      <c r="B22" s="4">
        <v>3.691653421097054E-3</v>
      </c>
      <c r="D22" s="4">
        <v>5.3929255001144592E-3</v>
      </c>
      <c r="E22" s="4">
        <v>2.0990036970385704E-3</v>
      </c>
      <c r="F22" s="4"/>
      <c r="G22" s="4">
        <v>3.6316881930350153E-2</v>
      </c>
      <c r="H22" s="4">
        <v>7.404152041096128E-3</v>
      </c>
      <c r="I22" s="4">
        <v>3.7052890942652094E-3</v>
      </c>
      <c r="J22" s="4">
        <v>2.1657573222572772E-3</v>
      </c>
      <c r="K22" s="4">
        <v>1.6618555540323626E-3</v>
      </c>
      <c r="L22" s="4">
        <v>0</v>
      </c>
      <c r="M22" s="4">
        <v>0</v>
      </c>
    </row>
    <row r="23" spans="1:13">
      <c r="A23" s="29" t="s">
        <v>251</v>
      </c>
      <c r="B23" s="4">
        <v>5.8554651292858147E-2</v>
      </c>
      <c r="D23" s="4">
        <v>8.2939534725688865E-2</v>
      </c>
      <c r="E23" s="4">
        <v>3.561877782345383E-2</v>
      </c>
      <c r="F23" s="4"/>
      <c r="G23" s="4">
        <v>0.14387126188199989</v>
      </c>
      <c r="H23" s="4">
        <v>0.14865535772599711</v>
      </c>
      <c r="I23" s="4">
        <v>8.5014782136140415E-2</v>
      </c>
      <c r="J23" s="4">
        <v>6.1048148949303674E-2</v>
      </c>
      <c r="K23" s="4">
        <v>4.6058251219032828E-2</v>
      </c>
      <c r="L23" s="4">
        <v>9.2146289230282119E-3</v>
      </c>
      <c r="M23" s="4">
        <v>3.746201692496337E-3</v>
      </c>
    </row>
    <row r="24" spans="1:13">
      <c r="A24" s="29" t="s">
        <v>252</v>
      </c>
      <c r="B24" s="4">
        <v>3.9284043372297674E-4</v>
      </c>
      <c r="D24" s="4">
        <v>5.3587538926277642E-4</v>
      </c>
      <c r="E24" s="4">
        <v>2.6003107770891139E-4</v>
      </c>
      <c r="F24" s="4"/>
      <c r="G24" s="4">
        <v>0</v>
      </c>
      <c r="H24" s="4">
        <v>7.5662588820997055E-4</v>
      </c>
      <c r="I24" s="4">
        <v>1.3347350779267292E-3</v>
      </c>
      <c r="J24" s="4">
        <v>0</v>
      </c>
      <c r="K24" s="4">
        <v>0</v>
      </c>
      <c r="L24" s="4">
        <v>0</v>
      </c>
      <c r="M24" s="4">
        <v>2.9050924649786833E-4</v>
      </c>
    </row>
    <row r="25" spans="1:13">
      <c r="A25" s="29" t="s">
        <v>253</v>
      </c>
      <c r="B25" s="4">
        <v>0</v>
      </c>
      <c r="D25" s="4">
        <v>0</v>
      </c>
      <c r="E25" s="4">
        <v>0</v>
      </c>
      <c r="F25" s="4"/>
      <c r="G25" s="4">
        <v>0</v>
      </c>
      <c r="H25" s="4">
        <v>0</v>
      </c>
      <c r="I25" s="4">
        <v>0</v>
      </c>
      <c r="J25" s="4">
        <v>0</v>
      </c>
      <c r="K25" s="4">
        <v>0</v>
      </c>
      <c r="L25" s="4">
        <v>0</v>
      </c>
      <c r="M25" s="4">
        <v>0</v>
      </c>
    </row>
    <row r="26" spans="1:13">
      <c r="A26" s="29" t="s">
        <v>254</v>
      </c>
      <c r="B26" s="4">
        <v>2.7090733540114501E-3</v>
      </c>
      <c r="D26" s="4">
        <v>4.1990344346964038E-3</v>
      </c>
      <c r="E26" s="4">
        <v>1.3072960790108453E-3</v>
      </c>
      <c r="F26" s="4"/>
      <c r="G26" s="4">
        <v>0</v>
      </c>
      <c r="H26" s="4">
        <v>4.4675487795535311E-3</v>
      </c>
      <c r="I26" s="4">
        <v>6.9313686579521097E-3</v>
      </c>
      <c r="J26" s="4">
        <v>5.5371452504017287E-4</v>
      </c>
      <c r="K26" s="4">
        <v>1.7599888523182447E-3</v>
      </c>
      <c r="L26" s="4">
        <v>1.2386304735556635E-3</v>
      </c>
      <c r="M26" s="4">
        <v>1.9282394083003798E-3</v>
      </c>
    </row>
    <row r="27" spans="1:13">
      <c r="A27" s="29" t="s">
        <v>255</v>
      </c>
      <c r="B27" s="4">
        <v>1.8129875648476758E-4</v>
      </c>
      <c r="D27" s="4">
        <v>3.7167994446226629E-4</v>
      </c>
      <c r="E27" s="4">
        <v>0</v>
      </c>
      <c r="F27" s="4"/>
      <c r="G27" s="4">
        <v>0</v>
      </c>
      <c r="H27" s="4">
        <v>1.5409246603465274E-3</v>
      </c>
      <c r="I27" s="4">
        <v>0</v>
      </c>
      <c r="J27" s="4">
        <v>0</v>
      </c>
      <c r="K27" s="4">
        <v>0</v>
      </c>
      <c r="L27" s="4">
        <v>0</v>
      </c>
      <c r="M27" s="4">
        <v>0</v>
      </c>
    </row>
    <row r="28" spans="1:13">
      <c r="A28" s="29" t="s">
        <v>256</v>
      </c>
      <c r="B28" s="4">
        <v>0</v>
      </c>
      <c r="D28" s="4">
        <v>0</v>
      </c>
      <c r="E28" s="4">
        <v>0</v>
      </c>
      <c r="F28" s="4"/>
      <c r="G28" s="4">
        <v>0</v>
      </c>
      <c r="H28" s="4">
        <v>0</v>
      </c>
      <c r="I28" s="4">
        <v>0</v>
      </c>
      <c r="J28" s="4">
        <v>0</v>
      </c>
      <c r="K28" s="4">
        <v>0</v>
      </c>
      <c r="L28" s="4">
        <v>0</v>
      </c>
      <c r="M28" s="4">
        <v>0</v>
      </c>
    </row>
    <row r="29" spans="1:13">
      <c r="A29" s="29" t="s">
        <v>257</v>
      </c>
      <c r="B29" s="4">
        <v>7.1555068887394678E-5</v>
      </c>
      <c r="D29" s="4">
        <v>1.4669479562754204E-4</v>
      </c>
      <c r="E29" s="4">
        <v>0</v>
      </c>
      <c r="F29" s="4"/>
      <c r="G29" s="4">
        <v>0</v>
      </c>
      <c r="H29" s="4">
        <v>0</v>
      </c>
      <c r="I29" s="4">
        <v>0</v>
      </c>
      <c r="J29" s="4">
        <v>0</v>
      </c>
      <c r="K29" s="4">
        <v>0</v>
      </c>
      <c r="L29" s="4">
        <v>0</v>
      </c>
      <c r="M29" s="4">
        <v>3.5043744823204766E-4</v>
      </c>
    </row>
    <row r="30" spans="1:13">
      <c r="A30" s="29" t="s">
        <v>258</v>
      </c>
      <c r="B30" s="4">
        <v>0</v>
      </c>
      <c r="D30" s="4">
        <v>0</v>
      </c>
      <c r="E30" s="4">
        <v>0</v>
      </c>
      <c r="F30" s="4"/>
      <c r="G30" s="4">
        <v>0</v>
      </c>
      <c r="H30" s="4">
        <v>0</v>
      </c>
      <c r="I30" s="4">
        <v>0</v>
      </c>
      <c r="J30" s="4">
        <v>0</v>
      </c>
      <c r="K30" s="4">
        <v>0</v>
      </c>
      <c r="L30" s="4">
        <v>0</v>
      </c>
      <c r="M30" s="4">
        <v>0</v>
      </c>
    </row>
    <row r="31" spans="1:13">
      <c r="A31" s="29" t="s">
        <v>259</v>
      </c>
      <c r="B31" s="4">
        <v>2.900073383126799E-4</v>
      </c>
      <c r="D31" s="4">
        <v>5.9454302659137581E-4</v>
      </c>
      <c r="E31" s="4">
        <v>0</v>
      </c>
      <c r="F31" s="4"/>
      <c r="G31" s="4">
        <v>0</v>
      </c>
      <c r="H31" s="4">
        <v>0</v>
      </c>
      <c r="I31" s="4">
        <v>1.5831579552263518E-3</v>
      </c>
      <c r="J31" s="4">
        <v>0</v>
      </c>
      <c r="K31" s="4">
        <v>0</v>
      </c>
      <c r="L31" s="4">
        <v>0</v>
      </c>
      <c r="M31" s="4">
        <v>0</v>
      </c>
    </row>
    <row r="32" spans="1:13">
      <c r="A32" s="29" t="s">
        <v>260</v>
      </c>
      <c r="B32" s="4">
        <v>2.671122662743143E-4</v>
      </c>
      <c r="D32" s="4">
        <v>5.4760591974809599E-4</v>
      </c>
      <c r="E32" s="4">
        <v>0</v>
      </c>
      <c r="F32" s="4"/>
      <c r="G32" s="4">
        <v>0</v>
      </c>
      <c r="H32" s="4">
        <v>7.2333274366567779E-4</v>
      </c>
      <c r="I32" s="4">
        <v>4.704832187941918E-4</v>
      </c>
      <c r="J32" s="4">
        <v>0</v>
      </c>
      <c r="K32" s="4">
        <v>6.4058701286283111E-4</v>
      </c>
      <c r="L32" s="4">
        <v>0</v>
      </c>
      <c r="M32" s="4">
        <v>0</v>
      </c>
    </row>
    <row r="33" spans="1:13">
      <c r="A33" s="29" t="s">
        <v>261</v>
      </c>
      <c r="B33" s="4">
        <v>7.9513402945259829E-3</v>
      </c>
      <c r="D33" s="4">
        <v>1.0130393253769342E-2</v>
      </c>
      <c r="E33" s="4">
        <v>5.9541383243239127E-3</v>
      </c>
      <c r="F33" s="4"/>
      <c r="G33" s="4">
        <v>0</v>
      </c>
      <c r="H33" s="4">
        <v>0</v>
      </c>
      <c r="I33" s="4">
        <v>2.2576127463383323E-3</v>
      </c>
      <c r="J33" s="4">
        <v>3.7585329490176711E-3</v>
      </c>
      <c r="K33" s="4">
        <v>5.3740494183083347E-3</v>
      </c>
      <c r="L33" s="4">
        <v>1.109768676971667E-2</v>
      </c>
      <c r="M33" s="4">
        <v>2.2739878202877421E-2</v>
      </c>
    </row>
    <row r="34" spans="1:13">
      <c r="A34" s="29" t="s">
        <v>262</v>
      </c>
      <c r="B34" s="4">
        <v>1.0454707211552472E-2</v>
      </c>
      <c r="D34" s="4">
        <v>9.1464294669755669E-3</v>
      </c>
      <c r="E34" s="4">
        <v>1.1183066360188822E-2</v>
      </c>
      <c r="F34" s="4"/>
      <c r="G34" s="4">
        <v>2.2856141050460917E-2</v>
      </c>
      <c r="H34" s="4">
        <v>1.767351660663111E-2</v>
      </c>
      <c r="I34" s="4">
        <v>2.2538695942642763E-2</v>
      </c>
      <c r="J34" s="4">
        <v>1.1922722743604539E-2</v>
      </c>
      <c r="K34" s="4">
        <v>6.4365737517161998E-3</v>
      </c>
      <c r="L34" s="4">
        <v>1.9470369609066349E-3</v>
      </c>
      <c r="M34" s="4">
        <v>0</v>
      </c>
    </row>
    <row r="35" spans="1:13">
      <c r="A35" s="29" t="s">
        <v>263</v>
      </c>
      <c r="B35" s="4">
        <v>0</v>
      </c>
      <c r="D35" s="4">
        <v>0</v>
      </c>
      <c r="E35" s="4">
        <v>0</v>
      </c>
      <c r="F35" s="4"/>
      <c r="G35" s="4">
        <v>0</v>
      </c>
      <c r="H35" s="4">
        <v>0</v>
      </c>
      <c r="I35" s="4">
        <v>0</v>
      </c>
      <c r="J35" s="4">
        <v>0</v>
      </c>
      <c r="K35" s="4">
        <v>0</v>
      </c>
      <c r="L35" s="4">
        <v>0</v>
      </c>
      <c r="M35" s="4">
        <v>0</v>
      </c>
    </row>
    <row r="36" spans="1:13">
      <c r="A36" s="29" t="s">
        <v>264</v>
      </c>
      <c r="B36" s="4">
        <v>0.15980876402860747</v>
      </c>
      <c r="D36" s="4">
        <v>0.14742495800220992</v>
      </c>
      <c r="E36" s="4">
        <v>0.17204195358000521</v>
      </c>
      <c r="F36" s="4"/>
      <c r="G36" s="4">
        <v>0.18808034265963419</v>
      </c>
      <c r="H36" s="4">
        <v>0.14714297510498531</v>
      </c>
      <c r="I36" s="4">
        <v>0.19568560991655765</v>
      </c>
      <c r="J36" s="4">
        <v>0.17688565738453355</v>
      </c>
      <c r="K36" s="4">
        <v>0.17322402075265975</v>
      </c>
      <c r="L36" s="4">
        <v>0.16427935796873486</v>
      </c>
      <c r="M36" s="4">
        <v>0.10190553791221307</v>
      </c>
    </row>
    <row r="37" spans="1:13">
      <c r="A37" s="29" t="s">
        <v>265</v>
      </c>
      <c r="B37" s="4">
        <v>2.9936030894721719E-3</v>
      </c>
      <c r="D37" s="4">
        <v>3.8444246934698886E-3</v>
      </c>
      <c r="E37" s="4">
        <v>2.212314174738641E-3</v>
      </c>
      <c r="F37" s="4"/>
      <c r="G37" s="4">
        <v>0</v>
      </c>
      <c r="H37" s="4">
        <v>3.7358957533637099E-3</v>
      </c>
      <c r="I37" s="4">
        <v>6.8985961193312149E-3</v>
      </c>
      <c r="J37" s="4">
        <v>3.4122287579286259E-3</v>
      </c>
      <c r="K37" s="4">
        <v>3.0519764401691226E-3</v>
      </c>
      <c r="L37" s="4">
        <v>1.3543246119566521E-3</v>
      </c>
      <c r="M37" s="4">
        <v>3.1295302191146996E-4</v>
      </c>
    </row>
    <row r="38" spans="1:13">
      <c r="A38" s="29" t="s">
        <v>266</v>
      </c>
      <c r="B38" s="4">
        <v>8.6184442653277626E-5</v>
      </c>
      <c r="D38" s="4">
        <v>1.7668642344809994E-4</v>
      </c>
      <c r="E38" s="4">
        <v>0</v>
      </c>
      <c r="F38" s="4"/>
      <c r="G38" s="4">
        <v>0</v>
      </c>
      <c r="H38" s="4">
        <v>0</v>
      </c>
      <c r="I38" s="4">
        <v>4.704832187941918E-4</v>
      </c>
      <c r="J38" s="4">
        <v>0</v>
      </c>
      <c r="K38" s="4">
        <v>0</v>
      </c>
      <c r="L38" s="4">
        <v>0</v>
      </c>
      <c r="M38" s="4">
        <v>0</v>
      </c>
    </row>
    <row r="39" spans="1:13">
      <c r="A39" s="29" t="s">
        <v>267</v>
      </c>
      <c r="B39" s="4">
        <v>6.5938960758845427E-3</v>
      </c>
      <c r="D39" s="4">
        <v>6.6227579841419944E-3</v>
      </c>
      <c r="E39" s="4">
        <v>6.6534558611630245E-3</v>
      </c>
      <c r="F39" s="4"/>
      <c r="G39" s="4">
        <v>8.5649233273086423E-3</v>
      </c>
      <c r="H39" s="4">
        <v>2.9475388267323397E-3</v>
      </c>
      <c r="I39" s="4">
        <v>7.290925716052974E-3</v>
      </c>
      <c r="J39" s="4">
        <v>6.6648949307479763E-3</v>
      </c>
      <c r="K39" s="4">
        <v>9.9587929166114839E-3</v>
      </c>
      <c r="L39" s="4">
        <v>1.0195619561581807E-2</v>
      </c>
      <c r="M39" s="4">
        <v>2.8592165884016802E-3</v>
      </c>
    </row>
    <row r="40" spans="1:13">
      <c r="A40" s="29" t="s">
        <v>268</v>
      </c>
      <c r="B40" s="4">
        <v>6.855428684190278E-4</v>
      </c>
      <c r="D40" s="4">
        <v>1.8258944508609988E-4</v>
      </c>
      <c r="E40" s="4">
        <v>1.1799388334106866E-3</v>
      </c>
      <c r="F40" s="4"/>
      <c r="G40" s="4">
        <v>8.6169835626793978E-3</v>
      </c>
      <c r="H40" s="4">
        <v>7.6368908386258518E-4</v>
      </c>
      <c r="I40" s="4">
        <v>1.2886326479472233E-3</v>
      </c>
      <c r="J40" s="4">
        <v>0</v>
      </c>
      <c r="K40" s="4">
        <v>0</v>
      </c>
      <c r="L40" s="4">
        <v>0</v>
      </c>
      <c r="M40" s="4">
        <v>0</v>
      </c>
    </row>
    <row r="41" spans="1:13">
      <c r="A41" s="29" t="s">
        <v>269</v>
      </c>
      <c r="B41" s="4">
        <v>2.7415919787036055E-2</v>
      </c>
      <c r="D41" s="4">
        <v>4.7152212578203241E-2</v>
      </c>
      <c r="E41" s="4">
        <v>8.7354605405879013E-3</v>
      </c>
      <c r="F41" s="4"/>
      <c r="G41" s="4">
        <v>4.2504109404750814E-2</v>
      </c>
      <c r="H41" s="4">
        <v>5.5966719176848416E-2</v>
      </c>
      <c r="I41" s="4">
        <v>4.7244045218551654E-2</v>
      </c>
      <c r="J41" s="4">
        <v>3.5632906545686398E-2</v>
      </c>
      <c r="K41" s="4">
        <v>1.9257866351842116E-2</v>
      </c>
      <c r="L41" s="4">
        <v>6.9994998449908821E-3</v>
      </c>
      <c r="M41" s="4">
        <v>1.9896494620493862E-3</v>
      </c>
    </row>
    <row r="42" spans="1:13">
      <c r="A42" s="29" t="s">
        <v>270</v>
      </c>
      <c r="B42" s="4">
        <v>7.6457994427598904E-4</v>
      </c>
      <c r="D42" s="4">
        <v>2.5437244205106047E-4</v>
      </c>
      <c r="E42" s="4">
        <v>1.2670232149319378E-3</v>
      </c>
      <c r="F42" s="4"/>
      <c r="G42" s="4">
        <v>0</v>
      </c>
      <c r="H42" s="4">
        <v>0</v>
      </c>
      <c r="I42" s="4">
        <v>0</v>
      </c>
      <c r="J42" s="4">
        <v>5.4425798068224063E-4</v>
      </c>
      <c r="K42" s="4">
        <v>0</v>
      </c>
      <c r="L42" s="4">
        <v>6.0599768642562299E-4</v>
      </c>
      <c r="M42" s="4">
        <v>2.8960036990038469E-3</v>
      </c>
    </row>
    <row r="43" spans="1:13">
      <c r="A43" s="29" t="s">
        <v>271</v>
      </c>
      <c r="B43" s="4">
        <v>5.1268075534044522E-3</v>
      </c>
      <c r="D43" s="4">
        <v>3.8819539020127319E-3</v>
      </c>
      <c r="E43" s="4">
        <v>6.3959494464331437E-3</v>
      </c>
      <c r="F43" s="4"/>
      <c r="G43" s="4">
        <v>0</v>
      </c>
      <c r="H43" s="4">
        <v>3.660941784114879E-3</v>
      </c>
      <c r="I43" s="4">
        <v>9.1777029034535371E-3</v>
      </c>
      <c r="J43" s="4">
        <v>8.8534270694125925E-3</v>
      </c>
      <c r="K43" s="4">
        <v>5.6266304953080572E-3</v>
      </c>
      <c r="L43" s="4">
        <v>3.7046207584999916E-3</v>
      </c>
      <c r="M43" s="4">
        <v>7.3910915156414269E-4</v>
      </c>
    </row>
    <row r="44" spans="1:13">
      <c r="A44" s="29" t="s">
        <v>272</v>
      </c>
      <c r="B44" s="4">
        <v>9.2277316185537101E-5</v>
      </c>
      <c r="D44" s="4">
        <v>1.8917740209568976E-4</v>
      </c>
      <c r="E44" s="4">
        <v>0</v>
      </c>
      <c r="F44" s="4"/>
      <c r="G44" s="4">
        <v>0</v>
      </c>
      <c r="H44" s="4">
        <v>7.8429877213655706E-4</v>
      </c>
      <c r="I44" s="4">
        <v>0</v>
      </c>
      <c r="J44" s="4">
        <v>0</v>
      </c>
      <c r="K44" s="4">
        <v>0</v>
      </c>
      <c r="L44" s="4">
        <v>0</v>
      </c>
      <c r="M44" s="4">
        <v>0</v>
      </c>
    </row>
    <row r="45" spans="1:13">
      <c r="A45" s="29" t="s">
        <v>273</v>
      </c>
      <c r="B45" s="4">
        <v>8.7662781072888732E-2</v>
      </c>
      <c r="D45" s="4">
        <v>0.11356591840522128</v>
      </c>
      <c r="E45" s="4">
        <v>6.3201289463684002E-2</v>
      </c>
      <c r="F45" s="4"/>
      <c r="G45" s="4">
        <v>8.4963299388319827E-2</v>
      </c>
      <c r="H45" s="4">
        <v>6.022067522935471E-2</v>
      </c>
      <c r="I45" s="4">
        <v>7.3879581380054044E-2</v>
      </c>
      <c r="J45" s="4">
        <v>9.0574104248018927E-2</v>
      </c>
      <c r="K45" s="4">
        <v>0.12449077946823668</v>
      </c>
      <c r="L45" s="4">
        <v>0.13050802709853063</v>
      </c>
      <c r="M45" s="4">
        <v>5.9782982154257466E-2</v>
      </c>
    </row>
    <row r="46" spans="1:13">
      <c r="A46" s="29" t="s">
        <v>274</v>
      </c>
      <c r="B46" s="4">
        <v>1.0531325267373152E-2</v>
      </c>
      <c r="D46" s="4">
        <v>3.0997575531962742E-3</v>
      </c>
      <c r="E46" s="4">
        <v>1.7841776049168874E-2</v>
      </c>
      <c r="F46" s="4"/>
      <c r="G46" s="4">
        <v>4.474574323825007E-2</v>
      </c>
      <c r="H46" s="4">
        <v>2.1931045291413442E-2</v>
      </c>
      <c r="I46" s="4">
        <v>9.1072457866415938E-3</v>
      </c>
      <c r="J46" s="4">
        <v>1.0445421772136861E-2</v>
      </c>
      <c r="K46" s="4">
        <v>7.0063848534239435E-3</v>
      </c>
      <c r="L46" s="4">
        <v>4.7344013437162526E-3</v>
      </c>
      <c r="M46" s="4">
        <v>4.575158514227763E-3</v>
      </c>
    </row>
    <row r="47" spans="1:13">
      <c r="A47" s="29" t="s">
        <v>275</v>
      </c>
      <c r="B47" s="4">
        <v>1.8631095117178222E-2</v>
      </c>
      <c r="D47" s="4">
        <v>3.6196456278272471E-3</v>
      </c>
      <c r="E47" s="4">
        <v>3.2554227869165314E-2</v>
      </c>
      <c r="F47" s="4"/>
      <c r="G47" s="4">
        <v>2.4016761887677086E-2</v>
      </c>
      <c r="H47" s="4">
        <v>3.0035702816244774E-2</v>
      </c>
      <c r="I47" s="4">
        <v>1.898182871035627E-2</v>
      </c>
      <c r="J47" s="4">
        <v>1.6531897266336644E-2</v>
      </c>
      <c r="K47" s="4">
        <v>1.4876312341480321E-2</v>
      </c>
      <c r="L47" s="4">
        <v>1.500104320741351E-2</v>
      </c>
      <c r="M47" s="4">
        <v>1.7486480049259866E-2</v>
      </c>
    </row>
    <row r="48" spans="1:13">
      <c r="A48" s="29" t="s">
        <v>276</v>
      </c>
      <c r="B48" s="4">
        <v>1.3404768635369719E-3</v>
      </c>
      <c r="D48" s="4">
        <v>1.9229505696272691E-3</v>
      </c>
      <c r="E48" s="4">
        <v>7.9620747255630859E-4</v>
      </c>
      <c r="F48" s="4"/>
      <c r="G48" s="4">
        <v>0</v>
      </c>
      <c r="H48" s="4">
        <v>7.2333274366567779E-4</v>
      </c>
      <c r="I48" s="4">
        <v>2.302504744532361E-3</v>
      </c>
      <c r="J48" s="4">
        <v>1.53225830801333E-3</v>
      </c>
      <c r="K48" s="4">
        <v>1.2545545838556125E-3</v>
      </c>
      <c r="L48" s="4">
        <v>1.9538356772515414E-3</v>
      </c>
      <c r="M48" s="4">
        <v>6.176689040532674E-4</v>
      </c>
    </row>
    <row r="49" spans="1:13">
      <c r="A49" s="29" t="s">
        <v>277</v>
      </c>
      <c r="B49" s="4">
        <v>5.4785980778772011E-4</v>
      </c>
      <c r="D49" s="4">
        <v>9.4294155644467233E-4</v>
      </c>
      <c r="E49" s="4">
        <v>1.7390113670232065E-4</v>
      </c>
      <c r="F49" s="4"/>
      <c r="G49" s="4">
        <v>0</v>
      </c>
      <c r="H49" s="4">
        <v>1.541137974214229E-3</v>
      </c>
      <c r="I49" s="4">
        <v>1.5210268518549843E-3</v>
      </c>
      <c r="J49" s="4">
        <v>0</v>
      </c>
      <c r="K49" s="4">
        <v>5.8768437191303541E-4</v>
      </c>
      <c r="L49" s="4">
        <v>0</v>
      </c>
      <c r="M49" s="4">
        <v>0</v>
      </c>
    </row>
    <row r="50" spans="1:13">
      <c r="A50" s="29" t="s">
        <v>278</v>
      </c>
      <c r="B50" s="4">
        <v>6.1919416221565757E-4</v>
      </c>
      <c r="D50" s="4">
        <v>7.5720350338886935E-4</v>
      </c>
      <c r="E50" s="4">
        <v>4.9423466787745774E-4</v>
      </c>
      <c r="F50" s="4"/>
      <c r="G50" s="4">
        <v>0</v>
      </c>
      <c r="H50" s="4">
        <v>0</v>
      </c>
      <c r="I50" s="4">
        <v>1.3149915503862923E-3</v>
      </c>
      <c r="J50" s="4">
        <v>1.7069438728060981E-3</v>
      </c>
      <c r="K50" s="4">
        <v>0</v>
      </c>
      <c r="L50" s="4">
        <v>6.2467345166406071E-4</v>
      </c>
      <c r="M50" s="4">
        <v>0</v>
      </c>
    </row>
    <row r="51" spans="1:13">
      <c r="A51" s="29" t="s">
        <v>279</v>
      </c>
      <c r="B51" s="4">
        <v>2.1617194620110651E-4</v>
      </c>
      <c r="D51" s="4">
        <v>3.2665840713717604E-4</v>
      </c>
      <c r="E51" s="4">
        <v>1.124272599634205E-4</v>
      </c>
      <c r="F51" s="4"/>
      <c r="G51" s="4">
        <v>0</v>
      </c>
      <c r="H51" s="4">
        <v>0</v>
      </c>
      <c r="I51" s="4">
        <v>0</v>
      </c>
      <c r="J51" s="4">
        <v>5.4757868092987494E-4</v>
      </c>
      <c r="K51" s="4">
        <v>0</v>
      </c>
      <c r="L51" s="4">
        <v>0</v>
      </c>
      <c r="M51" s="4">
        <v>5.9129417570454013E-4</v>
      </c>
    </row>
    <row r="52" spans="1:13">
      <c r="A52" s="29" t="s">
        <v>280</v>
      </c>
      <c r="B52" s="4">
        <v>1.5831609251079257E-4</v>
      </c>
      <c r="D52" s="4">
        <v>1.7668642344809994E-4</v>
      </c>
      <c r="E52" s="4">
        <v>1.4268889480600208E-4</v>
      </c>
      <c r="F52" s="4"/>
      <c r="G52" s="4">
        <v>0</v>
      </c>
      <c r="H52" s="4">
        <v>0</v>
      </c>
      <c r="I52" s="4">
        <v>8.6425185913253726E-4</v>
      </c>
      <c r="J52" s="4">
        <v>0</v>
      </c>
      <c r="K52" s="4">
        <v>0</v>
      </c>
      <c r="L52" s="4">
        <v>0</v>
      </c>
      <c r="M52" s="4">
        <v>0</v>
      </c>
    </row>
    <row r="53" spans="1:13">
      <c r="A53" s="29" t="s">
        <v>281</v>
      </c>
      <c r="B53" s="4">
        <v>4.9235062999001536E-3</v>
      </c>
      <c r="D53" s="4">
        <v>1.9456406528826149E-3</v>
      </c>
      <c r="E53" s="4">
        <v>7.6726106307324739E-3</v>
      </c>
      <c r="F53" s="4"/>
      <c r="G53" s="4">
        <v>8.2526683162402401E-3</v>
      </c>
      <c r="H53" s="4">
        <v>3.6124135400134568E-3</v>
      </c>
      <c r="I53" s="4">
        <v>9.2768844622064892E-3</v>
      </c>
      <c r="J53" s="4">
        <v>5.8028687326500249E-3</v>
      </c>
      <c r="K53" s="4">
        <v>4.8601876424330835E-3</v>
      </c>
      <c r="L53" s="4">
        <v>3.581736677093347E-3</v>
      </c>
      <c r="M53" s="4">
        <v>1.2388189065566169E-3</v>
      </c>
    </row>
    <row r="54" spans="1:13">
      <c r="A54" s="29" t="s">
        <v>282</v>
      </c>
      <c r="B54" s="4">
        <v>2.1980087126499425E-3</v>
      </c>
      <c r="D54" s="4">
        <v>3.1986257073233055E-3</v>
      </c>
      <c r="E54" s="4">
        <v>1.0569021742599218E-3</v>
      </c>
      <c r="F54" s="4"/>
      <c r="G54" s="4">
        <v>0</v>
      </c>
      <c r="H54" s="4">
        <v>5.0983383697271126E-3</v>
      </c>
      <c r="I54" s="4">
        <v>4.1300700128806024E-3</v>
      </c>
      <c r="J54" s="4">
        <v>4.5146317784377481E-3</v>
      </c>
      <c r="K54" s="4">
        <v>0</v>
      </c>
      <c r="L54" s="4">
        <v>0</v>
      </c>
      <c r="M54" s="4">
        <v>2.6814357674037267E-4</v>
      </c>
    </row>
    <row r="55" spans="1:13">
      <c r="A55" s="29" t="s">
        <v>283</v>
      </c>
      <c r="B55" s="4">
        <v>7.315976080423856E-4</v>
      </c>
      <c r="D55" s="4">
        <v>7.4614991948221464E-4</v>
      </c>
      <c r="E55" s="4">
        <v>7.2725394137725162E-4</v>
      </c>
      <c r="F55" s="4"/>
      <c r="G55" s="4">
        <v>0</v>
      </c>
      <c r="H55" s="4">
        <v>2.4347002042784081E-3</v>
      </c>
      <c r="I55" s="4">
        <v>3.9376864033834557E-4</v>
      </c>
      <c r="J55" s="4">
        <v>1.1191320909224145E-3</v>
      </c>
      <c r="K55" s="4">
        <v>0</v>
      </c>
      <c r="L55" s="4">
        <v>0</v>
      </c>
      <c r="M55" s="4">
        <v>8.7153598167506025E-4</v>
      </c>
    </row>
    <row r="56" spans="1:13">
      <c r="A56" s="29" t="s">
        <v>284</v>
      </c>
      <c r="B56" s="4">
        <v>8.1878214247698838E-3</v>
      </c>
      <c r="D56" s="4">
        <v>1.4052012670161785E-2</v>
      </c>
      <c r="E56" s="4">
        <v>2.6379012908076833E-3</v>
      </c>
      <c r="F56" s="4"/>
      <c r="G56" s="4">
        <v>1.2888434563659124E-2</v>
      </c>
      <c r="H56" s="4">
        <v>3.8552264281637317E-3</v>
      </c>
      <c r="I56" s="4">
        <v>3.9989308588361831E-3</v>
      </c>
      <c r="J56" s="4">
        <v>6.8103883466977995E-3</v>
      </c>
      <c r="K56" s="4">
        <v>1.0446213088416407E-2</v>
      </c>
      <c r="L56" s="4">
        <v>1.1641923067929843E-2</v>
      </c>
      <c r="M56" s="4">
        <v>1.0814424546868135E-2</v>
      </c>
    </row>
    <row r="57" spans="1:13">
      <c r="A57" s="29" t="s">
        <v>285</v>
      </c>
      <c r="B57" s="4">
        <v>0.31876408194259331</v>
      </c>
      <c r="D57" s="4">
        <v>0.30871824788463292</v>
      </c>
      <c r="E57" s="4">
        <v>0.32979427689157348</v>
      </c>
      <c r="F57" s="4"/>
      <c r="G57" s="4">
        <v>0.27551601537378989</v>
      </c>
      <c r="H57" s="4">
        <v>0.39374263364088891</v>
      </c>
      <c r="I57" s="4">
        <v>0.38712294245699685</v>
      </c>
      <c r="J57" s="4">
        <v>0.32822773787406984</v>
      </c>
      <c r="K57" s="4">
        <v>0.30172790889040874</v>
      </c>
      <c r="L57" s="4">
        <v>0.28887384606357097</v>
      </c>
      <c r="M57" s="4">
        <v>0.24641303021234859</v>
      </c>
    </row>
    <row r="58" spans="1:13">
      <c r="A58" s="29" t="s">
        <v>286</v>
      </c>
      <c r="B58" s="4">
        <v>0</v>
      </c>
      <c r="D58" s="4">
        <v>0</v>
      </c>
      <c r="E58" s="4">
        <v>0</v>
      </c>
      <c r="F58" s="4"/>
      <c r="G58" s="4">
        <v>0</v>
      </c>
      <c r="H58" s="4">
        <v>0</v>
      </c>
      <c r="I58" s="4">
        <v>0</v>
      </c>
      <c r="J58" s="4">
        <v>0</v>
      </c>
      <c r="K58" s="4">
        <v>0</v>
      </c>
      <c r="L58" s="4">
        <v>0</v>
      </c>
      <c r="M58" s="4">
        <v>0</v>
      </c>
    </row>
    <row r="59" spans="1:13">
      <c r="A59" s="29" t="s">
        <v>287</v>
      </c>
      <c r="B59" s="4">
        <v>1.7550451297400199E-3</v>
      </c>
      <c r="D59" s="4">
        <v>2.3918953398646822E-3</v>
      </c>
      <c r="E59" s="4">
        <v>9.9752827216774875E-4</v>
      </c>
      <c r="F59" s="4"/>
      <c r="G59" s="4">
        <v>0</v>
      </c>
      <c r="H59" s="4">
        <v>3.0556153838293158E-3</v>
      </c>
      <c r="I59" s="4">
        <v>3.3985771952808118E-3</v>
      </c>
      <c r="J59" s="4">
        <v>2.6932431211747899E-3</v>
      </c>
      <c r="K59" s="4">
        <v>6.2779369106754951E-4</v>
      </c>
      <c r="L59" s="4">
        <v>1.1974885440706534E-3</v>
      </c>
      <c r="M59" s="4">
        <v>2.6814357674037267E-4</v>
      </c>
    </row>
    <row r="60" spans="1:13">
      <c r="A60" s="29" t="s">
        <v>288</v>
      </c>
      <c r="B60" s="4">
        <v>4.9412609707894226E-2</v>
      </c>
      <c r="D60" s="4">
        <v>7.7199093904270072E-2</v>
      </c>
      <c r="E60" s="4">
        <v>2.3076346933503869E-2</v>
      </c>
      <c r="F60" s="4"/>
      <c r="G60" s="4">
        <v>0.14806607303408845</v>
      </c>
      <c r="H60" s="4">
        <v>0.10968902548288585</v>
      </c>
      <c r="I60" s="4">
        <v>7.966649224110342E-2</v>
      </c>
      <c r="J60" s="4">
        <v>5.563710428096217E-2</v>
      </c>
      <c r="K60" s="4">
        <v>3.1950586764892805E-2</v>
      </c>
      <c r="L60" s="4">
        <v>8.6742632490045702E-3</v>
      </c>
      <c r="M60" s="4">
        <v>6.6339047014351768E-4</v>
      </c>
    </row>
    <row r="61" spans="1:13">
      <c r="A61" s="29" t="s">
        <v>289</v>
      </c>
      <c r="B61" s="4">
        <v>7.4740097667333493E-4</v>
      </c>
      <c r="D61" s="4">
        <v>1.3154897738855136E-3</v>
      </c>
      <c r="E61" s="4">
        <v>2.0914997610776929E-4</v>
      </c>
      <c r="F61" s="4"/>
      <c r="G61" s="4">
        <v>0</v>
      </c>
      <c r="H61" s="4">
        <v>7.8429877213655706E-4</v>
      </c>
      <c r="I61" s="4">
        <v>3.0660914254220691E-3</v>
      </c>
      <c r="J61" s="4">
        <v>0</v>
      </c>
      <c r="K61" s="4">
        <v>6.2484281510760437E-4</v>
      </c>
      <c r="L61" s="4">
        <v>0</v>
      </c>
      <c r="M61" s="4">
        <v>0</v>
      </c>
    </row>
    <row r="62" spans="1:13">
      <c r="A62" s="29" t="s">
        <v>290</v>
      </c>
      <c r="B62" s="4">
        <v>4.2531984484578877E-4</v>
      </c>
      <c r="D62" s="4">
        <v>3.5245294518983884E-4</v>
      </c>
      <c r="E62" s="4">
        <v>5.0126843160691354E-4</v>
      </c>
      <c r="F62" s="4"/>
      <c r="G62" s="4">
        <v>0</v>
      </c>
      <c r="H62" s="4">
        <v>0</v>
      </c>
      <c r="I62" s="4">
        <v>0</v>
      </c>
      <c r="J62" s="4">
        <v>5.1940022840111838E-4</v>
      </c>
      <c r="K62" s="4">
        <v>5.8140327249931259E-4</v>
      </c>
      <c r="L62" s="4">
        <v>1.915738490716815E-3</v>
      </c>
      <c r="M62" s="4">
        <v>0</v>
      </c>
    </row>
    <row r="63" spans="1:13">
      <c r="A63" s="29" t="s">
        <v>291</v>
      </c>
      <c r="B63" s="4">
        <v>5.014133746577454E-4</v>
      </c>
      <c r="D63" s="4">
        <v>1.0279457998438419E-3</v>
      </c>
      <c r="E63" s="4">
        <v>0</v>
      </c>
      <c r="F63" s="4"/>
      <c r="G63" s="4">
        <v>7.006016076156669E-3</v>
      </c>
      <c r="H63" s="4">
        <v>0</v>
      </c>
      <c r="I63" s="4">
        <v>5.4187989896278767E-4</v>
      </c>
      <c r="J63" s="4">
        <v>6.2970150439650078E-4</v>
      </c>
      <c r="K63" s="4">
        <v>0</v>
      </c>
      <c r="L63" s="4">
        <v>0</v>
      </c>
      <c r="M63" s="4">
        <v>0</v>
      </c>
    </row>
    <row r="64" spans="1:13">
      <c r="A64" s="29" t="s">
        <v>292</v>
      </c>
      <c r="B64" s="4">
        <v>5.0446645875008203E-2</v>
      </c>
      <c r="D64" s="4">
        <v>8.3079651013411068E-2</v>
      </c>
      <c r="E64" s="4">
        <v>1.9487336174143523E-2</v>
      </c>
      <c r="F64" s="4"/>
      <c r="G64" s="4">
        <v>1.4128243441580821E-2</v>
      </c>
      <c r="H64" s="4">
        <v>3.713277913915948E-2</v>
      </c>
      <c r="I64" s="4">
        <v>3.4604630188677876E-2</v>
      </c>
      <c r="J64" s="4">
        <v>3.598494726530331E-2</v>
      </c>
      <c r="K64" s="4">
        <v>4.725184687470832E-2</v>
      </c>
      <c r="L64" s="4">
        <v>8.1591439945504288E-2</v>
      </c>
      <c r="M64" s="4">
        <v>7.4707001599745609E-2</v>
      </c>
    </row>
    <row r="65" spans="1:13">
      <c r="A65" s="29" t="s">
        <v>293</v>
      </c>
      <c r="B65" s="4">
        <v>1.6235497439404684E-4</v>
      </c>
      <c r="D65" s="4">
        <v>1.7447204325546877E-4</v>
      </c>
      <c r="E65" s="4">
        <v>1.5281519593295825E-4</v>
      </c>
      <c r="F65" s="4"/>
      <c r="G65" s="4">
        <v>0</v>
      </c>
      <c r="H65" s="4">
        <v>7.2333274366567779E-4</v>
      </c>
      <c r="I65" s="4">
        <v>4.2171349078966785E-4</v>
      </c>
      <c r="J65" s="4">
        <v>0</v>
      </c>
      <c r="K65" s="4">
        <v>0</v>
      </c>
      <c r="L65" s="4">
        <v>0</v>
      </c>
      <c r="M65" s="4">
        <v>0</v>
      </c>
    </row>
    <row r="66" spans="1:13">
      <c r="A66" s="29" t="s">
        <v>294</v>
      </c>
      <c r="B66" s="4">
        <v>0</v>
      </c>
      <c r="D66" s="4">
        <v>0</v>
      </c>
      <c r="E66" s="4">
        <v>0</v>
      </c>
      <c r="F66" s="4"/>
      <c r="G66" s="4">
        <v>0</v>
      </c>
      <c r="H66" s="4">
        <v>0</v>
      </c>
      <c r="I66" s="4">
        <v>0</v>
      </c>
      <c r="J66" s="4">
        <v>0</v>
      </c>
      <c r="K66" s="4">
        <v>0</v>
      </c>
      <c r="L66" s="4">
        <v>0</v>
      </c>
      <c r="M66" s="4">
        <v>0</v>
      </c>
    </row>
    <row r="67" spans="1:13">
      <c r="A67" s="29" t="s">
        <v>295</v>
      </c>
      <c r="B67" s="4">
        <v>6.7495120727221703E-3</v>
      </c>
      <c r="D67" s="4">
        <v>2.4039205612967265E-3</v>
      </c>
      <c r="E67" s="4">
        <v>1.086234328000826E-2</v>
      </c>
      <c r="F67" s="4"/>
      <c r="G67" s="4">
        <v>2.9335145835518456E-2</v>
      </c>
      <c r="H67" s="4">
        <v>1.2474305033587541E-2</v>
      </c>
      <c r="I67" s="4">
        <v>9.6788733250049216E-3</v>
      </c>
      <c r="J67" s="4">
        <v>6.5860430601740617E-3</v>
      </c>
      <c r="K67" s="4">
        <v>3.785732293148502E-3</v>
      </c>
      <c r="L67" s="4">
        <v>2.4944232858124349E-3</v>
      </c>
      <c r="M67" s="4">
        <v>1.2129029942258916E-3</v>
      </c>
    </row>
    <row r="68" spans="1:13">
      <c r="A68" s="29" t="s">
        <v>296</v>
      </c>
      <c r="B68" s="4">
        <v>5.4544452244840471E-4</v>
      </c>
      <c r="D68" s="4">
        <v>1.1182139014169329E-3</v>
      </c>
      <c r="E68" s="4">
        <v>0</v>
      </c>
      <c r="F68" s="4"/>
      <c r="G68" s="4">
        <v>0</v>
      </c>
      <c r="H68" s="4">
        <v>1.6029747390787035E-3</v>
      </c>
      <c r="I68" s="4">
        <v>1.4754226909517009E-3</v>
      </c>
      <c r="J68" s="4">
        <v>0</v>
      </c>
      <c r="K68" s="4">
        <v>5.7874748871613116E-4</v>
      </c>
      <c r="L68" s="4">
        <v>0</v>
      </c>
      <c r="M68" s="4">
        <v>0</v>
      </c>
    </row>
    <row r="69" spans="1:13">
      <c r="A69" s="29" t="s">
        <v>297</v>
      </c>
      <c r="B69" s="4">
        <v>3.8015267767569722E-4</v>
      </c>
      <c r="D69" s="4">
        <v>5.7941170561775352E-4</v>
      </c>
      <c r="E69" s="4">
        <v>1.929235626237226E-4</v>
      </c>
      <c r="F69" s="4"/>
      <c r="G69" s="4">
        <v>0</v>
      </c>
      <c r="H69" s="4">
        <v>0</v>
      </c>
      <c r="I69" s="4">
        <v>0</v>
      </c>
      <c r="J69" s="4">
        <v>1.0925504331885637E-3</v>
      </c>
      <c r="K69" s="4">
        <v>1.2683807039303805E-3</v>
      </c>
      <c r="L69" s="4">
        <v>0</v>
      </c>
      <c r="M69" s="4">
        <v>0</v>
      </c>
    </row>
    <row r="70" spans="1:13">
      <c r="A70" s="29" t="s">
        <v>298</v>
      </c>
      <c r="B70" s="4">
        <v>3.8372507908715028E-3</v>
      </c>
      <c r="D70" s="4">
        <v>3.6564494060532175E-3</v>
      </c>
      <c r="E70" s="4">
        <v>4.0625759971802799E-3</v>
      </c>
      <c r="F70" s="4"/>
      <c r="G70" s="4">
        <v>6.9963920420902121E-3</v>
      </c>
      <c r="H70" s="4">
        <v>7.9867637109442332E-3</v>
      </c>
      <c r="I70" s="4">
        <v>3.0074497633327227E-3</v>
      </c>
      <c r="J70" s="4">
        <v>5.8556607954458797E-3</v>
      </c>
      <c r="K70" s="4">
        <v>2.8193380752958106E-3</v>
      </c>
      <c r="L70" s="4">
        <v>4.2468002867009826E-3</v>
      </c>
      <c r="M70" s="4">
        <v>3.0835473895659459E-4</v>
      </c>
    </row>
    <row r="71" spans="1:13">
      <c r="A71" s="29" t="s">
        <v>299</v>
      </c>
      <c r="B71" s="4">
        <v>5.9364688769582904E-4</v>
      </c>
      <c r="D71" s="4">
        <v>8.6376366314471029E-4</v>
      </c>
      <c r="E71" s="4">
        <v>3.4087601366673804E-4</v>
      </c>
      <c r="F71" s="4"/>
      <c r="G71" s="4">
        <v>0</v>
      </c>
      <c r="H71" s="4">
        <v>0</v>
      </c>
      <c r="I71" s="4">
        <v>1.2916857901453035E-3</v>
      </c>
      <c r="J71" s="4">
        <v>1.0560663411472893E-3</v>
      </c>
      <c r="K71" s="4">
        <v>1.1563277841689769E-3</v>
      </c>
      <c r="L71" s="4">
        <v>0</v>
      </c>
      <c r="M71" s="4">
        <v>0</v>
      </c>
    </row>
    <row r="72" spans="1:13">
      <c r="A72" s="29" t="s">
        <v>300</v>
      </c>
      <c r="B72" s="4">
        <v>6.1208115564448677E-4</v>
      </c>
      <c r="D72" s="4">
        <v>9.2976990015119197E-4</v>
      </c>
      <c r="E72" s="4">
        <v>3.1365164076956541E-4</v>
      </c>
      <c r="F72" s="4"/>
      <c r="G72" s="4">
        <v>0</v>
      </c>
      <c r="H72" s="4">
        <v>2.2354609104782122E-3</v>
      </c>
      <c r="I72" s="4">
        <v>0</v>
      </c>
      <c r="J72" s="4">
        <v>1.0930702303763181E-3</v>
      </c>
      <c r="K72" s="4">
        <v>5.2371083420914332E-4</v>
      </c>
      <c r="L72" s="4">
        <v>6.2008820401211252E-4</v>
      </c>
      <c r="M72" s="4">
        <v>0</v>
      </c>
    </row>
    <row r="73" spans="1:13">
      <c r="A73" s="29" t="s">
        <v>301</v>
      </c>
      <c r="B73" s="4">
        <v>1.6891431729907635E-4</v>
      </c>
      <c r="D73" s="4">
        <v>0</v>
      </c>
      <c r="E73" s="4">
        <v>3.341417713295865E-4</v>
      </c>
      <c r="F73" s="4"/>
      <c r="G73" s="4">
        <v>0</v>
      </c>
      <c r="H73" s="4">
        <v>7.6368908386258518E-4</v>
      </c>
      <c r="I73" s="4">
        <v>0</v>
      </c>
      <c r="J73" s="4">
        <v>0</v>
      </c>
      <c r="K73" s="4">
        <v>5.2853409310142738E-4</v>
      </c>
      <c r="L73" s="4">
        <v>0</v>
      </c>
      <c r="M73" s="4">
        <v>0</v>
      </c>
    </row>
    <row r="74" spans="1:13">
      <c r="A74" s="29" t="s">
        <v>302</v>
      </c>
      <c r="B74" s="4">
        <v>9.1046453184518762E-4</v>
      </c>
      <c r="D74" s="4">
        <v>3.8735570431158809E-4</v>
      </c>
      <c r="E74" s="4">
        <v>1.4272903679959886E-3</v>
      </c>
      <c r="F74" s="4"/>
      <c r="G74" s="4">
        <v>0</v>
      </c>
      <c r="H74" s="4">
        <v>3.1012371754337879E-3</v>
      </c>
      <c r="I74" s="4">
        <v>3.9252730501832732E-4</v>
      </c>
      <c r="J74" s="4">
        <v>2.2634064318045447E-3</v>
      </c>
      <c r="K74" s="4">
        <v>0</v>
      </c>
      <c r="L74" s="4">
        <v>6.1219794353848441E-4</v>
      </c>
      <c r="M74" s="4">
        <v>0</v>
      </c>
    </row>
    <row r="75" spans="1:13">
      <c r="A75" s="29" t="s">
        <v>303</v>
      </c>
      <c r="B75" s="4">
        <v>8.0323768577068692E-4</v>
      </c>
      <c r="D75" s="4">
        <v>1.1038958935879794E-3</v>
      </c>
      <c r="E75" s="4">
        <v>3.3421970298141431E-4</v>
      </c>
      <c r="F75" s="4"/>
      <c r="G75" s="4">
        <v>0</v>
      </c>
      <c r="H75" s="4">
        <v>0</v>
      </c>
      <c r="I75" s="4">
        <v>1.9683065960583784E-3</v>
      </c>
      <c r="J75" s="4">
        <v>6.7966503432575055E-4</v>
      </c>
      <c r="K75" s="4">
        <v>1.2259946273100132E-3</v>
      </c>
      <c r="L75" s="4">
        <v>6.0629722366160963E-4</v>
      </c>
      <c r="M75" s="4">
        <v>3.0557625891603125E-4</v>
      </c>
    </row>
    <row r="76" spans="1:13">
      <c r="A76" s="29" t="s">
        <v>304</v>
      </c>
      <c r="B76" s="4">
        <v>2.3154410647390983E-4</v>
      </c>
      <c r="D76" s="4">
        <v>4.7468776015580961E-4</v>
      </c>
      <c r="E76" s="4">
        <v>0</v>
      </c>
      <c r="F76" s="4"/>
      <c r="G76" s="4">
        <v>0</v>
      </c>
      <c r="H76" s="4">
        <v>7.2945670651302036E-4</v>
      </c>
      <c r="I76" s="4">
        <v>4.3285596344366225E-4</v>
      </c>
      <c r="J76" s="4">
        <v>0</v>
      </c>
      <c r="K76" s="4">
        <v>0</v>
      </c>
      <c r="L76" s="4">
        <v>0</v>
      </c>
      <c r="M76" s="4">
        <v>3.2532544346916857E-4</v>
      </c>
    </row>
    <row r="77" spans="1:13">
      <c r="A77" s="29" t="s">
        <v>305</v>
      </c>
      <c r="B77" s="4">
        <v>1.4817148880706889E-3</v>
      </c>
      <c r="D77" s="4">
        <v>2.3459106313415512E-3</v>
      </c>
      <c r="E77" s="4">
        <v>6.674793448642228E-4</v>
      </c>
      <c r="F77" s="4"/>
      <c r="G77" s="4">
        <v>0</v>
      </c>
      <c r="H77" s="4">
        <v>1.7565310421110291E-3</v>
      </c>
      <c r="I77" s="4">
        <v>4.4900063670434741E-3</v>
      </c>
      <c r="J77" s="4">
        <v>1.0882924370691791E-3</v>
      </c>
      <c r="K77" s="4">
        <v>1.7573682657828439E-3</v>
      </c>
      <c r="L77" s="4">
        <v>0</v>
      </c>
      <c r="M77" s="4">
        <v>0</v>
      </c>
    </row>
    <row r="78" spans="1:13">
      <c r="A78" s="29" t="s">
        <v>306</v>
      </c>
      <c r="B78" s="4">
        <v>1.8867947790115085E-3</v>
      </c>
      <c r="D78" s="4">
        <v>2.0616277195367573E-3</v>
      </c>
      <c r="E78" s="4">
        <v>1.5677565281290138E-3</v>
      </c>
      <c r="F78" s="4"/>
      <c r="G78" s="4">
        <v>0</v>
      </c>
      <c r="H78" s="4">
        <v>5.3180922741718891E-3</v>
      </c>
      <c r="I78" s="4">
        <v>9.13198603654913E-4</v>
      </c>
      <c r="J78" s="4">
        <v>1.6201758447653147E-3</v>
      </c>
      <c r="K78" s="4">
        <v>2.9766595165795448E-3</v>
      </c>
      <c r="L78" s="4">
        <v>1.9132883678725215E-3</v>
      </c>
      <c r="M78" s="4">
        <v>5.8109659865184253E-4</v>
      </c>
    </row>
    <row r="79" spans="1:13">
      <c r="A79" s="29" t="s">
        <v>307</v>
      </c>
      <c r="B79" s="4">
        <v>3.7862691102106448E-4</v>
      </c>
      <c r="D79" s="4">
        <v>5.7311214610566714E-4</v>
      </c>
      <c r="E79" s="4">
        <v>1.9598388469574328E-4</v>
      </c>
      <c r="F79" s="4"/>
      <c r="G79" s="4">
        <v>0</v>
      </c>
      <c r="H79" s="4">
        <v>7.8429877213655706E-4</v>
      </c>
      <c r="I79" s="4">
        <v>1.0113263440408508E-3</v>
      </c>
      <c r="J79" s="4">
        <v>0</v>
      </c>
      <c r="K79" s="4">
        <v>6.758070951394812E-4</v>
      </c>
      <c r="L79" s="4">
        <v>0</v>
      </c>
      <c r="M79" s="4">
        <v>0</v>
      </c>
    </row>
    <row r="80" spans="1:13">
      <c r="A80" s="29" t="s">
        <v>308</v>
      </c>
      <c r="B80" s="4">
        <v>1.6547273344437891E-4</v>
      </c>
      <c r="D80" s="4">
        <v>3.3923507016328329E-4</v>
      </c>
      <c r="E80" s="4">
        <v>0</v>
      </c>
      <c r="F80" s="4"/>
      <c r="G80" s="4">
        <v>0</v>
      </c>
      <c r="H80" s="4">
        <v>0</v>
      </c>
      <c r="I80" s="4">
        <v>0</v>
      </c>
      <c r="J80" s="4">
        <v>0</v>
      </c>
      <c r="K80" s="4">
        <v>0</v>
      </c>
      <c r="L80" s="4">
        <v>1.2791447405979079E-3</v>
      </c>
      <c r="M80" s="4">
        <v>0</v>
      </c>
    </row>
    <row r="81" spans="1:13">
      <c r="A81" s="29" t="s">
        <v>309</v>
      </c>
      <c r="B81" s="4">
        <v>9.9073168713016734E-5</v>
      </c>
      <c r="D81" s="4">
        <v>0</v>
      </c>
      <c r="E81" s="4">
        <v>1.9598388469574328E-4</v>
      </c>
      <c r="F81" s="4"/>
      <c r="G81" s="4">
        <v>0</v>
      </c>
      <c r="H81" s="4">
        <v>0</v>
      </c>
      <c r="I81" s="4">
        <v>5.4084312524665902E-4</v>
      </c>
      <c r="J81" s="4">
        <v>0</v>
      </c>
      <c r="K81" s="4">
        <v>0</v>
      </c>
      <c r="L81" s="4">
        <v>0</v>
      </c>
      <c r="M81" s="4">
        <v>0</v>
      </c>
    </row>
    <row r="82" spans="1:13">
      <c r="A82" s="29" t="s">
        <v>310</v>
      </c>
      <c r="B82" s="4">
        <v>8.4054416896149999E-5</v>
      </c>
      <c r="D82" s="4">
        <v>0</v>
      </c>
      <c r="E82" s="4">
        <v>1.662741927318476E-4</v>
      </c>
      <c r="F82" s="4"/>
      <c r="G82" s="4">
        <v>0</v>
      </c>
      <c r="H82" s="4">
        <v>7.14409333619492E-4</v>
      </c>
      <c r="I82" s="4">
        <v>0</v>
      </c>
      <c r="J82" s="4">
        <v>0</v>
      </c>
      <c r="K82" s="4">
        <v>0</v>
      </c>
      <c r="L82" s="4">
        <v>0</v>
      </c>
      <c r="M82" s="4">
        <v>0</v>
      </c>
    </row>
    <row r="83" spans="1:13">
      <c r="A83" s="29" t="s">
        <v>311</v>
      </c>
      <c r="B83" s="4">
        <v>9.900825079202705E-4</v>
      </c>
      <c r="D83" s="4">
        <v>5.3460987748259886E-4</v>
      </c>
      <c r="E83" s="4">
        <v>1.4427004417450777E-3</v>
      </c>
      <c r="F83" s="4"/>
      <c r="G83" s="4">
        <v>1.5503898795739197E-2</v>
      </c>
      <c r="H83" s="4">
        <v>6.9902914426424757E-4</v>
      </c>
      <c r="I83" s="4">
        <v>0</v>
      </c>
      <c r="J83" s="4">
        <v>5.5578251561845299E-4</v>
      </c>
      <c r="K83" s="4">
        <v>1.0957254984875298E-3</v>
      </c>
      <c r="L83" s="4">
        <v>0</v>
      </c>
      <c r="M83" s="4">
        <v>0</v>
      </c>
    </row>
    <row r="84" spans="1:13">
      <c r="A84" s="29" t="s">
        <v>312</v>
      </c>
      <c r="B84" s="4">
        <v>0</v>
      </c>
      <c r="D84" s="4">
        <v>0</v>
      </c>
      <c r="E84" s="4">
        <v>0</v>
      </c>
      <c r="F84" s="4"/>
      <c r="G84" s="4">
        <v>0</v>
      </c>
      <c r="H84" s="4">
        <v>0</v>
      </c>
      <c r="I84" s="4">
        <v>0</v>
      </c>
      <c r="J84" s="4">
        <v>0</v>
      </c>
      <c r="K84" s="4">
        <v>0</v>
      </c>
      <c r="L84" s="4">
        <v>0</v>
      </c>
      <c r="M84" s="4">
        <v>0</v>
      </c>
    </row>
    <row r="85" spans="1:13">
      <c r="A85" s="29" t="s">
        <v>313</v>
      </c>
      <c r="B85" s="4">
        <v>6.8544566736754569E-4</v>
      </c>
      <c r="D85" s="4">
        <v>1.0747714271259114E-3</v>
      </c>
      <c r="E85" s="4">
        <v>3.1886489593823314E-4</v>
      </c>
      <c r="F85" s="4"/>
      <c r="G85" s="4">
        <v>0</v>
      </c>
      <c r="H85" s="4">
        <v>2.1938623221841274E-3</v>
      </c>
      <c r="I85" s="4">
        <v>1.3436247380227788E-3</v>
      </c>
      <c r="J85" s="4">
        <v>0</v>
      </c>
      <c r="K85" s="4">
        <v>1.211308312275836E-3</v>
      </c>
      <c r="L85" s="4">
        <v>0</v>
      </c>
      <c r="M85" s="4">
        <v>0</v>
      </c>
    </row>
    <row r="86" spans="1:13">
      <c r="A86" s="29" t="s">
        <v>314</v>
      </c>
      <c r="B86" s="4">
        <v>0</v>
      </c>
      <c r="D86" s="4">
        <v>0</v>
      </c>
      <c r="E86" s="4">
        <v>0</v>
      </c>
      <c r="F86" s="4"/>
      <c r="G86" s="4">
        <v>0</v>
      </c>
      <c r="H86" s="4">
        <v>0</v>
      </c>
      <c r="I86" s="4">
        <v>0</v>
      </c>
      <c r="J86" s="4">
        <v>0</v>
      </c>
      <c r="K86" s="4">
        <v>0</v>
      </c>
      <c r="L86" s="4">
        <v>0</v>
      </c>
      <c r="M86" s="4">
        <v>0</v>
      </c>
    </row>
    <row r="87" spans="1:13">
      <c r="A87" s="29" t="s">
        <v>315</v>
      </c>
      <c r="B87" s="4">
        <v>1.1166903880193368E-4</v>
      </c>
      <c r="D87" s="4">
        <v>0</v>
      </c>
      <c r="E87" s="4">
        <v>2.2090069701956802E-4</v>
      </c>
      <c r="F87" s="4"/>
      <c r="G87" s="4">
        <v>0</v>
      </c>
      <c r="H87" s="4">
        <v>0</v>
      </c>
      <c r="I87" s="4">
        <v>0</v>
      </c>
      <c r="J87" s="4">
        <v>0</v>
      </c>
      <c r="K87" s="4">
        <v>7.4651546185876163E-4</v>
      </c>
      <c r="L87" s="4">
        <v>0</v>
      </c>
      <c r="M87" s="4">
        <v>0</v>
      </c>
    </row>
    <row r="88" spans="1:13">
      <c r="A88" s="29" t="s">
        <v>316</v>
      </c>
      <c r="B88" s="4">
        <v>5.7550925634357875E-3</v>
      </c>
      <c r="D88" s="4">
        <v>5.0468423637384735E-3</v>
      </c>
      <c r="E88" s="4">
        <v>6.3721255280591834E-3</v>
      </c>
      <c r="F88" s="4"/>
      <c r="G88" s="4">
        <v>0</v>
      </c>
      <c r="H88" s="4">
        <v>7.2195433552641351E-3</v>
      </c>
      <c r="I88" s="4">
        <v>2.7074337484942574E-3</v>
      </c>
      <c r="J88" s="4">
        <v>2.1572891454070451E-3</v>
      </c>
      <c r="K88" s="4">
        <v>6.1164109501847565E-3</v>
      </c>
      <c r="L88" s="4">
        <v>2.4328578482918002E-3</v>
      </c>
      <c r="M88" s="4">
        <v>1.3732792024316603E-2</v>
      </c>
    </row>
    <row r="89" spans="1:13">
      <c r="A89" s="29" t="s">
        <v>317</v>
      </c>
      <c r="B89" s="4">
        <v>8.2681142447394633E-4</v>
      </c>
      <c r="D89" s="4">
        <v>1.2109374107130422E-3</v>
      </c>
      <c r="E89" s="4">
        <v>4.6712195754445776E-4</v>
      </c>
      <c r="F89" s="4"/>
      <c r="G89" s="4">
        <v>0</v>
      </c>
      <c r="H89" s="4">
        <v>1.6335149349079737E-3</v>
      </c>
      <c r="I89" s="4">
        <v>2.4620019075418456E-3</v>
      </c>
      <c r="J89" s="4">
        <v>5.5578251561845299E-4</v>
      </c>
      <c r="K89" s="4">
        <v>5.7996825193436371E-4</v>
      </c>
      <c r="L89" s="4">
        <v>0</v>
      </c>
      <c r="M89" s="4">
        <v>0</v>
      </c>
    </row>
    <row r="90" spans="1:13">
      <c r="A90" s="29" t="s">
        <v>318</v>
      </c>
      <c r="B90" s="4">
        <v>0</v>
      </c>
      <c r="D90" s="4">
        <v>0</v>
      </c>
      <c r="E90" s="4">
        <v>0</v>
      </c>
      <c r="F90" s="4"/>
      <c r="G90" s="4">
        <v>0</v>
      </c>
      <c r="H90" s="4">
        <v>0</v>
      </c>
      <c r="I90" s="4">
        <v>0</v>
      </c>
      <c r="J90" s="4">
        <v>0</v>
      </c>
      <c r="K90" s="4">
        <v>0</v>
      </c>
      <c r="L90" s="4">
        <v>0</v>
      </c>
      <c r="M90" s="4">
        <v>0</v>
      </c>
    </row>
    <row r="91" spans="1:13">
      <c r="A91" s="29" t="s">
        <v>319</v>
      </c>
      <c r="B91" s="4">
        <v>9.5246530230291612E-3</v>
      </c>
      <c r="D91" s="4">
        <v>1.5006633423061017E-2</v>
      </c>
      <c r="E91" s="4">
        <v>4.3612558026821808E-3</v>
      </c>
      <c r="F91" s="4"/>
      <c r="G91" s="4">
        <v>1.5258684392396908E-2</v>
      </c>
      <c r="H91" s="4">
        <v>1.3531496076590679E-2</v>
      </c>
      <c r="I91" s="4">
        <v>1.3365950930601547E-2</v>
      </c>
      <c r="J91" s="4">
        <v>6.6836397547642154E-3</v>
      </c>
      <c r="K91" s="4">
        <v>9.5314279657292954E-3</v>
      </c>
      <c r="L91" s="4">
        <v>1.0828788103480983E-2</v>
      </c>
      <c r="M91" s="4">
        <v>4.1915075384324997E-3</v>
      </c>
    </row>
    <row r="92" spans="1:13">
      <c r="A92" s="29" t="s">
        <v>320</v>
      </c>
      <c r="B92" s="4">
        <v>2.8753288687333946E-3</v>
      </c>
      <c r="D92" s="4">
        <v>4.1111175946962194E-3</v>
      </c>
      <c r="E92" s="4">
        <v>1.7210107413080284E-3</v>
      </c>
      <c r="F92" s="4"/>
      <c r="G92" s="4">
        <v>1.4469345729126981E-2</v>
      </c>
      <c r="H92" s="4">
        <v>4.8943323178667125E-3</v>
      </c>
      <c r="I92" s="4">
        <v>4.6946370070104788E-3</v>
      </c>
      <c r="J92" s="4">
        <v>2.1886158442166572E-3</v>
      </c>
      <c r="K92" s="4">
        <v>6.4058701286283111E-4</v>
      </c>
      <c r="L92" s="4">
        <v>1.2974270290272204E-3</v>
      </c>
      <c r="M92" s="4">
        <v>9.3299273740138529E-4</v>
      </c>
    </row>
    <row r="93" spans="1:13">
      <c r="A93" s="29" t="s">
        <v>321</v>
      </c>
      <c r="B93" s="4">
        <v>4.6731987891377828E-3</v>
      </c>
      <c r="D93" s="4">
        <v>6.9015243143812962E-3</v>
      </c>
      <c r="E93" s="4">
        <v>2.5849976106258497E-3</v>
      </c>
      <c r="F93" s="4"/>
      <c r="G93" s="4">
        <v>0</v>
      </c>
      <c r="H93" s="4">
        <v>5.359029578594441E-3</v>
      </c>
      <c r="I93" s="4">
        <v>6.3014706526151104E-3</v>
      </c>
      <c r="J93" s="4">
        <v>5.2476676681742218E-3</v>
      </c>
      <c r="K93" s="4">
        <v>8.852055325385284E-3</v>
      </c>
      <c r="L93" s="4">
        <v>2.5360787562942388E-3</v>
      </c>
      <c r="M93" s="4">
        <v>1.5746363938488309E-3</v>
      </c>
    </row>
    <row r="94" spans="1:13">
      <c r="A94" s="29" t="s">
        <v>322</v>
      </c>
      <c r="B94" s="4">
        <v>8.6428308477939767E-4</v>
      </c>
      <c r="D94" s="4">
        <v>9.5082933962822218E-4</v>
      </c>
      <c r="E94" s="4">
        <v>7.9223011821671875E-4</v>
      </c>
      <c r="F94" s="4"/>
      <c r="G94" s="4">
        <v>0</v>
      </c>
      <c r="H94" s="4">
        <v>2.2734120663320729E-3</v>
      </c>
      <c r="I94" s="4">
        <v>1.8863066309115118E-3</v>
      </c>
      <c r="J94" s="4">
        <v>0</v>
      </c>
      <c r="K94" s="4">
        <v>1.1299591965540597E-3</v>
      </c>
      <c r="L94" s="4">
        <v>6.3570983241785994E-4</v>
      </c>
      <c r="M94" s="4">
        <v>0</v>
      </c>
    </row>
    <row r="95" spans="1:13">
      <c r="A95" s="29" t="s">
        <v>323</v>
      </c>
      <c r="B95" s="4">
        <v>1.0112983926621128E-3</v>
      </c>
      <c r="D95" s="4">
        <v>1.2123083297790255E-3</v>
      </c>
      <c r="E95" s="4">
        <v>8.3074630586521168E-4</v>
      </c>
      <c r="F95" s="4"/>
      <c r="G95" s="4">
        <v>0</v>
      </c>
      <c r="H95" s="4">
        <v>4.678104023694547E-3</v>
      </c>
      <c r="I95" s="4">
        <v>1.0784358793812707E-3</v>
      </c>
      <c r="J95" s="4">
        <v>1.0961804191353928E-3</v>
      </c>
      <c r="K95" s="4">
        <v>0</v>
      </c>
      <c r="L95" s="4">
        <v>0</v>
      </c>
      <c r="M95" s="4">
        <v>3.5403315529353862E-4</v>
      </c>
    </row>
    <row r="96" spans="1:13">
      <c r="A96" s="29" t="s">
        <v>324</v>
      </c>
      <c r="B96" s="4">
        <v>2.4243770844340189E-2</v>
      </c>
      <c r="D96" s="4">
        <v>8.2816681167591014E-3</v>
      </c>
      <c r="E96" s="4">
        <v>3.9967253901818781E-2</v>
      </c>
      <c r="F96" s="4"/>
      <c r="G96" s="4">
        <v>0.11066383025673779</v>
      </c>
      <c r="H96" s="4">
        <v>5.7326669617991578E-2</v>
      </c>
      <c r="I96" s="4">
        <v>3.9595592827948688E-2</v>
      </c>
      <c r="J96" s="4">
        <v>1.7949302757108054E-2</v>
      </c>
      <c r="K96" s="4">
        <v>1.3486123059258882E-2</v>
      </c>
      <c r="L96" s="4">
        <v>1.9035619389918975E-3</v>
      </c>
      <c r="M96" s="4">
        <v>1.1515805067450684E-3</v>
      </c>
    </row>
    <row r="97" spans="1:13">
      <c r="A97" s="29" t="s">
        <v>325</v>
      </c>
      <c r="B97" s="4">
        <v>5.9206954252613532E-4</v>
      </c>
      <c r="D97" s="4">
        <v>4.765131579982E-4</v>
      </c>
      <c r="E97" s="4">
        <v>7.1142038884551182E-4</v>
      </c>
      <c r="F97" s="4"/>
      <c r="G97" s="4">
        <v>8.6169835626793978E-3</v>
      </c>
      <c r="H97" s="4">
        <v>0</v>
      </c>
      <c r="I97" s="4">
        <v>6.5752913148845078E-4</v>
      </c>
      <c r="J97" s="4">
        <v>6.4253370404320279E-4</v>
      </c>
      <c r="K97" s="4">
        <v>0</v>
      </c>
      <c r="L97" s="4">
        <v>0</v>
      </c>
      <c r="M97" s="4">
        <v>0</v>
      </c>
    </row>
    <row r="98" spans="1:13">
      <c r="A98" s="29" t="s">
        <v>326</v>
      </c>
      <c r="B98" s="4">
        <v>1.3366379198827721E-3</v>
      </c>
      <c r="D98" s="4">
        <v>7.0691272982276242E-4</v>
      </c>
      <c r="E98" s="4">
        <v>1.8221001345455027E-3</v>
      </c>
      <c r="F98" s="4"/>
      <c r="G98" s="4">
        <v>8.6169835626793978E-3</v>
      </c>
      <c r="H98" s="4">
        <v>0</v>
      </c>
      <c r="I98" s="4">
        <v>0</v>
      </c>
      <c r="J98" s="4">
        <v>5.4757868092987494E-4</v>
      </c>
      <c r="K98" s="4">
        <v>1.696953649998684E-3</v>
      </c>
      <c r="L98" s="4">
        <v>0</v>
      </c>
      <c r="M98" s="4">
        <v>3.0742463226137427E-3</v>
      </c>
    </row>
    <row r="99" spans="1:13">
      <c r="A99" s="29" t="s">
        <v>327</v>
      </c>
      <c r="B99" s="4">
        <v>0</v>
      </c>
      <c r="D99" s="4">
        <v>0</v>
      </c>
      <c r="E99" s="4">
        <v>0</v>
      </c>
      <c r="F99" s="4"/>
      <c r="G99" s="4">
        <v>0</v>
      </c>
      <c r="H99" s="4">
        <v>0</v>
      </c>
      <c r="I99" s="4">
        <v>0</v>
      </c>
      <c r="J99" s="4">
        <v>0</v>
      </c>
      <c r="K99" s="4">
        <v>0</v>
      </c>
      <c r="L99" s="4">
        <v>0</v>
      </c>
      <c r="M99" s="4">
        <v>0</v>
      </c>
    </row>
    <row r="100" spans="1:13">
      <c r="A100" s="29" t="s">
        <v>328</v>
      </c>
      <c r="B100" s="4">
        <v>0</v>
      </c>
      <c r="D100" s="4">
        <v>0</v>
      </c>
      <c r="E100" s="4">
        <v>0</v>
      </c>
      <c r="F100" s="4"/>
      <c r="G100" s="4">
        <v>0</v>
      </c>
      <c r="H100" s="4">
        <v>0</v>
      </c>
      <c r="I100" s="4">
        <v>0</v>
      </c>
      <c r="J100" s="4">
        <v>0</v>
      </c>
      <c r="K100" s="4">
        <v>0</v>
      </c>
      <c r="L100" s="4">
        <v>0</v>
      </c>
      <c r="M100" s="4">
        <v>0</v>
      </c>
    </row>
    <row r="101" spans="1:13">
      <c r="A101" s="29" t="s">
        <v>329</v>
      </c>
      <c r="B101" s="4">
        <v>1.5973736360887917E-3</v>
      </c>
      <c r="D101" s="4">
        <v>1.7841267062487342E-3</v>
      </c>
      <c r="E101" s="4">
        <v>1.4383472973478189E-3</v>
      </c>
      <c r="F101" s="4"/>
      <c r="G101" s="4">
        <v>0</v>
      </c>
      <c r="H101" s="4">
        <v>1.6104320948059625E-3</v>
      </c>
      <c r="I101" s="4">
        <v>2.1705188526109213E-3</v>
      </c>
      <c r="J101" s="4">
        <v>1.5951352040776436E-3</v>
      </c>
      <c r="K101" s="4">
        <v>1.9412741035905595E-3</v>
      </c>
      <c r="L101" s="4">
        <v>2.508036697417631E-3</v>
      </c>
      <c r="M101" s="4">
        <v>5.7518977230278481E-4</v>
      </c>
    </row>
    <row r="102" spans="1:13">
      <c r="A102" s="29" t="s">
        <v>330</v>
      </c>
      <c r="B102" s="4">
        <v>8.5897974790174409E-5</v>
      </c>
      <c r="D102" s="4">
        <v>1.7609913668721491E-4</v>
      </c>
      <c r="E102" s="4">
        <v>0</v>
      </c>
      <c r="F102" s="4"/>
      <c r="G102" s="4">
        <v>0</v>
      </c>
      <c r="H102" s="4">
        <v>0</v>
      </c>
      <c r="I102" s="4">
        <v>4.689193829304953E-4</v>
      </c>
      <c r="J102" s="4">
        <v>0</v>
      </c>
      <c r="K102" s="4">
        <v>0</v>
      </c>
      <c r="L102" s="4">
        <v>0</v>
      </c>
      <c r="M102" s="4">
        <v>0</v>
      </c>
    </row>
    <row r="103" spans="1:13">
      <c r="A103" s="29" t="s">
        <v>331</v>
      </c>
      <c r="B103" s="4">
        <v>7.318891863128691E-4</v>
      </c>
      <c r="D103" s="4">
        <v>1.7389852934790581E-4</v>
      </c>
      <c r="E103" s="4">
        <v>1.2800058894920994E-3</v>
      </c>
      <c r="F103" s="4"/>
      <c r="G103" s="4">
        <v>1.5503898795739197E-2</v>
      </c>
      <c r="H103" s="4">
        <v>0</v>
      </c>
      <c r="I103" s="4">
        <v>4.6305957319472122E-4</v>
      </c>
      <c r="J103" s="4">
        <v>0</v>
      </c>
      <c r="K103" s="4">
        <v>0</v>
      </c>
      <c r="L103" s="4">
        <v>0</v>
      </c>
      <c r="M103" s="4">
        <v>0</v>
      </c>
    </row>
    <row r="104" spans="1:13">
      <c r="A104" s="29" t="s">
        <v>332</v>
      </c>
      <c r="B104" s="4">
        <v>6.2525781774523361E-5</v>
      </c>
      <c r="D104" s="4">
        <v>1.2818388580269815E-4</v>
      </c>
      <c r="E104" s="4">
        <v>0</v>
      </c>
      <c r="F104" s="4"/>
      <c r="G104" s="4">
        <v>0</v>
      </c>
      <c r="H104" s="4">
        <v>0</v>
      </c>
      <c r="I104" s="4">
        <v>0</v>
      </c>
      <c r="J104" s="4">
        <v>0</v>
      </c>
      <c r="K104" s="4">
        <v>0</v>
      </c>
      <c r="L104" s="4">
        <v>0</v>
      </c>
      <c r="M104" s="4">
        <v>3.0621695645712395E-4</v>
      </c>
    </row>
    <row r="105" spans="1:13">
      <c r="A105" s="29" t="s">
        <v>333</v>
      </c>
      <c r="B105" s="4">
        <v>6.6427502641910088E-5</v>
      </c>
      <c r="D105" s="4">
        <v>1.3618279006114741E-4</v>
      </c>
      <c r="E105" s="4">
        <v>0</v>
      </c>
      <c r="F105" s="4"/>
      <c r="G105" s="4">
        <v>0</v>
      </c>
      <c r="H105" s="4">
        <v>0</v>
      </c>
      <c r="I105" s="4">
        <v>0</v>
      </c>
      <c r="J105" s="4">
        <v>0</v>
      </c>
      <c r="K105" s="4">
        <v>0</v>
      </c>
      <c r="L105" s="4">
        <v>0</v>
      </c>
      <c r="M105" s="4">
        <v>3.2532544346916857E-4</v>
      </c>
    </row>
    <row r="106" spans="1:13">
      <c r="A106" s="29" t="s">
        <v>334</v>
      </c>
      <c r="B106" s="4">
        <v>1.0670698762823968E-2</v>
      </c>
      <c r="D106" s="4">
        <v>9.59517800058028E-3</v>
      </c>
      <c r="E106" s="4">
        <v>1.1849938652808383E-2</v>
      </c>
      <c r="F106" s="4"/>
      <c r="G106" s="4">
        <v>1.2440559125809682E-2</v>
      </c>
      <c r="H106" s="4">
        <v>1.0834123598321041E-2</v>
      </c>
      <c r="I106" s="4">
        <v>9.6814334024369116E-3</v>
      </c>
      <c r="J106" s="4">
        <v>1.5848539348908421E-2</v>
      </c>
      <c r="K106" s="4">
        <v>1.0450097030099104E-2</v>
      </c>
      <c r="L106" s="4">
        <v>1.1515839672920943E-2</v>
      </c>
      <c r="M106" s="4">
        <v>6.3087961029771279E-3</v>
      </c>
    </row>
    <row r="107" spans="1:13">
      <c r="A107" s="29" t="s">
        <v>335</v>
      </c>
      <c r="B107" s="4">
        <v>7.5747529009368542E-2</v>
      </c>
      <c r="D107" s="4">
        <v>1.298715411668345E-2</v>
      </c>
      <c r="E107" s="4">
        <v>0.13665472733776396</v>
      </c>
      <c r="F107" s="4"/>
      <c r="G107" s="4">
        <v>4.624562332652421E-2</v>
      </c>
      <c r="H107" s="4">
        <v>8.5293498834017184E-2</v>
      </c>
      <c r="I107" s="4">
        <v>0.12209236196871907</v>
      </c>
      <c r="J107" s="4">
        <v>9.0966256347254498E-2</v>
      </c>
      <c r="K107" s="4">
        <v>7.1773794360130996E-2</v>
      </c>
      <c r="L107" s="4">
        <v>5.4958242097300977E-2</v>
      </c>
      <c r="M107" s="4">
        <v>3.7791658547968503E-2</v>
      </c>
    </row>
    <row r="108" spans="1:13">
      <c r="A108" s="29" t="s">
        <v>336</v>
      </c>
      <c r="B108" s="4">
        <v>0</v>
      </c>
      <c r="D108" s="4">
        <v>0</v>
      </c>
      <c r="E108" s="4">
        <v>0</v>
      </c>
      <c r="F108" s="4"/>
      <c r="G108" s="4">
        <v>0</v>
      </c>
      <c r="H108" s="4">
        <v>0</v>
      </c>
      <c r="I108" s="4">
        <v>0</v>
      </c>
      <c r="J108" s="4">
        <v>0</v>
      </c>
      <c r="K108" s="4">
        <v>0</v>
      </c>
      <c r="L108" s="4">
        <v>0</v>
      </c>
      <c r="M108" s="4">
        <v>0</v>
      </c>
    </row>
    <row r="109" spans="1:13">
      <c r="A109" s="29" t="s">
        <v>337</v>
      </c>
      <c r="B109" s="4">
        <v>0</v>
      </c>
      <c r="D109" s="4">
        <v>0</v>
      </c>
      <c r="E109" s="4">
        <v>0</v>
      </c>
      <c r="F109" s="4"/>
      <c r="G109" s="4">
        <v>0</v>
      </c>
      <c r="H109" s="4">
        <v>0</v>
      </c>
      <c r="I109" s="4">
        <v>0</v>
      </c>
      <c r="J109" s="4">
        <v>0</v>
      </c>
      <c r="K109" s="4">
        <v>0</v>
      </c>
      <c r="L109" s="4">
        <v>0</v>
      </c>
      <c r="M109" s="4">
        <v>0</v>
      </c>
    </row>
    <row r="110" spans="1:13">
      <c r="A110" s="29" t="s">
        <v>338</v>
      </c>
      <c r="B110" s="4">
        <v>5.1357294024273361E-4</v>
      </c>
      <c r="D110" s="4">
        <v>7.06114984490825E-4</v>
      </c>
      <c r="E110" s="4">
        <v>3.3459378572760792E-4</v>
      </c>
      <c r="F110" s="4"/>
      <c r="G110" s="4">
        <v>8.2526683162402401E-3</v>
      </c>
      <c r="H110" s="4">
        <v>6.8936650408101159E-4</v>
      </c>
      <c r="I110" s="4">
        <v>0</v>
      </c>
      <c r="J110" s="4">
        <v>5.0510881550251306E-4</v>
      </c>
      <c r="K110" s="4">
        <v>0</v>
      </c>
      <c r="L110" s="4">
        <v>0</v>
      </c>
      <c r="M110" s="4">
        <v>0</v>
      </c>
    </row>
    <row r="111" spans="1:13">
      <c r="A111" s="29" t="s">
        <v>339</v>
      </c>
      <c r="B111" s="4">
        <v>6.0052894130785384E-4</v>
      </c>
      <c r="D111" s="4">
        <v>5.7938098900435411E-4</v>
      </c>
      <c r="E111" s="4">
        <v>6.2889561470085237E-4</v>
      </c>
      <c r="F111" s="4"/>
      <c r="G111" s="4">
        <v>0</v>
      </c>
      <c r="H111" s="4">
        <v>8.7964199541302579E-4</v>
      </c>
      <c r="I111" s="4">
        <v>1.71281995322492E-3</v>
      </c>
      <c r="J111" s="4">
        <v>1.0515575046659181E-3</v>
      </c>
      <c r="K111" s="4">
        <v>0</v>
      </c>
      <c r="L111" s="4">
        <v>0</v>
      </c>
      <c r="M111" s="4">
        <v>0</v>
      </c>
    </row>
    <row r="112" spans="1:13">
      <c r="A112" s="29" t="s">
        <v>340</v>
      </c>
      <c r="B112" s="4">
        <v>0</v>
      </c>
      <c r="D112" s="4">
        <v>0</v>
      </c>
      <c r="E112" s="4">
        <v>0</v>
      </c>
      <c r="F112" s="4"/>
      <c r="G112" s="4">
        <v>0</v>
      </c>
      <c r="H112" s="4">
        <v>0</v>
      </c>
      <c r="I112" s="4">
        <v>0</v>
      </c>
      <c r="J112" s="4">
        <v>0</v>
      </c>
      <c r="K112" s="4">
        <v>0</v>
      </c>
      <c r="L112" s="4">
        <v>0</v>
      </c>
      <c r="M112" s="4">
        <v>0</v>
      </c>
    </row>
    <row r="113" spans="1:13">
      <c r="A113" s="29" t="s">
        <v>341</v>
      </c>
      <c r="B113" s="4">
        <v>4.6264912875455524E-3</v>
      </c>
      <c r="D113" s="4">
        <v>6.0183839255445442E-3</v>
      </c>
      <c r="E113" s="4">
        <v>3.3447593529160767E-3</v>
      </c>
      <c r="F113" s="4"/>
      <c r="G113" s="4">
        <v>2.2263233309543693E-2</v>
      </c>
      <c r="H113" s="4">
        <v>6.2894016553223121E-3</v>
      </c>
      <c r="I113" s="4">
        <v>7.2852783033388064E-3</v>
      </c>
      <c r="J113" s="4">
        <v>5.3698034711305567E-3</v>
      </c>
      <c r="K113" s="4">
        <v>2.9892960146344562E-3</v>
      </c>
      <c r="L113" s="4">
        <v>1.3720913989506585E-3</v>
      </c>
      <c r="M113" s="4">
        <v>3.0484605060915484E-4</v>
      </c>
    </row>
    <row r="114" spans="1:13">
      <c r="A114" s="29" t="s">
        <v>342</v>
      </c>
      <c r="B114" s="4">
        <v>0</v>
      </c>
      <c r="D114" s="4">
        <v>0</v>
      </c>
      <c r="E114" s="4">
        <v>0</v>
      </c>
      <c r="F114" s="4"/>
      <c r="G114" s="4">
        <v>0</v>
      </c>
      <c r="H114" s="4">
        <v>0</v>
      </c>
      <c r="I114" s="4">
        <v>0</v>
      </c>
      <c r="J114" s="4">
        <v>0</v>
      </c>
      <c r="K114" s="4">
        <v>0</v>
      </c>
      <c r="L114" s="4">
        <v>0</v>
      </c>
      <c r="M114" s="4">
        <v>0</v>
      </c>
    </row>
    <row r="115" spans="1:13">
      <c r="A115" s="29" t="s">
        <v>343</v>
      </c>
      <c r="B115" s="4">
        <v>2.5535606186205361E-4</v>
      </c>
      <c r="D115" s="4">
        <v>3.480066432796961E-4</v>
      </c>
      <c r="E115" s="4">
        <v>1.6934094818765348E-4</v>
      </c>
      <c r="F115" s="4"/>
      <c r="G115" s="4">
        <v>0</v>
      </c>
      <c r="H115" s="4">
        <v>8.7964199541302579E-4</v>
      </c>
      <c r="I115" s="4">
        <v>0</v>
      </c>
      <c r="J115" s="4">
        <v>0</v>
      </c>
      <c r="K115" s="4">
        <v>0</v>
      </c>
      <c r="L115" s="4">
        <v>6.6174539429700752E-4</v>
      </c>
      <c r="M115" s="4">
        <v>3.2448721602950276E-4</v>
      </c>
    </row>
    <row r="116" spans="1:13">
      <c r="A116" s="29" t="s">
        <v>344</v>
      </c>
      <c r="B116" s="4">
        <v>3.849976596297499E-4</v>
      </c>
      <c r="D116" s="4">
        <v>4.1801563835567533E-4</v>
      </c>
      <c r="E116" s="4">
        <v>1.8447798103389225E-4</v>
      </c>
      <c r="F116" s="4"/>
      <c r="G116" s="4">
        <v>0</v>
      </c>
      <c r="H116" s="4">
        <v>0</v>
      </c>
      <c r="I116" s="4">
        <v>4.7952340621397601E-4</v>
      </c>
      <c r="J116" s="4">
        <v>1.7049696819009964E-3</v>
      </c>
      <c r="K116" s="4">
        <v>0</v>
      </c>
      <c r="L116" s="4">
        <v>0</v>
      </c>
      <c r="M116" s="4">
        <v>0</v>
      </c>
    </row>
    <row r="117" spans="1:13">
      <c r="A117" s="29" t="s">
        <v>345</v>
      </c>
      <c r="B117" s="4">
        <v>3.335149178974229E-3</v>
      </c>
      <c r="D117" s="4">
        <v>1.7511355417150435E-3</v>
      </c>
      <c r="E117" s="4">
        <v>4.9078019992347529E-3</v>
      </c>
      <c r="F117" s="4"/>
      <c r="G117" s="4">
        <v>2.2500290837829409E-2</v>
      </c>
      <c r="H117" s="4">
        <v>4.3261622712498149E-3</v>
      </c>
      <c r="I117" s="4">
        <v>1.9901087270075149E-3</v>
      </c>
      <c r="J117" s="4">
        <v>3.6402222967352746E-3</v>
      </c>
      <c r="K117" s="4">
        <v>3.4643763011982546E-3</v>
      </c>
      <c r="L117" s="4">
        <v>2.4429644953713752E-3</v>
      </c>
      <c r="M117" s="4">
        <v>2.6363574875972883E-4</v>
      </c>
    </row>
    <row r="118" spans="1:13">
      <c r="A118" s="29" t="s">
        <v>346</v>
      </c>
      <c r="B118" s="4">
        <v>4.6992434010832114E-3</v>
      </c>
      <c r="D118" s="4">
        <v>6.0742584283819028E-3</v>
      </c>
      <c r="E118" s="4">
        <v>3.4347613687014549E-3</v>
      </c>
      <c r="F118" s="4"/>
      <c r="G118" s="4">
        <v>0</v>
      </c>
      <c r="H118" s="4">
        <v>1.4291743433461393E-3</v>
      </c>
      <c r="I118" s="4">
        <v>4.6116642127295524E-3</v>
      </c>
      <c r="J118" s="4">
        <v>5.5116205707535209E-3</v>
      </c>
      <c r="K118" s="4">
        <v>7.5322345644834952E-3</v>
      </c>
      <c r="L118" s="4">
        <v>7.6724768874749999E-3</v>
      </c>
      <c r="M118" s="4">
        <v>2.9700559483634439E-3</v>
      </c>
    </row>
    <row r="119" spans="1:13">
      <c r="A119" s="29" t="s">
        <v>347</v>
      </c>
      <c r="B119" s="4">
        <v>1.7605220463691898E-3</v>
      </c>
      <c r="D119" s="4">
        <v>3.2581881336132363E-3</v>
      </c>
      <c r="E119" s="4">
        <v>3.3873601816309935E-4</v>
      </c>
      <c r="F119" s="4"/>
      <c r="G119" s="4">
        <v>0</v>
      </c>
      <c r="H119" s="4">
        <v>3.7770698484611053E-3</v>
      </c>
      <c r="I119" s="4">
        <v>5.6275625719732717E-3</v>
      </c>
      <c r="J119" s="4">
        <v>5.4549154944644315E-4</v>
      </c>
      <c r="K119" s="4">
        <v>1.2713796180285103E-3</v>
      </c>
      <c r="L119" s="4">
        <v>0</v>
      </c>
      <c r="M119" s="4">
        <v>0</v>
      </c>
    </row>
    <row r="120" spans="1:13">
      <c r="A120" s="29" t="s">
        <v>348</v>
      </c>
      <c r="B120" s="4">
        <v>1.0453142446286189E-3</v>
      </c>
      <c r="D120" s="4">
        <v>1.9333813439293039E-3</v>
      </c>
      <c r="E120" s="4">
        <v>2.0225986505004114E-4</v>
      </c>
      <c r="F120" s="4"/>
      <c r="G120" s="4">
        <v>0</v>
      </c>
      <c r="H120" s="4">
        <v>2.2964269389490915E-3</v>
      </c>
      <c r="I120" s="4">
        <v>3.1755524591415172E-3</v>
      </c>
      <c r="J120" s="4">
        <v>1.1097645676463076E-3</v>
      </c>
      <c r="K120" s="4">
        <v>0</v>
      </c>
      <c r="L120" s="4">
        <v>0</v>
      </c>
      <c r="M120" s="4">
        <v>0</v>
      </c>
    </row>
    <row r="121" spans="1:13">
      <c r="A121" s="29" t="s">
        <v>349</v>
      </c>
      <c r="B121" s="4">
        <v>0.1696762636910143</v>
      </c>
      <c r="D121" s="4">
        <v>0.19368152360169535</v>
      </c>
      <c r="E121" s="4">
        <v>0.14663206488820921</v>
      </c>
      <c r="F121" s="4"/>
      <c r="G121" s="4">
        <v>0.31510507142860344</v>
      </c>
      <c r="H121" s="4">
        <v>0.24659457618931405</v>
      </c>
      <c r="I121" s="4">
        <v>0.28401933130770807</v>
      </c>
      <c r="J121" s="4">
        <v>0.20751323373306266</v>
      </c>
      <c r="K121" s="4">
        <v>0.16522851690636933</v>
      </c>
      <c r="L121" s="4">
        <v>7.7921855585875194E-2</v>
      </c>
      <c r="M121" s="4">
        <v>2.2141360418417938E-2</v>
      </c>
    </row>
    <row r="122" spans="1:13">
      <c r="A122" s="29" t="s">
        <v>350</v>
      </c>
      <c r="B122" s="4">
        <v>3.3720228168129716E-3</v>
      </c>
      <c r="D122" s="4">
        <v>4.923063440779466E-3</v>
      </c>
      <c r="E122" s="4">
        <v>1.9200969487288637E-3</v>
      </c>
      <c r="F122" s="4"/>
      <c r="G122" s="4">
        <v>0</v>
      </c>
      <c r="H122" s="4">
        <v>1.5236141335289743E-3</v>
      </c>
      <c r="I122" s="4">
        <v>2.4653426643264555E-3</v>
      </c>
      <c r="J122" s="4">
        <v>1.1901123849730778E-3</v>
      </c>
      <c r="K122" s="4">
        <v>3.4626016323016382E-3</v>
      </c>
      <c r="L122" s="4">
        <v>7.1563004621547476E-3</v>
      </c>
      <c r="M122" s="4">
        <v>5.3382964200577622E-3</v>
      </c>
    </row>
    <row r="123" spans="1:13">
      <c r="A123" s="29" t="s">
        <v>351</v>
      </c>
      <c r="B123" s="4">
        <v>1.0081608779770653E-3</v>
      </c>
      <c r="D123" s="4">
        <v>1.148929567300771E-3</v>
      </c>
      <c r="E123" s="4">
        <v>8.8569501061050437E-4</v>
      </c>
      <c r="F123" s="4"/>
      <c r="G123" s="4">
        <v>0</v>
      </c>
      <c r="H123" s="4">
        <v>1.5479878559991422E-3</v>
      </c>
      <c r="I123" s="4">
        <v>1.097216231851574E-3</v>
      </c>
      <c r="J123" s="4">
        <v>2.6176110955648591E-3</v>
      </c>
      <c r="K123" s="4">
        <v>1.1285703386963602E-3</v>
      </c>
      <c r="L123" s="4">
        <v>0</v>
      </c>
      <c r="M123" s="4">
        <v>0</v>
      </c>
    </row>
    <row r="124" spans="1:13">
      <c r="A124" s="29" t="s">
        <v>352</v>
      </c>
      <c r="B124" s="4">
        <v>4.1953626603241152E-4</v>
      </c>
      <c r="D124" s="4">
        <v>5.0272608561526097E-4</v>
      </c>
      <c r="E124" s="4">
        <v>3.4482638723591668E-4</v>
      </c>
      <c r="F124" s="4"/>
      <c r="G124" s="4">
        <v>5.8755751253405817E-3</v>
      </c>
      <c r="H124" s="4">
        <v>1.4815720074907548E-3</v>
      </c>
      <c r="I124" s="4">
        <v>0</v>
      </c>
      <c r="J124" s="4">
        <v>0</v>
      </c>
      <c r="K124" s="4">
        <v>0</v>
      </c>
      <c r="L124" s="4">
        <v>0</v>
      </c>
      <c r="M124" s="4">
        <v>0</v>
      </c>
    </row>
    <row r="125" spans="1:13">
      <c r="A125" s="29" t="s">
        <v>353</v>
      </c>
      <c r="B125" s="4">
        <v>1.0349500142615495E-4</v>
      </c>
      <c r="D125" s="4">
        <v>2.1217473924277789E-4</v>
      </c>
      <c r="E125" s="4">
        <v>0</v>
      </c>
      <c r="F125" s="4"/>
      <c r="G125" s="4">
        <v>0</v>
      </c>
      <c r="H125" s="4">
        <v>8.7964199541302579E-4</v>
      </c>
      <c r="I125" s="4">
        <v>0</v>
      </c>
      <c r="J125" s="4">
        <v>0</v>
      </c>
      <c r="K125" s="4">
        <v>0</v>
      </c>
      <c r="L125" s="4">
        <v>0</v>
      </c>
      <c r="M125" s="4">
        <v>0</v>
      </c>
    </row>
    <row r="126" spans="1:13">
      <c r="A126" s="29" t="s">
        <v>354</v>
      </c>
      <c r="B126" s="4">
        <v>2.3172287154429338E-3</v>
      </c>
      <c r="D126" s="4">
        <v>4.3895372691758056E-3</v>
      </c>
      <c r="E126" s="4">
        <v>3.4834008237802182E-4</v>
      </c>
      <c r="F126" s="4"/>
      <c r="G126" s="4">
        <v>8.2526683162402401E-3</v>
      </c>
      <c r="H126" s="4">
        <v>2.8528775865619268E-3</v>
      </c>
      <c r="I126" s="4">
        <v>1.3742712522599458E-3</v>
      </c>
      <c r="J126" s="4">
        <v>2.1676684193072619E-3</v>
      </c>
      <c r="K126" s="4">
        <v>1.3907034484234816E-3</v>
      </c>
      <c r="L126" s="4">
        <v>2.5901910214806965E-3</v>
      </c>
      <c r="M126" s="4">
        <v>2.2748370511884285E-3</v>
      </c>
    </row>
    <row r="127" spans="1:13">
      <c r="A127" s="29" t="s">
        <v>355</v>
      </c>
      <c r="B127" s="4">
        <v>1.5689557088431039E-3</v>
      </c>
      <c r="D127" s="4">
        <v>2.8630316782260602E-3</v>
      </c>
      <c r="E127" s="4">
        <v>3.4107785177887786E-4</v>
      </c>
      <c r="F127" s="4"/>
      <c r="G127" s="4">
        <v>0</v>
      </c>
      <c r="H127" s="4">
        <v>1.5786711396772735E-3</v>
      </c>
      <c r="I127" s="4">
        <v>4.2280239601221563E-3</v>
      </c>
      <c r="J127" s="4">
        <v>1.7086030203579538E-3</v>
      </c>
      <c r="K127" s="4">
        <v>6.0283146694494285E-4</v>
      </c>
      <c r="L127" s="4">
        <v>6.0629722366160963E-4</v>
      </c>
      <c r="M127" s="4">
        <v>6.9698782978310858E-4</v>
      </c>
    </row>
    <row r="128" spans="1:13">
      <c r="A128" s="29" t="s">
        <v>356</v>
      </c>
      <c r="B128" s="4">
        <v>3.7482058977846362E-3</v>
      </c>
      <c r="D128" s="4">
        <v>3.272288681282444E-3</v>
      </c>
      <c r="E128" s="4">
        <v>3.7800611491131684E-3</v>
      </c>
      <c r="F128" s="4"/>
      <c r="G128" s="4">
        <v>8.6169835626793978E-3</v>
      </c>
      <c r="H128" s="4">
        <v>7.7680640130680465E-3</v>
      </c>
      <c r="I128" s="4">
        <v>5.0975832645717215E-3</v>
      </c>
      <c r="J128" s="4">
        <v>4.7742737458405116E-3</v>
      </c>
      <c r="K128" s="4">
        <v>4.1880889669112173E-3</v>
      </c>
      <c r="L128" s="4">
        <v>6.3570983241785994E-4</v>
      </c>
      <c r="M128" s="4">
        <v>0</v>
      </c>
    </row>
    <row r="129" spans="1:13">
      <c r="A129" s="29" t="s">
        <v>357</v>
      </c>
      <c r="B129" s="4">
        <v>0</v>
      </c>
      <c r="D129" s="4">
        <v>0</v>
      </c>
      <c r="E129" s="4">
        <v>0</v>
      </c>
      <c r="F129" s="4"/>
      <c r="G129" s="4">
        <v>0</v>
      </c>
      <c r="H129" s="4">
        <v>0</v>
      </c>
      <c r="I129" s="4">
        <v>0</v>
      </c>
      <c r="J129" s="4">
        <v>0</v>
      </c>
      <c r="K129" s="4">
        <v>0</v>
      </c>
      <c r="L129" s="4">
        <v>0</v>
      </c>
      <c r="M129" s="4">
        <v>0</v>
      </c>
    </row>
    <row r="130" spans="1:13">
      <c r="A130" s="29" t="s">
        <v>358</v>
      </c>
      <c r="B130" s="4">
        <v>8.3000750699246378E-3</v>
      </c>
      <c r="D130" s="4">
        <v>8.7764842267517868E-3</v>
      </c>
      <c r="E130" s="4">
        <v>7.9504060835442845E-3</v>
      </c>
      <c r="F130" s="4"/>
      <c r="G130" s="4">
        <v>1.3373786766566947E-2</v>
      </c>
      <c r="H130" s="4">
        <v>9.1063255557630868E-3</v>
      </c>
      <c r="I130" s="4">
        <v>1.236288727903785E-2</v>
      </c>
      <c r="J130" s="4">
        <v>4.9598432216934963E-3</v>
      </c>
      <c r="K130" s="4">
        <v>5.6759456089143078E-3</v>
      </c>
      <c r="L130" s="4">
        <v>1.2379079211127991E-2</v>
      </c>
      <c r="M130" s="4">
        <v>5.3429004288131207E-3</v>
      </c>
    </row>
    <row r="131" spans="1:13">
      <c r="A131" s="29" t="s">
        <v>359</v>
      </c>
      <c r="B131" s="4">
        <v>0</v>
      </c>
      <c r="D131" s="4">
        <v>0</v>
      </c>
      <c r="E131" s="4">
        <v>0</v>
      </c>
      <c r="F131" s="4"/>
      <c r="G131" s="4">
        <v>0</v>
      </c>
      <c r="H131" s="4">
        <v>0</v>
      </c>
      <c r="I131" s="4">
        <v>0</v>
      </c>
      <c r="J131" s="4">
        <v>0</v>
      </c>
      <c r="K131" s="4">
        <v>0</v>
      </c>
      <c r="L131" s="4">
        <v>0</v>
      </c>
      <c r="M131" s="4">
        <v>0</v>
      </c>
    </row>
    <row r="132" spans="1:13">
      <c r="A132" s="29" t="s">
        <v>360</v>
      </c>
      <c r="B132" s="4">
        <v>9.7914393792028335E-4</v>
      </c>
      <c r="D132" s="4">
        <v>9.7795523733980208E-4</v>
      </c>
      <c r="E132" s="4">
        <v>9.9327053399812944E-4</v>
      </c>
      <c r="F132" s="4"/>
      <c r="G132" s="4">
        <v>7.006016076156669E-3</v>
      </c>
      <c r="H132" s="4">
        <v>2.1726306144216785E-3</v>
      </c>
      <c r="I132" s="4">
        <v>1.3421957506916749E-3</v>
      </c>
      <c r="J132" s="4">
        <v>5.5956604546120723E-4</v>
      </c>
      <c r="K132" s="4">
        <v>5.864654971682317E-4</v>
      </c>
      <c r="L132" s="4">
        <v>0</v>
      </c>
      <c r="M132" s="4">
        <v>0</v>
      </c>
    </row>
    <row r="133" spans="1:13">
      <c r="A133" s="29" t="s">
        <v>361</v>
      </c>
      <c r="B133" s="4">
        <v>4.3297449700135373E-3</v>
      </c>
      <c r="D133" s="4">
        <v>5.077502167516258E-3</v>
      </c>
      <c r="E133" s="4">
        <v>3.5233775763244927E-3</v>
      </c>
      <c r="F133" s="4"/>
      <c r="G133" s="4">
        <v>0</v>
      </c>
      <c r="H133" s="4">
        <v>8.2862081929599048E-3</v>
      </c>
      <c r="I133" s="4">
        <v>1.2796461797510855E-2</v>
      </c>
      <c r="J133" s="4">
        <v>4.8903992388849805E-3</v>
      </c>
      <c r="K133" s="4">
        <v>0</v>
      </c>
      <c r="L133" s="4">
        <v>1.2243958870769688E-3</v>
      </c>
      <c r="M133" s="4">
        <v>0</v>
      </c>
    </row>
    <row r="134" spans="1:13">
      <c r="A134" s="29" t="s">
        <v>362</v>
      </c>
      <c r="B134" s="4">
        <v>3.132488207857127E-3</v>
      </c>
      <c r="D134" s="4">
        <v>4.9643759967935843E-3</v>
      </c>
      <c r="E134" s="4">
        <v>1.4063928188147938E-3</v>
      </c>
      <c r="F134" s="4"/>
      <c r="G134" s="4">
        <v>0</v>
      </c>
      <c r="H134" s="4">
        <v>5.5066034201704493E-3</v>
      </c>
      <c r="I134" s="4">
        <v>3.6752148034090923E-3</v>
      </c>
      <c r="J134" s="4">
        <v>2.9168424973768608E-3</v>
      </c>
      <c r="K134" s="4">
        <v>1.6856136945943873E-3</v>
      </c>
      <c r="L134" s="4">
        <v>4.6486759011487907E-3</v>
      </c>
      <c r="M134" s="4">
        <v>2.2013400875410005E-3</v>
      </c>
    </row>
    <row r="135" spans="1:13">
      <c r="A135" s="29" t="s">
        <v>363</v>
      </c>
      <c r="B135" s="4">
        <v>9.0295872733697959E-3</v>
      </c>
      <c r="D135" s="4">
        <v>1.1013696883855719E-2</v>
      </c>
      <c r="E135" s="4">
        <v>7.234782790460006E-3</v>
      </c>
      <c r="F135" s="4"/>
      <c r="G135" s="4">
        <v>1.50805563864222E-2</v>
      </c>
      <c r="H135" s="4">
        <v>9.6936985482189882E-3</v>
      </c>
      <c r="I135" s="4">
        <v>1.0462273539927142E-2</v>
      </c>
      <c r="J135" s="4">
        <v>1.2338398989556338E-2</v>
      </c>
      <c r="K135" s="4">
        <v>1.0468655037316685E-2</v>
      </c>
      <c r="L135" s="4">
        <v>6.8230262696218208E-3</v>
      </c>
      <c r="M135" s="4">
        <v>3.6441999337612709E-3</v>
      </c>
    </row>
    <row r="136" spans="1:13">
      <c r="A136" s="29" t="s">
        <v>364</v>
      </c>
      <c r="B136" s="4">
        <v>0.12913521626030761</v>
      </c>
      <c r="D136" s="4">
        <v>0.11781326075853348</v>
      </c>
      <c r="E136" s="4">
        <v>0.13996970512167398</v>
      </c>
      <c r="F136" s="4"/>
      <c r="G136" s="4">
        <v>0.13669150718677825</v>
      </c>
      <c r="H136" s="4">
        <v>0.12998940265136671</v>
      </c>
      <c r="I136" s="4">
        <v>0.13833738174085045</v>
      </c>
      <c r="J136" s="4">
        <v>0.1536882728529175</v>
      </c>
      <c r="K136" s="4">
        <v>0.14836305432941196</v>
      </c>
      <c r="L136" s="4">
        <v>0.14163189988435881</v>
      </c>
      <c r="M136" s="4">
        <v>7.5881799821649581E-2</v>
      </c>
    </row>
    <row r="137" spans="1:13">
      <c r="A137" s="29" t="s">
        <v>365</v>
      </c>
      <c r="B137" s="4">
        <v>9.3920697997808094E-5</v>
      </c>
      <c r="D137" s="4">
        <v>0</v>
      </c>
      <c r="E137" s="4">
        <v>1.8579140534270356E-4</v>
      </c>
      <c r="F137" s="4"/>
      <c r="G137" s="4">
        <v>0</v>
      </c>
      <c r="H137" s="4">
        <v>7.98266477210729E-4</v>
      </c>
      <c r="I137" s="4">
        <v>0</v>
      </c>
      <c r="J137" s="4">
        <v>0</v>
      </c>
      <c r="K137" s="4">
        <v>0</v>
      </c>
      <c r="L137" s="4">
        <v>0</v>
      </c>
      <c r="M137" s="4">
        <v>0</v>
      </c>
    </row>
    <row r="138" spans="1:13">
      <c r="A138" s="29" t="s">
        <v>366</v>
      </c>
      <c r="B138" s="4">
        <v>6.318590428114791E-4</v>
      </c>
      <c r="D138" s="4">
        <v>2.3588266248679524E-4</v>
      </c>
      <c r="E138" s="4">
        <v>1.0223193925173978E-3</v>
      </c>
      <c r="F138" s="4"/>
      <c r="G138" s="4">
        <v>0</v>
      </c>
      <c r="H138" s="4">
        <v>2.1812001672023465E-3</v>
      </c>
      <c r="I138" s="4">
        <v>6.2811183869557706E-4</v>
      </c>
      <c r="J138" s="4">
        <v>5.4425798068224063E-4</v>
      </c>
      <c r="K138" s="4">
        <v>1.1051141067084558E-3</v>
      </c>
      <c r="L138" s="4">
        <v>0</v>
      </c>
      <c r="M138" s="4">
        <v>0</v>
      </c>
    </row>
    <row r="139" spans="1:13">
      <c r="A139" s="29" t="s">
        <v>367</v>
      </c>
      <c r="B139" s="4">
        <v>2.1867189102519918E-2</v>
      </c>
      <c r="D139" s="4">
        <v>3.1711701317483743E-2</v>
      </c>
      <c r="E139" s="4">
        <v>1.2657923801121717E-2</v>
      </c>
      <c r="F139" s="4"/>
      <c r="G139" s="4">
        <v>5.6541112070337532E-2</v>
      </c>
      <c r="H139" s="4">
        <v>4.0035700530301123E-2</v>
      </c>
      <c r="I139" s="4">
        <v>2.803547387626806E-2</v>
      </c>
      <c r="J139" s="4">
        <v>2.0516337485259314E-2</v>
      </c>
      <c r="K139" s="4">
        <v>2.1791547558397129E-2</v>
      </c>
      <c r="L139" s="4">
        <v>8.3003398766444223E-3</v>
      </c>
      <c r="M139" s="4">
        <v>8.5808749594092678E-3</v>
      </c>
    </row>
    <row r="140" spans="1:13">
      <c r="A140" s="29" t="s">
        <v>368</v>
      </c>
      <c r="B140" s="4">
        <v>1.5896420567909424E-3</v>
      </c>
      <c r="D140" s="4">
        <v>1.5114132485764865E-3</v>
      </c>
      <c r="E140" s="4">
        <v>1.6861987751779952E-3</v>
      </c>
      <c r="F140" s="4"/>
      <c r="G140" s="4">
        <v>1.563115651389264E-2</v>
      </c>
      <c r="H140" s="4">
        <v>3.6200991379502219E-3</v>
      </c>
      <c r="I140" s="4">
        <v>9.3440720398111493E-4</v>
      </c>
      <c r="J140" s="4">
        <v>1.0345027836425949E-3</v>
      </c>
      <c r="K140" s="4">
        <v>5.2853409310142738E-4</v>
      </c>
      <c r="L140" s="4">
        <v>6.2467345166406071E-4</v>
      </c>
      <c r="M140" s="4">
        <v>0</v>
      </c>
    </row>
    <row r="141" spans="1:13">
      <c r="A141" s="29" t="s">
        <v>369</v>
      </c>
      <c r="B141" s="4">
        <v>0</v>
      </c>
      <c r="D141" s="4">
        <v>0</v>
      </c>
      <c r="E141" s="4">
        <v>0</v>
      </c>
      <c r="F141" s="4"/>
      <c r="G141" s="4">
        <v>0</v>
      </c>
      <c r="H141" s="4">
        <v>0</v>
      </c>
      <c r="I141" s="4">
        <v>0</v>
      </c>
      <c r="J141" s="4">
        <v>0</v>
      </c>
      <c r="K141" s="4">
        <v>0</v>
      </c>
      <c r="L141" s="4">
        <v>0</v>
      </c>
      <c r="M141" s="4">
        <v>0</v>
      </c>
    </row>
    <row r="142" spans="1:13">
      <c r="A142" s="29" t="s">
        <v>370</v>
      </c>
      <c r="B142" s="4">
        <v>5.6213263215932917E-2</v>
      </c>
      <c r="D142" s="4">
        <v>6.8605460629668172E-2</v>
      </c>
      <c r="E142" s="4">
        <v>4.4858747699274809E-2</v>
      </c>
      <c r="F142" s="4"/>
      <c r="G142" s="4">
        <v>9.8367274516693248E-2</v>
      </c>
      <c r="H142" s="4">
        <v>8.9407486029622826E-2</v>
      </c>
      <c r="I142" s="4">
        <v>6.3548542315413251E-2</v>
      </c>
      <c r="J142" s="4">
        <v>6.6810524488848028E-2</v>
      </c>
      <c r="K142" s="4">
        <v>6.4717517383767756E-2</v>
      </c>
      <c r="L142" s="4">
        <v>2.5247017601231516E-2</v>
      </c>
      <c r="M142" s="4">
        <v>2.6232199657646761E-2</v>
      </c>
    </row>
    <row r="143" spans="1:13">
      <c r="A143" s="29" t="s">
        <v>371</v>
      </c>
      <c r="B143" s="4">
        <v>5.101650781082278E-3</v>
      </c>
      <c r="D143" s="4">
        <v>6.0238339889563917E-3</v>
      </c>
      <c r="E143" s="4">
        <v>4.2794482573870959E-3</v>
      </c>
      <c r="F143" s="4"/>
      <c r="G143" s="4">
        <v>0</v>
      </c>
      <c r="H143" s="4">
        <v>5.6089738769763238E-3</v>
      </c>
      <c r="I143" s="4">
        <v>9.7770874237852554E-3</v>
      </c>
      <c r="J143" s="4">
        <v>5.4030771439423277E-3</v>
      </c>
      <c r="K143" s="4">
        <v>3.5576971340347129E-3</v>
      </c>
      <c r="L143" s="4">
        <v>4.5638531472889385E-3</v>
      </c>
      <c r="M143" s="4">
        <v>2.872145412174561E-3</v>
      </c>
    </row>
    <row r="144" spans="1:13">
      <c r="A144" s="29" t="s">
        <v>372</v>
      </c>
      <c r="B144" s="4">
        <v>0</v>
      </c>
      <c r="D144" s="4">
        <v>0</v>
      </c>
      <c r="E144" s="4">
        <v>0</v>
      </c>
      <c r="F144" s="4"/>
      <c r="G144" s="4">
        <v>0</v>
      </c>
      <c r="H144" s="4">
        <v>0</v>
      </c>
      <c r="I144" s="4">
        <v>0</v>
      </c>
      <c r="J144" s="4">
        <v>0</v>
      </c>
      <c r="K144" s="4">
        <v>0</v>
      </c>
      <c r="L144" s="4">
        <v>0</v>
      </c>
      <c r="M144" s="4">
        <v>0</v>
      </c>
    </row>
    <row r="145" spans="1:13">
      <c r="A145" s="29" t="s">
        <v>373</v>
      </c>
      <c r="B145" s="4">
        <v>1.5758579889161527E-3</v>
      </c>
      <c r="D145" s="4">
        <v>1.9606704512847854E-3</v>
      </c>
      <c r="E145" s="4">
        <v>1.2254355415655415E-3</v>
      </c>
      <c r="F145" s="4"/>
      <c r="G145" s="4">
        <v>0</v>
      </c>
      <c r="H145" s="4">
        <v>2.6724481220633889E-3</v>
      </c>
      <c r="I145" s="4">
        <v>4.9313196336779825E-3</v>
      </c>
      <c r="J145" s="4">
        <v>1.055146225047587E-3</v>
      </c>
      <c r="K145" s="4">
        <v>1.1645102995682837E-3</v>
      </c>
      <c r="L145" s="4">
        <v>0</v>
      </c>
      <c r="M145" s="4">
        <v>0</v>
      </c>
    </row>
    <row r="146" spans="1:13">
      <c r="A146" s="29" t="s">
        <v>374</v>
      </c>
      <c r="B146" s="4">
        <v>6.8049866198855629E-4</v>
      </c>
      <c r="D146" s="4">
        <v>1.0253679500123302E-3</v>
      </c>
      <c r="E146" s="4">
        <v>3.5674912281010194E-4</v>
      </c>
      <c r="F146" s="4"/>
      <c r="G146" s="4">
        <v>0</v>
      </c>
      <c r="H146" s="4">
        <v>7.5662588820997055E-4</v>
      </c>
      <c r="I146" s="4">
        <v>2.211206228652163E-3</v>
      </c>
      <c r="J146" s="4">
        <v>5.5473865354571791E-4</v>
      </c>
      <c r="K146" s="4">
        <v>5.9990133999959284E-4</v>
      </c>
      <c r="L146" s="4">
        <v>0</v>
      </c>
      <c r="M146" s="4">
        <v>0</v>
      </c>
    </row>
    <row r="147" spans="1:13">
      <c r="A147" s="29" t="s">
        <v>375</v>
      </c>
      <c r="B147" s="4">
        <v>6.7473577944003075E-3</v>
      </c>
      <c r="D147" s="4">
        <v>6.3470463588013665E-3</v>
      </c>
      <c r="E147" s="4">
        <v>7.223068579966783E-3</v>
      </c>
      <c r="F147" s="4"/>
      <c r="G147" s="4">
        <v>0</v>
      </c>
      <c r="H147" s="4">
        <v>4.0072293711799793E-3</v>
      </c>
      <c r="I147" s="4">
        <v>8.3150883685930432E-3</v>
      </c>
      <c r="J147" s="4">
        <v>1.0393201598539053E-2</v>
      </c>
      <c r="K147" s="4">
        <v>7.1663678657689113E-3</v>
      </c>
      <c r="L147" s="4">
        <v>7.4887127952843772E-3</v>
      </c>
      <c r="M147" s="4">
        <v>4.4103149289030303E-3</v>
      </c>
    </row>
    <row r="148" spans="1:13">
      <c r="A148" s="29" t="s">
        <v>376</v>
      </c>
      <c r="B148" s="4">
        <v>1.1200745452111091E-2</v>
      </c>
      <c r="D148" s="4">
        <v>1.0490341603520522E-2</v>
      </c>
      <c r="E148" s="4">
        <v>1.2034704121002613E-2</v>
      </c>
      <c r="F148" s="4"/>
      <c r="G148" s="4">
        <v>5.9132803886097027E-2</v>
      </c>
      <c r="H148" s="4">
        <v>2.5623581248537509E-2</v>
      </c>
      <c r="I148" s="4">
        <v>1.0838276877279609E-2</v>
      </c>
      <c r="J148" s="4">
        <v>1.243846810108923E-2</v>
      </c>
      <c r="K148" s="4">
        <v>7.4173921246149773E-3</v>
      </c>
      <c r="L148" s="4">
        <v>3.5189643264334765E-3</v>
      </c>
      <c r="M148" s="4">
        <v>0</v>
      </c>
    </row>
    <row r="149" spans="1:13">
      <c r="A149" s="29" t="s">
        <v>377</v>
      </c>
      <c r="B149" s="4">
        <v>1.0699400091531249E-2</v>
      </c>
      <c r="D149" s="4">
        <v>1.0997770193722993E-2</v>
      </c>
      <c r="E149" s="4">
        <v>1.0383553277825155E-2</v>
      </c>
      <c r="F149" s="4"/>
      <c r="G149" s="4">
        <v>7.2440672422440233E-2</v>
      </c>
      <c r="H149" s="4">
        <v>3.8535711727349452E-2</v>
      </c>
      <c r="I149" s="4">
        <v>1.1076690369077106E-2</v>
      </c>
      <c r="J149" s="4">
        <v>3.7188428952139815E-3</v>
      </c>
      <c r="K149" s="4">
        <v>1.2043411882409086E-3</v>
      </c>
      <c r="L149" s="4">
        <v>6.8522908548873597E-4</v>
      </c>
      <c r="M149" s="4">
        <v>9.6031745991792365E-4</v>
      </c>
    </row>
    <row r="150" spans="1:13">
      <c r="A150" s="29" t="s">
        <v>378</v>
      </c>
      <c r="B150" s="4">
        <v>0.51198138164554907</v>
      </c>
      <c r="D150" s="4">
        <v>0.43104861643441822</v>
      </c>
      <c r="E150" s="4">
        <v>0.59101786243582421</v>
      </c>
      <c r="F150" s="4"/>
      <c r="G150" s="4">
        <v>0.31036017324276638</v>
      </c>
      <c r="H150" s="4">
        <v>0.34224511807036195</v>
      </c>
      <c r="I150" s="4">
        <v>0.43217914334515045</v>
      </c>
      <c r="J150" s="4">
        <v>0.48000031592847825</v>
      </c>
      <c r="K150" s="4">
        <v>0.58757548573546348</v>
      </c>
      <c r="L150" s="4">
        <v>0.68576985654268019</v>
      </c>
      <c r="M150" s="4">
        <v>0.58440518540520969</v>
      </c>
    </row>
    <row r="151" spans="1:13">
      <c r="A151" s="29" t="s">
        <v>379</v>
      </c>
      <c r="B151" s="4">
        <v>8.0875617552147029E-4</v>
      </c>
      <c r="D151" s="4">
        <v>1.6580281973781258E-3</v>
      </c>
      <c r="E151" s="4">
        <v>0</v>
      </c>
      <c r="F151" s="4"/>
      <c r="G151" s="4">
        <v>8.2526683162402401E-3</v>
      </c>
      <c r="H151" s="4">
        <v>8.7688904669800327E-4</v>
      </c>
      <c r="I151" s="4">
        <v>1.0970312216260724E-3</v>
      </c>
      <c r="J151" s="4">
        <v>0</v>
      </c>
      <c r="K151" s="4">
        <v>0</v>
      </c>
      <c r="L151" s="4">
        <v>6.8522908548873597E-4</v>
      </c>
      <c r="M151" s="4">
        <v>3.5043744823204766E-4</v>
      </c>
    </row>
    <row r="152" spans="1:13">
      <c r="A152" s="29" t="s">
        <v>380</v>
      </c>
      <c r="B152" s="4">
        <v>2.0840340060478105E-3</v>
      </c>
      <c r="D152" s="4">
        <v>2.5311284060084214E-3</v>
      </c>
      <c r="E152" s="4">
        <v>1.6802510674649776E-3</v>
      </c>
      <c r="F152" s="4"/>
      <c r="G152" s="4">
        <v>0</v>
      </c>
      <c r="H152" s="4">
        <v>2.9930699525504189E-3</v>
      </c>
      <c r="I152" s="4">
        <v>2.5991524264816009E-3</v>
      </c>
      <c r="J152" s="4">
        <v>2.6031645671263288E-3</v>
      </c>
      <c r="K152" s="4">
        <v>1.8074222799348543E-3</v>
      </c>
      <c r="L152" s="4">
        <v>2.6749032562129282E-3</v>
      </c>
      <c r="M152" s="4">
        <v>9.0926789880088285E-4</v>
      </c>
    </row>
    <row r="153" spans="1:13">
      <c r="A153" s="29" t="s">
        <v>381</v>
      </c>
      <c r="B153" s="4">
        <v>1.5551898035609432E-2</v>
      </c>
      <c r="D153" s="4">
        <v>1.6756045351374677E-2</v>
      </c>
      <c r="E153" s="4">
        <v>1.4026116843206628E-2</v>
      </c>
      <c r="F153" s="4"/>
      <c r="G153" s="4">
        <v>2.1124635483671033E-2</v>
      </c>
      <c r="H153" s="4">
        <v>1.7449460957031059E-2</v>
      </c>
      <c r="I153" s="4">
        <v>2.294809109780678E-2</v>
      </c>
      <c r="J153" s="4">
        <v>1.5974037253360135E-2</v>
      </c>
      <c r="K153" s="4">
        <v>1.7620546337634924E-2</v>
      </c>
      <c r="L153" s="4">
        <v>1.3382660066704513E-2</v>
      </c>
      <c r="M153" s="4">
        <v>6.1826012485281601E-3</v>
      </c>
    </row>
    <row r="154" spans="1:13">
      <c r="A154" s="29" t="s">
        <v>382</v>
      </c>
      <c r="B154" s="4">
        <v>0</v>
      </c>
      <c r="D154" s="4">
        <v>0</v>
      </c>
      <c r="E154" s="4">
        <v>0</v>
      </c>
      <c r="F154" s="4"/>
      <c r="G154" s="4">
        <v>0</v>
      </c>
      <c r="H154" s="4">
        <v>0</v>
      </c>
      <c r="I154" s="4">
        <v>0</v>
      </c>
      <c r="J154" s="4">
        <v>0</v>
      </c>
      <c r="K154" s="4">
        <v>0</v>
      </c>
      <c r="L154" s="4">
        <v>0</v>
      </c>
      <c r="M154" s="4">
        <v>0</v>
      </c>
    </row>
    <row r="155" spans="1:13">
      <c r="A155" s="29" t="s">
        <v>383</v>
      </c>
      <c r="B155" s="4">
        <v>6.9508426434624823E-4</v>
      </c>
      <c r="D155" s="4">
        <v>1.1829480016164577E-3</v>
      </c>
      <c r="E155" s="4">
        <v>2.3355028263031906E-4</v>
      </c>
      <c r="F155" s="4"/>
      <c r="G155" s="4">
        <v>0</v>
      </c>
      <c r="H155" s="4">
        <v>0</v>
      </c>
      <c r="I155" s="4">
        <v>0</v>
      </c>
      <c r="J155" s="4">
        <v>6.4253370404320279E-4</v>
      </c>
      <c r="K155" s="4">
        <v>7.8926368027518103E-4</v>
      </c>
      <c r="L155" s="4">
        <v>6.6363553807061344E-4</v>
      </c>
      <c r="M155" s="4">
        <v>1.8570397730845087E-3</v>
      </c>
    </row>
    <row r="156" spans="1:13">
      <c r="A156" s="29" t="s">
        <v>384</v>
      </c>
      <c r="B156" s="4">
        <v>8.7325485516547604E-4</v>
      </c>
      <c r="D156" s="4">
        <v>1.4153414192469595E-3</v>
      </c>
      <c r="E156" s="4">
        <v>1.7907545195693225E-4</v>
      </c>
      <c r="F156" s="4"/>
      <c r="G156" s="4">
        <v>0</v>
      </c>
      <c r="H156" s="4">
        <v>2.4826167344917291E-3</v>
      </c>
      <c r="I156" s="4">
        <v>1.0460277885916995E-3</v>
      </c>
      <c r="J156" s="4">
        <v>1.0403965505319259E-3</v>
      </c>
      <c r="K156" s="4">
        <v>1.3919434608604293E-3</v>
      </c>
      <c r="L156" s="4">
        <v>0</v>
      </c>
      <c r="M156" s="4">
        <v>0</v>
      </c>
    </row>
    <row r="157" spans="1:13">
      <c r="A157" s="29" t="s">
        <v>385</v>
      </c>
      <c r="B157" s="4">
        <v>5.1003366754945774E-2</v>
      </c>
      <c r="D157" s="4">
        <v>1.384642097250686E-2</v>
      </c>
      <c r="E157" s="4">
        <v>8.6874246859618198E-2</v>
      </c>
      <c r="F157" s="4"/>
      <c r="G157" s="4">
        <v>3.9249231284434E-2</v>
      </c>
      <c r="H157" s="4">
        <v>3.0789099178801665E-2</v>
      </c>
      <c r="I157" s="4">
        <v>7.2197449909792669E-2</v>
      </c>
      <c r="J157" s="4">
        <v>6.6244235103286531E-2</v>
      </c>
      <c r="K157" s="4">
        <v>6.5507629069079823E-2</v>
      </c>
      <c r="L157" s="4">
        <v>4.2898841163734089E-2</v>
      </c>
      <c r="M157" s="4">
        <v>2.7539457802867283E-2</v>
      </c>
    </row>
    <row r="158" spans="1:13">
      <c r="A158" s="132"/>
      <c r="B158" s="159" t="s">
        <v>138</v>
      </c>
      <c r="C158" s="159"/>
      <c r="D158" s="159"/>
      <c r="E158" s="159"/>
      <c r="F158" s="159"/>
      <c r="G158" s="159"/>
      <c r="H158" s="159"/>
      <c r="I158" s="159"/>
      <c r="J158" s="159"/>
      <c r="K158" s="159"/>
      <c r="L158" s="159"/>
      <c r="M158" s="159"/>
    </row>
    <row r="159" spans="1:13">
      <c r="A159" s="29" t="s">
        <v>244</v>
      </c>
      <c r="B159" s="39">
        <v>8080.9666091324079</v>
      </c>
      <c r="D159" s="39">
        <v>6191.1042486133574</v>
      </c>
      <c r="E159" s="39">
        <v>1889.8623605190505</v>
      </c>
      <c r="F159" s="39"/>
      <c r="G159" s="39">
        <v>0</v>
      </c>
      <c r="H159" s="39">
        <v>2688.3196556736821</v>
      </c>
      <c r="I159" s="39">
        <v>1934.8477289571147</v>
      </c>
      <c r="J159" s="39">
        <v>2460.1842110410726</v>
      </c>
      <c r="K159" s="39">
        <v>997.61501346053888</v>
      </c>
      <c r="L159" s="39">
        <v>0</v>
      </c>
      <c r="M159" s="39">
        <v>0</v>
      </c>
    </row>
    <row r="160" spans="1:13">
      <c r="A160" s="29" t="s">
        <v>245</v>
      </c>
      <c r="B160" s="39">
        <v>22865.263968883581</v>
      </c>
      <c r="D160" s="39">
        <v>17392.416472936762</v>
      </c>
      <c r="E160" s="39">
        <v>5472.8474959468203</v>
      </c>
      <c r="F160" s="39"/>
      <c r="G160" s="39">
        <v>3380.5421921357156</v>
      </c>
      <c r="H160" s="39">
        <v>6110.3474171284079</v>
      </c>
      <c r="I160" s="39">
        <v>9621.8624059853028</v>
      </c>
      <c r="J160" s="39">
        <v>1607.8086777789049</v>
      </c>
      <c r="K160" s="39">
        <v>1252.9300716066969</v>
      </c>
      <c r="L160" s="39">
        <v>891.77320424855304</v>
      </c>
      <c r="M160" s="39">
        <v>0</v>
      </c>
    </row>
    <row r="161" spans="1:13">
      <c r="A161" s="29" t="s">
        <v>246</v>
      </c>
      <c r="B161" s="39">
        <v>11872.495916933656</v>
      </c>
      <c r="D161" s="39">
        <v>8315.810430320169</v>
      </c>
      <c r="E161" s="39">
        <v>3556.6854866134881</v>
      </c>
      <c r="F161" s="39"/>
      <c r="G161" s="39">
        <v>1415.9590625878579</v>
      </c>
      <c r="H161" s="39">
        <v>2846.0906383049796</v>
      </c>
      <c r="I161" s="39">
        <v>1524.0824785416889</v>
      </c>
      <c r="J161" s="39">
        <v>3748.4774103799818</v>
      </c>
      <c r="K161" s="39">
        <v>963.21470509825804</v>
      </c>
      <c r="L161" s="39">
        <v>991.55061101147476</v>
      </c>
      <c r="M161" s="39">
        <v>383.12101100941817</v>
      </c>
    </row>
    <row r="162" spans="1:13">
      <c r="A162" s="29" t="s">
        <v>247</v>
      </c>
      <c r="B162" s="39">
        <v>88641.881842247196</v>
      </c>
      <c r="D162" s="39">
        <v>58272.582971991891</v>
      </c>
      <c r="E162" s="39">
        <v>30369.298870255334</v>
      </c>
      <c r="F162" s="39"/>
      <c r="G162" s="39">
        <v>11803.895780312756</v>
      </c>
      <c r="H162" s="39">
        <v>21834.059271326812</v>
      </c>
      <c r="I162" s="39">
        <v>25235.31994459363</v>
      </c>
      <c r="J162" s="39">
        <v>19321.298345182957</v>
      </c>
      <c r="K162" s="39">
        <v>7225.0359340335417</v>
      </c>
      <c r="L162" s="39">
        <v>2861.6547537699394</v>
      </c>
      <c r="M162" s="39">
        <v>360.61781302758351</v>
      </c>
    </row>
    <row r="163" spans="1:13">
      <c r="A163" s="29" t="s">
        <v>248</v>
      </c>
      <c r="B163" s="39">
        <v>237916.13168202434</v>
      </c>
      <c r="D163" s="39">
        <v>185517.81816008966</v>
      </c>
      <c r="E163" s="39">
        <v>52398.31352193479</v>
      </c>
      <c r="F163" s="39"/>
      <c r="G163" s="39">
        <v>28058.98410000249</v>
      </c>
      <c r="H163" s="39">
        <v>65328.997762572923</v>
      </c>
      <c r="I163" s="39">
        <v>76022.268402935602</v>
      </c>
      <c r="J163" s="39">
        <v>41752.289553466857</v>
      </c>
      <c r="K163" s="39">
        <v>18451.80024102224</v>
      </c>
      <c r="L163" s="39">
        <v>7293.4053747450253</v>
      </c>
      <c r="M163" s="39">
        <v>1008.3862472793337</v>
      </c>
    </row>
    <row r="164" spans="1:13">
      <c r="A164" s="29" t="s">
        <v>249</v>
      </c>
      <c r="B164" s="39">
        <v>124726.91337839796</v>
      </c>
      <c r="D164" s="39">
        <v>78046.838805028761</v>
      </c>
      <c r="E164" s="39">
        <v>46680.07457336918</v>
      </c>
      <c r="F164" s="39"/>
      <c r="G164" s="39">
        <v>18840.681741888209</v>
      </c>
      <c r="H164" s="39">
        <v>32475.116713133277</v>
      </c>
      <c r="I164" s="39">
        <v>40273.222324546696</v>
      </c>
      <c r="J164" s="39">
        <v>17436.596652914151</v>
      </c>
      <c r="K164" s="39">
        <v>8040.5023265703348</v>
      </c>
      <c r="L164" s="39">
        <v>3694.3810876480957</v>
      </c>
      <c r="M164" s="39">
        <v>3966.4125316972286</v>
      </c>
    </row>
    <row r="165" spans="1:13">
      <c r="A165" s="29" t="s">
        <v>250</v>
      </c>
      <c r="B165" s="39">
        <v>21291.632753550883</v>
      </c>
      <c r="D165" s="39">
        <v>15171.836830297023</v>
      </c>
      <c r="E165" s="39">
        <v>6119.7959232538569</v>
      </c>
      <c r="F165" s="39"/>
      <c r="G165" s="39">
        <v>8741.8496666743777</v>
      </c>
      <c r="H165" s="39">
        <v>5024.3142255552857</v>
      </c>
      <c r="I165" s="39">
        <v>3914.6675220112479</v>
      </c>
      <c r="J165" s="39">
        <v>2177.0452075251096</v>
      </c>
      <c r="K165" s="39">
        <v>1433.7561317848565</v>
      </c>
      <c r="L165" s="39">
        <v>0</v>
      </c>
      <c r="M165" s="39">
        <v>0</v>
      </c>
    </row>
    <row r="166" spans="1:13">
      <c r="A166" s="29" t="s">
        <v>251</v>
      </c>
      <c r="B166" s="39">
        <v>337714.29468838876</v>
      </c>
      <c r="D166" s="39">
        <v>233332.55532867979</v>
      </c>
      <c r="E166" s="39">
        <v>103849.10308771701</v>
      </c>
      <c r="F166" s="39"/>
      <c r="G166" s="39">
        <v>34631.303016025653</v>
      </c>
      <c r="H166" s="39">
        <v>100874.64768175744</v>
      </c>
      <c r="I166" s="39">
        <v>89818.796334759114</v>
      </c>
      <c r="J166" s="39">
        <v>61366.330720673635</v>
      </c>
      <c r="K166" s="39">
        <v>39736.486088904501</v>
      </c>
      <c r="L166" s="39">
        <v>6874.9991213546737</v>
      </c>
      <c r="M166" s="39">
        <v>4411.7317249132102</v>
      </c>
    </row>
    <row r="167" spans="1:13">
      <c r="A167" s="29" t="s">
        <v>252</v>
      </c>
      <c r="B167" s="39">
        <v>2265.7095050622765</v>
      </c>
      <c r="D167" s="39">
        <v>1507.5702356901074</v>
      </c>
      <c r="E167" s="39">
        <v>758.13926937216877</v>
      </c>
      <c r="F167" s="39"/>
      <c r="G167" s="39">
        <v>0</v>
      </c>
      <c r="H167" s="39">
        <v>513.43167893591385</v>
      </c>
      <c r="I167" s="39">
        <v>1410.1582702779874</v>
      </c>
      <c r="J167" s="39">
        <v>0</v>
      </c>
      <c r="K167" s="39">
        <v>0</v>
      </c>
      <c r="L167" s="39">
        <v>0</v>
      </c>
      <c r="M167" s="39">
        <v>342.11955584837506</v>
      </c>
    </row>
    <row r="168" spans="1:13">
      <c r="A168" s="29" t="s">
        <v>253</v>
      </c>
      <c r="B168" s="39">
        <v>0</v>
      </c>
      <c r="D168" s="39">
        <v>0</v>
      </c>
      <c r="E168" s="39">
        <v>0</v>
      </c>
      <c r="F168" s="39"/>
      <c r="G168" s="39">
        <v>0</v>
      </c>
      <c r="H168" s="39">
        <v>0</v>
      </c>
      <c r="I168" s="39">
        <v>0</v>
      </c>
      <c r="J168" s="39">
        <v>0</v>
      </c>
      <c r="K168" s="39">
        <v>0</v>
      </c>
      <c r="L168" s="39">
        <v>0</v>
      </c>
      <c r="M168" s="39">
        <v>0</v>
      </c>
    </row>
    <row r="169" spans="1:13">
      <c r="A169" s="29" t="s">
        <v>254</v>
      </c>
      <c r="B169" s="39">
        <v>15624.59645491345</v>
      </c>
      <c r="D169" s="39">
        <v>11813.080912514039</v>
      </c>
      <c r="E169" s="39">
        <v>3811.5155423994051</v>
      </c>
      <c r="F169" s="39"/>
      <c r="G169" s="39">
        <v>0</v>
      </c>
      <c r="H169" s="39">
        <v>3031.5921069538099</v>
      </c>
      <c r="I169" s="39">
        <v>7323.0463475489541</v>
      </c>
      <c r="J169" s="39">
        <v>556.60047443328006</v>
      </c>
      <c r="K169" s="39">
        <v>1518.4200592894222</v>
      </c>
      <c r="L169" s="39">
        <v>924.13742197443003</v>
      </c>
      <c r="M169" s="39">
        <v>2270.800044713551</v>
      </c>
    </row>
    <row r="170" spans="1:13">
      <c r="A170" s="29" t="s">
        <v>255</v>
      </c>
      <c r="B170" s="39">
        <v>1045.6416411381319</v>
      </c>
      <c r="D170" s="39">
        <v>1045.6416411381319</v>
      </c>
      <c r="E170" s="39">
        <v>0</v>
      </c>
      <c r="F170" s="39"/>
      <c r="G170" s="39">
        <v>0</v>
      </c>
      <c r="H170" s="39">
        <v>1045.6416411381319</v>
      </c>
      <c r="I170" s="39">
        <v>0</v>
      </c>
      <c r="J170" s="39">
        <v>0</v>
      </c>
      <c r="K170" s="39">
        <v>0</v>
      </c>
      <c r="L170" s="39">
        <v>0</v>
      </c>
      <c r="M170" s="39">
        <v>0</v>
      </c>
    </row>
    <row r="171" spans="1:13">
      <c r="A171" s="29" t="s">
        <v>256</v>
      </c>
      <c r="B171" s="39">
        <v>0</v>
      </c>
      <c r="D171" s="39">
        <v>0</v>
      </c>
      <c r="E171" s="39">
        <v>0</v>
      </c>
      <c r="F171" s="39"/>
      <c r="G171" s="39">
        <v>0</v>
      </c>
      <c r="H171" s="39">
        <v>0</v>
      </c>
      <c r="I171" s="39">
        <v>0</v>
      </c>
      <c r="J171" s="39">
        <v>0</v>
      </c>
      <c r="K171" s="39">
        <v>0</v>
      </c>
      <c r="L171" s="39">
        <v>0</v>
      </c>
      <c r="M171" s="39">
        <v>0</v>
      </c>
    </row>
    <row r="172" spans="1:13">
      <c r="A172" s="29" t="s">
        <v>257</v>
      </c>
      <c r="B172" s="39">
        <v>412.69427939762943</v>
      </c>
      <c r="D172" s="39">
        <v>412.69427939762943</v>
      </c>
      <c r="E172" s="39">
        <v>0</v>
      </c>
      <c r="F172" s="39"/>
      <c r="G172" s="39">
        <v>0</v>
      </c>
      <c r="H172" s="39">
        <v>0</v>
      </c>
      <c r="I172" s="39">
        <v>0</v>
      </c>
      <c r="J172" s="39">
        <v>0</v>
      </c>
      <c r="K172" s="39">
        <v>0</v>
      </c>
      <c r="L172" s="39">
        <v>0</v>
      </c>
      <c r="M172" s="39">
        <v>412.69427939762943</v>
      </c>
    </row>
    <row r="173" spans="1:13">
      <c r="A173" s="29" t="s">
        <v>258</v>
      </c>
      <c r="B173" s="39">
        <v>0</v>
      </c>
      <c r="D173" s="39">
        <v>0</v>
      </c>
      <c r="E173" s="39">
        <v>0</v>
      </c>
      <c r="F173" s="39"/>
      <c r="G173" s="39">
        <v>0</v>
      </c>
      <c r="H173" s="39">
        <v>0</v>
      </c>
      <c r="I173" s="39">
        <v>0</v>
      </c>
      <c r="J173" s="39">
        <v>0</v>
      </c>
      <c r="K173" s="39">
        <v>0</v>
      </c>
      <c r="L173" s="39">
        <v>0</v>
      </c>
      <c r="M173" s="39">
        <v>0</v>
      </c>
    </row>
    <row r="174" spans="1:13">
      <c r="A174" s="29" t="s">
        <v>259</v>
      </c>
      <c r="B174" s="39">
        <v>1672.6190242835455</v>
      </c>
      <c r="D174" s="39">
        <v>1672.6190242835455</v>
      </c>
      <c r="E174" s="39">
        <v>0</v>
      </c>
      <c r="F174" s="39"/>
      <c r="G174" s="39">
        <v>0</v>
      </c>
      <c r="H174" s="39">
        <v>0</v>
      </c>
      <c r="I174" s="39">
        <v>1672.6190242835455</v>
      </c>
      <c r="J174" s="39">
        <v>0</v>
      </c>
      <c r="K174" s="39">
        <v>0</v>
      </c>
      <c r="L174" s="39">
        <v>0</v>
      </c>
      <c r="M174" s="39">
        <v>0</v>
      </c>
    </row>
    <row r="175" spans="1:13">
      <c r="A175" s="29" t="s">
        <v>260</v>
      </c>
      <c r="B175" s="39">
        <v>1540.5715620485589</v>
      </c>
      <c r="D175" s="39">
        <v>1540.5715620485589</v>
      </c>
      <c r="E175" s="39">
        <v>0</v>
      </c>
      <c r="F175" s="39"/>
      <c r="G175" s="39">
        <v>0</v>
      </c>
      <c r="H175" s="39">
        <v>490.83959562658805</v>
      </c>
      <c r="I175" s="39">
        <v>497.06927837709685</v>
      </c>
      <c r="J175" s="39">
        <v>0</v>
      </c>
      <c r="K175" s="39">
        <v>552.66268804487402</v>
      </c>
      <c r="L175" s="39">
        <v>0</v>
      </c>
      <c r="M175" s="39">
        <v>0</v>
      </c>
    </row>
    <row r="176" spans="1:13">
      <c r="A176" s="29" t="s">
        <v>261</v>
      </c>
      <c r="B176" s="39">
        <v>45859.401774299848</v>
      </c>
      <c r="D176" s="39">
        <v>28499.684163941842</v>
      </c>
      <c r="E176" s="39">
        <v>17359.717610358006</v>
      </c>
      <c r="F176" s="39"/>
      <c r="G176" s="39">
        <v>0</v>
      </c>
      <c r="H176" s="39">
        <v>0</v>
      </c>
      <c r="I176" s="39">
        <v>2385.1858979230065</v>
      </c>
      <c r="J176" s="39">
        <v>3778.1223500405249</v>
      </c>
      <c r="K176" s="39">
        <v>4636.4296146669612</v>
      </c>
      <c r="L176" s="39">
        <v>8279.9413224551281</v>
      </c>
      <c r="M176" s="39">
        <v>26779.722589214227</v>
      </c>
    </row>
    <row r="177" spans="1:13">
      <c r="A177" s="29" t="s">
        <v>262</v>
      </c>
      <c r="B177" s="39">
        <v>60297.585147666847</v>
      </c>
      <c r="D177" s="39">
        <v>25731.513526346444</v>
      </c>
      <c r="E177" s="39">
        <v>32605.032576702179</v>
      </c>
      <c r="F177" s="39"/>
      <c r="G177" s="39">
        <v>5501.7099046836556</v>
      </c>
      <c r="H177" s="39">
        <v>11992.906197687764</v>
      </c>
      <c r="I177" s="39">
        <v>23812.312278604371</v>
      </c>
      <c r="J177" s="39">
        <v>11984.863743903556</v>
      </c>
      <c r="K177" s="39">
        <v>5553.1162511786188</v>
      </c>
      <c r="L177" s="39">
        <v>1452.6767716088534</v>
      </c>
      <c r="M177" s="39">
        <v>0</v>
      </c>
    </row>
    <row r="178" spans="1:13">
      <c r="A178" s="29" t="s">
        <v>263</v>
      </c>
      <c r="B178" s="39">
        <v>0</v>
      </c>
      <c r="D178" s="39">
        <v>0</v>
      </c>
      <c r="E178" s="39">
        <v>0</v>
      </c>
      <c r="F178" s="39"/>
      <c r="G178" s="39">
        <v>0</v>
      </c>
      <c r="H178" s="39">
        <v>0</v>
      </c>
      <c r="I178" s="39">
        <v>0</v>
      </c>
      <c r="J178" s="39">
        <v>0</v>
      </c>
      <c r="K178" s="39">
        <v>0</v>
      </c>
      <c r="L178" s="39">
        <v>0</v>
      </c>
      <c r="M178" s="39">
        <v>0</v>
      </c>
    </row>
    <row r="179" spans="1:13">
      <c r="A179" s="29" t="s">
        <v>264</v>
      </c>
      <c r="B179" s="39">
        <v>921697.98363271879</v>
      </c>
      <c r="D179" s="39">
        <v>414748.43430999533</v>
      </c>
      <c r="E179" s="39">
        <v>501600.66303503909</v>
      </c>
      <c r="F179" s="39"/>
      <c r="G179" s="39">
        <v>45272.886696065354</v>
      </c>
      <c r="H179" s="39">
        <v>99848.374115918108</v>
      </c>
      <c r="I179" s="39">
        <v>206743.40980598264</v>
      </c>
      <c r="J179" s="39">
        <v>177807.58200903426</v>
      </c>
      <c r="K179" s="39">
        <v>149448.007875248</v>
      </c>
      <c r="L179" s="39">
        <v>122568.19575981358</v>
      </c>
      <c r="M179" s="39">
        <v>120009.52737066116</v>
      </c>
    </row>
    <row r="180" spans="1:13">
      <c r="A180" s="29" t="s">
        <v>265</v>
      </c>
      <c r="B180" s="39">
        <v>17265.623372628379</v>
      </c>
      <c r="D180" s="39">
        <v>10815.462619398668</v>
      </c>
      <c r="E180" s="39">
        <v>6450.1607532297121</v>
      </c>
      <c r="F180" s="39"/>
      <c r="G180" s="39">
        <v>0</v>
      </c>
      <c r="H180" s="39">
        <v>2535.1065286927937</v>
      </c>
      <c r="I180" s="39">
        <v>7288.4218987436934</v>
      </c>
      <c r="J180" s="39">
        <v>3430.0132282066497</v>
      </c>
      <c r="K180" s="39">
        <v>2633.074772676774</v>
      </c>
      <c r="L180" s="39">
        <v>1010.4563726882142</v>
      </c>
      <c r="M180" s="39">
        <v>368.5505716202548</v>
      </c>
    </row>
    <row r="181" spans="1:13">
      <c r="A181" s="29" t="s">
        <v>266</v>
      </c>
      <c r="B181" s="39">
        <v>497.06927837709685</v>
      </c>
      <c r="D181" s="39">
        <v>497.06927837709685</v>
      </c>
      <c r="E181" s="39">
        <v>0</v>
      </c>
      <c r="F181" s="39"/>
      <c r="G181" s="39">
        <v>0</v>
      </c>
      <c r="H181" s="39">
        <v>0</v>
      </c>
      <c r="I181" s="39">
        <v>497.06927837709685</v>
      </c>
      <c r="J181" s="39">
        <v>0</v>
      </c>
      <c r="K181" s="39">
        <v>0</v>
      </c>
      <c r="L181" s="39">
        <v>0</v>
      </c>
      <c r="M181" s="39">
        <v>0</v>
      </c>
    </row>
    <row r="182" spans="1:13">
      <c r="A182" s="29" t="s">
        <v>267</v>
      </c>
      <c r="B182" s="39">
        <v>38030.334283409691</v>
      </c>
      <c r="D182" s="39">
        <v>18631.706204696617</v>
      </c>
      <c r="E182" s="39">
        <v>19398.628078713071</v>
      </c>
      <c r="F182" s="39"/>
      <c r="G182" s="39">
        <v>2061.6657640796188</v>
      </c>
      <c r="H182" s="39">
        <v>2000.1427814190886</v>
      </c>
      <c r="I182" s="39">
        <v>7702.9212511930091</v>
      </c>
      <c r="J182" s="39">
        <v>6699.6322341971136</v>
      </c>
      <c r="K182" s="39">
        <v>8591.8901764486654</v>
      </c>
      <c r="L182" s="39">
        <v>7606.9124555160161</v>
      </c>
      <c r="M182" s="39">
        <v>3367.1696205561793</v>
      </c>
    </row>
    <row r="183" spans="1:13">
      <c r="A183" s="29" t="s">
        <v>268</v>
      </c>
      <c r="B183" s="39">
        <v>3953.8725135406085</v>
      </c>
      <c r="D183" s="39">
        <v>513.67616105989055</v>
      </c>
      <c r="E183" s="39">
        <v>3440.1963524807179</v>
      </c>
      <c r="F183" s="39"/>
      <c r="G183" s="39">
        <v>2074.1972019958926</v>
      </c>
      <c r="H183" s="39">
        <v>518.22462675739837</v>
      </c>
      <c r="I183" s="39">
        <v>1361.4506847873176</v>
      </c>
      <c r="J183" s="39">
        <v>0</v>
      </c>
      <c r="K183" s="39">
        <v>0</v>
      </c>
      <c r="L183" s="39">
        <v>0</v>
      </c>
      <c r="M183" s="39">
        <v>0</v>
      </c>
    </row>
    <row r="184" spans="1:13">
      <c r="A184" s="29" t="s">
        <v>269</v>
      </c>
      <c r="B184" s="39">
        <v>158121.47813510423</v>
      </c>
      <c r="D184" s="39">
        <v>132652.61598900173</v>
      </c>
      <c r="E184" s="39">
        <v>25468.862146102467</v>
      </c>
      <c r="F184" s="39"/>
      <c r="G184" s="39">
        <v>10231.179409752529</v>
      </c>
      <c r="H184" s="39">
        <v>37977.932078805425</v>
      </c>
      <c r="I184" s="39">
        <v>49913.711108733623</v>
      </c>
      <c r="J184" s="39">
        <v>35818.624565297148</v>
      </c>
      <c r="K184" s="39">
        <v>16614.611239858219</v>
      </c>
      <c r="L184" s="39">
        <v>5222.2998545252603</v>
      </c>
      <c r="M184" s="39">
        <v>2343.1198781319654</v>
      </c>
    </row>
    <row r="185" spans="1:13">
      <c r="A185" s="29" t="s">
        <v>270</v>
      </c>
      <c r="B185" s="39">
        <v>4409.719312008725</v>
      </c>
      <c r="D185" s="39">
        <v>715.62219519645964</v>
      </c>
      <c r="E185" s="39">
        <v>3694.0971168122655</v>
      </c>
      <c r="F185" s="39"/>
      <c r="G185" s="39">
        <v>0</v>
      </c>
      <c r="H185" s="39">
        <v>0</v>
      </c>
      <c r="I185" s="39">
        <v>0</v>
      </c>
      <c r="J185" s="39">
        <v>547.0946427490876</v>
      </c>
      <c r="K185" s="39">
        <v>0</v>
      </c>
      <c r="L185" s="39">
        <v>452.13253800240602</v>
      </c>
      <c r="M185" s="39">
        <v>3410.492131257231</v>
      </c>
    </row>
    <row r="186" spans="1:13">
      <c r="A186" s="29" t="s">
        <v>271</v>
      </c>
      <c r="B186" s="39">
        <v>29568.892627190238</v>
      </c>
      <c r="D186" s="39">
        <v>10921.042981740058</v>
      </c>
      <c r="E186" s="39">
        <v>18647.849645450176</v>
      </c>
      <c r="F186" s="39"/>
      <c r="G186" s="39">
        <v>0</v>
      </c>
      <c r="H186" s="39">
        <v>2484.2442163215064</v>
      </c>
      <c r="I186" s="39">
        <v>9696.3164192570657</v>
      </c>
      <c r="J186" s="39">
        <v>8899.5709600321061</v>
      </c>
      <c r="K186" s="39">
        <v>4854.3424573580551</v>
      </c>
      <c r="L186" s="39">
        <v>2764.0032683236623</v>
      </c>
      <c r="M186" s="39">
        <v>870.41530589784247</v>
      </c>
    </row>
    <row r="187" spans="1:13">
      <c r="A187" s="29" t="s">
        <v>272</v>
      </c>
      <c r="B187" s="39">
        <v>532.20996220221821</v>
      </c>
      <c r="D187" s="39">
        <v>532.20996220221821</v>
      </c>
      <c r="E187" s="39">
        <v>0</v>
      </c>
      <c r="F187" s="39"/>
      <c r="G187" s="39">
        <v>0</v>
      </c>
      <c r="H187" s="39">
        <v>532.20996220221821</v>
      </c>
      <c r="I187" s="39">
        <v>0</v>
      </c>
      <c r="J187" s="39">
        <v>0</v>
      </c>
      <c r="K187" s="39">
        <v>0</v>
      </c>
      <c r="L187" s="39">
        <v>0</v>
      </c>
      <c r="M187" s="39">
        <v>0</v>
      </c>
    </row>
    <row r="188" spans="1:13">
      <c r="A188" s="29" t="s">
        <v>273</v>
      </c>
      <c r="B188" s="39">
        <v>505595.60388098739</v>
      </c>
      <c r="D188" s="39">
        <v>319493.30349367403</v>
      </c>
      <c r="E188" s="39">
        <v>184267.89535908712</v>
      </c>
      <c r="F188" s="39"/>
      <c r="G188" s="39">
        <v>20451.546249531722</v>
      </c>
      <c r="H188" s="39">
        <v>40864.584296488712</v>
      </c>
      <c r="I188" s="39">
        <v>78054.367799778411</v>
      </c>
      <c r="J188" s="39">
        <v>91046.174727237129</v>
      </c>
      <c r="K188" s="39">
        <v>107403.68979732928</v>
      </c>
      <c r="L188" s="39">
        <v>97371.535970356606</v>
      </c>
      <c r="M188" s="39">
        <v>70403.705040266155</v>
      </c>
    </row>
    <row r="189" spans="1:13">
      <c r="A189" s="29" t="s">
        <v>274</v>
      </c>
      <c r="B189" s="39">
        <v>60739.480233890899</v>
      </c>
      <c r="D189" s="39">
        <v>8720.5016664102768</v>
      </c>
      <c r="E189" s="39">
        <v>52018.978567480626</v>
      </c>
      <c r="F189" s="39"/>
      <c r="G189" s="39">
        <v>10770.763893292813</v>
      </c>
      <c r="H189" s="39">
        <v>14881.982734464926</v>
      </c>
      <c r="I189" s="39">
        <v>9621.8779126085137</v>
      </c>
      <c r="J189" s="39">
        <v>10499.863108350428</v>
      </c>
      <c r="K189" s="39">
        <v>6044.7174370038538</v>
      </c>
      <c r="L189" s="39">
        <v>3532.3185936274267</v>
      </c>
      <c r="M189" s="39">
        <v>5387.9565545429177</v>
      </c>
    </row>
    <row r="190" spans="1:13">
      <c r="A190" s="29" t="s">
        <v>275</v>
      </c>
      <c r="B190" s="39">
        <v>107454.9503386344</v>
      </c>
      <c r="D190" s="39">
        <v>10183.095028427051</v>
      </c>
      <c r="E190" s="39">
        <v>94914.187754636485</v>
      </c>
      <c r="F190" s="39"/>
      <c r="G190" s="39">
        <v>5781.0833624163934</v>
      </c>
      <c r="H190" s="39">
        <v>20381.646419009609</v>
      </c>
      <c r="I190" s="39">
        <v>20054.453639210074</v>
      </c>
      <c r="J190" s="39">
        <v>16618.061195085367</v>
      </c>
      <c r="K190" s="39">
        <v>12834.451217009195</v>
      </c>
      <c r="L190" s="39">
        <v>11192.220514993778</v>
      </c>
      <c r="M190" s="39">
        <v>20593.033990910008</v>
      </c>
    </row>
    <row r="191" spans="1:13">
      <c r="A191" s="29" t="s">
        <v>276</v>
      </c>
      <c r="B191" s="39">
        <v>7731.2081708307805</v>
      </c>
      <c r="D191" s="39">
        <v>5409.808141145736</v>
      </c>
      <c r="E191" s="39">
        <v>2321.400029685044</v>
      </c>
      <c r="F191" s="39"/>
      <c r="G191" s="39">
        <v>0</v>
      </c>
      <c r="H191" s="39">
        <v>490.83959562658805</v>
      </c>
      <c r="I191" s="39">
        <v>2432.6146525646741</v>
      </c>
      <c r="J191" s="39">
        <v>1540.2444086737266</v>
      </c>
      <c r="K191" s="39">
        <v>1082.359608750181</v>
      </c>
      <c r="L191" s="39">
        <v>1457.749267667893</v>
      </c>
      <c r="M191" s="39">
        <v>727.40063754771745</v>
      </c>
    </row>
    <row r="192" spans="1:13">
      <c r="A192" s="29" t="s">
        <v>277</v>
      </c>
      <c r="B192" s="39">
        <v>3159.7846539940515</v>
      </c>
      <c r="D192" s="39">
        <v>2652.7634091331774</v>
      </c>
      <c r="E192" s="39">
        <v>507.02124486087439</v>
      </c>
      <c r="F192" s="39"/>
      <c r="G192" s="39">
        <v>0</v>
      </c>
      <c r="H192" s="39">
        <v>1045.7863917988493</v>
      </c>
      <c r="I192" s="39">
        <v>1606.9770173343281</v>
      </c>
      <c r="J192" s="39">
        <v>0</v>
      </c>
      <c r="K192" s="39">
        <v>507.02124486087439</v>
      </c>
      <c r="L192" s="39">
        <v>0</v>
      </c>
      <c r="M192" s="39">
        <v>0</v>
      </c>
    </row>
    <row r="193" spans="1:13">
      <c r="A193" s="29" t="s">
        <v>278</v>
      </c>
      <c r="B193" s="39">
        <v>3571.205961452521</v>
      </c>
      <c r="D193" s="39">
        <v>2130.2293162591177</v>
      </c>
      <c r="E193" s="39">
        <v>1440.9766451934033</v>
      </c>
      <c r="F193" s="39"/>
      <c r="G193" s="39">
        <v>0</v>
      </c>
      <c r="H193" s="39">
        <v>0</v>
      </c>
      <c r="I193" s="39">
        <v>1389.2990757411546</v>
      </c>
      <c r="J193" s="39">
        <v>1715.840431250967</v>
      </c>
      <c r="K193" s="39">
        <v>0</v>
      </c>
      <c r="L193" s="39">
        <v>466.06645446039954</v>
      </c>
      <c r="M193" s="39">
        <v>0</v>
      </c>
    </row>
    <row r="194" spans="1:13">
      <c r="A194" s="29" t="s">
        <v>279</v>
      </c>
      <c r="B194" s="39">
        <v>1246.7729673189476</v>
      </c>
      <c r="D194" s="39">
        <v>918.9832220424297</v>
      </c>
      <c r="E194" s="39">
        <v>327.78974527651792</v>
      </c>
      <c r="F194" s="39"/>
      <c r="G194" s="39">
        <v>0</v>
      </c>
      <c r="H194" s="39">
        <v>0</v>
      </c>
      <c r="I194" s="39">
        <v>0</v>
      </c>
      <c r="J194" s="39">
        <v>550.4326504221749</v>
      </c>
      <c r="K194" s="39">
        <v>0</v>
      </c>
      <c r="L194" s="39">
        <v>0</v>
      </c>
      <c r="M194" s="39">
        <v>696.34031689677272</v>
      </c>
    </row>
    <row r="195" spans="1:13">
      <c r="A195" s="29" t="s">
        <v>280</v>
      </c>
      <c r="B195" s="39">
        <v>913.08899190089051</v>
      </c>
      <c r="D195" s="39">
        <v>497.06927837709685</v>
      </c>
      <c r="E195" s="39">
        <v>416.01971352379371</v>
      </c>
      <c r="F195" s="39"/>
      <c r="G195" s="39">
        <v>0</v>
      </c>
      <c r="H195" s="39">
        <v>0</v>
      </c>
      <c r="I195" s="39">
        <v>913.08899190089051</v>
      </c>
      <c r="J195" s="39">
        <v>0</v>
      </c>
      <c r="K195" s="39">
        <v>0</v>
      </c>
      <c r="L195" s="39">
        <v>0</v>
      </c>
      <c r="M195" s="39">
        <v>0</v>
      </c>
    </row>
    <row r="196" spans="1:13">
      <c r="A196" s="29" t="s">
        <v>281</v>
      </c>
      <c r="B196" s="39">
        <v>28396.351455472191</v>
      </c>
      <c r="D196" s="39">
        <v>5473.6418137615838</v>
      </c>
      <c r="E196" s="39">
        <v>22370.04695366574</v>
      </c>
      <c r="F196" s="39"/>
      <c r="G196" s="39">
        <v>1986.5027484424061</v>
      </c>
      <c r="H196" s="39">
        <v>2451.3138894148351</v>
      </c>
      <c r="I196" s="39">
        <v>9801.1025282366754</v>
      </c>
      <c r="J196" s="39">
        <v>5833.1131722302525</v>
      </c>
      <c r="K196" s="39">
        <v>4193.0983815382306</v>
      </c>
      <c r="L196" s="39">
        <v>2672.3199288472506</v>
      </c>
      <c r="M196" s="39">
        <v>1458.9008067625457</v>
      </c>
    </row>
    <row r="197" spans="1:13">
      <c r="A197" s="29" t="s">
        <v>282</v>
      </c>
      <c r="B197" s="39">
        <v>12677.028139044629</v>
      </c>
      <c r="D197" s="39">
        <v>8998.6459689963485</v>
      </c>
      <c r="E197" s="39">
        <v>3081.4741424417571</v>
      </c>
      <c r="F197" s="39"/>
      <c r="G197" s="39">
        <v>0</v>
      </c>
      <c r="H197" s="39">
        <v>3459.6337103204696</v>
      </c>
      <c r="I197" s="39">
        <v>4363.4519552279344</v>
      </c>
      <c r="J197" s="39">
        <v>4538.1619519330879</v>
      </c>
      <c r="K197" s="39">
        <v>0</v>
      </c>
      <c r="L197" s="39">
        <v>0</v>
      </c>
      <c r="M197" s="39">
        <v>315.7805215631376</v>
      </c>
    </row>
    <row r="198" spans="1:13">
      <c r="A198" s="29" t="s">
        <v>283</v>
      </c>
      <c r="B198" s="39">
        <v>4219.4934943773042</v>
      </c>
      <c r="D198" s="39">
        <v>2099.1324336082812</v>
      </c>
      <c r="E198" s="39">
        <v>2120.361060769023</v>
      </c>
      <c r="F198" s="39"/>
      <c r="G198" s="39">
        <v>0</v>
      </c>
      <c r="H198" s="39">
        <v>1652.1404211342219</v>
      </c>
      <c r="I198" s="39">
        <v>416.01971352379371</v>
      </c>
      <c r="J198" s="39">
        <v>1124.9649857311067</v>
      </c>
      <c r="K198" s="39">
        <v>0</v>
      </c>
      <c r="L198" s="39">
        <v>0</v>
      </c>
      <c r="M198" s="39">
        <v>1026.3683739881822</v>
      </c>
    </row>
    <row r="199" spans="1:13">
      <c r="A199" s="29" t="s">
        <v>284</v>
      </c>
      <c r="B199" s="39">
        <v>47223.308079676011</v>
      </c>
      <c r="D199" s="39">
        <v>39532.317545353842</v>
      </c>
      <c r="E199" s="39">
        <v>7690.9905343221999</v>
      </c>
      <c r="F199" s="39"/>
      <c r="G199" s="39">
        <v>3102.3797034766999</v>
      </c>
      <c r="H199" s="39">
        <v>2616.082014287239</v>
      </c>
      <c r="I199" s="39">
        <v>4224.9023915795078</v>
      </c>
      <c r="J199" s="39">
        <v>6845.8839590163507</v>
      </c>
      <c r="K199" s="39">
        <v>9012.4090707564483</v>
      </c>
      <c r="L199" s="39">
        <v>8685.9939267737045</v>
      </c>
      <c r="M199" s="39">
        <v>12735.657013786096</v>
      </c>
    </row>
    <row r="200" spans="1:13">
      <c r="A200" s="29" t="s">
        <v>285</v>
      </c>
      <c r="B200" s="39">
        <v>1838473.7117948607</v>
      </c>
      <c r="D200" s="39">
        <v>868512.43974006886</v>
      </c>
      <c r="E200" s="39">
        <v>961538.8834622039</v>
      </c>
      <c r="F200" s="39"/>
      <c r="G200" s="39">
        <v>66319.558815042677</v>
      </c>
      <c r="H200" s="39">
        <v>267186.12805750151</v>
      </c>
      <c r="I200" s="39">
        <v>408998.4806333615</v>
      </c>
      <c r="J200" s="39">
        <v>329938.45449442556</v>
      </c>
      <c r="K200" s="39">
        <v>260313.98363868971</v>
      </c>
      <c r="L200" s="39">
        <v>215527.66307346124</v>
      </c>
      <c r="M200" s="39">
        <v>290189.44308238913</v>
      </c>
    </row>
    <row r="201" spans="1:13">
      <c r="A201" s="29" t="s">
        <v>286</v>
      </c>
      <c r="B201" s="39">
        <v>0</v>
      </c>
      <c r="D201" s="39">
        <v>0</v>
      </c>
      <c r="E201" s="39">
        <v>0</v>
      </c>
      <c r="F201" s="39"/>
      <c r="G201" s="39">
        <v>0</v>
      </c>
      <c r="H201" s="39">
        <v>0</v>
      </c>
      <c r="I201" s="39">
        <v>0</v>
      </c>
      <c r="J201" s="39">
        <v>0</v>
      </c>
      <c r="K201" s="39">
        <v>0</v>
      </c>
      <c r="L201" s="39">
        <v>0</v>
      </c>
      <c r="M201" s="39">
        <v>0</v>
      </c>
    </row>
    <row r="202" spans="1:13">
      <c r="A202" s="29" t="s">
        <v>287</v>
      </c>
      <c r="B202" s="39">
        <v>10122.233077131041</v>
      </c>
      <c r="D202" s="39">
        <v>6729.0834651442146</v>
      </c>
      <c r="E202" s="39">
        <v>2908.3652696541562</v>
      </c>
      <c r="F202" s="39"/>
      <c r="G202" s="39">
        <v>0</v>
      </c>
      <c r="H202" s="39">
        <v>2073.4814406277919</v>
      </c>
      <c r="I202" s="39">
        <v>3590.6239510448318</v>
      </c>
      <c r="J202" s="39">
        <v>2707.2802522225634</v>
      </c>
      <c r="K202" s="39">
        <v>541.62532470401368</v>
      </c>
      <c r="L202" s="39">
        <v>893.44158696870227</v>
      </c>
      <c r="M202" s="39">
        <v>315.7805215631376</v>
      </c>
    </row>
    <row r="203" spans="1:13">
      <c r="A203" s="29" t="s">
        <v>288</v>
      </c>
      <c r="B203" s="39">
        <v>284987.51623937121</v>
      </c>
      <c r="D203" s="39">
        <v>217183.05883096371</v>
      </c>
      <c r="E203" s="39">
        <v>67280.745663523994</v>
      </c>
      <c r="F203" s="39"/>
      <c r="G203" s="39">
        <v>35641.037512009505</v>
      </c>
      <c r="H203" s="39">
        <v>74432.849036872518</v>
      </c>
      <c r="I203" s="39">
        <v>84168.285344184376</v>
      </c>
      <c r="J203" s="39">
        <v>55927.083792195386</v>
      </c>
      <c r="K203" s="39">
        <v>27565.181328266666</v>
      </c>
      <c r="L203" s="39">
        <v>6471.834374824447</v>
      </c>
      <c r="M203" s="39">
        <v>781.24485101788423</v>
      </c>
    </row>
    <row r="204" spans="1:13">
      <c r="A204" s="29" t="s">
        <v>289</v>
      </c>
      <c r="B204" s="39">
        <v>4310.6395156251947</v>
      </c>
      <c r="D204" s="39">
        <v>3700.8477496846085</v>
      </c>
      <c r="E204" s="39">
        <v>609.79176594058572</v>
      </c>
      <c r="F204" s="39"/>
      <c r="G204" s="39">
        <v>0</v>
      </c>
      <c r="H204" s="39">
        <v>532.20996220221821</v>
      </c>
      <c r="I204" s="39">
        <v>3239.3500796453209</v>
      </c>
      <c r="J204" s="39">
        <v>0</v>
      </c>
      <c r="K204" s="39">
        <v>539.07947377765493</v>
      </c>
      <c r="L204" s="39">
        <v>0</v>
      </c>
      <c r="M204" s="39">
        <v>0</v>
      </c>
    </row>
    <row r="205" spans="1:13">
      <c r="A205" s="29" t="s">
        <v>290</v>
      </c>
      <c r="B205" s="39">
        <v>2453.0346991681208</v>
      </c>
      <c r="D205" s="39">
        <v>991.55061101147476</v>
      </c>
      <c r="E205" s="39">
        <v>1461.4840881566463</v>
      </c>
      <c r="F205" s="39"/>
      <c r="G205" s="39">
        <v>0</v>
      </c>
      <c r="H205" s="39">
        <v>0</v>
      </c>
      <c r="I205" s="39">
        <v>0</v>
      </c>
      <c r="J205" s="39">
        <v>522.10733234394013</v>
      </c>
      <c r="K205" s="39">
        <v>501.60226318287954</v>
      </c>
      <c r="L205" s="39">
        <v>1429.3251036413012</v>
      </c>
      <c r="M205" s="39">
        <v>0</v>
      </c>
    </row>
    <row r="206" spans="1:13">
      <c r="A206" s="29" t="s">
        <v>291</v>
      </c>
      <c r="B206" s="39">
        <v>2891.9045785611033</v>
      </c>
      <c r="D206" s="39">
        <v>2891.9045785611033</v>
      </c>
      <c r="E206" s="39">
        <v>0</v>
      </c>
      <c r="F206" s="39"/>
      <c r="G206" s="39">
        <v>1686.4206408888419</v>
      </c>
      <c r="H206" s="39">
        <v>0</v>
      </c>
      <c r="I206" s="39">
        <v>572.50044121618782</v>
      </c>
      <c r="J206" s="39">
        <v>632.98349645607323</v>
      </c>
      <c r="K206" s="39">
        <v>0</v>
      </c>
      <c r="L206" s="39">
        <v>0</v>
      </c>
      <c r="M206" s="39">
        <v>0</v>
      </c>
    </row>
    <row r="207" spans="1:13">
      <c r="A207" s="29" t="s">
        <v>292</v>
      </c>
      <c r="B207" s="39">
        <v>290951.32589665416</v>
      </c>
      <c r="D207" s="39">
        <v>233726.74238995908</v>
      </c>
      <c r="E207" s="39">
        <v>56816.727212943784</v>
      </c>
      <c r="F207" s="39"/>
      <c r="G207" s="39">
        <v>3400.8145428713833</v>
      </c>
      <c r="H207" s="39">
        <v>25197.585007406433</v>
      </c>
      <c r="I207" s="39">
        <v>36560.068179428046</v>
      </c>
      <c r="J207" s="39">
        <v>36172.500114334609</v>
      </c>
      <c r="K207" s="39">
        <v>40766.253739916108</v>
      </c>
      <c r="L207" s="39">
        <v>60875.058846217973</v>
      </c>
      <c r="M207" s="39">
        <v>87979.04546648002</v>
      </c>
    </row>
    <row r="208" spans="1:13">
      <c r="A208" s="29" t="s">
        <v>293</v>
      </c>
      <c r="B208" s="39">
        <v>936.38326684603544</v>
      </c>
      <c r="D208" s="39">
        <v>490.83959562658805</v>
      </c>
      <c r="E208" s="39">
        <v>445.54367121944733</v>
      </c>
      <c r="F208" s="39"/>
      <c r="G208" s="39">
        <v>0</v>
      </c>
      <c r="H208" s="39">
        <v>490.83959562658805</v>
      </c>
      <c r="I208" s="39">
        <v>445.54367121944733</v>
      </c>
      <c r="J208" s="39">
        <v>0</v>
      </c>
      <c r="K208" s="39">
        <v>0</v>
      </c>
      <c r="L208" s="39">
        <v>0</v>
      </c>
      <c r="M208" s="39">
        <v>0</v>
      </c>
    </row>
    <row r="209" spans="1:13">
      <c r="A209" s="29" t="s">
        <v>294</v>
      </c>
      <c r="B209" s="39">
        <v>0</v>
      </c>
      <c r="D209" s="39">
        <v>0</v>
      </c>
      <c r="E209" s="39">
        <v>0</v>
      </c>
      <c r="F209" s="39"/>
      <c r="G209" s="39">
        <v>0</v>
      </c>
      <c r="H209" s="39">
        <v>0</v>
      </c>
      <c r="I209" s="39">
        <v>0</v>
      </c>
      <c r="J209" s="39">
        <v>0</v>
      </c>
      <c r="K209" s="39">
        <v>0</v>
      </c>
      <c r="L209" s="39">
        <v>0</v>
      </c>
      <c r="M209" s="39">
        <v>0</v>
      </c>
    </row>
    <row r="210" spans="1:13">
      <c r="A210" s="29" t="s">
        <v>295</v>
      </c>
      <c r="B210" s="39">
        <v>38927.850457682594</v>
      </c>
      <c r="D210" s="39">
        <v>6762.9138411453832</v>
      </c>
      <c r="E210" s="39">
        <v>31669.94141828658</v>
      </c>
      <c r="F210" s="39"/>
      <c r="G210" s="39">
        <v>7061.2734687930497</v>
      </c>
      <c r="H210" s="39">
        <v>8464.821884572113</v>
      </c>
      <c r="I210" s="39">
        <v>10225.80697244397</v>
      </c>
      <c r="J210" s="39">
        <v>6620.3693891991279</v>
      </c>
      <c r="K210" s="39">
        <v>3266.1183310591809</v>
      </c>
      <c r="L210" s="39">
        <v>1861.0795987009083</v>
      </c>
      <c r="M210" s="39">
        <v>1428.3808129142321</v>
      </c>
    </row>
    <row r="211" spans="1:13">
      <c r="A211" s="29" t="s">
        <v>296</v>
      </c>
      <c r="B211" s="39">
        <v>3145.854481636632</v>
      </c>
      <c r="D211" s="39">
        <v>3145.854481636632</v>
      </c>
      <c r="E211" s="39">
        <v>0</v>
      </c>
      <c r="F211" s="39"/>
      <c r="G211" s="39">
        <v>0</v>
      </c>
      <c r="H211" s="39">
        <v>1087.7476232331112</v>
      </c>
      <c r="I211" s="39">
        <v>1558.7958571023323</v>
      </c>
      <c r="J211" s="39">
        <v>0</v>
      </c>
      <c r="K211" s="39">
        <v>499.31100130118836</v>
      </c>
      <c r="L211" s="39">
        <v>0</v>
      </c>
      <c r="M211" s="39">
        <v>0</v>
      </c>
    </row>
    <row r="212" spans="1:13">
      <c r="A212" s="29" t="s">
        <v>297</v>
      </c>
      <c r="B212" s="39">
        <v>2192.5327976602471</v>
      </c>
      <c r="D212" s="39">
        <v>1630.0503047946936</v>
      </c>
      <c r="E212" s="39">
        <v>562.48249286555335</v>
      </c>
      <c r="F212" s="39"/>
      <c r="G212" s="39">
        <v>0</v>
      </c>
      <c r="H212" s="39">
        <v>0</v>
      </c>
      <c r="I212" s="39">
        <v>0</v>
      </c>
      <c r="J212" s="39">
        <v>1098.2447849113594</v>
      </c>
      <c r="K212" s="39">
        <v>1094.2880127488877</v>
      </c>
      <c r="L212" s="39">
        <v>0</v>
      </c>
      <c r="M212" s="39">
        <v>0</v>
      </c>
    </row>
    <row r="213" spans="1:13">
      <c r="A213" s="29" t="s">
        <v>298</v>
      </c>
      <c r="B213" s="39">
        <v>22131.366437488981</v>
      </c>
      <c r="D213" s="39">
        <v>10286.634548483653</v>
      </c>
      <c r="E213" s="39">
        <v>11844.731889005336</v>
      </c>
      <c r="F213" s="39"/>
      <c r="G213" s="39">
        <v>1684.1040361991202</v>
      </c>
      <c r="H213" s="39">
        <v>5419.6632249471186</v>
      </c>
      <c r="I213" s="39">
        <v>3177.3946952805159</v>
      </c>
      <c r="J213" s="39">
        <v>5886.1803862361567</v>
      </c>
      <c r="K213" s="39">
        <v>2432.3673879006492</v>
      </c>
      <c r="L213" s="39">
        <v>3168.5213244640436</v>
      </c>
      <c r="M213" s="39">
        <v>363.13538246138353</v>
      </c>
    </row>
    <row r="214" spans="1:13">
      <c r="A214" s="29" t="s">
        <v>299</v>
      </c>
      <c r="B214" s="39">
        <v>3423.8619058535278</v>
      </c>
      <c r="D214" s="39">
        <v>2430.0134234921379</v>
      </c>
      <c r="E214" s="39">
        <v>993.84848236138976</v>
      </c>
      <c r="F214" s="39"/>
      <c r="G214" s="39">
        <v>0</v>
      </c>
      <c r="H214" s="39">
        <v>0</v>
      </c>
      <c r="I214" s="39">
        <v>1364.6763539048516</v>
      </c>
      <c r="J214" s="39">
        <v>1061.5705384881371</v>
      </c>
      <c r="K214" s="39">
        <v>997.61501346053888</v>
      </c>
      <c r="L214" s="39">
        <v>0</v>
      </c>
      <c r="M214" s="39">
        <v>0</v>
      </c>
    </row>
    <row r="215" spans="1:13">
      <c r="A215" s="29" t="s">
        <v>300</v>
      </c>
      <c r="B215" s="39">
        <v>3530.1816543435516</v>
      </c>
      <c r="D215" s="39">
        <v>2615.707785044694</v>
      </c>
      <c r="E215" s="39">
        <v>914.47386929885806</v>
      </c>
      <c r="F215" s="39"/>
      <c r="G215" s="39">
        <v>0</v>
      </c>
      <c r="H215" s="39">
        <v>1516.9404937726929</v>
      </c>
      <c r="I215" s="39">
        <v>0</v>
      </c>
      <c r="J215" s="39">
        <v>1098.7672912720011</v>
      </c>
      <c r="K215" s="39">
        <v>451.82845043757595</v>
      </c>
      <c r="L215" s="39">
        <v>462.64541886128205</v>
      </c>
      <c r="M215" s="39">
        <v>0</v>
      </c>
    </row>
    <row r="216" spans="1:13">
      <c r="A216" s="29" t="s">
        <v>301</v>
      </c>
      <c r="B216" s="39">
        <v>974.21431551392357</v>
      </c>
      <c r="D216" s="39">
        <v>0</v>
      </c>
      <c r="E216" s="39">
        <v>974.21431551392357</v>
      </c>
      <c r="F216" s="39"/>
      <c r="G216" s="39">
        <v>0</v>
      </c>
      <c r="H216" s="39">
        <v>518.22462675739837</v>
      </c>
      <c r="I216" s="39">
        <v>0</v>
      </c>
      <c r="J216" s="39">
        <v>0</v>
      </c>
      <c r="K216" s="39">
        <v>455.9896887565252</v>
      </c>
      <c r="L216" s="39">
        <v>0</v>
      </c>
      <c r="M216" s="39">
        <v>0</v>
      </c>
    </row>
    <row r="217" spans="1:13">
      <c r="A217" s="29" t="s">
        <v>302</v>
      </c>
      <c r="B217" s="39">
        <v>5251.1095262622503</v>
      </c>
      <c r="D217" s="39">
        <v>1089.7420223912725</v>
      </c>
      <c r="E217" s="39">
        <v>4161.3675038709771</v>
      </c>
      <c r="F217" s="39"/>
      <c r="G217" s="39">
        <v>0</v>
      </c>
      <c r="H217" s="39">
        <v>2104.4395051409747</v>
      </c>
      <c r="I217" s="39">
        <v>414.70823284372426</v>
      </c>
      <c r="J217" s="39">
        <v>2275.2032623423515</v>
      </c>
      <c r="K217" s="39">
        <v>0</v>
      </c>
      <c r="L217" s="39">
        <v>456.7585259351992</v>
      </c>
      <c r="M217" s="39">
        <v>0</v>
      </c>
    </row>
    <row r="218" spans="1:13">
      <c r="A218" s="29" t="s">
        <v>303</v>
      </c>
      <c r="B218" s="39">
        <v>4632.6780627633434</v>
      </c>
      <c r="D218" s="39">
        <v>3105.5738438805224</v>
      </c>
      <c r="E218" s="39">
        <v>974.44153083794663</v>
      </c>
      <c r="F218" s="39"/>
      <c r="G218" s="39">
        <v>0</v>
      </c>
      <c r="H218" s="39">
        <v>0</v>
      </c>
      <c r="I218" s="39">
        <v>2079.5316394814981</v>
      </c>
      <c r="J218" s="39">
        <v>683.20743533678831</v>
      </c>
      <c r="K218" s="39">
        <v>1057.719673756189</v>
      </c>
      <c r="L218" s="39">
        <v>452.35602157959869</v>
      </c>
      <c r="M218" s="39">
        <v>359.86329260926902</v>
      </c>
    </row>
    <row r="219" spans="1:13">
      <c r="A219" s="29" t="s">
        <v>304</v>
      </c>
      <c r="B219" s="39">
        <v>1335.4319918326814</v>
      </c>
      <c r="D219" s="39">
        <v>1335.4319918326814</v>
      </c>
      <c r="E219" s="39">
        <v>0</v>
      </c>
      <c r="F219" s="39"/>
      <c r="G219" s="39">
        <v>0</v>
      </c>
      <c r="H219" s="39">
        <v>494.9951982506152</v>
      </c>
      <c r="I219" s="39">
        <v>457.31578257264806</v>
      </c>
      <c r="J219" s="39">
        <v>0</v>
      </c>
      <c r="K219" s="39">
        <v>0</v>
      </c>
      <c r="L219" s="39">
        <v>0</v>
      </c>
      <c r="M219" s="39">
        <v>383.12101100941817</v>
      </c>
    </row>
    <row r="220" spans="1:13">
      <c r="A220" s="29" t="s">
        <v>305</v>
      </c>
      <c r="B220" s="39">
        <v>8545.7993055303268</v>
      </c>
      <c r="D220" s="39">
        <v>6599.7153708905662</v>
      </c>
      <c r="E220" s="39">
        <v>1946.0839346397611</v>
      </c>
      <c r="F220" s="39"/>
      <c r="G220" s="39">
        <v>0</v>
      </c>
      <c r="H220" s="39">
        <v>1191.9479575140338</v>
      </c>
      <c r="I220" s="39">
        <v>4743.7275881909154</v>
      </c>
      <c r="J220" s="39">
        <v>1093.96459619857</v>
      </c>
      <c r="K220" s="39">
        <v>1516.1591636268076</v>
      </c>
      <c r="L220" s="39">
        <v>0</v>
      </c>
      <c r="M220" s="39">
        <v>0</v>
      </c>
    </row>
    <row r="221" spans="1:13">
      <c r="A221" s="29" t="s">
        <v>306</v>
      </c>
      <c r="B221" s="39">
        <v>10882.099951867091</v>
      </c>
      <c r="D221" s="39">
        <v>5799.946497492906</v>
      </c>
      <c r="E221" s="39">
        <v>4570.9066749310532</v>
      </c>
      <c r="F221" s="39"/>
      <c r="G221" s="39">
        <v>0</v>
      </c>
      <c r="H221" s="39">
        <v>3608.7544552882828</v>
      </c>
      <c r="I221" s="39">
        <v>964.8016184234707</v>
      </c>
      <c r="J221" s="39">
        <v>1628.6201699265305</v>
      </c>
      <c r="K221" s="39">
        <v>2568.0955386141572</v>
      </c>
      <c r="L221" s="39">
        <v>1427.49707643126</v>
      </c>
      <c r="M221" s="39">
        <v>684.33109318339234</v>
      </c>
    </row>
    <row r="222" spans="1:13">
      <c r="A222" s="29" t="s">
        <v>307</v>
      </c>
      <c r="B222" s="39">
        <v>2183.7329295327563</v>
      </c>
      <c r="D222" s="39">
        <v>1612.3278480283075</v>
      </c>
      <c r="E222" s="39">
        <v>571.40508150444884</v>
      </c>
      <c r="F222" s="39"/>
      <c r="G222" s="39">
        <v>0</v>
      </c>
      <c r="H222" s="39">
        <v>532.20996220221821</v>
      </c>
      <c r="I222" s="39">
        <v>1068.4743598815458</v>
      </c>
      <c r="J222" s="39">
        <v>0</v>
      </c>
      <c r="K222" s="39">
        <v>583.04860744899258</v>
      </c>
      <c r="L222" s="39">
        <v>0</v>
      </c>
      <c r="M222" s="39">
        <v>0</v>
      </c>
    </row>
    <row r="223" spans="1:13">
      <c r="A223" s="29" t="s">
        <v>308</v>
      </c>
      <c r="B223" s="39">
        <v>954.3649604509576</v>
      </c>
      <c r="D223" s="39">
        <v>954.3649604509576</v>
      </c>
      <c r="E223" s="39">
        <v>0</v>
      </c>
      <c r="F223" s="39"/>
      <c r="G223" s="39">
        <v>0</v>
      </c>
      <c r="H223" s="39">
        <v>0</v>
      </c>
      <c r="I223" s="39">
        <v>0</v>
      </c>
      <c r="J223" s="39">
        <v>0</v>
      </c>
      <c r="K223" s="39">
        <v>0</v>
      </c>
      <c r="L223" s="39">
        <v>954.3649604509576</v>
      </c>
      <c r="M223" s="39">
        <v>0</v>
      </c>
    </row>
    <row r="224" spans="1:13">
      <c r="A224" s="29" t="s">
        <v>309</v>
      </c>
      <c r="B224" s="39">
        <v>571.40508150444884</v>
      </c>
      <c r="D224" s="39">
        <v>0</v>
      </c>
      <c r="E224" s="39">
        <v>571.40508150444884</v>
      </c>
      <c r="F224" s="39"/>
      <c r="G224" s="39">
        <v>0</v>
      </c>
      <c r="H224" s="39">
        <v>0</v>
      </c>
      <c r="I224" s="39">
        <v>571.40508150444884</v>
      </c>
      <c r="J224" s="39">
        <v>0</v>
      </c>
      <c r="K224" s="39">
        <v>0</v>
      </c>
      <c r="L224" s="39">
        <v>0</v>
      </c>
      <c r="M224" s="39">
        <v>0</v>
      </c>
    </row>
    <row r="225" spans="1:13">
      <c r="A225" s="29" t="s">
        <v>310</v>
      </c>
      <c r="B225" s="39">
        <v>484.78434233267041</v>
      </c>
      <c r="D225" s="39">
        <v>0</v>
      </c>
      <c r="E225" s="39">
        <v>484.78434233267041</v>
      </c>
      <c r="F225" s="39"/>
      <c r="G225" s="39">
        <v>0</v>
      </c>
      <c r="H225" s="39">
        <v>484.78434233267041</v>
      </c>
      <c r="I225" s="39">
        <v>0</v>
      </c>
      <c r="J225" s="39">
        <v>0</v>
      </c>
      <c r="K225" s="39">
        <v>0</v>
      </c>
      <c r="L225" s="39">
        <v>0</v>
      </c>
      <c r="M225" s="39">
        <v>0</v>
      </c>
    </row>
    <row r="226" spans="1:13">
      <c r="A226" s="29" t="s">
        <v>311</v>
      </c>
      <c r="B226" s="39">
        <v>5710.306670144706</v>
      </c>
      <c r="D226" s="39">
        <v>1504.0099902842946</v>
      </c>
      <c r="E226" s="39">
        <v>4206.2966798604102</v>
      </c>
      <c r="F226" s="39"/>
      <c r="G226" s="39">
        <v>3731.9490362530478</v>
      </c>
      <c r="H226" s="39">
        <v>474.34764360736324</v>
      </c>
      <c r="I226" s="39">
        <v>0</v>
      </c>
      <c r="J226" s="39">
        <v>558.67924333844962</v>
      </c>
      <c r="K226" s="39">
        <v>945.33074694584502</v>
      </c>
      <c r="L226" s="39">
        <v>0</v>
      </c>
      <c r="M226" s="39">
        <v>0</v>
      </c>
    </row>
    <row r="227" spans="1:13">
      <c r="A227" s="29" t="s">
        <v>312</v>
      </c>
      <c r="B227" s="39">
        <v>0</v>
      </c>
      <c r="D227" s="39">
        <v>0</v>
      </c>
      <c r="E227" s="39">
        <v>0</v>
      </c>
      <c r="F227" s="39"/>
      <c r="G227" s="39">
        <v>0</v>
      </c>
      <c r="H227" s="39">
        <v>0</v>
      </c>
      <c r="I227" s="39">
        <v>0</v>
      </c>
      <c r="J227" s="39">
        <v>0</v>
      </c>
      <c r="K227" s="39">
        <v>0</v>
      </c>
      <c r="L227" s="39">
        <v>0</v>
      </c>
      <c r="M227" s="39">
        <v>0</v>
      </c>
    </row>
    <row r="228" spans="1:13">
      <c r="A228" s="29" t="s">
        <v>313</v>
      </c>
      <c r="B228" s="39">
        <v>3953.311905906211</v>
      </c>
      <c r="D228" s="39">
        <v>3023.6384170101574</v>
      </c>
      <c r="E228" s="39">
        <v>929.67348889605444</v>
      </c>
      <c r="F228" s="39"/>
      <c r="G228" s="39">
        <v>0</v>
      </c>
      <c r="H228" s="39">
        <v>1488.7124971339251</v>
      </c>
      <c r="I228" s="39">
        <v>1419.5502671706417</v>
      </c>
      <c r="J228" s="39">
        <v>0</v>
      </c>
      <c r="K228" s="39">
        <v>1045.0491416016444</v>
      </c>
      <c r="L228" s="39">
        <v>0</v>
      </c>
      <c r="M228" s="39">
        <v>0</v>
      </c>
    </row>
    <row r="229" spans="1:13">
      <c r="A229" s="29" t="s">
        <v>314</v>
      </c>
      <c r="B229" s="39">
        <v>0</v>
      </c>
      <c r="D229" s="39">
        <v>0</v>
      </c>
      <c r="E229" s="39">
        <v>0</v>
      </c>
      <c r="F229" s="39"/>
      <c r="G229" s="39">
        <v>0</v>
      </c>
      <c r="H229" s="39">
        <v>0</v>
      </c>
      <c r="I229" s="39">
        <v>0</v>
      </c>
      <c r="J229" s="39">
        <v>0</v>
      </c>
      <c r="K229" s="39">
        <v>0</v>
      </c>
      <c r="L229" s="39">
        <v>0</v>
      </c>
      <c r="M229" s="39">
        <v>0</v>
      </c>
    </row>
    <row r="230" spans="1:13">
      <c r="A230" s="29" t="s">
        <v>315</v>
      </c>
      <c r="B230" s="39">
        <v>644.05183610281483</v>
      </c>
      <c r="D230" s="39">
        <v>0</v>
      </c>
      <c r="E230" s="39">
        <v>644.05183610281483</v>
      </c>
      <c r="F230" s="39"/>
      <c r="G230" s="39">
        <v>0</v>
      </c>
      <c r="H230" s="39">
        <v>0</v>
      </c>
      <c r="I230" s="39">
        <v>0</v>
      </c>
      <c r="J230" s="39">
        <v>0</v>
      </c>
      <c r="K230" s="39">
        <v>644.05183610281483</v>
      </c>
      <c r="L230" s="39">
        <v>0</v>
      </c>
      <c r="M230" s="39">
        <v>0</v>
      </c>
    </row>
    <row r="231" spans="1:13">
      <c r="A231" s="29" t="s">
        <v>316</v>
      </c>
      <c r="B231" s="39">
        <v>33192.530106727223</v>
      </c>
      <c r="D231" s="39">
        <v>14198.206307364258</v>
      </c>
      <c r="E231" s="39">
        <v>18578.389301599142</v>
      </c>
      <c r="F231" s="39"/>
      <c r="G231" s="39">
        <v>0</v>
      </c>
      <c r="H231" s="39">
        <v>4899.0423455022346</v>
      </c>
      <c r="I231" s="39">
        <v>2860.4253793938992</v>
      </c>
      <c r="J231" s="39">
        <v>2168.532894700948</v>
      </c>
      <c r="K231" s="39">
        <v>5276.897672041996</v>
      </c>
      <c r="L231" s="39">
        <v>1815.145863072943</v>
      </c>
      <c r="M231" s="39">
        <v>16172.485952015224</v>
      </c>
    </row>
    <row r="232" spans="1:13">
      <c r="A232" s="29" t="s">
        <v>317</v>
      </c>
      <c r="B232" s="39">
        <v>4768.6397389677177</v>
      </c>
      <c r="D232" s="39">
        <v>3406.7121466170292</v>
      </c>
      <c r="E232" s="39">
        <v>1361.9275923506884</v>
      </c>
      <c r="F232" s="39"/>
      <c r="G232" s="39">
        <v>0</v>
      </c>
      <c r="H232" s="39">
        <v>1108.4716088434243</v>
      </c>
      <c r="I232" s="39">
        <v>2601.124679178396</v>
      </c>
      <c r="J232" s="39">
        <v>558.67924333844962</v>
      </c>
      <c r="K232" s="39">
        <v>500.36420760744733</v>
      </c>
      <c r="L232" s="39">
        <v>0</v>
      </c>
      <c r="M232" s="39">
        <v>0</v>
      </c>
    </row>
    <row r="233" spans="1:13">
      <c r="A233" s="29" t="s">
        <v>318</v>
      </c>
      <c r="B233" s="39">
        <v>0</v>
      </c>
      <c r="D233" s="39">
        <v>0</v>
      </c>
      <c r="E233" s="39">
        <v>0</v>
      </c>
      <c r="F233" s="39"/>
      <c r="G233" s="39">
        <v>0</v>
      </c>
      <c r="H233" s="39">
        <v>0</v>
      </c>
      <c r="I233" s="39">
        <v>0</v>
      </c>
      <c r="J233" s="39">
        <v>0</v>
      </c>
      <c r="K233" s="39">
        <v>0</v>
      </c>
      <c r="L233" s="39">
        <v>0</v>
      </c>
      <c r="M233" s="39">
        <v>0</v>
      </c>
    </row>
    <row r="234" spans="1:13">
      <c r="A234" s="29" t="s">
        <v>319</v>
      </c>
      <c r="B234" s="39">
        <v>54933.492161642331</v>
      </c>
      <c r="D234" s="39">
        <v>42217.937863582796</v>
      </c>
      <c r="E234" s="39">
        <v>12715.554298059531</v>
      </c>
      <c r="F234" s="39"/>
      <c r="G234" s="39">
        <v>3672.923389331248</v>
      </c>
      <c r="H234" s="39">
        <v>9182.2112584002534</v>
      </c>
      <c r="I234" s="39">
        <v>14121.2339112228</v>
      </c>
      <c r="J234" s="39">
        <v>6718.4747558735135</v>
      </c>
      <c r="K234" s="39">
        <v>8223.1835717437534</v>
      </c>
      <c r="L234" s="39">
        <v>8079.3170640562066</v>
      </c>
      <c r="M234" s="39">
        <v>4936.1482110145671</v>
      </c>
    </row>
    <row r="235" spans="1:13">
      <c r="A235" s="29" t="s">
        <v>320</v>
      </c>
      <c r="B235" s="39">
        <v>16583.476110972893</v>
      </c>
      <c r="D235" s="39">
        <v>11565.745778533452</v>
      </c>
      <c r="E235" s="39">
        <v>5017.7303324394452</v>
      </c>
      <c r="F235" s="39"/>
      <c r="G235" s="39">
        <v>3482.9213967694131</v>
      </c>
      <c r="H235" s="39">
        <v>3321.1991532270367</v>
      </c>
      <c r="I235" s="39">
        <v>4959.9214936886092</v>
      </c>
      <c r="J235" s="39">
        <v>2200.0228676587521</v>
      </c>
      <c r="K235" s="39">
        <v>552.66268804487402</v>
      </c>
      <c r="L235" s="39">
        <v>968.00530537833311</v>
      </c>
      <c r="M235" s="39">
        <v>1098.7432062058779</v>
      </c>
    </row>
    <row r="236" spans="1:13">
      <c r="A236" s="29" t="s">
        <v>321</v>
      </c>
      <c r="B236" s="39">
        <v>26952.70141937966</v>
      </c>
      <c r="D236" s="39">
        <v>19415.955361500586</v>
      </c>
      <c r="E236" s="39">
        <v>7536.7460578790688</v>
      </c>
      <c r="F236" s="39"/>
      <c r="G236" s="39">
        <v>0</v>
      </c>
      <c r="H236" s="39">
        <v>3636.5337174947435</v>
      </c>
      <c r="I236" s="39">
        <v>6657.5540739531152</v>
      </c>
      <c r="J236" s="39">
        <v>5275.0184105465605</v>
      </c>
      <c r="K236" s="39">
        <v>7637.0588110829203</v>
      </c>
      <c r="L236" s="39">
        <v>1892.1585846648818</v>
      </c>
      <c r="M236" s="39">
        <v>1854.3778216374324</v>
      </c>
    </row>
    <row r="237" spans="1:13">
      <c r="A237" s="29" t="s">
        <v>322</v>
      </c>
      <c r="B237" s="39">
        <v>4984.7577595083312</v>
      </c>
      <c r="D237" s="39">
        <v>2674.9539918532687</v>
      </c>
      <c r="E237" s="39">
        <v>2309.803767655063</v>
      </c>
      <c r="F237" s="39"/>
      <c r="G237" s="39">
        <v>0</v>
      </c>
      <c r="H237" s="39">
        <v>1542.6934133743532</v>
      </c>
      <c r="I237" s="39">
        <v>1992.8980213750679</v>
      </c>
      <c r="J237" s="39">
        <v>0</v>
      </c>
      <c r="K237" s="39">
        <v>974.86566915822573</v>
      </c>
      <c r="L237" s="39">
        <v>474.30065560068488</v>
      </c>
      <c r="M237" s="39">
        <v>0</v>
      </c>
    </row>
    <row r="238" spans="1:13">
      <c r="A238" s="29" t="s">
        <v>323</v>
      </c>
      <c r="B238" s="39">
        <v>5832.6694098004591</v>
      </c>
      <c r="D238" s="39">
        <v>3410.5689327669957</v>
      </c>
      <c r="E238" s="39">
        <v>2422.100477033463</v>
      </c>
      <c r="F238" s="39"/>
      <c r="G238" s="39">
        <v>0</v>
      </c>
      <c r="H238" s="39">
        <v>3174.470819131951</v>
      </c>
      <c r="I238" s="39">
        <v>1139.3761199685021</v>
      </c>
      <c r="J238" s="39">
        <v>1101.8936902747228</v>
      </c>
      <c r="K238" s="39">
        <v>0</v>
      </c>
      <c r="L238" s="39">
        <v>0</v>
      </c>
      <c r="M238" s="39">
        <v>416.92878042528321</v>
      </c>
    </row>
    <row r="239" spans="1:13">
      <c r="A239" s="29" t="s">
        <v>324</v>
      </c>
      <c r="B239" s="39">
        <v>139826.09050703864</v>
      </c>
      <c r="D239" s="39">
        <v>23298.693324703923</v>
      </c>
      <c r="E239" s="39">
        <v>116527.39718233468</v>
      </c>
      <c r="F239" s="39"/>
      <c r="G239" s="39">
        <v>26637.930246822976</v>
      </c>
      <c r="H239" s="39">
        <v>38900.76811857889</v>
      </c>
      <c r="I239" s="39">
        <v>41833.060070334606</v>
      </c>
      <c r="J239" s="39">
        <v>18042.854175855493</v>
      </c>
      <c r="K239" s="39">
        <v>11635.073567796391</v>
      </c>
      <c r="L239" s="39">
        <v>1420.2402253342943</v>
      </c>
      <c r="M239" s="39">
        <v>1356.1641023159664</v>
      </c>
    </row>
    <row r="240" spans="1:13">
      <c r="A240" s="29" t="s">
        <v>325</v>
      </c>
      <c r="B240" s="39">
        <v>3414.7645583379735</v>
      </c>
      <c r="D240" s="39">
        <v>1340.567356342081</v>
      </c>
      <c r="E240" s="39">
        <v>2074.1972019958926</v>
      </c>
      <c r="F240" s="39"/>
      <c r="G240" s="39">
        <v>2074.1972019958926</v>
      </c>
      <c r="H240" s="39">
        <v>0</v>
      </c>
      <c r="I240" s="39">
        <v>694.68477906298142</v>
      </c>
      <c r="J240" s="39">
        <v>645.88257727909968</v>
      </c>
      <c r="K240" s="39">
        <v>0</v>
      </c>
      <c r="L240" s="39">
        <v>0</v>
      </c>
      <c r="M240" s="39">
        <v>0</v>
      </c>
    </row>
    <row r="241" spans="1:13">
      <c r="A241" s="29" t="s">
        <v>326</v>
      </c>
      <c r="B241" s="39">
        <v>7709.0670407941179</v>
      </c>
      <c r="D241" s="39">
        <v>1988.7470334799109</v>
      </c>
      <c r="E241" s="39">
        <v>5312.4637135629437</v>
      </c>
      <c r="F241" s="39"/>
      <c r="G241" s="39">
        <v>2074.1972019958926</v>
      </c>
      <c r="H241" s="39">
        <v>0</v>
      </c>
      <c r="I241" s="39">
        <v>0</v>
      </c>
      <c r="J241" s="39">
        <v>550.4326504221749</v>
      </c>
      <c r="K241" s="39">
        <v>1464.0368082152381</v>
      </c>
      <c r="L241" s="39">
        <v>0</v>
      </c>
      <c r="M241" s="39">
        <v>3620.4003801608133</v>
      </c>
    </row>
    <row r="242" spans="1:13">
      <c r="A242" s="29" t="s">
        <v>327</v>
      </c>
      <c r="B242" s="39">
        <v>0</v>
      </c>
      <c r="D242" s="39">
        <v>0</v>
      </c>
      <c r="E242" s="39">
        <v>0</v>
      </c>
      <c r="F242" s="39"/>
      <c r="G242" s="39">
        <v>0</v>
      </c>
      <c r="H242" s="39">
        <v>0</v>
      </c>
      <c r="I242" s="39">
        <v>0</v>
      </c>
      <c r="J242" s="39">
        <v>0</v>
      </c>
      <c r="K242" s="39">
        <v>0</v>
      </c>
      <c r="L242" s="39">
        <v>0</v>
      </c>
      <c r="M242" s="39">
        <v>0</v>
      </c>
    </row>
    <row r="243" spans="1:13">
      <c r="A243" s="29" t="s">
        <v>328</v>
      </c>
      <c r="B243" s="39">
        <v>0</v>
      </c>
      <c r="D243" s="39">
        <v>0</v>
      </c>
      <c r="E243" s="39">
        <v>0</v>
      </c>
      <c r="F243" s="39"/>
      <c r="G243" s="39">
        <v>0</v>
      </c>
      <c r="H243" s="39">
        <v>0</v>
      </c>
      <c r="I243" s="39">
        <v>0</v>
      </c>
      <c r="J243" s="39">
        <v>0</v>
      </c>
      <c r="K243" s="39">
        <v>0</v>
      </c>
      <c r="L243" s="39">
        <v>0</v>
      </c>
      <c r="M243" s="39">
        <v>0</v>
      </c>
    </row>
    <row r="244" spans="1:13">
      <c r="A244" s="29" t="s">
        <v>329</v>
      </c>
      <c r="B244" s="39">
        <v>9212.8618129325314</v>
      </c>
      <c r="D244" s="39">
        <v>5019.2570379855169</v>
      </c>
      <c r="E244" s="39">
        <v>4193.6047749470144</v>
      </c>
      <c r="F244" s="39"/>
      <c r="G244" s="39">
        <v>0</v>
      </c>
      <c r="H244" s="39">
        <v>1092.8080404500363</v>
      </c>
      <c r="I244" s="39">
        <v>2293.1705035863315</v>
      </c>
      <c r="J244" s="39">
        <v>1603.4490179039972</v>
      </c>
      <c r="K244" s="39">
        <v>1674.8228465131174</v>
      </c>
      <c r="L244" s="39">
        <v>1871.2365126261632</v>
      </c>
      <c r="M244" s="39">
        <v>677.37489185288507</v>
      </c>
    </row>
    <row r="245" spans="1:13">
      <c r="A245" s="29" t="s">
        <v>330</v>
      </c>
      <c r="B245" s="39">
        <v>495.41707329683896</v>
      </c>
      <c r="D245" s="39">
        <v>495.41707329683896</v>
      </c>
      <c r="E245" s="39">
        <v>0</v>
      </c>
      <c r="F245" s="39"/>
      <c r="G245" s="39">
        <v>0</v>
      </c>
      <c r="H245" s="39">
        <v>0</v>
      </c>
      <c r="I245" s="39">
        <v>495.41707329683896</v>
      </c>
      <c r="J245" s="39">
        <v>0</v>
      </c>
      <c r="K245" s="39">
        <v>0</v>
      </c>
      <c r="L245" s="39">
        <v>0</v>
      </c>
      <c r="M245" s="39">
        <v>0</v>
      </c>
    </row>
    <row r="246" spans="1:13">
      <c r="A246" s="29" t="s">
        <v>331</v>
      </c>
      <c r="B246" s="39">
        <v>4221.1751737620943</v>
      </c>
      <c r="D246" s="39">
        <v>489.22613750904748</v>
      </c>
      <c r="E246" s="39">
        <v>3731.9490362530478</v>
      </c>
      <c r="F246" s="39"/>
      <c r="G246" s="39">
        <v>3731.9490362530478</v>
      </c>
      <c r="H246" s="39">
        <v>0</v>
      </c>
      <c r="I246" s="39">
        <v>489.22613750904748</v>
      </c>
      <c r="J246" s="39">
        <v>0</v>
      </c>
      <c r="K246" s="39">
        <v>0</v>
      </c>
      <c r="L246" s="39">
        <v>0</v>
      </c>
      <c r="M246" s="39">
        <v>0</v>
      </c>
    </row>
    <row r="247" spans="1:13">
      <c r="A247" s="29" t="s">
        <v>332</v>
      </c>
      <c r="B247" s="39">
        <v>360.61781302758351</v>
      </c>
      <c r="D247" s="39">
        <v>360.61781302758351</v>
      </c>
      <c r="E247" s="39">
        <v>0</v>
      </c>
      <c r="F247" s="39"/>
      <c r="G247" s="39">
        <v>0</v>
      </c>
      <c r="H247" s="39">
        <v>0</v>
      </c>
      <c r="I247" s="39">
        <v>0</v>
      </c>
      <c r="J247" s="39">
        <v>0</v>
      </c>
      <c r="K247" s="39">
        <v>0</v>
      </c>
      <c r="L247" s="39">
        <v>0</v>
      </c>
      <c r="M247" s="39">
        <v>360.61781302758351</v>
      </c>
    </row>
    <row r="248" spans="1:13">
      <c r="A248" s="29" t="s">
        <v>333</v>
      </c>
      <c r="B248" s="39">
        <v>383.12101100941817</v>
      </c>
      <c r="D248" s="39">
        <v>383.12101100941817</v>
      </c>
      <c r="E248" s="39">
        <v>0</v>
      </c>
      <c r="F248" s="39"/>
      <c r="G248" s="39">
        <v>0</v>
      </c>
      <c r="H248" s="39">
        <v>0</v>
      </c>
      <c r="I248" s="39">
        <v>0</v>
      </c>
      <c r="J248" s="39">
        <v>0</v>
      </c>
      <c r="K248" s="39">
        <v>0</v>
      </c>
      <c r="L248" s="39">
        <v>0</v>
      </c>
      <c r="M248" s="39">
        <v>383.12101100941817</v>
      </c>
    </row>
    <row r="249" spans="1:13">
      <c r="A249" s="29" t="s">
        <v>334</v>
      </c>
      <c r="B249" s="39">
        <v>61543.317686171453</v>
      </c>
      <c r="D249" s="39">
        <v>26993.971079216637</v>
      </c>
      <c r="E249" s="39">
        <v>34549.346606954765</v>
      </c>
      <c r="F249" s="39"/>
      <c r="G249" s="39">
        <v>2994.5714462979972</v>
      </c>
      <c r="H249" s="39">
        <v>7351.826517653476</v>
      </c>
      <c r="I249" s="39">
        <v>10228.511714698052</v>
      </c>
      <c r="J249" s="39">
        <v>15931.141629410815</v>
      </c>
      <c r="K249" s="39">
        <v>9015.7599186623029</v>
      </c>
      <c r="L249" s="39">
        <v>8591.9235917505193</v>
      </c>
      <c r="M249" s="39">
        <v>7429.5828676982637</v>
      </c>
    </row>
    <row r="250" spans="1:13">
      <c r="A250" s="29" t="s">
        <v>335</v>
      </c>
      <c r="B250" s="39">
        <v>436874.31773515244</v>
      </c>
      <c r="D250" s="39">
        <v>36536.566867845591</v>
      </c>
      <c r="E250" s="39">
        <v>398426.66520069871</v>
      </c>
      <c r="F250" s="39"/>
      <c r="G250" s="39">
        <v>11131.800566949902</v>
      </c>
      <c r="H250" s="39">
        <v>57878.516967311421</v>
      </c>
      <c r="I250" s="39">
        <v>128991.55556426768</v>
      </c>
      <c r="J250" s="39">
        <v>91440.370715627883</v>
      </c>
      <c r="K250" s="39">
        <v>61922.42010180097</v>
      </c>
      <c r="L250" s="39">
        <v>41004.132590286928</v>
      </c>
      <c r="M250" s="39">
        <v>44505.521228906226</v>
      </c>
    </row>
    <row r="251" spans="1:13">
      <c r="A251" s="29" t="s">
        <v>336</v>
      </c>
      <c r="B251" s="39">
        <v>0</v>
      </c>
      <c r="D251" s="39">
        <v>0</v>
      </c>
      <c r="E251" s="39">
        <v>0</v>
      </c>
      <c r="F251" s="39"/>
      <c r="G251" s="39">
        <v>0</v>
      </c>
      <c r="H251" s="39">
        <v>0</v>
      </c>
      <c r="I251" s="39">
        <v>0</v>
      </c>
      <c r="J251" s="39">
        <v>0</v>
      </c>
      <c r="K251" s="39">
        <v>0</v>
      </c>
      <c r="L251" s="39">
        <v>0</v>
      </c>
      <c r="M251" s="39">
        <v>0</v>
      </c>
    </row>
    <row r="252" spans="1:13">
      <c r="A252" s="29" t="s">
        <v>337</v>
      </c>
      <c r="B252" s="39">
        <v>0</v>
      </c>
      <c r="D252" s="39">
        <v>0</v>
      </c>
      <c r="E252" s="39">
        <v>0</v>
      </c>
      <c r="F252" s="39"/>
      <c r="G252" s="39">
        <v>0</v>
      </c>
      <c r="H252" s="39">
        <v>0</v>
      </c>
      <c r="I252" s="39">
        <v>0</v>
      </c>
      <c r="J252" s="39">
        <v>0</v>
      </c>
      <c r="K252" s="39">
        <v>0</v>
      </c>
      <c r="L252" s="39">
        <v>0</v>
      </c>
      <c r="M252" s="39">
        <v>0</v>
      </c>
    </row>
    <row r="253" spans="1:13">
      <c r="A253" s="29" t="s">
        <v>338</v>
      </c>
      <c r="B253" s="39">
        <v>2962.0349443746281</v>
      </c>
      <c r="D253" s="39">
        <v>1986.5027484424061</v>
      </c>
      <c r="E253" s="39">
        <v>975.53219593222229</v>
      </c>
      <c r="F253" s="39"/>
      <c r="G253" s="39">
        <v>1986.5027484424061</v>
      </c>
      <c r="H253" s="39">
        <v>467.7907630544529</v>
      </c>
      <c r="I253" s="39">
        <v>0</v>
      </c>
      <c r="J253" s="39">
        <v>507.74143287776934</v>
      </c>
      <c r="K253" s="39">
        <v>0</v>
      </c>
      <c r="L253" s="39">
        <v>0</v>
      </c>
      <c r="M253" s="39">
        <v>0</v>
      </c>
    </row>
    <row r="254" spans="1:13">
      <c r="A254" s="29" t="s">
        <v>339</v>
      </c>
      <c r="B254" s="39">
        <v>3463.5541904163447</v>
      </c>
      <c r="D254" s="39">
        <v>1629.963890204604</v>
      </c>
      <c r="E254" s="39">
        <v>1833.5903002117402</v>
      </c>
      <c r="F254" s="39"/>
      <c r="G254" s="39">
        <v>0</v>
      </c>
      <c r="H254" s="39">
        <v>596.90802760652321</v>
      </c>
      <c r="I254" s="39">
        <v>1809.6079607715742</v>
      </c>
      <c r="J254" s="39">
        <v>1057.0382020382467</v>
      </c>
      <c r="K254" s="39">
        <v>0</v>
      </c>
      <c r="L254" s="39">
        <v>0</v>
      </c>
      <c r="M254" s="39">
        <v>0</v>
      </c>
    </row>
    <row r="255" spans="1:13">
      <c r="A255" s="29" t="s">
        <v>340</v>
      </c>
      <c r="B255" s="39">
        <v>0</v>
      </c>
      <c r="D255" s="39">
        <v>0</v>
      </c>
      <c r="E255" s="39">
        <v>0</v>
      </c>
      <c r="F255" s="39"/>
      <c r="G255" s="39">
        <v>0</v>
      </c>
      <c r="H255" s="39">
        <v>0</v>
      </c>
      <c r="I255" s="39">
        <v>0</v>
      </c>
      <c r="J255" s="39">
        <v>0</v>
      </c>
      <c r="K255" s="39">
        <v>0</v>
      </c>
      <c r="L255" s="39">
        <v>0</v>
      </c>
      <c r="M255" s="39">
        <v>0</v>
      </c>
    </row>
    <row r="256" spans="1:13">
      <c r="A256" s="29" t="s">
        <v>341</v>
      </c>
      <c r="B256" s="39">
        <v>26683.31563005978</v>
      </c>
      <c r="D256" s="39">
        <v>16931.429684779872</v>
      </c>
      <c r="E256" s="39">
        <v>9751.8859452799152</v>
      </c>
      <c r="F256" s="39"/>
      <c r="G256" s="39">
        <v>5358.9908698489398</v>
      </c>
      <c r="H256" s="39">
        <v>4267.8661961118678</v>
      </c>
      <c r="I256" s="39">
        <v>7696.9547145549468</v>
      </c>
      <c r="J256" s="39">
        <v>5397.7907829452315</v>
      </c>
      <c r="K256" s="39">
        <v>2578.9976031928481</v>
      </c>
      <c r="L256" s="39">
        <v>1023.7121039817265</v>
      </c>
      <c r="M256" s="39">
        <v>359.00335942422606</v>
      </c>
    </row>
    <row r="257" spans="1:13">
      <c r="A257" s="29" t="s">
        <v>342</v>
      </c>
      <c r="B257" s="39">
        <v>0</v>
      </c>
      <c r="D257" s="39">
        <v>0</v>
      </c>
      <c r="E257" s="39">
        <v>0</v>
      </c>
      <c r="F257" s="39"/>
      <c r="G257" s="39">
        <v>0</v>
      </c>
      <c r="H257" s="39">
        <v>0</v>
      </c>
      <c r="I257" s="39">
        <v>0</v>
      </c>
      <c r="J257" s="39">
        <v>0</v>
      </c>
      <c r="K257" s="39">
        <v>0</v>
      </c>
      <c r="L257" s="39">
        <v>0</v>
      </c>
      <c r="M257" s="39">
        <v>0</v>
      </c>
    </row>
    <row r="258" spans="1:13">
      <c r="A258" s="29" t="s">
        <v>343</v>
      </c>
      <c r="B258" s="39">
        <v>1472.7675841639978</v>
      </c>
      <c r="D258" s="39">
        <v>979.04189620028512</v>
      </c>
      <c r="E258" s="39">
        <v>493.72568796371263</v>
      </c>
      <c r="F258" s="39"/>
      <c r="G258" s="39">
        <v>0</v>
      </c>
      <c r="H258" s="39">
        <v>596.90802760652321</v>
      </c>
      <c r="I258" s="39">
        <v>0</v>
      </c>
      <c r="J258" s="39">
        <v>0</v>
      </c>
      <c r="K258" s="39">
        <v>0</v>
      </c>
      <c r="L258" s="39">
        <v>493.72568796371263</v>
      </c>
      <c r="M258" s="39">
        <v>382.13386859376192</v>
      </c>
    </row>
    <row r="259" spans="1:13">
      <c r="A259" s="29" t="s">
        <v>344</v>
      </c>
      <c r="B259" s="39">
        <v>2220.4762594905874</v>
      </c>
      <c r="D259" s="39">
        <v>1175.9971572961933</v>
      </c>
      <c r="E259" s="39">
        <v>537.85879360486456</v>
      </c>
      <c r="F259" s="39"/>
      <c r="G259" s="39">
        <v>0</v>
      </c>
      <c r="H259" s="39">
        <v>0</v>
      </c>
      <c r="I259" s="39">
        <v>506.62030858952943</v>
      </c>
      <c r="J259" s="39">
        <v>1713.8559509010579</v>
      </c>
      <c r="K259" s="39">
        <v>0</v>
      </c>
      <c r="L259" s="39">
        <v>0</v>
      </c>
      <c r="M259" s="39">
        <v>0</v>
      </c>
    </row>
    <row r="260" spans="1:13">
      <c r="A260" s="29" t="s">
        <v>345</v>
      </c>
      <c r="B260" s="39">
        <v>19235.492446613163</v>
      </c>
      <c r="D260" s="39">
        <v>4926.4434871333842</v>
      </c>
      <c r="E260" s="39">
        <v>14309.048959479782</v>
      </c>
      <c r="F260" s="39"/>
      <c r="G260" s="39">
        <v>5416.0530724521677</v>
      </c>
      <c r="H260" s="39">
        <v>2935.6499597600323</v>
      </c>
      <c r="I260" s="39">
        <v>2102.5657649615632</v>
      </c>
      <c r="J260" s="39">
        <v>3659.195064927108</v>
      </c>
      <c r="K260" s="39">
        <v>2988.8703338872801</v>
      </c>
      <c r="L260" s="39">
        <v>1822.6863935025815</v>
      </c>
      <c r="M260" s="39">
        <v>310.47185712243424</v>
      </c>
    </row>
    <row r="261" spans="1:13">
      <c r="A261" s="29" t="s">
        <v>346</v>
      </c>
      <c r="B261" s="39">
        <v>27102.913871497123</v>
      </c>
      <c r="D261" s="39">
        <v>17088.620589791331</v>
      </c>
      <c r="E261" s="39">
        <v>10014.293281705804</v>
      </c>
      <c r="F261" s="39"/>
      <c r="G261" s="39">
        <v>0</v>
      </c>
      <c r="H261" s="39">
        <v>969.81003958551969</v>
      </c>
      <c r="I261" s="39">
        <v>4872.2600738321171</v>
      </c>
      <c r="J261" s="39">
        <v>5540.3470305480314</v>
      </c>
      <c r="K261" s="39">
        <v>6498.3911908987393</v>
      </c>
      <c r="L261" s="39">
        <v>5724.4054319085863</v>
      </c>
      <c r="M261" s="39">
        <v>3497.7001047241424</v>
      </c>
    </row>
    <row r="262" spans="1:13">
      <c r="A262" s="29" t="s">
        <v>347</v>
      </c>
      <c r="B262" s="39">
        <v>10153.821225905702</v>
      </c>
      <c r="D262" s="39">
        <v>9166.2120540216729</v>
      </c>
      <c r="E262" s="39">
        <v>987.60917188403005</v>
      </c>
      <c r="F262" s="39"/>
      <c r="G262" s="39">
        <v>0</v>
      </c>
      <c r="H262" s="39">
        <v>2563.0464724667718</v>
      </c>
      <c r="I262" s="39">
        <v>5945.5648042919029</v>
      </c>
      <c r="J262" s="39">
        <v>548.3346408498262</v>
      </c>
      <c r="K262" s="39">
        <v>1096.8753082972021</v>
      </c>
      <c r="L262" s="39">
        <v>0</v>
      </c>
      <c r="M262" s="39">
        <v>0</v>
      </c>
    </row>
    <row r="263" spans="1:13">
      <c r="A263" s="29" t="s">
        <v>348</v>
      </c>
      <c r="B263" s="39">
        <v>6028.8560354817982</v>
      </c>
      <c r="D263" s="39">
        <v>5439.1528828301462</v>
      </c>
      <c r="E263" s="39">
        <v>589.70315265165152</v>
      </c>
      <c r="F263" s="39"/>
      <c r="G263" s="39">
        <v>0</v>
      </c>
      <c r="H263" s="39">
        <v>1558.3108603483231</v>
      </c>
      <c r="I263" s="39">
        <v>3354.9965360285787</v>
      </c>
      <c r="J263" s="39">
        <v>1115.548639104896</v>
      </c>
      <c r="K263" s="39">
        <v>0</v>
      </c>
      <c r="L263" s="39">
        <v>0</v>
      </c>
      <c r="M263" s="39">
        <v>0</v>
      </c>
    </row>
    <row r="264" spans="1:13">
      <c r="A264" s="29" t="s">
        <v>349</v>
      </c>
      <c r="B264" s="39">
        <v>978608.84579737973</v>
      </c>
      <c r="D264" s="39">
        <v>544881.34001960105</v>
      </c>
      <c r="E264" s="39">
        <v>427516.30889798678</v>
      </c>
      <c r="F264" s="39"/>
      <c r="G264" s="39">
        <v>75849.054688076416</v>
      </c>
      <c r="H264" s="39">
        <v>167334.30515958549</v>
      </c>
      <c r="I264" s="39">
        <v>300068.69197182707</v>
      </c>
      <c r="J264" s="39">
        <v>208594.78869301282</v>
      </c>
      <c r="K264" s="39">
        <v>142549.93382873249</v>
      </c>
      <c r="L264" s="39">
        <v>58137.196100042835</v>
      </c>
      <c r="M264" s="39">
        <v>26074.875356105127</v>
      </c>
    </row>
    <row r="265" spans="1:13">
      <c r="A265" s="29" t="s">
        <v>350</v>
      </c>
      <c r="B265" s="39">
        <v>19448.161369070309</v>
      </c>
      <c r="D265" s="39">
        <v>13849.980910569122</v>
      </c>
      <c r="E265" s="39">
        <v>5598.1804585011869</v>
      </c>
      <c r="F265" s="39"/>
      <c r="G265" s="39">
        <v>0</v>
      </c>
      <c r="H265" s="39">
        <v>1033.8950527835777</v>
      </c>
      <c r="I265" s="39">
        <v>2604.6542154037588</v>
      </c>
      <c r="J265" s="39">
        <v>1196.3152277012746</v>
      </c>
      <c r="K265" s="39">
        <v>2987.3392487058768</v>
      </c>
      <c r="L265" s="39">
        <v>5339.2881905976346</v>
      </c>
      <c r="M265" s="39">
        <v>6286.6694338781854</v>
      </c>
    </row>
    <row r="266" spans="1:13">
      <c r="A266" s="29" t="s">
        <v>351</v>
      </c>
      <c r="B266" s="39">
        <v>5814.5737754564716</v>
      </c>
      <c r="D266" s="39">
        <v>3232.2664060946317</v>
      </c>
      <c r="E266" s="39">
        <v>2582.3073693618394</v>
      </c>
      <c r="F266" s="39"/>
      <c r="G266" s="39">
        <v>0</v>
      </c>
      <c r="H266" s="39">
        <v>1050.4345889596166</v>
      </c>
      <c r="I266" s="39">
        <v>1159.2177123509177</v>
      </c>
      <c r="J266" s="39">
        <v>2631.254033958227</v>
      </c>
      <c r="K266" s="39">
        <v>973.66744018770976</v>
      </c>
      <c r="L266" s="39">
        <v>0</v>
      </c>
      <c r="M266" s="39">
        <v>0</v>
      </c>
    </row>
    <row r="267" spans="1:13">
      <c r="A267" s="29" t="s">
        <v>352</v>
      </c>
      <c r="B267" s="39">
        <v>2419.6778744478165</v>
      </c>
      <c r="D267" s="39">
        <v>1414.3117944289772</v>
      </c>
      <c r="E267" s="39">
        <v>1005.3660800188392</v>
      </c>
      <c r="F267" s="39"/>
      <c r="G267" s="39">
        <v>1414.3117944289772</v>
      </c>
      <c r="H267" s="39">
        <v>1005.3660800188392</v>
      </c>
      <c r="I267" s="39">
        <v>0</v>
      </c>
      <c r="J267" s="39">
        <v>0</v>
      </c>
      <c r="K267" s="39">
        <v>0</v>
      </c>
      <c r="L267" s="39">
        <v>0</v>
      </c>
      <c r="M267" s="39">
        <v>0</v>
      </c>
    </row>
    <row r="268" spans="1:13">
      <c r="A268" s="29" t="s">
        <v>353</v>
      </c>
      <c r="B268" s="39">
        <v>596.90802760652321</v>
      </c>
      <c r="D268" s="39">
        <v>596.90802760652321</v>
      </c>
      <c r="E268" s="39">
        <v>0</v>
      </c>
      <c r="F268" s="39"/>
      <c r="G268" s="39">
        <v>0</v>
      </c>
      <c r="H268" s="39">
        <v>596.90802760652321</v>
      </c>
      <c r="I268" s="39">
        <v>0</v>
      </c>
      <c r="J268" s="39">
        <v>0</v>
      </c>
      <c r="K268" s="39">
        <v>0</v>
      </c>
      <c r="L268" s="39">
        <v>0</v>
      </c>
      <c r="M268" s="39">
        <v>0</v>
      </c>
    </row>
    <row r="269" spans="1:13">
      <c r="A269" s="29" t="s">
        <v>354</v>
      </c>
      <c r="B269" s="39">
        <v>13364.630204243736</v>
      </c>
      <c r="D269" s="39">
        <v>12349.019693861792</v>
      </c>
      <c r="E269" s="39">
        <v>1015.6105103819443</v>
      </c>
      <c r="F269" s="39"/>
      <c r="G269" s="39">
        <v>1986.5027484424061</v>
      </c>
      <c r="H269" s="39">
        <v>1935.9074965468858</v>
      </c>
      <c r="I269" s="39">
        <v>1451.9285542340658</v>
      </c>
      <c r="J269" s="39">
        <v>2178.9662651759495</v>
      </c>
      <c r="K269" s="39">
        <v>1199.8212430878227</v>
      </c>
      <c r="L269" s="39">
        <v>1932.5315371428369</v>
      </c>
      <c r="M269" s="39">
        <v>2678.9723596137687</v>
      </c>
    </row>
    <row r="270" spans="1:13">
      <c r="A270" s="29" t="s">
        <v>355</v>
      </c>
      <c r="B270" s="39">
        <v>9048.9612509040126</v>
      </c>
      <c r="D270" s="39">
        <v>8054.5242950408501</v>
      </c>
      <c r="E270" s="39">
        <v>994.43695586316255</v>
      </c>
      <c r="F270" s="39"/>
      <c r="G270" s="39">
        <v>0</v>
      </c>
      <c r="H270" s="39">
        <v>1071.2556712138864</v>
      </c>
      <c r="I270" s="39">
        <v>4466.9410828408927</v>
      </c>
      <c r="J270" s="39">
        <v>1717.5082262477674</v>
      </c>
      <c r="K270" s="39">
        <v>520.08931225579931</v>
      </c>
      <c r="L270" s="39">
        <v>452.35602157959869</v>
      </c>
      <c r="M270" s="39">
        <v>820.81093676606827</v>
      </c>
    </row>
    <row r="271" spans="1:13">
      <c r="A271" s="29" t="s">
        <v>356</v>
      </c>
      <c r="B271" s="39">
        <v>21617.799494462852</v>
      </c>
      <c r="D271" s="39">
        <v>9205.88091435555</v>
      </c>
      <c r="E271" s="39">
        <v>11021.039573503891</v>
      </c>
      <c r="F271" s="39"/>
      <c r="G271" s="39">
        <v>2074.1972019958926</v>
      </c>
      <c r="H271" s="39">
        <v>5271.2578441465785</v>
      </c>
      <c r="I271" s="39">
        <v>5385.6374331094676</v>
      </c>
      <c r="J271" s="39">
        <v>4799.1571682472768</v>
      </c>
      <c r="K271" s="39">
        <v>3613.2491913629506</v>
      </c>
      <c r="L271" s="39">
        <v>474.30065560068488</v>
      </c>
      <c r="M271" s="39">
        <v>0</v>
      </c>
    </row>
    <row r="272" spans="1:13">
      <c r="A272" s="29" t="s">
        <v>357</v>
      </c>
      <c r="B272" s="39">
        <v>0</v>
      </c>
      <c r="D272" s="39">
        <v>0</v>
      </c>
      <c r="E272" s="39">
        <v>0</v>
      </c>
      <c r="F272" s="39"/>
      <c r="G272" s="39">
        <v>0</v>
      </c>
      <c r="H272" s="39">
        <v>0</v>
      </c>
      <c r="I272" s="39">
        <v>0</v>
      </c>
      <c r="J272" s="39">
        <v>0</v>
      </c>
      <c r="K272" s="39">
        <v>0</v>
      </c>
      <c r="L272" s="39">
        <v>0</v>
      </c>
      <c r="M272" s="39">
        <v>0</v>
      </c>
    </row>
    <row r="273" spans="1:13">
      <c r="A273" s="29" t="s">
        <v>358</v>
      </c>
      <c r="B273" s="39">
        <v>47870.731636346776</v>
      </c>
      <c r="D273" s="39">
        <v>24690.752102755279</v>
      </c>
      <c r="E273" s="39">
        <v>23179.979533591508</v>
      </c>
      <c r="F273" s="39"/>
      <c r="G273" s="39">
        <v>3219.2090062055681</v>
      </c>
      <c r="H273" s="39">
        <v>6179.376217345306</v>
      </c>
      <c r="I273" s="39">
        <v>13061.489151936992</v>
      </c>
      <c r="J273" s="39">
        <v>4985.6938286186341</v>
      </c>
      <c r="K273" s="39">
        <v>4896.8887823687137</v>
      </c>
      <c r="L273" s="39">
        <v>9235.9832838191305</v>
      </c>
      <c r="M273" s="39">
        <v>6292.0913660524402</v>
      </c>
    </row>
    <row r="274" spans="1:13">
      <c r="A274" s="29" t="s">
        <v>359</v>
      </c>
      <c r="B274" s="39">
        <v>0</v>
      </c>
      <c r="D274" s="39">
        <v>0</v>
      </c>
      <c r="E274" s="39">
        <v>0</v>
      </c>
      <c r="F274" s="39"/>
      <c r="G274" s="39">
        <v>0</v>
      </c>
      <c r="H274" s="39">
        <v>0</v>
      </c>
      <c r="I274" s="39">
        <v>0</v>
      </c>
      <c r="J274" s="39">
        <v>0</v>
      </c>
      <c r="K274" s="39">
        <v>0</v>
      </c>
      <c r="L274" s="39">
        <v>0</v>
      </c>
      <c r="M274" s="39">
        <v>0</v>
      </c>
    </row>
    <row r="275" spans="1:13">
      <c r="A275" s="29" t="s">
        <v>360</v>
      </c>
      <c r="B275" s="39">
        <v>5647.2184035274349</v>
      </c>
      <c r="D275" s="39">
        <v>2751.2668750827297</v>
      </c>
      <c r="E275" s="39">
        <v>2895.9515284447048</v>
      </c>
      <c r="F275" s="39"/>
      <c r="G275" s="39">
        <v>1686.4206408888419</v>
      </c>
      <c r="H275" s="39">
        <v>1474.3050713069547</v>
      </c>
      <c r="I275" s="39">
        <v>1418.0405306420951</v>
      </c>
      <c r="J275" s="39">
        <v>562.48249286555335</v>
      </c>
      <c r="K275" s="39">
        <v>505.96966782398954</v>
      </c>
      <c r="L275" s="39">
        <v>0</v>
      </c>
      <c r="M275" s="39">
        <v>0</v>
      </c>
    </row>
    <row r="276" spans="1:13">
      <c r="A276" s="29" t="s">
        <v>361</v>
      </c>
      <c r="B276" s="39">
        <v>24971.829503612222</v>
      </c>
      <c r="D276" s="39">
        <v>14284.461075792933</v>
      </c>
      <c r="E276" s="39">
        <v>10272.660194975571</v>
      </c>
      <c r="F276" s="39"/>
      <c r="G276" s="39">
        <v>0</v>
      </c>
      <c r="H276" s="39">
        <v>5622.8604529895401</v>
      </c>
      <c r="I276" s="39">
        <v>13519.564093637196</v>
      </c>
      <c r="J276" s="39">
        <v>4915.8879051150889</v>
      </c>
      <c r="K276" s="39">
        <v>0</v>
      </c>
      <c r="L276" s="39">
        <v>913.5170518703984</v>
      </c>
      <c r="M276" s="39">
        <v>0</v>
      </c>
    </row>
    <row r="277" spans="1:13">
      <c r="A277" s="29" t="s">
        <v>362</v>
      </c>
      <c r="B277" s="39">
        <v>18066.644107317807</v>
      </c>
      <c r="D277" s="39">
        <v>13966.204907892172</v>
      </c>
      <c r="E277" s="39">
        <v>4100.4391994256312</v>
      </c>
      <c r="F277" s="39"/>
      <c r="G277" s="39">
        <v>0</v>
      </c>
      <c r="H277" s="39">
        <v>3736.6744692560237</v>
      </c>
      <c r="I277" s="39">
        <v>3882.8937935202166</v>
      </c>
      <c r="J277" s="39">
        <v>2932.0450240479522</v>
      </c>
      <c r="K277" s="39">
        <v>1454.253328203617</v>
      </c>
      <c r="L277" s="39">
        <v>3468.359171359627</v>
      </c>
      <c r="M277" s="39">
        <v>2592.4183209303678</v>
      </c>
    </row>
    <row r="278" spans="1:13">
      <c r="A278" s="29" t="s">
        <v>363</v>
      </c>
      <c r="B278" s="39">
        <v>52078.197547481032</v>
      </c>
      <c r="D278" s="39">
        <v>30984.669084834062</v>
      </c>
      <c r="E278" s="39">
        <v>21093.528462646973</v>
      </c>
      <c r="F278" s="39"/>
      <c r="G278" s="39">
        <v>3630.0461331658707</v>
      </c>
      <c r="H278" s="39">
        <v>6577.9561580762729</v>
      </c>
      <c r="I278" s="39">
        <v>11053.475556479465</v>
      </c>
      <c r="J278" s="39">
        <v>12402.706486408151</v>
      </c>
      <c r="K278" s="39">
        <v>9031.770730539034</v>
      </c>
      <c r="L278" s="39">
        <v>5090.6336001661102</v>
      </c>
      <c r="M278" s="39">
        <v>4291.6088826461228</v>
      </c>
    </row>
    <row r="279" spans="1:13">
      <c r="A279" s="29" t="s">
        <v>364</v>
      </c>
      <c r="B279" s="39">
        <v>744788.1170133705</v>
      </c>
      <c r="D279" s="39">
        <v>331442.28835272591</v>
      </c>
      <c r="E279" s="39">
        <v>408091.72084413184</v>
      </c>
      <c r="F279" s="39"/>
      <c r="G279" s="39">
        <v>32903.061689867784</v>
      </c>
      <c r="H279" s="39">
        <v>88208.291953984255</v>
      </c>
      <c r="I279" s="39">
        <v>146154.54870151557</v>
      </c>
      <c r="J279" s="39">
        <v>154489.29315798424</v>
      </c>
      <c r="K279" s="39">
        <v>127999.35491323803</v>
      </c>
      <c r="L279" s="39">
        <v>105671.01457849762</v>
      </c>
      <c r="M279" s="39">
        <v>89362.552018283342</v>
      </c>
    </row>
    <row r="280" spans="1:13">
      <c r="A280" s="29" t="s">
        <v>365</v>
      </c>
      <c r="B280" s="39">
        <v>541.68817644106753</v>
      </c>
      <c r="D280" s="39">
        <v>0</v>
      </c>
      <c r="E280" s="39">
        <v>541.68817644106753</v>
      </c>
      <c r="F280" s="39"/>
      <c r="G280" s="39">
        <v>0</v>
      </c>
      <c r="H280" s="39">
        <v>541.68817644106753</v>
      </c>
      <c r="I280" s="39">
        <v>0</v>
      </c>
      <c r="J280" s="39">
        <v>0</v>
      </c>
      <c r="K280" s="39">
        <v>0</v>
      </c>
      <c r="L280" s="39">
        <v>0</v>
      </c>
      <c r="M280" s="39">
        <v>0</v>
      </c>
    </row>
    <row r="281" spans="1:13">
      <c r="A281" s="29" t="s">
        <v>366</v>
      </c>
      <c r="B281" s="39">
        <v>3644.250734554128</v>
      </c>
      <c r="D281" s="39">
        <v>663.60517427317075</v>
      </c>
      <c r="E281" s="39">
        <v>2980.6455602809574</v>
      </c>
      <c r="F281" s="39"/>
      <c r="G281" s="39">
        <v>0</v>
      </c>
      <c r="H281" s="39">
        <v>1480.1202039114144</v>
      </c>
      <c r="I281" s="39">
        <v>663.60517427317075</v>
      </c>
      <c r="J281" s="39">
        <v>547.0946427490876</v>
      </c>
      <c r="K281" s="39">
        <v>953.43071362045544</v>
      </c>
      <c r="L281" s="39">
        <v>0</v>
      </c>
      <c r="M281" s="39">
        <v>0</v>
      </c>
    </row>
    <row r="282" spans="1:13">
      <c r="A282" s="29" t="s">
        <v>367</v>
      </c>
      <c r="B282" s="39">
        <v>126119.14137512521</v>
      </c>
      <c r="D282" s="39">
        <v>89214.056079537375</v>
      </c>
      <c r="E282" s="39">
        <v>36905.085295587836</v>
      </c>
      <c r="F282" s="39"/>
      <c r="G282" s="39">
        <v>13610.031352730539</v>
      </c>
      <c r="H282" s="39">
        <v>27167.451260858255</v>
      </c>
      <c r="I282" s="39">
        <v>29619.702067912636</v>
      </c>
      <c r="J282" s="39">
        <v>20623.268239351542</v>
      </c>
      <c r="K282" s="39">
        <v>18800.52983974609</v>
      </c>
      <c r="L282" s="39">
        <v>6192.8515880075502</v>
      </c>
      <c r="M282" s="39">
        <v>10105.307026518631</v>
      </c>
    </row>
    <row r="283" spans="1:13">
      <c r="A283" s="29" t="s">
        <v>368</v>
      </c>
      <c r="B283" s="39">
        <v>9168.2698839952136</v>
      </c>
      <c r="D283" s="39">
        <v>4252.03633724681</v>
      </c>
      <c r="E283" s="39">
        <v>4916.2335467484036</v>
      </c>
      <c r="F283" s="39"/>
      <c r="G283" s="39">
        <v>3762.5812872033066</v>
      </c>
      <c r="H283" s="39">
        <v>2456.529187376203</v>
      </c>
      <c r="I283" s="39">
        <v>987.20867405991203</v>
      </c>
      <c r="J283" s="39">
        <v>1039.8945921388672</v>
      </c>
      <c r="K283" s="39">
        <v>455.9896887565252</v>
      </c>
      <c r="L283" s="39">
        <v>466.06645446039954</v>
      </c>
      <c r="M283" s="39">
        <v>0</v>
      </c>
    </row>
    <row r="284" spans="1:13">
      <c r="A284" s="29" t="s">
        <v>369</v>
      </c>
      <c r="B284" s="39">
        <v>0</v>
      </c>
      <c r="D284" s="39">
        <v>0</v>
      </c>
      <c r="E284" s="39">
        <v>0</v>
      </c>
      <c r="F284" s="39"/>
      <c r="G284" s="39">
        <v>0</v>
      </c>
      <c r="H284" s="39">
        <v>0</v>
      </c>
      <c r="I284" s="39">
        <v>0</v>
      </c>
      <c r="J284" s="39">
        <v>0</v>
      </c>
      <c r="K284" s="39">
        <v>0</v>
      </c>
      <c r="L284" s="39">
        <v>0</v>
      </c>
      <c r="M284" s="39">
        <v>0</v>
      </c>
    </row>
    <row r="285" spans="1:13">
      <c r="A285" s="29" t="s">
        <v>370</v>
      </c>
      <c r="B285" s="39">
        <v>324210.32522512856</v>
      </c>
      <c r="D285" s="39">
        <v>193006.7185831884</v>
      </c>
      <c r="E285" s="39">
        <v>130788.89840909638</v>
      </c>
      <c r="F285" s="39"/>
      <c r="G285" s="39">
        <v>23678.021907128274</v>
      </c>
      <c r="H285" s="39">
        <v>60670.189028596331</v>
      </c>
      <c r="I285" s="39">
        <v>67139.542514600791</v>
      </c>
      <c r="J285" s="39">
        <v>67158.739650059084</v>
      </c>
      <c r="K285" s="39">
        <v>55834.658528368775</v>
      </c>
      <c r="L285" s="39">
        <v>18836.702516746722</v>
      </c>
      <c r="M285" s="39">
        <v>30892.471079628296</v>
      </c>
    </row>
    <row r="286" spans="1:13">
      <c r="A286" s="29" t="s">
        <v>371</v>
      </c>
      <c r="B286" s="39">
        <v>29423.80079530607</v>
      </c>
      <c r="D286" s="39">
        <v>16946.762266844573</v>
      </c>
      <c r="E286" s="39">
        <v>12477.0385284615</v>
      </c>
      <c r="F286" s="39"/>
      <c r="G286" s="39">
        <v>0</v>
      </c>
      <c r="H286" s="39">
        <v>3806.1410792812553</v>
      </c>
      <c r="I286" s="39">
        <v>10329.570952235465</v>
      </c>
      <c r="J286" s="39">
        <v>5431.2378774960307</v>
      </c>
      <c r="K286" s="39">
        <v>3069.3823350524162</v>
      </c>
      <c r="L286" s="39">
        <v>3405.0732416571291</v>
      </c>
      <c r="M286" s="39">
        <v>3382.3953095837828</v>
      </c>
    </row>
    <row r="287" spans="1:13">
      <c r="A287" s="29" t="s">
        <v>372</v>
      </c>
      <c r="B287" s="39">
        <v>0</v>
      </c>
      <c r="D287" s="39">
        <v>0</v>
      </c>
      <c r="E287" s="39">
        <v>0</v>
      </c>
      <c r="F287" s="39"/>
      <c r="G287" s="39">
        <v>0</v>
      </c>
      <c r="H287" s="39">
        <v>0</v>
      </c>
      <c r="I287" s="39">
        <v>0</v>
      </c>
      <c r="J287" s="39">
        <v>0</v>
      </c>
      <c r="K287" s="39">
        <v>0</v>
      </c>
      <c r="L287" s="39">
        <v>0</v>
      </c>
      <c r="M287" s="39">
        <v>0</v>
      </c>
    </row>
    <row r="288" spans="1:13">
      <c r="A288" s="29" t="s">
        <v>373</v>
      </c>
      <c r="B288" s="39">
        <v>9088.7701916993901</v>
      </c>
      <c r="D288" s="39">
        <v>5515.9249213152016</v>
      </c>
      <c r="E288" s="39">
        <v>3572.845270384189</v>
      </c>
      <c r="F288" s="39"/>
      <c r="G288" s="39">
        <v>0</v>
      </c>
      <c r="H288" s="39">
        <v>1813.4715551780857</v>
      </c>
      <c r="I288" s="39">
        <v>5209.9785791326613</v>
      </c>
      <c r="J288" s="39">
        <v>1060.6456267611225</v>
      </c>
      <c r="K288" s="39">
        <v>1004.6744306275208</v>
      </c>
      <c r="L288" s="39">
        <v>0</v>
      </c>
      <c r="M288" s="39">
        <v>0</v>
      </c>
    </row>
    <row r="289" spans="1:13">
      <c r="A289" s="29" t="s">
        <v>374</v>
      </c>
      <c r="B289" s="39">
        <v>3924.780023374296</v>
      </c>
      <c r="D289" s="39">
        <v>2884.6523520996261</v>
      </c>
      <c r="E289" s="39">
        <v>1040.1276712746701</v>
      </c>
      <c r="F289" s="39"/>
      <c r="G289" s="39">
        <v>0</v>
      </c>
      <c r="H289" s="39">
        <v>513.43167893591385</v>
      </c>
      <c r="I289" s="39">
        <v>2336.1570413415166</v>
      </c>
      <c r="J289" s="39">
        <v>557.6299406767846</v>
      </c>
      <c r="K289" s="39">
        <v>517.56136242008108</v>
      </c>
      <c r="L289" s="39">
        <v>0</v>
      </c>
      <c r="M289" s="39">
        <v>0</v>
      </c>
    </row>
    <row r="290" spans="1:13">
      <c r="A290" s="29" t="s">
        <v>375</v>
      </c>
      <c r="B290" s="39">
        <v>38915.425644828843</v>
      </c>
      <c r="D290" s="39">
        <v>17856.050803598417</v>
      </c>
      <c r="E290" s="39">
        <v>21059.374841230438</v>
      </c>
      <c r="F290" s="39"/>
      <c r="G290" s="39">
        <v>0</v>
      </c>
      <c r="H290" s="39">
        <v>2719.2282685353812</v>
      </c>
      <c r="I290" s="39">
        <v>8784.9572735267993</v>
      </c>
      <c r="J290" s="39">
        <v>10447.370764218007</v>
      </c>
      <c r="K290" s="39">
        <v>6182.741842539248</v>
      </c>
      <c r="L290" s="39">
        <v>5587.2997510504274</v>
      </c>
      <c r="M290" s="39">
        <v>5193.8277449590023</v>
      </c>
    </row>
    <row r="291" spans="1:13">
      <c r="A291" s="29" t="s">
        <v>376</v>
      </c>
      <c r="B291" s="39">
        <v>64600.365074759509</v>
      </c>
      <c r="D291" s="39">
        <v>29512.321484751057</v>
      </c>
      <c r="E291" s="39">
        <v>35088.043590008419</v>
      </c>
      <c r="F291" s="39"/>
      <c r="G291" s="39">
        <v>14233.878418653509</v>
      </c>
      <c r="H291" s="39">
        <v>17387.666144905306</v>
      </c>
      <c r="I291" s="39">
        <v>11450.726085508277</v>
      </c>
      <c r="J291" s="39">
        <v>12503.297156214554</v>
      </c>
      <c r="K291" s="39">
        <v>6399.3115494996446</v>
      </c>
      <c r="L291" s="39">
        <v>2625.4857199781914</v>
      </c>
      <c r="M291" s="39">
        <v>0</v>
      </c>
    </row>
    <row r="292" spans="1:13">
      <c r="A292" s="29" t="s">
        <v>377</v>
      </c>
      <c r="B292" s="39">
        <v>61708.852767791541</v>
      </c>
      <c r="D292" s="39">
        <v>30939.862765159276</v>
      </c>
      <c r="E292" s="39">
        <v>30273.994804381677</v>
      </c>
      <c r="F292" s="39"/>
      <c r="G292" s="39">
        <v>17437.220224034558</v>
      </c>
      <c r="H292" s="39">
        <v>26149.587900001607</v>
      </c>
      <c r="I292" s="39">
        <v>11702.611843786482</v>
      </c>
      <c r="J292" s="39">
        <v>3738.2254324441997</v>
      </c>
      <c r="K292" s="39">
        <v>1039.0382962055178</v>
      </c>
      <c r="L292" s="39">
        <v>511.24677944313385</v>
      </c>
      <c r="M292" s="39">
        <v>1130.9222918760711</v>
      </c>
    </row>
    <row r="293" spans="1:13">
      <c r="A293" s="29" t="s">
        <v>378</v>
      </c>
      <c r="B293" s="39">
        <v>2952855.6208326742</v>
      </c>
      <c r="D293" s="39">
        <v>1212662.6400326651</v>
      </c>
      <c r="E293" s="39">
        <v>1723154.9950140479</v>
      </c>
      <c r="F293" s="39"/>
      <c r="G293" s="39">
        <v>74706.90854502884</v>
      </c>
      <c r="H293" s="39">
        <v>232240.91101905602</v>
      </c>
      <c r="I293" s="39">
        <v>456600.71673284913</v>
      </c>
      <c r="J293" s="39">
        <v>482502.06828966935</v>
      </c>
      <c r="K293" s="39">
        <v>506927.30394983577</v>
      </c>
      <c r="L293" s="39">
        <v>511650.24664206023</v>
      </c>
      <c r="M293" s="39">
        <v>688227.46565412567</v>
      </c>
    </row>
    <row r="294" spans="1:13">
      <c r="A294" s="29" t="s">
        <v>379</v>
      </c>
      <c r="B294" s="39">
        <v>4664.5059847606899</v>
      </c>
      <c r="D294" s="39">
        <v>4664.5059847606899</v>
      </c>
      <c r="E294" s="39">
        <v>0</v>
      </c>
      <c r="F294" s="39"/>
      <c r="G294" s="39">
        <v>1986.5027484424061</v>
      </c>
      <c r="H294" s="39">
        <v>595.03992990751055</v>
      </c>
      <c r="I294" s="39">
        <v>1159.0222475700098</v>
      </c>
      <c r="J294" s="39">
        <v>0</v>
      </c>
      <c r="K294" s="39">
        <v>0</v>
      </c>
      <c r="L294" s="39">
        <v>511.24677944313385</v>
      </c>
      <c r="M294" s="39">
        <v>412.69427939762943</v>
      </c>
    </row>
    <row r="295" spans="1:13">
      <c r="A295" s="29" t="s">
        <v>380</v>
      </c>
      <c r="B295" s="39">
        <v>12019.678350384036</v>
      </c>
      <c r="D295" s="39">
        <v>7120.7857723372081</v>
      </c>
      <c r="E295" s="39">
        <v>4898.8925780468307</v>
      </c>
      <c r="F295" s="39"/>
      <c r="G295" s="39">
        <v>0</v>
      </c>
      <c r="H295" s="39">
        <v>2031.0393218849777</v>
      </c>
      <c r="I295" s="39">
        <v>2746.025297851153</v>
      </c>
      <c r="J295" s="39">
        <v>2616.7322104929376</v>
      </c>
      <c r="K295" s="39">
        <v>1559.342970749369</v>
      </c>
      <c r="L295" s="39">
        <v>1995.735008950217</v>
      </c>
      <c r="M295" s="39">
        <v>1070.8035404553839</v>
      </c>
    </row>
    <row r="296" spans="1:13">
      <c r="A296" s="29" t="s">
        <v>381</v>
      </c>
      <c r="B296" s="39">
        <v>89695.66311467679</v>
      </c>
      <c r="D296" s="39">
        <v>47139.532334855729</v>
      </c>
      <c r="E296" s="39">
        <v>40894.150304376941</v>
      </c>
      <c r="F296" s="39"/>
      <c r="G296" s="39">
        <v>5084.9185790705033</v>
      </c>
      <c r="H296" s="39">
        <v>11840.866371742361</v>
      </c>
      <c r="I296" s="39">
        <v>24244.841529849513</v>
      </c>
      <c r="J296" s="39">
        <v>16057.293626512821</v>
      </c>
      <c r="K296" s="39">
        <v>15202.023001146639</v>
      </c>
      <c r="L296" s="39">
        <v>9984.7510918264798</v>
      </c>
      <c r="M296" s="39">
        <v>7280.9689145284528</v>
      </c>
    </row>
    <row r="297" spans="1:13">
      <c r="A297" s="29" t="s">
        <v>382</v>
      </c>
      <c r="B297" s="39">
        <v>0</v>
      </c>
      <c r="D297" s="39">
        <v>0</v>
      </c>
      <c r="E297" s="39">
        <v>0</v>
      </c>
      <c r="F297" s="39"/>
      <c r="G297" s="39">
        <v>0</v>
      </c>
      <c r="H297" s="39">
        <v>0</v>
      </c>
      <c r="I297" s="39">
        <v>0</v>
      </c>
      <c r="J297" s="39">
        <v>0</v>
      </c>
      <c r="K297" s="39">
        <v>0</v>
      </c>
      <c r="L297" s="39">
        <v>0</v>
      </c>
      <c r="M297" s="39">
        <v>0</v>
      </c>
    </row>
    <row r="298" spans="1:13">
      <c r="A298" s="29" t="s">
        <v>383</v>
      </c>
      <c r="B298" s="39">
        <v>4008.9025705003523</v>
      </c>
      <c r="D298" s="39">
        <v>3327.9699596944033</v>
      </c>
      <c r="E298" s="39">
        <v>680.93261080594891</v>
      </c>
      <c r="F298" s="39"/>
      <c r="G298" s="39">
        <v>0</v>
      </c>
      <c r="H298" s="39">
        <v>0</v>
      </c>
      <c r="I298" s="39">
        <v>0</v>
      </c>
      <c r="J298" s="39">
        <v>645.88257727909968</v>
      </c>
      <c r="K298" s="39">
        <v>680.93261080594891</v>
      </c>
      <c r="L298" s="39">
        <v>495.13591694757332</v>
      </c>
      <c r="M298" s="39">
        <v>2186.9514654677305</v>
      </c>
    </row>
    <row r="299" spans="1:13">
      <c r="A299" s="29" t="s">
        <v>384</v>
      </c>
      <c r="B299" s="39">
        <v>5036.5024978193287</v>
      </c>
      <c r="D299" s="39">
        <v>3981.758893483719</v>
      </c>
      <c r="E299" s="39">
        <v>522.10733234394013</v>
      </c>
      <c r="F299" s="39"/>
      <c r="G299" s="39">
        <v>0</v>
      </c>
      <c r="H299" s="39">
        <v>1684.6556508396343</v>
      </c>
      <c r="I299" s="39">
        <v>1105.1367132078576</v>
      </c>
      <c r="J299" s="39">
        <v>1045.8190772272128</v>
      </c>
      <c r="K299" s="39">
        <v>1200.8910565446238</v>
      </c>
      <c r="L299" s="39">
        <v>0</v>
      </c>
      <c r="M299" s="39">
        <v>0</v>
      </c>
    </row>
    <row r="300" spans="1:13">
      <c r="A300" s="29" t="s">
        <v>385</v>
      </c>
      <c r="B300" s="39">
        <v>294162.21683623263</v>
      </c>
      <c r="D300" s="39">
        <v>38953.929490407027</v>
      </c>
      <c r="E300" s="39">
        <v>253288.10164428747</v>
      </c>
      <c r="F300" s="39"/>
      <c r="G300" s="39">
        <v>9447.6965307507817</v>
      </c>
      <c r="H300" s="39">
        <v>20892.886604363204</v>
      </c>
      <c r="I300" s="39">
        <v>76277.182466364888</v>
      </c>
      <c r="J300" s="39">
        <v>66589.498775174696</v>
      </c>
      <c r="K300" s="39">
        <v>56516.322750546395</v>
      </c>
      <c r="L300" s="39">
        <v>32006.660037144786</v>
      </c>
      <c r="M300" s="39">
        <v>32431.969671888415</v>
      </c>
    </row>
    <row r="301" spans="1:13">
      <c r="A301" s="111"/>
      <c r="B301" s="97"/>
      <c r="C301" s="97"/>
      <c r="D301" s="97"/>
      <c r="E301" s="97"/>
      <c r="F301" s="97"/>
      <c r="G301" s="97"/>
      <c r="H301" s="97"/>
      <c r="I301" s="97"/>
      <c r="J301" s="97"/>
      <c r="K301" s="97"/>
      <c r="L301" s="97"/>
      <c r="M301" s="97"/>
    </row>
    <row r="302" spans="1:13">
      <c r="A302" s="115" t="s">
        <v>108</v>
      </c>
    </row>
    <row r="303" spans="1:13">
      <c r="A303" s="16" t="s">
        <v>112</v>
      </c>
    </row>
    <row r="304" spans="1:13">
      <c r="A304" s="16" t="s">
        <v>113</v>
      </c>
    </row>
    <row r="305" spans="1:1">
      <c r="A305" s="21" t="s">
        <v>111</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1" formatCode="\*\*0.0%"/>
            </x14:dxf>
          </x14:cfRule>
          <x14:cfRule type="expression" priority="4" id="{767842BC-2D6D-4943-A760-DEC36DBD32AF}">
            <xm:f>B159&lt;'27'!$C$103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69" formatCode="\*\*#,###,###,##0"/>
            </x14:dxf>
          </x14:cfRule>
          <x14:cfRule type="expression" priority="2" id="{7DAE0285-42A3-4634-A750-BD06D1D2DFF9}">
            <xm:f>B159&lt;'27'!$C$103</xm:f>
            <x14:dxf>
              <font>
                <color rgb="FF00B050"/>
              </font>
              <numFmt numFmtId="168"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24"/>
      <c r="B1" s="24"/>
      <c r="C1" s="24"/>
      <c r="D1" s="24"/>
      <c r="E1" s="24"/>
      <c r="F1" s="44"/>
      <c r="G1" s="24"/>
      <c r="H1" s="24"/>
      <c r="I1" s="24"/>
      <c r="J1" s="24"/>
    </row>
    <row r="2" spans="1:10">
      <c r="A2" s="24"/>
      <c r="B2" s="24"/>
      <c r="C2" s="24"/>
      <c r="D2" s="24"/>
      <c r="E2" s="24"/>
      <c r="F2" s="44"/>
      <c r="G2" s="24"/>
      <c r="H2" s="24"/>
      <c r="I2" s="24"/>
      <c r="J2" s="24"/>
    </row>
    <row r="3" spans="1:10">
      <c r="A3" s="24"/>
      <c r="B3" s="24"/>
      <c r="C3" s="24"/>
      <c r="D3" s="24"/>
      <c r="E3" s="24"/>
      <c r="F3" s="44"/>
      <c r="G3" s="24"/>
      <c r="H3" s="24"/>
      <c r="I3" s="24"/>
      <c r="J3" s="24"/>
    </row>
    <row r="4" spans="1:10">
      <c r="A4" s="24"/>
      <c r="B4" s="24"/>
      <c r="C4" s="24"/>
      <c r="D4" s="24"/>
      <c r="E4" s="24"/>
      <c r="F4" s="44"/>
      <c r="G4" s="24"/>
      <c r="H4" s="24"/>
      <c r="I4" s="24"/>
      <c r="J4" s="24"/>
    </row>
    <row r="5" spans="1:10">
      <c r="A5" s="24"/>
      <c r="B5" s="24"/>
      <c r="C5" s="24"/>
      <c r="D5" s="24"/>
      <c r="E5" s="24"/>
      <c r="F5" s="44"/>
      <c r="G5" s="24"/>
      <c r="H5" s="24"/>
      <c r="I5" s="24"/>
      <c r="J5" s="24"/>
    </row>
    <row r="6" spans="1:10">
      <c r="A6" s="24"/>
      <c r="B6" s="24"/>
      <c r="C6" s="24"/>
      <c r="D6" s="24"/>
      <c r="E6" s="24"/>
      <c r="F6" s="44"/>
      <c r="G6" s="24"/>
      <c r="H6" s="24"/>
      <c r="I6" s="24"/>
      <c r="J6" s="24"/>
    </row>
    <row r="7" spans="1:10">
      <c r="A7" s="24"/>
      <c r="B7" s="24"/>
      <c r="C7" s="24"/>
      <c r="D7" s="24"/>
      <c r="E7" s="24"/>
      <c r="F7" s="44"/>
      <c r="G7" s="24"/>
      <c r="H7" s="24"/>
      <c r="I7" s="24"/>
      <c r="J7" s="24"/>
    </row>
    <row r="8" spans="1:10">
      <c r="A8" s="25" t="str">
        <f>Index!A8</f>
        <v>AusPlay survey results July 2024 - June 2025</v>
      </c>
      <c r="B8" s="25"/>
      <c r="C8" s="25"/>
      <c r="D8" s="24"/>
      <c r="E8" s="24"/>
      <c r="F8" s="44"/>
      <c r="G8" s="25"/>
      <c r="H8" s="24"/>
      <c r="I8" s="24"/>
      <c r="J8" s="25"/>
    </row>
    <row r="9" spans="1:10">
      <c r="A9" s="24" t="s">
        <v>1</v>
      </c>
      <c r="B9" s="133" t="s">
        <v>2</v>
      </c>
      <c r="C9" s="25"/>
      <c r="D9" s="24"/>
      <c r="E9" s="24"/>
      <c r="F9" s="44"/>
      <c r="G9" s="24"/>
      <c r="H9" s="24"/>
      <c r="I9" s="24"/>
      <c r="J9" s="25"/>
    </row>
    <row r="10" spans="1:10">
      <c r="A10" s="24" t="s">
        <v>40</v>
      </c>
      <c r="B10" s="26">
        <v>17</v>
      </c>
      <c r="C10" s="25"/>
      <c r="D10" s="24"/>
      <c r="E10" s="24"/>
      <c r="F10" s="44"/>
      <c r="G10" s="24"/>
      <c r="H10" s="24"/>
      <c r="I10" s="24"/>
      <c r="J10" s="25"/>
    </row>
    <row r="11" spans="1:10">
      <c r="A11" s="24" t="s">
        <v>3</v>
      </c>
      <c r="B11" s="25" t="s">
        <v>26</v>
      </c>
      <c r="C11" s="25"/>
      <c r="D11" s="24"/>
      <c r="E11" s="24"/>
      <c r="F11" s="44"/>
      <c r="G11" s="24"/>
      <c r="H11" s="24"/>
      <c r="I11" s="24"/>
      <c r="J11" s="25"/>
    </row>
    <row r="12" spans="1:10">
      <c r="A12" s="109" t="s">
        <v>41</v>
      </c>
      <c r="B12" s="110" t="s">
        <v>114</v>
      </c>
      <c r="C12" s="110"/>
      <c r="D12" s="109"/>
      <c r="E12" s="109"/>
      <c r="F12" s="145"/>
      <c r="G12" s="109"/>
      <c r="H12" s="109"/>
      <c r="I12" s="109"/>
      <c r="J12" s="110"/>
    </row>
    <row r="13" spans="1:10" ht="24.95" customHeight="1">
      <c r="A13" s="37"/>
      <c r="B13" s="45"/>
      <c r="C13" s="45"/>
      <c r="D13" s="45"/>
      <c r="E13" s="45"/>
      <c r="F13" s="46"/>
      <c r="G13" s="164" t="s">
        <v>52</v>
      </c>
      <c r="H13" s="164"/>
      <c r="I13" s="164"/>
      <c r="J13" s="164"/>
    </row>
    <row r="14" spans="1:10" s="80" customFormat="1" ht="24.95" customHeight="1">
      <c r="A14" s="84"/>
      <c r="B14" s="32" t="s">
        <v>51</v>
      </c>
      <c r="C14" s="32"/>
      <c r="D14" s="32" t="s">
        <v>49</v>
      </c>
      <c r="E14" s="32" t="s">
        <v>50</v>
      </c>
      <c r="F14" s="47"/>
      <c r="G14" s="32" t="s">
        <v>115</v>
      </c>
      <c r="H14" s="32" t="s">
        <v>116</v>
      </c>
      <c r="I14" s="32" t="s">
        <v>117</v>
      </c>
      <c r="J14" s="32" t="s">
        <v>118</v>
      </c>
    </row>
    <row r="15" spans="1:10" ht="15" customHeight="1">
      <c r="A15" s="57"/>
      <c r="B15" s="160" t="s">
        <v>135</v>
      </c>
      <c r="C15" s="160"/>
      <c r="D15" s="160"/>
      <c r="E15" s="160"/>
      <c r="F15" s="160"/>
      <c r="G15" s="160"/>
      <c r="H15" s="160"/>
      <c r="I15" s="160"/>
      <c r="J15" s="160"/>
    </row>
    <row r="16" spans="1:10" ht="15" customHeight="1">
      <c r="A16" s="29" t="s">
        <v>244</v>
      </c>
      <c r="B16" s="4">
        <v>2.2954124180666322E-3</v>
      </c>
      <c r="D16" s="4">
        <v>1.9965238656859028E-3</v>
      </c>
      <c r="E16" s="4">
        <v>2.647147952427471E-3</v>
      </c>
      <c r="F16" s="4"/>
      <c r="G16" s="4">
        <v>5.1715139312260797E-3</v>
      </c>
      <c r="H16" s="4">
        <v>1.59790643637098E-3</v>
      </c>
      <c r="I16" s="4">
        <v>0</v>
      </c>
      <c r="J16" s="4">
        <v>1.1760481335440457E-3</v>
      </c>
    </row>
    <row r="17" spans="1:10">
      <c r="A17" s="29" t="s">
        <v>245</v>
      </c>
      <c r="B17" s="4">
        <v>2.338615268779706E-3</v>
      </c>
      <c r="D17" s="4">
        <v>2.7288417651825502E-3</v>
      </c>
      <c r="E17" s="4">
        <v>1.9034844149706496E-3</v>
      </c>
      <c r="F17" s="4"/>
      <c r="G17" s="4">
        <v>2.7726614426511454E-3</v>
      </c>
      <c r="H17" s="4">
        <v>1.9775372999291732E-3</v>
      </c>
      <c r="I17" s="4">
        <v>0</v>
      </c>
      <c r="J17" s="4">
        <v>4.4124310218867377E-3</v>
      </c>
    </row>
    <row r="18" spans="1:10">
      <c r="A18" s="29" t="s">
        <v>246</v>
      </c>
      <c r="B18" s="4">
        <v>1.4523066525379911E-3</v>
      </c>
      <c r="D18" s="4">
        <v>1.8100198455261319E-3</v>
      </c>
      <c r="E18" s="4">
        <v>1.0503082349751624E-3</v>
      </c>
      <c r="F18" s="4"/>
      <c r="G18" s="4">
        <v>1.5728684628034827E-3</v>
      </c>
      <c r="H18" s="4">
        <v>0</v>
      </c>
      <c r="I18" s="4">
        <v>2.1774549563733951E-3</v>
      </c>
      <c r="J18" s="4">
        <v>2.4571868303532268E-3</v>
      </c>
    </row>
    <row r="19" spans="1:10">
      <c r="A19" s="29" t="s">
        <v>247</v>
      </c>
      <c r="B19" s="4">
        <v>2.8408375397144199E-2</v>
      </c>
      <c r="D19" s="4">
        <v>2.4473223500076333E-2</v>
      </c>
      <c r="E19" s="4">
        <v>3.3031121898125779E-2</v>
      </c>
      <c r="F19" s="4"/>
      <c r="G19" s="4">
        <v>7.2636976508837839E-3</v>
      </c>
      <c r="H19" s="4">
        <v>3.2243012389754327E-2</v>
      </c>
      <c r="I19" s="4">
        <v>4.7584064165961219E-2</v>
      </c>
      <c r="J19" s="4">
        <v>3.6102592115323545E-2</v>
      </c>
    </row>
    <row r="20" spans="1:10">
      <c r="A20" s="29" t="s">
        <v>248</v>
      </c>
      <c r="B20" s="4">
        <v>0.10873556407511764</v>
      </c>
      <c r="D20" s="4">
        <v>0.15208433467970978</v>
      </c>
      <c r="E20" s="4">
        <v>5.8666159576319606E-2</v>
      </c>
      <c r="F20" s="4"/>
      <c r="G20" s="4">
        <v>3.3079223820646063E-2</v>
      </c>
      <c r="H20" s="4">
        <v>0.14842558470413431</v>
      </c>
      <c r="I20" s="4">
        <v>0.14911693606946247</v>
      </c>
      <c r="J20" s="4">
        <v>0.12977881591408685</v>
      </c>
    </row>
    <row r="21" spans="1:10">
      <c r="A21" s="29" t="s">
        <v>249</v>
      </c>
      <c r="B21" s="4">
        <v>1.2352337635243259E-2</v>
      </c>
      <c r="D21" s="4">
        <v>1.2930369871156163E-2</v>
      </c>
      <c r="E21" s="4">
        <v>1.1747924204382327E-2</v>
      </c>
      <c r="F21" s="4"/>
      <c r="G21" s="4">
        <v>1.2179916010693426E-2</v>
      </c>
      <c r="H21" s="4">
        <v>3.0247146156946367E-3</v>
      </c>
      <c r="I21" s="4">
        <v>1.7675057159425505E-2</v>
      </c>
      <c r="J21" s="4">
        <v>1.9558260927476218E-2</v>
      </c>
    </row>
    <row r="22" spans="1:10">
      <c r="A22" s="29" t="s">
        <v>250</v>
      </c>
      <c r="B22" s="4">
        <v>6.445594789758439E-3</v>
      </c>
      <c r="D22" s="4">
        <v>7.9295728765733688E-3</v>
      </c>
      <c r="E22" s="4">
        <v>4.7797984130877056E-3</v>
      </c>
      <c r="F22" s="4"/>
      <c r="G22" s="4">
        <v>1.8981593067460996E-3</v>
      </c>
      <c r="H22" s="4">
        <v>1.1286913207847709E-2</v>
      </c>
      <c r="I22" s="4">
        <v>0</v>
      </c>
      <c r="J22" s="4">
        <v>1.3050530868179961E-2</v>
      </c>
    </row>
    <row r="23" spans="1:10">
      <c r="A23" s="29" t="s">
        <v>251</v>
      </c>
      <c r="B23" s="4">
        <v>0.10393311934894876</v>
      </c>
      <c r="D23" s="4">
        <v>0.13244787227486382</v>
      </c>
      <c r="E23" s="4">
        <v>7.1834768184442649E-2</v>
      </c>
      <c r="F23" s="4"/>
      <c r="G23" s="4">
        <v>8.4808623806445754E-3</v>
      </c>
      <c r="H23" s="4">
        <v>0.11282844962347763</v>
      </c>
      <c r="I23" s="4">
        <v>0.15008815286273902</v>
      </c>
      <c r="J23" s="4">
        <v>0.18832909202988099</v>
      </c>
    </row>
    <row r="24" spans="1:10">
      <c r="A24" s="29" t="s">
        <v>252</v>
      </c>
      <c r="B24" s="4">
        <v>8.3523544331230931E-4</v>
      </c>
      <c r="D24" s="4">
        <v>1.5698315585692014E-3</v>
      </c>
      <c r="E24" s="4">
        <v>0</v>
      </c>
      <c r="F24" s="4"/>
      <c r="G24" s="4">
        <v>1.3863307213255727E-3</v>
      </c>
      <c r="H24" s="4">
        <v>0</v>
      </c>
      <c r="I24" s="4">
        <v>1.9874605570855655E-3</v>
      </c>
      <c r="J24" s="4">
        <v>0</v>
      </c>
    </row>
    <row r="25" spans="1:10">
      <c r="A25" s="29" t="s">
        <v>253</v>
      </c>
      <c r="B25" s="4">
        <v>5.4157371135623591E-4</v>
      </c>
      <c r="D25" s="4">
        <v>0</v>
      </c>
      <c r="E25" s="4">
        <v>1.1625687184490504E-3</v>
      </c>
      <c r="F25" s="4"/>
      <c r="G25" s="4">
        <v>0</v>
      </c>
      <c r="H25" s="4">
        <v>1.9775372999291732E-3</v>
      </c>
      <c r="I25" s="4">
        <v>0</v>
      </c>
      <c r="J25" s="4">
        <v>0</v>
      </c>
    </row>
    <row r="26" spans="1:10">
      <c r="A26" s="29" t="s">
        <v>254</v>
      </c>
      <c r="B26" s="4">
        <v>9.2084947591926543E-4</v>
      </c>
      <c r="D26" s="4">
        <v>8.1053970768762637E-4</v>
      </c>
      <c r="E26" s="4">
        <v>1.0509960406183481E-3</v>
      </c>
      <c r="F26" s="4"/>
      <c r="G26" s="4">
        <v>2.9602291939572947E-3</v>
      </c>
      <c r="H26" s="4">
        <v>0</v>
      </c>
      <c r="I26" s="4">
        <v>0</v>
      </c>
      <c r="J26" s="4">
        <v>0</v>
      </c>
    </row>
    <row r="27" spans="1:10">
      <c r="A27" s="29" t="s">
        <v>255</v>
      </c>
      <c r="B27" s="4">
        <v>2.7080677566948742E-4</v>
      </c>
      <c r="D27" s="4">
        <v>5.0898345625087558E-4</v>
      </c>
      <c r="E27" s="4">
        <v>0</v>
      </c>
      <c r="F27" s="4"/>
      <c r="G27" s="4">
        <v>0</v>
      </c>
      <c r="H27" s="4">
        <v>0</v>
      </c>
      <c r="I27" s="4">
        <v>0</v>
      </c>
      <c r="J27" s="4">
        <v>1.2786150253321119E-3</v>
      </c>
    </row>
    <row r="28" spans="1:10">
      <c r="A28" s="29" t="s">
        <v>256</v>
      </c>
      <c r="B28" s="4">
        <v>0</v>
      </c>
      <c r="D28" s="4">
        <v>0</v>
      </c>
      <c r="E28" s="4">
        <v>0</v>
      </c>
      <c r="F28" s="4"/>
      <c r="G28" s="4">
        <v>0</v>
      </c>
      <c r="H28" s="4">
        <v>0</v>
      </c>
      <c r="I28" s="4">
        <v>0</v>
      </c>
      <c r="J28" s="4">
        <v>0</v>
      </c>
    </row>
    <row r="29" spans="1:10">
      <c r="A29" s="29" t="s">
        <v>257</v>
      </c>
      <c r="B29" s="4">
        <v>0</v>
      </c>
      <c r="D29" s="4">
        <v>0</v>
      </c>
      <c r="E29" s="4">
        <v>0</v>
      </c>
      <c r="F29" s="4"/>
      <c r="G29" s="4">
        <v>0</v>
      </c>
      <c r="H29" s="4">
        <v>0</v>
      </c>
      <c r="I29" s="4">
        <v>0</v>
      </c>
      <c r="J29" s="4">
        <v>0</v>
      </c>
    </row>
    <row r="30" spans="1:10">
      <c r="A30" s="29" t="s">
        <v>258</v>
      </c>
      <c r="B30" s="4">
        <v>0</v>
      </c>
      <c r="D30" s="4">
        <v>0</v>
      </c>
      <c r="E30" s="4">
        <v>0</v>
      </c>
      <c r="F30" s="4"/>
      <c r="G30" s="4">
        <v>0</v>
      </c>
      <c r="H30" s="4">
        <v>0</v>
      </c>
      <c r="I30" s="4">
        <v>0</v>
      </c>
      <c r="J30" s="4">
        <v>0</v>
      </c>
    </row>
    <row r="31" spans="1:10">
      <c r="A31" s="29" t="s">
        <v>259</v>
      </c>
      <c r="B31" s="4">
        <v>0</v>
      </c>
      <c r="D31" s="4">
        <v>0</v>
      </c>
      <c r="E31" s="4">
        <v>0</v>
      </c>
      <c r="F31" s="4"/>
      <c r="G31" s="4">
        <v>0</v>
      </c>
      <c r="H31" s="4">
        <v>0</v>
      </c>
      <c r="I31" s="4">
        <v>0</v>
      </c>
      <c r="J31" s="4">
        <v>0</v>
      </c>
    </row>
    <row r="32" spans="1:10">
      <c r="A32" s="29" t="s">
        <v>260</v>
      </c>
      <c r="B32" s="4">
        <v>0</v>
      </c>
      <c r="D32" s="4">
        <v>0</v>
      </c>
      <c r="E32" s="4">
        <v>0</v>
      </c>
      <c r="F32" s="4"/>
      <c r="G32" s="4">
        <v>0</v>
      </c>
      <c r="H32" s="4">
        <v>0</v>
      </c>
      <c r="I32" s="4">
        <v>0</v>
      </c>
      <c r="J32" s="4">
        <v>0</v>
      </c>
    </row>
    <row r="33" spans="1:10">
      <c r="A33" s="29" t="s">
        <v>261</v>
      </c>
      <c r="B33" s="4">
        <v>0</v>
      </c>
      <c r="D33" s="4">
        <v>0</v>
      </c>
      <c r="E33" s="4">
        <v>0</v>
      </c>
      <c r="F33" s="4"/>
      <c r="G33" s="4">
        <v>0</v>
      </c>
      <c r="H33" s="4">
        <v>0</v>
      </c>
      <c r="I33" s="4">
        <v>0</v>
      </c>
      <c r="J33" s="4">
        <v>0</v>
      </c>
    </row>
    <row r="34" spans="1:10">
      <c r="A34" s="29" t="s">
        <v>262</v>
      </c>
      <c r="B34" s="4">
        <v>5.0587562207914921E-3</v>
      </c>
      <c r="D34" s="4">
        <v>6.3556772226497664E-3</v>
      </c>
      <c r="E34" s="4">
        <v>3.6003418014549007E-3</v>
      </c>
      <c r="F34" s="4"/>
      <c r="G34" s="4">
        <v>1.9549372540362815E-3</v>
      </c>
      <c r="H34" s="4">
        <v>1.4979208011074638E-3</v>
      </c>
      <c r="I34" s="4">
        <v>1.2508482874810748E-2</v>
      </c>
      <c r="J34" s="4">
        <v>7.0720791966817267E-3</v>
      </c>
    </row>
    <row r="35" spans="1:10">
      <c r="A35" s="29" t="s">
        <v>263</v>
      </c>
      <c r="B35" s="4">
        <v>0</v>
      </c>
      <c r="D35" s="4">
        <v>0</v>
      </c>
      <c r="E35" s="4">
        <v>0</v>
      </c>
      <c r="F35" s="4"/>
      <c r="G35" s="4">
        <v>0</v>
      </c>
      <c r="H35" s="4">
        <v>0</v>
      </c>
      <c r="I35" s="4">
        <v>0</v>
      </c>
      <c r="J35" s="4">
        <v>0</v>
      </c>
    </row>
    <row r="36" spans="1:10">
      <c r="A36" s="29" t="s">
        <v>264</v>
      </c>
      <c r="B36" s="4">
        <v>1.1808730449804152E-2</v>
      </c>
      <c r="D36" s="4">
        <v>1.2155007469960311E-2</v>
      </c>
      <c r="E36" s="4">
        <v>1.146655780136251E-2</v>
      </c>
      <c r="F36" s="4"/>
      <c r="G36" s="4">
        <v>1.1505630364881171E-2</v>
      </c>
      <c r="H36" s="4">
        <v>1.1313970562233152E-2</v>
      </c>
      <c r="I36" s="4">
        <v>1.3437354518727759E-2</v>
      </c>
      <c r="J36" s="4">
        <v>1.1330620789340568E-2</v>
      </c>
    </row>
    <row r="37" spans="1:10">
      <c r="A37" s="29" t="s">
        <v>265</v>
      </c>
      <c r="B37" s="4">
        <v>2.6594872178297164E-3</v>
      </c>
      <c r="D37" s="4">
        <v>0</v>
      </c>
      <c r="E37" s="4">
        <v>5.7089858346727942E-3</v>
      </c>
      <c r="F37" s="4"/>
      <c r="G37" s="4">
        <v>0</v>
      </c>
      <c r="H37" s="4">
        <v>7.2844767638129354E-3</v>
      </c>
      <c r="I37" s="4">
        <v>0</v>
      </c>
      <c r="J37" s="4">
        <v>3.1376310430777945E-3</v>
      </c>
    </row>
    <row r="38" spans="1:10">
      <c r="A38" s="29" t="s">
        <v>266</v>
      </c>
      <c r="B38" s="4">
        <v>0</v>
      </c>
      <c r="D38" s="4">
        <v>0</v>
      </c>
      <c r="E38" s="4">
        <v>0</v>
      </c>
      <c r="F38" s="4"/>
      <c r="G38" s="4">
        <v>0</v>
      </c>
      <c r="H38" s="4">
        <v>0</v>
      </c>
      <c r="I38" s="4">
        <v>0</v>
      </c>
      <c r="J38" s="4">
        <v>0</v>
      </c>
    </row>
    <row r="39" spans="1:10">
      <c r="A39" s="29" t="s">
        <v>267</v>
      </c>
      <c r="B39" s="4">
        <v>1.4957558414821219E-3</v>
      </c>
      <c r="D39" s="4">
        <v>7.8129251536279991E-4</v>
      </c>
      <c r="E39" s="4">
        <v>2.3185224729410391E-3</v>
      </c>
      <c r="F39" s="4"/>
      <c r="G39" s="4">
        <v>3.4720577793778216E-3</v>
      </c>
      <c r="H39" s="4">
        <v>0</v>
      </c>
      <c r="I39" s="4">
        <v>2.0450477059998336E-3</v>
      </c>
      <c r="J39" s="4">
        <v>0</v>
      </c>
    </row>
    <row r="40" spans="1:10">
      <c r="A40" s="29" t="s">
        <v>268</v>
      </c>
      <c r="B40" s="4">
        <v>2.9127599819912539E-3</v>
      </c>
      <c r="D40" s="4">
        <v>1.052327135333002E-3</v>
      </c>
      <c r="E40" s="4">
        <v>5.0507753783541887E-3</v>
      </c>
      <c r="F40" s="4"/>
      <c r="G40" s="4">
        <v>0</v>
      </c>
      <c r="H40" s="4">
        <v>6.5993242770783561E-3</v>
      </c>
      <c r="I40" s="4">
        <v>0</v>
      </c>
      <c r="J40" s="4">
        <v>5.219391215903358E-3</v>
      </c>
    </row>
    <row r="41" spans="1:10">
      <c r="A41" s="29" t="s">
        <v>269</v>
      </c>
      <c r="B41" s="4">
        <v>4.1858355501225006E-2</v>
      </c>
      <c r="D41" s="4">
        <v>6.42984923407484E-2</v>
      </c>
      <c r="E41" s="4">
        <v>1.6417730836432141E-2</v>
      </c>
      <c r="F41" s="4"/>
      <c r="G41" s="4">
        <v>7.1181913481057728E-3</v>
      </c>
      <c r="H41" s="4">
        <v>3.6840860958768401E-2</v>
      </c>
      <c r="I41" s="4">
        <v>6.0762540326635063E-2</v>
      </c>
      <c r="J41" s="4">
        <v>8.122750629351734E-2</v>
      </c>
    </row>
    <row r="42" spans="1:10">
      <c r="A42" s="29" t="s">
        <v>270</v>
      </c>
      <c r="B42" s="4">
        <v>0</v>
      </c>
      <c r="D42" s="4">
        <v>0</v>
      </c>
      <c r="E42" s="4">
        <v>0</v>
      </c>
      <c r="F42" s="4"/>
      <c r="G42" s="4">
        <v>0</v>
      </c>
      <c r="H42" s="4">
        <v>0</v>
      </c>
      <c r="I42" s="4">
        <v>0</v>
      </c>
      <c r="J42" s="4">
        <v>0</v>
      </c>
    </row>
    <row r="43" spans="1:10">
      <c r="A43" s="29" t="s">
        <v>271</v>
      </c>
      <c r="B43" s="4">
        <v>8.2439354469410881E-4</v>
      </c>
      <c r="D43" s="4">
        <v>6.8902178212695787E-4</v>
      </c>
      <c r="E43" s="4">
        <v>9.8272871189549697E-4</v>
      </c>
      <c r="F43" s="4"/>
      <c r="G43" s="4">
        <v>0</v>
      </c>
      <c r="H43" s="4">
        <v>1.3386157180947608E-3</v>
      </c>
      <c r="I43" s="4">
        <v>2.2521976785137752E-3</v>
      </c>
      <c r="J43" s="4">
        <v>0</v>
      </c>
    </row>
    <row r="44" spans="1:10">
      <c r="A44" s="29" t="s">
        <v>272</v>
      </c>
      <c r="B44" s="4">
        <v>0</v>
      </c>
      <c r="D44" s="4">
        <v>0</v>
      </c>
      <c r="E44" s="4">
        <v>0</v>
      </c>
      <c r="F44" s="4"/>
      <c r="G44" s="4">
        <v>0</v>
      </c>
      <c r="H44" s="4">
        <v>0</v>
      </c>
      <c r="I44" s="4">
        <v>0</v>
      </c>
      <c r="J44" s="4">
        <v>0</v>
      </c>
    </row>
    <row r="45" spans="1:10">
      <c r="A45" s="29" t="s">
        <v>273</v>
      </c>
      <c r="B45" s="4">
        <v>1.9323410329467262E-2</v>
      </c>
      <c r="D45" s="4">
        <v>2.193685513987842E-2</v>
      </c>
      <c r="E45" s="4">
        <v>1.6425761431274489E-2</v>
      </c>
      <c r="F45" s="4"/>
      <c r="G45" s="4">
        <v>1.2680838733292307E-2</v>
      </c>
      <c r="H45" s="4">
        <v>2.2794424142627466E-2</v>
      </c>
      <c r="I45" s="4">
        <v>2.8362061652337581E-2</v>
      </c>
      <c r="J45" s="4">
        <v>1.5916808054668229E-2</v>
      </c>
    </row>
    <row r="46" spans="1:10">
      <c r="A46" s="29" t="s">
        <v>274</v>
      </c>
      <c r="B46" s="4">
        <v>1.6688017667122874E-2</v>
      </c>
      <c r="D46" s="4">
        <v>5.3509704375085823E-3</v>
      </c>
      <c r="E46" s="4">
        <v>2.9711794787723348E-2</v>
      </c>
      <c r="F46" s="4"/>
      <c r="G46" s="4">
        <v>1.0527101019172277E-2</v>
      </c>
      <c r="H46" s="4">
        <v>1.9991281151476997E-2</v>
      </c>
      <c r="I46" s="4">
        <v>2.1463856385316404E-2</v>
      </c>
      <c r="J46" s="4">
        <v>1.6882023755167723E-2</v>
      </c>
    </row>
    <row r="47" spans="1:10">
      <c r="A47" s="29" t="s">
        <v>275</v>
      </c>
      <c r="B47" s="4">
        <v>4.2546680350858491E-2</v>
      </c>
      <c r="D47" s="4">
        <v>1.1589604323198763E-2</v>
      </c>
      <c r="E47" s="4">
        <v>7.8095916146659505E-2</v>
      </c>
      <c r="F47" s="4"/>
      <c r="G47" s="4">
        <v>3.405921198183437E-2</v>
      </c>
      <c r="H47" s="4">
        <v>5.8443803874009236E-2</v>
      </c>
      <c r="I47" s="4">
        <v>4.4130093083530046E-2</v>
      </c>
      <c r="J47" s="4">
        <v>3.2937213240587356E-2</v>
      </c>
    </row>
    <row r="48" spans="1:10">
      <c r="A48" s="29" t="s">
        <v>276</v>
      </c>
      <c r="B48" s="4">
        <v>2.5921206713688479E-4</v>
      </c>
      <c r="D48" s="4">
        <v>4.8719111073604907E-4</v>
      </c>
      <c r="E48" s="4">
        <v>0</v>
      </c>
      <c r="F48" s="4"/>
      <c r="G48" s="4">
        <v>0</v>
      </c>
      <c r="H48" s="4">
        <v>0</v>
      </c>
      <c r="I48" s="4">
        <v>0</v>
      </c>
      <c r="J48" s="4">
        <v>1.223870573286991E-3</v>
      </c>
    </row>
    <row r="49" spans="1:10">
      <c r="A49" s="29" t="s">
        <v>277</v>
      </c>
      <c r="B49" s="4">
        <v>1.5046793362620528E-3</v>
      </c>
      <c r="D49" s="4">
        <v>0</v>
      </c>
      <c r="E49" s="4">
        <v>3.230018538481632E-3</v>
      </c>
      <c r="F49" s="4"/>
      <c r="G49" s="4">
        <v>0</v>
      </c>
      <c r="H49" s="4">
        <v>1.9775372999291732E-3</v>
      </c>
      <c r="I49" s="4">
        <v>4.7381394567580842E-3</v>
      </c>
      <c r="J49" s="4">
        <v>0</v>
      </c>
    </row>
    <row r="50" spans="1:10">
      <c r="A50" s="29" t="s">
        <v>278</v>
      </c>
      <c r="B50" s="4">
        <v>4.3743511463877158E-4</v>
      </c>
      <c r="D50" s="4">
        <v>0</v>
      </c>
      <c r="E50" s="4">
        <v>9.3901969384126475E-4</v>
      </c>
      <c r="F50" s="4"/>
      <c r="G50" s="4">
        <v>0</v>
      </c>
      <c r="H50" s="4">
        <v>0</v>
      </c>
      <c r="I50" s="4">
        <v>2.1520262397430653E-3</v>
      </c>
      <c r="J50" s="4">
        <v>0</v>
      </c>
    </row>
    <row r="51" spans="1:10">
      <c r="A51" s="29" t="s">
        <v>279</v>
      </c>
      <c r="B51" s="4">
        <v>0</v>
      </c>
      <c r="D51" s="4">
        <v>0</v>
      </c>
      <c r="E51" s="4">
        <v>0</v>
      </c>
      <c r="F51" s="4"/>
      <c r="G51" s="4">
        <v>0</v>
      </c>
      <c r="H51" s="4">
        <v>0</v>
      </c>
      <c r="I51" s="4">
        <v>0</v>
      </c>
      <c r="J51" s="4">
        <v>0</v>
      </c>
    </row>
    <row r="52" spans="1:10">
      <c r="A52" s="29" t="s">
        <v>280</v>
      </c>
      <c r="B52" s="4">
        <v>1.6850331070910414E-3</v>
      </c>
      <c r="D52" s="4">
        <v>1.5935294598015111E-3</v>
      </c>
      <c r="E52" s="4">
        <v>1.7971512177319209E-3</v>
      </c>
      <c r="F52" s="4"/>
      <c r="G52" s="4">
        <v>2.7255405558879371E-3</v>
      </c>
      <c r="H52" s="4">
        <v>3.0569664487611618E-3</v>
      </c>
      <c r="I52" s="4">
        <v>0</v>
      </c>
      <c r="J52" s="4">
        <v>0</v>
      </c>
    </row>
    <row r="53" spans="1:10">
      <c r="A53" s="29" t="s">
        <v>281</v>
      </c>
      <c r="B53" s="4">
        <v>3.1902641445888916E-3</v>
      </c>
      <c r="D53" s="4">
        <v>1.2682753071324507E-3</v>
      </c>
      <c r="E53" s="4">
        <v>5.3998377699289541E-3</v>
      </c>
      <c r="F53" s="4"/>
      <c r="G53" s="4">
        <v>0</v>
      </c>
      <c r="H53" s="4">
        <v>3.3411030063363704E-3</v>
      </c>
      <c r="I53" s="4">
        <v>9.8612049494428995E-3</v>
      </c>
      <c r="J53" s="4">
        <v>1.2786150253321119E-3</v>
      </c>
    </row>
    <row r="54" spans="1:10">
      <c r="A54" s="29" t="s">
        <v>282</v>
      </c>
      <c r="B54" s="4">
        <v>2.8156270408039295E-3</v>
      </c>
      <c r="D54" s="4">
        <v>4.4123084412531011E-3</v>
      </c>
      <c r="E54" s="4">
        <v>1.0047174056798077E-3</v>
      </c>
      <c r="F54" s="4"/>
      <c r="G54" s="4">
        <v>4.1354317205951133E-3</v>
      </c>
      <c r="H54" s="4">
        <v>1.6860988975998762E-3</v>
      </c>
      <c r="I54" s="4">
        <v>2.3025909197970738E-3</v>
      </c>
      <c r="J54" s="4">
        <v>2.8300853004519185E-3</v>
      </c>
    </row>
    <row r="55" spans="1:10">
      <c r="A55" s="29" t="s">
        <v>283</v>
      </c>
      <c r="B55" s="4">
        <v>2.1507705793146368E-3</v>
      </c>
      <c r="D55" s="4">
        <v>4.0423901520038868E-3</v>
      </c>
      <c r="E55" s="4">
        <v>0</v>
      </c>
      <c r="F55" s="4"/>
      <c r="G55" s="4">
        <v>5.5453228853022908E-3</v>
      </c>
      <c r="H55" s="4">
        <v>0</v>
      </c>
      <c r="I55" s="4">
        <v>2.0946203830437523E-3</v>
      </c>
      <c r="J55" s="4">
        <v>0</v>
      </c>
    </row>
    <row r="56" spans="1:10">
      <c r="A56" s="29" t="s">
        <v>284</v>
      </c>
      <c r="B56" s="4">
        <v>1.2560505508372971E-3</v>
      </c>
      <c r="D56" s="4">
        <v>1.5234376195949783E-3</v>
      </c>
      <c r="E56" s="4">
        <v>9.5633044832262666E-4</v>
      </c>
      <c r="F56" s="4"/>
      <c r="G56" s="4">
        <v>0</v>
      </c>
      <c r="H56" s="4">
        <v>1.3386157180947608E-3</v>
      </c>
      <c r="I56" s="4">
        <v>4.3757976655796945E-3</v>
      </c>
      <c r="J56" s="4">
        <v>0</v>
      </c>
    </row>
    <row r="57" spans="1:10">
      <c r="A57" s="29" t="s">
        <v>285</v>
      </c>
      <c r="B57" s="4">
        <v>1.4150595622700123E-2</v>
      </c>
      <c r="D57" s="4">
        <v>1.221508925494247E-2</v>
      </c>
      <c r="E57" s="4">
        <v>1.6425099133149195E-2</v>
      </c>
      <c r="F57" s="4"/>
      <c r="G57" s="4">
        <v>2.9591991841290553E-3</v>
      </c>
      <c r="H57" s="4">
        <v>1.2314460768453283E-2</v>
      </c>
      <c r="I57" s="4">
        <v>2.6238995341697359E-2</v>
      </c>
      <c r="J57" s="4">
        <v>2.1360471637149974E-2</v>
      </c>
    </row>
    <row r="58" spans="1:10">
      <c r="A58" s="29" t="s">
        <v>286</v>
      </c>
      <c r="B58" s="4">
        <v>0</v>
      </c>
      <c r="D58" s="4">
        <v>0</v>
      </c>
      <c r="E58" s="4">
        <v>0</v>
      </c>
      <c r="F58" s="4"/>
      <c r="G58" s="4">
        <v>0</v>
      </c>
      <c r="H58" s="4">
        <v>0</v>
      </c>
      <c r="I58" s="4">
        <v>0</v>
      </c>
      <c r="J58" s="4">
        <v>0</v>
      </c>
    </row>
    <row r="59" spans="1:10">
      <c r="A59" s="29" t="s">
        <v>287</v>
      </c>
      <c r="B59" s="4">
        <v>8.9934503985097806E-4</v>
      </c>
      <c r="D59" s="4">
        <v>7.7012195164107337E-4</v>
      </c>
      <c r="E59" s="4">
        <v>1.0509960406183481E-3</v>
      </c>
      <c r="F59" s="4"/>
      <c r="G59" s="4">
        <v>1.5738984726317222E-3</v>
      </c>
      <c r="H59" s="4">
        <v>1.4961752676878404E-3</v>
      </c>
      <c r="I59" s="4">
        <v>0</v>
      </c>
      <c r="J59" s="4">
        <v>0</v>
      </c>
    </row>
    <row r="60" spans="1:10">
      <c r="A60" s="29" t="s">
        <v>288</v>
      </c>
      <c r="B60" s="4">
        <v>0.10348355000346238</v>
      </c>
      <c r="D60" s="4">
        <v>0.14687531071521459</v>
      </c>
      <c r="E60" s="4">
        <v>5.4391637975304705E-2</v>
      </c>
      <c r="F60" s="4"/>
      <c r="G60" s="4">
        <v>3.8951637936570457E-2</v>
      </c>
      <c r="H60" s="4">
        <v>0.13031874191921586</v>
      </c>
      <c r="I60" s="4">
        <v>0.13810682396744753</v>
      </c>
      <c r="J60" s="4">
        <v>0.13033599838044582</v>
      </c>
    </row>
    <row r="61" spans="1:10">
      <c r="A61" s="29" t="s">
        <v>289</v>
      </c>
      <c r="B61" s="4">
        <v>8.1949320762762302E-4</v>
      </c>
      <c r="D61" s="4">
        <v>1.5402439032821467E-3</v>
      </c>
      <c r="E61" s="4">
        <v>0</v>
      </c>
      <c r="F61" s="4"/>
      <c r="G61" s="4">
        <v>0</v>
      </c>
      <c r="H61" s="4">
        <v>2.9923505353756808E-3</v>
      </c>
      <c r="I61" s="4">
        <v>0</v>
      </c>
      <c r="J61" s="4">
        <v>0</v>
      </c>
    </row>
    <row r="62" spans="1:10">
      <c r="A62" s="29" t="s">
        <v>290</v>
      </c>
      <c r="B62" s="4">
        <v>0</v>
      </c>
      <c r="D62" s="4">
        <v>0</v>
      </c>
      <c r="E62" s="4">
        <v>0</v>
      </c>
      <c r="F62" s="4"/>
      <c r="G62" s="4">
        <v>0</v>
      </c>
      <c r="H62" s="4">
        <v>0</v>
      </c>
      <c r="I62" s="4">
        <v>0</v>
      </c>
      <c r="J62" s="4">
        <v>0</v>
      </c>
    </row>
    <row r="63" spans="1:10">
      <c r="A63" s="29" t="s">
        <v>291</v>
      </c>
      <c r="B63" s="4">
        <v>0</v>
      </c>
      <c r="D63" s="4">
        <v>0</v>
      </c>
      <c r="E63" s="4">
        <v>0</v>
      </c>
      <c r="F63" s="4"/>
      <c r="G63" s="4">
        <v>0</v>
      </c>
      <c r="H63" s="4">
        <v>0</v>
      </c>
      <c r="I63" s="4">
        <v>0</v>
      </c>
      <c r="J63" s="4">
        <v>0</v>
      </c>
    </row>
    <row r="64" spans="1:10">
      <c r="A64" s="29" t="s">
        <v>292</v>
      </c>
      <c r="B64" s="4">
        <v>7.4630637859472958E-3</v>
      </c>
      <c r="D64" s="4">
        <v>1.1901012583375586E-2</v>
      </c>
      <c r="E64" s="4">
        <v>2.4280324822706012E-3</v>
      </c>
      <c r="F64" s="4"/>
      <c r="G64" s="4">
        <v>4.1814233521249161E-3</v>
      </c>
      <c r="H64" s="4">
        <v>9.3445514104632862E-3</v>
      </c>
      <c r="I64" s="4">
        <v>1.0235523636027193E-2</v>
      </c>
      <c r="J64" s="4">
        <v>7.1892837148420036E-3</v>
      </c>
    </row>
    <row r="65" spans="1:10">
      <c r="A65" s="29" t="s">
        <v>293</v>
      </c>
      <c r="B65" s="4">
        <v>0</v>
      </c>
      <c r="D65" s="4">
        <v>0</v>
      </c>
      <c r="E65" s="4">
        <v>0</v>
      </c>
      <c r="F65" s="4"/>
      <c r="G65" s="4">
        <v>0</v>
      </c>
      <c r="H65" s="4">
        <v>0</v>
      </c>
      <c r="I65" s="4">
        <v>0</v>
      </c>
      <c r="J65" s="4">
        <v>0</v>
      </c>
    </row>
    <row r="66" spans="1:10">
      <c r="A66" s="29" t="s">
        <v>294</v>
      </c>
      <c r="B66" s="4">
        <v>0</v>
      </c>
      <c r="D66" s="4">
        <v>0</v>
      </c>
      <c r="E66" s="4">
        <v>0</v>
      </c>
      <c r="F66" s="4"/>
      <c r="G66" s="4">
        <v>0</v>
      </c>
      <c r="H66" s="4">
        <v>0</v>
      </c>
      <c r="I66" s="4">
        <v>0</v>
      </c>
      <c r="J66" s="4">
        <v>0</v>
      </c>
    </row>
    <row r="67" spans="1:10">
      <c r="A67" s="29" t="s">
        <v>295</v>
      </c>
      <c r="B67" s="4">
        <v>6.0167284841477972E-2</v>
      </c>
      <c r="D67" s="4">
        <v>2.5348860840776973E-2</v>
      </c>
      <c r="E67" s="4">
        <v>0.10020626132794927</v>
      </c>
      <c r="F67" s="4"/>
      <c r="G67" s="4">
        <v>5.7201606959908516E-2</v>
      </c>
      <c r="H67" s="4">
        <v>0.10491514060234657</v>
      </c>
      <c r="I67" s="4">
        <v>4.8892231552510039E-2</v>
      </c>
      <c r="J67" s="4">
        <v>1.7483092025032242E-2</v>
      </c>
    </row>
    <row r="68" spans="1:10">
      <c r="A68" s="29" t="s">
        <v>296</v>
      </c>
      <c r="B68" s="4">
        <v>7.1445527306996466E-4</v>
      </c>
      <c r="D68" s="4">
        <v>1.3428242824604733E-3</v>
      </c>
      <c r="E68" s="4">
        <v>0</v>
      </c>
      <c r="F68" s="4"/>
      <c r="G68" s="4">
        <v>0</v>
      </c>
      <c r="H68" s="4">
        <v>1.4961752676878404E-3</v>
      </c>
      <c r="I68" s="4">
        <v>0</v>
      </c>
      <c r="J68" s="4">
        <v>1.4386829203098422E-3</v>
      </c>
    </row>
    <row r="69" spans="1:10">
      <c r="A69" s="29" t="s">
        <v>297</v>
      </c>
      <c r="B69" s="4">
        <v>0</v>
      </c>
      <c r="D69" s="4">
        <v>0</v>
      </c>
      <c r="E69" s="4">
        <v>0</v>
      </c>
      <c r="F69" s="4"/>
      <c r="G69" s="4">
        <v>0</v>
      </c>
      <c r="H69" s="4">
        <v>0</v>
      </c>
      <c r="I69" s="4">
        <v>0</v>
      </c>
      <c r="J69" s="4">
        <v>0</v>
      </c>
    </row>
    <row r="70" spans="1:10">
      <c r="A70" s="29" t="s">
        <v>298</v>
      </c>
      <c r="B70" s="4">
        <v>5.6186619331616422E-3</v>
      </c>
      <c r="D70" s="4">
        <v>3.2944709894199824E-3</v>
      </c>
      <c r="E70" s="4">
        <v>8.2985694683844879E-3</v>
      </c>
      <c r="F70" s="4"/>
      <c r="G70" s="4">
        <v>1.9549372540362815E-3</v>
      </c>
      <c r="H70" s="4">
        <v>1.4961752676878404E-3</v>
      </c>
      <c r="I70" s="4">
        <v>1.0940288482410411E-2</v>
      </c>
      <c r="J70" s="4">
        <v>1.1222966595166181E-2</v>
      </c>
    </row>
    <row r="71" spans="1:10">
      <c r="A71" s="29" t="s">
        <v>299</v>
      </c>
      <c r="B71" s="4">
        <v>0</v>
      </c>
      <c r="D71" s="4">
        <v>0</v>
      </c>
      <c r="E71" s="4">
        <v>0</v>
      </c>
      <c r="F71" s="4"/>
      <c r="G71" s="4">
        <v>0</v>
      </c>
      <c r="H71" s="4">
        <v>0</v>
      </c>
      <c r="I71" s="4">
        <v>0</v>
      </c>
      <c r="J71" s="4">
        <v>0</v>
      </c>
    </row>
    <row r="72" spans="1:10">
      <c r="A72" s="29" t="s">
        <v>300</v>
      </c>
      <c r="B72" s="4">
        <v>7.1760085684089803E-4</v>
      </c>
      <c r="D72" s="4">
        <v>1.3487364317990495E-3</v>
      </c>
      <c r="E72" s="4">
        <v>0</v>
      </c>
      <c r="F72" s="4"/>
      <c r="G72" s="4">
        <v>0</v>
      </c>
      <c r="H72" s="4">
        <v>1.6748067300970391E-3</v>
      </c>
      <c r="I72" s="4">
        <v>0</v>
      </c>
      <c r="J72" s="4">
        <v>1.2225565348495254E-3</v>
      </c>
    </row>
    <row r="73" spans="1:10">
      <c r="A73" s="29" t="s">
        <v>301</v>
      </c>
      <c r="B73" s="4">
        <v>0</v>
      </c>
      <c r="D73" s="4">
        <v>0</v>
      </c>
      <c r="E73" s="4">
        <v>0</v>
      </c>
      <c r="F73" s="4"/>
      <c r="G73" s="4">
        <v>0</v>
      </c>
      <c r="H73" s="4">
        <v>0</v>
      </c>
      <c r="I73" s="4">
        <v>0</v>
      </c>
      <c r="J73" s="4">
        <v>0</v>
      </c>
    </row>
    <row r="74" spans="1:10">
      <c r="A74" s="29" t="s">
        <v>302</v>
      </c>
      <c r="B74" s="4">
        <v>1.97837227838565E-3</v>
      </c>
      <c r="D74" s="4">
        <v>8.3742942671556414E-4</v>
      </c>
      <c r="E74" s="4">
        <v>3.2904147573086821E-3</v>
      </c>
      <c r="F74" s="4"/>
      <c r="G74" s="4">
        <v>3.0062208254870975E-3</v>
      </c>
      <c r="H74" s="4">
        <v>0</v>
      </c>
      <c r="I74" s="4">
        <v>5.1322542771973104E-3</v>
      </c>
      <c r="J74" s="4">
        <v>0</v>
      </c>
    </row>
    <row r="75" spans="1:10">
      <c r="A75" s="29" t="s">
        <v>303</v>
      </c>
      <c r="B75" s="4">
        <v>0</v>
      </c>
      <c r="D75" s="4">
        <v>0</v>
      </c>
      <c r="E75" s="4">
        <v>0</v>
      </c>
      <c r="F75" s="4"/>
      <c r="G75" s="4">
        <v>0</v>
      </c>
      <c r="H75" s="4">
        <v>0</v>
      </c>
      <c r="I75" s="4">
        <v>0</v>
      </c>
      <c r="J75" s="4">
        <v>0</v>
      </c>
    </row>
    <row r="76" spans="1:10">
      <c r="A76" s="29" t="s">
        <v>304</v>
      </c>
      <c r="B76" s="4">
        <v>8.4887172110578518E-4</v>
      </c>
      <c r="D76" s="4">
        <v>1.5954610495025865E-3</v>
      </c>
      <c r="E76" s="4">
        <v>0</v>
      </c>
      <c r="F76" s="4"/>
      <c r="G76" s="4">
        <v>1.8955624864041652E-3</v>
      </c>
      <c r="H76" s="4">
        <v>0</v>
      </c>
      <c r="I76" s="4">
        <v>0</v>
      </c>
      <c r="J76" s="4">
        <v>1.223870573286991E-3</v>
      </c>
    </row>
    <row r="77" spans="1:10">
      <c r="A77" s="29" t="s">
        <v>305</v>
      </c>
      <c r="B77" s="4">
        <v>3.6718964404412607E-3</v>
      </c>
      <c r="D77" s="4">
        <v>3.8380540002634286E-3</v>
      </c>
      <c r="E77" s="4">
        <v>3.4987026461390548E-3</v>
      </c>
      <c r="F77" s="4"/>
      <c r="G77" s="4">
        <v>3.2844900280716727E-3</v>
      </c>
      <c r="H77" s="4">
        <v>1.4961752676878404E-3</v>
      </c>
      <c r="I77" s="4">
        <v>7.2974632674425964E-3</v>
      </c>
      <c r="J77" s="4">
        <v>3.5746528019376172E-3</v>
      </c>
    </row>
    <row r="78" spans="1:10">
      <c r="A78" s="29" t="s">
        <v>306</v>
      </c>
      <c r="B78" s="4">
        <v>2.3799169594609704E-2</v>
      </c>
      <c r="D78" s="4">
        <v>2.7832888792370145E-2</v>
      </c>
      <c r="E78" s="4">
        <v>1.9299587721770727E-2</v>
      </c>
      <c r="F78" s="4"/>
      <c r="G78" s="4">
        <v>8.2890429187829195E-3</v>
      </c>
      <c r="H78" s="4">
        <v>3.4767925608991605E-2</v>
      </c>
      <c r="I78" s="4">
        <v>3.2108194807790556E-2</v>
      </c>
      <c r="J78" s="4">
        <v>2.4421992194372369E-2</v>
      </c>
    </row>
    <row r="79" spans="1:10">
      <c r="A79" s="29" t="s">
        <v>307</v>
      </c>
      <c r="B79" s="4">
        <v>5.1786751558040908E-4</v>
      </c>
      <c r="D79" s="4">
        <v>9.733360522776232E-4</v>
      </c>
      <c r="E79" s="4">
        <v>0</v>
      </c>
      <c r="F79" s="4"/>
      <c r="G79" s="4">
        <v>0</v>
      </c>
      <c r="H79" s="4">
        <v>0</v>
      </c>
      <c r="I79" s="4">
        <v>0</v>
      </c>
      <c r="J79" s="4">
        <v>2.4451130696990508E-3</v>
      </c>
    </row>
    <row r="80" spans="1:10">
      <c r="A80" s="29" t="s">
        <v>308</v>
      </c>
      <c r="B80" s="4">
        <v>2.5893375779020454E-4</v>
      </c>
      <c r="D80" s="4">
        <v>4.866680261388116E-4</v>
      </c>
      <c r="E80" s="4">
        <v>0</v>
      </c>
      <c r="F80" s="4"/>
      <c r="G80" s="4">
        <v>0</v>
      </c>
      <c r="H80" s="4">
        <v>0</v>
      </c>
      <c r="I80" s="4">
        <v>0</v>
      </c>
      <c r="J80" s="4">
        <v>1.2225565348495254E-3</v>
      </c>
    </row>
    <row r="81" spans="1:10">
      <c r="A81" s="29" t="s">
        <v>309</v>
      </c>
      <c r="B81" s="4">
        <v>0</v>
      </c>
      <c r="D81" s="4">
        <v>0</v>
      </c>
      <c r="E81" s="4">
        <v>0</v>
      </c>
      <c r="F81" s="4"/>
      <c r="G81" s="4">
        <v>0</v>
      </c>
      <c r="H81" s="4">
        <v>0</v>
      </c>
      <c r="I81" s="4">
        <v>0</v>
      </c>
      <c r="J81" s="4">
        <v>0</v>
      </c>
    </row>
    <row r="82" spans="1:10">
      <c r="A82" s="29" t="s">
        <v>310</v>
      </c>
      <c r="B82" s="4">
        <v>4.0429144683228773E-4</v>
      </c>
      <c r="D82" s="4">
        <v>0</v>
      </c>
      <c r="E82" s="4">
        <v>8.6787186927276465E-4</v>
      </c>
      <c r="F82" s="4"/>
      <c r="G82" s="4">
        <v>0</v>
      </c>
      <c r="H82" s="4">
        <v>0</v>
      </c>
      <c r="I82" s="4">
        <v>0</v>
      </c>
      <c r="J82" s="4">
        <v>1.9088633113224804E-3</v>
      </c>
    </row>
    <row r="83" spans="1:10">
      <c r="A83" s="29" t="s">
        <v>311</v>
      </c>
      <c r="B83" s="4">
        <v>1.5421490670817621E-3</v>
      </c>
      <c r="D83" s="4">
        <v>1.6380027418951173E-3</v>
      </c>
      <c r="E83" s="4">
        <v>1.4396348913311937E-3</v>
      </c>
      <c r="F83" s="4"/>
      <c r="G83" s="4">
        <v>0</v>
      </c>
      <c r="H83" s="4">
        <v>3.1822741652877164E-3</v>
      </c>
      <c r="I83" s="4">
        <v>0</v>
      </c>
      <c r="J83" s="4">
        <v>3.1664423321666026E-3</v>
      </c>
    </row>
    <row r="84" spans="1:10">
      <c r="A84" s="29" t="s">
        <v>312</v>
      </c>
      <c r="B84" s="4">
        <v>0</v>
      </c>
      <c r="D84" s="4">
        <v>0</v>
      </c>
      <c r="E84" s="4">
        <v>0</v>
      </c>
      <c r="F84" s="4"/>
      <c r="G84" s="4">
        <v>0</v>
      </c>
      <c r="H84" s="4">
        <v>0</v>
      </c>
      <c r="I84" s="4">
        <v>0</v>
      </c>
      <c r="J84" s="4">
        <v>0</v>
      </c>
    </row>
    <row r="85" spans="1:10">
      <c r="A85" s="29" t="s">
        <v>313</v>
      </c>
      <c r="B85" s="4">
        <v>1.0960742951979779E-3</v>
      </c>
      <c r="D85" s="4">
        <v>1.4483136330085329E-3</v>
      </c>
      <c r="E85" s="4">
        <v>6.9871919480959423E-4</v>
      </c>
      <c r="F85" s="4"/>
      <c r="G85" s="4">
        <v>0</v>
      </c>
      <c r="H85" s="4">
        <v>1.3386157180947608E-3</v>
      </c>
      <c r="I85" s="4">
        <v>1.9874605570855655E-3</v>
      </c>
      <c r="J85" s="4">
        <v>1.536816070564018E-3</v>
      </c>
    </row>
    <row r="86" spans="1:10">
      <c r="A86" s="29" t="s">
        <v>314</v>
      </c>
      <c r="B86" s="4">
        <v>0</v>
      </c>
      <c r="D86" s="4">
        <v>0</v>
      </c>
      <c r="E86" s="4">
        <v>0</v>
      </c>
      <c r="F86" s="4"/>
      <c r="G86" s="4">
        <v>0</v>
      </c>
      <c r="H86" s="4">
        <v>0</v>
      </c>
      <c r="I86" s="4">
        <v>0</v>
      </c>
      <c r="J86" s="4">
        <v>0</v>
      </c>
    </row>
    <row r="87" spans="1:10">
      <c r="A87" s="29" t="s">
        <v>315</v>
      </c>
      <c r="B87" s="4">
        <v>2.7080677566948742E-4</v>
      </c>
      <c r="D87" s="4">
        <v>5.0898345625087558E-4</v>
      </c>
      <c r="E87" s="4">
        <v>0</v>
      </c>
      <c r="F87" s="4"/>
      <c r="G87" s="4">
        <v>0</v>
      </c>
      <c r="H87" s="4">
        <v>0</v>
      </c>
      <c r="I87" s="4">
        <v>0</v>
      </c>
      <c r="J87" s="4">
        <v>1.2786150253321119E-3</v>
      </c>
    </row>
    <row r="88" spans="1:10">
      <c r="A88" s="29" t="s">
        <v>316</v>
      </c>
      <c r="B88" s="4">
        <v>8.0080287592525692E-3</v>
      </c>
      <c r="D88" s="4">
        <v>8.9343713867750581E-3</v>
      </c>
      <c r="E88" s="4">
        <v>6.9861817170007428E-3</v>
      </c>
      <c r="F88" s="4"/>
      <c r="G88" s="4">
        <v>0</v>
      </c>
      <c r="H88" s="4">
        <v>2.0285661094380288E-2</v>
      </c>
      <c r="I88" s="4">
        <v>4.6311609230148534E-3</v>
      </c>
      <c r="J88" s="4">
        <v>7.1350519267443019E-3</v>
      </c>
    </row>
    <row r="89" spans="1:10">
      <c r="A89" s="29" t="s">
        <v>317</v>
      </c>
      <c r="B89" s="4">
        <v>2.7080677566948742E-4</v>
      </c>
      <c r="D89" s="4">
        <v>5.0898345625087558E-4</v>
      </c>
      <c r="E89" s="4">
        <v>0</v>
      </c>
      <c r="F89" s="4"/>
      <c r="G89" s="4">
        <v>0</v>
      </c>
      <c r="H89" s="4">
        <v>0</v>
      </c>
      <c r="I89" s="4">
        <v>0</v>
      </c>
      <c r="J89" s="4">
        <v>1.2786150253321119E-3</v>
      </c>
    </row>
    <row r="90" spans="1:10">
      <c r="A90" s="29" t="s">
        <v>318</v>
      </c>
      <c r="B90" s="4">
        <v>0</v>
      </c>
      <c r="D90" s="4">
        <v>0</v>
      </c>
      <c r="E90" s="4">
        <v>0</v>
      </c>
      <c r="F90" s="4"/>
      <c r="G90" s="4">
        <v>0</v>
      </c>
      <c r="H90" s="4">
        <v>0</v>
      </c>
      <c r="I90" s="4">
        <v>0</v>
      </c>
      <c r="J90" s="4">
        <v>0</v>
      </c>
    </row>
    <row r="91" spans="1:10">
      <c r="A91" s="29" t="s">
        <v>319</v>
      </c>
      <c r="B91" s="4">
        <v>5.3032555409072172E-3</v>
      </c>
      <c r="D91" s="4">
        <v>5.0308276293768266E-3</v>
      </c>
      <c r="E91" s="4">
        <v>5.6383513160560249E-3</v>
      </c>
      <c r="F91" s="4"/>
      <c r="G91" s="4">
        <v>3.4720577793778216E-3</v>
      </c>
      <c r="H91" s="4">
        <v>5.906091767646126E-3</v>
      </c>
      <c r="I91" s="4">
        <v>1.8756502420194882E-3</v>
      </c>
      <c r="J91" s="4">
        <v>1.0502862218275811E-2</v>
      </c>
    </row>
    <row r="92" spans="1:10">
      <c r="A92" s="29" t="s">
        <v>320</v>
      </c>
      <c r="B92" s="4">
        <v>3.3334438932660601E-4</v>
      </c>
      <c r="D92" s="4">
        <v>0</v>
      </c>
      <c r="E92" s="4">
        <v>7.1557343234243632E-4</v>
      </c>
      <c r="F92" s="4"/>
      <c r="G92" s="4">
        <v>0</v>
      </c>
      <c r="H92" s="4">
        <v>0</v>
      </c>
      <c r="I92" s="4">
        <v>0</v>
      </c>
      <c r="J92" s="4">
        <v>1.573886560812441E-3</v>
      </c>
    </row>
    <row r="93" spans="1:10">
      <c r="A93" s="29" t="s">
        <v>321</v>
      </c>
      <c r="B93" s="4">
        <v>1.2865152573754805E-3</v>
      </c>
      <c r="D93" s="4">
        <v>1.4984136195819958E-3</v>
      </c>
      <c r="E93" s="4">
        <v>1.0503082349751624E-3</v>
      </c>
      <c r="F93" s="4"/>
      <c r="G93" s="4">
        <v>1.5728684628034827E-3</v>
      </c>
      <c r="H93" s="4">
        <v>0</v>
      </c>
      <c r="I93" s="4">
        <v>0</v>
      </c>
      <c r="J93" s="4">
        <v>3.7641580382044475E-3</v>
      </c>
    </row>
    <row r="94" spans="1:10">
      <c r="A94" s="29" t="s">
        <v>322</v>
      </c>
      <c r="B94" s="4">
        <v>0</v>
      </c>
      <c r="D94" s="4">
        <v>0</v>
      </c>
      <c r="E94" s="4">
        <v>0</v>
      </c>
      <c r="F94" s="4"/>
      <c r="G94" s="4">
        <v>0</v>
      </c>
      <c r="H94" s="4">
        <v>0</v>
      </c>
      <c r="I94" s="4">
        <v>0</v>
      </c>
      <c r="J94" s="4">
        <v>0</v>
      </c>
    </row>
    <row r="95" spans="1:10">
      <c r="A95" s="29" t="s">
        <v>323</v>
      </c>
      <c r="B95" s="4">
        <v>2.0190460870175811E-3</v>
      </c>
      <c r="D95" s="4">
        <v>3.7948129368603691E-3</v>
      </c>
      <c r="E95" s="4">
        <v>0</v>
      </c>
      <c r="F95" s="4"/>
      <c r="G95" s="4">
        <v>1.8955624864041652E-3</v>
      </c>
      <c r="H95" s="4">
        <v>1.6860988975998762E-3</v>
      </c>
      <c r="I95" s="4">
        <v>1.9874605570855655E-3</v>
      </c>
      <c r="J95" s="4">
        <v>2.6612394551593674E-3</v>
      </c>
    </row>
    <row r="96" spans="1:10">
      <c r="A96" s="29" t="s">
        <v>324</v>
      </c>
      <c r="B96" s="4">
        <v>4.2281810121584495E-2</v>
      </c>
      <c r="D96" s="4">
        <v>5.1541794658927333E-3</v>
      </c>
      <c r="E96" s="4">
        <v>8.4877447835214739E-2</v>
      </c>
      <c r="F96" s="4"/>
      <c r="G96" s="4">
        <v>1.4323223528553749E-3</v>
      </c>
      <c r="H96" s="4">
        <v>2.7976031620327135E-2</v>
      </c>
      <c r="I96" s="4">
        <v>5.5851181630356614E-2</v>
      </c>
      <c r="J96" s="4">
        <v>0.1077540457595807</v>
      </c>
    </row>
    <row r="97" spans="1:10">
      <c r="A97" s="29" t="s">
        <v>325</v>
      </c>
      <c r="B97" s="4">
        <v>2.2469993970488547E-3</v>
      </c>
      <c r="D97" s="4">
        <v>2.383680851943821E-3</v>
      </c>
      <c r="E97" s="4">
        <v>2.1010371720344024E-3</v>
      </c>
      <c r="F97" s="4"/>
      <c r="G97" s="4">
        <v>0</v>
      </c>
      <c r="H97" s="4">
        <v>3.1505864700592007E-3</v>
      </c>
      <c r="I97" s="4">
        <v>2.5861132170150198E-3</v>
      </c>
      <c r="J97" s="4">
        <v>4.0534139741637294E-3</v>
      </c>
    </row>
    <row r="98" spans="1:10">
      <c r="A98" s="29" t="s">
        <v>326</v>
      </c>
      <c r="B98" s="4">
        <v>0</v>
      </c>
      <c r="D98" s="4">
        <v>0</v>
      </c>
      <c r="E98" s="4">
        <v>0</v>
      </c>
      <c r="F98" s="4"/>
      <c r="G98" s="4">
        <v>0</v>
      </c>
      <c r="H98" s="4">
        <v>0</v>
      </c>
      <c r="I98" s="4">
        <v>0</v>
      </c>
      <c r="J98" s="4">
        <v>0</v>
      </c>
    </row>
    <row r="99" spans="1:10">
      <c r="A99" s="29" t="s">
        <v>327</v>
      </c>
      <c r="B99" s="4">
        <v>0</v>
      </c>
      <c r="D99" s="4">
        <v>0</v>
      </c>
      <c r="E99" s="4">
        <v>0</v>
      </c>
      <c r="F99" s="4"/>
      <c r="G99" s="4">
        <v>0</v>
      </c>
      <c r="H99" s="4">
        <v>0</v>
      </c>
      <c r="I99" s="4">
        <v>0</v>
      </c>
      <c r="J99" s="4">
        <v>0</v>
      </c>
    </row>
    <row r="100" spans="1:10">
      <c r="A100" s="29" t="s">
        <v>328</v>
      </c>
      <c r="B100" s="4">
        <v>0</v>
      </c>
      <c r="D100" s="4">
        <v>0</v>
      </c>
      <c r="E100" s="4">
        <v>0</v>
      </c>
      <c r="F100" s="4"/>
      <c r="G100" s="4">
        <v>0</v>
      </c>
      <c r="H100" s="4">
        <v>0</v>
      </c>
      <c r="I100" s="4">
        <v>0</v>
      </c>
      <c r="J100" s="4">
        <v>0</v>
      </c>
    </row>
    <row r="101" spans="1:10">
      <c r="A101" s="29" t="s">
        <v>329</v>
      </c>
      <c r="B101" s="4">
        <v>0</v>
      </c>
      <c r="D101" s="4">
        <v>0</v>
      </c>
      <c r="E101" s="4">
        <v>0</v>
      </c>
      <c r="F101" s="4"/>
      <c r="G101" s="4">
        <v>0</v>
      </c>
      <c r="H101" s="4">
        <v>0</v>
      </c>
      <c r="I101" s="4">
        <v>0</v>
      </c>
      <c r="J101" s="4">
        <v>0</v>
      </c>
    </row>
    <row r="102" spans="1:10">
      <c r="A102" s="29" t="s">
        <v>330</v>
      </c>
      <c r="B102" s="4">
        <v>2.7080677566948742E-4</v>
      </c>
      <c r="D102" s="4">
        <v>5.0898345625087558E-4</v>
      </c>
      <c r="E102" s="4">
        <v>0</v>
      </c>
      <c r="F102" s="4"/>
      <c r="G102" s="4">
        <v>0</v>
      </c>
      <c r="H102" s="4">
        <v>0</v>
      </c>
      <c r="I102" s="4">
        <v>0</v>
      </c>
      <c r="J102" s="4">
        <v>1.2786150253321119E-3</v>
      </c>
    </row>
    <row r="103" spans="1:10">
      <c r="A103" s="29" t="s">
        <v>331</v>
      </c>
      <c r="B103" s="4">
        <v>1.9320715320899286E-3</v>
      </c>
      <c r="D103" s="4">
        <v>2.7111394837251103E-3</v>
      </c>
      <c r="E103" s="4">
        <v>1.0509960406183481E-3</v>
      </c>
      <c r="F103" s="4"/>
      <c r="G103" s="4">
        <v>1.5738984726317222E-3</v>
      </c>
      <c r="H103" s="4">
        <v>1.4961752676878404E-3</v>
      </c>
      <c r="I103" s="4">
        <v>2.4054528059240595E-3</v>
      </c>
      <c r="J103" s="4">
        <v>2.5674505136861225E-3</v>
      </c>
    </row>
    <row r="104" spans="1:10">
      <c r="A104" s="29" t="s">
        <v>332</v>
      </c>
      <c r="B104" s="4">
        <v>0</v>
      </c>
      <c r="D104" s="4">
        <v>0</v>
      </c>
      <c r="E104" s="4">
        <v>0</v>
      </c>
      <c r="F104" s="4"/>
      <c r="G104" s="4">
        <v>0</v>
      </c>
      <c r="H104" s="4">
        <v>0</v>
      </c>
      <c r="I104" s="4">
        <v>0</v>
      </c>
      <c r="J104" s="4">
        <v>0</v>
      </c>
    </row>
    <row r="105" spans="1:10">
      <c r="A105" s="29" t="s">
        <v>333</v>
      </c>
      <c r="B105" s="4">
        <v>0</v>
      </c>
      <c r="D105" s="4">
        <v>0</v>
      </c>
      <c r="E105" s="4">
        <v>0</v>
      </c>
      <c r="F105" s="4"/>
      <c r="G105" s="4">
        <v>0</v>
      </c>
      <c r="H105" s="4">
        <v>0</v>
      </c>
      <c r="I105" s="4">
        <v>0</v>
      </c>
      <c r="J105" s="4">
        <v>0</v>
      </c>
    </row>
    <row r="106" spans="1:10">
      <c r="A106" s="29" t="s">
        <v>334</v>
      </c>
      <c r="B106" s="4">
        <v>4.2576641978624098E-4</v>
      </c>
      <c r="D106" s="4">
        <v>8.0023132125338196E-4</v>
      </c>
      <c r="E106" s="4">
        <v>0</v>
      </c>
      <c r="F106" s="4"/>
      <c r="G106" s="4">
        <v>0</v>
      </c>
      <c r="H106" s="4">
        <v>0</v>
      </c>
      <c r="I106" s="4">
        <v>2.0946203830437523E-3</v>
      </c>
      <c r="J106" s="4">
        <v>0</v>
      </c>
    </row>
    <row r="107" spans="1:10">
      <c r="A107" s="29" t="s">
        <v>335</v>
      </c>
      <c r="B107" s="4">
        <v>1.140253880416795E-3</v>
      </c>
      <c r="D107" s="4">
        <v>8.6788079025404408E-4</v>
      </c>
      <c r="E107" s="4">
        <v>1.4564891288640358E-3</v>
      </c>
      <c r="F107" s="4"/>
      <c r="G107" s="4">
        <v>0</v>
      </c>
      <c r="H107" s="4">
        <v>1.6860988975998762E-3</v>
      </c>
      <c r="I107" s="4">
        <v>0</v>
      </c>
      <c r="J107" s="4">
        <v>3.2035128224150253E-3</v>
      </c>
    </row>
    <row r="108" spans="1:10">
      <c r="A108" s="29" t="s">
        <v>336</v>
      </c>
      <c r="B108" s="4">
        <v>0</v>
      </c>
      <c r="D108" s="4">
        <v>0</v>
      </c>
      <c r="E108" s="4">
        <v>0</v>
      </c>
      <c r="F108" s="4"/>
      <c r="G108" s="4">
        <v>0</v>
      </c>
      <c r="H108" s="4">
        <v>0</v>
      </c>
      <c r="I108" s="4">
        <v>0</v>
      </c>
      <c r="J108" s="4">
        <v>0</v>
      </c>
    </row>
    <row r="109" spans="1:10">
      <c r="A109" s="29" t="s">
        <v>337</v>
      </c>
      <c r="B109" s="4">
        <v>0</v>
      </c>
      <c r="D109" s="4">
        <v>0</v>
      </c>
      <c r="E109" s="4">
        <v>0</v>
      </c>
      <c r="F109" s="4"/>
      <c r="G109" s="4">
        <v>0</v>
      </c>
      <c r="H109" s="4">
        <v>0</v>
      </c>
      <c r="I109" s="4">
        <v>0</v>
      </c>
      <c r="J109" s="4">
        <v>0</v>
      </c>
    </row>
    <row r="110" spans="1:10">
      <c r="A110" s="29" t="s">
        <v>338</v>
      </c>
      <c r="B110" s="4">
        <v>2.6420579016954021E-3</v>
      </c>
      <c r="D110" s="4">
        <v>1.6881187291495024E-3</v>
      </c>
      <c r="E110" s="4">
        <v>3.7435140437087574E-3</v>
      </c>
      <c r="F110" s="4"/>
      <c r="G110" s="4">
        <v>1.5738984726317222E-3</v>
      </c>
      <c r="H110" s="4">
        <v>1.7198371130373543E-3</v>
      </c>
      <c r="I110" s="4">
        <v>6.6708798834744188E-3</v>
      </c>
      <c r="J110" s="4">
        <v>1.536816070564018E-3</v>
      </c>
    </row>
    <row r="111" spans="1:10">
      <c r="A111" s="29" t="s">
        <v>339</v>
      </c>
      <c r="B111" s="4">
        <v>0</v>
      </c>
      <c r="D111" s="4">
        <v>0</v>
      </c>
      <c r="E111" s="4">
        <v>0</v>
      </c>
      <c r="F111" s="4"/>
      <c r="G111" s="4">
        <v>0</v>
      </c>
      <c r="H111" s="4">
        <v>0</v>
      </c>
      <c r="I111" s="4">
        <v>0</v>
      </c>
      <c r="J111" s="4">
        <v>0</v>
      </c>
    </row>
    <row r="112" spans="1:10">
      <c r="A112" s="29" t="s">
        <v>340</v>
      </c>
      <c r="B112" s="4">
        <v>4.0576153623401593E-3</v>
      </c>
      <c r="D112" s="4">
        <v>6.4681977814241131E-3</v>
      </c>
      <c r="E112" s="4">
        <v>1.3227301678859413E-3</v>
      </c>
      <c r="F112" s="4"/>
      <c r="G112" s="4">
        <v>7.4633165598546533E-3</v>
      </c>
      <c r="H112" s="4">
        <v>6.338847069542063E-3</v>
      </c>
      <c r="I112" s="4">
        <v>0</v>
      </c>
      <c r="J112" s="4">
        <v>0</v>
      </c>
    </row>
    <row r="113" spans="1:10">
      <c r="A113" s="29" t="s">
        <v>341</v>
      </c>
      <c r="B113" s="4">
        <v>1.6346829418584488E-3</v>
      </c>
      <c r="D113" s="4">
        <v>1.4217619651576928E-3</v>
      </c>
      <c r="E113" s="4">
        <v>1.8852485124854186E-3</v>
      </c>
      <c r="F113" s="4"/>
      <c r="G113" s="4">
        <v>0</v>
      </c>
      <c r="H113" s="4">
        <v>1.6860988975998762E-3</v>
      </c>
      <c r="I113" s="4">
        <v>2.719263762634623E-3</v>
      </c>
      <c r="J113" s="4">
        <v>2.9282184507060942E-3</v>
      </c>
    </row>
    <row r="114" spans="1:10">
      <c r="A114" s="29" t="s">
        <v>342</v>
      </c>
      <c r="B114" s="4">
        <v>0</v>
      </c>
      <c r="D114" s="4">
        <v>0</v>
      </c>
      <c r="E114" s="4">
        <v>0</v>
      </c>
      <c r="F114" s="4"/>
      <c r="G114" s="4">
        <v>0</v>
      </c>
      <c r="H114" s="4">
        <v>0</v>
      </c>
      <c r="I114" s="4">
        <v>0</v>
      </c>
      <c r="J114" s="4">
        <v>0</v>
      </c>
    </row>
    <row r="115" spans="1:10">
      <c r="A115" s="29" t="s">
        <v>343</v>
      </c>
      <c r="B115" s="4">
        <v>0</v>
      </c>
      <c r="D115" s="4">
        <v>0</v>
      </c>
      <c r="E115" s="4">
        <v>0</v>
      </c>
      <c r="F115" s="4"/>
      <c r="G115" s="4">
        <v>0</v>
      </c>
      <c r="H115" s="4">
        <v>0</v>
      </c>
      <c r="I115" s="4">
        <v>0</v>
      </c>
      <c r="J115" s="4">
        <v>0</v>
      </c>
    </row>
    <row r="116" spans="1:10">
      <c r="A116" s="29" t="s">
        <v>344</v>
      </c>
      <c r="B116" s="4">
        <v>3.8410757167345951E-4</v>
      </c>
      <c r="D116" s="4">
        <v>0</v>
      </c>
      <c r="E116" s="4">
        <v>8.2454417188883517E-4</v>
      </c>
      <c r="F116" s="4"/>
      <c r="G116" s="4">
        <v>0</v>
      </c>
      <c r="H116" s="4">
        <v>1.4025552463898011E-3</v>
      </c>
      <c r="I116" s="4">
        <v>0</v>
      </c>
      <c r="J116" s="4">
        <v>0</v>
      </c>
    </row>
    <row r="117" spans="1:10">
      <c r="A117" s="29" t="s">
        <v>345</v>
      </c>
      <c r="B117" s="4">
        <v>9.766575779032009E-4</v>
      </c>
      <c r="D117" s="4">
        <v>7.9676472990075555E-4</v>
      </c>
      <c r="E117" s="4">
        <v>1.1865293176758244E-3</v>
      </c>
      <c r="F117" s="4"/>
      <c r="G117" s="4">
        <v>1.3627702779439685E-3</v>
      </c>
      <c r="H117" s="4">
        <v>0</v>
      </c>
      <c r="I117" s="4">
        <v>2.719263762634623E-3</v>
      </c>
      <c r="J117" s="4">
        <v>0</v>
      </c>
    </row>
    <row r="118" spans="1:10">
      <c r="A118" s="29" t="s">
        <v>346</v>
      </c>
      <c r="B118" s="4">
        <v>1.3086959192785976E-3</v>
      </c>
      <c r="D118" s="4">
        <v>5.7270233081939978E-4</v>
      </c>
      <c r="E118" s="4">
        <v>2.15520832367363E-3</v>
      </c>
      <c r="F118" s="4"/>
      <c r="G118" s="4">
        <v>0</v>
      </c>
      <c r="H118" s="4">
        <v>0</v>
      </c>
      <c r="I118" s="4">
        <v>0</v>
      </c>
      <c r="J118" s="4">
        <v>6.1790118132888849E-3</v>
      </c>
    </row>
    <row r="119" spans="1:10">
      <c r="A119" s="29" t="s">
        <v>347</v>
      </c>
      <c r="B119" s="4">
        <v>1.9548625878446119E-3</v>
      </c>
      <c r="D119" s="4">
        <v>2.2033049035228959E-3</v>
      </c>
      <c r="E119" s="4">
        <v>1.679935390362864E-3</v>
      </c>
      <c r="F119" s="4"/>
      <c r="G119" s="4">
        <v>0</v>
      </c>
      <c r="H119" s="4">
        <v>1.6860988975998762E-3</v>
      </c>
      <c r="I119" s="4">
        <v>4.3152500471473768E-3</v>
      </c>
      <c r="J119" s="4">
        <v>2.9082412869346963E-3</v>
      </c>
    </row>
    <row r="120" spans="1:10">
      <c r="A120" s="29" t="s">
        <v>348</v>
      </c>
      <c r="B120" s="4">
        <v>2.0318213562573323E-3</v>
      </c>
      <c r="D120" s="4">
        <v>2.8986200596435919E-3</v>
      </c>
      <c r="E120" s="4">
        <v>1.0509960406183481E-3</v>
      </c>
      <c r="F120" s="4"/>
      <c r="G120" s="4">
        <v>1.5738984726317222E-3</v>
      </c>
      <c r="H120" s="4">
        <v>1.6860988975998762E-3</v>
      </c>
      <c r="I120" s="4">
        <v>4.0900954119996672E-3</v>
      </c>
      <c r="J120" s="4">
        <v>1.1760481335440457E-3</v>
      </c>
    </row>
    <row r="121" spans="1:10">
      <c r="A121" s="29" t="s">
        <v>349</v>
      </c>
      <c r="B121" s="4">
        <v>3.2864520747343806E-2</v>
      </c>
      <c r="D121" s="4">
        <v>3.2638764024050804E-2</v>
      </c>
      <c r="E121" s="4">
        <v>3.3270763883488486E-2</v>
      </c>
      <c r="F121" s="4"/>
      <c r="G121" s="4">
        <v>2.6748150550206681E-2</v>
      </c>
      <c r="H121" s="4">
        <v>3.034352801525108E-2</v>
      </c>
      <c r="I121" s="4">
        <v>4.4011307402130925E-2</v>
      </c>
      <c r="J121" s="4">
        <v>3.440976543102095E-2</v>
      </c>
    </row>
    <row r="122" spans="1:10">
      <c r="A122" s="29" t="s">
        <v>350</v>
      </c>
      <c r="B122" s="4">
        <v>0</v>
      </c>
      <c r="D122" s="4">
        <v>0</v>
      </c>
      <c r="E122" s="4">
        <v>0</v>
      </c>
      <c r="F122" s="4"/>
      <c r="G122" s="4">
        <v>0</v>
      </c>
      <c r="H122" s="4">
        <v>0</v>
      </c>
      <c r="I122" s="4">
        <v>0</v>
      </c>
      <c r="J122" s="4">
        <v>0</v>
      </c>
    </row>
    <row r="123" spans="1:10">
      <c r="A123" s="29" t="s">
        <v>351</v>
      </c>
      <c r="B123" s="4">
        <v>4.0319510665299948E-3</v>
      </c>
      <c r="D123" s="4">
        <v>5.2146153496364115E-3</v>
      </c>
      <c r="E123" s="4">
        <v>2.6993965787528323E-3</v>
      </c>
      <c r="F123" s="4"/>
      <c r="G123" s="4">
        <v>4.3219694620730232E-3</v>
      </c>
      <c r="H123" s="4">
        <v>2.8051104927796023E-3</v>
      </c>
      <c r="I123" s="4">
        <v>6.7670067530211965E-3</v>
      </c>
      <c r="J123" s="4">
        <v>2.5674505136861225E-3</v>
      </c>
    </row>
    <row r="124" spans="1:10">
      <c r="A124" s="29" t="s">
        <v>352</v>
      </c>
      <c r="B124" s="4">
        <v>3.2204154821874596E-3</v>
      </c>
      <c r="D124" s="4">
        <v>2.3296451237760306E-3</v>
      </c>
      <c r="E124" s="4">
        <v>4.2523359543607036E-3</v>
      </c>
      <c r="F124" s="4"/>
      <c r="G124" s="4">
        <v>0</v>
      </c>
      <c r="H124" s="4">
        <v>1.4961752676878404E-3</v>
      </c>
      <c r="I124" s="4">
        <v>4.0820809401293182E-3</v>
      </c>
      <c r="J124" s="4">
        <v>9.3529106980946141E-3</v>
      </c>
    </row>
    <row r="125" spans="1:10">
      <c r="A125" s="29" t="s">
        <v>353</v>
      </c>
      <c r="B125" s="4">
        <v>0</v>
      </c>
      <c r="D125" s="4">
        <v>0</v>
      </c>
      <c r="E125" s="4">
        <v>0</v>
      </c>
      <c r="F125" s="4"/>
      <c r="G125" s="4">
        <v>0</v>
      </c>
      <c r="H125" s="4">
        <v>0</v>
      </c>
      <c r="I125" s="4">
        <v>0</v>
      </c>
      <c r="J125" s="4">
        <v>0</v>
      </c>
    </row>
    <row r="126" spans="1:10">
      <c r="A126" s="29" t="s">
        <v>354</v>
      </c>
      <c r="B126" s="4">
        <v>0</v>
      </c>
      <c r="D126" s="4">
        <v>0</v>
      </c>
      <c r="E126" s="4">
        <v>0</v>
      </c>
      <c r="F126" s="4"/>
      <c r="G126" s="4">
        <v>0</v>
      </c>
      <c r="H126" s="4">
        <v>0</v>
      </c>
      <c r="I126" s="4">
        <v>0</v>
      </c>
      <c r="J126" s="4">
        <v>0</v>
      </c>
    </row>
    <row r="127" spans="1:10">
      <c r="A127" s="29" t="s">
        <v>355</v>
      </c>
      <c r="B127" s="4">
        <v>4.0054736614390498E-4</v>
      </c>
      <c r="D127" s="4">
        <v>7.5283191237773958E-4</v>
      </c>
      <c r="E127" s="4">
        <v>0</v>
      </c>
      <c r="F127" s="4"/>
      <c r="G127" s="4">
        <v>0</v>
      </c>
      <c r="H127" s="4">
        <v>0</v>
      </c>
      <c r="I127" s="4">
        <v>1.9705515477729213E-3</v>
      </c>
      <c r="J127" s="4">
        <v>0</v>
      </c>
    </row>
    <row r="128" spans="1:10">
      <c r="A128" s="29" t="s">
        <v>356</v>
      </c>
      <c r="B128" s="4">
        <v>4.1477052839060729E-3</v>
      </c>
      <c r="D128" s="4">
        <v>3.0885716462509096E-3</v>
      </c>
      <c r="E128" s="4">
        <v>5.376106268916549E-3</v>
      </c>
      <c r="F128" s="4"/>
      <c r="G128" s="4">
        <v>0</v>
      </c>
      <c r="H128" s="4">
        <v>3.6319485023005335E-3</v>
      </c>
      <c r="I128" s="4">
        <v>1.2073127027916882E-2</v>
      </c>
      <c r="J128" s="4">
        <v>3.3002656914645568E-3</v>
      </c>
    </row>
    <row r="129" spans="1:10">
      <c r="A129" s="29" t="s">
        <v>357</v>
      </c>
      <c r="B129" s="4">
        <v>0</v>
      </c>
      <c r="D129" s="4">
        <v>0</v>
      </c>
      <c r="E129" s="4">
        <v>0</v>
      </c>
      <c r="F129" s="4"/>
      <c r="G129" s="4">
        <v>0</v>
      </c>
      <c r="H129" s="4">
        <v>0</v>
      </c>
      <c r="I129" s="4">
        <v>0</v>
      </c>
      <c r="J129" s="4">
        <v>0</v>
      </c>
    </row>
    <row r="130" spans="1:10">
      <c r="A130" s="29" t="s">
        <v>358</v>
      </c>
      <c r="B130" s="4">
        <v>2.0201476104459992E-3</v>
      </c>
      <c r="D130" s="4">
        <v>1.4625734732956761E-3</v>
      </c>
      <c r="E130" s="4">
        <v>2.6660936994677494E-3</v>
      </c>
      <c r="F130" s="4"/>
      <c r="G130" s="4">
        <v>0</v>
      </c>
      <c r="H130" s="4">
        <v>0</v>
      </c>
      <c r="I130" s="4">
        <v>5.2162261628458393E-3</v>
      </c>
      <c r="J130" s="4">
        <v>4.5319957019774783E-3</v>
      </c>
    </row>
    <row r="131" spans="1:10">
      <c r="A131" s="29" t="s">
        <v>359</v>
      </c>
      <c r="B131" s="4">
        <v>0</v>
      </c>
      <c r="D131" s="4">
        <v>0</v>
      </c>
      <c r="E131" s="4">
        <v>0</v>
      </c>
      <c r="F131" s="4"/>
      <c r="G131" s="4">
        <v>0</v>
      </c>
      <c r="H131" s="4">
        <v>0</v>
      </c>
      <c r="I131" s="4">
        <v>0</v>
      </c>
      <c r="J131" s="4">
        <v>0</v>
      </c>
    </row>
    <row r="132" spans="1:10">
      <c r="A132" s="29" t="s">
        <v>360</v>
      </c>
      <c r="B132" s="4">
        <v>3.0313701595638628E-3</v>
      </c>
      <c r="D132" s="4">
        <v>2.5779776456945755E-3</v>
      </c>
      <c r="E132" s="4">
        <v>3.56289305954644E-3</v>
      </c>
      <c r="F132" s="4"/>
      <c r="G132" s="4">
        <v>0</v>
      </c>
      <c r="H132" s="4">
        <v>1.4683920247320784E-3</v>
      </c>
      <c r="I132" s="4">
        <v>4.5735737741005849E-3</v>
      </c>
      <c r="J132" s="4">
        <v>8.0245600986831676E-3</v>
      </c>
    </row>
    <row r="133" spans="1:10">
      <c r="A133" s="29" t="s">
        <v>361</v>
      </c>
      <c r="B133" s="4">
        <v>1.2710805133608677E-3</v>
      </c>
      <c r="D133" s="4">
        <v>1.0405492010424604E-3</v>
      </c>
      <c r="E133" s="4">
        <v>1.5401176042312715E-3</v>
      </c>
      <c r="F133" s="4"/>
      <c r="G133" s="4">
        <v>0</v>
      </c>
      <c r="H133" s="4">
        <v>1.4025552463898011E-3</v>
      </c>
      <c r="I133" s="4">
        <v>0</v>
      </c>
      <c r="J133" s="4">
        <v>4.1878454758040428E-3</v>
      </c>
    </row>
    <row r="134" spans="1:10">
      <c r="A134" s="29" t="s">
        <v>362</v>
      </c>
      <c r="B134" s="4">
        <v>0</v>
      </c>
      <c r="D134" s="4">
        <v>0</v>
      </c>
      <c r="E134" s="4">
        <v>0</v>
      </c>
      <c r="F134" s="4"/>
      <c r="G134" s="4">
        <v>0</v>
      </c>
      <c r="H134" s="4">
        <v>0</v>
      </c>
      <c r="I134" s="4">
        <v>0</v>
      </c>
      <c r="J134" s="4">
        <v>0</v>
      </c>
    </row>
    <row r="135" spans="1:10">
      <c r="A135" s="29" t="s">
        <v>363</v>
      </c>
      <c r="B135" s="4">
        <v>2.1717984187797955E-3</v>
      </c>
      <c r="D135" s="4">
        <v>2.8478377341608491E-3</v>
      </c>
      <c r="E135" s="4">
        <v>1.4094778770245182E-3</v>
      </c>
      <c r="F135" s="4"/>
      <c r="G135" s="4">
        <v>0</v>
      </c>
      <c r="H135" s="4">
        <v>1.4961752676878404E-3</v>
      </c>
      <c r="I135" s="4">
        <v>4.0155992537727553E-3</v>
      </c>
      <c r="J135" s="4">
        <v>4.4656660740368037E-3</v>
      </c>
    </row>
    <row r="136" spans="1:10">
      <c r="A136" s="29" t="s">
        <v>364</v>
      </c>
      <c r="B136" s="4">
        <v>0.24897749801878236</v>
      </c>
      <c r="D136" s="4">
        <v>0.21530944282797659</v>
      </c>
      <c r="E136" s="4">
        <v>0.28855516665197462</v>
      </c>
      <c r="F136" s="4"/>
      <c r="G136" s="4">
        <v>0.23162871541412247</v>
      </c>
      <c r="H136" s="4">
        <v>0.35873633665072441</v>
      </c>
      <c r="I136" s="4">
        <v>0.28322472448841629</v>
      </c>
      <c r="J136" s="4">
        <v>9.966742152353858E-2</v>
      </c>
    </row>
    <row r="137" spans="1:10">
      <c r="A137" s="29" t="s">
        <v>365</v>
      </c>
      <c r="B137" s="4">
        <v>0</v>
      </c>
      <c r="D137" s="4">
        <v>0</v>
      </c>
      <c r="E137" s="4">
        <v>0</v>
      </c>
      <c r="F137" s="4"/>
      <c r="G137" s="4">
        <v>0</v>
      </c>
      <c r="H137" s="4">
        <v>0</v>
      </c>
      <c r="I137" s="4">
        <v>0</v>
      </c>
      <c r="J137" s="4">
        <v>0</v>
      </c>
    </row>
    <row r="138" spans="1:10">
      <c r="A138" s="29" t="s">
        <v>366</v>
      </c>
      <c r="B138" s="4">
        <v>1.9468235754138499E-3</v>
      </c>
      <c r="D138" s="4">
        <v>1.8895624541293372E-3</v>
      </c>
      <c r="E138" s="4">
        <v>2.0210142529398924E-3</v>
      </c>
      <c r="F138" s="4"/>
      <c r="G138" s="4">
        <v>3.8504997404404471E-3</v>
      </c>
      <c r="H138" s="4">
        <v>0</v>
      </c>
      <c r="I138" s="4">
        <v>2.0450477059998336E-3</v>
      </c>
      <c r="J138" s="4">
        <v>1.573886560812441E-3</v>
      </c>
    </row>
    <row r="139" spans="1:10">
      <c r="A139" s="29" t="s">
        <v>367</v>
      </c>
      <c r="B139" s="4">
        <v>5.8566721617422362E-3</v>
      </c>
      <c r="D139" s="4">
        <v>7.4685662955125513E-3</v>
      </c>
      <c r="E139" s="4">
        <v>4.0421193034775628E-3</v>
      </c>
      <c r="F139" s="4"/>
      <c r="G139" s="4">
        <v>0</v>
      </c>
      <c r="H139" s="4">
        <v>5.710242940734976E-3</v>
      </c>
      <c r="I139" s="4">
        <v>1.1020868831306912E-2</v>
      </c>
      <c r="J139" s="4">
        <v>9.6917101997040164E-3</v>
      </c>
    </row>
    <row r="140" spans="1:10">
      <c r="A140" s="29" t="s">
        <v>368</v>
      </c>
      <c r="B140" s="4">
        <v>1.2564206468935619E-2</v>
      </c>
      <c r="D140" s="4">
        <v>1.2459724758709833E-2</v>
      </c>
      <c r="E140" s="4">
        <v>1.2740271853745433E-2</v>
      </c>
      <c r="F140" s="4"/>
      <c r="G140" s="4">
        <v>4.3465599152828667E-3</v>
      </c>
      <c r="H140" s="4">
        <v>1.6649959290342412E-2</v>
      </c>
      <c r="I140" s="4">
        <v>1.8462803111243549E-2</v>
      </c>
      <c r="J140" s="4">
        <v>1.3689674176394211E-2</v>
      </c>
    </row>
    <row r="141" spans="1:10">
      <c r="A141" s="29" t="s">
        <v>369</v>
      </c>
      <c r="B141" s="4">
        <v>5.8965965396890038E-4</v>
      </c>
      <c r="D141" s="4">
        <v>1.1082699387665374E-3</v>
      </c>
      <c r="E141" s="4">
        <v>0</v>
      </c>
      <c r="F141" s="4"/>
      <c r="G141" s="4">
        <v>1.8955624864041652E-3</v>
      </c>
      <c r="H141" s="4">
        <v>0</v>
      </c>
      <c r="I141" s="4">
        <v>0</v>
      </c>
      <c r="J141" s="4">
        <v>0</v>
      </c>
    </row>
    <row r="142" spans="1:10">
      <c r="A142" s="29" t="s">
        <v>370</v>
      </c>
      <c r="B142" s="4">
        <v>5.0973296868353488E-2</v>
      </c>
      <c r="D142" s="4">
        <v>5.0189816289063577E-2</v>
      </c>
      <c r="E142" s="4">
        <v>5.209830482831735E-2</v>
      </c>
      <c r="F142" s="4"/>
      <c r="G142" s="4">
        <v>7.0485400277891996E-3</v>
      </c>
      <c r="H142" s="4">
        <v>5.2189018042637723E-2</v>
      </c>
      <c r="I142" s="4">
        <v>8.8354754679580622E-2</v>
      </c>
      <c r="J142" s="4">
        <v>7.8039282675794505E-2</v>
      </c>
    </row>
    <row r="143" spans="1:10">
      <c r="A143" s="29" t="s">
        <v>371</v>
      </c>
      <c r="B143" s="4">
        <v>3.0470866925615315E-4</v>
      </c>
      <c r="D143" s="4">
        <v>5.7270233081939978E-4</v>
      </c>
      <c r="E143" s="4">
        <v>0</v>
      </c>
      <c r="F143" s="4"/>
      <c r="G143" s="4">
        <v>0</v>
      </c>
      <c r="H143" s="4">
        <v>0</v>
      </c>
      <c r="I143" s="4">
        <v>0</v>
      </c>
      <c r="J143" s="4">
        <v>1.4386829203098422E-3</v>
      </c>
    </row>
    <row r="144" spans="1:10">
      <c r="A144" s="29" t="s">
        <v>372</v>
      </c>
      <c r="B144" s="4">
        <v>0</v>
      </c>
      <c r="D144" s="4">
        <v>0</v>
      </c>
      <c r="E144" s="4">
        <v>0</v>
      </c>
      <c r="F144" s="4"/>
      <c r="G144" s="4">
        <v>0</v>
      </c>
      <c r="H144" s="4">
        <v>0</v>
      </c>
      <c r="I144" s="4">
        <v>0</v>
      </c>
      <c r="J144" s="4">
        <v>0</v>
      </c>
    </row>
    <row r="145" spans="1:10">
      <c r="A145" s="29" t="s">
        <v>373</v>
      </c>
      <c r="B145" s="4">
        <v>1.7070892519468433E-3</v>
      </c>
      <c r="D145" s="4">
        <v>9.7814230303016063E-4</v>
      </c>
      <c r="E145" s="4">
        <v>2.5473523859202885E-3</v>
      </c>
      <c r="F145" s="4"/>
      <c r="G145" s="4">
        <v>0</v>
      </c>
      <c r="H145" s="4">
        <v>0</v>
      </c>
      <c r="I145" s="4">
        <v>2.719263762634623E-3</v>
      </c>
      <c r="J145" s="4">
        <v>5.450284452413301E-3</v>
      </c>
    </row>
    <row r="146" spans="1:10">
      <c r="A146" s="29" t="s">
        <v>374</v>
      </c>
      <c r="B146" s="4">
        <v>0</v>
      </c>
      <c r="D146" s="4">
        <v>0</v>
      </c>
      <c r="E146" s="4">
        <v>0</v>
      </c>
      <c r="F146" s="4"/>
      <c r="G146" s="4">
        <v>0</v>
      </c>
      <c r="H146" s="4">
        <v>0</v>
      </c>
      <c r="I146" s="4">
        <v>0</v>
      </c>
      <c r="J146" s="4">
        <v>0</v>
      </c>
    </row>
    <row r="147" spans="1:10">
      <c r="A147" s="29" t="s">
        <v>375</v>
      </c>
      <c r="B147" s="4">
        <v>0</v>
      </c>
      <c r="D147" s="4">
        <v>0</v>
      </c>
      <c r="E147" s="4">
        <v>0</v>
      </c>
      <c r="F147" s="4"/>
      <c r="G147" s="4">
        <v>0</v>
      </c>
      <c r="H147" s="4">
        <v>0</v>
      </c>
      <c r="I147" s="4">
        <v>0</v>
      </c>
      <c r="J147" s="4">
        <v>0</v>
      </c>
    </row>
    <row r="148" spans="1:10">
      <c r="A148" s="29" t="s">
        <v>376</v>
      </c>
      <c r="B148" s="4">
        <v>4.3002896990621169E-3</v>
      </c>
      <c r="D148" s="4">
        <v>5.0265564268284491E-3</v>
      </c>
      <c r="E148" s="4">
        <v>3.4902138813778807E-3</v>
      </c>
      <c r="F148" s="4"/>
      <c r="G148" s="4">
        <v>1.5738984726317222E-3</v>
      </c>
      <c r="H148" s="4">
        <v>1.4961752676878404E-3</v>
      </c>
      <c r="I148" s="4">
        <v>1.0718297444210422E-2</v>
      </c>
      <c r="J148" s="4">
        <v>5.7709633361011474E-3</v>
      </c>
    </row>
    <row r="149" spans="1:10">
      <c r="A149" s="29" t="s">
        <v>377</v>
      </c>
      <c r="B149" s="4">
        <v>8.0753967990557316E-3</v>
      </c>
      <c r="D149" s="4">
        <v>7.3444830901302806E-3</v>
      </c>
      <c r="E149" s="4">
        <v>8.9466621439754611E-3</v>
      </c>
      <c r="F149" s="4"/>
      <c r="G149" s="4">
        <v>3.2397266352934386E-3</v>
      </c>
      <c r="H149" s="4">
        <v>1.9775372999291732E-3</v>
      </c>
      <c r="I149" s="4">
        <v>1.6851664417767555E-2</v>
      </c>
      <c r="J149" s="4">
        <v>1.4639720606122534E-2</v>
      </c>
    </row>
    <row r="150" spans="1:10">
      <c r="A150" s="29" t="s">
        <v>378</v>
      </c>
      <c r="B150" s="4">
        <v>3.8441949064294427E-2</v>
      </c>
      <c r="D150" s="4">
        <v>3.2460882574427016E-2</v>
      </c>
      <c r="E150" s="4">
        <v>4.54467097287823E-2</v>
      </c>
      <c r="F150" s="4"/>
      <c r="G150" s="4">
        <v>4.4441915063413572E-2</v>
      </c>
      <c r="H150" s="4">
        <v>3.5999452756256989E-2</v>
      </c>
      <c r="I150" s="4">
        <v>3.6605297224802193E-2</v>
      </c>
      <c r="J150" s="4">
        <v>3.4550519215560432E-2</v>
      </c>
    </row>
    <row r="151" spans="1:10">
      <c r="A151" s="29" t="s">
        <v>379</v>
      </c>
      <c r="B151" s="4">
        <v>3.6659691959000583E-4</v>
      </c>
      <c r="D151" s="4">
        <v>6.8902178212695787E-4</v>
      </c>
      <c r="E151" s="4">
        <v>0</v>
      </c>
      <c r="F151" s="4"/>
      <c r="G151" s="4">
        <v>0</v>
      </c>
      <c r="H151" s="4">
        <v>1.3386157180947608E-3</v>
      </c>
      <c r="I151" s="4">
        <v>0</v>
      </c>
      <c r="J151" s="4">
        <v>0</v>
      </c>
    </row>
    <row r="152" spans="1:10">
      <c r="A152" s="29" t="s">
        <v>380</v>
      </c>
      <c r="B152" s="4">
        <v>2.8922005275750071E-4</v>
      </c>
      <c r="D152" s="4">
        <v>5.43591354779236E-4</v>
      </c>
      <c r="E152" s="4">
        <v>0</v>
      </c>
      <c r="F152" s="4"/>
      <c r="G152" s="4">
        <v>0</v>
      </c>
      <c r="H152" s="4">
        <v>0</v>
      </c>
      <c r="I152" s="4">
        <v>0</v>
      </c>
      <c r="J152" s="4">
        <v>1.3655533698108764E-3</v>
      </c>
    </row>
    <row r="153" spans="1:10">
      <c r="A153" s="29" t="s">
        <v>381</v>
      </c>
      <c r="B153" s="4">
        <v>0</v>
      </c>
      <c r="D153" s="4">
        <v>0</v>
      </c>
      <c r="E153" s="4">
        <v>0</v>
      </c>
      <c r="F153" s="4"/>
      <c r="G153" s="4">
        <v>0</v>
      </c>
      <c r="H153" s="4">
        <v>0</v>
      </c>
      <c r="I153" s="4">
        <v>0</v>
      </c>
      <c r="J153" s="4">
        <v>0</v>
      </c>
    </row>
    <row r="154" spans="1:10">
      <c r="A154" s="29" t="s">
        <v>382</v>
      </c>
      <c r="B154" s="4">
        <v>0</v>
      </c>
      <c r="D154" s="4">
        <v>0</v>
      </c>
      <c r="E154" s="4">
        <v>0</v>
      </c>
      <c r="F154" s="4"/>
      <c r="G154" s="4">
        <v>0</v>
      </c>
      <c r="H154" s="4">
        <v>0</v>
      </c>
      <c r="I154" s="4">
        <v>0</v>
      </c>
      <c r="J154" s="4">
        <v>0</v>
      </c>
    </row>
    <row r="155" spans="1:10">
      <c r="A155" s="29" t="s">
        <v>383</v>
      </c>
      <c r="B155" s="4">
        <v>0</v>
      </c>
      <c r="D155" s="4">
        <v>0</v>
      </c>
      <c r="E155" s="4">
        <v>0</v>
      </c>
      <c r="F155" s="4"/>
      <c r="G155" s="4">
        <v>0</v>
      </c>
      <c r="H155" s="4">
        <v>0</v>
      </c>
      <c r="I155" s="4">
        <v>0</v>
      </c>
      <c r="J155" s="4">
        <v>0</v>
      </c>
    </row>
    <row r="156" spans="1:10">
      <c r="A156" s="29" t="s">
        <v>384</v>
      </c>
      <c r="B156" s="4">
        <v>0</v>
      </c>
      <c r="D156" s="4">
        <v>0</v>
      </c>
      <c r="E156" s="4">
        <v>0</v>
      </c>
      <c r="F156" s="4"/>
      <c r="G156" s="4">
        <v>0</v>
      </c>
      <c r="H156" s="4">
        <v>0</v>
      </c>
      <c r="I156" s="4">
        <v>0</v>
      </c>
      <c r="J156" s="4">
        <v>0</v>
      </c>
    </row>
    <row r="157" spans="1:10">
      <c r="A157" s="29" t="s">
        <v>385</v>
      </c>
      <c r="B157" s="4">
        <v>2.7857025153697509E-3</v>
      </c>
      <c r="D157" s="4">
        <v>2.6441593583834281E-3</v>
      </c>
      <c r="E157" s="4">
        <v>2.959942473484291E-3</v>
      </c>
      <c r="F157" s="4"/>
      <c r="G157" s="4">
        <v>3.2844900280716727E-3</v>
      </c>
      <c r="H157" s="4">
        <v>3.4469922735995322E-3</v>
      </c>
      <c r="I157" s="4">
        <v>2.0450477059998336E-3</v>
      </c>
      <c r="J157" s="4">
        <v>1.9088633113224804E-3</v>
      </c>
    </row>
    <row r="158" spans="1:10">
      <c r="A158" s="132"/>
      <c r="B158" s="159" t="s">
        <v>138</v>
      </c>
      <c r="C158" s="159"/>
      <c r="D158" s="159"/>
      <c r="E158" s="159"/>
      <c r="F158" s="159"/>
      <c r="G158" s="159"/>
      <c r="H158" s="159"/>
      <c r="I158" s="159"/>
      <c r="J158" s="159"/>
    </row>
    <row r="159" spans="1:10">
      <c r="A159" s="29" t="s">
        <v>244</v>
      </c>
      <c r="B159" s="39">
        <v>2808.80868796505</v>
      </c>
      <c r="D159" s="39">
        <v>1299.8456908372764</v>
      </c>
      <c r="E159" s="39">
        <v>1508.9629971277736</v>
      </c>
      <c r="F159" s="39"/>
      <c r="G159" s="39">
        <v>1968.5318225185347</v>
      </c>
      <c r="H159" s="39">
        <v>535.48297831435229</v>
      </c>
      <c r="I159" s="39">
        <v>0</v>
      </c>
      <c r="J159" s="39">
        <v>304.79388713216304</v>
      </c>
    </row>
    <row r="160" spans="1:10">
      <c r="A160" s="29" t="s">
        <v>245</v>
      </c>
      <c r="B160" s="39">
        <v>2861.6743697364968</v>
      </c>
      <c r="D160" s="39">
        <v>1776.6244974140254</v>
      </c>
      <c r="E160" s="39">
        <v>1085.0498723224712</v>
      </c>
      <c r="F160" s="39"/>
      <c r="G160" s="39">
        <v>1055.4109213498552</v>
      </c>
      <c r="H160" s="39">
        <v>662.70310888712561</v>
      </c>
      <c r="I160" s="39">
        <v>0</v>
      </c>
      <c r="J160" s="39">
        <v>1143.560339499516</v>
      </c>
    </row>
    <row r="161" spans="1:10">
      <c r="A161" s="29" t="s">
        <v>246</v>
      </c>
      <c r="B161" s="39">
        <v>1777.1322970684278</v>
      </c>
      <c r="D161" s="39">
        <v>1178.4214238424906</v>
      </c>
      <c r="E161" s="39">
        <v>598.71087322593723</v>
      </c>
      <c r="F161" s="39"/>
      <c r="G161" s="39">
        <v>598.71087322593723</v>
      </c>
      <c r="H161" s="39">
        <v>0</v>
      </c>
      <c r="I161" s="39">
        <v>541.59755237697016</v>
      </c>
      <c r="J161" s="39">
        <v>636.8238714655206</v>
      </c>
    </row>
    <row r="162" spans="1:10">
      <c r="A162" s="29" t="s">
        <v>247</v>
      </c>
      <c r="B162" s="39">
        <v>34762.246208321645</v>
      </c>
      <c r="D162" s="39">
        <v>15933.400373625398</v>
      </c>
      <c r="E162" s="39">
        <v>18828.845834696258</v>
      </c>
      <c r="F162" s="39"/>
      <c r="G162" s="39">
        <v>2764.9195506523256</v>
      </c>
      <c r="H162" s="39">
        <v>10805.128455145494</v>
      </c>
      <c r="I162" s="39">
        <v>11835.566384048749</v>
      </c>
      <c r="J162" s="39">
        <v>9356.6318184750762</v>
      </c>
    </row>
    <row r="163" spans="1:10">
      <c r="A163" s="29" t="s">
        <v>248</v>
      </c>
      <c r="B163" s="39">
        <v>133055.56537949556</v>
      </c>
      <c r="D163" s="39">
        <v>99015.178568556759</v>
      </c>
      <c r="E163" s="39">
        <v>33441.675937712804</v>
      </c>
      <c r="F163" s="39"/>
      <c r="G163" s="39">
        <v>12591.574850445513</v>
      </c>
      <c r="H163" s="39">
        <v>49739.692103578578</v>
      </c>
      <c r="I163" s="39">
        <v>37089.7994269806</v>
      </c>
      <c r="J163" s="39">
        <v>33634.498998490606</v>
      </c>
    </row>
    <row r="164" spans="1:10">
      <c r="A164" s="29" t="s">
        <v>249</v>
      </c>
      <c r="B164" s="39">
        <v>15115.084763622541</v>
      </c>
      <c r="D164" s="39">
        <v>8418.3744791752342</v>
      </c>
      <c r="E164" s="39">
        <v>6696.7102844473056</v>
      </c>
      <c r="F164" s="39"/>
      <c r="G164" s="39">
        <v>4636.2733585382739</v>
      </c>
      <c r="H164" s="39">
        <v>1013.6283039460014</v>
      </c>
      <c r="I164" s="39">
        <v>4396.3103198293375</v>
      </c>
      <c r="J164" s="39">
        <v>5068.8727813089281</v>
      </c>
    </row>
    <row r="165" spans="1:10">
      <c r="A165" s="29" t="s">
        <v>250</v>
      </c>
      <c r="B165" s="39">
        <v>7887.2286749344485</v>
      </c>
      <c r="D165" s="39">
        <v>5162.5834836955519</v>
      </c>
      <c r="E165" s="39">
        <v>2724.6451912388966</v>
      </c>
      <c r="F165" s="39"/>
      <c r="G165" s="39">
        <v>722.53252127535802</v>
      </c>
      <c r="H165" s="39">
        <v>3782.4178956562446</v>
      </c>
      <c r="I165" s="39">
        <v>0</v>
      </c>
      <c r="J165" s="39">
        <v>3382.2782580028452</v>
      </c>
    </row>
    <row r="166" spans="1:10">
      <c r="A166" s="29" t="s">
        <v>251</v>
      </c>
      <c r="B166" s="39">
        <v>127178.99680987153</v>
      </c>
      <c r="D166" s="39">
        <v>86230.772892815759</v>
      </c>
      <c r="E166" s="39">
        <v>40948.223917055635</v>
      </c>
      <c r="F166" s="39"/>
      <c r="G166" s="39">
        <v>3228.2321387348702</v>
      </c>
      <c r="H166" s="39">
        <v>37810.545641324214</v>
      </c>
      <c r="I166" s="39">
        <v>37331.369814706122</v>
      </c>
      <c r="J166" s="39">
        <v>48808.8492151061</v>
      </c>
    </row>
    <row r="167" spans="1:10">
      <c r="A167" s="29" t="s">
        <v>252</v>
      </c>
      <c r="B167" s="39">
        <v>1022.0457775722695</v>
      </c>
      <c r="D167" s="39">
        <v>1022.0457775722695</v>
      </c>
      <c r="E167" s="39">
        <v>0</v>
      </c>
      <c r="F167" s="39"/>
      <c r="G167" s="39">
        <v>527.70546067492762</v>
      </c>
      <c r="H167" s="39">
        <v>0</v>
      </c>
      <c r="I167" s="39">
        <v>494.34031689734184</v>
      </c>
      <c r="J167" s="39">
        <v>0</v>
      </c>
    </row>
    <row r="168" spans="1:10">
      <c r="A168" s="29" t="s">
        <v>253</v>
      </c>
      <c r="B168" s="39">
        <v>662.70310888712561</v>
      </c>
      <c r="D168" s="39">
        <v>0</v>
      </c>
      <c r="E168" s="39">
        <v>662.70310888712561</v>
      </c>
      <c r="F168" s="39"/>
      <c r="G168" s="39">
        <v>0</v>
      </c>
      <c r="H168" s="39">
        <v>662.70310888712561</v>
      </c>
      <c r="I168" s="39">
        <v>0</v>
      </c>
      <c r="J168" s="39">
        <v>0</v>
      </c>
    </row>
    <row r="169" spans="1:10">
      <c r="A169" s="29" t="s">
        <v>254</v>
      </c>
      <c r="B169" s="39">
        <v>1126.8084061550171</v>
      </c>
      <c r="D169" s="39">
        <v>527.70546067492762</v>
      </c>
      <c r="E169" s="39">
        <v>599.1029454800896</v>
      </c>
      <c r="F169" s="39"/>
      <c r="G169" s="39">
        <v>1126.8084061550171</v>
      </c>
      <c r="H169" s="39">
        <v>0</v>
      </c>
      <c r="I169" s="39">
        <v>0</v>
      </c>
      <c r="J169" s="39">
        <v>0</v>
      </c>
    </row>
    <row r="170" spans="1:10">
      <c r="A170" s="29" t="s">
        <v>255</v>
      </c>
      <c r="B170" s="39">
        <v>331.37592977776518</v>
      </c>
      <c r="D170" s="39">
        <v>331.37592977776518</v>
      </c>
      <c r="E170" s="39">
        <v>0</v>
      </c>
      <c r="F170" s="39"/>
      <c r="G170" s="39">
        <v>0</v>
      </c>
      <c r="H170" s="39">
        <v>0</v>
      </c>
      <c r="I170" s="39">
        <v>0</v>
      </c>
      <c r="J170" s="39">
        <v>331.37592977776518</v>
      </c>
    </row>
    <row r="171" spans="1:10">
      <c r="A171" s="29" t="s">
        <v>256</v>
      </c>
      <c r="B171" s="39">
        <v>0</v>
      </c>
      <c r="D171" s="39">
        <v>0</v>
      </c>
      <c r="E171" s="39">
        <v>0</v>
      </c>
      <c r="F171" s="39"/>
      <c r="G171" s="39">
        <v>0</v>
      </c>
      <c r="H171" s="39">
        <v>0</v>
      </c>
      <c r="I171" s="39">
        <v>0</v>
      </c>
      <c r="J171" s="39">
        <v>0</v>
      </c>
    </row>
    <row r="172" spans="1:10">
      <c r="A172" s="29" t="s">
        <v>257</v>
      </c>
      <c r="B172" s="39">
        <v>0</v>
      </c>
      <c r="D172" s="39">
        <v>0</v>
      </c>
      <c r="E172" s="39">
        <v>0</v>
      </c>
      <c r="F172" s="39"/>
      <c r="G172" s="39">
        <v>0</v>
      </c>
      <c r="H172" s="39">
        <v>0</v>
      </c>
      <c r="I172" s="39">
        <v>0</v>
      </c>
      <c r="J172" s="39">
        <v>0</v>
      </c>
    </row>
    <row r="173" spans="1:10">
      <c r="A173" s="29" t="s">
        <v>258</v>
      </c>
      <c r="B173" s="39">
        <v>0</v>
      </c>
      <c r="D173" s="39">
        <v>0</v>
      </c>
      <c r="E173" s="39">
        <v>0</v>
      </c>
      <c r="F173" s="39"/>
      <c r="G173" s="39">
        <v>0</v>
      </c>
      <c r="H173" s="39">
        <v>0</v>
      </c>
      <c r="I173" s="39">
        <v>0</v>
      </c>
      <c r="J173" s="39">
        <v>0</v>
      </c>
    </row>
    <row r="174" spans="1:10">
      <c r="A174" s="29" t="s">
        <v>259</v>
      </c>
      <c r="B174" s="39">
        <v>0</v>
      </c>
      <c r="D174" s="39">
        <v>0</v>
      </c>
      <c r="E174" s="39">
        <v>0</v>
      </c>
      <c r="F174" s="39"/>
      <c r="G174" s="39">
        <v>0</v>
      </c>
      <c r="H174" s="39">
        <v>0</v>
      </c>
      <c r="I174" s="39">
        <v>0</v>
      </c>
      <c r="J174" s="39">
        <v>0</v>
      </c>
    </row>
    <row r="175" spans="1:10">
      <c r="A175" s="29" t="s">
        <v>260</v>
      </c>
      <c r="B175" s="39">
        <v>0</v>
      </c>
      <c r="D175" s="39">
        <v>0</v>
      </c>
      <c r="E175" s="39">
        <v>0</v>
      </c>
      <c r="F175" s="39"/>
      <c r="G175" s="39">
        <v>0</v>
      </c>
      <c r="H175" s="39">
        <v>0</v>
      </c>
      <c r="I175" s="39">
        <v>0</v>
      </c>
      <c r="J175" s="39">
        <v>0</v>
      </c>
    </row>
    <row r="176" spans="1:10">
      <c r="A176" s="29" t="s">
        <v>261</v>
      </c>
      <c r="B176" s="39">
        <v>0</v>
      </c>
      <c r="D176" s="39">
        <v>0</v>
      </c>
      <c r="E176" s="39">
        <v>0</v>
      </c>
      <c r="F176" s="39"/>
      <c r="G176" s="39">
        <v>0</v>
      </c>
      <c r="H176" s="39">
        <v>0</v>
      </c>
      <c r="I176" s="39">
        <v>0</v>
      </c>
      <c r="J176" s="39">
        <v>0</v>
      </c>
    </row>
    <row r="177" spans="1:10">
      <c r="A177" s="29" t="s">
        <v>262</v>
      </c>
      <c r="B177" s="39">
        <v>6190.2071764621414</v>
      </c>
      <c r="D177" s="39">
        <v>4137.8917588724817</v>
      </c>
      <c r="E177" s="39">
        <v>2052.3154175896584</v>
      </c>
      <c r="F177" s="39"/>
      <c r="G177" s="39">
        <v>744.14499250609958</v>
      </c>
      <c r="H177" s="39">
        <v>501.97625693136774</v>
      </c>
      <c r="I177" s="39">
        <v>3111.230241120556</v>
      </c>
      <c r="J177" s="39">
        <v>1832.8556859041169</v>
      </c>
    </row>
    <row r="178" spans="1:10">
      <c r="A178" s="29" t="s">
        <v>263</v>
      </c>
      <c r="B178" s="39">
        <v>0</v>
      </c>
      <c r="D178" s="39">
        <v>0</v>
      </c>
      <c r="E178" s="39">
        <v>0</v>
      </c>
      <c r="F178" s="39"/>
      <c r="G178" s="39">
        <v>0</v>
      </c>
      <c r="H178" s="39">
        <v>0</v>
      </c>
      <c r="I178" s="39">
        <v>0</v>
      </c>
      <c r="J178" s="39">
        <v>0</v>
      </c>
    </row>
    <row r="179" spans="1:10">
      <c r="A179" s="29" t="s">
        <v>264</v>
      </c>
      <c r="B179" s="39">
        <v>14449.893370004635</v>
      </c>
      <c r="D179" s="39">
        <v>7913.5713594362032</v>
      </c>
      <c r="E179" s="39">
        <v>6536.3220105684286</v>
      </c>
      <c r="F179" s="39"/>
      <c r="G179" s="39">
        <v>4379.6071735679106</v>
      </c>
      <c r="H179" s="39">
        <v>3791.4852305025388</v>
      </c>
      <c r="I179" s="39">
        <v>3342.2681357715246</v>
      </c>
      <c r="J179" s="39">
        <v>2936.5328301626587</v>
      </c>
    </row>
    <row r="180" spans="1:10">
      <c r="A180" s="29" t="s">
        <v>265</v>
      </c>
      <c r="B180" s="39">
        <v>3254.3131439812851</v>
      </c>
      <c r="D180" s="39">
        <v>0</v>
      </c>
      <c r="E180" s="39">
        <v>3254.3131439812851</v>
      </c>
      <c r="F180" s="39"/>
      <c r="G180" s="39">
        <v>0</v>
      </c>
      <c r="H180" s="39">
        <v>2441.1399967867901</v>
      </c>
      <c r="I180" s="39">
        <v>0</v>
      </c>
      <c r="J180" s="39">
        <v>813.17314719449564</v>
      </c>
    </row>
    <row r="181" spans="1:10">
      <c r="A181" s="29" t="s">
        <v>266</v>
      </c>
      <c r="B181" s="39">
        <v>0</v>
      </c>
      <c r="D181" s="39">
        <v>0</v>
      </c>
      <c r="E181" s="39">
        <v>0</v>
      </c>
      <c r="F181" s="39"/>
      <c r="G181" s="39">
        <v>0</v>
      </c>
      <c r="H181" s="39">
        <v>0</v>
      </c>
      <c r="I181" s="39">
        <v>0</v>
      </c>
      <c r="J181" s="39">
        <v>0</v>
      </c>
    </row>
    <row r="182" spans="1:10">
      <c r="A182" s="29" t="s">
        <v>267</v>
      </c>
      <c r="B182" s="39">
        <v>1830.2994135442118</v>
      </c>
      <c r="D182" s="39">
        <v>508.66394678876424</v>
      </c>
      <c r="E182" s="39">
        <v>1321.6354667554476</v>
      </c>
      <c r="F182" s="39"/>
      <c r="G182" s="39">
        <v>1321.6354667554476</v>
      </c>
      <c r="H182" s="39">
        <v>0</v>
      </c>
      <c r="I182" s="39">
        <v>508.66394678876424</v>
      </c>
      <c r="J182" s="39">
        <v>0</v>
      </c>
    </row>
    <row r="183" spans="1:10">
      <c r="A183" s="29" t="s">
        <v>268</v>
      </c>
      <c r="B183" s="39">
        <v>3564.2333721732366</v>
      </c>
      <c r="D183" s="39">
        <v>685.12223456132381</v>
      </c>
      <c r="E183" s="39">
        <v>2879.1111376119129</v>
      </c>
      <c r="F183" s="39"/>
      <c r="G183" s="39">
        <v>0</v>
      </c>
      <c r="H183" s="39">
        <v>2211.5348798380414</v>
      </c>
      <c r="I183" s="39">
        <v>0</v>
      </c>
      <c r="J183" s="39">
        <v>1352.6984923351954</v>
      </c>
    </row>
    <row r="184" spans="1:10">
      <c r="A184" s="29" t="s">
        <v>269</v>
      </c>
      <c r="B184" s="39">
        <v>51220.474225193248</v>
      </c>
      <c r="D184" s="39">
        <v>41861.81774879124</v>
      </c>
      <c r="E184" s="39">
        <v>9358.6564764020259</v>
      </c>
      <c r="F184" s="39"/>
      <c r="G184" s="39">
        <v>2709.5327159256476</v>
      </c>
      <c r="H184" s="39">
        <v>12345.938098021499</v>
      </c>
      <c r="I184" s="39">
        <v>15113.443803183412</v>
      </c>
      <c r="J184" s="39">
        <v>21051.559608062722</v>
      </c>
    </row>
    <row r="185" spans="1:10">
      <c r="A185" s="29" t="s">
        <v>270</v>
      </c>
      <c r="B185" s="39">
        <v>0</v>
      </c>
      <c r="D185" s="39">
        <v>0</v>
      </c>
      <c r="E185" s="39">
        <v>0</v>
      </c>
      <c r="F185" s="39"/>
      <c r="G185" s="39">
        <v>0</v>
      </c>
      <c r="H185" s="39">
        <v>0</v>
      </c>
      <c r="I185" s="39">
        <v>0</v>
      </c>
      <c r="J185" s="39">
        <v>0</v>
      </c>
    </row>
    <row r="186" spans="1:10">
      <c r="A186" s="29" t="s">
        <v>271</v>
      </c>
      <c r="B186" s="39">
        <v>1008.7789594644858</v>
      </c>
      <c r="D186" s="39">
        <v>448.59067791962366</v>
      </c>
      <c r="E186" s="39">
        <v>560.18828154486209</v>
      </c>
      <c r="F186" s="39"/>
      <c r="G186" s="39">
        <v>0</v>
      </c>
      <c r="H186" s="39">
        <v>448.59067791962366</v>
      </c>
      <c r="I186" s="39">
        <v>560.18828154486209</v>
      </c>
      <c r="J186" s="39">
        <v>0</v>
      </c>
    </row>
    <row r="187" spans="1:10">
      <c r="A187" s="29" t="s">
        <v>272</v>
      </c>
      <c r="B187" s="39">
        <v>0</v>
      </c>
      <c r="D187" s="39">
        <v>0</v>
      </c>
      <c r="E187" s="39">
        <v>0</v>
      </c>
      <c r="F187" s="39"/>
      <c r="G187" s="39">
        <v>0</v>
      </c>
      <c r="H187" s="39">
        <v>0</v>
      </c>
      <c r="I187" s="39">
        <v>0</v>
      </c>
      <c r="J187" s="39">
        <v>0</v>
      </c>
    </row>
    <row r="188" spans="1:10">
      <c r="A188" s="29" t="s">
        <v>273</v>
      </c>
      <c r="B188" s="39">
        <v>23645.320722032309</v>
      </c>
      <c r="D188" s="39">
        <v>14282.086537591373</v>
      </c>
      <c r="E188" s="39">
        <v>9363.234184440942</v>
      </c>
      <c r="F188" s="39"/>
      <c r="G188" s="39">
        <v>4826.9491129057651</v>
      </c>
      <c r="H188" s="39">
        <v>7638.7614762826479</v>
      </c>
      <c r="I188" s="39">
        <v>7054.4849280623421</v>
      </c>
      <c r="J188" s="39">
        <v>4125.1252047815588</v>
      </c>
    </row>
    <row r="189" spans="1:10">
      <c r="A189" s="29" t="s">
        <v>274</v>
      </c>
      <c r="B189" s="39">
        <v>20420.491167251457</v>
      </c>
      <c r="D189" s="39">
        <v>3483.7729638677051</v>
      </c>
      <c r="E189" s="39">
        <v>16936.718203383756</v>
      </c>
      <c r="F189" s="39"/>
      <c r="G189" s="39">
        <v>4007.1309157616179</v>
      </c>
      <c r="H189" s="39">
        <v>6699.3852253481627</v>
      </c>
      <c r="I189" s="39">
        <v>5338.6969263508945</v>
      </c>
      <c r="J189" s="39">
        <v>4375.2780997907803</v>
      </c>
    </row>
    <row r="190" spans="1:10">
      <c r="A190" s="29" t="s">
        <v>275</v>
      </c>
      <c r="B190" s="39">
        <v>52062.751108674252</v>
      </c>
      <c r="D190" s="39">
        <v>7545.4631406790249</v>
      </c>
      <c r="E190" s="39">
        <v>44517.287967995209</v>
      </c>
      <c r="F190" s="39"/>
      <c r="G190" s="39">
        <v>12964.606404966193</v>
      </c>
      <c r="H190" s="39">
        <v>19585.41592306882</v>
      </c>
      <c r="I190" s="39">
        <v>10976.461455723989</v>
      </c>
      <c r="J190" s="39">
        <v>8536.2673249152194</v>
      </c>
    </row>
    <row r="191" spans="1:10">
      <c r="A191" s="29" t="s">
        <v>276</v>
      </c>
      <c r="B191" s="39">
        <v>317.18792687054588</v>
      </c>
      <c r="D191" s="39">
        <v>317.18792687054588</v>
      </c>
      <c r="E191" s="39">
        <v>0</v>
      </c>
      <c r="F191" s="39"/>
      <c r="G191" s="39">
        <v>0</v>
      </c>
      <c r="H191" s="39">
        <v>0</v>
      </c>
      <c r="I191" s="39">
        <v>0</v>
      </c>
      <c r="J191" s="39">
        <v>317.18792687054588</v>
      </c>
    </row>
    <row r="192" spans="1:10">
      <c r="A192" s="29" t="s">
        <v>277</v>
      </c>
      <c r="B192" s="39">
        <v>1841.2187539937122</v>
      </c>
      <c r="D192" s="39">
        <v>0</v>
      </c>
      <c r="E192" s="39">
        <v>1841.2187539937122</v>
      </c>
      <c r="F192" s="39"/>
      <c r="G192" s="39">
        <v>0</v>
      </c>
      <c r="H192" s="39">
        <v>662.70310888712561</v>
      </c>
      <c r="I192" s="39">
        <v>1178.5156451065864</v>
      </c>
      <c r="J192" s="39">
        <v>0</v>
      </c>
    </row>
    <row r="193" spans="1:10">
      <c r="A193" s="29" t="s">
        <v>278</v>
      </c>
      <c r="B193" s="39">
        <v>535.27267725302636</v>
      </c>
      <c r="D193" s="39">
        <v>0</v>
      </c>
      <c r="E193" s="39">
        <v>535.27267725302636</v>
      </c>
      <c r="F193" s="39"/>
      <c r="G193" s="39">
        <v>0</v>
      </c>
      <c r="H193" s="39">
        <v>0</v>
      </c>
      <c r="I193" s="39">
        <v>535.27267725302636</v>
      </c>
      <c r="J193" s="39">
        <v>0</v>
      </c>
    </row>
    <row r="194" spans="1:10">
      <c r="A194" s="29" t="s">
        <v>279</v>
      </c>
      <c r="B194" s="39">
        <v>0</v>
      </c>
      <c r="D194" s="39">
        <v>0</v>
      </c>
      <c r="E194" s="39">
        <v>0</v>
      </c>
      <c r="F194" s="39"/>
      <c r="G194" s="39">
        <v>0</v>
      </c>
      <c r="H194" s="39">
        <v>0</v>
      </c>
      <c r="I194" s="39">
        <v>0</v>
      </c>
      <c r="J194" s="39">
        <v>0</v>
      </c>
    </row>
    <row r="195" spans="1:10">
      <c r="A195" s="29" t="s">
        <v>280</v>
      </c>
      <c r="B195" s="39">
        <v>2061.9107893005526</v>
      </c>
      <c r="D195" s="39">
        <v>1037.4744009552023</v>
      </c>
      <c r="E195" s="39">
        <v>1024.4363883453502</v>
      </c>
      <c r="F195" s="39"/>
      <c r="G195" s="39">
        <v>1037.4744009552023</v>
      </c>
      <c r="H195" s="39">
        <v>1024.4363883453502</v>
      </c>
      <c r="I195" s="39">
        <v>0</v>
      </c>
      <c r="J195" s="39">
        <v>0</v>
      </c>
    </row>
    <row r="196" spans="1:10">
      <c r="A196" s="29" t="s">
        <v>281</v>
      </c>
      <c r="B196" s="39">
        <v>3903.8046390688069</v>
      </c>
      <c r="D196" s="39">
        <v>825.71624667510696</v>
      </c>
      <c r="E196" s="39">
        <v>3078.0883923936999</v>
      </c>
      <c r="F196" s="39"/>
      <c r="G196" s="39">
        <v>0</v>
      </c>
      <c r="H196" s="39">
        <v>1119.6549109291318</v>
      </c>
      <c r="I196" s="39">
        <v>2452.7737983619095</v>
      </c>
      <c r="J196" s="39">
        <v>331.37592977776518</v>
      </c>
    </row>
    <row r="197" spans="1:10">
      <c r="A197" s="29" t="s">
        <v>282</v>
      </c>
      <c r="B197" s="39">
        <v>3445.3754941957573</v>
      </c>
      <c r="D197" s="39">
        <v>2872.652920698958</v>
      </c>
      <c r="E197" s="39">
        <v>572.72257349679921</v>
      </c>
      <c r="F197" s="39"/>
      <c r="G197" s="39">
        <v>1574.1481218274562</v>
      </c>
      <c r="H197" s="39">
        <v>565.03762602637778</v>
      </c>
      <c r="I197" s="39">
        <v>572.72257349679921</v>
      </c>
      <c r="J197" s="39">
        <v>733.46717284512374</v>
      </c>
    </row>
    <row r="198" spans="1:10">
      <c r="A198" s="29" t="s">
        <v>283</v>
      </c>
      <c r="B198" s="39">
        <v>2631.8159828057578</v>
      </c>
      <c r="D198" s="39">
        <v>2631.8159828057578</v>
      </c>
      <c r="E198" s="39">
        <v>0</v>
      </c>
      <c r="F198" s="39"/>
      <c r="G198" s="39">
        <v>2110.8218426997105</v>
      </c>
      <c r="H198" s="39">
        <v>0</v>
      </c>
      <c r="I198" s="39">
        <v>520.99414010604744</v>
      </c>
      <c r="J198" s="39">
        <v>0</v>
      </c>
    </row>
    <row r="199" spans="1:10">
      <c r="A199" s="29" t="s">
        <v>284</v>
      </c>
      <c r="B199" s="39">
        <v>1536.981185579991</v>
      </c>
      <c r="D199" s="39">
        <v>991.84079846179247</v>
      </c>
      <c r="E199" s="39">
        <v>545.14038711819853</v>
      </c>
      <c r="F199" s="39"/>
      <c r="G199" s="39">
        <v>0</v>
      </c>
      <c r="H199" s="39">
        <v>448.59067791962366</v>
      </c>
      <c r="I199" s="39">
        <v>1088.3905076603673</v>
      </c>
      <c r="J199" s="39">
        <v>0</v>
      </c>
    </row>
    <row r="200" spans="1:10">
      <c r="A200" s="29" t="s">
        <v>285</v>
      </c>
      <c r="B200" s="39">
        <v>17315.544523540404</v>
      </c>
      <c r="D200" s="39">
        <v>7952.6878712140588</v>
      </c>
      <c r="E200" s="39">
        <v>9362.8566523263435</v>
      </c>
      <c r="F200" s="39"/>
      <c r="G200" s="39">
        <v>1126.4163339008649</v>
      </c>
      <c r="H200" s="39">
        <v>4126.764858399797</v>
      </c>
      <c r="I200" s="39">
        <v>6526.4154430834897</v>
      </c>
      <c r="J200" s="39">
        <v>5535.9478881562491</v>
      </c>
    </row>
    <row r="201" spans="1:10">
      <c r="A201" s="29" t="s">
        <v>286</v>
      </c>
      <c r="B201" s="39">
        <v>0</v>
      </c>
      <c r="D201" s="39">
        <v>0</v>
      </c>
      <c r="E201" s="39">
        <v>0</v>
      </c>
      <c r="F201" s="39"/>
      <c r="G201" s="39">
        <v>0</v>
      </c>
      <c r="H201" s="39">
        <v>0</v>
      </c>
      <c r="I201" s="39">
        <v>0</v>
      </c>
      <c r="J201" s="39">
        <v>0</v>
      </c>
    </row>
    <row r="202" spans="1:10">
      <c r="A202" s="29" t="s">
        <v>287</v>
      </c>
      <c r="B202" s="39">
        <v>1100.4942473646463</v>
      </c>
      <c r="D202" s="39">
        <v>501.39130188455664</v>
      </c>
      <c r="E202" s="39">
        <v>599.1029454800896</v>
      </c>
      <c r="F202" s="39"/>
      <c r="G202" s="39">
        <v>599.1029454800896</v>
      </c>
      <c r="H202" s="39">
        <v>501.39130188455664</v>
      </c>
      <c r="I202" s="39">
        <v>0</v>
      </c>
      <c r="J202" s="39">
        <v>0</v>
      </c>
    </row>
    <row r="203" spans="1:10">
      <c r="A203" s="29" t="s">
        <v>288</v>
      </c>
      <c r="B203" s="39">
        <v>126628.87593681792</v>
      </c>
      <c r="D203" s="39">
        <v>95623.820483592906</v>
      </c>
      <c r="E203" s="39">
        <v>31005.055453224948</v>
      </c>
      <c r="F203" s="39"/>
      <c r="G203" s="39">
        <v>14826.903656659042</v>
      </c>
      <c r="H203" s="39">
        <v>43671.811105265348</v>
      </c>
      <c r="I203" s="39">
        <v>34351.258384653389</v>
      </c>
      <c r="J203" s="39">
        <v>33778.902790239896</v>
      </c>
    </row>
    <row r="204" spans="1:10">
      <c r="A204" s="29" t="s">
        <v>289</v>
      </c>
      <c r="B204" s="39">
        <v>1002.7826037691133</v>
      </c>
      <c r="D204" s="39">
        <v>1002.7826037691133</v>
      </c>
      <c r="E204" s="39">
        <v>0</v>
      </c>
      <c r="F204" s="39"/>
      <c r="G204" s="39">
        <v>0</v>
      </c>
      <c r="H204" s="39">
        <v>1002.7826037691133</v>
      </c>
      <c r="I204" s="39">
        <v>0</v>
      </c>
      <c r="J204" s="39">
        <v>0</v>
      </c>
    </row>
    <row r="205" spans="1:10">
      <c r="A205" s="29" t="s">
        <v>290</v>
      </c>
      <c r="B205" s="39">
        <v>0</v>
      </c>
      <c r="D205" s="39">
        <v>0</v>
      </c>
      <c r="E205" s="39">
        <v>0</v>
      </c>
      <c r="F205" s="39"/>
      <c r="G205" s="39">
        <v>0</v>
      </c>
      <c r="H205" s="39">
        <v>0</v>
      </c>
      <c r="I205" s="39">
        <v>0</v>
      </c>
      <c r="J205" s="39">
        <v>0</v>
      </c>
    </row>
    <row r="206" spans="1:10">
      <c r="A206" s="29" t="s">
        <v>291</v>
      </c>
      <c r="B206" s="39">
        <v>0</v>
      </c>
      <c r="D206" s="39">
        <v>0</v>
      </c>
      <c r="E206" s="39">
        <v>0</v>
      </c>
      <c r="F206" s="39"/>
      <c r="G206" s="39">
        <v>0</v>
      </c>
      <c r="H206" s="39">
        <v>0</v>
      </c>
      <c r="I206" s="39">
        <v>0</v>
      </c>
      <c r="J206" s="39">
        <v>0</v>
      </c>
    </row>
    <row r="207" spans="1:10">
      <c r="A207" s="29" t="s">
        <v>292</v>
      </c>
      <c r="B207" s="39">
        <v>9132.2667054585909</v>
      </c>
      <c r="D207" s="39">
        <v>7748.2068654292998</v>
      </c>
      <c r="E207" s="39">
        <v>1384.0598400292924</v>
      </c>
      <c r="F207" s="39"/>
      <c r="G207" s="39">
        <v>1591.6547922995783</v>
      </c>
      <c r="H207" s="39">
        <v>3131.5026376955761</v>
      </c>
      <c r="I207" s="39">
        <v>2545.8779444980332</v>
      </c>
      <c r="J207" s="39">
        <v>1863.2313309654039</v>
      </c>
    </row>
    <row r="208" spans="1:10">
      <c r="A208" s="29" t="s">
        <v>293</v>
      </c>
      <c r="B208" s="39">
        <v>0</v>
      </c>
      <c r="D208" s="39">
        <v>0</v>
      </c>
      <c r="E208" s="39">
        <v>0</v>
      </c>
      <c r="F208" s="39"/>
      <c r="G208" s="39">
        <v>0</v>
      </c>
      <c r="H208" s="39">
        <v>0</v>
      </c>
      <c r="I208" s="39">
        <v>0</v>
      </c>
      <c r="J208" s="39">
        <v>0</v>
      </c>
    </row>
    <row r="209" spans="1:10">
      <c r="A209" s="29" t="s">
        <v>294</v>
      </c>
      <c r="B209" s="39">
        <v>0</v>
      </c>
      <c r="D209" s="39">
        <v>0</v>
      </c>
      <c r="E209" s="39">
        <v>0</v>
      </c>
      <c r="F209" s="39"/>
      <c r="G209" s="39">
        <v>0</v>
      </c>
      <c r="H209" s="39">
        <v>0</v>
      </c>
      <c r="I209" s="39">
        <v>0</v>
      </c>
      <c r="J209" s="39">
        <v>0</v>
      </c>
    </row>
    <row r="210" spans="1:10">
      <c r="A210" s="29" t="s">
        <v>295</v>
      </c>
      <c r="B210" s="39">
        <v>73624.413226950404</v>
      </c>
      <c r="D210" s="39">
        <v>16503.487936117377</v>
      </c>
      <c r="E210" s="39">
        <v>57120.925290833053</v>
      </c>
      <c r="F210" s="39"/>
      <c r="G210" s="39">
        <v>21773.736878067593</v>
      </c>
      <c r="H210" s="39">
        <v>35158.674301109335</v>
      </c>
      <c r="I210" s="39">
        <v>12160.946366114713</v>
      </c>
      <c r="J210" s="39">
        <v>4531.0556816587332</v>
      </c>
    </row>
    <row r="211" spans="1:10">
      <c r="A211" s="29" t="s">
        <v>296</v>
      </c>
      <c r="B211" s="39">
        <v>874.25168669759523</v>
      </c>
      <c r="D211" s="39">
        <v>874.25168669759523</v>
      </c>
      <c r="E211" s="39">
        <v>0</v>
      </c>
      <c r="F211" s="39"/>
      <c r="G211" s="39">
        <v>0</v>
      </c>
      <c r="H211" s="39">
        <v>501.39130188455664</v>
      </c>
      <c r="I211" s="39">
        <v>0</v>
      </c>
      <c r="J211" s="39">
        <v>372.86038481303859</v>
      </c>
    </row>
    <row r="212" spans="1:10">
      <c r="A212" s="29" t="s">
        <v>297</v>
      </c>
      <c r="B212" s="39">
        <v>0</v>
      </c>
      <c r="D212" s="39">
        <v>0</v>
      </c>
      <c r="E212" s="39">
        <v>0</v>
      </c>
      <c r="F212" s="39"/>
      <c r="G212" s="39">
        <v>0</v>
      </c>
      <c r="H212" s="39">
        <v>0</v>
      </c>
      <c r="I212" s="39">
        <v>0</v>
      </c>
      <c r="J212" s="39">
        <v>0</v>
      </c>
    </row>
    <row r="213" spans="1:10">
      <c r="A213" s="29" t="s">
        <v>298</v>
      </c>
      <c r="B213" s="39">
        <v>6875.3424562787231</v>
      </c>
      <c r="D213" s="39">
        <v>2144.8799049115314</v>
      </c>
      <c r="E213" s="39">
        <v>4730.4625513671917</v>
      </c>
      <c r="F213" s="39"/>
      <c r="G213" s="39">
        <v>744.14499250609958</v>
      </c>
      <c r="H213" s="39">
        <v>501.39130188455664</v>
      </c>
      <c r="I213" s="39">
        <v>2721.1738396830301</v>
      </c>
      <c r="J213" s="39">
        <v>2908.6323222050369</v>
      </c>
    </row>
    <row r="214" spans="1:10">
      <c r="A214" s="29" t="s">
        <v>299</v>
      </c>
      <c r="B214" s="39">
        <v>0</v>
      </c>
      <c r="D214" s="39">
        <v>0</v>
      </c>
      <c r="E214" s="39">
        <v>0</v>
      </c>
      <c r="F214" s="39"/>
      <c r="G214" s="39">
        <v>0</v>
      </c>
      <c r="H214" s="39">
        <v>0</v>
      </c>
      <c r="I214" s="39">
        <v>0</v>
      </c>
      <c r="J214" s="39">
        <v>0</v>
      </c>
    </row>
    <row r="215" spans="1:10">
      <c r="A215" s="29" t="s">
        <v>300</v>
      </c>
      <c r="B215" s="39">
        <v>878.10081766638268</v>
      </c>
      <c r="D215" s="39">
        <v>878.10081766638268</v>
      </c>
      <c r="E215" s="39">
        <v>0</v>
      </c>
      <c r="F215" s="39"/>
      <c r="G215" s="39">
        <v>0</v>
      </c>
      <c r="H215" s="39">
        <v>561.25344733580528</v>
      </c>
      <c r="I215" s="39">
        <v>0</v>
      </c>
      <c r="J215" s="39">
        <v>316.84737033057741</v>
      </c>
    </row>
    <row r="216" spans="1:10">
      <c r="A216" s="29" t="s">
        <v>301</v>
      </c>
      <c r="B216" s="39">
        <v>0</v>
      </c>
      <c r="D216" s="39">
        <v>0</v>
      </c>
      <c r="E216" s="39">
        <v>0</v>
      </c>
      <c r="F216" s="39"/>
      <c r="G216" s="39">
        <v>0</v>
      </c>
      <c r="H216" s="39">
        <v>0</v>
      </c>
      <c r="I216" s="39">
        <v>0</v>
      </c>
      <c r="J216" s="39">
        <v>0</v>
      </c>
    </row>
    <row r="217" spans="1:10">
      <c r="A217" s="29" t="s">
        <v>302</v>
      </c>
      <c r="B217" s="39">
        <v>2420.8587527984337</v>
      </c>
      <c r="D217" s="39">
        <v>545.21213114704949</v>
      </c>
      <c r="E217" s="39">
        <v>1875.6466216513841</v>
      </c>
      <c r="F217" s="39"/>
      <c r="G217" s="39">
        <v>1144.3150766271392</v>
      </c>
      <c r="H217" s="39">
        <v>0</v>
      </c>
      <c r="I217" s="39">
        <v>1276.5436761712945</v>
      </c>
      <c r="J217" s="39">
        <v>0</v>
      </c>
    </row>
    <row r="218" spans="1:10">
      <c r="A218" s="29" t="s">
        <v>303</v>
      </c>
      <c r="B218" s="39">
        <v>0</v>
      </c>
      <c r="D218" s="39">
        <v>0</v>
      </c>
      <c r="E218" s="39">
        <v>0</v>
      </c>
      <c r="F218" s="39"/>
      <c r="G218" s="39">
        <v>0</v>
      </c>
      <c r="H218" s="39">
        <v>0</v>
      </c>
      <c r="I218" s="39">
        <v>0</v>
      </c>
      <c r="J218" s="39">
        <v>0</v>
      </c>
    </row>
    <row r="219" spans="1:10">
      <c r="A219" s="29" t="s">
        <v>304</v>
      </c>
      <c r="B219" s="39">
        <v>1038.7319709710489</v>
      </c>
      <c r="D219" s="39">
        <v>1038.7319709710489</v>
      </c>
      <c r="E219" s="39">
        <v>0</v>
      </c>
      <c r="F219" s="39"/>
      <c r="G219" s="39">
        <v>721.54404410050302</v>
      </c>
      <c r="H219" s="39">
        <v>0</v>
      </c>
      <c r="I219" s="39">
        <v>0</v>
      </c>
      <c r="J219" s="39">
        <v>317.18792687054588</v>
      </c>
    </row>
    <row r="220" spans="1:10">
      <c r="A220" s="29" t="s">
        <v>305</v>
      </c>
      <c r="B220" s="39">
        <v>4493.159722428567</v>
      </c>
      <c r="D220" s="39">
        <v>2498.7820276965567</v>
      </c>
      <c r="E220" s="39">
        <v>1994.3776947320102</v>
      </c>
      <c r="F220" s="39"/>
      <c r="G220" s="39">
        <v>1250.2379819502858</v>
      </c>
      <c r="H220" s="39">
        <v>501.39130188455664</v>
      </c>
      <c r="I220" s="39">
        <v>1815.095293998821</v>
      </c>
      <c r="J220" s="39">
        <v>926.43514459490348</v>
      </c>
    </row>
    <row r="221" spans="1:10">
      <c r="A221" s="29" t="s">
        <v>306</v>
      </c>
      <c r="B221" s="39">
        <v>29122.136744383908</v>
      </c>
      <c r="D221" s="39">
        <v>18120.725317694312</v>
      </c>
      <c r="E221" s="39">
        <v>11001.411426689592</v>
      </c>
      <c r="F221" s="39"/>
      <c r="G221" s="39">
        <v>3155.2162443807915</v>
      </c>
      <c r="H221" s="39">
        <v>11651.265638054092</v>
      </c>
      <c r="I221" s="39">
        <v>7986.2592189302104</v>
      </c>
      <c r="J221" s="39">
        <v>6329.39564301882</v>
      </c>
    </row>
    <row r="222" spans="1:10">
      <c r="A222" s="29" t="s">
        <v>307</v>
      </c>
      <c r="B222" s="39">
        <v>633.69474066115481</v>
      </c>
      <c r="D222" s="39">
        <v>633.69474066115481</v>
      </c>
      <c r="E222" s="39">
        <v>0</v>
      </c>
      <c r="F222" s="39"/>
      <c r="G222" s="39">
        <v>0</v>
      </c>
      <c r="H222" s="39">
        <v>0</v>
      </c>
      <c r="I222" s="39">
        <v>0</v>
      </c>
      <c r="J222" s="39">
        <v>633.69474066115481</v>
      </c>
    </row>
    <row r="223" spans="1:10">
      <c r="A223" s="29" t="s">
        <v>308</v>
      </c>
      <c r="B223" s="39">
        <v>316.84737033057741</v>
      </c>
      <c r="D223" s="39">
        <v>316.84737033057741</v>
      </c>
      <c r="E223" s="39">
        <v>0</v>
      </c>
      <c r="F223" s="39"/>
      <c r="G223" s="39">
        <v>0</v>
      </c>
      <c r="H223" s="39">
        <v>0</v>
      </c>
      <c r="I223" s="39">
        <v>0</v>
      </c>
      <c r="J223" s="39">
        <v>316.84737033057741</v>
      </c>
    </row>
    <row r="224" spans="1:10">
      <c r="A224" s="29" t="s">
        <v>309</v>
      </c>
      <c r="B224" s="39">
        <v>0</v>
      </c>
      <c r="D224" s="39">
        <v>0</v>
      </c>
      <c r="E224" s="39">
        <v>0</v>
      </c>
      <c r="F224" s="39"/>
      <c r="G224" s="39">
        <v>0</v>
      </c>
      <c r="H224" s="39">
        <v>0</v>
      </c>
      <c r="I224" s="39">
        <v>0</v>
      </c>
      <c r="J224" s="39">
        <v>0</v>
      </c>
    </row>
    <row r="225" spans="1:10">
      <c r="A225" s="29" t="s">
        <v>310</v>
      </c>
      <c r="B225" s="39">
        <v>494.71603420572148</v>
      </c>
      <c r="D225" s="39">
        <v>0</v>
      </c>
      <c r="E225" s="39">
        <v>494.71603420572148</v>
      </c>
      <c r="F225" s="39"/>
      <c r="G225" s="39">
        <v>0</v>
      </c>
      <c r="H225" s="39">
        <v>0</v>
      </c>
      <c r="I225" s="39">
        <v>0</v>
      </c>
      <c r="J225" s="39">
        <v>494.71603420572148</v>
      </c>
    </row>
    <row r="226" spans="1:10">
      <c r="A226" s="29" t="s">
        <v>311</v>
      </c>
      <c r="B226" s="39">
        <v>1887.0690354654648</v>
      </c>
      <c r="D226" s="39">
        <v>1066.4289279109344</v>
      </c>
      <c r="E226" s="39">
        <v>820.64010755453046</v>
      </c>
      <c r="F226" s="39"/>
      <c r="G226" s="39">
        <v>0</v>
      </c>
      <c r="H226" s="39">
        <v>1066.4289279109344</v>
      </c>
      <c r="I226" s="39">
        <v>0</v>
      </c>
      <c r="J226" s="39">
        <v>820.64010755453046</v>
      </c>
    </row>
    <row r="227" spans="1:10">
      <c r="A227" s="29" t="s">
        <v>312</v>
      </c>
      <c r="B227" s="39">
        <v>0</v>
      </c>
      <c r="D227" s="39">
        <v>0</v>
      </c>
      <c r="E227" s="39">
        <v>0</v>
      </c>
      <c r="F227" s="39"/>
      <c r="G227" s="39">
        <v>0</v>
      </c>
      <c r="H227" s="39">
        <v>0</v>
      </c>
      <c r="I227" s="39">
        <v>0</v>
      </c>
      <c r="J227" s="39">
        <v>0</v>
      </c>
    </row>
    <row r="228" spans="1:10">
      <c r="A228" s="29" t="s">
        <v>313</v>
      </c>
      <c r="B228" s="39">
        <v>1341.2243389361502</v>
      </c>
      <c r="D228" s="39">
        <v>942.93099481696549</v>
      </c>
      <c r="E228" s="39">
        <v>398.29334411918478</v>
      </c>
      <c r="F228" s="39"/>
      <c r="G228" s="39">
        <v>0</v>
      </c>
      <c r="H228" s="39">
        <v>448.59067791962366</v>
      </c>
      <c r="I228" s="39">
        <v>494.34031689734184</v>
      </c>
      <c r="J228" s="39">
        <v>398.29334411918478</v>
      </c>
    </row>
    <row r="229" spans="1:10">
      <c r="A229" s="29" t="s">
        <v>314</v>
      </c>
      <c r="B229" s="39">
        <v>0</v>
      </c>
      <c r="D229" s="39">
        <v>0</v>
      </c>
      <c r="E229" s="39">
        <v>0</v>
      </c>
      <c r="F229" s="39"/>
      <c r="G229" s="39">
        <v>0</v>
      </c>
      <c r="H229" s="39">
        <v>0</v>
      </c>
      <c r="I229" s="39">
        <v>0</v>
      </c>
      <c r="J229" s="39">
        <v>0</v>
      </c>
    </row>
    <row r="230" spans="1:10">
      <c r="A230" s="29" t="s">
        <v>315</v>
      </c>
      <c r="B230" s="39">
        <v>331.37592977776518</v>
      </c>
      <c r="D230" s="39">
        <v>331.37592977776518</v>
      </c>
      <c r="E230" s="39">
        <v>0</v>
      </c>
      <c r="F230" s="39"/>
      <c r="G230" s="39">
        <v>0</v>
      </c>
      <c r="H230" s="39">
        <v>0</v>
      </c>
      <c r="I230" s="39">
        <v>0</v>
      </c>
      <c r="J230" s="39">
        <v>331.37592977776518</v>
      </c>
    </row>
    <row r="231" spans="1:10">
      <c r="A231" s="29" t="s">
        <v>316</v>
      </c>
      <c r="B231" s="39">
        <v>9799.1195723372002</v>
      </c>
      <c r="D231" s="39">
        <v>5816.7619967065539</v>
      </c>
      <c r="E231" s="39">
        <v>3982.3575756306477</v>
      </c>
      <c r="F231" s="39"/>
      <c r="G231" s="39">
        <v>0</v>
      </c>
      <c r="H231" s="39">
        <v>6798.0364636145723</v>
      </c>
      <c r="I231" s="39">
        <v>1151.9069146423244</v>
      </c>
      <c r="J231" s="39">
        <v>1849.1761940803053</v>
      </c>
    </row>
    <row r="232" spans="1:10">
      <c r="A232" s="29" t="s">
        <v>317</v>
      </c>
      <c r="B232" s="39">
        <v>331.37592977776518</v>
      </c>
      <c r="D232" s="39">
        <v>331.37592977776518</v>
      </c>
      <c r="E232" s="39">
        <v>0</v>
      </c>
      <c r="F232" s="39"/>
      <c r="G232" s="39">
        <v>0</v>
      </c>
      <c r="H232" s="39">
        <v>0</v>
      </c>
      <c r="I232" s="39">
        <v>0</v>
      </c>
      <c r="J232" s="39">
        <v>331.37592977776518</v>
      </c>
    </row>
    <row r="233" spans="1:10">
      <c r="A233" s="29" t="s">
        <v>318</v>
      </c>
      <c r="B233" s="39">
        <v>0</v>
      </c>
      <c r="D233" s="39">
        <v>0</v>
      </c>
      <c r="E233" s="39">
        <v>0</v>
      </c>
      <c r="F233" s="39"/>
      <c r="G233" s="39">
        <v>0</v>
      </c>
      <c r="H233" s="39">
        <v>0</v>
      </c>
      <c r="I233" s="39">
        <v>0</v>
      </c>
      <c r="J233" s="39">
        <v>0</v>
      </c>
    </row>
    <row r="234" spans="1:10">
      <c r="A234" s="29" t="s">
        <v>319</v>
      </c>
      <c r="B234" s="39">
        <v>6489.391675568856</v>
      </c>
      <c r="D234" s="39">
        <v>3275.3425730495896</v>
      </c>
      <c r="E234" s="39">
        <v>3214.0491025192664</v>
      </c>
      <c r="F234" s="39"/>
      <c r="G234" s="39">
        <v>1321.6354667554476</v>
      </c>
      <c r="H234" s="39">
        <v>1979.2220232366431</v>
      </c>
      <c r="I234" s="39">
        <v>466.52977928183907</v>
      </c>
      <c r="J234" s="39">
        <v>2722.0044062949264</v>
      </c>
    </row>
    <row r="235" spans="1:10">
      <c r="A235" s="29" t="s">
        <v>320</v>
      </c>
      <c r="B235" s="39">
        <v>407.90082403300636</v>
      </c>
      <c r="D235" s="39">
        <v>0</v>
      </c>
      <c r="E235" s="39">
        <v>407.90082403300636</v>
      </c>
      <c r="F235" s="39"/>
      <c r="G235" s="39">
        <v>0</v>
      </c>
      <c r="H235" s="39">
        <v>0</v>
      </c>
      <c r="I235" s="39">
        <v>0</v>
      </c>
      <c r="J235" s="39">
        <v>407.90082403300636</v>
      </c>
    </row>
    <row r="236" spans="1:10">
      <c r="A236" s="29" t="s">
        <v>321</v>
      </c>
      <c r="B236" s="39">
        <v>1574.2596858299935</v>
      </c>
      <c r="D236" s="39">
        <v>975.54881260405637</v>
      </c>
      <c r="E236" s="39">
        <v>598.71087322593723</v>
      </c>
      <c r="F236" s="39"/>
      <c r="G236" s="39">
        <v>598.71087322593723</v>
      </c>
      <c r="H236" s="39">
        <v>0</v>
      </c>
      <c r="I236" s="39">
        <v>0</v>
      </c>
      <c r="J236" s="39">
        <v>975.54881260405637</v>
      </c>
    </row>
    <row r="237" spans="1:10">
      <c r="A237" s="29" t="s">
        <v>322</v>
      </c>
      <c r="B237" s="39">
        <v>0</v>
      </c>
      <c r="D237" s="39">
        <v>0</v>
      </c>
      <c r="E237" s="39">
        <v>0</v>
      </c>
      <c r="F237" s="39"/>
      <c r="G237" s="39">
        <v>0</v>
      </c>
      <c r="H237" s="39">
        <v>0</v>
      </c>
      <c r="I237" s="39">
        <v>0</v>
      </c>
      <c r="J237" s="39">
        <v>0</v>
      </c>
    </row>
    <row r="238" spans="1:10">
      <c r="A238" s="29" t="s">
        <v>323</v>
      </c>
      <c r="B238" s="39">
        <v>2470.6297421678391</v>
      </c>
      <c r="D238" s="39">
        <v>2470.6297421678391</v>
      </c>
      <c r="E238" s="39">
        <v>0</v>
      </c>
      <c r="F238" s="39"/>
      <c r="G238" s="39">
        <v>721.54404410050302</v>
      </c>
      <c r="H238" s="39">
        <v>565.03762602637778</v>
      </c>
      <c r="I238" s="39">
        <v>494.34031689734184</v>
      </c>
      <c r="J238" s="39">
        <v>689.70775514361594</v>
      </c>
    </row>
    <row r="239" spans="1:10">
      <c r="A239" s="29" t="s">
        <v>324</v>
      </c>
      <c r="B239" s="39">
        <v>51738.639504453378</v>
      </c>
      <c r="D239" s="39">
        <v>3355.6513316413539</v>
      </c>
      <c r="E239" s="39">
        <v>48382.988172812024</v>
      </c>
      <c r="F239" s="39"/>
      <c r="G239" s="39">
        <v>545.21213114704949</v>
      </c>
      <c r="H239" s="39">
        <v>9375.1976914818933</v>
      </c>
      <c r="I239" s="39">
        <v>13891.843401777169</v>
      </c>
      <c r="J239" s="39">
        <v>27926.386280047209</v>
      </c>
    </row>
    <row r="240" spans="1:10">
      <c r="A240" s="29" t="s">
        <v>325</v>
      </c>
      <c r="B240" s="39">
        <v>2749.5675193736979</v>
      </c>
      <c r="D240" s="39">
        <v>1551.9059586427968</v>
      </c>
      <c r="E240" s="39">
        <v>1197.6615607309009</v>
      </c>
      <c r="F240" s="39"/>
      <c r="G240" s="39">
        <v>0</v>
      </c>
      <c r="H240" s="39">
        <v>1055.8098947618973</v>
      </c>
      <c r="I240" s="39">
        <v>643.24296785356012</v>
      </c>
      <c r="J240" s="39">
        <v>1050.5146567582401</v>
      </c>
    </row>
    <row r="241" spans="1:10">
      <c r="A241" s="29" t="s">
        <v>326</v>
      </c>
      <c r="B241" s="39">
        <v>0</v>
      </c>
      <c r="D241" s="39">
        <v>0</v>
      </c>
      <c r="E241" s="39">
        <v>0</v>
      </c>
      <c r="F241" s="39"/>
      <c r="G241" s="39">
        <v>0</v>
      </c>
      <c r="H241" s="39">
        <v>0</v>
      </c>
      <c r="I241" s="39">
        <v>0</v>
      </c>
      <c r="J241" s="39">
        <v>0</v>
      </c>
    </row>
    <row r="242" spans="1:10">
      <c r="A242" s="29" t="s">
        <v>327</v>
      </c>
      <c r="B242" s="39">
        <v>0</v>
      </c>
      <c r="D242" s="39">
        <v>0</v>
      </c>
      <c r="E242" s="39">
        <v>0</v>
      </c>
      <c r="F242" s="39"/>
      <c r="G242" s="39">
        <v>0</v>
      </c>
      <c r="H242" s="39">
        <v>0</v>
      </c>
      <c r="I242" s="39">
        <v>0</v>
      </c>
      <c r="J242" s="39">
        <v>0</v>
      </c>
    </row>
    <row r="243" spans="1:10">
      <c r="A243" s="29" t="s">
        <v>328</v>
      </c>
      <c r="B243" s="39">
        <v>0</v>
      </c>
      <c r="D243" s="39">
        <v>0</v>
      </c>
      <c r="E243" s="39">
        <v>0</v>
      </c>
      <c r="F243" s="39"/>
      <c r="G243" s="39">
        <v>0</v>
      </c>
      <c r="H243" s="39">
        <v>0</v>
      </c>
      <c r="I243" s="39">
        <v>0</v>
      </c>
      <c r="J243" s="39">
        <v>0</v>
      </c>
    </row>
    <row r="244" spans="1:10">
      <c r="A244" s="29" t="s">
        <v>329</v>
      </c>
      <c r="B244" s="39">
        <v>0</v>
      </c>
      <c r="D244" s="39">
        <v>0</v>
      </c>
      <c r="E244" s="39">
        <v>0</v>
      </c>
      <c r="F244" s="39"/>
      <c r="G244" s="39">
        <v>0</v>
      </c>
      <c r="H244" s="39">
        <v>0</v>
      </c>
      <c r="I244" s="39">
        <v>0</v>
      </c>
      <c r="J244" s="39">
        <v>0</v>
      </c>
    </row>
    <row r="245" spans="1:10">
      <c r="A245" s="29" t="s">
        <v>330</v>
      </c>
      <c r="B245" s="39">
        <v>331.37592977776518</v>
      </c>
      <c r="D245" s="39">
        <v>331.37592977776518</v>
      </c>
      <c r="E245" s="39">
        <v>0</v>
      </c>
      <c r="F245" s="39"/>
      <c r="G245" s="39">
        <v>0</v>
      </c>
      <c r="H245" s="39">
        <v>0</v>
      </c>
      <c r="I245" s="39">
        <v>0</v>
      </c>
      <c r="J245" s="39">
        <v>331.37592977776518</v>
      </c>
    </row>
    <row r="246" spans="1:10">
      <c r="A246" s="29" t="s">
        <v>331</v>
      </c>
      <c r="B246" s="39">
        <v>2364.2022942766025</v>
      </c>
      <c r="D246" s="39">
        <v>1765.0993487965125</v>
      </c>
      <c r="E246" s="39">
        <v>599.1029454800896</v>
      </c>
      <c r="F246" s="39"/>
      <c r="G246" s="39">
        <v>599.1029454800896</v>
      </c>
      <c r="H246" s="39">
        <v>501.39130188455664</v>
      </c>
      <c r="I246" s="39">
        <v>598.30737174770775</v>
      </c>
      <c r="J246" s="39">
        <v>665.40067516424824</v>
      </c>
    </row>
    <row r="247" spans="1:10">
      <c r="A247" s="29" t="s">
        <v>332</v>
      </c>
      <c r="B247" s="39">
        <v>0</v>
      </c>
      <c r="D247" s="39">
        <v>0</v>
      </c>
      <c r="E247" s="39">
        <v>0</v>
      </c>
      <c r="F247" s="39"/>
      <c r="G247" s="39">
        <v>0</v>
      </c>
      <c r="H247" s="39">
        <v>0</v>
      </c>
      <c r="I247" s="39">
        <v>0</v>
      </c>
      <c r="J247" s="39">
        <v>0</v>
      </c>
    </row>
    <row r="248" spans="1:10">
      <c r="A248" s="29" t="s">
        <v>333</v>
      </c>
      <c r="B248" s="39">
        <v>0</v>
      </c>
      <c r="D248" s="39">
        <v>0</v>
      </c>
      <c r="E248" s="39">
        <v>0</v>
      </c>
      <c r="F248" s="39"/>
      <c r="G248" s="39">
        <v>0</v>
      </c>
      <c r="H248" s="39">
        <v>0</v>
      </c>
      <c r="I248" s="39">
        <v>0</v>
      </c>
      <c r="J248" s="39">
        <v>0</v>
      </c>
    </row>
    <row r="249" spans="1:10">
      <c r="A249" s="29" t="s">
        <v>334</v>
      </c>
      <c r="B249" s="39">
        <v>520.99414010604744</v>
      </c>
      <c r="D249" s="39">
        <v>520.99414010604744</v>
      </c>
      <c r="E249" s="39">
        <v>0</v>
      </c>
      <c r="F249" s="39"/>
      <c r="G249" s="39">
        <v>0</v>
      </c>
      <c r="H249" s="39">
        <v>0</v>
      </c>
      <c r="I249" s="39">
        <v>520.99414010604744</v>
      </c>
      <c r="J249" s="39">
        <v>0</v>
      </c>
    </row>
    <row r="250" spans="1:10">
      <c r="A250" s="29" t="s">
        <v>335</v>
      </c>
      <c r="B250" s="39">
        <v>1395.2852134947298</v>
      </c>
      <c r="D250" s="39">
        <v>565.03762602637778</v>
      </c>
      <c r="E250" s="39">
        <v>830.24758746835198</v>
      </c>
      <c r="F250" s="39"/>
      <c r="G250" s="39">
        <v>0</v>
      </c>
      <c r="H250" s="39">
        <v>565.03762602637778</v>
      </c>
      <c r="I250" s="39">
        <v>0</v>
      </c>
      <c r="J250" s="39">
        <v>830.24758746835198</v>
      </c>
    </row>
    <row r="251" spans="1:10">
      <c r="A251" s="29" t="s">
        <v>336</v>
      </c>
      <c r="B251" s="39">
        <v>0</v>
      </c>
      <c r="D251" s="39">
        <v>0</v>
      </c>
      <c r="E251" s="39">
        <v>0</v>
      </c>
      <c r="F251" s="39"/>
      <c r="G251" s="39">
        <v>0</v>
      </c>
      <c r="H251" s="39">
        <v>0</v>
      </c>
      <c r="I251" s="39">
        <v>0</v>
      </c>
      <c r="J251" s="39">
        <v>0</v>
      </c>
    </row>
    <row r="252" spans="1:10">
      <c r="A252" s="29" t="s">
        <v>337</v>
      </c>
      <c r="B252" s="39">
        <v>0</v>
      </c>
      <c r="D252" s="39">
        <v>0</v>
      </c>
      <c r="E252" s="39">
        <v>0</v>
      </c>
      <c r="F252" s="39"/>
      <c r="G252" s="39">
        <v>0</v>
      </c>
      <c r="H252" s="39">
        <v>0</v>
      </c>
      <c r="I252" s="39">
        <v>0</v>
      </c>
      <c r="J252" s="39">
        <v>0</v>
      </c>
    </row>
    <row r="253" spans="1:10">
      <c r="A253" s="29" t="s">
        <v>338</v>
      </c>
      <c r="B253" s="39">
        <v>3232.9855541337993</v>
      </c>
      <c r="D253" s="39">
        <v>1099.0571630120903</v>
      </c>
      <c r="E253" s="39">
        <v>2133.9283911217085</v>
      </c>
      <c r="F253" s="39"/>
      <c r="G253" s="39">
        <v>599.1029454800896</v>
      </c>
      <c r="H253" s="39">
        <v>576.34381997757214</v>
      </c>
      <c r="I253" s="39">
        <v>1659.2454445569524</v>
      </c>
      <c r="J253" s="39">
        <v>398.29334411918478</v>
      </c>
    </row>
    <row r="254" spans="1:10">
      <c r="A254" s="29" t="s">
        <v>339</v>
      </c>
      <c r="B254" s="39">
        <v>0</v>
      </c>
      <c r="D254" s="39">
        <v>0</v>
      </c>
      <c r="E254" s="39">
        <v>0</v>
      </c>
      <c r="F254" s="39"/>
      <c r="G254" s="39">
        <v>0</v>
      </c>
      <c r="H254" s="39">
        <v>0</v>
      </c>
      <c r="I254" s="39">
        <v>0</v>
      </c>
      <c r="J254" s="39">
        <v>0</v>
      </c>
    </row>
    <row r="255" spans="1:10">
      <c r="A255" s="29" t="s">
        <v>340</v>
      </c>
      <c r="B255" s="39">
        <v>4965.1492657519702</v>
      </c>
      <c r="D255" s="39">
        <v>4211.1487661976562</v>
      </c>
      <c r="E255" s="39">
        <v>754.00049955431427</v>
      </c>
      <c r="F255" s="39"/>
      <c r="G255" s="39">
        <v>2840.9042970750088</v>
      </c>
      <c r="H255" s="39">
        <v>2124.2449686769619</v>
      </c>
      <c r="I255" s="39">
        <v>0</v>
      </c>
      <c r="J255" s="39">
        <v>0</v>
      </c>
    </row>
    <row r="256" spans="1:10">
      <c r="A256" s="29" t="s">
        <v>341</v>
      </c>
      <c r="B256" s="39">
        <v>2000.2992111664148</v>
      </c>
      <c r="D256" s="39">
        <v>925.64441405846287</v>
      </c>
      <c r="E256" s="39">
        <v>1074.6547971079519</v>
      </c>
      <c r="F256" s="39"/>
      <c r="G256" s="39">
        <v>0</v>
      </c>
      <c r="H256" s="39">
        <v>565.03762602637778</v>
      </c>
      <c r="I256" s="39">
        <v>676.36145298876716</v>
      </c>
      <c r="J256" s="39">
        <v>758.90013215126987</v>
      </c>
    </row>
    <row r="257" spans="1:10">
      <c r="A257" s="29" t="s">
        <v>342</v>
      </c>
      <c r="B257" s="39">
        <v>0</v>
      </c>
      <c r="D257" s="39">
        <v>0</v>
      </c>
      <c r="E257" s="39">
        <v>0</v>
      </c>
      <c r="F257" s="39"/>
      <c r="G257" s="39">
        <v>0</v>
      </c>
      <c r="H257" s="39">
        <v>0</v>
      </c>
      <c r="I257" s="39">
        <v>0</v>
      </c>
      <c r="J257" s="39">
        <v>0</v>
      </c>
    </row>
    <row r="258" spans="1:10">
      <c r="A258" s="29" t="s">
        <v>343</v>
      </c>
      <c r="B258" s="39">
        <v>0</v>
      </c>
      <c r="D258" s="39">
        <v>0</v>
      </c>
      <c r="E258" s="39">
        <v>0</v>
      </c>
      <c r="F258" s="39"/>
      <c r="G258" s="39">
        <v>0</v>
      </c>
      <c r="H258" s="39">
        <v>0</v>
      </c>
      <c r="I258" s="39">
        <v>0</v>
      </c>
      <c r="J258" s="39">
        <v>0</v>
      </c>
    </row>
    <row r="259" spans="1:10">
      <c r="A259" s="29" t="s">
        <v>344</v>
      </c>
      <c r="B259" s="39">
        <v>470.01779546800935</v>
      </c>
      <c r="D259" s="39">
        <v>0</v>
      </c>
      <c r="E259" s="39">
        <v>470.01779546800935</v>
      </c>
      <c r="F259" s="39"/>
      <c r="G259" s="39">
        <v>0</v>
      </c>
      <c r="H259" s="39">
        <v>470.01779546800935</v>
      </c>
      <c r="I259" s="39">
        <v>0</v>
      </c>
      <c r="J259" s="39">
        <v>0</v>
      </c>
    </row>
    <row r="260" spans="1:10">
      <c r="A260" s="29" t="s">
        <v>345</v>
      </c>
      <c r="B260" s="39">
        <v>1195.0986534663684</v>
      </c>
      <c r="D260" s="39">
        <v>518.73720047760116</v>
      </c>
      <c r="E260" s="39">
        <v>676.36145298876716</v>
      </c>
      <c r="F260" s="39"/>
      <c r="G260" s="39">
        <v>518.73720047760116</v>
      </c>
      <c r="H260" s="39">
        <v>0</v>
      </c>
      <c r="I260" s="39">
        <v>676.36145298876716</v>
      </c>
      <c r="J260" s="39">
        <v>0</v>
      </c>
    </row>
    <row r="261" spans="1:10">
      <c r="A261" s="29" t="s">
        <v>346</v>
      </c>
      <c r="B261" s="39">
        <v>1601.4013164005753</v>
      </c>
      <c r="D261" s="39">
        <v>372.86038481303859</v>
      </c>
      <c r="E261" s="39">
        <v>1228.5409315875368</v>
      </c>
      <c r="F261" s="39"/>
      <c r="G261" s="39">
        <v>0</v>
      </c>
      <c r="H261" s="39">
        <v>0</v>
      </c>
      <c r="I261" s="39">
        <v>0</v>
      </c>
      <c r="J261" s="39">
        <v>1601.4013164005753</v>
      </c>
    </row>
    <row r="262" spans="1:10">
      <c r="A262" s="29" t="s">
        <v>347</v>
      </c>
      <c r="B262" s="39">
        <v>2392.0908405386158</v>
      </c>
      <c r="D262" s="39">
        <v>1434.4713998502439</v>
      </c>
      <c r="E262" s="39">
        <v>957.61944068837192</v>
      </c>
      <c r="F262" s="39"/>
      <c r="G262" s="39">
        <v>0</v>
      </c>
      <c r="H262" s="39">
        <v>565.03762602637778</v>
      </c>
      <c r="I262" s="39">
        <v>1073.3305212991272</v>
      </c>
      <c r="J262" s="39">
        <v>753.7226932131108</v>
      </c>
    </row>
    <row r="263" spans="1:10">
      <c r="A263" s="29" t="s">
        <v>348</v>
      </c>
      <c r="B263" s="39">
        <v>2486.2623522161589</v>
      </c>
      <c r="D263" s="39">
        <v>1887.1594067360693</v>
      </c>
      <c r="E263" s="39">
        <v>599.1029454800896</v>
      </c>
      <c r="F263" s="39"/>
      <c r="G263" s="39">
        <v>599.1029454800896</v>
      </c>
      <c r="H263" s="39">
        <v>565.03762602637778</v>
      </c>
      <c r="I263" s="39">
        <v>1017.3278935775285</v>
      </c>
      <c r="J263" s="39">
        <v>304.79388713216304</v>
      </c>
    </row>
    <row r="264" spans="1:10">
      <c r="A264" s="29" t="s">
        <v>349</v>
      </c>
      <c r="B264" s="39">
        <v>40215.061430528207</v>
      </c>
      <c r="D264" s="39">
        <v>21249.611637545833</v>
      </c>
      <c r="E264" s="39">
        <v>18965.449792982366</v>
      </c>
      <c r="F264" s="39"/>
      <c r="G264" s="39">
        <v>10181.657876558205</v>
      </c>
      <c r="H264" s="39">
        <v>10168.582079857957</v>
      </c>
      <c r="I264" s="39">
        <v>10946.915937863843</v>
      </c>
      <c r="J264" s="39">
        <v>8917.9055362481977</v>
      </c>
    </row>
    <row r="265" spans="1:10">
      <c r="A265" s="29" t="s">
        <v>350</v>
      </c>
      <c r="B265" s="39">
        <v>0</v>
      </c>
      <c r="D265" s="39">
        <v>0</v>
      </c>
      <c r="E265" s="39">
        <v>0</v>
      </c>
      <c r="F265" s="39"/>
      <c r="G265" s="39">
        <v>0</v>
      </c>
      <c r="H265" s="39">
        <v>0</v>
      </c>
      <c r="I265" s="39">
        <v>0</v>
      </c>
      <c r="J265" s="39">
        <v>0</v>
      </c>
    </row>
    <row r="266" spans="1:10">
      <c r="A266" s="29" t="s">
        <v>351</v>
      </c>
      <c r="B266" s="39">
        <v>4933.7448451455803</v>
      </c>
      <c r="D266" s="39">
        <v>3394.998380983624</v>
      </c>
      <c r="E266" s="39">
        <v>1538.7464641619558</v>
      </c>
      <c r="F266" s="39"/>
      <c r="G266" s="39">
        <v>1645.1535343784658</v>
      </c>
      <c r="H266" s="39">
        <v>940.03559093601871</v>
      </c>
      <c r="I266" s="39">
        <v>1683.1550446668466</v>
      </c>
      <c r="J266" s="39">
        <v>665.40067516424824</v>
      </c>
    </row>
    <row r="267" spans="1:10">
      <c r="A267" s="29" t="s">
        <v>352</v>
      </c>
      <c r="B267" s="39">
        <v>3940.6996816912374</v>
      </c>
      <c r="D267" s="39">
        <v>1516.7257588879461</v>
      </c>
      <c r="E267" s="39">
        <v>2423.9739228032918</v>
      </c>
      <c r="F267" s="39"/>
      <c r="G267" s="39">
        <v>0</v>
      </c>
      <c r="H267" s="39">
        <v>501.39130188455664</v>
      </c>
      <c r="I267" s="39">
        <v>1015.3344570033893</v>
      </c>
      <c r="J267" s="39">
        <v>2423.9739228032918</v>
      </c>
    </row>
    <row r="268" spans="1:10">
      <c r="A268" s="29" t="s">
        <v>353</v>
      </c>
      <c r="B268" s="39">
        <v>0</v>
      </c>
      <c r="D268" s="39">
        <v>0</v>
      </c>
      <c r="E268" s="39">
        <v>0</v>
      </c>
      <c r="F268" s="39"/>
      <c r="G268" s="39">
        <v>0</v>
      </c>
      <c r="H268" s="39">
        <v>0</v>
      </c>
      <c r="I268" s="39">
        <v>0</v>
      </c>
      <c r="J268" s="39">
        <v>0</v>
      </c>
    </row>
    <row r="269" spans="1:10">
      <c r="A269" s="29" t="s">
        <v>354</v>
      </c>
      <c r="B269" s="39">
        <v>0</v>
      </c>
      <c r="D269" s="39">
        <v>0</v>
      </c>
      <c r="E269" s="39">
        <v>0</v>
      </c>
      <c r="F269" s="39"/>
      <c r="G269" s="39">
        <v>0</v>
      </c>
      <c r="H269" s="39">
        <v>0</v>
      </c>
      <c r="I269" s="39">
        <v>0</v>
      </c>
      <c r="J269" s="39">
        <v>0</v>
      </c>
    </row>
    <row r="270" spans="1:10">
      <c r="A270" s="29" t="s">
        <v>355</v>
      </c>
      <c r="B270" s="39">
        <v>490.13454537033851</v>
      </c>
      <c r="D270" s="39">
        <v>490.13454537033851</v>
      </c>
      <c r="E270" s="39">
        <v>0</v>
      </c>
      <c r="F270" s="39"/>
      <c r="G270" s="39">
        <v>0</v>
      </c>
      <c r="H270" s="39">
        <v>0</v>
      </c>
      <c r="I270" s="39">
        <v>490.13454537033851</v>
      </c>
      <c r="J270" s="39">
        <v>0</v>
      </c>
    </row>
    <row r="271" spans="1:10">
      <c r="A271" s="29" t="s">
        <v>356</v>
      </c>
      <c r="B271" s="39">
        <v>5075.3888690584481</v>
      </c>
      <c r="D271" s="39">
        <v>2010.8282271107259</v>
      </c>
      <c r="E271" s="39">
        <v>3064.5606419477222</v>
      </c>
      <c r="F271" s="39"/>
      <c r="G271" s="39">
        <v>0</v>
      </c>
      <c r="H271" s="39">
        <v>1217.1217017644663</v>
      </c>
      <c r="I271" s="39">
        <v>3002.9443450561753</v>
      </c>
      <c r="J271" s="39">
        <v>855.32282223780658</v>
      </c>
    </row>
    <row r="272" spans="1:10">
      <c r="A272" s="29" t="s">
        <v>357</v>
      </c>
      <c r="B272" s="39">
        <v>0</v>
      </c>
      <c r="D272" s="39">
        <v>0</v>
      </c>
      <c r="E272" s="39">
        <v>0</v>
      </c>
      <c r="F272" s="39"/>
      <c r="G272" s="39">
        <v>0</v>
      </c>
      <c r="H272" s="39">
        <v>0</v>
      </c>
      <c r="I272" s="39">
        <v>0</v>
      </c>
      <c r="J272" s="39">
        <v>0</v>
      </c>
    </row>
    <row r="273" spans="1:10">
      <c r="A273" s="29" t="s">
        <v>358</v>
      </c>
      <c r="B273" s="39">
        <v>2471.9776344034071</v>
      </c>
      <c r="D273" s="39">
        <v>952.21492688902367</v>
      </c>
      <c r="E273" s="39">
        <v>1519.7627075143832</v>
      </c>
      <c r="F273" s="39"/>
      <c r="G273" s="39">
        <v>0</v>
      </c>
      <c r="H273" s="39">
        <v>0</v>
      </c>
      <c r="I273" s="39">
        <v>1297.4299717075605</v>
      </c>
      <c r="J273" s="39">
        <v>1174.5476626958464</v>
      </c>
    </row>
    <row r="274" spans="1:10">
      <c r="A274" s="29" t="s">
        <v>359</v>
      </c>
      <c r="B274" s="39">
        <v>0</v>
      </c>
      <c r="D274" s="39">
        <v>0</v>
      </c>
      <c r="E274" s="39">
        <v>0</v>
      </c>
      <c r="F274" s="39"/>
      <c r="G274" s="39">
        <v>0</v>
      </c>
      <c r="H274" s="39">
        <v>0</v>
      </c>
      <c r="I274" s="39">
        <v>0</v>
      </c>
      <c r="J274" s="39">
        <v>0</v>
      </c>
    </row>
    <row r="275" spans="1:10">
      <c r="A275" s="29" t="s">
        <v>360</v>
      </c>
      <c r="B275" s="39">
        <v>3709.3721257256934</v>
      </c>
      <c r="D275" s="39">
        <v>1678.4037453415058</v>
      </c>
      <c r="E275" s="39">
        <v>2030.9683803841876</v>
      </c>
      <c r="F275" s="39"/>
      <c r="G275" s="39">
        <v>0</v>
      </c>
      <c r="H275" s="39">
        <v>492.08071063431356</v>
      </c>
      <c r="I275" s="39">
        <v>1137.5832847509018</v>
      </c>
      <c r="J275" s="39">
        <v>2079.708130340478</v>
      </c>
    </row>
    <row r="276" spans="1:10">
      <c r="A276" s="29" t="s">
        <v>361</v>
      </c>
      <c r="B276" s="39">
        <v>1555.3727778636783</v>
      </c>
      <c r="D276" s="39">
        <v>677.45415836266261</v>
      </c>
      <c r="E276" s="39">
        <v>877.91861950101566</v>
      </c>
      <c r="F276" s="39"/>
      <c r="G276" s="39">
        <v>0</v>
      </c>
      <c r="H276" s="39">
        <v>470.01779546800935</v>
      </c>
      <c r="I276" s="39">
        <v>0</v>
      </c>
      <c r="J276" s="39">
        <v>1085.3549823956689</v>
      </c>
    </row>
    <row r="277" spans="1:10">
      <c r="A277" s="29" t="s">
        <v>362</v>
      </c>
      <c r="B277" s="39">
        <v>0</v>
      </c>
      <c r="D277" s="39">
        <v>0</v>
      </c>
      <c r="E277" s="39">
        <v>0</v>
      </c>
      <c r="F277" s="39"/>
      <c r="G277" s="39">
        <v>0</v>
      </c>
      <c r="H277" s="39">
        <v>0</v>
      </c>
      <c r="I277" s="39">
        <v>0</v>
      </c>
      <c r="J277" s="39">
        <v>0</v>
      </c>
    </row>
    <row r="278" spans="1:10">
      <c r="A278" s="29" t="s">
        <v>363</v>
      </c>
      <c r="B278" s="39">
        <v>2657.5469484980235</v>
      </c>
      <c r="D278" s="39">
        <v>1854.0973491849754</v>
      </c>
      <c r="E278" s="39">
        <v>803.44959931304857</v>
      </c>
      <c r="F278" s="39"/>
      <c r="G278" s="39">
        <v>0</v>
      </c>
      <c r="H278" s="39">
        <v>501.39130188455664</v>
      </c>
      <c r="I278" s="39">
        <v>998.79849215910281</v>
      </c>
      <c r="J278" s="39">
        <v>1157.3571544543645</v>
      </c>
    </row>
    <row r="279" spans="1:10">
      <c r="A279" s="29" t="s">
        <v>364</v>
      </c>
      <c r="B279" s="39">
        <v>304664.27472409728</v>
      </c>
      <c r="D279" s="39">
        <v>140178.16479262154</v>
      </c>
      <c r="E279" s="39">
        <v>164486.10993147647</v>
      </c>
      <c r="F279" s="39"/>
      <c r="G279" s="39">
        <v>88169.248573151766</v>
      </c>
      <c r="H279" s="39">
        <v>120218.05382772209</v>
      </c>
      <c r="I279" s="39">
        <v>70446.379203659468</v>
      </c>
      <c r="J279" s="39">
        <v>25830.59311956419</v>
      </c>
    </row>
    <row r="280" spans="1:10">
      <c r="A280" s="29" t="s">
        <v>365</v>
      </c>
      <c r="B280" s="39">
        <v>0</v>
      </c>
      <c r="D280" s="39">
        <v>0</v>
      </c>
      <c r="E280" s="39">
        <v>0</v>
      </c>
      <c r="F280" s="39"/>
      <c r="G280" s="39">
        <v>0</v>
      </c>
      <c r="H280" s="39">
        <v>0</v>
      </c>
      <c r="I280" s="39">
        <v>0</v>
      </c>
      <c r="J280" s="39">
        <v>0</v>
      </c>
    </row>
    <row r="281" spans="1:10">
      <c r="A281" s="29" t="s">
        <v>366</v>
      </c>
      <c r="B281" s="39">
        <v>2382.253807428373</v>
      </c>
      <c r="D281" s="39">
        <v>1230.2079908892672</v>
      </c>
      <c r="E281" s="39">
        <v>1152.045816539106</v>
      </c>
      <c r="F281" s="39"/>
      <c r="G281" s="39">
        <v>1465.6890366066027</v>
      </c>
      <c r="H281" s="39">
        <v>0</v>
      </c>
      <c r="I281" s="39">
        <v>508.66394678876424</v>
      </c>
      <c r="J281" s="39">
        <v>407.90082403300636</v>
      </c>
    </row>
    <row r="282" spans="1:10">
      <c r="A282" s="29" t="s">
        <v>367</v>
      </c>
      <c r="B282" s="39">
        <v>7166.5865014010378</v>
      </c>
      <c r="D282" s="39">
        <v>4862.4431106508946</v>
      </c>
      <c r="E282" s="39">
        <v>2304.1433907501432</v>
      </c>
      <c r="F282" s="39"/>
      <c r="G282" s="39">
        <v>0</v>
      </c>
      <c r="H282" s="39">
        <v>1913.5900746152115</v>
      </c>
      <c r="I282" s="39">
        <v>2741.2165595584916</v>
      </c>
      <c r="J282" s="39">
        <v>2511.7798672273357</v>
      </c>
    </row>
    <row r="283" spans="1:10">
      <c r="A283" s="29" t="s">
        <v>368</v>
      </c>
      <c r="B283" s="39">
        <v>15374.340580180926</v>
      </c>
      <c r="D283" s="39">
        <v>8111.9588976530886</v>
      </c>
      <c r="E283" s="39">
        <v>7262.3816825278327</v>
      </c>
      <c r="F283" s="39"/>
      <c r="G283" s="39">
        <v>1654.5138668299446</v>
      </c>
      <c r="H283" s="39">
        <v>5579.6569728162312</v>
      </c>
      <c r="I283" s="39">
        <v>4592.2460741606692</v>
      </c>
      <c r="J283" s="39">
        <v>3547.9236663740794</v>
      </c>
    </row>
    <row r="284" spans="1:10">
      <c r="A284" s="29" t="s">
        <v>369</v>
      </c>
      <c r="B284" s="39">
        <v>721.54404410050302</v>
      </c>
      <c r="D284" s="39">
        <v>721.54404410050302</v>
      </c>
      <c r="E284" s="39">
        <v>0</v>
      </c>
      <c r="F284" s="39"/>
      <c r="G284" s="39">
        <v>721.54404410050302</v>
      </c>
      <c r="H284" s="39">
        <v>0</v>
      </c>
      <c r="I284" s="39">
        <v>0</v>
      </c>
      <c r="J284" s="39">
        <v>0</v>
      </c>
    </row>
    <row r="285" spans="1:10">
      <c r="A285" s="29" t="s">
        <v>370</v>
      </c>
      <c r="B285" s="39">
        <v>62374.080566595949</v>
      </c>
      <c r="D285" s="39">
        <v>32676.301820635166</v>
      </c>
      <c r="E285" s="39">
        <v>29697.778745960764</v>
      </c>
      <c r="F285" s="39"/>
      <c r="G285" s="39">
        <v>2683.0200075878206</v>
      </c>
      <c r="H285" s="39">
        <v>17489.341165833393</v>
      </c>
      <c r="I285" s="39">
        <v>21976.444902000818</v>
      </c>
      <c r="J285" s="39">
        <v>20225.27449117391</v>
      </c>
    </row>
    <row r="286" spans="1:10">
      <c r="A286" s="29" t="s">
        <v>371</v>
      </c>
      <c r="B286" s="39">
        <v>372.86038481303859</v>
      </c>
      <c r="D286" s="39">
        <v>372.86038481303859</v>
      </c>
      <c r="E286" s="39">
        <v>0</v>
      </c>
      <c r="F286" s="39"/>
      <c r="G286" s="39">
        <v>0</v>
      </c>
      <c r="H286" s="39">
        <v>0</v>
      </c>
      <c r="I286" s="39">
        <v>0</v>
      </c>
      <c r="J286" s="39">
        <v>372.86038481303859</v>
      </c>
    </row>
    <row r="287" spans="1:10">
      <c r="A287" s="29" t="s">
        <v>372</v>
      </c>
      <c r="B287" s="39">
        <v>0</v>
      </c>
      <c r="D287" s="39">
        <v>0</v>
      </c>
      <c r="E287" s="39">
        <v>0</v>
      </c>
      <c r="F287" s="39"/>
      <c r="G287" s="39">
        <v>0</v>
      </c>
      <c r="H287" s="39">
        <v>0</v>
      </c>
      <c r="I287" s="39">
        <v>0</v>
      </c>
      <c r="J287" s="39">
        <v>0</v>
      </c>
    </row>
    <row r="288" spans="1:10">
      <c r="A288" s="29" t="s">
        <v>373</v>
      </c>
      <c r="B288" s="39">
        <v>2088.9000531062143</v>
      </c>
      <c r="D288" s="39">
        <v>636.8238714655206</v>
      </c>
      <c r="E288" s="39">
        <v>1452.0761816406939</v>
      </c>
      <c r="F288" s="39"/>
      <c r="G288" s="39">
        <v>0</v>
      </c>
      <c r="H288" s="39">
        <v>0</v>
      </c>
      <c r="I288" s="39">
        <v>676.36145298876716</v>
      </c>
      <c r="J288" s="39">
        <v>1412.538600117447</v>
      </c>
    </row>
    <row r="289" spans="1:10">
      <c r="A289" s="29" t="s">
        <v>374</v>
      </c>
      <c r="B289" s="39">
        <v>0</v>
      </c>
      <c r="D289" s="39">
        <v>0</v>
      </c>
      <c r="E289" s="39">
        <v>0</v>
      </c>
      <c r="F289" s="39"/>
      <c r="G289" s="39">
        <v>0</v>
      </c>
      <c r="H289" s="39">
        <v>0</v>
      </c>
      <c r="I289" s="39">
        <v>0</v>
      </c>
      <c r="J289" s="39">
        <v>0</v>
      </c>
    </row>
    <row r="290" spans="1:10">
      <c r="A290" s="29" t="s">
        <v>375</v>
      </c>
      <c r="B290" s="39">
        <v>0</v>
      </c>
      <c r="D290" s="39">
        <v>0</v>
      </c>
      <c r="E290" s="39">
        <v>0</v>
      </c>
      <c r="F290" s="39"/>
      <c r="G290" s="39">
        <v>0</v>
      </c>
      <c r="H290" s="39">
        <v>0</v>
      </c>
      <c r="I290" s="39">
        <v>0</v>
      </c>
      <c r="J290" s="39">
        <v>0</v>
      </c>
    </row>
    <row r="291" spans="1:10">
      <c r="A291" s="29" t="s">
        <v>376</v>
      </c>
      <c r="B291" s="39">
        <v>5262.1006022376841</v>
      </c>
      <c r="D291" s="39">
        <v>3272.5617877443792</v>
      </c>
      <c r="E291" s="39">
        <v>1989.5388144933036</v>
      </c>
      <c r="F291" s="39"/>
      <c r="G291" s="39">
        <v>599.1029454800896</v>
      </c>
      <c r="H291" s="39">
        <v>501.39130188455664</v>
      </c>
      <c r="I291" s="39">
        <v>2665.9580922404366</v>
      </c>
      <c r="J291" s="39">
        <v>1495.6482626326001</v>
      </c>
    </row>
    <row r="292" spans="1:10">
      <c r="A292" s="29" t="s">
        <v>377</v>
      </c>
      <c r="B292" s="39">
        <v>9881.5552749590734</v>
      </c>
      <c r="D292" s="39">
        <v>4781.6581911247704</v>
      </c>
      <c r="E292" s="39">
        <v>5099.897083834303</v>
      </c>
      <c r="F292" s="39"/>
      <c r="G292" s="39">
        <v>1233.1988393820361</v>
      </c>
      <c r="H292" s="39">
        <v>662.70310888712561</v>
      </c>
      <c r="I292" s="39">
        <v>4191.5081528675719</v>
      </c>
      <c r="J292" s="39">
        <v>3794.1451738223409</v>
      </c>
    </row>
    <row r="293" spans="1:10">
      <c r="A293" s="29" t="s">
        <v>378</v>
      </c>
      <c r="B293" s="39">
        <v>47039.947882239663</v>
      </c>
      <c r="D293" s="39">
        <v>21133.801133225148</v>
      </c>
      <c r="E293" s="39">
        <v>25906.14674901449</v>
      </c>
      <c r="F293" s="39"/>
      <c r="G293" s="39">
        <v>16916.77238414673</v>
      </c>
      <c r="H293" s="39">
        <v>12063.969291836447</v>
      </c>
      <c r="I293" s="39">
        <v>9104.8218117925881</v>
      </c>
      <c r="J293" s="39">
        <v>8954.3843944638629</v>
      </c>
    </row>
    <row r="294" spans="1:10">
      <c r="A294" s="29" t="s">
        <v>379</v>
      </c>
      <c r="B294" s="39">
        <v>448.59067791962366</v>
      </c>
      <c r="D294" s="39">
        <v>448.59067791962366</v>
      </c>
      <c r="E294" s="39">
        <v>0</v>
      </c>
      <c r="F294" s="39"/>
      <c r="G294" s="39">
        <v>0</v>
      </c>
      <c r="H294" s="39">
        <v>448.59067791962366</v>
      </c>
      <c r="I294" s="39">
        <v>0</v>
      </c>
      <c r="J294" s="39">
        <v>0</v>
      </c>
    </row>
    <row r="295" spans="1:10">
      <c r="A295" s="29" t="s">
        <v>380</v>
      </c>
      <c r="B295" s="39">
        <v>353.90755514131598</v>
      </c>
      <c r="D295" s="39">
        <v>353.90755514131598</v>
      </c>
      <c r="E295" s="39">
        <v>0</v>
      </c>
      <c r="F295" s="39"/>
      <c r="G295" s="39">
        <v>0</v>
      </c>
      <c r="H295" s="39">
        <v>0</v>
      </c>
      <c r="I295" s="39">
        <v>0</v>
      </c>
      <c r="J295" s="39">
        <v>353.90755514131598</v>
      </c>
    </row>
    <row r="296" spans="1:10">
      <c r="A296" s="29" t="s">
        <v>381</v>
      </c>
      <c r="B296" s="39">
        <v>0</v>
      </c>
      <c r="D296" s="39">
        <v>0</v>
      </c>
      <c r="E296" s="39">
        <v>0</v>
      </c>
      <c r="F296" s="39"/>
      <c r="G296" s="39">
        <v>0</v>
      </c>
      <c r="H296" s="39">
        <v>0</v>
      </c>
      <c r="I296" s="39">
        <v>0</v>
      </c>
      <c r="J296" s="39">
        <v>0</v>
      </c>
    </row>
    <row r="297" spans="1:10">
      <c r="A297" s="29" t="s">
        <v>382</v>
      </c>
      <c r="B297" s="39">
        <v>0</v>
      </c>
      <c r="D297" s="39">
        <v>0</v>
      </c>
      <c r="E297" s="39">
        <v>0</v>
      </c>
      <c r="F297" s="39"/>
      <c r="G297" s="39">
        <v>0</v>
      </c>
      <c r="H297" s="39">
        <v>0</v>
      </c>
      <c r="I297" s="39">
        <v>0</v>
      </c>
      <c r="J297" s="39">
        <v>0</v>
      </c>
    </row>
    <row r="298" spans="1:10">
      <c r="A298" s="29" t="s">
        <v>383</v>
      </c>
      <c r="B298" s="39">
        <v>0</v>
      </c>
      <c r="D298" s="39">
        <v>0</v>
      </c>
      <c r="E298" s="39">
        <v>0</v>
      </c>
      <c r="F298" s="39"/>
      <c r="G298" s="39">
        <v>0</v>
      </c>
      <c r="H298" s="39">
        <v>0</v>
      </c>
      <c r="I298" s="39">
        <v>0</v>
      </c>
      <c r="J298" s="39">
        <v>0</v>
      </c>
    </row>
    <row r="299" spans="1:10">
      <c r="A299" s="29" t="s">
        <v>384</v>
      </c>
      <c r="B299" s="39">
        <v>0</v>
      </c>
      <c r="D299" s="39">
        <v>0</v>
      </c>
      <c r="E299" s="39">
        <v>0</v>
      </c>
      <c r="F299" s="39"/>
      <c r="G299" s="39">
        <v>0</v>
      </c>
      <c r="H299" s="39">
        <v>0</v>
      </c>
      <c r="I299" s="39">
        <v>0</v>
      </c>
      <c r="J299" s="39">
        <v>0</v>
      </c>
    </row>
    <row r="300" spans="1:10">
      <c r="A300" s="29" t="s">
        <v>385</v>
      </c>
      <c r="B300" s="39">
        <v>3408.7579929741046</v>
      </c>
      <c r="D300" s="39">
        <v>1721.4916420250156</v>
      </c>
      <c r="E300" s="39">
        <v>1687.266350949089</v>
      </c>
      <c r="F300" s="39"/>
      <c r="G300" s="39">
        <v>1250.2379819502858</v>
      </c>
      <c r="H300" s="39">
        <v>1155.140030029333</v>
      </c>
      <c r="I300" s="39">
        <v>508.66394678876424</v>
      </c>
      <c r="J300" s="39">
        <v>494.71603420572148</v>
      </c>
    </row>
    <row r="301" spans="1:10">
      <c r="A301" s="111"/>
      <c r="B301" s="97"/>
      <c r="C301" s="97"/>
      <c r="D301" s="97"/>
      <c r="E301" s="97"/>
      <c r="F301" s="97"/>
      <c r="G301" s="97"/>
      <c r="H301" s="97"/>
      <c r="I301" s="97"/>
      <c r="J301" s="97"/>
    </row>
    <row r="302" spans="1:10" ht="15" customHeight="1">
      <c r="A302" s="146" t="s">
        <v>121</v>
      </c>
      <c r="B302" s="147"/>
      <c r="C302" s="147"/>
      <c r="D302" s="147"/>
      <c r="E302" s="147"/>
      <c r="F302" s="147"/>
      <c r="J302" s="138"/>
    </row>
    <row r="303" spans="1:10">
      <c r="A303" s="115" t="s">
        <v>108</v>
      </c>
      <c r="B303" s="17"/>
      <c r="C303" s="17"/>
      <c r="J303" s="17"/>
    </row>
    <row r="304" spans="1:10">
      <c r="A304" s="16" t="s">
        <v>112</v>
      </c>
      <c r="B304" s="17"/>
      <c r="C304" s="17"/>
      <c r="G304" s="2"/>
    </row>
    <row r="305" spans="1:7">
      <c r="A305" s="16" t="s">
        <v>113</v>
      </c>
    </row>
    <row r="306" spans="1:7">
      <c r="A306" s="21" t="s">
        <v>111</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1" formatCode="\*\*0.0%"/>
            </x14:dxf>
          </x14:cfRule>
          <x14:cfRule type="expression" priority="4" id="{761348D4-36D2-4D95-8EEE-18A116371C7A}">
            <xm:f>B159&lt;'27'!$D$103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69" formatCode="\*\*#,###,###,##0"/>
            </x14:dxf>
          </x14:cfRule>
          <x14:cfRule type="expression" priority="2" id="{FC1D749C-547A-4A2A-9E50-DADA91608584}">
            <xm:f>B159&lt;'27'!$D$103</xm:f>
            <x14:dxf>
              <font>
                <color rgb="FF00B050"/>
              </font>
              <numFmt numFmtId="168"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4"/>
      <c r="B1" s="24"/>
      <c r="C1" s="24"/>
      <c r="D1" s="24"/>
      <c r="E1" s="24"/>
      <c r="F1" s="44"/>
      <c r="G1" s="24"/>
      <c r="H1" s="24"/>
      <c r="I1" s="24"/>
      <c r="J1" s="24"/>
      <c r="K1" s="24"/>
      <c r="L1" s="24"/>
      <c r="M1" s="24"/>
    </row>
    <row r="2" spans="1:13">
      <c r="A2" s="24"/>
      <c r="B2" s="24"/>
      <c r="C2" s="24"/>
      <c r="D2" s="24"/>
      <c r="E2" s="24"/>
      <c r="F2" s="44"/>
      <c r="G2" s="24"/>
      <c r="H2" s="24"/>
      <c r="I2" s="24"/>
      <c r="J2" s="24"/>
      <c r="K2" s="24"/>
      <c r="L2" s="24"/>
      <c r="M2" s="24"/>
    </row>
    <row r="3" spans="1:13">
      <c r="A3" s="24"/>
      <c r="B3" s="24"/>
      <c r="C3" s="24"/>
      <c r="D3" s="24"/>
      <c r="E3" s="24"/>
      <c r="F3" s="44"/>
      <c r="G3" s="24"/>
      <c r="H3" s="24"/>
      <c r="I3" s="24"/>
      <c r="J3" s="24"/>
      <c r="K3" s="24"/>
      <c r="L3" s="24"/>
      <c r="M3" s="24"/>
    </row>
    <row r="4" spans="1:13">
      <c r="A4" s="24"/>
      <c r="B4" s="24"/>
      <c r="C4" s="24"/>
      <c r="D4" s="24"/>
      <c r="E4" s="24"/>
      <c r="F4" s="44"/>
      <c r="G4" s="24"/>
      <c r="H4" s="24"/>
      <c r="I4" s="24"/>
      <c r="J4" s="24"/>
      <c r="K4" s="24"/>
      <c r="L4" s="24"/>
      <c r="M4" s="24"/>
    </row>
    <row r="5" spans="1:13">
      <c r="A5" s="24"/>
      <c r="B5" s="24"/>
      <c r="C5" s="24"/>
      <c r="D5" s="24"/>
      <c r="E5" s="24"/>
      <c r="F5" s="44"/>
      <c r="G5" s="24"/>
      <c r="H5" s="24"/>
      <c r="I5" s="24"/>
      <c r="J5" s="24"/>
      <c r="K5" s="24"/>
      <c r="L5" s="24"/>
      <c r="M5" s="24"/>
    </row>
    <row r="6" spans="1:13">
      <c r="A6" s="24"/>
      <c r="B6" s="24"/>
      <c r="C6" s="24"/>
      <c r="D6" s="24"/>
      <c r="E6" s="24"/>
      <c r="F6" s="44"/>
      <c r="G6" s="24"/>
      <c r="H6" s="24"/>
      <c r="I6" s="24"/>
      <c r="J6" s="24"/>
      <c r="K6" s="24"/>
      <c r="L6" s="24"/>
      <c r="M6" s="24"/>
    </row>
    <row r="7" spans="1:13">
      <c r="A7" s="24"/>
      <c r="B7" s="24"/>
      <c r="C7" s="24"/>
      <c r="D7" s="24"/>
      <c r="E7" s="24"/>
      <c r="F7" s="44"/>
      <c r="G7" s="24"/>
      <c r="H7" s="24"/>
      <c r="I7" s="24"/>
      <c r="J7" s="24"/>
      <c r="K7" s="24"/>
      <c r="L7" s="24"/>
      <c r="M7" s="24"/>
    </row>
    <row r="8" spans="1:13">
      <c r="A8" s="25" t="str">
        <f>Index!A8</f>
        <v>AusPlay survey results July 2024 - June 2025</v>
      </c>
      <c r="B8" s="25"/>
      <c r="C8" s="25"/>
      <c r="D8" s="24"/>
      <c r="E8" s="24"/>
      <c r="F8" s="44"/>
      <c r="G8" s="25"/>
      <c r="H8" s="24"/>
      <c r="I8" s="24"/>
      <c r="J8" s="24"/>
      <c r="K8" s="24"/>
      <c r="L8" s="24"/>
      <c r="M8" s="24"/>
    </row>
    <row r="9" spans="1:13">
      <c r="A9" s="24" t="s">
        <v>1</v>
      </c>
      <c r="B9" s="133" t="s">
        <v>2</v>
      </c>
      <c r="C9" s="25"/>
      <c r="D9" s="24"/>
      <c r="E9" s="24"/>
      <c r="F9" s="44"/>
      <c r="G9" s="24"/>
      <c r="H9" s="24"/>
      <c r="I9" s="24"/>
      <c r="J9" s="24"/>
      <c r="K9" s="24"/>
      <c r="L9" s="24"/>
      <c r="M9" s="24"/>
    </row>
    <row r="10" spans="1:13">
      <c r="A10" s="24" t="s">
        <v>40</v>
      </c>
      <c r="B10" s="26">
        <v>18</v>
      </c>
      <c r="C10" s="25"/>
      <c r="D10" s="24"/>
      <c r="E10" s="24"/>
      <c r="F10" s="44"/>
      <c r="G10" s="24"/>
      <c r="H10" s="24"/>
      <c r="I10" s="24"/>
      <c r="J10" s="24"/>
      <c r="K10" s="24"/>
      <c r="L10" s="24"/>
      <c r="M10" s="24"/>
    </row>
    <row r="11" spans="1:13">
      <c r="A11" s="24" t="s">
        <v>3</v>
      </c>
      <c r="B11" s="114" t="s">
        <v>27</v>
      </c>
      <c r="C11" s="25"/>
      <c r="D11" s="24"/>
      <c r="E11" s="24"/>
      <c r="F11" s="44"/>
      <c r="G11" s="24"/>
      <c r="H11" s="24"/>
      <c r="I11" s="24"/>
      <c r="J11" s="24"/>
      <c r="K11" s="24"/>
      <c r="L11" s="24"/>
      <c r="M11" s="24"/>
    </row>
    <row r="12" spans="1:13">
      <c r="A12" s="109" t="s">
        <v>41</v>
      </c>
      <c r="B12" s="110" t="s">
        <v>42</v>
      </c>
      <c r="C12" s="110"/>
      <c r="D12" s="109"/>
      <c r="E12" s="109"/>
      <c r="F12" s="145"/>
      <c r="G12" s="109"/>
      <c r="H12" s="109"/>
      <c r="I12" s="109"/>
      <c r="J12" s="109"/>
      <c r="K12" s="109"/>
      <c r="L12" s="109"/>
      <c r="M12" s="109"/>
    </row>
    <row r="13" spans="1:13" ht="24.95" customHeight="1">
      <c r="A13" s="37"/>
      <c r="B13" s="165" t="s">
        <v>386</v>
      </c>
      <c r="C13" s="45"/>
      <c r="D13" s="45"/>
      <c r="E13" s="45"/>
      <c r="F13" s="46"/>
      <c r="G13" s="164" t="s">
        <v>52</v>
      </c>
      <c r="H13" s="164"/>
      <c r="I13" s="164"/>
      <c r="J13" s="164"/>
      <c r="K13" s="164"/>
      <c r="L13" s="164"/>
      <c r="M13" s="164"/>
    </row>
    <row r="14" spans="1:13" s="80" customFormat="1" ht="24.95" customHeight="1">
      <c r="A14" s="84"/>
      <c r="B14" s="166"/>
      <c r="C14" s="32"/>
      <c r="D14" s="32" t="s">
        <v>49</v>
      </c>
      <c r="E14" s="32" t="s">
        <v>50</v>
      </c>
      <c r="F14" s="47"/>
      <c r="G14" s="32" t="s">
        <v>53</v>
      </c>
      <c r="H14" s="32" t="s">
        <v>54</v>
      </c>
      <c r="I14" s="32" t="s">
        <v>55</v>
      </c>
      <c r="J14" s="32" t="s">
        <v>56</v>
      </c>
      <c r="K14" s="32" t="s">
        <v>57</v>
      </c>
      <c r="L14" s="32" t="s">
        <v>58</v>
      </c>
      <c r="M14" s="32" t="s">
        <v>59</v>
      </c>
    </row>
    <row r="15" spans="1:13">
      <c r="A15" s="57"/>
      <c r="B15" s="160" t="s">
        <v>135</v>
      </c>
      <c r="C15" s="160"/>
      <c r="D15" s="160"/>
      <c r="E15" s="160"/>
      <c r="F15" s="160"/>
      <c r="G15" s="160"/>
      <c r="H15" s="160"/>
      <c r="I15" s="160"/>
      <c r="J15" s="160"/>
      <c r="K15" s="160"/>
      <c r="L15" s="160"/>
      <c r="M15" s="160"/>
    </row>
    <row r="16" spans="1:13">
      <c r="A16" s="29" t="s">
        <v>244</v>
      </c>
      <c r="B16" s="4">
        <v>6.806250103273474E-4</v>
      </c>
      <c r="D16" s="4">
        <v>1.054569458315053E-3</v>
      </c>
      <c r="E16" s="4">
        <v>3.2882202679529639E-4</v>
      </c>
      <c r="F16" s="4"/>
      <c r="G16" s="4">
        <v>0</v>
      </c>
      <c r="H16" s="4">
        <v>7.4083240908144707E-4</v>
      </c>
      <c r="I16" s="4">
        <v>4.7952340621397601E-4</v>
      </c>
      <c r="J16" s="4">
        <v>2.4474282622826476E-3</v>
      </c>
      <c r="K16" s="4">
        <v>5.2853409310142738E-4</v>
      </c>
      <c r="L16" s="4">
        <v>0</v>
      </c>
      <c r="M16" s="4">
        <v>0</v>
      </c>
    </row>
    <row r="17" spans="1:13">
      <c r="A17" s="29" t="s">
        <v>245</v>
      </c>
      <c r="B17" s="4">
        <v>2.7081739282769184E-3</v>
      </c>
      <c r="D17" s="4">
        <v>3.952198332820676E-3</v>
      </c>
      <c r="E17" s="4">
        <v>1.5436932364564244E-3</v>
      </c>
      <c r="F17" s="4"/>
      <c r="G17" s="4">
        <v>6.8869152330597993E-3</v>
      </c>
      <c r="H17" s="4">
        <v>5.1209920847021442E-3</v>
      </c>
      <c r="I17" s="4">
        <v>7.5598758470880054E-3</v>
      </c>
      <c r="J17" s="4">
        <v>1.5994722593046071E-3</v>
      </c>
      <c r="K17" s="4">
        <v>0</v>
      </c>
      <c r="L17" s="4">
        <v>1.1952523943059188E-3</v>
      </c>
      <c r="M17" s="4">
        <v>0</v>
      </c>
    </row>
    <row r="18" spans="1:13">
      <c r="A18" s="29" t="s">
        <v>246</v>
      </c>
      <c r="B18" s="4">
        <v>1.2208502684877853E-3</v>
      </c>
      <c r="D18" s="4">
        <v>1.7604940794785794E-3</v>
      </c>
      <c r="E18" s="4">
        <v>7.1632239770639432E-4</v>
      </c>
      <c r="F18" s="4"/>
      <c r="G18" s="4">
        <v>0</v>
      </c>
      <c r="H18" s="4">
        <v>2.894446310398327E-3</v>
      </c>
      <c r="I18" s="4">
        <v>4.9255935403054571E-4</v>
      </c>
      <c r="J18" s="4">
        <v>2.6609873103436133E-3</v>
      </c>
      <c r="K18" s="4">
        <v>5.8792056184778837E-4</v>
      </c>
      <c r="L18" s="4">
        <v>1.3289850336842357E-3</v>
      </c>
      <c r="M18" s="4">
        <v>3.2532544346916857E-4</v>
      </c>
    </row>
    <row r="19" spans="1:13">
      <c r="A19" s="29" t="s">
        <v>247</v>
      </c>
      <c r="B19" s="4">
        <v>8.7655331756821241E-3</v>
      </c>
      <c r="D19" s="4">
        <v>1.2117809330841226E-2</v>
      </c>
      <c r="E19" s="4">
        <v>5.6470610696399467E-3</v>
      </c>
      <c r="F19" s="4"/>
      <c r="G19" s="4">
        <v>2.8022597145616793E-2</v>
      </c>
      <c r="H19" s="4">
        <v>2.2374957143257032E-2</v>
      </c>
      <c r="I19" s="4">
        <v>1.4500301302260741E-2</v>
      </c>
      <c r="J19" s="4">
        <v>9.8467961305603591E-3</v>
      </c>
      <c r="K19" s="4">
        <v>1.8625772982249749E-3</v>
      </c>
      <c r="L19" s="4">
        <v>1.9318888603085745E-3</v>
      </c>
      <c r="M19" s="4">
        <v>3.0621695645712395E-4</v>
      </c>
    </row>
    <row r="20" spans="1:13">
      <c r="A20" s="29" t="s">
        <v>248</v>
      </c>
      <c r="B20" s="4">
        <v>2.8780635816720801E-2</v>
      </c>
      <c r="D20" s="4">
        <v>4.699217414988692E-2</v>
      </c>
      <c r="E20" s="4">
        <v>1.1589528999049446E-2</v>
      </c>
      <c r="F20" s="4"/>
      <c r="G20" s="4">
        <v>9.0805699147736646E-2</v>
      </c>
      <c r="H20" s="4">
        <v>5.9482179780060734E-2</v>
      </c>
      <c r="I20" s="4">
        <v>5.3805965358322161E-2</v>
      </c>
      <c r="J20" s="4">
        <v>2.9163902269136874E-2</v>
      </c>
      <c r="K20" s="4">
        <v>1.4274423916527031E-2</v>
      </c>
      <c r="L20" s="4">
        <v>6.5829483366339585E-3</v>
      </c>
      <c r="M20" s="4">
        <v>3.2448721602950276E-4</v>
      </c>
    </row>
    <row r="21" spans="1:13">
      <c r="A21" s="29" t="s">
        <v>249</v>
      </c>
      <c r="B21" s="4">
        <v>1.0348621194857311E-2</v>
      </c>
      <c r="D21" s="4">
        <v>1.5114413127303243E-2</v>
      </c>
      <c r="E21" s="4">
        <v>5.8872090567224583E-3</v>
      </c>
      <c r="F21" s="4"/>
      <c r="G21" s="4">
        <v>6.4268763361159068E-2</v>
      </c>
      <c r="H21" s="4">
        <v>1.8840713995500833E-2</v>
      </c>
      <c r="I21" s="4">
        <v>1.5516304396592408E-2</v>
      </c>
      <c r="J21" s="4">
        <v>4.8008382043611703E-3</v>
      </c>
      <c r="K21" s="4">
        <v>4.8162483666503459E-3</v>
      </c>
      <c r="L21" s="4">
        <v>3.6838545213835586E-3</v>
      </c>
      <c r="M21" s="4">
        <v>2.8089503226586036E-3</v>
      </c>
    </row>
    <row r="22" spans="1:13">
      <c r="A22" s="29" t="s">
        <v>250</v>
      </c>
      <c r="B22" s="4">
        <v>2.6234773418393038E-3</v>
      </c>
      <c r="D22" s="4">
        <v>3.9338222928569904E-3</v>
      </c>
      <c r="E22" s="4">
        <v>1.3938800764824277E-3</v>
      </c>
      <c r="F22" s="4"/>
      <c r="G22" s="4">
        <v>2.9310865854193485E-2</v>
      </c>
      <c r="H22" s="4">
        <v>3.7263814629594203E-3</v>
      </c>
      <c r="I22" s="4">
        <v>2.8799058258032204E-3</v>
      </c>
      <c r="J22" s="4">
        <v>1.0648917778475616E-3</v>
      </c>
      <c r="K22" s="4">
        <v>1.6618555540323626E-3</v>
      </c>
      <c r="L22" s="4">
        <v>0</v>
      </c>
      <c r="M22" s="4">
        <v>0</v>
      </c>
    </row>
    <row r="23" spans="1:13">
      <c r="A23" s="29" t="s">
        <v>251</v>
      </c>
      <c r="B23" s="4">
        <v>3.3366300887999079E-2</v>
      </c>
      <c r="D23" s="4">
        <v>4.5851776121992975E-2</v>
      </c>
      <c r="E23" s="4">
        <v>2.1761158197728538E-2</v>
      </c>
      <c r="F23" s="4"/>
      <c r="G23" s="4">
        <v>0.11471964618038651</v>
      </c>
      <c r="H23" s="4">
        <v>7.8280787642762847E-2</v>
      </c>
      <c r="I23" s="4">
        <v>4.7145364624770883E-2</v>
      </c>
      <c r="J23" s="4">
        <v>3.3896270609629818E-2</v>
      </c>
      <c r="K23" s="4">
        <v>2.6100579749777308E-2</v>
      </c>
      <c r="L23" s="4">
        <v>3.2364765298104185E-3</v>
      </c>
      <c r="M23" s="4">
        <v>2.4549350585195101E-3</v>
      </c>
    </row>
    <row r="24" spans="1:13">
      <c r="A24" s="29" t="s">
        <v>252</v>
      </c>
      <c r="B24" s="4">
        <v>3.066559910696991E-4</v>
      </c>
      <c r="D24" s="4">
        <v>3.5918896581467658E-4</v>
      </c>
      <c r="E24" s="4">
        <v>2.6003107770891139E-4</v>
      </c>
      <c r="F24" s="4"/>
      <c r="G24" s="4">
        <v>0</v>
      </c>
      <c r="H24" s="4">
        <v>7.5662588820997055E-4</v>
      </c>
      <c r="I24" s="4">
        <v>8.6425185913253726E-4</v>
      </c>
      <c r="J24" s="4">
        <v>0</v>
      </c>
      <c r="K24" s="4">
        <v>0</v>
      </c>
      <c r="L24" s="4">
        <v>0</v>
      </c>
      <c r="M24" s="4">
        <v>2.9050924649786833E-4</v>
      </c>
    </row>
    <row r="25" spans="1:13">
      <c r="A25" s="29" t="s">
        <v>253</v>
      </c>
      <c r="B25" s="4">
        <v>0</v>
      </c>
      <c r="D25" s="4">
        <v>0</v>
      </c>
      <c r="E25" s="4">
        <v>0</v>
      </c>
      <c r="F25" s="4"/>
      <c r="G25" s="4">
        <v>0</v>
      </c>
      <c r="H25" s="4">
        <v>0</v>
      </c>
      <c r="I25" s="4">
        <v>0</v>
      </c>
      <c r="J25" s="4">
        <v>0</v>
      </c>
      <c r="K25" s="4">
        <v>0</v>
      </c>
      <c r="L25" s="4">
        <v>0</v>
      </c>
      <c r="M25" s="4">
        <v>0</v>
      </c>
    </row>
    <row r="26" spans="1:13">
      <c r="A26" s="29" t="s">
        <v>254</v>
      </c>
      <c r="B26" s="4">
        <v>9.5213572802765629E-4</v>
      </c>
      <c r="D26" s="4">
        <v>1.7718743652605146E-3</v>
      </c>
      <c r="E26" s="4">
        <v>1.7377746964262539E-4</v>
      </c>
      <c r="F26" s="4"/>
      <c r="G26" s="4">
        <v>0</v>
      </c>
      <c r="H26" s="4">
        <v>7.8429877213655706E-4</v>
      </c>
      <c r="I26" s="4">
        <v>3.9830752905256339E-3</v>
      </c>
      <c r="J26" s="4">
        <v>0</v>
      </c>
      <c r="K26" s="4">
        <v>0</v>
      </c>
      <c r="L26" s="4">
        <v>0</v>
      </c>
      <c r="M26" s="4">
        <v>6.3778255830772973E-4</v>
      </c>
    </row>
    <row r="27" spans="1:13">
      <c r="A27" s="29" t="s">
        <v>255</v>
      </c>
      <c r="B27" s="4">
        <v>0</v>
      </c>
      <c r="D27" s="4">
        <v>0</v>
      </c>
      <c r="E27" s="4">
        <v>0</v>
      </c>
      <c r="F27" s="4"/>
      <c r="G27" s="4">
        <v>0</v>
      </c>
      <c r="H27" s="4">
        <v>0</v>
      </c>
      <c r="I27" s="4">
        <v>0</v>
      </c>
      <c r="J27" s="4">
        <v>0</v>
      </c>
      <c r="K27" s="4">
        <v>0</v>
      </c>
      <c r="L27" s="4">
        <v>0</v>
      </c>
      <c r="M27" s="4">
        <v>0</v>
      </c>
    </row>
    <row r="28" spans="1:13">
      <c r="A28" s="29" t="s">
        <v>256</v>
      </c>
      <c r="B28" s="4">
        <v>0</v>
      </c>
      <c r="D28" s="4">
        <v>0</v>
      </c>
      <c r="E28" s="4">
        <v>0</v>
      </c>
      <c r="F28" s="4"/>
      <c r="G28" s="4">
        <v>0</v>
      </c>
      <c r="H28" s="4">
        <v>0</v>
      </c>
      <c r="I28" s="4">
        <v>0</v>
      </c>
      <c r="J28" s="4">
        <v>0</v>
      </c>
      <c r="K28" s="4">
        <v>0</v>
      </c>
      <c r="L28" s="4">
        <v>0</v>
      </c>
      <c r="M28" s="4">
        <v>0</v>
      </c>
    </row>
    <row r="29" spans="1:13">
      <c r="A29" s="29" t="s">
        <v>257</v>
      </c>
      <c r="B29" s="4">
        <v>7.1555068887394678E-5</v>
      </c>
      <c r="D29" s="4">
        <v>1.4669479562754204E-4</v>
      </c>
      <c r="E29" s="4">
        <v>0</v>
      </c>
      <c r="F29" s="4"/>
      <c r="G29" s="4">
        <v>0</v>
      </c>
      <c r="H29" s="4">
        <v>0</v>
      </c>
      <c r="I29" s="4">
        <v>0</v>
      </c>
      <c r="J29" s="4">
        <v>0</v>
      </c>
      <c r="K29" s="4">
        <v>0</v>
      </c>
      <c r="L29" s="4">
        <v>0</v>
      </c>
      <c r="M29" s="4">
        <v>3.5043744823204766E-4</v>
      </c>
    </row>
    <row r="30" spans="1:13">
      <c r="A30" s="29" t="s">
        <v>258</v>
      </c>
      <c r="B30" s="4">
        <v>0</v>
      </c>
      <c r="D30" s="4">
        <v>0</v>
      </c>
      <c r="E30" s="4">
        <v>0</v>
      </c>
      <c r="F30" s="4"/>
      <c r="G30" s="4">
        <v>0</v>
      </c>
      <c r="H30" s="4">
        <v>0</v>
      </c>
      <c r="I30" s="4">
        <v>0</v>
      </c>
      <c r="J30" s="4">
        <v>0</v>
      </c>
      <c r="K30" s="4">
        <v>0</v>
      </c>
      <c r="L30" s="4">
        <v>0</v>
      </c>
      <c r="M30" s="4">
        <v>0</v>
      </c>
    </row>
    <row r="31" spans="1:13">
      <c r="A31" s="29" t="s">
        <v>259</v>
      </c>
      <c r="B31" s="4">
        <v>1.1616660488184962E-4</v>
      </c>
      <c r="D31" s="4">
        <v>2.3815274902055683E-4</v>
      </c>
      <c r="E31" s="4">
        <v>0</v>
      </c>
      <c r="F31" s="4"/>
      <c r="G31" s="4">
        <v>0</v>
      </c>
      <c r="H31" s="4">
        <v>0</v>
      </c>
      <c r="I31" s="4">
        <v>6.3415665865685278E-4</v>
      </c>
      <c r="J31" s="4">
        <v>0</v>
      </c>
      <c r="K31" s="4">
        <v>0</v>
      </c>
      <c r="L31" s="4">
        <v>0</v>
      </c>
      <c r="M31" s="4">
        <v>0</v>
      </c>
    </row>
    <row r="32" spans="1:13">
      <c r="A32" s="29" t="s">
        <v>260</v>
      </c>
      <c r="B32" s="4">
        <v>2.671122662743143E-4</v>
      </c>
      <c r="D32" s="4">
        <v>5.4760591974809599E-4</v>
      </c>
      <c r="E32" s="4">
        <v>0</v>
      </c>
      <c r="F32" s="4"/>
      <c r="G32" s="4">
        <v>0</v>
      </c>
      <c r="H32" s="4">
        <v>7.2333274366567779E-4</v>
      </c>
      <c r="I32" s="4">
        <v>4.704832187941918E-4</v>
      </c>
      <c r="J32" s="4">
        <v>0</v>
      </c>
      <c r="K32" s="4">
        <v>6.4058701286283111E-4</v>
      </c>
      <c r="L32" s="4">
        <v>0</v>
      </c>
      <c r="M32" s="4">
        <v>0</v>
      </c>
    </row>
    <row r="33" spans="1:13">
      <c r="A33" s="29" t="s">
        <v>261</v>
      </c>
      <c r="B33" s="4">
        <v>7.2900866831161273E-3</v>
      </c>
      <c r="D33" s="4">
        <v>9.4377510956253005E-3</v>
      </c>
      <c r="E33" s="4">
        <v>5.3144064358286343E-3</v>
      </c>
      <c r="F33" s="4"/>
      <c r="G33" s="4">
        <v>0</v>
      </c>
      <c r="H33" s="4">
        <v>0</v>
      </c>
      <c r="I33" s="4">
        <v>1.3337719028565956E-3</v>
      </c>
      <c r="J33" s="4">
        <v>3.1718873817143628E-3</v>
      </c>
      <c r="K33" s="4">
        <v>4.2776637421121904E-3</v>
      </c>
      <c r="L33" s="4">
        <v>9.7537587225858154E-3</v>
      </c>
      <c r="M33" s="4">
        <v>2.2485613627317848E-2</v>
      </c>
    </row>
    <row r="34" spans="1:13">
      <c r="A34" s="29" t="s">
        <v>262</v>
      </c>
      <c r="B34" s="4">
        <v>7.2302931670409059E-3</v>
      </c>
      <c r="D34" s="4">
        <v>6.3161521911634447E-3</v>
      </c>
      <c r="E34" s="4">
        <v>7.6782596204901521E-3</v>
      </c>
      <c r="F34" s="4"/>
      <c r="G34" s="4">
        <v>8.5649233273086423E-3</v>
      </c>
      <c r="H34" s="4">
        <v>1.2546384373411787E-2</v>
      </c>
      <c r="I34" s="4">
        <v>1.4480437246338627E-2</v>
      </c>
      <c r="J34" s="4">
        <v>9.6946180470731669E-3</v>
      </c>
      <c r="K34" s="4">
        <v>6.4365737517161998E-3</v>
      </c>
      <c r="L34" s="4">
        <v>7.0821821471299385E-4</v>
      </c>
      <c r="M34" s="4">
        <v>0</v>
      </c>
    </row>
    <row r="35" spans="1:13">
      <c r="A35" s="29" t="s">
        <v>263</v>
      </c>
      <c r="B35" s="4">
        <v>0</v>
      </c>
      <c r="D35" s="4">
        <v>0</v>
      </c>
      <c r="E35" s="4">
        <v>0</v>
      </c>
      <c r="F35" s="4"/>
      <c r="G35" s="4">
        <v>0</v>
      </c>
      <c r="H35" s="4">
        <v>0</v>
      </c>
      <c r="I35" s="4">
        <v>0</v>
      </c>
      <c r="J35" s="4">
        <v>0</v>
      </c>
      <c r="K35" s="4">
        <v>0</v>
      </c>
      <c r="L35" s="4">
        <v>0</v>
      </c>
      <c r="M35" s="4">
        <v>0</v>
      </c>
    </row>
    <row r="36" spans="1:13">
      <c r="A36" s="29" t="s">
        <v>264</v>
      </c>
      <c r="B36" s="4">
        <v>1.9686246219330308E-2</v>
      </c>
      <c r="D36" s="4">
        <v>1.8036158779560201E-2</v>
      </c>
      <c r="E36" s="4">
        <v>2.1363306209836896E-2</v>
      </c>
      <c r="F36" s="4"/>
      <c r="G36" s="4">
        <v>2.219614051436174E-2</v>
      </c>
      <c r="H36" s="4">
        <v>1.9494962033272365E-2</v>
      </c>
      <c r="I36" s="4">
        <v>2.6290315555006487E-2</v>
      </c>
      <c r="J36" s="4">
        <v>1.7323841015822659E-2</v>
      </c>
      <c r="K36" s="4">
        <v>1.5069874715556894E-2</v>
      </c>
      <c r="L36" s="4">
        <v>2.0116963309199553E-2</v>
      </c>
      <c r="M36" s="4">
        <v>1.8484281996392033E-2</v>
      </c>
    </row>
    <row r="37" spans="1:13">
      <c r="A37" s="29" t="s">
        <v>265</v>
      </c>
      <c r="B37" s="4">
        <v>1.1616573555131924E-3</v>
      </c>
      <c r="D37" s="4">
        <v>6.3098059369324805E-4</v>
      </c>
      <c r="E37" s="4">
        <v>1.6891154500546304E-3</v>
      </c>
      <c r="F37" s="4"/>
      <c r="G37" s="4">
        <v>0</v>
      </c>
      <c r="H37" s="4">
        <v>0</v>
      </c>
      <c r="I37" s="4">
        <v>3.310560036623706E-3</v>
      </c>
      <c r="J37" s="4">
        <v>2.2054015558027589E-3</v>
      </c>
      <c r="K37" s="4">
        <v>5.7996825193436371E-4</v>
      </c>
      <c r="L37" s="4">
        <v>6.5001302993647719E-4</v>
      </c>
      <c r="M37" s="4">
        <v>0</v>
      </c>
    </row>
    <row r="38" spans="1:13">
      <c r="A38" s="29" t="s">
        <v>266</v>
      </c>
      <c r="B38" s="4">
        <v>8.6184442653277626E-5</v>
      </c>
      <c r="D38" s="4">
        <v>1.7668642344809994E-4</v>
      </c>
      <c r="E38" s="4">
        <v>0</v>
      </c>
      <c r="F38" s="4"/>
      <c r="G38" s="4">
        <v>0</v>
      </c>
      <c r="H38" s="4">
        <v>0</v>
      </c>
      <c r="I38" s="4">
        <v>4.704832187941918E-4</v>
      </c>
      <c r="J38" s="4">
        <v>0</v>
      </c>
      <c r="K38" s="4">
        <v>0</v>
      </c>
      <c r="L38" s="4">
        <v>0</v>
      </c>
      <c r="M38" s="4">
        <v>0</v>
      </c>
    </row>
    <row r="39" spans="1:13">
      <c r="A39" s="29" t="s">
        <v>267</v>
      </c>
      <c r="B39" s="4">
        <v>2.3321097718093072E-3</v>
      </c>
      <c r="D39" s="4">
        <v>2.2888376427698111E-3</v>
      </c>
      <c r="E39" s="4">
        <v>2.4047783949240858E-3</v>
      </c>
      <c r="F39" s="4"/>
      <c r="G39" s="4">
        <v>8.5649233273086423E-3</v>
      </c>
      <c r="H39" s="4">
        <v>6.5293766183759994E-4</v>
      </c>
      <c r="I39" s="4">
        <v>3.1480685971395157E-3</v>
      </c>
      <c r="J39" s="4">
        <v>2.3566913476099579E-3</v>
      </c>
      <c r="K39" s="4">
        <v>2.4420383729573223E-3</v>
      </c>
      <c r="L39" s="4">
        <v>3.1554606917773634E-3</v>
      </c>
      <c r="M39" s="4">
        <v>6.7053176370562254E-4</v>
      </c>
    </row>
    <row r="40" spans="1:13">
      <c r="A40" s="29" t="s">
        <v>268</v>
      </c>
      <c r="B40" s="4">
        <v>6.855428684190278E-4</v>
      </c>
      <c r="D40" s="4">
        <v>1.8258944508609988E-4</v>
      </c>
      <c r="E40" s="4">
        <v>1.1799388334106866E-3</v>
      </c>
      <c r="F40" s="4"/>
      <c r="G40" s="4">
        <v>8.6169835626793978E-3</v>
      </c>
      <c r="H40" s="4">
        <v>7.6368908386258518E-4</v>
      </c>
      <c r="I40" s="4">
        <v>1.2886326479472233E-3</v>
      </c>
      <c r="J40" s="4">
        <v>0</v>
      </c>
      <c r="K40" s="4">
        <v>0</v>
      </c>
      <c r="L40" s="4">
        <v>0</v>
      </c>
      <c r="M40" s="4">
        <v>0</v>
      </c>
    </row>
    <row r="41" spans="1:13">
      <c r="A41" s="29" t="s">
        <v>269</v>
      </c>
      <c r="B41" s="4">
        <v>2.0097742012436595E-2</v>
      </c>
      <c r="D41" s="4">
        <v>3.4838793275914416E-2</v>
      </c>
      <c r="E41" s="4">
        <v>6.1402665075825898E-3</v>
      </c>
      <c r="F41" s="4"/>
      <c r="G41" s="4">
        <v>3.6628534279410235E-2</v>
      </c>
      <c r="H41" s="4">
        <v>4.1981705678226559E-2</v>
      </c>
      <c r="I41" s="4">
        <v>3.4401575498354507E-2</v>
      </c>
      <c r="J41" s="4">
        <v>2.4160883468474517E-2</v>
      </c>
      <c r="K41" s="4">
        <v>1.443301630694283E-2</v>
      </c>
      <c r="L41" s="4">
        <v>5.0965006408003064E-3</v>
      </c>
      <c r="M41" s="4">
        <v>1.4623779645299287E-3</v>
      </c>
    </row>
    <row r="42" spans="1:13">
      <c r="A42" s="29" t="s">
        <v>270</v>
      </c>
      <c r="B42" s="4">
        <v>7.0067873978323905E-4</v>
      </c>
      <c r="D42" s="4">
        <v>1.2336880696031042E-4</v>
      </c>
      <c r="E42" s="4">
        <v>1.2670232149319378E-3</v>
      </c>
      <c r="F42" s="4"/>
      <c r="G42" s="4">
        <v>0</v>
      </c>
      <c r="H42" s="4">
        <v>0</v>
      </c>
      <c r="I42" s="4">
        <v>0</v>
      </c>
      <c r="J42" s="4">
        <v>5.4425798068224063E-4</v>
      </c>
      <c r="K42" s="4">
        <v>0</v>
      </c>
      <c r="L42" s="4">
        <v>6.0599768642562299E-4</v>
      </c>
      <c r="M42" s="4">
        <v>2.5830506770923769E-3</v>
      </c>
    </row>
    <row r="43" spans="1:13">
      <c r="A43" s="29" t="s">
        <v>271</v>
      </c>
      <c r="B43" s="4">
        <v>3.8883563060383439E-3</v>
      </c>
      <c r="D43" s="4">
        <v>3.1582895493601315E-3</v>
      </c>
      <c r="E43" s="4">
        <v>4.6443545240764652E-3</v>
      </c>
      <c r="F43" s="4"/>
      <c r="G43" s="4">
        <v>0</v>
      </c>
      <c r="H43" s="4">
        <v>3.660941784114879E-3</v>
      </c>
      <c r="I43" s="4">
        <v>8.7839342631151913E-3</v>
      </c>
      <c r="J43" s="4">
        <v>5.464035250506984E-3</v>
      </c>
      <c r="K43" s="4">
        <v>3.4167853582212793E-3</v>
      </c>
      <c r="L43" s="4">
        <v>1.8105392349798176E-3</v>
      </c>
      <c r="M43" s="4">
        <v>7.3910915156414269E-4</v>
      </c>
    </row>
    <row r="44" spans="1:13">
      <c r="A44" s="29" t="s">
        <v>272</v>
      </c>
      <c r="B44" s="4">
        <v>9.2277316185537101E-5</v>
      </c>
      <c r="D44" s="4">
        <v>1.8917740209568976E-4</v>
      </c>
      <c r="E44" s="4">
        <v>0</v>
      </c>
      <c r="F44" s="4"/>
      <c r="G44" s="4">
        <v>0</v>
      </c>
      <c r="H44" s="4">
        <v>7.8429877213655706E-4</v>
      </c>
      <c r="I44" s="4">
        <v>0</v>
      </c>
      <c r="J44" s="4">
        <v>0</v>
      </c>
      <c r="K44" s="4">
        <v>0</v>
      </c>
      <c r="L44" s="4">
        <v>0</v>
      </c>
      <c r="M44" s="4">
        <v>0</v>
      </c>
    </row>
    <row r="45" spans="1:13">
      <c r="A45" s="29" t="s">
        <v>273</v>
      </c>
      <c r="B45" s="4">
        <v>9.5634785913105216E-3</v>
      </c>
      <c r="D45" s="4">
        <v>1.2735094071318936E-2</v>
      </c>
      <c r="E45" s="4">
        <v>6.6299066799024456E-3</v>
      </c>
      <c r="F45" s="4"/>
      <c r="G45" s="4">
        <v>5.8755751253405817E-3</v>
      </c>
      <c r="H45" s="4">
        <v>1.2344474108136556E-2</v>
      </c>
      <c r="I45" s="4">
        <v>8.4250841678495114E-3</v>
      </c>
      <c r="J45" s="4">
        <v>5.8834367913385682E-3</v>
      </c>
      <c r="K45" s="4">
        <v>6.6810171303954696E-3</v>
      </c>
      <c r="L45" s="4">
        <v>2.1180002127224925E-2</v>
      </c>
      <c r="M45" s="4">
        <v>7.6293928901784627E-3</v>
      </c>
    </row>
    <row r="46" spans="1:13">
      <c r="A46" s="29" t="s">
        <v>274</v>
      </c>
      <c r="B46" s="4">
        <v>6.9849713074038684E-3</v>
      </c>
      <c r="D46" s="4">
        <v>2.7042446037441868E-3</v>
      </c>
      <c r="E46" s="4">
        <v>1.1208110987961472E-2</v>
      </c>
      <c r="F46" s="4"/>
      <c r="G46" s="4">
        <v>3.6128759675570672E-2</v>
      </c>
      <c r="H46" s="4">
        <v>1.4356033680255741E-2</v>
      </c>
      <c r="I46" s="4">
        <v>4.3731634787052276E-3</v>
      </c>
      <c r="J46" s="4">
        <v>5.4680693622502722E-3</v>
      </c>
      <c r="K46" s="4">
        <v>4.6759292337224274E-3</v>
      </c>
      <c r="L46" s="4">
        <v>3.4956186088311711E-3</v>
      </c>
      <c r="M46" s="4">
        <v>4.3208939386681867E-3</v>
      </c>
    </row>
    <row r="47" spans="1:13">
      <c r="A47" s="29" t="s">
        <v>275</v>
      </c>
      <c r="B47" s="4">
        <v>1.2395620796867429E-2</v>
      </c>
      <c r="D47" s="4">
        <v>2.1510291910941223E-3</v>
      </c>
      <c r="E47" s="4">
        <v>2.1980192085678744E-2</v>
      </c>
      <c r="F47" s="4"/>
      <c r="G47" s="4">
        <v>1.5451838560368442E-2</v>
      </c>
      <c r="H47" s="4">
        <v>1.573508207987687E-2</v>
      </c>
      <c r="I47" s="4">
        <v>1.1835184559441964E-2</v>
      </c>
      <c r="J47" s="4">
        <v>1.2191841903843613E-2</v>
      </c>
      <c r="K47" s="4">
        <v>6.0069928860036412E-3</v>
      </c>
      <c r="L47" s="4">
        <v>9.7938938237018009E-3</v>
      </c>
      <c r="M47" s="4">
        <v>1.6852002950102862E-2</v>
      </c>
    </row>
    <row r="48" spans="1:13">
      <c r="A48" s="29" t="s">
        <v>276</v>
      </c>
      <c r="B48" s="4">
        <v>5.3178937651456374E-4</v>
      </c>
      <c r="D48" s="4">
        <v>5.3987262299216941E-4</v>
      </c>
      <c r="E48" s="4">
        <v>5.3103914980750209E-4</v>
      </c>
      <c r="F48" s="4"/>
      <c r="G48" s="4">
        <v>0</v>
      </c>
      <c r="H48" s="4">
        <v>0</v>
      </c>
      <c r="I48" s="4">
        <v>5.7717667398520986E-4</v>
      </c>
      <c r="J48" s="4">
        <v>1.0398542519730431E-3</v>
      </c>
      <c r="K48" s="4">
        <v>0</v>
      </c>
      <c r="L48" s="4">
        <v>1.3337474732394291E-3</v>
      </c>
      <c r="M48" s="4">
        <v>3.5403315529353862E-4</v>
      </c>
    </row>
    <row r="49" spans="1:13">
      <c r="A49" s="29" t="s">
        <v>277</v>
      </c>
      <c r="B49" s="4">
        <v>1.7446309843027733E-4</v>
      </c>
      <c r="D49" s="4">
        <v>1.774422729014466E-4</v>
      </c>
      <c r="E49" s="4">
        <v>1.7390113670232065E-4</v>
      </c>
      <c r="F49" s="4"/>
      <c r="G49" s="4">
        <v>0</v>
      </c>
      <c r="H49" s="4">
        <v>0</v>
      </c>
      <c r="I49" s="4">
        <v>4.7249590588578839E-4</v>
      </c>
      <c r="J49" s="4">
        <v>0</v>
      </c>
      <c r="K49" s="4">
        <v>5.8768437191303541E-4</v>
      </c>
      <c r="L49" s="4">
        <v>0</v>
      </c>
      <c r="M49" s="4">
        <v>0</v>
      </c>
    </row>
    <row r="50" spans="1:13">
      <c r="A50" s="29" t="s">
        <v>278</v>
      </c>
      <c r="B50" s="4">
        <v>6.1919416221565757E-4</v>
      </c>
      <c r="D50" s="4">
        <v>7.5720350338886935E-4</v>
      </c>
      <c r="E50" s="4">
        <v>4.9423466787745774E-4</v>
      </c>
      <c r="F50" s="4"/>
      <c r="G50" s="4">
        <v>0</v>
      </c>
      <c r="H50" s="4">
        <v>0</v>
      </c>
      <c r="I50" s="4">
        <v>1.3149915503862923E-3</v>
      </c>
      <c r="J50" s="4">
        <v>1.7069438728060981E-3</v>
      </c>
      <c r="K50" s="4">
        <v>0</v>
      </c>
      <c r="L50" s="4">
        <v>6.2467345166406071E-4</v>
      </c>
      <c r="M50" s="4">
        <v>0</v>
      </c>
    </row>
    <row r="51" spans="1:13">
      <c r="A51" s="29" t="s">
        <v>279</v>
      </c>
      <c r="B51" s="4">
        <v>2.1617194620110651E-4</v>
      </c>
      <c r="D51" s="4">
        <v>3.2665840713717604E-4</v>
      </c>
      <c r="E51" s="4">
        <v>1.124272599634205E-4</v>
      </c>
      <c r="F51" s="4"/>
      <c r="G51" s="4">
        <v>0</v>
      </c>
      <c r="H51" s="4">
        <v>0</v>
      </c>
      <c r="I51" s="4">
        <v>0</v>
      </c>
      <c r="J51" s="4">
        <v>5.4757868092987494E-4</v>
      </c>
      <c r="K51" s="4">
        <v>0</v>
      </c>
      <c r="L51" s="4">
        <v>0</v>
      </c>
      <c r="M51" s="4">
        <v>5.9129417570454013E-4</v>
      </c>
    </row>
    <row r="52" spans="1:13">
      <c r="A52" s="29" t="s">
        <v>280</v>
      </c>
      <c r="B52" s="4">
        <v>1.5831609251079257E-4</v>
      </c>
      <c r="D52" s="4">
        <v>1.7668642344809994E-4</v>
      </c>
      <c r="E52" s="4">
        <v>1.4268889480600208E-4</v>
      </c>
      <c r="F52" s="4"/>
      <c r="G52" s="4">
        <v>0</v>
      </c>
      <c r="H52" s="4">
        <v>0</v>
      </c>
      <c r="I52" s="4">
        <v>8.6425185913253726E-4</v>
      </c>
      <c r="J52" s="4">
        <v>0</v>
      </c>
      <c r="K52" s="4">
        <v>0</v>
      </c>
      <c r="L52" s="4">
        <v>0</v>
      </c>
      <c r="M52" s="4">
        <v>0</v>
      </c>
    </row>
    <row r="53" spans="1:13">
      <c r="A53" s="29" t="s">
        <v>281</v>
      </c>
      <c r="B53" s="4">
        <v>3.4239716257495108E-3</v>
      </c>
      <c r="D53" s="4">
        <v>1.2701311261343704E-3</v>
      </c>
      <c r="E53" s="4">
        <v>5.5476375698703109E-3</v>
      </c>
      <c r="F53" s="4"/>
      <c r="G53" s="4">
        <v>8.2526683162402401E-3</v>
      </c>
      <c r="H53" s="4">
        <v>2.0927951967177789E-3</v>
      </c>
      <c r="I53" s="4">
        <v>7.5102032680681588E-3</v>
      </c>
      <c r="J53" s="4">
        <v>3.7290491532161185E-3</v>
      </c>
      <c r="K53" s="4">
        <v>3.0118386865683393E-3</v>
      </c>
      <c r="L53" s="4">
        <v>1.7256688716761697E-3</v>
      </c>
      <c r="M53" s="4">
        <v>6.5563170215439186E-4</v>
      </c>
    </row>
    <row r="54" spans="1:13">
      <c r="A54" s="29" t="s">
        <v>282</v>
      </c>
      <c r="B54" s="4">
        <v>9.2299413053032397E-4</v>
      </c>
      <c r="D54" s="4">
        <v>1.1425212885901575E-3</v>
      </c>
      <c r="E54" s="4">
        <v>7.2340389317571792E-4</v>
      </c>
      <c r="F54" s="4"/>
      <c r="G54" s="4">
        <v>0</v>
      </c>
      <c r="H54" s="4">
        <v>8.7964199541302579E-4</v>
      </c>
      <c r="I54" s="4">
        <v>1.8122719690327246E-3</v>
      </c>
      <c r="J54" s="4">
        <v>2.7972072327681718E-3</v>
      </c>
      <c r="K54" s="4">
        <v>0</v>
      </c>
      <c r="L54" s="4">
        <v>0</v>
      </c>
      <c r="M54" s="4">
        <v>0</v>
      </c>
    </row>
    <row r="55" spans="1:13">
      <c r="A55" s="29" t="s">
        <v>283</v>
      </c>
      <c r="B55" s="4">
        <v>5.4212089726937392E-4</v>
      </c>
      <c r="D55" s="4">
        <v>5.6364737711563811E-4</v>
      </c>
      <c r="E55" s="4">
        <v>5.2853602005344732E-4</v>
      </c>
      <c r="F55" s="4"/>
      <c r="G55" s="4">
        <v>0</v>
      </c>
      <c r="H55" s="4">
        <v>8.2426810947244539E-4</v>
      </c>
      <c r="I55" s="4">
        <v>3.9376864033834557E-4</v>
      </c>
      <c r="J55" s="4">
        <v>1.1191320909224145E-3</v>
      </c>
      <c r="K55" s="4">
        <v>0</v>
      </c>
      <c r="L55" s="4">
        <v>0</v>
      </c>
      <c r="M55" s="4">
        <v>8.7153598167506025E-4</v>
      </c>
    </row>
    <row r="56" spans="1:13">
      <c r="A56" s="29" t="s">
        <v>284</v>
      </c>
      <c r="B56" s="4">
        <v>1.2185759009484072E-3</v>
      </c>
      <c r="D56" s="4">
        <v>2.0496001688848288E-3</v>
      </c>
      <c r="E56" s="4">
        <v>4.3285989346616332E-4</v>
      </c>
      <c r="F56" s="4"/>
      <c r="G56" s="4">
        <v>0</v>
      </c>
      <c r="H56" s="4">
        <v>7.6368908386258518E-4</v>
      </c>
      <c r="I56" s="4">
        <v>9.3564853930113324E-4</v>
      </c>
      <c r="J56" s="4">
        <v>0</v>
      </c>
      <c r="K56" s="4">
        <v>1.855522630980218E-3</v>
      </c>
      <c r="L56" s="4">
        <v>1.3261527392185654E-3</v>
      </c>
      <c r="M56" s="4">
        <v>2.4889471949514738E-3</v>
      </c>
    </row>
    <row r="57" spans="1:13">
      <c r="A57" s="29" t="s">
        <v>285</v>
      </c>
      <c r="B57" s="4">
        <v>0.1289276313521158</v>
      </c>
      <c r="D57" s="4">
        <v>9.8185215720774405E-2</v>
      </c>
      <c r="E57" s="4">
        <v>0.15909668325081719</v>
      </c>
      <c r="F57" s="4"/>
      <c r="G57" s="4">
        <v>8.9597751863102024E-2</v>
      </c>
      <c r="H57" s="4">
        <v>0.1142017373171817</v>
      </c>
      <c r="I57" s="4">
        <v>0.15297921146761118</v>
      </c>
      <c r="J57" s="4">
        <v>0.13677995178582225</v>
      </c>
      <c r="K57" s="4">
        <v>0.1100725151308017</v>
      </c>
      <c r="L57" s="4">
        <v>0.12628598137441585</v>
      </c>
      <c r="M57" s="4">
        <v>0.13265873267438238</v>
      </c>
    </row>
    <row r="58" spans="1:13">
      <c r="A58" s="29" t="s">
        <v>286</v>
      </c>
      <c r="B58" s="4">
        <v>0</v>
      </c>
      <c r="D58" s="4">
        <v>0</v>
      </c>
      <c r="E58" s="4">
        <v>0</v>
      </c>
      <c r="F58" s="4"/>
      <c r="G58" s="4">
        <v>0</v>
      </c>
      <c r="H58" s="4">
        <v>0</v>
      </c>
      <c r="I58" s="4">
        <v>0</v>
      </c>
      <c r="J58" s="4">
        <v>0</v>
      </c>
      <c r="K58" s="4">
        <v>0</v>
      </c>
      <c r="L58" s="4">
        <v>0</v>
      </c>
      <c r="M58" s="4">
        <v>0</v>
      </c>
    </row>
    <row r="59" spans="1:13">
      <c r="A59" s="29" t="s">
        <v>287</v>
      </c>
      <c r="B59" s="4">
        <v>6.9590092925862377E-4</v>
      </c>
      <c r="D59" s="4">
        <v>1.101447023364382E-3</v>
      </c>
      <c r="E59" s="4">
        <v>3.1380747539931696E-4</v>
      </c>
      <c r="F59" s="4"/>
      <c r="G59" s="4">
        <v>0</v>
      </c>
      <c r="H59" s="4">
        <v>1.5569072780732673E-3</v>
      </c>
      <c r="I59" s="4">
        <v>1.8390599840734925E-3</v>
      </c>
      <c r="J59" s="4">
        <v>5.2311900034299988E-4</v>
      </c>
      <c r="K59" s="4">
        <v>0</v>
      </c>
      <c r="L59" s="4">
        <v>6.5447128893384723E-4</v>
      </c>
      <c r="M59" s="4">
        <v>0</v>
      </c>
    </row>
    <row r="60" spans="1:13">
      <c r="A60" s="29" t="s">
        <v>288</v>
      </c>
      <c r="B60" s="4">
        <v>3.0548842567590568E-2</v>
      </c>
      <c r="D60" s="4">
        <v>4.7808402256552633E-2</v>
      </c>
      <c r="E60" s="4">
        <v>1.4120129955107537E-2</v>
      </c>
      <c r="F60" s="4"/>
      <c r="G60" s="4">
        <v>9.1712935680435329E-2</v>
      </c>
      <c r="H60" s="4">
        <v>6.9243257341570816E-2</v>
      </c>
      <c r="I60" s="4">
        <v>4.9752950624627812E-2</v>
      </c>
      <c r="J60" s="4">
        <v>3.5510947161534204E-2</v>
      </c>
      <c r="K60" s="4">
        <v>1.6365835517019228E-2</v>
      </c>
      <c r="L60" s="4">
        <v>5.3157337979043932E-3</v>
      </c>
      <c r="M60" s="4">
        <v>6.6339047014351768E-4</v>
      </c>
    </row>
    <row r="61" spans="1:13">
      <c r="A61" s="29" t="s">
        <v>289</v>
      </c>
      <c r="B61" s="4">
        <v>6.5512366048779778E-4</v>
      </c>
      <c r="D61" s="4">
        <v>1.1263123717898237E-3</v>
      </c>
      <c r="E61" s="4">
        <v>2.0914997610776929E-4</v>
      </c>
      <c r="F61" s="4"/>
      <c r="G61" s="4">
        <v>0</v>
      </c>
      <c r="H61" s="4">
        <v>0</v>
      </c>
      <c r="I61" s="4">
        <v>3.0660914254220691E-3</v>
      </c>
      <c r="J61" s="4">
        <v>0</v>
      </c>
      <c r="K61" s="4">
        <v>6.2484281510760437E-4</v>
      </c>
      <c r="L61" s="4">
        <v>0</v>
      </c>
      <c r="M61" s="4">
        <v>0</v>
      </c>
    </row>
    <row r="62" spans="1:13">
      <c r="A62" s="29" t="s">
        <v>290</v>
      </c>
      <c r="B62" s="4">
        <v>2.6244584385041271E-4</v>
      </c>
      <c r="D62" s="4">
        <v>3.5245294518983884E-4</v>
      </c>
      <c r="E62" s="4">
        <v>1.7907545195693225E-4</v>
      </c>
      <c r="F62" s="4"/>
      <c r="G62" s="4">
        <v>0</v>
      </c>
      <c r="H62" s="4">
        <v>0</v>
      </c>
      <c r="I62" s="4">
        <v>0</v>
      </c>
      <c r="J62" s="4">
        <v>5.1940022840111838E-4</v>
      </c>
      <c r="K62" s="4">
        <v>0</v>
      </c>
      <c r="L62" s="4">
        <v>1.3289850336842357E-3</v>
      </c>
      <c r="M62" s="4">
        <v>0</v>
      </c>
    </row>
    <row r="63" spans="1:13">
      <c r="A63" s="29" t="s">
        <v>291</v>
      </c>
      <c r="B63" s="4">
        <v>5.014133746577454E-4</v>
      </c>
      <c r="D63" s="4">
        <v>1.0279457998438419E-3</v>
      </c>
      <c r="E63" s="4">
        <v>0</v>
      </c>
      <c r="F63" s="4"/>
      <c r="G63" s="4">
        <v>7.006016076156669E-3</v>
      </c>
      <c r="H63" s="4">
        <v>0</v>
      </c>
      <c r="I63" s="4">
        <v>5.4187989896278767E-4</v>
      </c>
      <c r="J63" s="4">
        <v>6.2970150439650078E-4</v>
      </c>
      <c r="K63" s="4">
        <v>0</v>
      </c>
      <c r="L63" s="4">
        <v>0</v>
      </c>
      <c r="M63" s="4">
        <v>0</v>
      </c>
    </row>
    <row r="64" spans="1:13">
      <c r="A64" s="29" t="s">
        <v>292</v>
      </c>
      <c r="B64" s="4">
        <v>2.5516855303434997E-2</v>
      </c>
      <c r="D64" s="4">
        <v>4.2411236455051668E-2</v>
      </c>
      <c r="E64" s="4">
        <v>9.4135421296125434E-3</v>
      </c>
      <c r="F64" s="4"/>
      <c r="G64" s="4">
        <v>1.4128243441580821E-2</v>
      </c>
      <c r="H64" s="4">
        <v>9.2767994633769207E-3</v>
      </c>
      <c r="I64" s="4">
        <v>1.1110408614725347E-2</v>
      </c>
      <c r="J64" s="4">
        <v>1.0710655246001073E-2</v>
      </c>
      <c r="K64" s="4">
        <v>2.5976645851584365E-2</v>
      </c>
      <c r="L64" s="4">
        <v>4.0185396629757716E-2</v>
      </c>
      <c r="M64" s="4">
        <v>5.3134983523187691E-2</v>
      </c>
    </row>
    <row r="65" spans="1:13">
      <c r="A65" s="29" t="s">
        <v>293</v>
      </c>
      <c r="B65" s="4">
        <v>8.5104308033990165E-5</v>
      </c>
      <c r="D65" s="4">
        <v>1.7447204325546877E-4</v>
      </c>
      <c r="E65" s="4">
        <v>0</v>
      </c>
      <c r="F65" s="4"/>
      <c r="G65" s="4">
        <v>0</v>
      </c>
      <c r="H65" s="4">
        <v>7.2333274366567779E-4</v>
      </c>
      <c r="I65" s="4">
        <v>0</v>
      </c>
      <c r="J65" s="4">
        <v>0</v>
      </c>
      <c r="K65" s="4">
        <v>0</v>
      </c>
      <c r="L65" s="4">
        <v>0</v>
      </c>
      <c r="M65" s="4">
        <v>0</v>
      </c>
    </row>
    <row r="66" spans="1:13">
      <c r="A66" s="29" t="s">
        <v>294</v>
      </c>
      <c r="B66" s="4">
        <v>0</v>
      </c>
      <c r="D66" s="4">
        <v>0</v>
      </c>
      <c r="E66" s="4">
        <v>0</v>
      </c>
      <c r="F66" s="4"/>
      <c r="G66" s="4">
        <v>0</v>
      </c>
      <c r="H66" s="4">
        <v>0</v>
      </c>
      <c r="I66" s="4">
        <v>0</v>
      </c>
      <c r="J66" s="4">
        <v>0</v>
      </c>
      <c r="K66" s="4">
        <v>0</v>
      </c>
      <c r="L66" s="4">
        <v>0</v>
      </c>
      <c r="M66" s="4">
        <v>0</v>
      </c>
    </row>
    <row r="67" spans="1:13">
      <c r="A67" s="29" t="s">
        <v>295</v>
      </c>
      <c r="B67" s="4">
        <v>3.7076584794241267E-3</v>
      </c>
      <c r="D67" s="4">
        <v>7.4834414675715338E-4</v>
      </c>
      <c r="E67" s="4">
        <v>6.6123004764392281E-3</v>
      </c>
      <c r="F67" s="4"/>
      <c r="G67" s="4">
        <v>1.5451838560368442E-2</v>
      </c>
      <c r="H67" s="4">
        <v>8.6023146660700774E-3</v>
      </c>
      <c r="I67" s="4">
        <v>6.6005969544740591E-3</v>
      </c>
      <c r="J67" s="4">
        <v>2.1908164836130818E-3</v>
      </c>
      <c r="K67" s="4">
        <v>1.2034722531640923E-3</v>
      </c>
      <c r="L67" s="4">
        <v>1.2387827348850817E-3</v>
      </c>
      <c r="M67" s="4">
        <v>5.8489322566504488E-4</v>
      </c>
    </row>
    <row r="68" spans="1:13">
      <c r="A68" s="29" t="s">
        <v>296</v>
      </c>
      <c r="B68" s="4">
        <v>4.4194952102224967E-4</v>
      </c>
      <c r="D68" s="4">
        <v>9.0603916217415494E-4</v>
      </c>
      <c r="E68" s="4">
        <v>0</v>
      </c>
      <c r="F68" s="4"/>
      <c r="G68" s="4">
        <v>0</v>
      </c>
      <c r="H68" s="4">
        <v>7.2333274366567779E-4</v>
      </c>
      <c r="I68" s="4">
        <v>1.4754226909517009E-3</v>
      </c>
      <c r="J68" s="4">
        <v>0</v>
      </c>
      <c r="K68" s="4">
        <v>5.7874748871613116E-4</v>
      </c>
      <c r="L68" s="4">
        <v>0</v>
      </c>
      <c r="M68" s="4">
        <v>0</v>
      </c>
    </row>
    <row r="69" spans="1:13">
      <c r="A69" s="29" t="s">
        <v>297</v>
      </c>
      <c r="B69" s="4">
        <v>2.8624287723716992E-4</v>
      </c>
      <c r="D69" s="4">
        <v>3.8688755328366436E-4</v>
      </c>
      <c r="E69" s="4">
        <v>1.929235626237226E-4</v>
      </c>
      <c r="F69" s="4"/>
      <c r="G69" s="4">
        <v>0</v>
      </c>
      <c r="H69" s="4">
        <v>0</v>
      </c>
      <c r="I69" s="4">
        <v>0</v>
      </c>
      <c r="J69" s="4">
        <v>1.0925504331885637E-3</v>
      </c>
      <c r="K69" s="4">
        <v>6.4058701286283111E-4</v>
      </c>
      <c r="L69" s="4">
        <v>0</v>
      </c>
      <c r="M69" s="4">
        <v>0</v>
      </c>
    </row>
    <row r="70" spans="1:13">
      <c r="A70" s="29" t="s">
        <v>298</v>
      </c>
      <c r="B70" s="4">
        <v>3.7433409904329756E-3</v>
      </c>
      <c r="D70" s="4">
        <v>3.4639252537191282E-3</v>
      </c>
      <c r="E70" s="4">
        <v>4.0625759971802799E-3</v>
      </c>
      <c r="F70" s="4"/>
      <c r="G70" s="4">
        <v>6.9963920420902121E-3</v>
      </c>
      <c r="H70" s="4">
        <v>7.9867637109442332E-3</v>
      </c>
      <c r="I70" s="4">
        <v>3.0074497633327227E-3</v>
      </c>
      <c r="J70" s="4">
        <v>5.8556607954458797E-3</v>
      </c>
      <c r="K70" s="4">
        <v>2.1915443842282613E-3</v>
      </c>
      <c r="L70" s="4">
        <v>4.2468002867009826E-3</v>
      </c>
      <c r="M70" s="4">
        <v>3.0835473895659459E-4</v>
      </c>
    </row>
    <row r="71" spans="1:13">
      <c r="A71" s="29" t="s">
        <v>299</v>
      </c>
      <c r="B71" s="4">
        <v>4.9973708725730174E-4</v>
      </c>
      <c r="D71" s="4">
        <v>6.7123951081062114E-4</v>
      </c>
      <c r="E71" s="4">
        <v>3.4087601366673804E-4</v>
      </c>
      <c r="F71" s="4"/>
      <c r="G71" s="4">
        <v>0</v>
      </c>
      <c r="H71" s="4">
        <v>0</v>
      </c>
      <c r="I71" s="4">
        <v>1.2916857901453035E-3</v>
      </c>
      <c r="J71" s="4">
        <v>1.0560663411472893E-3</v>
      </c>
      <c r="K71" s="4">
        <v>5.2853409310142738E-4</v>
      </c>
      <c r="L71" s="4">
        <v>0</v>
      </c>
      <c r="M71" s="4">
        <v>0</v>
      </c>
    </row>
    <row r="72" spans="1:13">
      <c r="A72" s="29" t="s">
        <v>300</v>
      </c>
      <c r="B72" s="4">
        <v>2.6279865431793161E-4</v>
      </c>
      <c r="D72" s="4">
        <v>3.7815731441300264E-4</v>
      </c>
      <c r="E72" s="4">
        <v>1.5497078657345612E-4</v>
      </c>
      <c r="F72" s="4"/>
      <c r="G72" s="4">
        <v>0</v>
      </c>
      <c r="H72" s="4">
        <v>7.5662588820997055E-4</v>
      </c>
      <c r="I72" s="4">
        <v>0</v>
      </c>
      <c r="J72" s="4">
        <v>5.4757868092987494E-4</v>
      </c>
      <c r="K72" s="4">
        <v>5.2371083420914332E-4</v>
      </c>
      <c r="L72" s="4">
        <v>0</v>
      </c>
      <c r="M72" s="4">
        <v>0</v>
      </c>
    </row>
    <row r="73" spans="1:13">
      <c r="A73" s="29" t="s">
        <v>301</v>
      </c>
      <c r="B73" s="4">
        <v>7.906185091428781E-5</v>
      </c>
      <c r="D73" s="4">
        <v>0</v>
      </c>
      <c r="E73" s="4">
        <v>1.5639803263284581E-4</v>
      </c>
      <c r="F73" s="4"/>
      <c r="G73" s="4">
        <v>0</v>
      </c>
      <c r="H73" s="4">
        <v>0</v>
      </c>
      <c r="I73" s="4">
        <v>0</v>
      </c>
      <c r="J73" s="4">
        <v>0</v>
      </c>
      <c r="K73" s="4">
        <v>5.2853409310142738E-4</v>
      </c>
      <c r="L73" s="4">
        <v>0</v>
      </c>
      <c r="M73" s="4">
        <v>0</v>
      </c>
    </row>
    <row r="74" spans="1:13">
      <c r="A74" s="29" t="s">
        <v>302</v>
      </c>
      <c r="B74" s="4">
        <v>4.3745606907429085E-4</v>
      </c>
      <c r="D74" s="4">
        <v>0</v>
      </c>
      <c r="E74" s="4">
        <v>8.6536386101926225E-4</v>
      </c>
      <c r="F74" s="4"/>
      <c r="G74" s="4">
        <v>0</v>
      </c>
      <c r="H74" s="4">
        <v>2.3375480915712029E-3</v>
      </c>
      <c r="I74" s="4">
        <v>3.9252730501832732E-4</v>
      </c>
      <c r="J74" s="4">
        <v>5.1940022840111838E-4</v>
      </c>
      <c r="K74" s="4">
        <v>0</v>
      </c>
      <c r="L74" s="4">
        <v>0</v>
      </c>
      <c r="M74" s="4">
        <v>0</v>
      </c>
    </row>
    <row r="75" spans="1:13">
      <c r="A75" s="29" t="s">
        <v>303</v>
      </c>
      <c r="B75" s="4">
        <v>3.6330478670341308E-4</v>
      </c>
      <c r="D75" s="4">
        <v>3.9843845405158966E-4</v>
      </c>
      <c r="E75" s="4">
        <v>3.3421970298141431E-4</v>
      </c>
      <c r="F75" s="4"/>
      <c r="G75" s="4">
        <v>0</v>
      </c>
      <c r="H75" s="4">
        <v>0</v>
      </c>
      <c r="I75" s="4">
        <v>1.5052470228636573E-3</v>
      </c>
      <c r="J75" s="4">
        <v>0</v>
      </c>
      <c r="K75" s="4">
        <v>5.8540761444718196E-4</v>
      </c>
      <c r="L75" s="4">
        <v>0</v>
      </c>
      <c r="M75" s="4">
        <v>0</v>
      </c>
    </row>
    <row r="76" spans="1:13">
      <c r="A76" s="29" t="s">
        <v>304</v>
      </c>
      <c r="B76" s="4">
        <v>2.3154410647390983E-4</v>
      </c>
      <c r="D76" s="4">
        <v>4.7468776015580961E-4</v>
      </c>
      <c r="E76" s="4">
        <v>0</v>
      </c>
      <c r="F76" s="4"/>
      <c r="G76" s="4">
        <v>0</v>
      </c>
      <c r="H76" s="4">
        <v>7.2945670651302036E-4</v>
      </c>
      <c r="I76" s="4">
        <v>4.3285596344366225E-4</v>
      </c>
      <c r="J76" s="4">
        <v>0</v>
      </c>
      <c r="K76" s="4">
        <v>0</v>
      </c>
      <c r="L76" s="4">
        <v>0</v>
      </c>
      <c r="M76" s="4">
        <v>3.2532544346916857E-4</v>
      </c>
    </row>
    <row r="77" spans="1:13">
      <c r="A77" s="29" t="s">
        <v>305</v>
      </c>
      <c r="B77" s="4">
        <v>1.4817148880706889E-3</v>
      </c>
      <c r="D77" s="4">
        <v>2.3459106313415512E-3</v>
      </c>
      <c r="E77" s="4">
        <v>6.674793448642228E-4</v>
      </c>
      <c r="F77" s="4"/>
      <c r="G77" s="4">
        <v>0</v>
      </c>
      <c r="H77" s="4">
        <v>1.7565310421110291E-3</v>
      </c>
      <c r="I77" s="4">
        <v>4.4900063670434741E-3</v>
      </c>
      <c r="J77" s="4">
        <v>1.0882924370691791E-3</v>
      </c>
      <c r="K77" s="4">
        <v>1.7573682657828439E-3</v>
      </c>
      <c r="L77" s="4">
        <v>0</v>
      </c>
      <c r="M77" s="4">
        <v>0</v>
      </c>
    </row>
    <row r="78" spans="1:13">
      <c r="A78" s="29" t="s">
        <v>306</v>
      </c>
      <c r="B78" s="4">
        <v>1.8228935745187586E-3</v>
      </c>
      <c r="D78" s="4">
        <v>1.9306240844460072E-3</v>
      </c>
      <c r="E78" s="4">
        <v>1.5677565281290138E-3</v>
      </c>
      <c r="F78" s="4"/>
      <c r="G78" s="4">
        <v>0</v>
      </c>
      <c r="H78" s="4">
        <v>5.3180922741718891E-3</v>
      </c>
      <c r="I78" s="4">
        <v>9.13198603654913E-4</v>
      </c>
      <c r="J78" s="4">
        <v>1.6201758447653147E-3</v>
      </c>
      <c r="K78" s="4">
        <v>2.9766595165795448E-3</v>
      </c>
      <c r="L78" s="4">
        <v>1.9132883678725215E-3</v>
      </c>
      <c r="M78" s="4">
        <v>2.6814357674037267E-4</v>
      </c>
    </row>
    <row r="79" spans="1:13">
      <c r="A79" s="29" t="s">
        <v>307</v>
      </c>
      <c r="B79" s="4">
        <v>3.7862691102106448E-4</v>
      </c>
      <c r="D79" s="4">
        <v>5.7311214610566714E-4</v>
      </c>
      <c r="E79" s="4">
        <v>1.9598388469574328E-4</v>
      </c>
      <c r="F79" s="4"/>
      <c r="G79" s="4">
        <v>0</v>
      </c>
      <c r="H79" s="4">
        <v>7.8429877213655706E-4</v>
      </c>
      <c r="I79" s="4">
        <v>1.0113263440408508E-3</v>
      </c>
      <c r="J79" s="4">
        <v>0</v>
      </c>
      <c r="K79" s="4">
        <v>6.758070951394812E-4</v>
      </c>
      <c r="L79" s="4">
        <v>0</v>
      </c>
      <c r="M79" s="4">
        <v>0</v>
      </c>
    </row>
    <row r="80" spans="1:13">
      <c r="A80" s="29" t="s">
        <v>308</v>
      </c>
      <c r="B80" s="4">
        <v>0</v>
      </c>
      <c r="D80" s="4">
        <v>0</v>
      </c>
      <c r="E80" s="4">
        <v>0</v>
      </c>
      <c r="F80" s="4"/>
      <c r="G80" s="4">
        <v>0</v>
      </c>
      <c r="H80" s="4">
        <v>0</v>
      </c>
      <c r="I80" s="4">
        <v>0</v>
      </c>
      <c r="J80" s="4">
        <v>0</v>
      </c>
      <c r="K80" s="4">
        <v>0</v>
      </c>
      <c r="L80" s="4">
        <v>0</v>
      </c>
      <c r="M80" s="4">
        <v>0</v>
      </c>
    </row>
    <row r="81" spans="1:13">
      <c r="A81" s="29" t="s">
        <v>309</v>
      </c>
      <c r="B81" s="4">
        <v>9.9073168713016734E-5</v>
      </c>
      <c r="D81" s="4">
        <v>0</v>
      </c>
      <c r="E81" s="4">
        <v>1.9598388469574328E-4</v>
      </c>
      <c r="F81" s="4"/>
      <c r="G81" s="4">
        <v>0</v>
      </c>
      <c r="H81" s="4">
        <v>0</v>
      </c>
      <c r="I81" s="4">
        <v>5.4084312524665902E-4</v>
      </c>
      <c r="J81" s="4">
        <v>0</v>
      </c>
      <c r="K81" s="4">
        <v>0</v>
      </c>
      <c r="L81" s="4">
        <v>0</v>
      </c>
      <c r="M81" s="4">
        <v>0</v>
      </c>
    </row>
    <row r="82" spans="1:13">
      <c r="A82" s="29" t="s">
        <v>310</v>
      </c>
      <c r="B82" s="4">
        <v>8.4054416896149999E-5</v>
      </c>
      <c r="D82" s="4">
        <v>0</v>
      </c>
      <c r="E82" s="4">
        <v>1.662741927318476E-4</v>
      </c>
      <c r="F82" s="4"/>
      <c r="G82" s="4">
        <v>0</v>
      </c>
      <c r="H82" s="4">
        <v>7.14409333619492E-4</v>
      </c>
      <c r="I82" s="4">
        <v>0</v>
      </c>
      <c r="J82" s="4">
        <v>0</v>
      </c>
      <c r="K82" s="4">
        <v>0</v>
      </c>
      <c r="L82" s="4">
        <v>0</v>
      </c>
      <c r="M82" s="4">
        <v>0</v>
      </c>
    </row>
    <row r="83" spans="1:13">
      <c r="A83" s="29" t="s">
        <v>311</v>
      </c>
      <c r="B83" s="4">
        <v>9.900825079202705E-4</v>
      </c>
      <c r="D83" s="4">
        <v>5.3460987748259886E-4</v>
      </c>
      <c r="E83" s="4">
        <v>1.4427004417450777E-3</v>
      </c>
      <c r="F83" s="4"/>
      <c r="G83" s="4">
        <v>1.5503898795739197E-2</v>
      </c>
      <c r="H83" s="4">
        <v>6.9902914426424757E-4</v>
      </c>
      <c r="I83" s="4">
        <v>0</v>
      </c>
      <c r="J83" s="4">
        <v>5.5578251561845299E-4</v>
      </c>
      <c r="K83" s="4">
        <v>1.0957254984875298E-3</v>
      </c>
      <c r="L83" s="4">
        <v>0</v>
      </c>
      <c r="M83" s="4">
        <v>0</v>
      </c>
    </row>
    <row r="84" spans="1:13">
      <c r="A84" s="29" t="s">
        <v>312</v>
      </c>
      <c r="B84" s="4">
        <v>0</v>
      </c>
      <c r="D84" s="4">
        <v>0</v>
      </c>
      <c r="E84" s="4">
        <v>0</v>
      </c>
      <c r="F84" s="4"/>
      <c r="G84" s="4">
        <v>0</v>
      </c>
      <c r="H84" s="4">
        <v>0</v>
      </c>
      <c r="I84" s="4">
        <v>0</v>
      </c>
      <c r="J84" s="4">
        <v>0</v>
      </c>
      <c r="K84" s="4">
        <v>0</v>
      </c>
      <c r="L84" s="4">
        <v>0</v>
      </c>
      <c r="M84" s="4">
        <v>0</v>
      </c>
    </row>
    <row r="85" spans="1:13">
      <c r="A85" s="29" t="s">
        <v>313</v>
      </c>
      <c r="B85" s="4">
        <v>6.0062110904783811E-4</v>
      </c>
      <c r="D85" s="4">
        <v>9.0087289777800541E-4</v>
      </c>
      <c r="E85" s="4">
        <v>3.1886489593823314E-4</v>
      </c>
      <c r="F85" s="4"/>
      <c r="G85" s="4">
        <v>0</v>
      </c>
      <c r="H85" s="4">
        <v>2.1938623221841274E-3</v>
      </c>
      <c r="I85" s="4">
        <v>8.8056516482805749E-4</v>
      </c>
      <c r="J85" s="4">
        <v>0</v>
      </c>
      <c r="K85" s="4">
        <v>1.211308312275836E-3</v>
      </c>
      <c r="L85" s="4">
        <v>0</v>
      </c>
      <c r="M85" s="4">
        <v>0</v>
      </c>
    </row>
    <row r="86" spans="1:13">
      <c r="A86" s="29" t="s">
        <v>314</v>
      </c>
      <c r="B86" s="4">
        <v>0</v>
      </c>
      <c r="D86" s="4">
        <v>0</v>
      </c>
      <c r="E86" s="4">
        <v>0</v>
      </c>
      <c r="F86" s="4"/>
      <c r="G86" s="4">
        <v>0</v>
      </c>
      <c r="H86" s="4">
        <v>0</v>
      </c>
      <c r="I86" s="4">
        <v>0</v>
      </c>
      <c r="J86" s="4">
        <v>0</v>
      </c>
      <c r="K86" s="4">
        <v>0</v>
      </c>
      <c r="L86" s="4">
        <v>0</v>
      </c>
      <c r="M86" s="4">
        <v>0</v>
      </c>
    </row>
    <row r="87" spans="1:13">
      <c r="A87" s="29" t="s">
        <v>315</v>
      </c>
      <c r="B87" s="4">
        <v>1.1166903880193368E-4</v>
      </c>
      <c r="D87" s="4">
        <v>0</v>
      </c>
      <c r="E87" s="4">
        <v>2.2090069701956802E-4</v>
      </c>
      <c r="F87" s="4"/>
      <c r="G87" s="4">
        <v>0</v>
      </c>
      <c r="H87" s="4">
        <v>0</v>
      </c>
      <c r="I87" s="4">
        <v>0</v>
      </c>
      <c r="J87" s="4">
        <v>0</v>
      </c>
      <c r="K87" s="4">
        <v>7.4651546185876163E-4</v>
      </c>
      <c r="L87" s="4">
        <v>0</v>
      </c>
      <c r="M87" s="4">
        <v>0</v>
      </c>
    </row>
    <row r="88" spans="1:13">
      <c r="A88" s="29" t="s">
        <v>316</v>
      </c>
      <c r="B88" s="4">
        <v>4.3959023990744282E-3</v>
      </c>
      <c r="D88" s="4">
        <v>3.5963927163103282E-3</v>
      </c>
      <c r="E88" s="4">
        <v>5.0829756829316747E-3</v>
      </c>
      <c r="F88" s="4"/>
      <c r="G88" s="4">
        <v>0</v>
      </c>
      <c r="H88" s="4">
        <v>3.7295641111440882E-3</v>
      </c>
      <c r="I88" s="4">
        <v>2.7074337484942574E-3</v>
      </c>
      <c r="J88" s="4">
        <v>1.6384312155648098E-3</v>
      </c>
      <c r="K88" s="4">
        <v>3.6841886957959427E-3</v>
      </c>
      <c r="L88" s="4">
        <v>5.4238553134072841E-4</v>
      </c>
      <c r="M88" s="4">
        <v>1.2509612431837595E-2</v>
      </c>
    </row>
    <row r="89" spans="1:13">
      <c r="A89" s="29" t="s">
        <v>317</v>
      </c>
      <c r="B89" s="4">
        <v>5.7890259979043049E-4</v>
      </c>
      <c r="D89" s="4">
        <v>1.0284348683464654E-3</v>
      </c>
      <c r="E89" s="4">
        <v>1.5281519593295825E-4</v>
      </c>
      <c r="F89" s="4"/>
      <c r="G89" s="4">
        <v>0</v>
      </c>
      <c r="H89" s="4">
        <v>8.7688904669800327E-4</v>
      </c>
      <c r="I89" s="4">
        <v>2.0682332672035003E-3</v>
      </c>
      <c r="J89" s="4">
        <v>5.5578251561845299E-4</v>
      </c>
      <c r="K89" s="4">
        <v>0</v>
      </c>
      <c r="L89" s="4">
        <v>0</v>
      </c>
      <c r="M89" s="4">
        <v>0</v>
      </c>
    </row>
    <row r="90" spans="1:13">
      <c r="A90" s="29" t="s">
        <v>318</v>
      </c>
      <c r="B90" s="4">
        <v>0</v>
      </c>
      <c r="D90" s="4">
        <v>0</v>
      </c>
      <c r="E90" s="4">
        <v>0</v>
      </c>
      <c r="F90" s="4"/>
      <c r="G90" s="4">
        <v>0</v>
      </c>
      <c r="H90" s="4">
        <v>0</v>
      </c>
      <c r="I90" s="4">
        <v>0</v>
      </c>
      <c r="J90" s="4">
        <v>0</v>
      </c>
      <c r="K90" s="4">
        <v>0</v>
      </c>
      <c r="L90" s="4">
        <v>0</v>
      </c>
      <c r="M90" s="4">
        <v>0</v>
      </c>
    </row>
    <row r="91" spans="1:13">
      <c r="A91" s="29" t="s">
        <v>319</v>
      </c>
      <c r="B91" s="4">
        <v>3.4013398942752426E-3</v>
      </c>
      <c r="D91" s="4">
        <v>5.6629922501357571E-3</v>
      </c>
      <c r="E91" s="4">
        <v>1.2641212388757898E-3</v>
      </c>
      <c r="F91" s="4"/>
      <c r="G91" s="4">
        <v>8.2526683162402401E-3</v>
      </c>
      <c r="H91" s="4">
        <v>6.1960158164539496E-3</v>
      </c>
      <c r="I91" s="4">
        <v>6.1089499195997946E-3</v>
      </c>
      <c r="J91" s="4">
        <v>1.632738295095258E-3</v>
      </c>
      <c r="K91" s="4">
        <v>2.9027848917122958E-3</v>
      </c>
      <c r="L91" s="4">
        <v>1.9556849766558496E-3</v>
      </c>
      <c r="M91" s="4">
        <v>1.1610844996183143E-3</v>
      </c>
    </row>
    <row r="92" spans="1:13">
      <c r="A92" s="29" t="s">
        <v>320</v>
      </c>
      <c r="B92" s="4">
        <v>1.4649246548768904E-3</v>
      </c>
      <c r="D92" s="4">
        <v>2.1450027878702036E-3</v>
      </c>
      <c r="E92" s="4">
        <v>8.2812477104150285E-4</v>
      </c>
      <c r="F92" s="4"/>
      <c r="G92" s="4">
        <v>6.2166774128867416E-3</v>
      </c>
      <c r="H92" s="4">
        <v>3.3374250397934448E-3</v>
      </c>
      <c r="I92" s="4">
        <v>2.306627374127743E-3</v>
      </c>
      <c r="J92" s="4">
        <v>0</v>
      </c>
      <c r="K92" s="4">
        <v>6.4058701286283111E-4</v>
      </c>
      <c r="L92" s="4">
        <v>1.2974270290272204E-3</v>
      </c>
      <c r="M92" s="4">
        <v>6.2003971548991533E-4</v>
      </c>
    </row>
    <row r="93" spans="1:13">
      <c r="A93" s="29" t="s">
        <v>321</v>
      </c>
      <c r="B93" s="4">
        <v>6.1731169525783562E-4</v>
      </c>
      <c r="D93" s="4">
        <v>1.1439399770798821E-3</v>
      </c>
      <c r="E93" s="4">
        <v>1.1734218290290932E-4</v>
      </c>
      <c r="F93" s="4"/>
      <c r="G93" s="4">
        <v>0</v>
      </c>
      <c r="H93" s="4">
        <v>8.0028138986329661E-4</v>
      </c>
      <c r="I93" s="4">
        <v>6.3415665865685278E-4</v>
      </c>
      <c r="J93" s="4">
        <v>1.0441153224738074E-3</v>
      </c>
      <c r="K93" s="4">
        <v>1.1076574904795502E-3</v>
      </c>
      <c r="L93" s="4">
        <v>0</v>
      </c>
      <c r="M93" s="4">
        <v>2.9050924649786833E-4</v>
      </c>
    </row>
    <row r="94" spans="1:13">
      <c r="A94" s="29" t="s">
        <v>322</v>
      </c>
      <c r="B94" s="4">
        <v>2.0222254325767133E-4</v>
      </c>
      <c r="D94" s="4">
        <v>2.3588266248679524E-4</v>
      </c>
      <c r="E94" s="4">
        <v>1.724239941624506E-4</v>
      </c>
      <c r="F94" s="4"/>
      <c r="G94" s="4">
        <v>0</v>
      </c>
      <c r="H94" s="4">
        <v>7.4083240908144707E-4</v>
      </c>
      <c r="I94" s="4">
        <v>6.2811183869557706E-4</v>
      </c>
      <c r="J94" s="4">
        <v>0</v>
      </c>
      <c r="K94" s="4">
        <v>0</v>
      </c>
      <c r="L94" s="4">
        <v>0</v>
      </c>
      <c r="M94" s="4">
        <v>0</v>
      </c>
    </row>
    <row r="95" spans="1:13">
      <c r="A95" s="29" t="s">
        <v>323</v>
      </c>
      <c r="B95" s="4">
        <v>9.0780339123595769E-4</v>
      </c>
      <c r="D95" s="4">
        <v>1.0001335905362476E-3</v>
      </c>
      <c r="E95" s="4">
        <v>8.3074630586521168E-4</v>
      </c>
      <c r="F95" s="4"/>
      <c r="G95" s="4">
        <v>0</v>
      </c>
      <c r="H95" s="4">
        <v>3.7984620282815206E-3</v>
      </c>
      <c r="I95" s="4">
        <v>1.0784358793812707E-3</v>
      </c>
      <c r="J95" s="4">
        <v>1.0961804191353928E-3</v>
      </c>
      <c r="K95" s="4">
        <v>0</v>
      </c>
      <c r="L95" s="4">
        <v>0</v>
      </c>
      <c r="M95" s="4">
        <v>3.5403315529353862E-4</v>
      </c>
    </row>
    <row r="96" spans="1:13">
      <c r="A96" s="29" t="s">
        <v>324</v>
      </c>
      <c r="B96" s="4">
        <v>2.1983514428528566E-2</v>
      </c>
      <c r="D96" s="4">
        <v>6.8126860616393612E-3</v>
      </c>
      <c r="E96" s="4">
        <v>3.691352120652143E-2</v>
      </c>
      <c r="F96" s="4"/>
      <c r="G96" s="4">
        <v>9.7901339898337408E-2</v>
      </c>
      <c r="H96" s="4">
        <v>5.2853271768793154E-2</v>
      </c>
      <c r="I96" s="4">
        <v>3.6367606409407775E-2</v>
      </c>
      <c r="J96" s="4">
        <v>1.5294666104824698E-2</v>
      </c>
      <c r="K96" s="4">
        <v>1.2861280244151278E-2</v>
      </c>
      <c r="L96" s="4">
        <v>1.9035619389918975E-3</v>
      </c>
      <c r="M96" s="4">
        <v>8.8794475798533975E-4</v>
      </c>
    </row>
    <row r="97" spans="1:13">
      <c r="A97" s="29" t="s">
        <v>325</v>
      </c>
      <c r="B97" s="4">
        <v>5.9206954252613532E-4</v>
      </c>
      <c r="D97" s="4">
        <v>4.765131579982E-4</v>
      </c>
      <c r="E97" s="4">
        <v>7.1142038884551182E-4</v>
      </c>
      <c r="F97" s="4"/>
      <c r="G97" s="4">
        <v>8.6169835626793978E-3</v>
      </c>
      <c r="H97" s="4">
        <v>0</v>
      </c>
      <c r="I97" s="4">
        <v>6.5752913148845078E-4</v>
      </c>
      <c r="J97" s="4">
        <v>6.4253370404320279E-4</v>
      </c>
      <c r="K97" s="4">
        <v>0</v>
      </c>
      <c r="L97" s="4">
        <v>0</v>
      </c>
      <c r="M97" s="4">
        <v>0</v>
      </c>
    </row>
    <row r="98" spans="1:13">
      <c r="A98" s="29" t="s">
        <v>326</v>
      </c>
      <c r="B98" s="4">
        <v>6.7973366154060817E-4</v>
      </c>
      <c r="D98" s="4">
        <v>5.1125795777633642E-4</v>
      </c>
      <c r="E98" s="4">
        <v>7.1142038884551182E-4</v>
      </c>
      <c r="F98" s="4"/>
      <c r="G98" s="4">
        <v>8.6169835626793978E-3</v>
      </c>
      <c r="H98" s="4">
        <v>0</v>
      </c>
      <c r="I98" s="4">
        <v>0</v>
      </c>
      <c r="J98" s="4">
        <v>0</v>
      </c>
      <c r="K98" s="4">
        <v>1.696953649998684E-3</v>
      </c>
      <c r="L98" s="4">
        <v>0</v>
      </c>
      <c r="M98" s="4">
        <v>3.2448721602950276E-4</v>
      </c>
    </row>
    <row r="99" spans="1:13">
      <c r="A99" s="29" t="s">
        <v>327</v>
      </c>
      <c r="B99" s="4">
        <v>0</v>
      </c>
      <c r="D99" s="4">
        <v>0</v>
      </c>
      <c r="E99" s="4">
        <v>0</v>
      </c>
      <c r="F99" s="4"/>
      <c r="G99" s="4">
        <v>0</v>
      </c>
      <c r="H99" s="4">
        <v>0</v>
      </c>
      <c r="I99" s="4">
        <v>0</v>
      </c>
      <c r="J99" s="4">
        <v>0</v>
      </c>
      <c r="K99" s="4">
        <v>0</v>
      </c>
      <c r="L99" s="4">
        <v>0</v>
      </c>
      <c r="M99" s="4">
        <v>0</v>
      </c>
    </row>
    <row r="100" spans="1:13">
      <c r="A100" s="29" t="s">
        <v>328</v>
      </c>
      <c r="B100" s="4">
        <v>0</v>
      </c>
      <c r="D100" s="4">
        <v>0</v>
      </c>
      <c r="E100" s="4">
        <v>0</v>
      </c>
      <c r="F100" s="4"/>
      <c r="G100" s="4">
        <v>0</v>
      </c>
      <c r="H100" s="4">
        <v>0</v>
      </c>
      <c r="I100" s="4">
        <v>0</v>
      </c>
      <c r="J100" s="4">
        <v>0</v>
      </c>
      <c r="K100" s="4">
        <v>0</v>
      </c>
      <c r="L100" s="4">
        <v>0</v>
      </c>
      <c r="M100" s="4">
        <v>0</v>
      </c>
    </row>
    <row r="101" spans="1:13">
      <c r="A101" s="29" t="s">
        <v>329</v>
      </c>
      <c r="B101" s="4">
        <v>3.9977554911020121E-4</v>
      </c>
      <c r="D101" s="4">
        <v>1.8008139763356796E-4</v>
      </c>
      <c r="E101" s="4">
        <v>6.1706164599633208E-4</v>
      </c>
      <c r="F101" s="4"/>
      <c r="G101" s="4">
        <v>0</v>
      </c>
      <c r="H101" s="4">
        <v>0</v>
      </c>
      <c r="I101" s="4">
        <v>1.2738436579636827E-3</v>
      </c>
      <c r="J101" s="4">
        <v>5.1940022840111838E-4</v>
      </c>
      <c r="K101" s="4">
        <v>0</v>
      </c>
      <c r="L101" s="4">
        <v>5.867534570325795E-4</v>
      </c>
      <c r="M101" s="4">
        <v>0</v>
      </c>
    </row>
    <row r="102" spans="1:13">
      <c r="A102" s="29" t="s">
        <v>330</v>
      </c>
      <c r="B102" s="4">
        <v>0</v>
      </c>
      <c r="D102" s="4">
        <v>0</v>
      </c>
      <c r="E102" s="4">
        <v>0</v>
      </c>
      <c r="F102" s="4"/>
      <c r="G102" s="4">
        <v>0</v>
      </c>
      <c r="H102" s="4">
        <v>0</v>
      </c>
      <c r="I102" s="4">
        <v>0</v>
      </c>
      <c r="J102" s="4">
        <v>0</v>
      </c>
      <c r="K102" s="4">
        <v>0</v>
      </c>
      <c r="L102" s="4">
        <v>0</v>
      </c>
      <c r="M102" s="4">
        <v>0</v>
      </c>
    </row>
    <row r="103" spans="1:13">
      <c r="A103" s="29" t="s">
        <v>331</v>
      </c>
      <c r="B103" s="4">
        <v>8.4824558319707578E-5</v>
      </c>
      <c r="D103" s="4">
        <v>1.7389852934790581E-4</v>
      </c>
      <c r="E103" s="4">
        <v>0</v>
      </c>
      <c r="F103" s="4"/>
      <c r="G103" s="4">
        <v>0</v>
      </c>
      <c r="H103" s="4">
        <v>0</v>
      </c>
      <c r="I103" s="4">
        <v>4.6305957319472122E-4</v>
      </c>
      <c r="J103" s="4">
        <v>0</v>
      </c>
      <c r="K103" s="4">
        <v>0</v>
      </c>
      <c r="L103" s="4">
        <v>0</v>
      </c>
      <c r="M103" s="4">
        <v>0</v>
      </c>
    </row>
    <row r="104" spans="1:13">
      <c r="A104" s="29" t="s">
        <v>332</v>
      </c>
      <c r="B104" s="4">
        <v>6.2525781774523361E-5</v>
      </c>
      <c r="D104" s="4">
        <v>1.2818388580269815E-4</v>
      </c>
      <c r="E104" s="4">
        <v>0</v>
      </c>
      <c r="F104" s="4"/>
      <c r="G104" s="4">
        <v>0</v>
      </c>
      <c r="H104" s="4">
        <v>0</v>
      </c>
      <c r="I104" s="4">
        <v>0</v>
      </c>
      <c r="J104" s="4">
        <v>0</v>
      </c>
      <c r="K104" s="4">
        <v>0</v>
      </c>
      <c r="L104" s="4">
        <v>0</v>
      </c>
      <c r="M104" s="4">
        <v>3.0621695645712395E-4</v>
      </c>
    </row>
    <row r="105" spans="1:13">
      <c r="A105" s="29" t="s">
        <v>333</v>
      </c>
      <c r="B105" s="4">
        <v>6.6427502641910088E-5</v>
      </c>
      <c r="D105" s="4">
        <v>1.3618279006114741E-4</v>
      </c>
      <c r="E105" s="4">
        <v>0</v>
      </c>
      <c r="F105" s="4"/>
      <c r="G105" s="4">
        <v>0</v>
      </c>
      <c r="H105" s="4">
        <v>0</v>
      </c>
      <c r="I105" s="4">
        <v>0</v>
      </c>
      <c r="J105" s="4">
        <v>0</v>
      </c>
      <c r="K105" s="4">
        <v>0</v>
      </c>
      <c r="L105" s="4">
        <v>0</v>
      </c>
      <c r="M105" s="4">
        <v>3.2532544346916857E-4</v>
      </c>
    </row>
    <row r="106" spans="1:13">
      <c r="A106" s="29" t="s">
        <v>334</v>
      </c>
      <c r="B106" s="4">
        <v>5.0270482901155567E-3</v>
      </c>
      <c r="D106" s="4">
        <v>4.9983229059404003E-3</v>
      </c>
      <c r="E106" s="4">
        <v>5.1214047983221414E-3</v>
      </c>
      <c r="F106" s="4"/>
      <c r="G106" s="4">
        <v>6.5649840004691016E-3</v>
      </c>
      <c r="H106" s="4">
        <v>4.4396290568484804E-3</v>
      </c>
      <c r="I106" s="4">
        <v>2.2647570423100505E-3</v>
      </c>
      <c r="J106" s="4">
        <v>6.9844364404382841E-3</v>
      </c>
      <c r="K106" s="4">
        <v>3.5471002553793653E-3</v>
      </c>
      <c r="L106" s="4">
        <v>7.5125039211559269E-3</v>
      </c>
      <c r="M106" s="4">
        <v>5.3680944873241926E-3</v>
      </c>
    </row>
    <row r="107" spans="1:13">
      <c r="A107" s="29" t="s">
        <v>335</v>
      </c>
      <c r="B107" s="4">
        <v>5.861608482870586E-2</v>
      </c>
      <c r="D107" s="4">
        <v>9.7649489284443638E-3</v>
      </c>
      <c r="E107" s="4">
        <v>0.106031322953876</v>
      </c>
      <c r="F107" s="4"/>
      <c r="G107" s="4">
        <v>3.0684307957125352E-2</v>
      </c>
      <c r="H107" s="4">
        <v>6.2512394423770837E-2</v>
      </c>
      <c r="I107" s="4">
        <v>9.705115924153529E-2</v>
      </c>
      <c r="J107" s="4">
        <v>7.1672878278872601E-2</v>
      </c>
      <c r="K107" s="4">
        <v>5.0475617330618359E-2</v>
      </c>
      <c r="L107" s="4">
        <v>4.1100435833807222E-2</v>
      </c>
      <c r="M107" s="4">
        <v>3.3514666056787296E-2</v>
      </c>
    </row>
    <row r="108" spans="1:13">
      <c r="A108" s="29" t="s">
        <v>336</v>
      </c>
      <c r="B108" s="4">
        <v>0</v>
      </c>
      <c r="D108" s="4">
        <v>0</v>
      </c>
      <c r="E108" s="4">
        <v>0</v>
      </c>
      <c r="F108" s="4"/>
      <c r="G108" s="4">
        <v>0</v>
      </c>
      <c r="H108" s="4">
        <v>0</v>
      </c>
      <c r="I108" s="4">
        <v>0</v>
      </c>
      <c r="J108" s="4">
        <v>0</v>
      </c>
      <c r="K108" s="4">
        <v>0</v>
      </c>
      <c r="L108" s="4">
        <v>0</v>
      </c>
      <c r="M108" s="4">
        <v>0</v>
      </c>
    </row>
    <row r="109" spans="1:13">
      <c r="A109" s="29" t="s">
        <v>337</v>
      </c>
      <c r="B109" s="4">
        <v>0</v>
      </c>
      <c r="D109" s="4">
        <v>0</v>
      </c>
      <c r="E109" s="4">
        <v>0</v>
      </c>
      <c r="F109" s="4"/>
      <c r="G109" s="4">
        <v>0</v>
      </c>
      <c r="H109" s="4">
        <v>0</v>
      </c>
      <c r="I109" s="4">
        <v>0</v>
      </c>
      <c r="J109" s="4">
        <v>0</v>
      </c>
      <c r="K109" s="4">
        <v>0</v>
      </c>
      <c r="L109" s="4">
        <v>0</v>
      </c>
      <c r="M109" s="4">
        <v>0</v>
      </c>
    </row>
    <row r="110" spans="1:13">
      <c r="A110" s="29" t="s">
        <v>338</v>
      </c>
      <c r="B110" s="4">
        <v>1.6914281822294272E-4</v>
      </c>
      <c r="D110" s="4">
        <v>0</v>
      </c>
      <c r="E110" s="4">
        <v>3.3459378572760792E-4</v>
      </c>
      <c r="F110" s="4"/>
      <c r="G110" s="4">
        <v>0</v>
      </c>
      <c r="H110" s="4">
        <v>6.8936650408101159E-4</v>
      </c>
      <c r="I110" s="4">
        <v>0</v>
      </c>
      <c r="J110" s="4">
        <v>5.0510881550251306E-4</v>
      </c>
      <c r="K110" s="4">
        <v>0</v>
      </c>
      <c r="L110" s="4">
        <v>0</v>
      </c>
      <c r="M110" s="4">
        <v>0</v>
      </c>
    </row>
    <row r="111" spans="1:13">
      <c r="A111" s="29" t="s">
        <v>339</v>
      </c>
      <c r="B111" s="4">
        <v>4.4284531685763587E-4</v>
      </c>
      <c r="D111" s="4">
        <v>3.9908984812074994E-4</v>
      </c>
      <c r="E111" s="4">
        <v>4.9093610476537658E-4</v>
      </c>
      <c r="F111" s="4"/>
      <c r="G111" s="4">
        <v>0</v>
      </c>
      <c r="H111" s="4">
        <v>8.7964199541302579E-4</v>
      </c>
      <c r="I111" s="4">
        <v>8.5202075445384509E-4</v>
      </c>
      <c r="J111" s="4">
        <v>1.0515575046659181E-3</v>
      </c>
      <c r="K111" s="4">
        <v>0</v>
      </c>
      <c r="L111" s="4">
        <v>0</v>
      </c>
      <c r="M111" s="4">
        <v>0</v>
      </c>
    </row>
    <row r="112" spans="1:13">
      <c r="A112" s="29" t="s">
        <v>340</v>
      </c>
      <c r="B112" s="4">
        <v>0</v>
      </c>
      <c r="D112" s="4">
        <v>0</v>
      </c>
      <c r="E112" s="4">
        <v>0</v>
      </c>
      <c r="F112" s="4"/>
      <c r="G112" s="4">
        <v>0</v>
      </c>
      <c r="H112" s="4">
        <v>0</v>
      </c>
      <c r="I112" s="4">
        <v>0</v>
      </c>
      <c r="J112" s="4">
        <v>0</v>
      </c>
      <c r="K112" s="4">
        <v>0</v>
      </c>
      <c r="L112" s="4">
        <v>0</v>
      </c>
      <c r="M112" s="4">
        <v>0</v>
      </c>
    </row>
    <row r="113" spans="1:13">
      <c r="A113" s="29" t="s">
        <v>341</v>
      </c>
      <c r="B113" s="4">
        <v>1.3336041213846633E-3</v>
      </c>
      <c r="D113" s="4">
        <v>1.7466262484850874E-3</v>
      </c>
      <c r="E113" s="4">
        <v>9.5275035222983767E-4</v>
      </c>
      <c r="F113" s="4"/>
      <c r="G113" s="4">
        <v>7.0141729512132409E-3</v>
      </c>
      <c r="H113" s="4">
        <v>3.0687054604641578E-3</v>
      </c>
      <c r="I113" s="4">
        <v>1.699363736539841E-3</v>
      </c>
      <c r="J113" s="4">
        <v>1.1521883796443469E-3</v>
      </c>
      <c r="K113" s="4">
        <v>5.2853409310142738E-4</v>
      </c>
      <c r="L113" s="4">
        <v>6.8522908548873597E-4</v>
      </c>
      <c r="M113" s="4">
        <v>0</v>
      </c>
    </row>
    <row r="114" spans="1:13">
      <c r="A114" s="29" t="s">
        <v>342</v>
      </c>
      <c r="B114" s="4">
        <v>0</v>
      </c>
      <c r="D114" s="4">
        <v>0</v>
      </c>
      <c r="E114" s="4">
        <v>0</v>
      </c>
      <c r="F114" s="4"/>
      <c r="G114" s="4">
        <v>0</v>
      </c>
      <c r="H114" s="4">
        <v>0</v>
      </c>
      <c r="I114" s="4">
        <v>0</v>
      </c>
      <c r="J114" s="4">
        <v>0</v>
      </c>
      <c r="K114" s="4">
        <v>0</v>
      </c>
      <c r="L114" s="4">
        <v>0</v>
      </c>
      <c r="M114" s="4">
        <v>0</v>
      </c>
    </row>
    <row r="115" spans="1:13">
      <c r="A115" s="29" t="s">
        <v>343</v>
      </c>
      <c r="B115" s="4">
        <v>1.5186106043589865E-4</v>
      </c>
      <c r="D115" s="4">
        <v>1.3583190403691821E-4</v>
      </c>
      <c r="E115" s="4">
        <v>1.6934094818765348E-4</v>
      </c>
      <c r="F115" s="4"/>
      <c r="G115" s="4">
        <v>0</v>
      </c>
      <c r="H115" s="4">
        <v>0</v>
      </c>
      <c r="I115" s="4">
        <v>0</v>
      </c>
      <c r="J115" s="4">
        <v>0</v>
      </c>
      <c r="K115" s="4">
        <v>0</v>
      </c>
      <c r="L115" s="4">
        <v>6.6174539429700752E-4</v>
      </c>
      <c r="M115" s="4">
        <v>3.2448721602950276E-4</v>
      </c>
    </row>
    <row r="116" spans="1:13">
      <c r="A116" s="29" t="s">
        <v>344</v>
      </c>
      <c r="B116" s="4">
        <v>3.849976596297499E-4</v>
      </c>
      <c r="D116" s="4">
        <v>4.1801563835567533E-4</v>
      </c>
      <c r="E116" s="4">
        <v>1.8447798103389225E-4</v>
      </c>
      <c r="F116" s="4"/>
      <c r="G116" s="4">
        <v>0</v>
      </c>
      <c r="H116" s="4">
        <v>0</v>
      </c>
      <c r="I116" s="4">
        <v>4.7952340621397601E-4</v>
      </c>
      <c r="J116" s="4">
        <v>1.7049696819009964E-3</v>
      </c>
      <c r="K116" s="4">
        <v>0</v>
      </c>
      <c r="L116" s="4">
        <v>0</v>
      </c>
      <c r="M116" s="4">
        <v>0</v>
      </c>
    </row>
    <row r="117" spans="1:13">
      <c r="A117" s="29" t="s">
        <v>345</v>
      </c>
      <c r="B117" s="4">
        <v>1.7191183352738295E-4</v>
      </c>
      <c r="D117" s="4">
        <v>1.8615665692175431E-4</v>
      </c>
      <c r="E117" s="4">
        <v>1.6044563469196917E-4</v>
      </c>
      <c r="F117" s="4"/>
      <c r="G117" s="4">
        <v>0</v>
      </c>
      <c r="H117" s="4">
        <v>6.8936650408101159E-4</v>
      </c>
      <c r="I117" s="4">
        <v>0</v>
      </c>
      <c r="J117" s="4">
        <v>5.2099632213080762E-4</v>
      </c>
      <c r="K117" s="4">
        <v>0</v>
      </c>
      <c r="L117" s="4">
        <v>0</v>
      </c>
      <c r="M117" s="4">
        <v>0</v>
      </c>
    </row>
    <row r="118" spans="1:13">
      <c r="A118" s="29" t="s">
        <v>346</v>
      </c>
      <c r="B118" s="4">
        <v>1.2312598546521648E-3</v>
      </c>
      <c r="D118" s="4">
        <v>1.9113782602092572E-3</v>
      </c>
      <c r="E118" s="4">
        <v>5.9132363466679768E-4</v>
      </c>
      <c r="F118" s="4"/>
      <c r="G118" s="4">
        <v>0</v>
      </c>
      <c r="H118" s="4">
        <v>1.4291743433461393E-3</v>
      </c>
      <c r="I118" s="4">
        <v>1.5351716816671219E-3</v>
      </c>
      <c r="J118" s="4">
        <v>1.0685750030606828E-3</v>
      </c>
      <c r="K118" s="4">
        <v>1.3491476690697061E-3</v>
      </c>
      <c r="L118" s="4">
        <v>1.2141669463099738E-3</v>
      </c>
      <c r="M118" s="4">
        <v>1.1595660693288141E-3</v>
      </c>
    </row>
    <row r="119" spans="1:13">
      <c r="A119" s="29" t="s">
        <v>347</v>
      </c>
      <c r="B119" s="4">
        <v>1.2932079411020069E-3</v>
      </c>
      <c r="D119" s="4">
        <v>2.4843553523154131E-3</v>
      </c>
      <c r="E119" s="4">
        <v>1.6099227946635871E-4</v>
      </c>
      <c r="F119" s="4"/>
      <c r="G119" s="4">
        <v>0</v>
      </c>
      <c r="H119" s="4">
        <v>2.3604431027609207E-3</v>
      </c>
      <c r="I119" s="4">
        <v>3.9863621446419332E-3</v>
      </c>
      <c r="J119" s="4">
        <v>5.4549154944644315E-4</v>
      </c>
      <c r="K119" s="4">
        <v>1.2713796180285103E-3</v>
      </c>
      <c r="L119" s="4">
        <v>0</v>
      </c>
      <c r="M119" s="4">
        <v>0</v>
      </c>
    </row>
    <row r="120" spans="1:13">
      <c r="A120" s="29" t="s">
        <v>348</v>
      </c>
      <c r="B120" s="4">
        <v>8.6740356324134548E-4</v>
      </c>
      <c r="D120" s="4">
        <v>1.5686472803350976E-3</v>
      </c>
      <c r="E120" s="4">
        <v>2.0225986505004114E-4</v>
      </c>
      <c r="F120" s="4"/>
      <c r="G120" s="4">
        <v>0</v>
      </c>
      <c r="H120" s="4">
        <v>7.8429877213655706E-4</v>
      </c>
      <c r="I120" s="4">
        <v>3.1755524591415172E-3</v>
      </c>
      <c r="J120" s="4">
        <v>1.1097645676463076E-3</v>
      </c>
      <c r="K120" s="4">
        <v>0</v>
      </c>
      <c r="L120" s="4">
        <v>0</v>
      </c>
      <c r="M120" s="4">
        <v>0</v>
      </c>
    </row>
    <row r="121" spans="1:13">
      <c r="A121" s="29" t="s">
        <v>349</v>
      </c>
      <c r="B121" s="4">
        <v>4.6269236651863041E-2</v>
      </c>
      <c r="D121" s="4">
        <v>5.1072701536264677E-2</v>
      </c>
      <c r="E121" s="4">
        <v>4.2247639356444905E-2</v>
      </c>
      <c r="F121" s="4"/>
      <c r="G121" s="4">
        <v>8.6712596570956715E-2</v>
      </c>
      <c r="H121" s="4">
        <v>6.2890708055485828E-2</v>
      </c>
      <c r="I121" s="4">
        <v>7.9361210999522244E-2</v>
      </c>
      <c r="J121" s="4">
        <v>5.7034261546100466E-2</v>
      </c>
      <c r="K121" s="4">
        <v>4.6269262488134677E-2</v>
      </c>
      <c r="L121" s="4">
        <v>1.9378882051981614E-2</v>
      </c>
      <c r="M121" s="4">
        <v>6.5848986540924187E-3</v>
      </c>
    </row>
    <row r="122" spans="1:13">
      <c r="A122" s="29" t="s">
        <v>350</v>
      </c>
      <c r="B122" s="4">
        <v>2.0273084930963656E-3</v>
      </c>
      <c r="D122" s="4">
        <v>3.0648310426711037E-3</v>
      </c>
      <c r="E122" s="4">
        <v>1.0530593752882415E-3</v>
      </c>
      <c r="F122" s="4"/>
      <c r="G122" s="4">
        <v>0</v>
      </c>
      <c r="H122" s="4">
        <v>1.5236141335289743E-3</v>
      </c>
      <c r="I122" s="4">
        <v>1.1136800648708289E-3</v>
      </c>
      <c r="J122" s="4">
        <v>5.4757868092987494E-4</v>
      </c>
      <c r="K122" s="4">
        <v>2.8599694250906935E-3</v>
      </c>
      <c r="L122" s="4">
        <v>4.0026952078430003E-3</v>
      </c>
      <c r="M122" s="4">
        <v>2.9531211171323476E-3</v>
      </c>
    </row>
    <row r="123" spans="1:13">
      <c r="A123" s="29" t="s">
        <v>351</v>
      </c>
      <c r="B123" s="4">
        <v>2.9896959103066923E-4</v>
      </c>
      <c r="D123" s="4">
        <v>4.2733015111624659E-4</v>
      </c>
      <c r="E123" s="4">
        <v>1.7907545195693225E-4</v>
      </c>
      <c r="F123" s="4"/>
      <c r="G123" s="4">
        <v>0</v>
      </c>
      <c r="H123" s="4">
        <v>7.8429877213655706E-4</v>
      </c>
      <c r="I123" s="4">
        <v>6.3415665865685278E-4</v>
      </c>
      <c r="J123" s="4">
        <v>5.1940022840111838E-4</v>
      </c>
      <c r="K123" s="4">
        <v>0</v>
      </c>
      <c r="L123" s="4">
        <v>0</v>
      </c>
      <c r="M123" s="4">
        <v>0</v>
      </c>
    </row>
    <row r="124" spans="1:13">
      <c r="A124" s="29" t="s">
        <v>352</v>
      </c>
      <c r="B124" s="4">
        <v>3.3238394020719374E-4</v>
      </c>
      <c r="D124" s="4">
        <v>5.0272608561526097E-4</v>
      </c>
      <c r="E124" s="4">
        <v>1.724239941624506E-4</v>
      </c>
      <c r="F124" s="4"/>
      <c r="G124" s="4">
        <v>5.8755751253405817E-3</v>
      </c>
      <c r="H124" s="4">
        <v>7.4083240908144707E-4</v>
      </c>
      <c r="I124" s="4">
        <v>0</v>
      </c>
      <c r="J124" s="4">
        <v>0</v>
      </c>
      <c r="K124" s="4">
        <v>0</v>
      </c>
      <c r="L124" s="4">
        <v>0</v>
      </c>
      <c r="M124" s="4">
        <v>0</v>
      </c>
    </row>
    <row r="125" spans="1:13">
      <c r="A125" s="29" t="s">
        <v>353</v>
      </c>
      <c r="B125" s="4">
        <v>1.0349500142615495E-4</v>
      </c>
      <c r="D125" s="4">
        <v>2.1217473924277789E-4</v>
      </c>
      <c r="E125" s="4">
        <v>0</v>
      </c>
      <c r="F125" s="4"/>
      <c r="G125" s="4">
        <v>0</v>
      </c>
      <c r="H125" s="4">
        <v>8.7964199541302579E-4</v>
      </c>
      <c r="I125" s="4">
        <v>0</v>
      </c>
      <c r="J125" s="4">
        <v>0</v>
      </c>
      <c r="K125" s="4">
        <v>0</v>
      </c>
      <c r="L125" s="4">
        <v>0</v>
      </c>
      <c r="M125" s="4">
        <v>0</v>
      </c>
    </row>
    <row r="126" spans="1:13">
      <c r="A126" s="29" t="s">
        <v>354</v>
      </c>
      <c r="B126" s="4">
        <v>1.2450714016819641E-3</v>
      </c>
      <c r="D126" s="4">
        <v>2.1915113226107993E-3</v>
      </c>
      <c r="E126" s="4">
        <v>3.4834008237802182E-4</v>
      </c>
      <c r="F126" s="4"/>
      <c r="G126" s="4">
        <v>0</v>
      </c>
      <c r="H126" s="4">
        <v>2.0973753079593632E-3</v>
      </c>
      <c r="I126" s="4">
        <v>4.3285596344366225E-4</v>
      </c>
      <c r="J126" s="4">
        <v>1.6346840315799058E-3</v>
      </c>
      <c r="K126" s="4">
        <v>8.6179344666006258E-4</v>
      </c>
      <c r="L126" s="4">
        <v>1.2756697124790834E-3</v>
      </c>
      <c r="M126" s="4">
        <v>1.6659545588426576E-3</v>
      </c>
    </row>
    <row r="127" spans="1:13">
      <c r="A127" s="29" t="s">
        <v>355</v>
      </c>
      <c r="B127" s="4">
        <v>1.1973996391355399E-3</v>
      </c>
      <c r="D127" s="4">
        <v>2.2699157580197515E-3</v>
      </c>
      <c r="E127" s="4">
        <v>1.7838329952589931E-4</v>
      </c>
      <c r="F127" s="4"/>
      <c r="G127" s="4">
        <v>0</v>
      </c>
      <c r="H127" s="4">
        <v>0</v>
      </c>
      <c r="I127" s="4">
        <v>3.2136481552735795E-3</v>
      </c>
      <c r="J127" s="4">
        <v>1.7086030203579538E-3</v>
      </c>
      <c r="K127" s="4">
        <v>6.0283146694494285E-4</v>
      </c>
      <c r="L127" s="4">
        <v>6.0629722366160963E-4</v>
      </c>
      <c r="M127" s="4">
        <v>6.9698782978310858E-4</v>
      </c>
    </row>
    <row r="128" spans="1:13">
      <c r="A128" s="29" t="s">
        <v>356</v>
      </c>
      <c r="B128" s="4">
        <v>8.4215329487272986E-4</v>
      </c>
      <c r="D128" s="4">
        <v>7.6245046616632854E-4</v>
      </c>
      <c r="E128" s="4">
        <v>9.3022355904473215E-4</v>
      </c>
      <c r="F128" s="4"/>
      <c r="G128" s="4">
        <v>0</v>
      </c>
      <c r="H128" s="4">
        <v>1.7306952532939956E-3</v>
      </c>
      <c r="I128" s="4">
        <v>1.0813245636141216E-3</v>
      </c>
      <c r="J128" s="4">
        <v>1.5849228531056394E-3</v>
      </c>
      <c r="K128" s="4">
        <v>5.4801374148633791E-4</v>
      </c>
      <c r="L128" s="4">
        <v>6.3570983241785994E-4</v>
      </c>
      <c r="M128" s="4">
        <v>0</v>
      </c>
    </row>
    <row r="129" spans="1:13">
      <c r="A129" s="29" t="s">
        <v>357</v>
      </c>
      <c r="B129" s="4">
        <v>0</v>
      </c>
      <c r="D129" s="4">
        <v>0</v>
      </c>
      <c r="E129" s="4">
        <v>0</v>
      </c>
      <c r="F129" s="4"/>
      <c r="G129" s="4">
        <v>0</v>
      </c>
      <c r="H129" s="4">
        <v>0</v>
      </c>
      <c r="I129" s="4">
        <v>0</v>
      </c>
      <c r="J129" s="4">
        <v>0</v>
      </c>
      <c r="K129" s="4">
        <v>0</v>
      </c>
      <c r="L129" s="4">
        <v>0</v>
      </c>
      <c r="M129" s="4">
        <v>0</v>
      </c>
    </row>
    <row r="130" spans="1:13">
      <c r="A130" s="29" t="s">
        <v>358</v>
      </c>
      <c r="B130" s="4">
        <v>1.3398889809530629E-3</v>
      </c>
      <c r="D130" s="4">
        <v>1.4773071835265169E-3</v>
      </c>
      <c r="E130" s="4">
        <v>1.2250534658351446E-3</v>
      </c>
      <c r="F130" s="4"/>
      <c r="G130" s="4">
        <v>7.1571093536802067E-3</v>
      </c>
      <c r="H130" s="4">
        <v>1.4974582972914177E-3</v>
      </c>
      <c r="I130" s="4">
        <v>2.1175855562193301E-3</v>
      </c>
      <c r="J130" s="4">
        <v>1.0833367799784599E-3</v>
      </c>
      <c r="K130" s="4">
        <v>5.2765414143101622E-4</v>
      </c>
      <c r="L130" s="4">
        <v>7.0821821471299385E-4</v>
      </c>
      <c r="M130" s="4">
        <v>5.7658877067119879E-4</v>
      </c>
    </row>
    <row r="131" spans="1:13">
      <c r="A131" s="29" t="s">
        <v>359</v>
      </c>
      <c r="B131" s="4">
        <v>0</v>
      </c>
      <c r="D131" s="4">
        <v>0</v>
      </c>
      <c r="E131" s="4">
        <v>0</v>
      </c>
      <c r="F131" s="4"/>
      <c r="G131" s="4">
        <v>0</v>
      </c>
      <c r="H131" s="4">
        <v>0</v>
      </c>
      <c r="I131" s="4">
        <v>0</v>
      </c>
      <c r="J131" s="4">
        <v>0</v>
      </c>
      <c r="K131" s="4">
        <v>0</v>
      </c>
      <c r="L131" s="4">
        <v>0</v>
      </c>
      <c r="M131" s="4">
        <v>0</v>
      </c>
    </row>
    <row r="132" spans="1:13">
      <c r="A132" s="29" t="s">
        <v>360</v>
      </c>
      <c r="B132" s="4">
        <v>8.868666217347462E-4</v>
      </c>
      <c r="D132" s="4">
        <v>7.8877783524411243E-4</v>
      </c>
      <c r="E132" s="4">
        <v>9.9327053399812944E-4</v>
      </c>
      <c r="F132" s="4"/>
      <c r="G132" s="4">
        <v>7.006016076156669E-3</v>
      </c>
      <c r="H132" s="4">
        <v>1.3883318422851217E-3</v>
      </c>
      <c r="I132" s="4">
        <v>1.3421957506916749E-3</v>
      </c>
      <c r="J132" s="4">
        <v>5.5956604546120723E-4</v>
      </c>
      <c r="K132" s="4">
        <v>5.864654971682317E-4</v>
      </c>
      <c r="L132" s="4">
        <v>0</v>
      </c>
      <c r="M132" s="4">
        <v>0</v>
      </c>
    </row>
    <row r="133" spans="1:13">
      <c r="A133" s="29" t="s">
        <v>361</v>
      </c>
      <c r="B133" s="4">
        <v>1.928866771209532E-3</v>
      </c>
      <c r="D133" s="4">
        <v>2.2542001886095165E-3</v>
      </c>
      <c r="E133" s="4">
        <v>1.6405161802500834E-3</v>
      </c>
      <c r="F133" s="4"/>
      <c r="G133" s="4">
        <v>0</v>
      </c>
      <c r="H133" s="4">
        <v>5.3084014501384984E-3</v>
      </c>
      <c r="I133" s="4">
        <v>5.1331652272666138E-3</v>
      </c>
      <c r="J133" s="4">
        <v>1.6340666532444403E-3</v>
      </c>
      <c r="K133" s="4">
        <v>0</v>
      </c>
      <c r="L133" s="4">
        <v>6.1219794353848441E-4</v>
      </c>
      <c r="M133" s="4">
        <v>0</v>
      </c>
    </row>
    <row r="134" spans="1:13">
      <c r="A134" s="29" t="s">
        <v>362</v>
      </c>
      <c r="B134" s="4">
        <v>6.9012641104974459E-4</v>
      </c>
      <c r="D134" s="4">
        <v>1.4148257335259962E-3</v>
      </c>
      <c r="E134" s="4">
        <v>0</v>
      </c>
      <c r="F134" s="4"/>
      <c r="G134" s="4">
        <v>0</v>
      </c>
      <c r="H134" s="4">
        <v>0</v>
      </c>
      <c r="I134" s="4">
        <v>6.2811183869557706E-4</v>
      </c>
      <c r="J134" s="4">
        <v>0</v>
      </c>
      <c r="K134" s="4">
        <v>0</v>
      </c>
      <c r="L134" s="4">
        <v>1.9400324913305146E-3</v>
      </c>
      <c r="M134" s="4">
        <v>1.5872668905492244E-3</v>
      </c>
    </row>
    <row r="135" spans="1:13">
      <c r="A135" s="29" t="s">
        <v>363</v>
      </c>
      <c r="B135" s="4">
        <v>1.3307540676824536E-3</v>
      </c>
      <c r="D135" s="4">
        <v>1.1323662728617624E-3</v>
      </c>
      <c r="E135" s="4">
        <v>1.5398224110270882E-3</v>
      </c>
      <c r="F135" s="4"/>
      <c r="G135" s="4">
        <v>0</v>
      </c>
      <c r="H135" s="4">
        <v>1.617628645107311E-3</v>
      </c>
      <c r="I135" s="4">
        <v>2.9307342573416462E-3</v>
      </c>
      <c r="J135" s="4">
        <v>1.6249037255466614E-3</v>
      </c>
      <c r="K135" s="4">
        <v>0</v>
      </c>
      <c r="L135" s="4">
        <v>6.0629722366160963E-4</v>
      </c>
      <c r="M135" s="4">
        <v>1.1848699290016472E-3</v>
      </c>
    </row>
    <row r="136" spans="1:13">
      <c r="A136" s="29" t="s">
        <v>364</v>
      </c>
      <c r="B136" s="4">
        <v>2.4428919905753719E-2</v>
      </c>
      <c r="D136" s="4">
        <v>2.0722242148092828E-2</v>
      </c>
      <c r="E136" s="4">
        <v>2.7876455429017039E-2</v>
      </c>
      <c r="F136" s="4"/>
      <c r="G136" s="4">
        <v>4.2561525978410474E-2</v>
      </c>
      <c r="H136" s="4">
        <v>3.1813199120626898E-2</v>
      </c>
      <c r="I136" s="4">
        <v>3.7781708191260872E-2</v>
      </c>
      <c r="J136" s="4">
        <v>2.4651937064046104E-2</v>
      </c>
      <c r="K136" s="4">
        <v>2.1934312240838662E-2</v>
      </c>
      <c r="L136" s="4">
        <v>1.6519168884637267E-2</v>
      </c>
      <c r="M136" s="4">
        <v>1.1136908068463283E-2</v>
      </c>
    </row>
    <row r="137" spans="1:13">
      <c r="A137" s="29" t="s">
        <v>365</v>
      </c>
      <c r="B137" s="4">
        <v>9.3920697997808094E-5</v>
      </c>
      <c r="D137" s="4">
        <v>0</v>
      </c>
      <c r="E137" s="4">
        <v>1.8579140534270356E-4</v>
      </c>
      <c r="F137" s="4"/>
      <c r="G137" s="4">
        <v>0</v>
      </c>
      <c r="H137" s="4">
        <v>7.98266477210729E-4</v>
      </c>
      <c r="I137" s="4">
        <v>0</v>
      </c>
      <c r="J137" s="4">
        <v>0</v>
      </c>
      <c r="K137" s="4">
        <v>0</v>
      </c>
      <c r="L137" s="4">
        <v>0</v>
      </c>
      <c r="M137" s="4">
        <v>0</v>
      </c>
    </row>
    <row r="138" spans="1:13">
      <c r="A138" s="29" t="s">
        <v>366</v>
      </c>
      <c r="B138" s="4">
        <v>3.5202012008114444E-4</v>
      </c>
      <c r="D138" s="4">
        <v>2.3588266248679524E-4</v>
      </c>
      <c r="E138" s="4">
        <v>4.6874954229257843E-4</v>
      </c>
      <c r="F138" s="4"/>
      <c r="G138" s="4">
        <v>0</v>
      </c>
      <c r="H138" s="4">
        <v>1.3481735685751757E-3</v>
      </c>
      <c r="I138" s="4">
        <v>6.2811183869557706E-4</v>
      </c>
      <c r="J138" s="4">
        <v>0</v>
      </c>
      <c r="K138" s="4">
        <v>5.2371083420914332E-4</v>
      </c>
      <c r="L138" s="4">
        <v>0</v>
      </c>
      <c r="M138" s="4">
        <v>0</v>
      </c>
    </row>
    <row r="139" spans="1:13">
      <c r="A139" s="29" t="s">
        <v>367</v>
      </c>
      <c r="B139" s="4">
        <v>7.4695734778501815E-3</v>
      </c>
      <c r="D139" s="4">
        <v>1.0822797960793185E-2</v>
      </c>
      <c r="E139" s="4">
        <v>4.3330069843194562E-3</v>
      </c>
      <c r="F139" s="4"/>
      <c r="G139" s="4">
        <v>1.6869651878919634E-2</v>
      </c>
      <c r="H139" s="4">
        <v>1.3481792863709808E-2</v>
      </c>
      <c r="I139" s="4">
        <v>8.4302760293912139E-3</v>
      </c>
      <c r="J139" s="4">
        <v>7.6695932529693639E-3</v>
      </c>
      <c r="K139" s="4">
        <v>2.9052479794069172E-3</v>
      </c>
      <c r="L139" s="4">
        <v>3.7550555218595861E-3</v>
      </c>
      <c r="M139" s="4">
        <v>6.748401485559009E-3</v>
      </c>
    </row>
    <row r="140" spans="1:13">
      <c r="A140" s="29" t="s">
        <v>368</v>
      </c>
      <c r="B140" s="4">
        <v>1.2098557270598686E-3</v>
      </c>
      <c r="D140" s="4">
        <v>7.3281462672750803E-4</v>
      </c>
      <c r="E140" s="4">
        <v>1.6861987751779952E-3</v>
      </c>
      <c r="F140" s="4"/>
      <c r="G140" s="4">
        <v>8.6169835626793978E-3</v>
      </c>
      <c r="H140" s="4">
        <v>3.6200991379502219E-3</v>
      </c>
      <c r="I140" s="4">
        <v>9.3440720398111493E-4</v>
      </c>
      <c r="J140" s="4">
        <v>5.3507001901648176E-4</v>
      </c>
      <c r="K140" s="4">
        <v>5.2853409310142738E-4</v>
      </c>
      <c r="L140" s="4">
        <v>6.2467345166406071E-4</v>
      </c>
      <c r="M140" s="4">
        <v>0</v>
      </c>
    </row>
    <row r="141" spans="1:13">
      <c r="A141" s="29" t="s">
        <v>369</v>
      </c>
      <c r="B141" s="4">
        <v>0</v>
      </c>
      <c r="D141" s="4">
        <v>0</v>
      </c>
      <c r="E141" s="4">
        <v>0</v>
      </c>
      <c r="F141" s="4"/>
      <c r="G141" s="4">
        <v>0</v>
      </c>
      <c r="H141" s="4">
        <v>0</v>
      </c>
      <c r="I141" s="4">
        <v>0</v>
      </c>
      <c r="J141" s="4">
        <v>0</v>
      </c>
      <c r="K141" s="4">
        <v>0</v>
      </c>
      <c r="L141" s="4">
        <v>0</v>
      </c>
      <c r="M141" s="4">
        <v>0</v>
      </c>
    </row>
    <row r="142" spans="1:13">
      <c r="A142" s="29" t="s">
        <v>370</v>
      </c>
      <c r="B142" s="4">
        <v>2.4397752654069797E-2</v>
      </c>
      <c r="D142" s="4">
        <v>2.8245997740926319E-2</v>
      </c>
      <c r="E142" s="4">
        <v>2.100793340460657E-2</v>
      </c>
      <c r="F142" s="4"/>
      <c r="G142" s="4">
        <v>7.316422503248321E-2</v>
      </c>
      <c r="H142" s="4">
        <v>3.320523906643242E-2</v>
      </c>
      <c r="I142" s="4">
        <v>2.0243333874009999E-2</v>
      </c>
      <c r="J142" s="4">
        <v>2.6450752171238E-2</v>
      </c>
      <c r="K142" s="4">
        <v>2.5380107165298607E-2</v>
      </c>
      <c r="L142" s="4">
        <v>1.1824918722870371E-2</v>
      </c>
      <c r="M142" s="4">
        <v>1.8575429668777219E-2</v>
      </c>
    </row>
    <row r="143" spans="1:13">
      <c r="A143" s="29" t="s">
        <v>371</v>
      </c>
      <c r="B143" s="4">
        <v>1.4675023790001152E-3</v>
      </c>
      <c r="D143" s="4">
        <v>1.7778164023690077E-3</v>
      </c>
      <c r="E143" s="4">
        <v>1.187528380554042E-3</v>
      </c>
      <c r="F143" s="4"/>
      <c r="G143" s="4">
        <v>0</v>
      </c>
      <c r="H143" s="4">
        <v>1.7692244232283187E-3</v>
      </c>
      <c r="I143" s="4">
        <v>1.5264658239983692E-3</v>
      </c>
      <c r="J143" s="4">
        <v>2.1507116038293641E-3</v>
      </c>
      <c r="K143" s="4">
        <v>5.8140327249931259E-4</v>
      </c>
      <c r="L143" s="4">
        <v>1.2974552267148675E-3</v>
      </c>
      <c r="M143" s="4">
        <v>1.7144195688325369E-3</v>
      </c>
    </row>
    <row r="144" spans="1:13">
      <c r="A144" s="29" t="s">
        <v>372</v>
      </c>
      <c r="B144" s="4">
        <v>0</v>
      </c>
      <c r="D144" s="4">
        <v>0</v>
      </c>
      <c r="E144" s="4">
        <v>0</v>
      </c>
      <c r="F144" s="4"/>
      <c r="G144" s="4">
        <v>0</v>
      </c>
      <c r="H144" s="4">
        <v>0</v>
      </c>
      <c r="I144" s="4">
        <v>0</v>
      </c>
      <c r="J144" s="4">
        <v>0</v>
      </c>
      <c r="K144" s="4">
        <v>0</v>
      </c>
      <c r="L144" s="4">
        <v>0</v>
      </c>
      <c r="M144" s="4">
        <v>0</v>
      </c>
    </row>
    <row r="145" spans="1:13">
      <c r="A145" s="29" t="s">
        <v>373</v>
      </c>
      <c r="B145" s="4">
        <v>1.1174431731788604E-3</v>
      </c>
      <c r="D145" s="4">
        <v>1.5424363046306609E-3</v>
      </c>
      <c r="E145" s="4">
        <v>7.2217293292544922E-4</v>
      </c>
      <c r="F145" s="4"/>
      <c r="G145" s="4">
        <v>0</v>
      </c>
      <c r="H145" s="4">
        <v>2.6724481220633889E-3</v>
      </c>
      <c r="I145" s="4">
        <v>3.3873323051429763E-3</v>
      </c>
      <c r="J145" s="4">
        <v>5.4549154944644315E-4</v>
      </c>
      <c r="K145" s="4">
        <v>5.8454204763391999E-4</v>
      </c>
      <c r="L145" s="4">
        <v>0</v>
      </c>
      <c r="M145" s="4">
        <v>0</v>
      </c>
    </row>
    <row r="146" spans="1:13">
      <c r="A146" s="29" t="s">
        <v>374</v>
      </c>
      <c r="B146" s="4">
        <v>6.8049866198855629E-4</v>
      </c>
      <c r="D146" s="4">
        <v>1.0253679500123302E-3</v>
      </c>
      <c r="E146" s="4">
        <v>3.5674912281010194E-4</v>
      </c>
      <c r="F146" s="4"/>
      <c r="G146" s="4">
        <v>0</v>
      </c>
      <c r="H146" s="4">
        <v>7.5662588820997055E-4</v>
      </c>
      <c r="I146" s="4">
        <v>2.211206228652163E-3</v>
      </c>
      <c r="J146" s="4">
        <v>5.5473865354571791E-4</v>
      </c>
      <c r="K146" s="4">
        <v>5.9990133999959284E-4</v>
      </c>
      <c r="L146" s="4">
        <v>0</v>
      </c>
      <c r="M146" s="4">
        <v>0</v>
      </c>
    </row>
    <row r="147" spans="1:13">
      <c r="A147" s="29" t="s">
        <v>375</v>
      </c>
      <c r="B147" s="4">
        <v>2.8498557653543473E-3</v>
      </c>
      <c r="D147" s="4">
        <v>2.674059031059215E-3</v>
      </c>
      <c r="E147" s="4">
        <v>3.0572629232287576E-3</v>
      </c>
      <c r="F147" s="4"/>
      <c r="G147" s="4">
        <v>0</v>
      </c>
      <c r="H147" s="4">
        <v>2.5085212654239299E-3</v>
      </c>
      <c r="I147" s="4">
        <v>3.6663091748107583E-3</v>
      </c>
      <c r="J147" s="4">
        <v>4.343923263674743E-3</v>
      </c>
      <c r="K147" s="4">
        <v>2.146758787100125E-3</v>
      </c>
      <c r="L147" s="4">
        <v>3.1175741909483029E-3</v>
      </c>
      <c r="M147" s="4">
        <v>1.9667596636803323E-3</v>
      </c>
    </row>
    <row r="148" spans="1:13">
      <c r="A148" s="29" t="s">
        <v>376</v>
      </c>
      <c r="B148" s="4">
        <v>1.8452009474456586E-3</v>
      </c>
      <c r="D148" s="4">
        <v>1.9681849019309726E-3</v>
      </c>
      <c r="E148" s="4">
        <v>1.7509917349864232E-3</v>
      </c>
      <c r="F148" s="4"/>
      <c r="G148" s="4">
        <v>8.6169835626793978E-3</v>
      </c>
      <c r="H148" s="4">
        <v>5.0973147417491781E-3</v>
      </c>
      <c r="I148" s="4">
        <v>1.3829008049951728E-3</v>
      </c>
      <c r="J148" s="4">
        <v>2.718773734396023E-3</v>
      </c>
      <c r="K148" s="4">
        <v>1.0606636120719674E-3</v>
      </c>
      <c r="L148" s="4">
        <v>0</v>
      </c>
      <c r="M148" s="4">
        <v>0</v>
      </c>
    </row>
    <row r="149" spans="1:13">
      <c r="A149" s="29" t="s">
        <v>377</v>
      </c>
      <c r="B149" s="4">
        <v>7.5307802628017976E-3</v>
      </c>
      <c r="D149" s="4">
        <v>8.6211326018613109E-3</v>
      </c>
      <c r="E149" s="4">
        <v>6.4087328006729718E-3</v>
      </c>
      <c r="F149" s="4"/>
      <c r="G149" s="4">
        <v>5.9678182064039846E-2</v>
      </c>
      <c r="H149" s="4">
        <v>2.5514384245468345E-2</v>
      </c>
      <c r="I149" s="4">
        <v>6.1199783506413041E-3</v>
      </c>
      <c r="J149" s="4">
        <v>3.1745849145317405E-3</v>
      </c>
      <c r="K149" s="4">
        <v>5.2853409310142738E-4</v>
      </c>
      <c r="L149" s="4">
        <v>6.8522908548873597E-4</v>
      </c>
      <c r="M149" s="4">
        <v>9.6031745991792365E-4</v>
      </c>
    </row>
    <row r="150" spans="1:13">
      <c r="A150" s="29" t="s">
        <v>378</v>
      </c>
      <c r="B150" s="4">
        <v>4.705421967760496E-2</v>
      </c>
      <c r="D150" s="4">
        <v>3.5395235676966987E-2</v>
      </c>
      <c r="E150" s="4">
        <v>5.8279767271188214E-2</v>
      </c>
      <c r="F150" s="4"/>
      <c r="G150" s="4">
        <v>6.1789276353610638E-2</v>
      </c>
      <c r="H150" s="4">
        <v>4.1646849053693959E-2</v>
      </c>
      <c r="I150" s="4">
        <v>4.6560323911740677E-2</v>
      </c>
      <c r="J150" s="4">
        <v>4.175052292541883E-2</v>
      </c>
      <c r="K150" s="4">
        <v>4.4427992954108313E-2</v>
      </c>
      <c r="L150" s="4">
        <v>5.0107109090939267E-2</v>
      </c>
      <c r="M150" s="4">
        <v>5.2118194431954111E-2</v>
      </c>
    </row>
    <row r="151" spans="1:13">
      <c r="A151" s="29" t="s">
        <v>379</v>
      </c>
      <c r="B151" s="4">
        <v>8.0875617552147029E-4</v>
      </c>
      <c r="D151" s="4">
        <v>1.6580281973781258E-3</v>
      </c>
      <c r="E151" s="4">
        <v>0</v>
      </c>
      <c r="F151" s="4"/>
      <c r="G151" s="4">
        <v>8.2526683162402401E-3</v>
      </c>
      <c r="H151" s="4">
        <v>8.7688904669800327E-4</v>
      </c>
      <c r="I151" s="4">
        <v>1.0970312216260724E-3</v>
      </c>
      <c r="J151" s="4">
        <v>0</v>
      </c>
      <c r="K151" s="4">
        <v>0</v>
      </c>
      <c r="L151" s="4">
        <v>6.8522908548873597E-4</v>
      </c>
      <c r="M151" s="4">
        <v>3.5043744823204766E-4</v>
      </c>
    </row>
    <row r="152" spans="1:13">
      <c r="A152" s="29" t="s">
        <v>380</v>
      </c>
      <c r="B152" s="4">
        <v>2.3953245896169375E-4</v>
      </c>
      <c r="D152" s="4">
        <v>4.9106465355857264E-4</v>
      </c>
      <c r="E152" s="4">
        <v>0</v>
      </c>
      <c r="F152" s="4"/>
      <c r="G152" s="4">
        <v>0</v>
      </c>
      <c r="H152" s="4">
        <v>0</v>
      </c>
      <c r="I152" s="4">
        <v>0</v>
      </c>
      <c r="J152" s="4">
        <v>0</v>
      </c>
      <c r="K152" s="4">
        <v>6.2779369106754951E-4</v>
      </c>
      <c r="L152" s="4">
        <v>6.1219794353848441E-4</v>
      </c>
      <c r="M152" s="4">
        <v>3.2532544346916857E-4</v>
      </c>
    </row>
    <row r="153" spans="1:13">
      <c r="A153" s="29" t="s">
        <v>381</v>
      </c>
      <c r="B153" s="4">
        <v>3.3099709487838616E-3</v>
      </c>
      <c r="D153" s="4">
        <v>3.667915234061236E-3</v>
      </c>
      <c r="E153" s="4">
        <v>3.0084615843319609E-3</v>
      </c>
      <c r="F153" s="4"/>
      <c r="G153" s="4">
        <v>0</v>
      </c>
      <c r="H153" s="4">
        <v>6.7604920130370999E-3</v>
      </c>
      <c r="I153" s="4">
        <v>5.7151730370604897E-3</v>
      </c>
      <c r="J153" s="4">
        <v>4.8656196224756863E-3</v>
      </c>
      <c r="K153" s="4">
        <v>1.1024583229252746E-3</v>
      </c>
      <c r="L153" s="4">
        <v>1.7206544672252997E-3</v>
      </c>
      <c r="M153" s="4">
        <v>1.1367676290592445E-3</v>
      </c>
    </row>
    <row r="154" spans="1:13">
      <c r="A154" s="29" t="s">
        <v>382</v>
      </c>
      <c r="B154" s="4">
        <v>0</v>
      </c>
      <c r="D154" s="4">
        <v>0</v>
      </c>
      <c r="E154" s="4">
        <v>0</v>
      </c>
      <c r="F154" s="4"/>
      <c r="G154" s="4">
        <v>0</v>
      </c>
      <c r="H154" s="4">
        <v>0</v>
      </c>
      <c r="I154" s="4">
        <v>0</v>
      </c>
      <c r="J154" s="4">
        <v>0</v>
      </c>
      <c r="K154" s="4">
        <v>0</v>
      </c>
      <c r="L154" s="4">
        <v>0</v>
      </c>
      <c r="M154" s="4">
        <v>0</v>
      </c>
    </row>
    <row r="155" spans="1:13">
      <c r="A155" s="29" t="s">
        <v>383</v>
      </c>
      <c r="B155" s="4">
        <v>0</v>
      </c>
      <c r="D155" s="4">
        <v>0</v>
      </c>
      <c r="E155" s="4">
        <v>0</v>
      </c>
      <c r="F155" s="4"/>
      <c r="G155" s="4">
        <v>0</v>
      </c>
      <c r="H155" s="4">
        <v>0</v>
      </c>
      <c r="I155" s="4">
        <v>0</v>
      </c>
      <c r="J155" s="4">
        <v>0</v>
      </c>
      <c r="K155" s="4">
        <v>0</v>
      </c>
      <c r="L155" s="4">
        <v>0</v>
      </c>
      <c r="M155" s="4">
        <v>0</v>
      </c>
    </row>
    <row r="156" spans="1:13">
      <c r="A156" s="29" t="s">
        <v>384</v>
      </c>
      <c r="B156" s="4">
        <v>4.818830686953393E-4</v>
      </c>
      <c r="D156" s="4">
        <v>8.0232042980310882E-4</v>
      </c>
      <c r="E156" s="4">
        <v>1.7907545195693225E-4</v>
      </c>
      <c r="F156" s="4"/>
      <c r="G156" s="4">
        <v>0</v>
      </c>
      <c r="H156" s="4">
        <v>2.4826167344917291E-3</v>
      </c>
      <c r="I156" s="4">
        <v>5.4187989896278767E-4</v>
      </c>
      <c r="J156" s="4">
        <v>5.1940022840111838E-4</v>
      </c>
      <c r="K156" s="4">
        <v>0</v>
      </c>
      <c r="L156" s="4">
        <v>0</v>
      </c>
      <c r="M156" s="4">
        <v>0</v>
      </c>
    </row>
    <row r="157" spans="1:13">
      <c r="A157" s="29" t="s">
        <v>385</v>
      </c>
      <c r="B157" s="4">
        <v>2.8625265892844275E-2</v>
      </c>
      <c r="D157" s="4">
        <v>6.3363184179240804E-3</v>
      </c>
      <c r="E157" s="4">
        <v>5.0511711075875307E-2</v>
      </c>
      <c r="F157" s="4"/>
      <c r="G157" s="4">
        <v>1.5070932352355744E-2</v>
      </c>
      <c r="H157" s="4">
        <v>1.4038661528957108E-2</v>
      </c>
      <c r="I157" s="4">
        <v>4.3584685808740323E-2</v>
      </c>
      <c r="J157" s="4">
        <v>3.7139359512476496E-2</v>
      </c>
      <c r="K157" s="4">
        <v>3.2689230771118724E-2</v>
      </c>
      <c r="L157" s="4">
        <v>2.3549520253042779E-2</v>
      </c>
      <c r="M157" s="4">
        <v>1.9351301212566924E-2</v>
      </c>
    </row>
    <row r="158" spans="1:13">
      <c r="A158" s="132"/>
      <c r="B158" s="159" t="s">
        <v>138</v>
      </c>
      <c r="C158" s="159"/>
      <c r="D158" s="159"/>
      <c r="E158" s="159"/>
      <c r="F158" s="159"/>
      <c r="G158" s="159"/>
      <c r="H158" s="159"/>
      <c r="I158" s="159"/>
      <c r="J158" s="159"/>
      <c r="K158" s="159"/>
      <c r="L158" s="159"/>
      <c r="M158" s="159"/>
    </row>
    <row r="159" spans="1:13">
      <c r="A159" s="29" t="s">
        <v>244</v>
      </c>
      <c r="B159" s="39">
        <v>3925.5087381591643</v>
      </c>
      <c r="D159" s="39">
        <v>2966.804519630602</v>
      </c>
      <c r="E159" s="39">
        <v>958.70421852856214</v>
      </c>
      <c r="F159" s="39"/>
      <c r="G159" s="39">
        <v>0</v>
      </c>
      <c r="H159" s="39">
        <v>502.71452977203694</v>
      </c>
      <c r="I159" s="39">
        <v>506.62030858952943</v>
      </c>
      <c r="J159" s="39">
        <v>2460.1842110410726</v>
      </c>
      <c r="K159" s="39">
        <v>455.9896887565252</v>
      </c>
      <c r="L159" s="39">
        <v>0</v>
      </c>
      <c r="M159" s="39">
        <v>0</v>
      </c>
    </row>
    <row r="160" spans="1:13">
      <c r="A160" s="29" t="s">
        <v>245</v>
      </c>
      <c r="B160" s="39">
        <v>15619.409011715423</v>
      </c>
      <c r="D160" s="39">
        <v>11118.660590667272</v>
      </c>
      <c r="E160" s="39">
        <v>4500.7484210481516</v>
      </c>
      <c r="F160" s="39"/>
      <c r="G160" s="39">
        <v>1657.751834257155</v>
      </c>
      <c r="H160" s="39">
        <v>3475.00608271085</v>
      </c>
      <c r="I160" s="39">
        <v>7987.0692127199609</v>
      </c>
      <c r="J160" s="39">
        <v>1607.8086777789049</v>
      </c>
      <c r="K160" s="39">
        <v>0</v>
      </c>
      <c r="L160" s="39">
        <v>891.77320424855304</v>
      </c>
      <c r="M160" s="39">
        <v>0</v>
      </c>
    </row>
    <row r="161" spans="1:13">
      <c r="A161" s="29" t="s">
        <v>246</v>
      </c>
      <c r="B161" s="39">
        <v>7041.2610824098638</v>
      </c>
      <c r="D161" s="39">
        <v>4952.7717217651298</v>
      </c>
      <c r="E161" s="39">
        <v>2088.4893606447354</v>
      </c>
      <c r="F161" s="39"/>
      <c r="G161" s="39">
        <v>0</v>
      </c>
      <c r="H161" s="39">
        <v>1964.1152277428655</v>
      </c>
      <c r="I161" s="39">
        <v>520.39289157506266</v>
      </c>
      <c r="J161" s="39">
        <v>2674.8563247293114</v>
      </c>
      <c r="K161" s="39">
        <v>507.22501634173284</v>
      </c>
      <c r="L161" s="39">
        <v>991.55061101147476</v>
      </c>
      <c r="M161" s="39">
        <v>383.12101100941817</v>
      </c>
    </row>
    <row r="162" spans="1:13">
      <c r="A162" s="29" t="s">
        <v>247</v>
      </c>
      <c r="B162" s="39">
        <v>50555.263990688632</v>
      </c>
      <c r="D162" s="39">
        <v>34090.852155156201</v>
      </c>
      <c r="E162" s="39">
        <v>16464.411835532403</v>
      </c>
      <c r="F162" s="39"/>
      <c r="G162" s="39">
        <v>6745.3294031842179</v>
      </c>
      <c r="H162" s="39">
        <v>15183.212722683827</v>
      </c>
      <c r="I162" s="39">
        <v>15319.684138868599</v>
      </c>
      <c r="J162" s="39">
        <v>9898.1174415102196</v>
      </c>
      <c r="K162" s="39">
        <v>1606.9276392726276</v>
      </c>
      <c r="L162" s="39">
        <v>1441.374832141536</v>
      </c>
      <c r="M162" s="39">
        <v>360.61781302758351</v>
      </c>
    </row>
    <row r="163" spans="1:13">
      <c r="A163" s="29" t="s">
        <v>248</v>
      </c>
      <c r="B163" s="39">
        <v>165992.48583882762</v>
      </c>
      <c r="D163" s="39">
        <v>132202.38226688915</v>
      </c>
      <c r="E163" s="39">
        <v>33790.103571938518</v>
      </c>
      <c r="F163" s="39"/>
      <c r="G163" s="39">
        <v>21857.872389737997</v>
      </c>
      <c r="H163" s="39">
        <v>40363.455582383285</v>
      </c>
      <c r="I163" s="39">
        <v>56846.432146060732</v>
      </c>
      <c r="J163" s="39">
        <v>29315.903963598739</v>
      </c>
      <c r="K163" s="39">
        <v>12315.175508700371</v>
      </c>
      <c r="L163" s="39">
        <v>4911.5123797528431</v>
      </c>
      <c r="M163" s="39">
        <v>382.13386859376192</v>
      </c>
    </row>
    <row r="164" spans="1:13">
      <c r="A164" s="29" t="s">
        <v>249</v>
      </c>
      <c r="B164" s="39">
        <v>59685.733424302955</v>
      </c>
      <c r="D164" s="39">
        <v>42521.15289711998</v>
      </c>
      <c r="E164" s="39">
        <v>17164.580527182959</v>
      </c>
      <c r="F164" s="39"/>
      <c r="G164" s="39">
        <v>15470.157064800247</v>
      </c>
      <c r="H164" s="39">
        <v>12784.943748021613</v>
      </c>
      <c r="I164" s="39">
        <v>16393.099522785313</v>
      </c>
      <c r="J164" s="39">
        <v>4825.8600802118654</v>
      </c>
      <c r="K164" s="39">
        <v>4155.1900290783396</v>
      </c>
      <c r="L164" s="39">
        <v>2748.5096588552951</v>
      </c>
      <c r="M164" s="39">
        <v>3307.9733205502725</v>
      </c>
    </row>
    <row r="165" spans="1:13">
      <c r="A165" s="29" t="s">
        <v>250</v>
      </c>
      <c r="B165" s="39">
        <v>15130.920952786757</v>
      </c>
      <c r="D165" s="39">
        <v>11066.963551664947</v>
      </c>
      <c r="E165" s="39">
        <v>4063.9574011218078</v>
      </c>
      <c r="F165" s="39"/>
      <c r="G165" s="39">
        <v>7055.4290257855355</v>
      </c>
      <c r="H165" s="39">
        <v>2528.6503154277216</v>
      </c>
      <c r="I165" s="39">
        <v>3042.6435065948758</v>
      </c>
      <c r="J165" s="39">
        <v>1070.4419731937664</v>
      </c>
      <c r="K165" s="39">
        <v>1433.7561317848565</v>
      </c>
      <c r="L165" s="39">
        <v>0</v>
      </c>
      <c r="M165" s="39">
        <v>0</v>
      </c>
    </row>
    <row r="166" spans="1:13">
      <c r="A166" s="29" t="s">
        <v>251</v>
      </c>
      <c r="B166" s="39">
        <v>192440.33602716628</v>
      </c>
      <c r="D166" s="39">
        <v>128994.11751329071</v>
      </c>
      <c r="E166" s="39">
        <v>63446.218513875356</v>
      </c>
      <c r="F166" s="39"/>
      <c r="G166" s="39">
        <v>27614.207151548406</v>
      </c>
      <c r="H166" s="39">
        <v>53119.826923891698</v>
      </c>
      <c r="I166" s="39">
        <v>49809.454273248302</v>
      </c>
      <c r="J166" s="39">
        <v>34072.937316336422</v>
      </c>
      <c r="K166" s="39">
        <v>22518.122088638593</v>
      </c>
      <c r="L166" s="39">
        <v>2414.7226637770409</v>
      </c>
      <c r="M166" s="39">
        <v>2891.0656097256519</v>
      </c>
    </row>
    <row r="167" spans="1:13">
      <c r="A167" s="29" t="s">
        <v>252</v>
      </c>
      <c r="B167" s="39">
        <v>1768.6402266851794</v>
      </c>
      <c r="D167" s="39">
        <v>1010.5009573130108</v>
      </c>
      <c r="E167" s="39">
        <v>758.13926937216877</v>
      </c>
      <c r="F167" s="39"/>
      <c r="G167" s="39">
        <v>0</v>
      </c>
      <c r="H167" s="39">
        <v>513.43167893591385</v>
      </c>
      <c r="I167" s="39">
        <v>913.08899190089051</v>
      </c>
      <c r="J167" s="39">
        <v>0</v>
      </c>
      <c r="K167" s="39">
        <v>0</v>
      </c>
      <c r="L167" s="39">
        <v>0</v>
      </c>
      <c r="M167" s="39">
        <v>342.11955584837506</v>
      </c>
    </row>
    <row r="168" spans="1:13">
      <c r="A168" s="29" t="s">
        <v>253</v>
      </c>
      <c r="B168" s="39">
        <v>0</v>
      </c>
      <c r="D168" s="39">
        <v>0</v>
      </c>
      <c r="E168" s="39">
        <v>0</v>
      </c>
      <c r="F168" s="39"/>
      <c r="G168" s="39">
        <v>0</v>
      </c>
      <c r="H168" s="39">
        <v>0</v>
      </c>
      <c r="I168" s="39">
        <v>0</v>
      </c>
      <c r="J168" s="39">
        <v>0</v>
      </c>
      <c r="K168" s="39">
        <v>0</v>
      </c>
      <c r="L168" s="39">
        <v>0</v>
      </c>
      <c r="M168" s="39">
        <v>0</v>
      </c>
    </row>
    <row r="169" spans="1:13">
      <c r="A169" s="29" t="s">
        <v>254</v>
      </c>
      <c r="B169" s="39">
        <v>5491.4483945990914</v>
      </c>
      <c r="D169" s="39">
        <v>4984.7877099262878</v>
      </c>
      <c r="E169" s="39">
        <v>506.66068467280439</v>
      </c>
      <c r="F169" s="39"/>
      <c r="G169" s="39">
        <v>0</v>
      </c>
      <c r="H169" s="39">
        <v>532.20996220221821</v>
      </c>
      <c r="I169" s="39">
        <v>4208.1508570219466</v>
      </c>
      <c r="J169" s="39">
        <v>0</v>
      </c>
      <c r="K169" s="39">
        <v>0</v>
      </c>
      <c r="L169" s="39">
        <v>0</v>
      </c>
      <c r="M169" s="39">
        <v>751.0875753749267</v>
      </c>
    </row>
    <row r="170" spans="1:13">
      <c r="A170" s="29" t="s">
        <v>255</v>
      </c>
      <c r="B170" s="39">
        <v>0</v>
      </c>
      <c r="D170" s="39">
        <v>0</v>
      </c>
      <c r="E170" s="39">
        <v>0</v>
      </c>
      <c r="F170" s="39"/>
      <c r="G170" s="39">
        <v>0</v>
      </c>
      <c r="H170" s="39">
        <v>0</v>
      </c>
      <c r="I170" s="39">
        <v>0</v>
      </c>
      <c r="J170" s="39">
        <v>0</v>
      </c>
      <c r="K170" s="39">
        <v>0</v>
      </c>
      <c r="L170" s="39">
        <v>0</v>
      </c>
      <c r="M170" s="39">
        <v>0</v>
      </c>
    </row>
    <row r="171" spans="1:13">
      <c r="A171" s="29" t="s">
        <v>256</v>
      </c>
      <c r="B171" s="39">
        <v>0</v>
      </c>
      <c r="D171" s="39">
        <v>0</v>
      </c>
      <c r="E171" s="39">
        <v>0</v>
      </c>
      <c r="F171" s="39"/>
      <c r="G171" s="39">
        <v>0</v>
      </c>
      <c r="H171" s="39">
        <v>0</v>
      </c>
      <c r="I171" s="39">
        <v>0</v>
      </c>
      <c r="J171" s="39">
        <v>0</v>
      </c>
      <c r="K171" s="39">
        <v>0</v>
      </c>
      <c r="L171" s="39">
        <v>0</v>
      </c>
      <c r="M171" s="39">
        <v>0</v>
      </c>
    </row>
    <row r="172" spans="1:13">
      <c r="A172" s="29" t="s">
        <v>257</v>
      </c>
      <c r="B172" s="39">
        <v>412.69427939762943</v>
      </c>
      <c r="D172" s="39">
        <v>412.69427939762943</v>
      </c>
      <c r="E172" s="39">
        <v>0</v>
      </c>
      <c r="F172" s="39"/>
      <c r="G172" s="39">
        <v>0</v>
      </c>
      <c r="H172" s="39">
        <v>0</v>
      </c>
      <c r="I172" s="39">
        <v>0</v>
      </c>
      <c r="J172" s="39">
        <v>0</v>
      </c>
      <c r="K172" s="39">
        <v>0</v>
      </c>
      <c r="L172" s="39">
        <v>0</v>
      </c>
      <c r="M172" s="39">
        <v>412.69427939762943</v>
      </c>
    </row>
    <row r="173" spans="1:13">
      <c r="A173" s="29" t="s">
        <v>258</v>
      </c>
      <c r="B173" s="39">
        <v>0</v>
      </c>
      <c r="D173" s="39">
        <v>0</v>
      </c>
      <c r="E173" s="39">
        <v>0</v>
      </c>
      <c r="F173" s="39"/>
      <c r="G173" s="39">
        <v>0</v>
      </c>
      <c r="H173" s="39">
        <v>0</v>
      </c>
      <c r="I173" s="39">
        <v>0</v>
      </c>
      <c r="J173" s="39">
        <v>0</v>
      </c>
      <c r="K173" s="39">
        <v>0</v>
      </c>
      <c r="L173" s="39">
        <v>0</v>
      </c>
      <c r="M173" s="39">
        <v>0</v>
      </c>
    </row>
    <row r="174" spans="1:13">
      <c r="A174" s="29" t="s">
        <v>259</v>
      </c>
      <c r="B174" s="39">
        <v>669.99157484187026</v>
      </c>
      <c r="D174" s="39">
        <v>669.99157484187026</v>
      </c>
      <c r="E174" s="39">
        <v>0</v>
      </c>
      <c r="F174" s="39"/>
      <c r="G174" s="39">
        <v>0</v>
      </c>
      <c r="H174" s="39">
        <v>0</v>
      </c>
      <c r="I174" s="39">
        <v>669.99157484187026</v>
      </c>
      <c r="J174" s="39">
        <v>0</v>
      </c>
      <c r="K174" s="39">
        <v>0</v>
      </c>
      <c r="L174" s="39">
        <v>0</v>
      </c>
      <c r="M174" s="39">
        <v>0</v>
      </c>
    </row>
    <row r="175" spans="1:13">
      <c r="A175" s="29" t="s">
        <v>260</v>
      </c>
      <c r="B175" s="39">
        <v>1540.5715620485589</v>
      </c>
      <c r="D175" s="39">
        <v>1540.5715620485589</v>
      </c>
      <c r="E175" s="39">
        <v>0</v>
      </c>
      <c r="F175" s="39"/>
      <c r="G175" s="39">
        <v>0</v>
      </c>
      <c r="H175" s="39">
        <v>490.83959562658805</v>
      </c>
      <c r="I175" s="39">
        <v>497.06927837709685</v>
      </c>
      <c r="J175" s="39">
        <v>0</v>
      </c>
      <c r="K175" s="39">
        <v>552.66268804487402</v>
      </c>
      <c r="L175" s="39">
        <v>0</v>
      </c>
      <c r="M175" s="39">
        <v>0</v>
      </c>
    </row>
    <row r="176" spans="1:13">
      <c r="A176" s="29" t="s">
        <v>261</v>
      </c>
      <c r="B176" s="39">
        <v>42045.617692988671</v>
      </c>
      <c r="D176" s="39">
        <v>26551.084316804488</v>
      </c>
      <c r="E176" s="39">
        <v>15494.53337618419</v>
      </c>
      <c r="F176" s="39"/>
      <c r="G176" s="39">
        <v>0</v>
      </c>
      <c r="H176" s="39">
        <v>0</v>
      </c>
      <c r="I176" s="39">
        <v>1409.1406681235703</v>
      </c>
      <c r="J176" s="39">
        <v>3188.4191973888728</v>
      </c>
      <c r="K176" s="39">
        <v>3690.5293032752188</v>
      </c>
      <c r="L176" s="39">
        <v>7277.241786709511</v>
      </c>
      <c r="M176" s="39">
        <v>26480.286737491497</v>
      </c>
    </row>
    <row r="177" spans="1:13">
      <c r="A177" s="29" t="s">
        <v>262</v>
      </c>
      <c r="B177" s="39">
        <v>41700.758238403461</v>
      </c>
      <c r="D177" s="39">
        <v>17769.136702819455</v>
      </c>
      <c r="E177" s="39">
        <v>22386.516988729669</v>
      </c>
      <c r="F177" s="39"/>
      <c r="G177" s="39">
        <v>2061.6657640796188</v>
      </c>
      <c r="H177" s="39">
        <v>8513.7335290707015</v>
      </c>
      <c r="I177" s="39">
        <v>15298.697605133872</v>
      </c>
      <c r="J177" s="39">
        <v>9745.1462087957207</v>
      </c>
      <c r="K177" s="39">
        <v>5553.1162511786188</v>
      </c>
      <c r="L177" s="39">
        <v>528.39888014493204</v>
      </c>
      <c r="M177" s="39">
        <v>0</v>
      </c>
    </row>
    <row r="178" spans="1:13">
      <c r="A178" s="29" t="s">
        <v>263</v>
      </c>
      <c r="B178" s="39">
        <v>0</v>
      </c>
      <c r="D178" s="39">
        <v>0</v>
      </c>
      <c r="E178" s="39">
        <v>0</v>
      </c>
      <c r="F178" s="39"/>
      <c r="G178" s="39">
        <v>0</v>
      </c>
      <c r="H178" s="39">
        <v>0</v>
      </c>
      <c r="I178" s="39">
        <v>0</v>
      </c>
      <c r="J178" s="39">
        <v>0</v>
      </c>
      <c r="K178" s="39">
        <v>0</v>
      </c>
      <c r="L178" s="39">
        <v>0</v>
      </c>
      <c r="M178" s="39">
        <v>0</v>
      </c>
    </row>
    <row r="179" spans="1:13">
      <c r="A179" s="29" t="s">
        <v>264</v>
      </c>
      <c r="B179" s="39">
        <v>113540.54050756485</v>
      </c>
      <c r="D179" s="39">
        <v>50740.856339107355</v>
      </c>
      <c r="E179" s="39">
        <v>62286.252489521576</v>
      </c>
      <c r="F179" s="39"/>
      <c r="G179" s="39">
        <v>5342.8409390723264</v>
      </c>
      <c r="H179" s="39">
        <v>13228.903799756381</v>
      </c>
      <c r="I179" s="39">
        <v>27775.928363025745</v>
      </c>
      <c r="J179" s="39">
        <v>17414.132540073846</v>
      </c>
      <c r="K179" s="39">
        <v>13001.446019921961</v>
      </c>
      <c r="L179" s="39">
        <v>15009.18878343938</v>
      </c>
      <c r="M179" s="39">
        <v>21768.10006227516</v>
      </c>
    </row>
    <row r="180" spans="1:13">
      <c r="A180" s="29" t="s">
        <v>265</v>
      </c>
      <c r="B180" s="39">
        <v>6699.865609729387</v>
      </c>
      <c r="D180" s="39">
        <v>1775.1282880497279</v>
      </c>
      <c r="E180" s="39">
        <v>4924.7373216796586</v>
      </c>
      <c r="F180" s="39"/>
      <c r="G180" s="39">
        <v>0</v>
      </c>
      <c r="H180" s="39">
        <v>0</v>
      </c>
      <c r="I180" s="39">
        <v>3497.6331199358729</v>
      </c>
      <c r="J180" s="39">
        <v>2216.8960660489274</v>
      </c>
      <c r="K180" s="39">
        <v>500.36420760744733</v>
      </c>
      <c r="L180" s="39">
        <v>484.97221613713896</v>
      </c>
      <c r="M180" s="39">
        <v>0</v>
      </c>
    </row>
    <row r="181" spans="1:13">
      <c r="A181" s="29" t="s">
        <v>266</v>
      </c>
      <c r="B181" s="39">
        <v>497.06927837709685</v>
      </c>
      <c r="D181" s="39">
        <v>497.06927837709685</v>
      </c>
      <c r="E181" s="39">
        <v>0</v>
      </c>
      <c r="F181" s="39"/>
      <c r="G181" s="39">
        <v>0</v>
      </c>
      <c r="H181" s="39">
        <v>0</v>
      </c>
      <c r="I181" s="39">
        <v>497.06927837709685</v>
      </c>
      <c r="J181" s="39">
        <v>0</v>
      </c>
      <c r="K181" s="39">
        <v>0</v>
      </c>
      <c r="L181" s="39">
        <v>0</v>
      </c>
      <c r="M181" s="39">
        <v>0</v>
      </c>
    </row>
    <row r="182" spans="1:13">
      <c r="A182" s="29" t="s">
        <v>267</v>
      </c>
      <c r="B182" s="39">
        <v>13450.456784097365</v>
      </c>
      <c r="D182" s="39">
        <v>6439.152783847695</v>
      </c>
      <c r="E182" s="39">
        <v>7011.30400024967</v>
      </c>
      <c r="F182" s="39"/>
      <c r="G182" s="39">
        <v>2061.6657640796188</v>
      </c>
      <c r="H182" s="39">
        <v>443.07085599579307</v>
      </c>
      <c r="I182" s="39">
        <v>3325.9596163115193</v>
      </c>
      <c r="J182" s="39">
        <v>2368.9743773243808</v>
      </c>
      <c r="K182" s="39">
        <v>2106.8542827238352</v>
      </c>
      <c r="L182" s="39">
        <v>2354.2770592990232</v>
      </c>
      <c r="M182" s="39">
        <v>789.65482836319438</v>
      </c>
    </row>
    <row r="183" spans="1:13">
      <c r="A183" s="29" t="s">
        <v>268</v>
      </c>
      <c r="B183" s="39">
        <v>3953.8725135406085</v>
      </c>
      <c r="D183" s="39">
        <v>513.67616105989055</v>
      </c>
      <c r="E183" s="39">
        <v>3440.1963524807179</v>
      </c>
      <c r="F183" s="39"/>
      <c r="G183" s="39">
        <v>2074.1972019958926</v>
      </c>
      <c r="H183" s="39">
        <v>518.22462675739837</v>
      </c>
      <c r="I183" s="39">
        <v>1361.4506847873176</v>
      </c>
      <c r="J183" s="39">
        <v>0</v>
      </c>
      <c r="K183" s="39">
        <v>0</v>
      </c>
      <c r="L183" s="39">
        <v>0</v>
      </c>
      <c r="M183" s="39">
        <v>0</v>
      </c>
    </row>
    <row r="184" spans="1:13">
      <c r="A184" s="29" t="s">
        <v>269</v>
      </c>
      <c r="B184" s="39">
        <v>115913.84490726296</v>
      </c>
      <c r="D184" s="39">
        <v>98011.457220279466</v>
      </c>
      <c r="E184" s="39">
        <v>17902.387686983493</v>
      </c>
      <c r="F184" s="39"/>
      <c r="G184" s="39">
        <v>8816.8676153235519</v>
      </c>
      <c r="H184" s="39">
        <v>28487.972678227492</v>
      </c>
      <c r="I184" s="39">
        <v>36345.539277315867</v>
      </c>
      <c r="J184" s="39">
        <v>24286.809525728873</v>
      </c>
      <c r="K184" s="39">
        <v>12452.000163322937</v>
      </c>
      <c r="L184" s="39">
        <v>3802.4794834571508</v>
      </c>
      <c r="M184" s="39">
        <v>1722.1761638870971</v>
      </c>
    </row>
    <row r="185" spans="1:13">
      <c r="A185" s="29" t="s">
        <v>270</v>
      </c>
      <c r="B185" s="39">
        <v>4041.1687403884703</v>
      </c>
      <c r="D185" s="39">
        <v>347.07162357620479</v>
      </c>
      <c r="E185" s="39">
        <v>3694.0971168122655</v>
      </c>
      <c r="F185" s="39"/>
      <c r="G185" s="39">
        <v>0</v>
      </c>
      <c r="H185" s="39">
        <v>0</v>
      </c>
      <c r="I185" s="39">
        <v>0</v>
      </c>
      <c r="J185" s="39">
        <v>547.0946427490876</v>
      </c>
      <c r="K185" s="39">
        <v>0</v>
      </c>
      <c r="L185" s="39">
        <v>452.13253800240602</v>
      </c>
      <c r="M185" s="39">
        <v>3041.9415596369763</v>
      </c>
    </row>
    <row r="186" spans="1:13">
      <c r="A186" s="29" t="s">
        <v>271</v>
      </c>
      <c r="B186" s="39">
        <v>22426.117795889804</v>
      </c>
      <c r="D186" s="39">
        <v>8885.1688577391324</v>
      </c>
      <c r="E186" s="39">
        <v>13540.94893815067</v>
      </c>
      <c r="F186" s="39"/>
      <c r="G186" s="39">
        <v>0</v>
      </c>
      <c r="H186" s="39">
        <v>2484.2442163215064</v>
      </c>
      <c r="I186" s="39">
        <v>9280.2967057332717</v>
      </c>
      <c r="J186" s="39">
        <v>5492.5136965328902</v>
      </c>
      <c r="K186" s="39">
        <v>2947.8115269740692</v>
      </c>
      <c r="L186" s="39">
        <v>1350.8363444302204</v>
      </c>
      <c r="M186" s="39">
        <v>870.41530589784247</v>
      </c>
    </row>
    <row r="187" spans="1:13">
      <c r="A187" s="29" t="s">
        <v>272</v>
      </c>
      <c r="B187" s="39">
        <v>532.20996220221821</v>
      </c>
      <c r="D187" s="39">
        <v>532.20996220221821</v>
      </c>
      <c r="E187" s="39">
        <v>0</v>
      </c>
      <c r="F187" s="39"/>
      <c r="G187" s="39">
        <v>0</v>
      </c>
      <c r="H187" s="39">
        <v>532.20996220221821</v>
      </c>
      <c r="I187" s="39">
        <v>0</v>
      </c>
      <c r="J187" s="39">
        <v>0</v>
      </c>
      <c r="K187" s="39">
        <v>0</v>
      </c>
      <c r="L187" s="39">
        <v>0</v>
      </c>
      <c r="M187" s="39">
        <v>0</v>
      </c>
    </row>
    <row r="188" spans="1:13">
      <c r="A188" s="29" t="s">
        <v>273</v>
      </c>
      <c r="B188" s="39">
        <v>55157.418854373143</v>
      </c>
      <c r="D188" s="39">
        <v>35827.450103739262</v>
      </c>
      <c r="E188" s="39">
        <v>19329.968750633856</v>
      </c>
      <c r="F188" s="39"/>
      <c r="G188" s="39">
        <v>1414.3117944289772</v>
      </c>
      <c r="H188" s="39">
        <v>8376.7211321780796</v>
      </c>
      <c r="I188" s="39">
        <v>8901.1687139710575</v>
      </c>
      <c r="J188" s="39">
        <v>5914.1011500821214</v>
      </c>
      <c r="K188" s="39">
        <v>5764.0083423746419</v>
      </c>
      <c r="L188" s="39">
        <v>15802.317948046975</v>
      </c>
      <c r="M188" s="39">
        <v>8984.7897732912897</v>
      </c>
    </row>
    <row r="189" spans="1:13">
      <c r="A189" s="29" t="s">
        <v>274</v>
      </c>
      <c r="B189" s="39">
        <v>40285.862974411495</v>
      </c>
      <c r="D189" s="39">
        <v>7607.810987996635</v>
      </c>
      <c r="E189" s="39">
        <v>32678.051986414852</v>
      </c>
      <c r="F189" s="39"/>
      <c r="G189" s="39">
        <v>8696.5666912969209</v>
      </c>
      <c r="H189" s="39">
        <v>9741.7265126259535</v>
      </c>
      <c r="I189" s="39">
        <v>4620.2821434444704</v>
      </c>
      <c r="J189" s="39">
        <v>5496.5688339885464</v>
      </c>
      <c r="K189" s="39">
        <v>4034.1305201733799</v>
      </c>
      <c r="L189" s="39">
        <v>2608.0675700620145</v>
      </c>
      <c r="M189" s="39">
        <v>5088.5207028201867</v>
      </c>
    </row>
    <row r="190" spans="1:13">
      <c r="A190" s="29" t="s">
        <v>275</v>
      </c>
      <c r="B190" s="39">
        <v>71491.815632234691</v>
      </c>
      <c r="D190" s="39">
        <v>6051.4583232780005</v>
      </c>
      <c r="E190" s="39">
        <v>64084.827534156408</v>
      </c>
      <c r="F190" s="39"/>
      <c r="G190" s="39">
        <v>3719.4175983367741</v>
      </c>
      <c r="H190" s="39">
        <v>10677.52205727281</v>
      </c>
      <c r="I190" s="39">
        <v>12503.96701395421</v>
      </c>
      <c r="J190" s="39">
        <v>12255.385547999784</v>
      </c>
      <c r="K190" s="39">
        <v>5182.4978789510442</v>
      </c>
      <c r="L190" s="39">
        <v>7307.1864309499661</v>
      </c>
      <c r="M190" s="39">
        <v>19845.839104770119</v>
      </c>
    </row>
    <row r="191" spans="1:13">
      <c r="A191" s="29" t="s">
        <v>276</v>
      </c>
      <c r="B191" s="39">
        <v>3067.0983473912115</v>
      </c>
      <c r="D191" s="39">
        <v>1518.8155936898836</v>
      </c>
      <c r="E191" s="39">
        <v>1548.2827537013279</v>
      </c>
      <c r="F191" s="39"/>
      <c r="G191" s="39">
        <v>0</v>
      </c>
      <c r="H191" s="39">
        <v>0</v>
      </c>
      <c r="I191" s="39">
        <v>609.79176594058572</v>
      </c>
      <c r="J191" s="39">
        <v>1045.2739522187317</v>
      </c>
      <c r="K191" s="39">
        <v>0</v>
      </c>
      <c r="L191" s="39">
        <v>995.10384880661104</v>
      </c>
      <c r="M191" s="39">
        <v>416.92878042528321</v>
      </c>
    </row>
    <row r="192" spans="1:13">
      <c r="A192" s="29" t="s">
        <v>277</v>
      </c>
      <c r="B192" s="39">
        <v>1006.2169432254532</v>
      </c>
      <c r="D192" s="39">
        <v>499.19569836457885</v>
      </c>
      <c r="E192" s="39">
        <v>507.02124486087439</v>
      </c>
      <c r="F192" s="39"/>
      <c r="G192" s="39">
        <v>0</v>
      </c>
      <c r="H192" s="39">
        <v>0</v>
      </c>
      <c r="I192" s="39">
        <v>499.19569836457885</v>
      </c>
      <c r="J192" s="39">
        <v>0</v>
      </c>
      <c r="K192" s="39">
        <v>507.02124486087439</v>
      </c>
      <c r="L192" s="39">
        <v>0</v>
      </c>
      <c r="M192" s="39">
        <v>0</v>
      </c>
    </row>
    <row r="193" spans="1:13">
      <c r="A193" s="29" t="s">
        <v>278</v>
      </c>
      <c r="B193" s="39">
        <v>3571.205961452521</v>
      </c>
      <c r="D193" s="39">
        <v>2130.2293162591177</v>
      </c>
      <c r="E193" s="39">
        <v>1440.9766451934033</v>
      </c>
      <c r="F193" s="39"/>
      <c r="G193" s="39">
        <v>0</v>
      </c>
      <c r="H193" s="39">
        <v>0</v>
      </c>
      <c r="I193" s="39">
        <v>1389.2990757411546</v>
      </c>
      <c r="J193" s="39">
        <v>1715.840431250967</v>
      </c>
      <c r="K193" s="39">
        <v>0</v>
      </c>
      <c r="L193" s="39">
        <v>466.06645446039954</v>
      </c>
      <c r="M193" s="39">
        <v>0</v>
      </c>
    </row>
    <row r="194" spans="1:13">
      <c r="A194" s="29" t="s">
        <v>279</v>
      </c>
      <c r="B194" s="39">
        <v>1246.7729673189476</v>
      </c>
      <c r="D194" s="39">
        <v>918.9832220424297</v>
      </c>
      <c r="E194" s="39">
        <v>327.78974527651792</v>
      </c>
      <c r="F194" s="39"/>
      <c r="G194" s="39">
        <v>0</v>
      </c>
      <c r="H194" s="39">
        <v>0</v>
      </c>
      <c r="I194" s="39">
        <v>0</v>
      </c>
      <c r="J194" s="39">
        <v>550.4326504221749</v>
      </c>
      <c r="K194" s="39">
        <v>0</v>
      </c>
      <c r="L194" s="39">
        <v>0</v>
      </c>
      <c r="M194" s="39">
        <v>696.34031689677272</v>
      </c>
    </row>
    <row r="195" spans="1:13">
      <c r="A195" s="29" t="s">
        <v>280</v>
      </c>
      <c r="B195" s="39">
        <v>913.08899190089051</v>
      </c>
      <c r="D195" s="39">
        <v>497.06927837709685</v>
      </c>
      <c r="E195" s="39">
        <v>416.01971352379371</v>
      </c>
      <c r="F195" s="39"/>
      <c r="G195" s="39">
        <v>0</v>
      </c>
      <c r="H195" s="39">
        <v>0</v>
      </c>
      <c r="I195" s="39">
        <v>913.08899190089051</v>
      </c>
      <c r="J195" s="39">
        <v>0</v>
      </c>
      <c r="K195" s="39">
        <v>0</v>
      </c>
      <c r="L195" s="39">
        <v>0</v>
      </c>
      <c r="M195" s="39">
        <v>0</v>
      </c>
    </row>
    <row r="196" spans="1:13">
      <c r="A196" s="29" t="s">
        <v>281</v>
      </c>
      <c r="B196" s="39">
        <v>19747.776429232832</v>
      </c>
      <c r="D196" s="39">
        <v>3573.2409428580249</v>
      </c>
      <c r="E196" s="39">
        <v>16174.535486374803</v>
      </c>
      <c r="F196" s="39"/>
      <c r="G196" s="39">
        <v>1986.5027484424061</v>
      </c>
      <c r="H196" s="39">
        <v>1420.1303025222946</v>
      </c>
      <c r="I196" s="39">
        <v>7934.589736253607</v>
      </c>
      <c r="J196" s="39">
        <v>3748.4848852656078</v>
      </c>
      <c r="K196" s="39">
        <v>2598.4461611818956</v>
      </c>
      <c r="L196" s="39">
        <v>1287.5148935052189</v>
      </c>
      <c r="M196" s="39">
        <v>772.10770206180177</v>
      </c>
    </row>
    <row r="197" spans="1:13">
      <c r="A197" s="29" t="s">
        <v>282</v>
      </c>
      <c r="B197" s="39">
        <v>5323.3740601507052</v>
      </c>
      <c r="D197" s="39">
        <v>3214.2380912294575</v>
      </c>
      <c r="E197" s="39">
        <v>2109.1359689212481</v>
      </c>
      <c r="F197" s="39"/>
      <c r="G197" s="39">
        <v>0</v>
      </c>
      <c r="H197" s="39">
        <v>596.90802760652321</v>
      </c>
      <c r="I197" s="39">
        <v>1914.6798097897592</v>
      </c>
      <c r="J197" s="39">
        <v>2811.7862227544229</v>
      </c>
      <c r="K197" s="39">
        <v>0</v>
      </c>
      <c r="L197" s="39">
        <v>0</v>
      </c>
      <c r="M197" s="39">
        <v>0</v>
      </c>
    </row>
    <row r="198" spans="1:13">
      <c r="A198" s="29" t="s">
        <v>283</v>
      </c>
      <c r="B198" s="39">
        <v>3126.6854539272681</v>
      </c>
      <c r="D198" s="39">
        <v>1585.7007546723676</v>
      </c>
      <c r="E198" s="39">
        <v>1540.9846992549005</v>
      </c>
      <c r="F198" s="39"/>
      <c r="G198" s="39">
        <v>0</v>
      </c>
      <c r="H198" s="39">
        <v>559.33238068418552</v>
      </c>
      <c r="I198" s="39">
        <v>416.01971352379371</v>
      </c>
      <c r="J198" s="39">
        <v>1124.9649857311067</v>
      </c>
      <c r="K198" s="39">
        <v>0</v>
      </c>
      <c r="L198" s="39">
        <v>0</v>
      </c>
      <c r="M198" s="39">
        <v>1026.3683739881822</v>
      </c>
    </row>
    <row r="199" spans="1:13">
      <c r="A199" s="29" t="s">
        <v>284</v>
      </c>
      <c r="B199" s="39">
        <v>7028.1436542899064</v>
      </c>
      <c r="D199" s="39">
        <v>5766.1095687321958</v>
      </c>
      <c r="E199" s="39">
        <v>1262.0340855577101</v>
      </c>
      <c r="F199" s="39"/>
      <c r="G199" s="39">
        <v>0</v>
      </c>
      <c r="H199" s="39">
        <v>518.22462675739837</v>
      </c>
      <c r="I199" s="39">
        <v>988.52015473998154</v>
      </c>
      <c r="J199" s="39">
        <v>0</v>
      </c>
      <c r="K199" s="39">
        <v>1600.8412664856971</v>
      </c>
      <c r="L199" s="39">
        <v>989.43744702781851</v>
      </c>
      <c r="M199" s="39">
        <v>2931.1201592790103</v>
      </c>
    </row>
    <row r="200" spans="1:13">
      <c r="A200" s="29" t="s">
        <v>285</v>
      </c>
      <c r="B200" s="39">
        <v>743590.86983812344</v>
      </c>
      <c r="D200" s="39">
        <v>276223.002159308</v>
      </c>
      <c r="E200" s="39">
        <v>463857.79831414466</v>
      </c>
      <c r="F200" s="39"/>
      <c r="G200" s="39">
        <v>21567.106965883737</v>
      </c>
      <c r="H200" s="39">
        <v>77495.087918386314</v>
      </c>
      <c r="I200" s="39">
        <v>161623.75875124737</v>
      </c>
      <c r="J200" s="39">
        <v>137492.84624857249</v>
      </c>
      <c r="K200" s="39">
        <v>94964.416809172952</v>
      </c>
      <c r="L200" s="39">
        <v>94221.483929620794</v>
      </c>
      <c r="M200" s="39">
        <v>156226.1692152406</v>
      </c>
    </row>
    <row r="201" spans="1:13">
      <c r="A201" s="29" t="s">
        <v>286</v>
      </c>
      <c r="B201" s="39">
        <v>0</v>
      </c>
      <c r="D201" s="39">
        <v>0</v>
      </c>
      <c r="E201" s="39">
        <v>0</v>
      </c>
      <c r="F201" s="39"/>
      <c r="G201" s="39">
        <v>0</v>
      </c>
      <c r="H201" s="39">
        <v>0</v>
      </c>
      <c r="I201" s="39">
        <v>0</v>
      </c>
      <c r="J201" s="39">
        <v>0</v>
      </c>
      <c r="K201" s="39">
        <v>0</v>
      </c>
      <c r="L201" s="39">
        <v>0</v>
      </c>
      <c r="M201" s="39">
        <v>0</v>
      </c>
    </row>
    <row r="202" spans="1:13">
      <c r="A202" s="29" t="s">
        <v>287</v>
      </c>
      <c r="B202" s="39">
        <v>4013.6126901712942</v>
      </c>
      <c r="D202" s="39">
        <v>3098.6844738252148</v>
      </c>
      <c r="E202" s="39">
        <v>914.92821634607913</v>
      </c>
      <c r="F202" s="39"/>
      <c r="G202" s="39">
        <v>0</v>
      </c>
      <c r="H202" s="39">
        <v>1056.4871360929037</v>
      </c>
      <c r="I202" s="39">
        <v>1942.9815616345877</v>
      </c>
      <c r="J202" s="39">
        <v>525.84548645324446</v>
      </c>
      <c r="K202" s="39">
        <v>0</v>
      </c>
      <c r="L202" s="39">
        <v>488.298505990558</v>
      </c>
      <c r="M202" s="39">
        <v>0</v>
      </c>
    </row>
    <row r="203" spans="1:13">
      <c r="A203" s="29" t="s">
        <v>288</v>
      </c>
      <c r="B203" s="39">
        <v>176190.62864300251</v>
      </c>
      <c r="D203" s="39">
        <v>134498.66461871687</v>
      </c>
      <c r="E203" s="39">
        <v>41168.252279402201</v>
      </c>
      <c r="F203" s="39"/>
      <c r="G203" s="39">
        <v>22076.253620708678</v>
      </c>
      <c r="H203" s="39">
        <v>46987.133834374341</v>
      </c>
      <c r="I203" s="39">
        <v>52564.38970872893</v>
      </c>
      <c r="J203" s="39">
        <v>35696.029531194014</v>
      </c>
      <c r="K203" s="39">
        <v>14119.52860004809</v>
      </c>
      <c r="L203" s="39">
        <v>3966.0484969304666</v>
      </c>
      <c r="M203" s="39">
        <v>781.24485101788423</v>
      </c>
    </row>
    <row r="204" spans="1:13">
      <c r="A204" s="29" t="s">
        <v>289</v>
      </c>
      <c r="B204" s="39">
        <v>3778.4295534229759</v>
      </c>
      <c r="D204" s="39">
        <v>3168.6377874823902</v>
      </c>
      <c r="E204" s="39">
        <v>609.79176594058572</v>
      </c>
      <c r="F204" s="39"/>
      <c r="G204" s="39">
        <v>0</v>
      </c>
      <c r="H204" s="39">
        <v>0</v>
      </c>
      <c r="I204" s="39">
        <v>3239.3500796453209</v>
      </c>
      <c r="J204" s="39">
        <v>0</v>
      </c>
      <c r="K204" s="39">
        <v>539.07947377765493</v>
      </c>
      <c r="L204" s="39">
        <v>0</v>
      </c>
      <c r="M204" s="39">
        <v>0</v>
      </c>
    </row>
    <row r="205" spans="1:13">
      <c r="A205" s="29" t="s">
        <v>290</v>
      </c>
      <c r="B205" s="39">
        <v>1513.6579433554148</v>
      </c>
      <c r="D205" s="39">
        <v>991.55061101147476</v>
      </c>
      <c r="E205" s="39">
        <v>522.10733234394013</v>
      </c>
      <c r="F205" s="39"/>
      <c r="G205" s="39">
        <v>0</v>
      </c>
      <c r="H205" s="39">
        <v>0</v>
      </c>
      <c r="I205" s="39">
        <v>0</v>
      </c>
      <c r="J205" s="39">
        <v>522.10733234394013</v>
      </c>
      <c r="K205" s="39">
        <v>0</v>
      </c>
      <c r="L205" s="39">
        <v>991.55061101147476</v>
      </c>
      <c r="M205" s="39">
        <v>0</v>
      </c>
    </row>
    <row r="206" spans="1:13">
      <c r="A206" s="29" t="s">
        <v>291</v>
      </c>
      <c r="B206" s="39">
        <v>2891.9045785611033</v>
      </c>
      <c r="D206" s="39">
        <v>2891.9045785611033</v>
      </c>
      <c r="E206" s="39">
        <v>0</v>
      </c>
      <c r="F206" s="39"/>
      <c r="G206" s="39">
        <v>1686.4206408888419</v>
      </c>
      <c r="H206" s="39">
        <v>0</v>
      </c>
      <c r="I206" s="39">
        <v>572.50044121618782</v>
      </c>
      <c r="J206" s="39">
        <v>632.98349645607323</v>
      </c>
      <c r="K206" s="39">
        <v>0</v>
      </c>
      <c r="L206" s="39">
        <v>0</v>
      </c>
      <c r="M206" s="39">
        <v>0</v>
      </c>
    </row>
    <row r="207" spans="1:13">
      <c r="A207" s="29" t="s">
        <v>292</v>
      </c>
      <c r="B207" s="39">
        <v>147168.61259006898</v>
      </c>
      <c r="D207" s="39">
        <v>119314.89861180763</v>
      </c>
      <c r="E207" s="39">
        <v>27445.857684510156</v>
      </c>
      <c r="F207" s="39"/>
      <c r="G207" s="39">
        <v>3400.8145428713833</v>
      </c>
      <c r="H207" s="39">
        <v>6295.0565105586511</v>
      </c>
      <c r="I207" s="39">
        <v>11738.235439619439</v>
      </c>
      <c r="J207" s="39">
        <v>10766.478973949575</v>
      </c>
      <c r="K207" s="39">
        <v>22411.198844895189</v>
      </c>
      <c r="L207" s="39">
        <v>29982.169529413997</v>
      </c>
      <c r="M207" s="39">
        <v>62574.658748760645</v>
      </c>
    </row>
    <row r="208" spans="1:13">
      <c r="A208" s="29" t="s">
        <v>293</v>
      </c>
      <c r="B208" s="39">
        <v>490.83959562658805</v>
      </c>
      <c r="D208" s="39">
        <v>490.83959562658805</v>
      </c>
      <c r="E208" s="39">
        <v>0</v>
      </c>
      <c r="F208" s="39"/>
      <c r="G208" s="39">
        <v>0</v>
      </c>
      <c r="H208" s="39">
        <v>490.83959562658805</v>
      </c>
      <c r="I208" s="39">
        <v>0</v>
      </c>
      <c r="J208" s="39">
        <v>0</v>
      </c>
      <c r="K208" s="39">
        <v>0</v>
      </c>
      <c r="L208" s="39">
        <v>0</v>
      </c>
      <c r="M208" s="39">
        <v>0</v>
      </c>
    </row>
    <row r="209" spans="1:13">
      <c r="A209" s="29" t="s">
        <v>294</v>
      </c>
      <c r="B209" s="39">
        <v>0</v>
      </c>
      <c r="D209" s="39">
        <v>0</v>
      </c>
      <c r="E209" s="39">
        <v>0</v>
      </c>
      <c r="F209" s="39"/>
      <c r="G209" s="39">
        <v>0</v>
      </c>
      <c r="H209" s="39">
        <v>0</v>
      </c>
      <c r="I209" s="39">
        <v>0</v>
      </c>
      <c r="J209" s="39">
        <v>0</v>
      </c>
      <c r="K209" s="39">
        <v>0</v>
      </c>
      <c r="L209" s="39">
        <v>0</v>
      </c>
      <c r="M209" s="39">
        <v>0</v>
      </c>
    </row>
    <row r="210" spans="1:13">
      <c r="A210" s="29" t="s">
        <v>295</v>
      </c>
      <c r="B210" s="39">
        <v>21383.942021303847</v>
      </c>
      <c r="D210" s="39">
        <v>2105.3054204561899</v>
      </c>
      <c r="E210" s="39">
        <v>19278.636600847654</v>
      </c>
      <c r="F210" s="39"/>
      <c r="G210" s="39">
        <v>3719.4175983367741</v>
      </c>
      <c r="H210" s="39">
        <v>5837.3641856009563</v>
      </c>
      <c r="I210" s="39">
        <v>6973.5834009707887</v>
      </c>
      <c r="J210" s="39">
        <v>2202.2349767451406</v>
      </c>
      <c r="K210" s="39">
        <v>1038.2886275646511</v>
      </c>
      <c r="L210" s="39">
        <v>924.25102356541208</v>
      </c>
      <c r="M210" s="39">
        <v>688.80220852012314</v>
      </c>
    </row>
    <row r="211" spans="1:13">
      <c r="A211" s="29" t="s">
        <v>296</v>
      </c>
      <c r="B211" s="39">
        <v>2548.9464540301087</v>
      </c>
      <c r="D211" s="39">
        <v>2548.9464540301087</v>
      </c>
      <c r="E211" s="39">
        <v>0</v>
      </c>
      <c r="F211" s="39"/>
      <c r="G211" s="39">
        <v>0</v>
      </c>
      <c r="H211" s="39">
        <v>490.83959562658805</v>
      </c>
      <c r="I211" s="39">
        <v>1558.7958571023323</v>
      </c>
      <c r="J211" s="39">
        <v>0</v>
      </c>
      <c r="K211" s="39">
        <v>499.31100130118836</v>
      </c>
      <c r="L211" s="39">
        <v>0</v>
      </c>
      <c r="M211" s="39">
        <v>0</v>
      </c>
    </row>
    <row r="212" spans="1:13">
      <c r="A212" s="29" t="s">
        <v>297</v>
      </c>
      <c r="B212" s="39">
        <v>1650.9074729562335</v>
      </c>
      <c r="D212" s="39">
        <v>1088.42498009068</v>
      </c>
      <c r="E212" s="39">
        <v>562.48249286555335</v>
      </c>
      <c r="F212" s="39"/>
      <c r="G212" s="39">
        <v>0</v>
      </c>
      <c r="H212" s="39">
        <v>0</v>
      </c>
      <c r="I212" s="39">
        <v>0</v>
      </c>
      <c r="J212" s="39">
        <v>1098.2447849113594</v>
      </c>
      <c r="K212" s="39">
        <v>552.66268804487402</v>
      </c>
      <c r="L212" s="39">
        <v>0</v>
      </c>
      <c r="M212" s="39">
        <v>0</v>
      </c>
    </row>
    <row r="213" spans="1:13">
      <c r="A213" s="29" t="s">
        <v>298</v>
      </c>
      <c r="B213" s="39">
        <v>21589.741112784966</v>
      </c>
      <c r="D213" s="39">
        <v>9745.0092237796398</v>
      </c>
      <c r="E213" s="39">
        <v>11844.731889005336</v>
      </c>
      <c r="F213" s="39"/>
      <c r="G213" s="39">
        <v>1684.1040361991202</v>
      </c>
      <c r="H213" s="39">
        <v>5419.6632249471186</v>
      </c>
      <c r="I213" s="39">
        <v>3177.3946952805159</v>
      </c>
      <c r="J213" s="39">
        <v>5886.1803862361567</v>
      </c>
      <c r="K213" s="39">
        <v>1890.7420631966356</v>
      </c>
      <c r="L213" s="39">
        <v>3168.5213244640436</v>
      </c>
      <c r="M213" s="39">
        <v>363.13538246138353</v>
      </c>
    </row>
    <row r="214" spans="1:13">
      <c r="A214" s="29" t="s">
        <v>299</v>
      </c>
      <c r="B214" s="39">
        <v>2882.2365811495142</v>
      </c>
      <c r="D214" s="39">
        <v>1888.3880987881244</v>
      </c>
      <c r="E214" s="39">
        <v>993.84848236138976</v>
      </c>
      <c r="F214" s="39"/>
      <c r="G214" s="39">
        <v>0</v>
      </c>
      <c r="H214" s="39">
        <v>0</v>
      </c>
      <c r="I214" s="39">
        <v>1364.6763539048516</v>
      </c>
      <c r="J214" s="39">
        <v>1061.5705384881371</v>
      </c>
      <c r="K214" s="39">
        <v>455.9896887565252</v>
      </c>
      <c r="L214" s="39">
        <v>0</v>
      </c>
      <c r="M214" s="39">
        <v>0</v>
      </c>
    </row>
    <row r="215" spans="1:13">
      <c r="A215" s="29" t="s">
        <v>300</v>
      </c>
      <c r="B215" s="39">
        <v>1515.6927797956646</v>
      </c>
      <c r="D215" s="39">
        <v>1063.8643293580888</v>
      </c>
      <c r="E215" s="39">
        <v>451.82845043757595</v>
      </c>
      <c r="F215" s="39"/>
      <c r="G215" s="39">
        <v>0</v>
      </c>
      <c r="H215" s="39">
        <v>513.43167893591385</v>
      </c>
      <c r="I215" s="39">
        <v>0</v>
      </c>
      <c r="J215" s="39">
        <v>550.4326504221749</v>
      </c>
      <c r="K215" s="39">
        <v>451.82845043757595</v>
      </c>
      <c r="L215" s="39">
        <v>0</v>
      </c>
      <c r="M215" s="39">
        <v>0</v>
      </c>
    </row>
    <row r="216" spans="1:13">
      <c r="A216" s="29" t="s">
        <v>301</v>
      </c>
      <c r="B216" s="39">
        <v>455.9896887565252</v>
      </c>
      <c r="D216" s="39">
        <v>0</v>
      </c>
      <c r="E216" s="39">
        <v>455.9896887565252</v>
      </c>
      <c r="F216" s="39"/>
      <c r="G216" s="39">
        <v>0</v>
      </c>
      <c r="H216" s="39">
        <v>0</v>
      </c>
      <c r="I216" s="39">
        <v>0</v>
      </c>
      <c r="J216" s="39">
        <v>0</v>
      </c>
      <c r="K216" s="39">
        <v>455.9896887565252</v>
      </c>
      <c r="L216" s="39">
        <v>0</v>
      </c>
      <c r="M216" s="39">
        <v>0</v>
      </c>
    </row>
    <row r="217" spans="1:13">
      <c r="A217" s="29" t="s">
        <v>302</v>
      </c>
      <c r="B217" s="39">
        <v>2523.0304435712405</v>
      </c>
      <c r="D217" s="39">
        <v>0</v>
      </c>
      <c r="E217" s="39">
        <v>2523.0304435712405</v>
      </c>
      <c r="F217" s="39"/>
      <c r="G217" s="39">
        <v>0</v>
      </c>
      <c r="H217" s="39">
        <v>1586.2148783835764</v>
      </c>
      <c r="I217" s="39">
        <v>414.70823284372426</v>
      </c>
      <c r="J217" s="39">
        <v>522.10733234394013</v>
      </c>
      <c r="K217" s="39">
        <v>0</v>
      </c>
      <c r="L217" s="39">
        <v>0</v>
      </c>
      <c r="M217" s="39">
        <v>0</v>
      </c>
    </row>
    <row r="218" spans="1:13">
      <c r="A218" s="29" t="s">
        <v>303</v>
      </c>
      <c r="B218" s="39">
        <v>2095.3624876837657</v>
      </c>
      <c r="D218" s="39">
        <v>1120.9209568458189</v>
      </c>
      <c r="E218" s="39">
        <v>974.44153083794663</v>
      </c>
      <c r="F218" s="39"/>
      <c r="G218" s="39">
        <v>0</v>
      </c>
      <c r="H218" s="39">
        <v>0</v>
      </c>
      <c r="I218" s="39">
        <v>1590.3055019724507</v>
      </c>
      <c r="J218" s="39">
        <v>0</v>
      </c>
      <c r="K218" s="39">
        <v>505.05698571131489</v>
      </c>
      <c r="L218" s="39">
        <v>0</v>
      </c>
      <c r="M218" s="39">
        <v>0</v>
      </c>
    </row>
    <row r="219" spans="1:13">
      <c r="A219" s="29" t="s">
        <v>304</v>
      </c>
      <c r="B219" s="39">
        <v>1335.4319918326814</v>
      </c>
      <c r="D219" s="39">
        <v>1335.4319918326814</v>
      </c>
      <c r="E219" s="39">
        <v>0</v>
      </c>
      <c r="F219" s="39"/>
      <c r="G219" s="39">
        <v>0</v>
      </c>
      <c r="H219" s="39">
        <v>494.9951982506152</v>
      </c>
      <c r="I219" s="39">
        <v>457.31578257264806</v>
      </c>
      <c r="J219" s="39">
        <v>0</v>
      </c>
      <c r="K219" s="39">
        <v>0</v>
      </c>
      <c r="L219" s="39">
        <v>0</v>
      </c>
      <c r="M219" s="39">
        <v>383.12101100941817</v>
      </c>
    </row>
    <row r="220" spans="1:13">
      <c r="A220" s="29" t="s">
        <v>305</v>
      </c>
      <c r="B220" s="39">
        <v>8545.7993055303268</v>
      </c>
      <c r="D220" s="39">
        <v>6599.7153708905662</v>
      </c>
      <c r="E220" s="39">
        <v>1946.0839346397611</v>
      </c>
      <c r="F220" s="39"/>
      <c r="G220" s="39">
        <v>0</v>
      </c>
      <c r="H220" s="39">
        <v>1191.9479575140338</v>
      </c>
      <c r="I220" s="39">
        <v>4743.7275881909154</v>
      </c>
      <c r="J220" s="39">
        <v>1093.96459619857</v>
      </c>
      <c r="K220" s="39">
        <v>1516.1591636268076</v>
      </c>
      <c r="L220" s="39">
        <v>0</v>
      </c>
      <c r="M220" s="39">
        <v>0</v>
      </c>
    </row>
    <row r="221" spans="1:13">
      <c r="A221" s="29" t="s">
        <v>306</v>
      </c>
      <c r="B221" s="39">
        <v>10513.549380246837</v>
      </c>
      <c r="D221" s="39">
        <v>5431.3959258726509</v>
      </c>
      <c r="E221" s="39">
        <v>4570.9066749310532</v>
      </c>
      <c r="F221" s="39"/>
      <c r="G221" s="39">
        <v>0</v>
      </c>
      <c r="H221" s="39">
        <v>3608.7544552882828</v>
      </c>
      <c r="I221" s="39">
        <v>964.8016184234707</v>
      </c>
      <c r="J221" s="39">
        <v>1628.6201699265305</v>
      </c>
      <c r="K221" s="39">
        <v>2568.0955386141572</v>
      </c>
      <c r="L221" s="39">
        <v>1427.49707643126</v>
      </c>
      <c r="M221" s="39">
        <v>315.7805215631376</v>
      </c>
    </row>
    <row r="222" spans="1:13">
      <c r="A222" s="29" t="s">
        <v>307</v>
      </c>
      <c r="B222" s="39">
        <v>2183.7329295327563</v>
      </c>
      <c r="D222" s="39">
        <v>1612.3278480283075</v>
      </c>
      <c r="E222" s="39">
        <v>571.40508150444884</v>
      </c>
      <c r="F222" s="39"/>
      <c r="G222" s="39">
        <v>0</v>
      </c>
      <c r="H222" s="39">
        <v>532.20996220221821</v>
      </c>
      <c r="I222" s="39">
        <v>1068.4743598815458</v>
      </c>
      <c r="J222" s="39">
        <v>0</v>
      </c>
      <c r="K222" s="39">
        <v>583.04860744899258</v>
      </c>
      <c r="L222" s="39">
        <v>0</v>
      </c>
      <c r="M222" s="39">
        <v>0</v>
      </c>
    </row>
    <row r="223" spans="1:13">
      <c r="A223" s="29" t="s">
        <v>308</v>
      </c>
      <c r="B223" s="39">
        <v>0</v>
      </c>
      <c r="D223" s="39">
        <v>0</v>
      </c>
      <c r="E223" s="39">
        <v>0</v>
      </c>
      <c r="F223" s="39"/>
      <c r="G223" s="39">
        <v>0</v>
      </c>
      <c r="H223" s="39">
        <v>0</v>
      </c>
      <c r="I223" s="39">
        <v>0</v>
      </c>
      <c r="J223" s="39">
        <v>0</v>
      </c>
      <c r="K223" s="39">
        <v>0</v>
      </c>
      <c r="L223" s="39">
        <v>0</v>
      </c>
      <c r="M223" s="39">
        <v>0</v>
      </c>
    </row>
    <row r="224" spans="1:13">
      <c r="A224" s="29" t="s">
        <v>309</v>
      </c>
      <c r="B224" s="39">
        <v>571.40508150444884</v>
      </c>
      <c r="D224" s="39">
        <v>0</v>
      </c>
      <c r="E224" s="39">
        <v>571.40508150444884</v>
      </c>
      <c r="F224" s="39"/>
      <c r="G224" s="39">
        <v>0</v>
      </c>
      <c r="H224" s="39">
        <v>0</v>
      </c>
      <c r="I224" s="39">
        <v>571.40508150444884</v>
      </c>
      <c r="J224" s="39">
        <v>0</v>
      </c>
      <c r="K224" s="39">
        <v>0</v>
      </c>
      <c r="L224" s="39">
        <v>0</v>
      </c>
      <c r="M224" s="39">
        <v>0</v>
      </c>
    </row>
    <row r="225" spans="1:13">
      <c r="A225" s="29" t="s">
        <v>310</v>
      </c>
      <c r="B225" s="39">
        <v>484.78434233267041</v>
      </c>
      <c r="D225" s="39">
        <v>0</v>
      </c>
      <c r="E225" s="39">
        <v>484.78434233267041</v>
      </c>
      <c r="F225" s="39"/>
      <c r="G225" s="39">
        <v>0</v>
      </c>
      <c r="H225" s="39">
        <v>484.78434233267041</v>
      </c>
      <c r="I225" s="39">
        <v>0</v>
      </c>
      <c r="J225" s="39">
        <v>0</v>
      </c>
      <c r="K225" s="39">
        <v>0</v>
      </c>
      <c r="L225" s="39">
        <v>0</v>
      </c>
      <c r="M225" s="39">
        <v>0</v>
      </c>
    </row>
    <row r="226" spans="1:13">
      <c r="A226" s="29" t="s">
        <v>311</v>
      </c>
      <c r="B226" s="39">
        <v>5710.306670144706</v>
      </c>
      <c r="D226" s="39">
        <v>1504.0099902842946</v>
      </c>
      <c r="E226" s="39">
        <v>4206.2966798604102</v>
      </c>
      <c r="F226" s="39"/>
      <c r="G226" s="39">
        <v>3731.9490362530478</v>
      </c>
      <c r="H226" s="39">
        <v>474.34764360736324</v>
      </c>
      <c r="I226" s="39">
        <v>0</v>
      </c>
      <c r="J226" s="39">
        <v>558.67924333844962</v>
      </c>
      <c r="K226" s="39">
        <v>945.33074694584502</v>
      </c>
      <c r="L226" s="39">
        <v>0</v>
      </c>
      <c r="M226" s="39">
        <v>0</v>
      </c>
    </row>
    <row r="227" spans="1:13">
      <c r="A227" s="29" t="s">
        <v>312</v>
      </c>
      <c r="B227" s="39">
        <v>0</v>
      </c>
      <c r="D227" s="39">
        <v>0</v>
      </c>
      <c r="E227" s="39">
        <v>0</v>
      </c>
      <c r="F227" s="39"/>
      <c r="G227" s="39">
        <v>0</v>
      </c>
      <c r="H227" s="39">
        <v>0</v>
      </c>
      <c r="I227" s="39">
        <v>0</v>
      </c>
      <c r="J227" s="39">
        <v>0</v>
      </c>
      <c r="K227" s="39">
        <v>0</v>
      </c>
      <c r="L227" s="39">
        <v>0</v>
      </c>
      <c r="M227" s="39">
        <v>0</v>
      </c>
    </row>
    <row r="228" spans="1:13">
      <c r="A228" s="29" t="s">
        <v>313</v>
      </c>
      <c r="B228" s="39">
        <v>3464.0857683971635</v>
      </c>
      <c r="D228" s="39">
        <v>2534.4122795011094</v>
      </c>
      <c r="E228" s="39">
        <v>929.67348889605444</v>
      </c>
      <c r="F228" s="39"/>
      <c r="G228" s="39">
        <v>0</v>
      </c>
      <c r="H228" s="39">
        <v>1488.7124971339251</v>
      </c>
      <c r="I228" s="39">
        <v>930.32412966159427</v>
      </c>
      <c r="J228" s="39">
        <v>0</v>
      </c>
      <c r="K228" s="39">
        <v>1045.0491416016444</v>
      </c>
      <c r="L228" s="39">
        <v>0</v>
      </c>
      <c r="M228" s="39">
        <v>0</v>
      </c>
    </row>
    <row r="229" spans="1:13">
      <c r="A229" s="29" t="s">
        <v>314</v>
      </c>
      <c r="B229" s="39">
        <v>0</v>
      </c>
      <c r="D229" s="39">
        <v>0</v>
      </c>
      <c r="E229" s="39">
        <v>0</v>
      </c>
      <c r="F229" s="39"/>
      <c r="G229" s="39">
        <v>0</v>
      </c>
      <c r="H229" s="39">
        <v>0</v>
      </c>
      <c r="I229" s="39">
        <v>0</v>
      </c>
      <c r="J229" s="39">
        <v>0</v>
      </c>
      <c r="K229" s="39">
        <v>0</v>
      </c>
      <c r="L229" s="39">
        <v>0</v>
      </c>
      <c r="M229" s="39">
        <v>0</v>
      </c>
    </row>
    <row r="230" spans="1:13">
      <c r="A230" s="29" t="s">
        <v>315</v>
      </c>
      <c r="B230" s="39">
        <v>644.05183610281483</v>
      </c>
      <c r="D230" s="39">
        <v>0</v>
      </c>
      <c r="E230" s="39">
        <v>644.05183610281483</v>
      </c>
      <c r="F230" s="39"/>
      <c r="G230" s="39">
        <v>0</v>
      </c>
      <c r="H230" s="39">
        <v>0</v>
      </c>
      <c r="I230" s="39">
        <v>0</v>
      </c>
      <c r="J230" s="39">
        <v>0</v>
      </c>
      <c r="K230" s="39">
        <v>644.05183610281483</v>
      </c>
      <c r="L230" s="39">
        <v>0</v>
      </c>
      <c r="M230" s="39">
        <v>0</v>
      </c>
    </row>
    <row r="231" spans="1:13">
      <c r="A231" s="29" t="s">
        <v>316</v>
      </c>
      <c r="B231" s="39">
        <v>25353.392863659436</v>
      </c>
      <c r="D231" s="39">
        <v>10117.677959462064</v>
      </c>
      <c r="E231" s="39">
        <v>14819.780406433532</v>
      </c>
      <c r="F231" s="39"/>
      <c r="G231" s="39">
        <v>0</v>
      </c>
      <c r="H231" s="39">
        <v>2530.8099988675549</v>
      </c>
      <c r="I231" s="39">
        <v>2860.4253793938992</v>
      </c>
      <c r="J231" s="39">
        <v>1646.9706873654891</v>
      </c>
      <c r="K231" s="39">
        <v>3178.5121880376259</v>
      </c>
      <c r="L231" s="39">
        <v>404.6717542888926</v>
      </c>
      <c r="M231" s="39">
        <v>14732.00285570598</v>
      </c>
    </row>
    <row r="232" spans="1:13">
      <c r="A232" s="29" t="s">
        <v>317</v>
      </c>
      <c r="B232" s="39">
        <v>3338.824138900563</v>
      </c>
      <c r="D232" s="39">
        <v>2893.2804676811152</v>
      </c>
      <c r="E232" s="39">
        <v>445.54367121944733</v>
      </c>
      <c r="F232" s="39"/>
      <c r="G232" s="39">
        <v>0</v>
      </c>
      <c r="H232" s="39">
        <v>595.03992990751055</v>
      </c>
      <c r="I232" s="39">
        <v>2185.1049656546024</v>
      </c>
      <c r="J232" s="39">
        <v>558.67924333844962</v>
      </c>
      <c r="K232" s="39">
        <v>0</v>
      </c>
      <c r="L232" s="39">
        <v>0</v>
      </c>
      <c r="M232" s="39">
        <v>0</v>
      </c>
    </row>
    <row r="233" spans="1:13">
      <c r="A233" s="29" t="s">
        <v>318</v>
      </c>
      <c r="B233" s="39">
        <v>0</v>
      </c>
      <c r="D233" s="39">
        <v>0</v>
      </c>
      <c r="E233" s="39">
        <v>0</v>
      </c>
      <c r="F233" s="39"/>
      <c r="G233" s="39">
        <v>0</v>
      </c>
      <c r="H233" s="39">
        <v>0</v>
      </c>
      <c r="I233" s="39">
        <v>0</v>
      </c>
      <c r="J233" s="39">
        <v>0</v>
      </c>
      <c r="K233" s="39">
        <v>0</v>
      </c>
      <c r="L233" s="39">
        <v>0</v>
      </c>
      <c r="M233" s="39">
        <v>0</v>
      </c>
    </row>
    <row r="234" spans="1:13">
      <c r="A234" s="29" t="s">
        <v>319</v>
      </c>
      <c r="B234" s="39">
        <v>19617.247785245472</v>
      </c>
      <c r="D234" s="39">
        <v>15931.6115878984</v>
      </c>
      <c r="E234" s="39">
        <v>3685.636197347068</v>
      </c>
      <c r="F234" s="39"/>
      <c r="G234" s="39">
        <v>1986.5027484424061</v>
      </c>
      <c r="H234" s="39">
        <v>4204.4963738705801</v>
      </c>
      <c r="I234" s="39">
        <v>6454.1543818709752</v>
      </c>
      <c r="J234" s="39">
        <v>1641.2480955045776</v>
      </c>
      <c r="K234" s="39">
        <v>2504.3606393145628</v>
      </c>
      <c r="L234" s="39">
        <v>1459.1290228252565</v>
      </c>
      <c r="M234" s="39">
        <v>1367.3565234171133</v>
      </c>
    </row>
    <row r="235" spans="1:13">
      <c r="A235" s="29" t="s">
        <v>320</v>
      </c>
      <c r="B235" s="39">
        <v>8448.9615371293585</v>
      </c>
      <c r="D235" s="39">
        <v>6034.5043330207773</v>
      </c>
      <c r="E235" s="39">
        <v>2414.4572041085817</v>
      </c>
      <c r="F235" s="39"/>
      <c r="G235" s="39">
        <v>1496.4186483270073</v>
      </c>
      <c r="H235" s="39">
        <v>2264.712017134133</v>
      </c>
      <c r="I235" s="39">
        <v>2436.9702436593889</v>
      </c>
      <c r="J235" s="39">
        <v>0</v>
      </c>
      <c r="K235" s="39">
        <v>552.66268804487402</v>
      </c>
      <c r="L235" s="39">
        <v>968.00530537833311</v>
      </c>
      <c r="M235" s="39">
        <v>730.19263458562295</v>
      </c>
    </row>
    <row r="236" spans="1:13">
      <c r="A236" s="29" t="s">
        <v>321</v>
      </c>
      <c r="B236" s="39">
        <v>3560.3488222347423</v>
      </c>
      <c r="D236" s="39">
        <v>3218.2292663863673</v>
      </c>
      <c r="E236" s="39">
        <v>342.11955584837506</v>
      </c>
      <c r="F236" s="39"/>
      <c r="G236" s="39">
        <v>0</v>
      </c>
      <c r="H236" s="39">
        <v>543.05545715698975</v>
      </c>
      <c r="I236" s="39">
        <v>669.99157484187026</v>
      </c>
      <c r="J236" s="39">
        <v>1049.5572313365171</v>
      </c>
      <c r="K236" s="39">
        <v>955.62500305099002</v>
      </c>
      <c r="L236" s="39">
        <v>0</v>
      </c>
      <c r="M236" s="39">
        <v>342.11955584837506</v>
      </c>
    </row>
    <row r="237" spans="1:13">
      <c r="A237" s="29" t="s">
        <v>322</v>
      </c>
      <c r="B237" s="39">
        <v>1166.3197040452078</v>
      </c>
      <c r="D237" s="39">
        <v>663.60517427317075</v>
      </c>
      <c r="E237" s="39">
        <v>502.71452977203694</v>
      </c>
      <c r="F237" s="39"/>
      <c r="G237" s="39">
        <v>0</v>
      </c>
      <c r="H237" s="39">
        <v>502.71452977203694</v>
      </c>
      <c r="I237" s="39">
        <v>663.60517427317075</v>
      </c>
      <c r="J237" s="39">
        <v>0</v>
      </c>
      <c r="K237" s="39">
        <v>0</v>
      </c>
      <c r="L237" s="39">
        <v>0</v>
      </c>
      <c r="M237" s="39">
        <v>0</v>
      </c>
    </row>
    <row r="238" spans="1:13">
      <c r="A238" s="29" t="s">
        <v>323</v>
      </c>
      <c r="B238" s="39">
        <v>5235.7613821939358</v>
      </c>
      <c r="D238" s="39">
        <v>2813.6609051604723</v>
      </c>
      <c r="E238" s="39">
        <v>2422.100477033463</v>
      </c>
      <c r="F238" s="39"/>
      <c r="G238" s="39">
        <v>0</v>
      </c>
      <c r="H238" s="39">
        <v>2577.5627915254277</v>
      </c>
      <c r="I238" s="39">
        <v>1139.3761199685021</v>
      </c>
      <c r="J238" s="39">
        <v>1101.8936902747228</v>
      </c>
      <c r="K238" s="39">
        <v>0</v>
      </c>
      <c r="L238" s="39">
        <v>0</v>
      </c>
      <c r="M238" s="39">
        <v>416.92878042528321</v>
      </c>
    </row>
    <row r="239" spans="1:13">
      <c r="A239" s="29" t="s">
        <v>324</v>
      </c>
      <c r="B239" s="39">
        <v>126790.04837499662</v>
      </c>
      <c r="D239" s="39">
        <v>19166.028030803969</v>
      </c>
      <c r="E239" s="39">
        <v>107624.02034419263</v>
      </c>
      <c r="F239" s="39"/>
      <c r="G239" s="39">
        <v>23565.866618136843</v>
      </c>
      <c r="H239" s="39">
        <v>35865.206946206112</v>
      </c>
      <c r="I239" s="39">
        <v>38422.666637413706</v>
      </c>
      <c r="J239" s="39">
        <v>15374.381608693398</v>
      </c>
      <c r="K239" s="39">
        <v>11095.994094018737</v>
      </c>
      <c r="L239" s="39">
        <v>1420.2402253342943</v>
      </c>
      <c r="M239" s="39">
        <v>1045.6922451935325</v>
      </c>
    </row>
    <row r="240" spans="1:13">
      <c r="A240" s="29" t="s">
        <v>325</v>
      </c>
      <c r="B240" s="39">
        <v>3414.7645583379735</v>
      </c>
      <c r="D240" s="39">
        <v>1340.567356342081</v>
      </c>
      <c r="E240" s="39">
        <v>2074.1972019958926</v>
      </c>
      <c r="F240" s="39"/>
      <c r="G240" s="39">
        <v>2074.1972019958926</v>
      </c>
      <c r="H240" s="39">
        <v>0</v>
      </c>
      <c r="I240" s="39">
        <v>694.68477906298142</v>
      </c>
      <c r="J240" s="39">
        <v>645.88257727909968</v>
      </c>
      <c r="K240" s="39">
        <v>0</v>
      </c>
      <c r="L240" s="39">
        <v>0</v>
      </c>
      <c r="M240" s="39">
        <v>0</v>
      </c>
    </row>
    <row r="241" spans="1:13">
      <c r="A241" s="29" t="s">
        <v>326</v>
      </c>
      <c r="B241" s="39">
        <v>3920.3678788048924</v>
      </c>
      <c r="D241" s="39">
        <v>1438.314383057736</v>
      </c>
      <c r="E241" s="39">
        <v>2074.1972019958926</v>
      </c>
      <c r="F241" s="39"/>
      <c r="G241" s="39">
        <v>2074.1972019958926</v>
      </c>
      <c r="H241" s="39">
        <v>0</v>
      </c>
      <c r="I241" s="39">
        <v>0</v>
      </c>
      <c r="J241" s="39">
        <v>0</v>
      </c>
      <c r="K241" s="39">
        <v>1464.0368082152381</v>
      </c>
      <c r="L241" s="39">
        <v>0</v>
      </c>
      <c r="M241" s="39">
        <v>382.13386859376192</v>
      </c>
    </row>
    <row r="242" spans="1:13">
      <c r="A242" s="29" t="s">
        <v>327</v>
      </c>
      <c r="B242" s="39">
        <v>0</v>
      </c>
      <c r="D242" s="39">
        <v>0</v>
      </c>
      <c r="E242" s="39">
        <v>0</v>
      </c>
      <c r="F242" s="39"/>
      <c r="G242" s="39">
        <v>0</v>
      </c>
      <c r="H242" s="39">
        <v>0</v>
      </c>
      <c r="I242" s="39">
        <v>0</v>
      </c>
      <c r="J242" s="39">
        <v>0</v>
      </c>
      <c r="K242" s="39">
        <v>0</v>
      </c>
      <c r="L242" s="39">
        <v>0</v>
      </c>
      <c r="M242" s="39">
        <v>0</v>
      </c>
    </row>
    <row r="243" spans="1:13">
      <c r="A243" s="29" t="s">
        <v>328</v>
      </c>
      <c r="B243" s="39">
        <v>0</v>
      </c>
      <c r="D243" s="39">
        <v>0</v>
      </c>
      <c r="E243" s="39">
        <v>0</v>
      </c>
      <c r="F243" s="39"/>
      <c r="G243" s="39">
        <v>0</v>
      </c>
      <c r="H243" s="39">
        <v>0</v>
      </c>
      <c r="I243" s="39">
        <v>0</v>
      </c>
      <c r="J243" s="39">
        <v>0</v>
      </c>
      <c r="K243" s="39">
        <v>0</v>
      </c>
      <c r="L243" s="39">
        <v>0</v>
      </c>
      <c r="M243" s="39">
        <v>0</v>
      </c>
    </row>
    <row r="244" spans="1:13">
      <c r="A244" s="29" t="s">
        <v>329</v>
      </c>
      <c r="B244" s="39">
        <v>2305.7078237247047</v>
      </c>
      <c r="D244" s="39">
        <v>506.62030858952943</v>
      </c>
      <c r="E244" s="39">
        <v>1799.0875151351752</v>
      </c>
      <c r="F244" s="39"/>
      <c r="G244" s="39">
        <v>0</v>
      </c>
      <c r="H244" s="39">
        <v>0</v>
      </c>
      <c r="I244" s="39">
        <v>1345.8259987509377</v>
      </c>
      <c r="J244" s="39">
        <v>522.10733234394013</v>
      </c>
      <c r="K244" s="39">
        <v>0</v>
      </c>
      <c r="L244" s="39">
        <v>437.77449262982663</v>
      </c>
      <c r="M244" s="39">
        <v>0</v>
      </c>
    </row>
    <row r="245" spans="1:13">
      <c r="A245" s="29" t="s">
        <v>330</v>
      </c>
      <c r="B245" s="39">
        <v>0</v>
      </c>
      <c r="D245" s="39">
        <v>0</v>
      </c>
      <c r="E245" s="39">
        <v>0</v>
      </c>
      <c r="F245" s="39"/>
      <c r="G245" s="39">
        <v>0</v>
      </c>
      <c r="H245" s="39">
        <v>0</v>
      </c>
      <c r="I245" s="39">
        <v>0</v>
      </c>
      <c r="J245" s="39">
        <v>0</v>
      </c>
      <c r="K245" s="39">
        <v>0</v>
      </c>
      <c r="L245" s="39">
        <v>0</v>
      </c>
      <c r="M245" s="39">
        <v>0</v>
      </c>
    </row>
    <row r="246" spans="1:13">
      <c r="A246" s="29" t="s">
        <v>331</v>
      </c>
      <c r="B246" s="39">
        <v>489.22613750904748</v>
      </c>
      <c r="D246" s="39">
        <v>489.22613750904748</v>
      </c>
      <c r="E246" s="39">
        <v>0</v>
      </c>
      <c r="F246" s="39"/>
      <c r="G246" s="39">
        <v>0</v>
      </c>
      <c r="H246" s="39">
        <v>0</v>
      </c>
      <c r="I246" s="39">
        <v>489.22613750904748</v>
      </c>
      <c r="J246" s="39">
        <v>0</v>
      </c>
      <c r="K246" s="39">
        <v>0</v>
      </c>
      <c r="L246" s="39">
        <v>0</v>
      </c>
      <c r="M246" s="39">
        <v>0</v>
      </c>
    </row>
    <row r="247" spans="1:13">
      <c r="A247" s="29" t="s">
        <v>332</v>
      </c>
      <c r="B247" s="39">
        <v>360.61781302758351</v>
      </c>
      <c r="D247" s="39">
        <v>360.61781302758351</v>
      </c>
      <c r="E247" s="39">
        <v>0</v>
      </c>
      <c r="F247" s="39"/>
      <c r="G247" s="39">
        <v>0</v>
      </c>
      <c r="H247" s="39">
        <v>0</v>
      </c>
      <c r="I247" s="39">
        <v>0</v>
      </c>
      <c r="J247" s="39">
        <v>0</v>
      </c>
      <c r="K247" s="39">
        <v>0</v>
      </c>
      <c r="L247" s="39">
        <v>0</v>
      </c>
      <c r="M247" s="39">
        <v>360.61781302758351</v>
      </c>
    </row>
    <row r="248" spans="1:13">
      <c r="A248" s="29" t="s">
        <v>333</v>
      </c>
      <c r="B248" s="39">
        <v>383.12101100941817</v>
      </c>
      <c r="D248" s="39">
        <v>383.12101100941817</v>
      </c>
      <c r="E248" s="39">
        <v>0</v>
      </c>
      <c r="F248" s="39"/>
      <c r="G248" s="39">
        <v>0</v>
      </c>
      <c r="H248" s="39">
        <v>0</v>
      </c>
      <c r="I248" s="39">
        <v>0</v>
      </c>
      <c r="J248" s="39">
        <v>0</v>
      </c>
      <c r="K248" s="39">
        <v>0</v>
      </c>
      <c r="L248" s="39">
        <v>0</v>
      </c>
      <c r="M248" s="39">
        <v>383.12101100941817</v>
      </c>
    </row>
    <row r="249" spans="1:13">
      <c r="A249" s="29" t="s">
        <v>334</v>
      </c>
      <c r="B249" s="39">
        <v>28993.530491196241</v>
      </c>
      <c r="D249" s="39">
        <v>14061.707240801734</v>
      </c>
      <c r="E249" s="39">
        <v>14931.823250394522</v>
      </c>
      <c r="F249" s="39"/>
      <c r="G249" s="39">
        <v>1580.25965186902</v>
      </c>
      <c r="H249" s="39">
        <v>3012.6463236714098</v>
      </c>
      <c r="I249" s="39">
        <v>2392.7339036781868</v>
      </c>
      <c r="J249" s="39">
        <v>7020.839188054515</v>
      </c>
      <c r="K249" s="39">
        <v>3060.2399401475045</v>
      </c>
      <c r="L249" s="39">
        <v>5605.0502183594454</v>
      </c>
      <c r="M249" s="39">
        <v>6321.761265416174</v>
      </c>
    </row>
    <row r="250" spans="1:13">
      <c r="A250" s="29" t="s">
        <v>335</v>
      </c>
      <c r="B250" s="39">
        <v>338068.61296662869</v>
      </c>
      <c r="D250" s="39">
        <v>27471.585097067866</v>
      </c>
      <c r="E250" s="39">
        <v>309141.93189170916</v>
      </c>
      <c r="F250" s="39"/>
      <c r="G250" s="39">
        <v>7386.0307666711615</v>
      </c>
      <c r="H250" s="39">
        <v>42419.70057254217</v>
      </c>
      <c r="I250" s="39">
        <v>102535.32488042528</v>
      </c>
      <c r="J250" s="39">
        <v>72046.435933976827</v>
      </c>
      <c r="K250" s="39">
        <v>43547.542792031811</v>
      </c>
      <c r="L250" s="39">
        <v>30664.876752503998</v>
      </c>
      <c r="M250" s="39">
        <v>39468.701268476885</v>
      </c>
    </row>
    <row r="251" spans="1:13">
      <c r="A251" s="29" t="s">
        <v>336</v>
      </c>
      <c r="B251" s="39">
        <v>0</v>
      </c>
      <c r="D251" s="39">
        <v>0</v>
      </c>
      <c r="E251" s="39">
        <v>0</v>
      </c>
      <c r="F251" s="39"/>
      <c r="G251" s="39">
        <v>0</v>
      </c>
      <c r="H251" s="39">
        <v>0</v>
      </c>
      <c r="I251" s="39">
        <v>0</v>
      </c>
      <c r="J251" s="39">
        <v>0</v>
      </c>
      <c r="K251" s="39">
        <v>0</v>
      </c>
      <c r="L251" s="39">
        <v>0</v>
      </c>
      <c r="M251" s="39">
        <v>0</v>
      </c>
    </row>
    <row r="252" spans="1:13">
      <c r="A252" s="29" t="s">
        <v>337</v>
      </c>
      <c r="B252" s="39">
        <v>0</v>
      </c>
      <c r="D252" s="39">
        <v>0</v>
      </c>
      <c r="E252" s="39">
        <v>0</v>
      </c>
      <c r="F252" s="39"/>
      <c r="G252" s="39">
        <v>0</v>
      </c>
      <c r="H252" s="39">
        <v>0</v>
      </c>
      <c r="I252" s="39">
        <v>0</v>
      </c>
      <c r="J252" s="39">
        <v>0</v>
      </c>
      <c r="K252" s="39">
        <v>0</v>
      </c>
      <c r="L252" s="39">
        <v>0</v>
      </c>
      <c r="M252" s="39">
        <v>0</v>
      </c>
    </row>
    <row r="253" spans="1:13">
      <c r="A253" s="29" t="s">
        <v>338</v>
      </c>
      <c r="B253" s="39">
        <v>975.53219593222229</v>
      </c>
      <c r="D253" s="39">
        <v>0</v>
      </c>
      <c r="E253" s="39">
        <v>975.53219593222229</v>
      </c>
      <c r="F253" s="39"/>
      <c r="G253" s="39">
        <v>0</v>
      </c>
      <c r="H253" s="39">
        <v>467.7907630544529</v>
      </c>
      <c r="I253" s="39">
        <v>0</v>
      </c>
      <c r="J253" s="39">
        <v>507.74143287776934</v>
      </c>
      <c r="K253" s="39">
        <v>0</v>
      </c>
      <c r="L253" s="39">
        <v>0</v>
      </c>
      <c r="M253" s="39">
        <v>0</v>
      </c>
    </row>
    <row r="254" spans="1:13">
      <c r="A254" s="29" t="s">
        <v>339</v>
      </c>
      <c r="B254" s="39">
        <v>2554.1129617635283</v>
      </c>
      <c r="D254" s="39">
        <v>1122.7535140597677</v>
      </c>
      <c r="E254" s="39">
        <v>1431.3594477037607</v>
      </c>
      <c r="F254" s="39"/>
      <c r="G254" s="39">
        <v>0</v>
      </c>
      <c r="H254" s="39">
        <v>596.90802760652321</v>
      </c>
      <c r="I254" s="39">
        <v>900.16673211875832</v>
      </c>
      <c r="J254" s="39">
        <v>1057.0382020382467</v>
      </c>
      <c r="K254" s="39">
        <v>0</v>
      </c>
      <c r="L254" s="39">
        <v>0</v>
      </c>
      <c r="M254" s="39">
        <v>0</v>
      </c>
    </row>
    <row r="255" spans="1:13">
      <c r="A255" s="29" t="s">
        <v>340</v>
      </c>
      <c r="B255" s="39">
        <v>0</v>
      </c>
      <c r="D255" s="39">
        <v>0</v>
      </c>
      <c r="E255" s="39">
        <v>0</v>
      </c>
      <c r="F255" s="39"/>
      <c r="G255" s="39">
        <v>0</v>
      </c>
      <c r="H255" s="39">
        <v>0</v>
      </c>
      <c r="I255" s="39">
        <v>0</v>
      </c>
      <c r="J255" s="39">
        <v>0</v>
      </c>
      <c r="K255" s="39">
        <v>0</v>
      </c>
      <c r="L255" s="39">
        <v>0</v>
      </c>
      <c r="M255" s="39">
        <v>0</v>
      </c>
    </row>
    <row r="256" spans="1:13">
      <c r="A256" s="29" t="s">
        <v>341</v>
      </c>
      <c r="B256" s="39">
        <v>7691.5695901664776</v>
      </c>
      <c r="D256" s="39">
        <v>4913.7575597821897</v>
      </c>
      <c r="E256" s="39">
        <v>2777.8120303842875</v>
      </c>
      <c r="F256" s="39"/>
      <c r="G256" s="39">
        <v>1688.3840852074138</v>
      </c>
      <c r="H256" s="39">
        <v>2082.364113199209</v>
      </c>
      <c r="I256" s="39">
        <v>1795.3913603697988</v>
      </c>
      <c r="J256" s="39">
        <v>1158.1935631903962</v>
      </c>
      <c r="K256" s="39">
        <v>455.9896887565252</v>
      </c>
      <c r="L256" s="39">
        <v>511.24677944313385</v>
      </c>
      <c r="M256" s="39">
        <v>0</v>
      </c>
    </row>
    <row r="257" spans="1:13">
      <c r="A257" s="29" t="s">
        <v>342</v>
      </c>
      <c r="B257" s="39">
        <v>0</v>
      </c>
      <c r="D257" s="39">
        <v>0</v>
      </c>
      <c r="E257" s="39">
        <v>0</v>
      </c>
      <c r="F257" s="39"/>
      <c r="G257" s="39">
        <v>0</v>
      </c>
      <c r="H257" s="39">
        <v>0</v>
      </c>
      <c r="I257" s="39">
        <v>0</v>
      </c>
      <c r="J257" s="39">
        <v>0</v>
      </c>
      <c r="K257" s="39">
        <v>0</v>
      </c>
      <c r="L257" s="39">
        <v>0</v>
      </c>
      <c r="M257" s="39">
        <v>0</v>
      </c>
    </row>
    <row r="258" spans="1:13">
      <c r="A258" s="29" t="s">
        <v>343</v>
      </c>
      <c r="B258" s="39">
        <v>875.85955655747455</v>
      </c>
      <c r="D258" s="39">
        <v>382.13386859376192</v>
      </c>
      <c r="E258" s="39">
        <v>493.72568796371263</v>
      </c>
      <c r="F258" s="39"/>
      <c r="G258" s="39">
        <v>0</v>
      </c>
      <c r="H258" s="39">
        <v>0</v>
      </c>
      <c r="I258" s="39">
        <v>0</v>
      </c>
      <c r="J258" s="39">
        <v>0</v>
      </c>
      <c r="K258" s="39">
        <v>0</v>
      </c>
      <c r="L258" s="39">
        <v>493.72568796371263</v>
      </c>
      <c r="M258" s="39">
        <v>382.13386859376192</v>
      </c>
    </row>
    <row r="259" spans="1:13">
      <c r="A259" s="29" t="s">
        <v>344</v>
      </c>
      <c r="B259" s="39">
        <v>2220.4762594905874</v>
      </c>
      <c r="D259" s="39">
        <v>1175.9971572961933</v>
      </c>
      <c r="E259" s="39">
        <v>537.85879360486456</v>
      </c>
      <c r="F259" s="39"/>
      <c r="G259" s="39">
        <v>0</v>
      </c>
      <c r="H259" s="39">
        <v>0</v>
      </c>
      <c r="I259" s="39">
        <v>506.62030858952943</v>
      </c>
      <c r="J259" s="39">
        <v>1713.8559509010579</v>
      </c>
      <c r="K259" s="39">
        <v>0</v>
      </c>
      <c r="L259" s="39">
        <v>0</v>
      </c>
      <c r="M259" s="39">
        <v>0</v>
      </c>
    </row>
    <row r="260" spans="1:13">
      <c r="A260" s="29" t="s">
        <v>345</v>
      </c>
      <c r="B260" s="39">
        <v>991.50250793772557</v>
      </c>
      <c r="D260" s="39">
        <v>523.71174488327267</v>
      </c>
      <c r="E260" s="39">
        <v>467.7907630544529</v>
      </c>
      <c r="F260" s="39"/>
      <c r="G260" s="39">
        <v>0</v>
      </c>
      <c r="H260" s="39">
        <v>467.7907630544529</v>
      </c>
      <c r="I260" s="39">
        <v>0</v>
      </c>
      <c r="J260" s="39">
        <v>523.71174488327267</v>
      </c>
      <c r="K260" s="39">
        <v>0</v>
      </c>
      <c r="L260" s="39">
        <v>0</v>
      </c>
      <c r="M260" s="39">
        <v>0</v>
      </c>
    </row>
    <row r="261" spans="1:13">
      <c r="A261" s="29" t="s">
        <v>346</v>
      </c>
      <c r="B261" s="39">
        <v>7101.2984316533766</v>
      </c>
      <c r="D261" s="39">
        <v>5377.2519357547917</v>
      </c>
      <c r="E261" s="39">
        <v>1724.0464958985847</v>
      </c>
      <c r="F261" s="39"/>
      <c r="G261" s="39">
        <v>0</v>
      </c>
      <c r="H261" s="39">
        <v>969.81003958551969</v>
      </c>
      <c r="I261" s="39">
        <v>1621.9211430047524</v>
      </c>
      <c r="J261" s="39">
        <v>1074.1443953054477</v>
      </c>
      <c r="K261" s="39">
        <v>1163.9692381918462</v>
      </c>
      <c r="L261" s="39">
        <v>905.88527859196131</v>
      </c>
      <c r="M261" s="39">
        <v>1365.5683369738485</v>
      </c>
    </row>
    <row r="262" spans="1:13">
      <c r="A262" s="29" t="s">
        <v>347</v>
      </c>
      <c r="B262" s="39">
        <v>7458.5843835083306</v>
      </c>
      <c r="D262" s="39">
        <v>6989.199838381699</v>
      </c>
      <c r="E262" s="39">
        <v>469.38454512663174</v>
      </c>
      <c r="F262" s="39"/>
      <c r="G262" s="39">
        <v>0</v>
      </c>
      <c r="H262" s="39">
        <v>1601.7509897135806</v>
      </c>
      <c r="I262" s="39">
        <v>4211.623444647722</v>
      </c>
      <c r="J262" s="39">
        <v>548.3346408498262</v>
      </c>
      <c r="K262" s="39">
        <v>1096.8753082972021</v>
      </c>
      <c r="L262" s="39">
        <v>0</v>
      </c>
      <c r="M262" s="39">
        <v>0</v>
      </c>
    </row>
    <row r="263" spans="1:13">
      <c r="A263" s="29" t="s">
        <v>348</v>
      </c>
      <c r="B263" s="39">
        <v>5002.7551373356937</v>
      </c>
      <c r="D263" s="39">
        <v>4413.0519846840416</v>
      </c>
      <c r="E263" s="39">
        <v>589.70315265165152</v>
      </c>
      <c r="F263" s="39"/>
      <c r="G263" s="39">
        <v>0</v>
      </c>
      <c r="H263" s="39">
        <v>532.20996220221821</v>
      </c>
      <c r="I263" s="39">
        <v>3354.9965360285787</v>
      </c>
      <c r="J263" s="39">
        <v>1115.548639104896</v>
      </c>
      <c r="K263" s="39">
        <v>0</v>
      </c>
      <c r="L263" s="39">
        <v>0</v>
      </c>
      <c r="M263" s="39">
        <v>0</v>
      </c>
    </row>
    <row r="264" spans="1:13">
      <c r="A264" s="29" t="s">
        <v>349</v>
      </c>
      <c r="B264" s="39">
        <v>266858.09370638221</v>
      </c>
      <c r="D264" s="39">
        <v>143682.06906886105</v>
      </c>
      <c r="E264" s="39">
        <v>123176.02463752106</v>
      </c>
      <c r="F264" s="39"/>
      <c r="G264" s="39">
        <v>20872.620201372534</v>
      </c>
      <c r="H264" s="39">
        <v>42676.416878608972</v>
      </c>
      <c r="I264" s="39">
        <v>83845.75327419104</v>
      </c>
      <c r="J264" s="39">
        <v>57331.523013972095</v>
      </c>
      <c r="K264" s="39">
        <v>39918.534823655478</v>
      </c>
      <c r="L264" s="39">
        <v>14458.509202389672</v>
      </c>
      <c r="M264" s="39">
        <v>7754.7363121923609</v>
      </c>
    </row>
    <row r="265" spans="1:13">
      <c r="A265" s="29" t="s">
        <v>350</v>
      </c>
      <c r="B265" s="39">
        <v>11692.513621805576</v>
      </c>
      <c r="D265" s="39">
        <v>8622.2434355616788</v>
      </c>
      <c r="E265" s="39">
        <v>3070.2701862438944</v>
      </c>
      <c r="F265" s="39"/>
      <c r="G265" s="39">
        <v>0</v>
      </c>
      <c r="H265" s="39">
        <v>1033.8950527835777</v>
      </c>
      <c r="I265" s="39">
        <v>1176.6118834313997</v>
      </c>
      <c r="J265" s="39">
        <v>550.4326504221749</v>
      </c>
      <c r="K265" s="39">
        <v>2467.4218466168454</v>
      </c>
      <c r="L265" s="39">
        <v>2986.3954660398576</v>
      </c>
      <c r="M265" s="39">
        <v>3477.7567225117195</v>
      </c>
    </row>
    <row r="266" spans="1:13">
      <c r="A266" s="29" t="s">
        <v>351</v>
      </c>
      <c r="B266" s="39">
        <v>1724.3088693880286</v>
      </c>
      <c r="D266" s="39">
        <v>1202.2015370440886</v>
      </c>
      <c r="E266" s="39">
        <v>522.10733234394013</v>
      </c>
      <c r="F266" s="39"/>
      <c r="G266" s="39">
        <v>0</v>
      </c>
      <c r="H266" s="39">
        <v>532.20996220221821</v>
      </c>
      <c r="I266" s="39">
        <v>669.99157484187026</v>
      </c>
      <c r="J266" s="39">
        <v>522.10733234394013</v>
      </c>
      <c r="K266" s="39">
        <v>0</v>
      </c>
      <c r="L266" s="39">
        <v>0</v>
      </c>
      <c r="M266" s="39">
        <v>0</v>
      </c>
    </row>
    <row r="267" spans="1:13">
      <c r="A267" s="29" t="s">
        <v>352</v>
      </c>
      <c r="B267" s="39">
        <v>1917.0263242010142</v>
      </c>
      <c r="D267" s="39">
        <v>1414.3117944289772</v>
      </c>
      <c r="E267" s="39">
        <v>502.71452977203694</v>
      </c>
      <c r="F267" s="39"/>
      <c r="G267" s="39">
        <v>1414.3117944289772</v>
      </c>
      <c r="H267" s="39">
        <v>502.71452977203694</v>
      </c>
      <c r="I267" s="39">
        <v>0</v>
      </c>
      <c r="J267" s="39">
        <v>0</v>
      </c>
      <c r="K267" s="39">
        <v>0</v>
      </c>
      <c r="L267" s="39">
        <v>0</v>
      </c>
      <c r="M267" s="39">
        <v>0</v>
      </c>
    </row>
    <row r="268" spans="1:13">
      <c r="A268" s="29" t="s">
        <v>353</v>
      </c>
      <c r="B268" s="39">
        <v>596.90802760652321</v>
      </c>
      <c r="D268" s="39">
        <v>596.90802760652321</v>
      </c>
      <c r="E268" s="39">
        <v>0</v>
      </c>
      <c r="F268" s="39"/>
      <c r="G268" s="39">
        <v>0</v>
      </c>
      <c r="H268" s="39">
        <v>596.90802760652321</v>
      </c>
      <c r="I268" s="39">
        <v>0</v>
      </c>
      <c r="J268" s="39">
        <v>0</v>
      </c>
      <c r="K268" s="39">
        <v>0</v>
      </c>
      <c r="L268" s="39">
        <v>0</v>
      </c>
      <c r="M268" s="39">
        <v>0</v>
      </c>
    </row>
    <row r="269" spans="1:13">
      <c r="A269" s="29" t="s">
        <v>354</v>
      </c>
      <c r="B269" s="39">
        <v>7180.9566101368519</v>
      </c>
      <c r="D269" s="39">
        <v>6165.3460997549082</v>
      </c>
      <c r="E269" s="39">
        <v>1015.6105103819443</v>
      </c>
      <c r="F269" s="39"/>
      <c r="G269" s="39">
        <v>0</v>
      </c>
      <c r="H269" s="39">
        <v>1423.2382773366949</v>
      </c>
      <c r="I269" s="39">
        <v>457.31578257264806</v>
      </c>
      <c r="J269" s="39">
        <v>1643.2039731301436</v>
      </c>
      <c r="K269" s="39">
        <v>743.507241338021</v>
      </c>
      <c r="L269" s="39">
        <v>951.77225536612264</v>
      </c>
      <c r="M269" s="39">
        <v>1961.9190803932215</v>
      </c>
    </row>
    <row r="270" spans="1:13">
      <c r="A270" s="29" t="s">
        <v>355</v>
      </c>
      <c r="B270" s="39">
        <v>6906.0094401093593</v>
      </c>
      <c r="D270" s="39">
        <v>6385.9201278535602</v>
      </c>
      <c r="E270" s="39">
        <v>520.08931225579931</v>
      </c>
      <c r="F270" s="39"/>
      <c r="G270" s="39">
        <v>0</v>
      </c>
      <c r="H270" s="39">
        <v>0</v>
      </c>
      <c r="I270" s="39">
        <v>3395.2449432601252</v>
      </c>
      <c r="J270" s="39">
        <v>1717.5082262477674</v>
      </c>
      <c r="K270" s="39">
        <v>520.08931225579931</v>
      </c>
      <c r="L270" s="39">
        <v>452.35602157959869</v>
      </c>
      <c r="M270" s="39">
        <v>820.81093676606827</v>
      </c>
    </row>
    <row r="271" spans="1:13">
      <c r="A271" s="29" t="s">
        <v>356</v>
      </c>
      <c r="B271" s="39">
        <v>4857.1240664554261</v>
      </c>
      <c r="D271" s="39">
        <v>2144.9905183399851</v>
      </c>
      <c r="E271" s="39">
        <v>2712.1335481154406</v>
      </c>
      <c r="F271" s="39"/>
      <c r="G271" s="39">
        <v>0</v>
      </c>
      <c r="H271" s="39">
        <v>1174.4162914216331</v>
      </c>
      <c r="I271" s="39">
        <v>1142.4280379322554</v>
      </c>
      <c r="J271" s="39">
        <v>1593.1834403562809</v>
      </c>
      <c r="K271" s="39">
        <v>472.79564114457162</v>
      </c>
      <c r="L271" s="39">
        <v>474.30065560068488</v>
      </c>
      <c r="M271" s="39">
        <v>0</v>
      </c>
    </row>
    <row r="272" spans="1:13">
      <c r="A272" s="29" t="s">
        <v>357</v>
      </c>
      <c r="B272" s="39">
        <v>0</v>
      </c>
      <c r="D272" s="39">
        <v>0</v>
      </c>
      <c r="E272" s="39">
        <v>0</v>
      </c>
      <c r="F272" s="39"/>
      <c r="G272" s="39">
        <v>0</v>
      </c>
      <c r="H272" s="39">
        <v>0</v>
      </c>
      <c r="I272" s="39">
        <v>0</v>
      </c>
      <c r="J272" s="39">
        <v>0</v>
      </c>
      <c r="K272" s="39">
        <v>0</v>
      </c>
      <c r="L272" s="39">
        <v>0</v>
      </c>
      <c r="M272" s="39">
        <v>0</v>
      </c>
    </row>
    <row r="273" spans="1:13">
      <c r="A273" s="29" t="s">
        <v>358</v>
      </c>
      <c r="B273" s="39">
        <v>7727.817554580819</v>
      </c>
      <c r="D273" s="39">
        <v>4156.0862534100033</v>
      </c>
      <c r="E273" s="39">
        <v>3571.7313011708156</v>
      </c>
      <c r="F273" s="39"/>
      <c r="G273" s="39">
        <v>1722.7903578785608</v>
      </c>
      <c r="H273" s="39">
        <v>1016.1462087079508</v>
      </c>
      <c r="I273" s="39">
        <v>2237.246053173576</v>
      </c>
      <c r="J273" s="39">
        <v>1088.9831103189592</v>
      </c>
      <c r="K273" s="39">
        <v>455.23051561415122</v>
      </c>
      <c r="L273" s="39">
        <v>528.39888014493204</v>
      </c>
      <c r="M273" s="39">
        <v>679.02242874268904</v>
      </c>
    </row>
    <row r="274" spans="1:13">
      <c r="A274" s="29" t="s">
        <v>359</v>
      </c>
      <c r="B274" s="39">
        <v>0</v>
      </c>
      <c r="D274" s="39">
        <v>0</v>
      </c>
      <c r="E274" s="39">
        <v>0</v>
      </c>
      <c r="F274" s="39"/>
      <c r="G274" s="39">
        <v>0</v>
      </c>
      <c r="H274" s="39">
        <v>0</v>
      </c>
      <c r="I274" s="39">
        <v>0</v>
      </c>
      <c r="J274" s="39">
        <v>0</v>
      </c>
      <c r="K274" s="39">
        <v>0</v>
      </c>
      <c r="L274" s="39">
        <v>0</v>
      </c>
      <c r="M274" s="39">
        <v>0</v>
      </c>
    </row>
    <row r="275" spans="1:13">
      <c r="A275" s="29" t="s">
        <v>360</v>
      </c>
      <c r="B275" s="39">
        <v>5115.0084413252162</v>
      </c>
      <c r="D275" s="39">
        <v>2219.0569128805118</v>
      </c>
      <c r="E275" s="39">
        <v>2895.9515284447048</v>
      </c>
      <c r="F275" s="39"/>
      <c r="G275" s="39">
        <v>1686.4206408888419</v>
      </c>
      <c r="H275" s="39">
        <v>942.09510910473648</v>
      </c>
      <c r="I275" s="39">
        <v>1418.0405306420951</v>
      </c>
      <c r="J275" s="39">
        <v>562.48249286555335</v>
      </c>
      <c r="K275" s="39">
        <v>505.96966782398954</v>
      </c>
      <c r="L275" s="39">
        <v>0</v>
      </c>
      <c r="M275" s="39">
        <v>0</v>
      </c>
    </row>
    <row r="276" spans="1:13">
      <c r="A276" s="29" t="s">
        <v>361</v>
      </c>
      <c r="B276" s="39">
        <v>11124.75041357386</v>
      </c>
      <c r="D276" s="39">
        <v>6341.7077509567844</v>
      </c>
      <c r="E276" s="39">
        <v>4783.0426626170756</v>
      </c>
      <c r="F276" s="39"/>
      <c r="G276" s="39">
        <v>0</v>
      </c>
      <c r="H276" s="39">
        <v>3602.1784497203162</v>
      </c>
      <c r="I276" s="39">
        <v>5423.2300608876076</v>
      </c>
      <c r="J276" s="39">
        <v>1642.5833770307368</v>
      </c>
      <c r="K276" s="39">
        <v>0</v>
      </c>
      <c r="L276" s="39">
        <v>456.7585259351992</v>
      </c>
      <c r="M276" s="39">
        <v>0</v>
      </c>
    </row>
    <row r="277" spans="1:13">
      <c r="A277" s="29" t="s">
        <v>362</v>
      </c>
      <c r="B277" s="39">
        <v>3980.3081225405631</v>
      </c>
      <c r="D277" s="39">
        <v>3980.3081225405631</v>
      </c>
      <c r="E277" s="39">
        <v>0</v>
      </c>
      <c r="F277" s="39"/>
      <c r="G277" s="39">
        <v>0</v>
      </c>
      <c r="H277" s="39">
        <v>0</v>
      </c>
      <c r="I277" s="39">
        <v>663.60517427317075</v>
      </c>
      <c r="J277" s="39">
        <v>0</v>
      </c>
      <c r="K277" s="39">
        <v>0</v>
      </c>
      <c r="L277" s="39">
        <v>1447.4507638570885</v>
      </c>
      <c r="M277" s="39">
        <v>1869.2521844103044</v>
      </c>
    </row>
    <row r="278" spans="1:13">
      <c r="A278" s="29" t="s">
        <v>363</v>
      </c>
      <c r="B278" s="39">
        <v>7675.1318887266407</v>
      </c>
      <c r="D278" s="39">
        <v>3185.6691370250942</v>
      </c>
      <c r="E278" s="39">
        <v>4489.462751701546</v>
      </c>
      <c r="F278" s="39"/>
      <c r="G278" s="39">
        <v>0</v>
      </c>
      <c r="H278" s="39">
        <v>1097.6914801543128</v>
      </c>
      <c r="I278" s="39">
        <v>3096.3441504788334</v>
      </c>
      <c r="J278" s="39">
        <v>1633.3726923310505</v>
      </c>
      <c r="K278" s="39">
        <v>0</v>
      </c>
      <c r="L278" s="39">
        <v>452.35602157959869</v>
      </c>
      <c r="M278" s="39">
        <v>1395.3675441828445</v>
      </c>
    </row>
    <row r="279" spans="1:13">
      <c r="A279" s="29" t="s">
        <v>364</v>
      </c>
      <c r="B279" s="39">
        <v>140893.93880443109</v>
      </c>
      <c r="D279" s="39">
        <v>58297.574595105267</v>
      </c>
      <c r="E279" s="39">
        <v>81275.806483789856</v>
      </c>
      <c r="F279" s="39"/>
      <c r="G279" s="39">
        <v>10245.00017377822</v>
      </c>
      <c r="H279" s="39">
        <v>21587.820997598748</v>
      </c>
      <c r="I279" s="39">
        <v>39916.676464286968</v>
      </c>
      <c r="J279" s="39">
        <v>24780.42248314133</v>
      </c>
      <c r="K279" s="39">
        <v>18923.699232149782</v>
      </c>
      <c r="L279" s="39">
        <v>12324.888231100716</v>
      </c>
      <c r="M279" s="39">
        <v>13115.431222375224</v>
      </c>
    </row>
    <row r="280" spans="1:13">
      <c r="A280" s="29" t="s">
        <v>365</v>
      </c>
      <c r="B280" s="39">
        <v>541.68817644106753</v>
      </c>
      <c r="D280" s="39">
        <v>0</v>
      </c>
      <c r="E280" s="39">
        <v>541.68817644106753</v>
      </c>
      <c r="F280" s="39"/>
      <c r="G280" s="39">
        <v>0</v>
      </c>
      <c r="H280" s="39">
        <v>541.68817644106753</v>
      </c>
      <c r="I280" s="39">
        <v>0</v>
      </c>
      <c r="J280" s="39">
        <v>0</v>
      </c>
      <c r="K280" s="39">
        <v>0</v>
      </c>
      <c r="L280" s="39">
        <v>0</v>
      </c>
      <c r="M280" s="39">
        <v>0</v>
      </c>
    </row>
    <row r="281" spans="1:13">
      <c r="A281" s="29" t="s">
        <v>366</v>
      </c>
      <c r="B281" s="39">
        <v>2030.2781067680198</v>
      </c>
      <c r="D281" s="39">
        <v>663.60517427317075</v>
      </c>
      <c r="E281" s="39">
        <v>1366.6729324948492</v>
      </c>
      <c r="F281" s="39"/>
      <c r="G281" s="39">
        <v>0</v>
      </c>
      <c r="H281" s="39">
        <v>914.84448205727324</v>
      </c>
      <c r="I281" s="39">
        <v>663.60517427317075</v>
      </c>
      <c r="J281" s="39">
        <v>0</v>
      </c>
      <c r="K281" s="39">
        <v>451.82845043757595</v>
      </c>
      <c r="L281" s="39">
        <v>0</v>
      </c>
      <c r="M281" s="39">
        <v>0</v>
      </c>
    </row>
    <row r="282" spans="1:13">
      <c r="A282" s="29" t="s">
        <v>367</v>
      </c>
      <c r="B282" s="39">
        <v>43080.808834104457</v>
      </c>
      <c r="D282" s="39">
        <v>30447.615993386251</v>
      </c>
      <c r="E282" s="39">
        <v>12633.192840718199</v>
      </c>
      <c r="F282" s="39"/>
      <c r="G282" s="39">
        <v>4060.6999504382984</v>
      </c>
      <c r="H282" s="39">
        <v>9148.48362042806</v>
      </c>
      <c r="I282" s="39">
        <v>8906.6539571569519</v>
      </c>
      <c r="J282" s="39">
        <v>7709.5670246384025</v>
      </c>
      <c r="K282" s="39">
        <v>2506.4856537760897</v>
      </c>
      <c r="L282" s="39">
        <v>2801.6324508636571</v>
      </c>
      <c r="M282" s="39">
        <v>7947.2861768029934</v>
      </c>
    </row>
    <row r="283" spans="1:13">
      <c r="A283" s="29" t="s">
        <v>368</v>
      </c>
      <c r="B283" s="39">
        <v>6977.8500002537985</v>
      </c>
      <c r="D283" s="39">
        <v>2061.6164535053936</v>
      </c>
      <c r="E283" s="39">
        <v>4916.2335467484036</v>
      </c>
      <c r="F283" s="39"/>
      <c r="G283" s="39">
        <v>2074.1972019958926</v>
      </c>
      <c r="H283" s="39">
        <v>2456.529187376203</v>
      </c>
      <c r="I283" s="39">
        <v>987.20867405991203</v>
      </c>
      <c r="J283" s="39">
        <v>537.85879360486456</v>
      </c>
      <c r="K283" s="39">
        <v>455.9896887565252</v>
      </c>
      <c r="L283" s="39">
        <v>466.06645446039954</v>
      </c>
      <c r="M283" s="39">
        <v>0</v>
      </c>
    </row>
    <row r="284" spans="1:13">
      <c r="A284" s="29" t="s">
        <v>369</v>
      </c>
      <c r="B284" s="39">
        <v>0</v>
      </c>
      <c r="D284" s="39">
        <v>0</v>
      </c>
      <c r="E284" s="39">
        <v>0</v>
      </c>
      <c r="F284" s="39"/>
      <c r="G284" s="39">
        <v>0</v>
      </c>
      <c r="H284" s="39">
        <v>0</v>
      </c>
      <c r="I284" s="39">
        <v>0</v>
      </c>
      <c r="J284" s="39">
        <v>0</v>
      </c>
      <c r="K284" s="39">
        <v>0</v>
      </c>
      <c r="L284" s="39">
        <v>0</v>
      </c>
      <c r="M284" s="39">
        <v>0</v>
      </c>
    </row>
    <row r="285" spans="1:13">
      <c r="A285" s="29" t="s">
        <v>370</v>
      </c>
      <c r="B285" s="39">
        <v>140714.18149758337</v>
      </c>
      <c r="D285" s="39">
        <v>79464.043926654849</v>
      </c>
      <c r="E285" s="39">
        <v>61250.137570928426</v>
      </c>
      <c r="F285" s="39"/>
      <c r="G285" s="39">
        <v>17611.386832144148</v>
      </c>
      <c r="H285" s="39">
        <v>22532.432353960965</v>
      </c>
      <c r="I285" s="39">
        <v>21387.243920175741</v>
      </c>
      <c r="J285" s="39">
        <v>26588.612979874499</v>
      </c>
      <c r="K285" s="39">
        <v>21896.538592243392</v>
      </c>
      <c r="L285" s="39">
        <v>8822.5262795615381</v>
      </c>
      <c r="M285" s="39">
        <v>21875.440539622967</v>
      </c>
    </row>
    <row r="286" spans="1:13">
      <c r="A286" s="29" t="s">
        <v>371</v>
      </c>
      <c r="B286" s="39">
        <v>8463.8285761254956</v>
      </c>
      <c r="D286" s="39">
        <v>5001.504354249988</v>
      </c>
      <c r="E286" s="39">
        <v>3462.3242218755072</v>
      </c>
      <c r="F286" s="39"/>
      <c r="G286" s="39">
        <v>0</v>
      </c>
      <c r="H286" s="39">
        <v>1200.5614401875407</v>
      </c>
      <c r="I286" s="39">
        <v>1612.7233348445561</v>
      </c>
      <c r="J286" s="39">
        <v>2161.921071103804</v>
      </c>
      <c r="K286" s="39">
        <v>501.60226318287954</v>
      </c>
      <c r="L286" s="39">
        <v>968.02634356439751</v>
      </c>
      <c r="M286" s="39">
        <v>2018.994123242318</v>
      </c>
    </row>
    <row r="287" spans="1:13">
      <c r="A287" s="29" t="s">
        <v>372</v>
      </c>
      <c r="B287" s="39">
        <v>0</v>
      </c>
      <c r="D287" s="39">
        <v>0</v>
      </c>
      <c r="E287" s="39">
        <v>0</v>
      </c>
      <c r="F287" s="39"/>
      <c r="G287" s="39">
        <v>0</v>
      </c>
      <c r="H287" s="39">
        <v>0</v>
      </c>
      <c r="I287" s="39">
        <v>0</v>
      </c>
      <c r="J287" s="39">
        <v>0</v>
      </c>
      <c r="K287" s="39">
        <v>0</v>
      </c>
      <c r="L287" s="39">
        <v>0</v>
      </c>
      <c r="M287" s="39">
        <v>0</v>
      </c>
    </row>
    <row r="288" spans="1:13">
      <c r="A288" s="29" t="s">
        <v>373</v>
      </c>
      <c r="B288" s="39">
        <v>6444.860053849935</v>
      </c>
      <c r="D288" s="39">
        <v>4339.3130378838023</v>
      </c>
      <c r="E288" s="39">
        <v>2105.547015966134</v>
      </c>
      <c r="F288" s="39"/>
      <c r="G288" s="39">
        <v>0</v>
      </c>
      <c r="H288" s="39">
        <v>1813.4715551780857</v>
      </c>
      <c r="I288" s="39">
        <v>3578.7436348019505</v>
      </c>
      <c r="J288" s="39">
        <v>548.3346408498262</v>
      </c>
      <c r="K288" s="39">
        <v>504.31022302007347</v>
      </c>
      <c r="L288" s="39">
        <v>0</v>
      </c>
      <c r="M288" s="39">
        <v>0</v>
      </c>
    </row>
    <row r="289" spans="1:13">
      <c r="A289" s="29" t="s">
        <v>374</v>
      </c>
      <c r="B289" s="39">
        <v>3924.780023374296</v>
      </c>
      <c r="D289" s="39">
        <v>2884.6523520996261</v>
      </c>
      <c r="E289" s="39">
        <v>1040.1276712746701</v>
      </c>
      <c r="F289" s="39"/>
      <c r="G289" s="39">
        <v>0</v>
      </c>
      <c r="H289" s="39">
        <v>513.43167893591385</v>
      </c>
      <c r="I289" s="39">
        <v>2336.1570413415166</v>
      </c>
      <c r="J289" s="39">
        <v>557.6299406767846</v>
      </c>
      <c r="K289" s="39">
        <v>517.56136242008108</v>
      </c>
      <c r="L289" s="39">
        <v>0</v>
      </c>
      <c r="M289" s="39">
        <v>0</v>
      </c>
    </row>
    <row r="290" spans="1:13">
      <c r="A290" s="29" t="s">
        <v>375</v>
      </c>
      <c r="B290" s="39">
        <v>16436.559837863286</v>
      </c>
      <c r="D290" s="39">
        <v>7522.8903668243711</v>
      </c>
      <c r="E290" s="39">
        <v>8913.6694710389147</v>
      </c>
      <c r="F290" s="39"/>
      <c r="G290" s="39">
        <v>0</v>
      </c>
      <c r="H290" s="39">
        <v>1702.2339640004923</v>
      </c>
      <c r="I290" s="39">
        <v>3873.4849257773594</v>
      </c>
      <c r="J290" s="39">
        <v>4366.5637076934308</v>
      </c>
      <c r="K290" s="39">
        <v>1852.10355196002</v>
      </c>
      <c r="L290" s="39">
        <v>2326.0100870653332</v>
      </c>
      <c r="M290" s="39">
        <v>2316.1636013666507</v>
      </c>
    </row>
    <row r="291" spans="1:13">
      <c r="A291" s="29" t="s">
        <v>376</v>
      </c>
      <c r="B291" s="39">
        <v>10642.207284410255</v>
      </c>
      <c r="D291" s="39">
        <v>5537.0652131792103</v>
      </c>
      <c r="E291" s="39">
        <v>5105.1420712310464</v>
      </c>
      <c r="F291" s="39"/>
      <c r="G291" s="39">
        <v>2074.1972019958926</v>
      </c>
      <c r="H291" s="39">
        <v>3458.9390961927929</v>
      </c>
      <c r="I291" s="39">
        <v>1461.0457456225492</v>
      </c>
      <c r="J291" s="39">
        <v>2732.943930506025</v>
      </c>
      <c r="K291" s="39">
        <v>915.081310092997</v>
      </c>
      <c r="L291" s="39">
        <v>0</v>
      </c>
      <c r="M291" s="39">
        <v>0</v>
      </c>
    </row>
    <row r="292" spans="1:13">
      <c r="A292" s="29" t="s">
        <v>377</v>
      </c>
      <c r="B292" s="39">
        <v>43433.819325221499</v>
      </c>
      <c r="D292" s="39">
        <v>24253.703694778982</v>
      </c>
      <c r="E292" s="39">
        <v>18685.120432191899</v>
      </c>
      <c r="F292" s="39"/>
      <c r="G292" s="39">
        <v>14365.156595348424</v>
      </c>
      <c r="H292" s="39">
        <v>17313.56717275249</v>
      </c>
      <c r="I292" s="39">
        <v>6465.8060073497427</v>
      </c>
      <c r="J292" s="39">
        <v>3191.1307896951116</v>
      </c>
      <c r="K292" s="39">
        <v>455.9896887565252</v>
      </c>
      <c r="L292" s="39">
        <v>511.24677944313385</v>
      </c>
      <c r="M292" s="39">
        <v>1130.9222918760711</v>
      </c>
    </row>
    <row r="293" spans="1:13">
      <c r="A293" s="29" t="s">
        <v>378</v>
      </c>
      <c r="B293" s="39">
        <v>271385.4879103867</v>
      </c>
      <c r="D293" s="39">
        <v>99576.888323314197</v>
      </c>
      <c r="E293" s="39">
        <v>169918.84419146279</v>
      </c>
      <c r="F293" s="39"/>
      <c r="G293" s="39">
        <v>14873.318858479824</v>
      </c>
      <c r="H293" s="39">
        <v>28260.745455876786</v>
      </c>
      <c r="I293" s="39">
        <v>49191.354087247077</v>
      </c>
      <c r="J293" s="39">
        <v>41968.125843257723</v>
      </c>
      <c r="K293" s="39">
        <v>38329.990332966532</v>
      </c>
      <c r="L293" s="39">
        <v>37384.720953106094</v>
      </c>
      <c r="M293" s="39">
        <v>61377.232379452777</v>
      </c>
    </row>
    <row r="294" spans="1:13">
      <c r="A294" s="29" t="s">
        <v>379</v>
      </c>
      <c r="B294" s="39">
        <v>4664.5059847606899</v>
      </c>
      <c r="D294" s="39">
        <v>4664.5059847606899</v>
      </c>
      <c r="E294" s="39">
        <v>0</v>
      </c>
      <c r="F294" s="39"/>
      <c r="G294" s="39">
        <v>1986.5027484424061</v>
      </c>
      <c r="H294" s="39">
        <v>595.03992990751055</v>
      </c>
      <c r="I294" s="39">
        <v>1159.0222475700098</v>
      </c>
      <c r="J294" s="39">
        <v>0</v>
      </c>
      <c r="K294" s="39">
        <v>0</v>
      </c>
      <c r="L294" s="39">
        <v>511.24677944313385</v>
      </c>
      <c r="M294" s="39">
        <v>412.69427939762943</v>
      </c>
    </row>
    <row r="295" spans="1:13">
      <c r="A295" s="29" t="s">
        <v>380</v>
      </c>
      <c r="B295" s="39">
        <v>1381.504861648631</v>
      </c>
      <c r="D295" s="39">
        <v>1381.504861648631</v>
      </c>
      <c r="E295" s="39">
        <v>0</v>
      </c>
      <c r="F295" s="39"/>
      <c r="G295" s="39">
        <v>0</v>
      </c>
      <c r="H295" s="39">
        <v>0</v>
      </c>
      <c r="I295" s="39">
        <v>0</v>
      </c>
      <c r="J295" s="39">
        <v>0</v>
      </c>
      <c r="K295" s="39">
        <v>541.62532470401368</v>
      </c>
      <c r="L295" s="39">
        <v>456.7585259351992</v>
      </c>
      <c r="M295" s="39">
        <v>383.12101100941817</v>
      </c>
    </row>
    <row r="296" spans="1:13">
      <c r="A296" s="29" t="s">
        <v>381</v>
      </c>
      <c r="B296" s="39">
        <v>19090.276856348366</v>
      </c>
      <c r="D296" s="39">
        <v>10318.891191312896</v>
      </c>
      <c r="E296" s="39">
        <v>8771.3856650354719</v>
      </c>
      <c r="F296" s="39"/>
      <c r="G296" s="39">
        <v>0</v>
      </c>
      <c r="H296" s="39">
        <v>4587.5389922201894</v>
      </c>
      <c r="I296" s="39">
        <v>6038.125960396038</v>
      </c>
      <c r="J296" s="39">
        <v>4890.9791378244217</v>
      </c>
      <c r="K296" s="39">
        <v>951.13945173876436</v>
      </c>
      <c r="L296" s="39">
        <v>1283.7736656726261</v>
      </c>
      <c r="M296" s="39">
        <v>1338.719648496327</v>
      </c>
    </row>
    <row r="297" spans="1:13">
      <c r="A297" s="29" t="s">
        <v>382</v>
      </c>
      <c r="B297" s="39">
        <v>0</v>
      </c>
      <c r="D297" s="39">
        <v>0</v>
      </c>
      <c r="E297" s="39">
        <v>0</v>
      </c>
      <c r="F297" s="39"/>
      <c r="G297" s="39">
        <v>0</v>
      </c>
      <c r="H297" s="39">
        <v>0</v>
      </c>
      <c r="I297" s="39">
        <v>0</v>
      </c>
      <c r="J297" s="39">
        <v>0</v>
      </c>
      <c r="K297" s="39">
        <v>0</v>
      </c>
      <c r="L297" s="39">
        <v>0</v>
      </c>
      <c r="M297" s="39">
        <v>0</v>
      </c>
    </row>
    <row r="298" spans="1:13">
      <c r="A298" s="29" t="s">
        <v>383</v>
      </c>
      <c r="B298" s="39">
        <v>0</v>
      </c>
      <c r="D298" s="39">
        <v>0</v>
      </c>
      <c r="E298" s="39">
        <v>0</v>
      </c>
      <c r="F298" s="39"/>
      <c r="G298" s="39">
        <v>0</v>
      </c>
      <c r="H298" s="39">
        <v>0</v>
      </c>
      <c r="I298" s="39">
        <v>0</v>
      </c>
      <c r="J298" s="39">
        <v>0</v>
      </c>
      <c r="K298" s="39">
        <v>0</v>
      </c>
      <c r="L298" s="39">
        <v>0</v>
      </c>
      <c r="M298" s="39">
        <v>0</v>
      </c>
    </row>
    <row r="299" spans="1:13">
      <c r="A299" s="29" t="s">
        <v>384</v>
      </c>
      <c r="B299" s="39">
        <v>2779.2634243997622</v>
      </c>
      <c r="D299" s="39">
        <v>2257.1560920558222</v>
      </c>
      <c r="E299" s="39">
        <v>522.10733234394013</v>
      </c>
      <c r="F299" s="39"/>
      <c r="G299" s="39">
        <v>0</v>
      </c>
      <c r="H299" s="39">
        <v>1684.6556508396343</v>
      </c>
      <c r="I299" s="39">
        <v>572.50044121618782</v>
      </c>
      <c r="J299" s="39">
        <v>522.10733234394013</v>
      </c>
      <c r="K299" s="39">
        <v>0</v>
      </c>
      <c r="L299" s="39">
        <v>0</v>
      </c>
      <c r="M299" s="39">
        <v>0</v>
      </c>
    </row>
    <row r="300" spans="1:13">
      <c r="A300" s="29" t="s">
        <v>385</v>
      </c>
      <c r="B300" s="39">
        <v>165096.3888918008</v>
      </c>
      <c r="D300" s="39">
        <v>17825.870047622499</v>
      </c>
      <c r="E300" s="39">
        <v>147270.51884417815</v>
      </c>
      <c r="F300" s="39"/>
      <c r="G300" s="39">
        <v>3627.7295284761494</v>
      </c>
      <c r="H300" s="39">
        <v>9526.3639153002587</v>
      </c>
      <c r="I300" s="39">
        <v>46047.568665185514</v>
      </c>
      <c r="J300" s="39">
        <v>37332.929135808379</v>
      </c>
      <c r="K300" s="39">
        <v>28202.442112191529</v>
      </c>
      <c r="L300" s="39">
        <v>17570.206288327332</v>
      </c>
      <c r="M300" s="39">
        <v>22789.14924651149</v>
      </c>
    </row>
    <row r="301" spans="1:13">
      <c r="A301" s="111"/>
      <c r="B301" s="104"/>
      <c r="C301" s="97"/>
      <c r="D301" s="104"/>
      <c r="E301" s="104"/>
      <c r="F301" s="104"/>
      <c r="G301" s="104"/>
      <c r="H301" s="104"/>
      <c r="I301" s="104"/>
      <c r="J301" s="104"/>
      <c r="K301" s="104"/>
      <c r="L301" s="104"/>
      <c r="M301" s="104"/>
    </row>
    <row r="302" spans="1:13">
      <c r="A302" s="115" t="s">
        <v>108</v>
      </c>
      <c r="B302" s="39"/>
      <c r="D302" s="39"/>
      <c r="E302" s="39"/>
      <c r="F302" s="39"/>
      <c r="G302" s="39"/>
      <c r="H302" s="39"/>
      <c r="I302" s="39"/>
      <c r="J302" s="39"/>
      <c r="K302" s="39"/>
      <c r="L302" s="39"/>
      <c r="M302" s="39"/>
    </row>
    <row r="303" spans="1:13">
      <c r="A303" s="16" t="s">
        <v>112</v>
      </c>
      <c r="B303" s="39"/>
      <c r="D303" s="39"/>
      <c r="E303" s="39"/>
      <c r="F303" s="39"/>
      <c r="G303" s="39"/>
      <c r="H303" s="39"/>
      <c r="I303" s="39"/>
      <c r="J303" s="39"/>
      <c r="K303" s="39"/>
      <c r="L303" s="39"/>
      <c r="M303" s="39"/>
    </row>
    <row r="304" spans="1:13">
      <c r="A304" s="16" t="s">
        <v>113</v>
      </c>
      <c r="G304" s="2"/>
    </row>
    <row r="305" spans="1:7">
      <c r="A305" s="21" t="s">
        <v>111</v>
      </c>
    </row>
    <row r="317" spans="1:7">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1" formatCode="\*\*0.0%"/>
            </x14:dxf>
          </x14:cfRule>
          <x14:cfRule type="expression" priority="6" id="{13BD7B6E-8586-471F-B860-D92892121B20}">
            <xm:f>B159&lt;'27'!$C$103</xm:f>
            <x14:dxf>
              <font>
                <color rgb="FF00B050"/>
              </font>
              <numFmt numFmtId="170"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69" formatCode="\*\*#,###,###,##0"/>
            </x14:dxf>
          </x14:cfRule>
          <x14:cfRule type="expression" priority="2" id="{206D6C66-1C2C-4EEB-B8E8-DF77C6BC4FA6}">
            <xm:f>B159&lt;'27'!$C$103</xm:f>
            <x14:dxf>
              <font>
                <color rgb="FF00B050"/>
              </font>
              <numFmt numFmtId="168"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10">
      <c r="A1" s="24"/>
      <c r="B1" s="24"/>
      <c r="C1" s="24"/>
      <c r="D1" s="24"/>
      <c r="E1" s="24"/>
      <c r="F1" s="24"/>
      <c r="G1" s="24"/>
      <c r="H1" s="24"/>
    </row>
    <row r="2" spans="1:10">
      <c r="A2" s="24"/>
      <c r="B2" s="24"/>
      <c r="C2" s="24"/>
      <c r="D2" s="24"/>
      <c r="E2" s="24"/>
      <c r="F2" s="24"/>
      <c r="G2" s="24"/>
      <c r="H2" s="24"/>
    </row>
    <row r="3" spans="1:10">
      <c r="A3" s="24"/>
      <c r="B3" s="24"/>
      <c r="C3" s="24"/>
      <c r="D3" s="24"/>
      <c r="E3" s="24"/>
      <c r="F3" s="24"/>
      <c r="G3" s="24"/>
      <c r="H3" s="24"/>
    </row>
    <row r="4" spans="1:10">
      <c r="A4" s="24"/>
      <c r="B4" s="24"/>
      <c r="C4" s="24"/>
      <c r="D4" s="24"/>
      <c r="E4" s="24"/>
      <c r="F4" s="24"/>
      <c r="G4" s="24"/>
      <c r="H4" s="24"/>
    </row>
    <row r="5" spans="1:10">
      <c r="A5" s="24"/>
      <c r="B5" s="24"/>
      <c r="C5" s="24"/>
      <c r="D5" s="24"/>
      <c r="E5" s="24"/>
      <c r="F5" s="24"/>
      <c r="G5" s="24"/>
      <c r="H5" s="24"/>
    </row>
    <row r="6" spans="1:10">
      <c r="A6" s="24"/>
      <c r="B6" s="24"/>
      <c r="C6" s="24"/>
      <c r="D6" s="24"/>
      <c r="E6" s="24"/>
      <c r="F6" s="24"/>
      <c r="G6" s="24"/>
      <c r="H6" s="24"/>
    </row>
    <row r="7" spans="1:10">
      <c r="A7" s="24"/>
      <c r="B7" s="24"/>
      <c r="C7" s="24"/>
      <c r="D7" s="24"/>
      <c r="E7" s="24"/>
      <c r="F7" s="24"/>
      <c r="G7" s="24"/>
      <c r="H7" s="24"/>
    </row>
    <row r="8" spans="1:10">
      <c r="A8" s="25" t="str">
        <f>Index!A8</f>
        <v>AusPlay survey results July 2024 - June 2025</v>
      </c>
      <c r="B8" s="24"/>
      <c r="C8" s="24"/>
      <c r="D8" s="24"/>
      <c r="E8" s="24"/>
      <c r="F8" s="24"/>
      <c r="G8" s="24"/>
      <c r="H8" s="24"/>
    </row>
    <row r="9" spans="1:10">
      <c r="A9" s="24" t="s">
        <v>1</v>
      </c>
      <c r="B9" s="133" t="s">
        <v>2</v>
      </c>
      <c r="C9" s="24"/>
      <c r="D9" s="24"/>
      <c r="E9" s="24"/>
      <c r="F9" s="24"/>
      <c r="G9" s="24"/>
      <c r="H9" s="24"/>
    </row>
    <row r="10" spans="1:10">
      <c r="A10" s="24" t="s">
        <v>40</v>
      </c>
      <c r="B10" s="26">
        <v>19</v>
      </c>
      <c r="C10" s="24"/>
      <c r="D10" s="24"/>
      <c r="E10" s="24"/>
      <c r="F10" s="24"/>
      <c r="G10" s="24"/>
      <c r="H10" s="24"/>
    </row>
    <row r="11" spans="1:10">
      <c r="A11" s="24" t="s">
        <v>3</v>
      </c>
      <c r="B11" s="114" t="s">
        <v>28</v>
      </c>
      <c r="C11" s="24"/>
      <c r="D11" s="24"/>
      <c r="E11" s="24"/>
      <c r="F11" s="95" t="s">
        <v>137</v>
      </c>
      <c r="G11" s="24"/>
      <c r="H11" s="24"/>
    </row>
    <row r="12" spans="1:10">
      <c r="A12" s="109" t="s">
        <v>41</v>
      </c>
      <c r="B12" s="110" t="s">
        <v>42</v>
      </c>
      <c r="C12" s="109"/>
      <c r="D12" s="109"/>
      <c r="E12" s="109"/>
      <c r="F12" s="109"/>
      <c r="G12" s="109"/>
      <c r="H12" s="109"/>
    </row>
    <row r="13" spans="1:10" ht="24.95" customHeight="1">
      <c r="A13" s="85"/>
      <c r="B13" s="28"/>
      <c r="C13" s="154" t="s">
        <v>153</v>
      </c>
      <c r="D13" s="154"/>
      <c r="E13" s="154"/>
      <c r="F13" s="154"/>
      <c r="G13" s="154"/>
      <c r="H13" s="154"/>
    </row>
    <row r="14" spans="1:10" ht="45">
      <c r="A14" s="33"/>
      <c r="B14" s="55" t="s">
        <v>154</v>
      </c>
      <c r="C14" s="55" t="s">
        <v>143</v>
      </c>
      <c r="D14" s="55" t="s">
        <v>387</v>
      </c>
      <c r="E14" s="55" t="s">
        <v>388</v>
      </c>
      <c r="F14" s="55" t="s">
        <v>389</v>
      </c>
      <c r="G14" s="55" t="s">
        <v>390</v>
      </c>
      <c r="H14" s="55" t="s">
        <v>152</v>
      </c>
      <c r="I14" s="94" t="s">
        <v>137</v>
      </c>
    </row>
    <row r="15" spans="1:10">
      <c r="A15" s="57"/>
      <c r="B15" s="160" t="s">
        <v>135</v>
      </c>
      <c r="C15" s="160"/>
      <c r="D15" s="160"/>
      <c r="E15" s="160"/>
      <c r="F15" s="160"/>
      <c r="G15" s="160"/>
      <c r="H15" s="160"/>
    </row>
    <row r="16" spans="1:10">
      <c r="A16" s="29" t="s">
        <v>244</v>
      </c>
      <c r="B16" s="4">
        <v>6.806250103273474E-4</v>
      </c>
      <c r="C16" s="10">
        <v>1.6690230058998825E-4</v>
      </c>
      <c r="D16" s="4">
        <v>2.19499905642542E-4</v>
      </c>
      <c r="E16" s="4">
        <v>0</v>
      </c>
      <c r="F16" s="4">
        <v>1.119864621768718E-4</v>
      </c>
      <c r="G16" s="4">
        <v>1.8881180373555879E-4</v>
      </c>
      <c r="H16" s="4">
        <v>7.906185091428781E-5</v>
      </c>
      <c r="I16" s="4"/>
      <c r="J16" s="4"/>
    </row>
    <row r="17" spans="1:10">
      <c r="A17" s="29" t="s">
        <v>245</v>
      </c>
      <c r="B17" s="4">
        <v>2.7081739282769184E-3</v>
      </c>
      <c r="C17" s="10">
        <v>3.9662205329245748E-4</v>
      </c>
      <c r="D17" s="4">
        <v>5.303486830702135E-4</v>
      </c>
      <c r="E17" s="4">
        <v>5.251051323393361E-4</v>
      </c>
      <c r="F17" s="4">
        <v>9.0506185532975155E-4</v>
      </c>
      <c r="G17" s="4">
        <v>6.2973150999236953E-4</v>
      </c>
      <c r="H17" s="4">
        <v>4.085491446439204E-4</v>
      </c>
      <c r="I17" s="4"/>
      <c r="J17" s="4"/>
    </row>
    <row r="18" spans="1:10">
      <c r="A18" s="29" t="s">
        <v>246</v>
      </c>
      <c r="B18" s="4">
        <v>1.2208502684877853E-3</v>
      </c>
      <c r="C18" s="10">
        <v>5.9471541125161458E-4</v>
      </c>
      <c r="D18" s="4">
        <v>3.6855341878111979E-4</v>
      </c>
      <c r="E18" s="4">
        <v>0</v>
      </c>
      <c r="F18" s="4">
        <v>1.9710388203022312E-4</v>
      </c>
      <c r="G18" s="4">
        <v>1.7020861606798033E-4</v>
      </c>
      <c r="H18" s="4">
        <v>1.8566195040050734E-4</v>
      </c>
      <c r="I18" s="4"/>
      <c r="J18" s="4"/>
    </row>
    <row r="19" spans="1:10">
      <c r="A19" s="29" t="s">
        <v>247</v>
      </c>
      <c r="B19" s="4">
        <v>8.7655331756821241E-3</v>
      </c>
      <c r="C19" s="10">
        <v>2.5194219882375916E-3</v>
      </c>
      <c r="D19" s="4">
        <v>1.8900503231213774E-3</v>
      </c>
      <c r="E19" s="4">
        <v>1.9450904703866938E-3</v>
      </c>
      <c r="F19" s="4">
        <v>1.6530026371484809E-3</v>
      </c>
      <c r="G19" s="4">
        <v>1.8487854572519151E-3</v>
      </c>
      <c r="H19" s="4">
        <v>2.1472141516372069E-3</v>
      </c>
      <c r="I19" s="4"/>
      <c r="J19" s="4"/>
    </row>
    <row r="20" spans="1:10">
      <c r="A20" s="29" t="s">
        <v>248</v>
      </c>
      <c r="B20" s="4">
        <v>2.8780635816720801E-2</v>
      </c>
      <c r="C20" s="10">
        <v>1.7005301663248238E-2</v>
      </c>
      <c r="D20" s="4">
        <v>4.3016888909845038E-3</v>
      </c>
      <c r="E20" s="4">
        <v>2.768019068372683E-3</v>
      </c>
      <c r="F20" s="4">
        <v>1.4224901328380106E-3</v>
      </c>
      <c r="G20" s="4">
        <v>1.6747048768749556E-3</v>
      </c>
      <c r="H20" s="4">
        <v>2.8487955435786512E-3</v>
      </c>
      <c r="I20" s="4"/>
      <c r="J20" s="4"/>
    </row>
    <row r="21" spans="1:10">
      <c r="A21" s="29" t="s">
        <v>249</v>
      </c>
      <c r="B21" s="4">
        <v>1.0348621194857311E-2</v>
      </c>
      <c r="C21" s="10">
        <v>2.5714627790183529E-3</v>
      </c>
      <c r="D21" s="4">
        <v>1.3810497599615035E-3</v>
      </c>
      <c r="E21" s="4">
        <v>6.8478523104635841E-4</v>
      </c>
      <c r="F21" s="4">
        <v>8.8123431887616544E-4</v>
      </c>
      <c r="G21" s="4">
        <v>8.5781950592416368E-4</v>
      </c>
      <c r="H21" s="4">
        <v>3.126196527307514E-3</v>
      </c>
      <c r="I21" s="4"/>
      <c r="J21" s="4"/>
    </row>
    <row r="22" spans="1:10">
      <c r="A22" s="29" t="s">
        <v>250</v>
      </c>
      <c r="B22" s="4">
        <v>2.6234773418393038E-3</v>
      </c>
      <c r="C22" s="10">
        <v>1.1058984297756945E-3</v>
      </c>
      <c r="D22" s="4">
        <v>2.3927001527823775E-4</v>
      </c>
      <c r="E22" s="4">
        <v>6.1683533972083841E-4</v>
      </c>
      <c r="F22" s="4">
        <v>2.3927001527823775E-4</v>
      </c>
      <c r="G22" s="4">
        <v>7.2131649857514959E-5</v>
      </c>
      <c r="H22" s="4">
        <v>6.8631189295867304E-4</v>
      </c>
      <c r="I22" s="4"/>
      <c r="J22" s="4"/>
    </row>
    <row r="23" spans="1:10">
      <c r="A23" s="29" t="s">
        <v>251</v>
      </c>
      <c r="B23" s="4">
        <v>3.3366300887999079E-2</v>
      </c>
      <c r="C23" s="10">
        <v>1.541028014364423E-2</v>
      </c>
      <c r="D23" s="4">
        <v>5.4296722900496362E-3</v>
      </c>
      <c r="E23" s="4">
        <v>4.6116127838994594E-3</v>
      </c>
      <c r="F23" s="4">
        <v>1.933368232875965E-3</v>
      </c>
      <c r="G23" s="4">
        <v>1.9752227408772723E-3</v>
      </c>
      <c r="H23" s="4">
        <v>5.7200846871950694E-3</v>
      </c>
      <c r="I23" s="4"/>
      <c r="J23" s="4"/>
    </row>
    <row r="24" spans="1:10">
      <c r="A24" s="29" t="s">
        <v>252</v>
      </c>
      <c r="B24" s="4">
        <v>3.066559910696991E-4</v>
      </c>
      <c r="C24" s="10">
        <v>7.2131649857514959E-5</v>
      </c>
      <c r="D24" s="4">
        <v>7.2131649857514959E-5</v>
      </c>
      <c r="E24" s="4">
        <v>7.2131649857514959E-5</v>
      </c>
      <c r="F24" s="4">
        <v>1.6115309015674547E-4</v>
      </c>
      <c r="G24" s="4">
        <v>1.6115309015674547E-4</v>
      </c>
      <c r="H24" s="4">
        <v>7.2131649857514959E-5</v>
      </c>
      <c r="I24" s="4"/>
      <c r="J24" s="4"/>
    </row>
    <row r="25" spans="1:10">
      <c r="A25" s="29" t="s">
        <v>253</v>
      </c>
      <c r="B25" s="4">
        <v>0</v>
      </c>
      <c r="C25" s="10">
        <v>0</v>
      </c>
      <c r="D25" s="4">
        <v>0</v>
      </c>
      <c r="E25" s="4">
        <v>0</v>
      </c>
      <c r="F25" s="4">
        <v>0</v>
      </c>
      <c r="G25" s="4">
        <v>0</v>
      </c>
      <c r="H25" s="4">
        <v>0</v>
      </c>
      <c r="I25" s="4"/>
      <c r="J25" s="4"/>
    </row>
    <row r="26" spans="1:10">
      <c r="A26" s="29" t="s">
        <v>254</v>
      </c>
      <c r="B26" s="4">
        <v>9.5213572802765629E-4</v>
      </c>
      <c r="C26" s="10">
        <v>3.7764333166812031E-4</v>
      </c>
      <c r="D26" s="4">
        <v>2.6479110949561077E-4</v>
      </c>
      <c r="E26" s="4">
        <v>4.1734871802364825E-4</v>
      </c>
      <c r="F26" s="4">
        <v>0</v>
      </c>
      <c r="G26" s="4">
        <v>1.7373842446587485E-4</v>
      </c>
      <c r="H26" s="4">
        <v>0</v>
      </c>
      <c r="I26" s="4"/>
      <c r="J26" s="4"/>
    </row>
    <row r="27" spans="1:10">
      <c r="A27" s="29" t="s">
        <v>255</v>
      </c>
      <c r="B27" s="4">
        <v>0</v>
      </c>
      <c r="C27" s="10">
        <v>0</v>
      </c>
      <c r="D27" s="4">
        <v>0</v>
      </c>
      <c r="E27" s="4">
        <v>0</v>
      </c>
      <c r="F27" s="4">
        <v>0</v>
      </c>
      <c r="G27" s="4">
        <v>0</v>
      </c>
      <c r="H27" s="4">
        <v>0</v>
      </c>
      <c r="I27" s="4"/>
      <c r="J27" s="4"/>
    </row>
    <row r="28" spans="1:10">
      <c r="A28" s="29" t="s">
        <v>256</v>
      </c>
      <c r="B28" s="4">
        <v>0</v>
      </c>
      <c r="C28" s="10">
        <v>0</v>
      </c>
      <c r="D28" s="4">
        <v>0</v>
      </c>
      <c r="E28" s="4">
        <v>0</v>
      </c>
      <c r="F28" s="4">
        <v>0</v>
      </c>
      <c r="G28" s="4">
        <v>0</v>
      </c>
      <c r="H28" s="4">
        <v>0</v>
      </c>
      <c r="I28" s="4"/>
      <c r="J28" s="4"/>
    </row>
    <row r="29" spans="1:10">
      <c r="A29" s="29" t="s">
        <v>257</v>
      </c>
      <c r="B29" s="4">
        <v>7.1555068887394678E-5</v>
      </c>
      <c r="C29" s="10">
        <v>7.1555068887394678E-5</v>
      </c>
      <c r="D29" s="4">
        <v>0</v>
      </c>
      <c r="E29" s="4">
        <v>0</v>
      </c>
      <c r="F29" s="4">
        <v>0</v>
      </c>
      <c r="G29" s="4">
        <v>0</v>
      </c>
      <c r="H29" s="4">
        <v>0</v>
      </c>
      <c r="I29" s="4"/>
      <c r="J29" s="4"/>
    </row>
    <row r="30" spans="1:10">
      <c r="A30" s="29" t="s">
        <v>258</v>
      </c>
      <c r="B30" s="4">
        <v>0</v>
      </c>
      <c r="C30" s="10">
        <v>0</v>
      </c>
      <c r="D30" s="4">
        <v>0</v>
      </c>
      <c r="E30" s="4">
        <v>0</v>
      </c>
      <c r="F30" s="4">
        <v>0</v>
      </c>
      <c r="G30" s="4">
        <v>0</v>
      </c>
      <c r="H30" s="4">
        <v>0</v>
      </c>
      <c r="I30" s="4"/>
      <c r="J30" s="4"/>
    </row>
    <row r="31" spans="1:10">
      <c r="A31" s="29" t="s">
        <v>259</v>
      </c>
      <c r="B31" s="4">
        <v>1.1616660488184962E-4</v>
      </c>
      <c r="C31" s="10">
        <v>0</v>
      </c>
      <c r="D31" s="4">
        <v>0</v>
      </c>
      <c r="E31" s="4">
        <v>0</v>
      </c>
      <c r="F31" s="4">
        <v>1.1616660488184962E-4</v>
      </c>
      <c r="G31" s="4">
        <v>1.1616660488184962E-4</v>
      </c>
      <c r="H31" s="4">
        <v>0</v>
      </c>
      <c r="I31" s="4"/>
      <c r="J31" s="4"/>
    </row>
    <row r="32" spans="1:10">
      <c r="A32" s="29" t="s">
        <v>260</v>
      </c>
      <c r="B32" s="4">
        <v>2.671122662743143E-4</v>
      </c>
      <c r="C32" s="10">
        <v>0</v>
      </c>
      <c r="D32" s="4">
        <v>0</v>
      </c>
      <c r="E32" s="4">
        <v>1.8092782362103666E-4</v>
      </c>
      <c r="F32" s="4">
        <v>0</v>
      </c>
      <c r="G32" s="4">
        <v>8.6184442653277626E-5</v>
      </c>
      <c r="H32" s="4">
        <v>8.5104308033990165E-5</v>
      </c>
      <c r="I32" s="4"/>
      <c r="J32" s="4"/>
    </row>
    <row r="33" spans="1:10">
      <c r="A33" s="29" t="s">
        <v>261</v>
      </c>
      <c r="B33" s="4">
        <v>7.2900866831161273E-3</v>
      </c>
      <c r="C33" s="10">
        <v>5.2398941990035473E-3</v>
      </c>
      <c r="D33" s="4">
        <v>2.0274038835248107E-3</v>
      </c>
      <c r="E33" s="4">
        <v>3.4107540968165469E-4</v>
      </c>
      <c r="F33" s="4">
        <v>0</v>
      </c>
      <c r="G33" s="4">
        <v>3.5945107894017015E-4</v>
      </c>
      <c r="H33" s="4">
        <v>0</v>
      </c>
      <c r="I33" s="4"/>
      <c r="J33" s="4"/>
    </row>
    <row r="34" spans="1:10">
      <c r="A34" s="29" t="s">
        <v>262</v>
      </c>
      <c r="B34" s="4">
        <v>7.2302931670409059E-3</v>
      </c>
      <c r="C34" s="10">
        <v>8.7588915309555373E-4</v>
      </c>
      <c r="D34" s="4">
        <v>4.4036443501561327E-4</v>
      </c>
      <c r="E34" s="4">
        <v>2.7266591823237466E-3</v>
      </c>
      <c r="F34" s="4">
        <v>2.5359037897801843E-3</v>
      </c>
      <c r="G34" s="4">
        <v>1.8728820438895255E-3</v>
      </c>
      <c r="H34" s="4">
        <v>1.8925725758241137E-4</v>
      </c>
      <c r="I34" s="4"/>
      <c r="J34" s="4"/>
    </row>
    <row r="35" spans="1:10">
      <c r="A35" s="29" t="s">
        <v>263</v>
      </c>
      <c r="B35" s="4">
        <v>0</v>
      </c>
      <c r="C35" s="10">
        <v>0</v>
      </c>
      <c r="D35" s="4">
        <v>0</v>
      </c>
      <c r="E35" s="4">
        <v>0</v>
      </c>
      <c r="F35" s="4">
        <v>0</v>
      </c>
      <c r="G35" s="4">
        <v>0</v>
      </c>
      <c r="H35" s="4">
        <v>0</v>
      </c>
      <c r="I35" s="4"/>
      <c r="J35" s="4"/>
    </row>
    <row r="36" spans="1:10">
      <c r="A36" s="29" t="s">
        <v>264</v>
      </c>
      <c r="B36" s="4">
        <v>1.9686246219330308E-2</v>
      </c>
      <c r="C36" s="10">
        <v>2.4039361342474883E-3</v>
      </c>
      <c r="D36" s="4">
        <v>2.8846350696631784E-3</v>
      </c>
      <c r="E36" s="4">
        <v>1.144434139973717E-3</v>
      </c>
      <c r="F36" s="4">
        <v>3.1571757384930435E-3</v>
      </c>
      <c r="G36" s="4">
        <v>1.5548409952467238E-3</v>
      </c>
      <c r="H36" s="4">
        <v>2.6929888767333061E-3</v>
      </c>
      <c r="I36" s="4"/>
      <c r="J36" s="4"/>
    </row>
    <row r="37" spans="1:10">
      <c r="A37" s="29" t="s">
        <v>265</v>
      </c>
      <c r="B37" s="4">
        <v>1.1616573555131924E-3</v>
      </c>
      <c r="C37" s="10">
        <v>7.5737016144371825E-4</v>
      </c>
      <c r="D37" s="4">
        <v>0</v>
      </c>
      <c r="E37" s="4">
        <v>9.6506269359881731E-5</v>
      </c>
      <c r="F37" s="4">
        <v>1.7272704801723398E-4</v>
      </c>
      <c r="G37" s="4">
        <v>1.8963056505332684E-4</v>
      </c>
      <c r="H37" s="4">
        <v>9.2351231981985973E-5</v>
      </c>
      <c r="I37" s="4"/>
      <c r="J37" s="4"/>
    </row>
    <row r="38" spans="1:10">
      <c r="A38" s="29" t="s">
        <v>266</v>
      </c>
      <c r="B38" s="4">
        <v>8.6184442653277626E-5</v>
      </c>
      <c r="C38" s="10">
        <v>0</v>
      </c>
      <c r="D38" s="4">
        <v>0</v>
      </c>
      <c r="E38" s="4">
        <v>0</v>
      </c>
      <c r="F38" s="4">
        <v>0</v>
      </c>
      <c r="G38" s="4">
        <v>0</v>
      </c>
      <c r="H38" s="4">
        <v>8.6184442653277626E-5</v>
      </c>
      <c r="I38" s="4"/>
      <c r="J38" s="4"/>
    </row>
    <row r="39" spans="1:10">
      <c r="A39" s="29" t="s">
        <v>267</v>
      </c>
      <c r="B39" s="4">
        <v>2.3321097718093072E-3</v>
      </c>
      <c r="C39" s="10">
        <v>1.8849095566749128E-4</v>
      </c>
      <c r="D39" s="4">
        <v>7.9334098897999432E-5</v>
      </c>
      <c r="E39" s="4">
        <v>1.7495953001485582E-4</v>
      </c>
      <c r="F39" s="4">
        <v>7.7875910183185227E-4</v>
      </c>
      <c r="G39" s="4">
        <v>1.9322368605220706E-4</v>
      </c>
      <c r="H39" s="4">
        <v>1.6375477986762927E-4</v>
      </c>
      <c r="I39" s="4"/>
      <c r="J39" s="4"/>
    </row>
    <row r="40" spans="1:10">
      <c r="A40" s="29" t="s">
        <v>268</v>
      </c>
      <c r="B40" s="4">
        <v>6.855428684190278E-4</v>
      </c>
      <c r="C40" s="10">
        <v>8.9063829874507449E-5</v>
      </c>
      <c r="D40" s="4">
        <v>0</v>
      </c>
      <c r="E40" s="4">
        <v>0</v>
      </c>
      <c r="F40" s="4">
        <v>5.9647903854452035E-4</v>
      </c>
      <c r="G40" s="4">
        <v>8.9063829874507449E-5</v>
      </c>
      <c r="H40" s="4">
        <v>3.5963503999011313E-4</v>
      </c>
      <c r="I40" s="4"/>
      <c r="J40" s="4"/>
    </row>
    <row r="41" spans="1:10">
      <c r="A41" s="29" t="s">
        <v>269</v>
      </c>
      <c r="B41" s="4">
        <v>2.0097742012436595E-2</v>
      </c>
      <c r="C41" s="10">
        <v>1.1302042334082855E-2</v>
      </c>
      <c r="D41" s="4">
        <v>3.8633404530420785E-3</v>
      </c>
      <c r="E41" s="4">
        <v>2.4984303666494984E-3</v>
      </c>
      <c r="F41" s="4">
        <v>1.6585090096724417E-3</v>
      </c>
      <c r="G41" s="4">
        <v>1.7256676682920263E-3</v>
      </c>
      <c r="H41" s="4">
        <v>2.6802636984097411E-3</v>
      </c>
      <c r="I41" s="4"/>
      <c r="J41" s="4"/>
    </row>
    <row r="42" spans="1:10">
      <c r="A42" s="29" t="s">
        <v>270</v>
      </c>
      <c r="B42" s="4">
        <v>7.0067873978323905E-4</v>
      </c>
      <c r="C42" s="10">
        <v>3.2860168925556455E-4</v>
      </c>
      <c r="D42" s="4">
        <v>1.5215547380539732E-4</v>
      </c>
      <c r="E42" s="4">
        <v>0</v>
      </c>
      <c r="F42" s="4">
        <v>0</v>
      </c>
      <c r="G42" s="4">
        <v>0</v>
      </c>
      <c r="H42" s="4">
        <v>0</v>
      </c>
      <c r="I42" s="4"/>
      <c r="J42" s="4"/>
    </row>
    <row r="43" spans="1:10">
      <c r="A43" s="29" t="s">
        <v>271</v>
      </c>
      <c r="B43" s="4">
        <v>3.8883563060383439E-3</v>
      </c>
      <c r="C43" s="10">
        <v>2.5514404671807543E-4</v>
      </c>
      <c r="D43" s="4">
        <v>8.6553132349945805E-5</v>
      </c>
      <c r="E43" s="4">
        <v>1.8629551192490741E-3</v>
      </c>
      <c r="F43" s="4">
        <v>1.6617767156605215E-3</v>
      </c>
      <c r="G43" s="4">
        <v>2.9252903758569945E-4</v>
      </c>
      <c r="H43" s="4">
        <v>8.8642611123439393E-5</v>
      </c>
      <c r="I43" s="4"/>
      <c r="J43" s="4"/>
    </row>
    <row r="44" spans="1:10">
      <c r="A44" s="29" t="s">
        <v>272</v>
      </c>
      <c r="B44" s="4">
        <v>9.2277316185537101E-5</v>
      </c>
      <c r="C44" s="10">
        <v>0</v>
      </c>
      <c r="D44" s="4">
        <v>0</v>
      </c>
      <c r="E44" s="4">
        <v>9.2277316185537101E-5</v>
      </c>
      <c r="F44" s="4">
        <v>0</v>
      </c>
      <c r="G44" s="4">
        <v>0</v>
      </c>
      <c r="H44" s="4">
        <v>0</v>
      </c>
      <c r="I44" s="4"/>
      <c r="J44" s="4"/>
    </row>
    <row r="45" spans="1:10">
      <c r="A45" s="29" t="s">
        <v>273</v>
      </c>
      <c r="B45" s="4">
        <v>9.5634785913105216E-3</v>
      </c>
      <c r="C45" s="10">
        <v>6.5942544046612727E-4</v>
      </c>
      <c r="D45" s="4">
        <v>9.6674717370365747E-4</v>
      </c>
      <c r="E45" s="4">
        <v>1.7710087134897544E-3</v>
      </c>
      <c r="F45" s="4">
        <v>9.6907262316181584E-4</v>
      </c>
      <c r="G45" s="4">
        <v>7.1704691390158044E-4</v>
      </c>
      <c r="H45" s="4">
        <v>6.9947168133252329E-4</v>
      </c>
      <c r="I45" s="4"/>
      <c r="J45" s="4"/>
    </row>
    <row r="46" spans="1:10">
      <c r="A46" s="29" t="s">
        <v>274</v>
      </c>
      <c r="B46" s="4">
        <v>6.9849713074038684E-3</v>
      </c>
      <c r="C46" s="10">
        <v>8.0632791830878288E-4</v>
      </c>
      <c r="D46" s="4">
        <v>1.309432801809291E-3</v>
      </c>
      <c r="E46" s="4">
        <v>7.3697040383397102E-4</v>
      </c>
      <c r="F46" s="4">
        <v>1.9449581613939838E-3</v>
      </c>
      <c r="G46" s="4">
        <v>5.977599062029779E-4</v>
      </c>
      <c r="H46" s="4">
        <v>1.0890338493604525E-3</v>
      </c>
      <c r="I46" s="4"/>
      <c r="J46" s="4"/>
    </row>
    <row r="47" spans="1:10">
      <c r="A47" s="29" t="s">
        <v>275</v>
      </c>
      <c r="B47" s="4">
        <v>1.2395620796867429E-2</v>
      </c>
      <c r="C47" s="10">
        <v>8.6123038298967127E-4</v>
      </c>
      <c r="D47" s="4">
        <v>2.3228613697661971E-3</v>
      </c>
      <c r="E47" s="4">
        <v>1.5621791695864622E-3</v>
      </c>
      <c r="F47" s="4">
        <v>5.7860875224785158E-3</v>
      </c>
      <c r="G47" s="4">
        <v>5.9221921636847983E-4</v>
      </c>
      <c r="H47" s="4">
        <v>5.5870603030866244E-4</v>
      </c>
      <c r="I47" s="4"/>
      <c r="J47" s="4"/>
    </row>
    <row r="48" spans="1:10">
      <c r="A48" s="29" t="s">
        <v>276</v>
      </c>
      <c r="B48" s="4">
        <v>5.3178937651456374E-4</v>
      </c>
      <c r="C48" s="10">
        <v>1.7546757207713911E-4</v>
      </c>
      <c r="D48" s="4">
        <v>7.2289268579185339E-5</v>
      </c>
      <c r="E48" s="4">
        <v>0</v>
      </c>
      <c r="F48" s="4">
        <v>1.0572885062165777E-4</v>
      </c>
      <c r="G48" s="4">
        <v>0</v>
      </c>
      <c r="H48" s="4">
        <v>0</v>
      </c>
      <c r="I48" s="4"/>
      <c r="J48" s="4"/>
    </row>
    <row r="49" spans="1:10">
      <c r="A49" s="29" t="s">
        <v>277</v>
      </c>
      <c r="B49" s="4">
        <v>1.7446309843027733E-4</v>
      </c>
      <c r="C49" s="10">
        <v>0</v>
      </c>
      <c r="D49" s="4">
        <v>0</v>
      </c>
      <c r="E49" s="4">
        <v>0</v>
      </c>
      <c r="F49" s="4">
        <v>8.6553132349945805E-5</v>
      </c>
      <c r="G49" s="4">
        <v>0</v>
      </c>
      <c r="H49" s="4">
        <v>0</v>
      </c>
      <c r="I49" s="4"/>
      <c r="J49" s="4"/>
    </row>
    <row r="50" spans="1:10">
      <c r="A50" s="29" t="s">
        <v>278</v>
      </c>
      <c r="B50" s="4">
        <v>6.1919416221565757E-4</v>
      </c>
      <c r="C50" s="10">
        <v>4.6478358461104233E-4</v>
      </c>
      <c r="D50" s="4">
        <v>0</v>
      </c>
      <c r="E50" s="4">
        <v>0</v>
      </c>
      <c r="F50" s="4">
        <v>0</v>
      </c>
      <c r="G50" s="4">
        <v>0</v>
      </c>
      <c r="H50" s="4">
        <v>7.3601564928949773E-5</v>
      </c>
      <c r="I50" s="4"/>
      <c r="J50" s="4"/>
    </row>
    <row r="51" spans="1:10">
      <c r="A51" s="29" t="s">
        <v>279</v>
      </c>
      <c r="B51" s="4">
        <v>2.1617194620110651E-4</v>
      </c>
      <c r="C51" s="10">
        <v>1.5227074170835652E-4</v>
      </c>
      <c r="D51" s="4">
        <v>1.5933806462155602E-4</v>
      </c>
      <c r="E51" s="4">
        <v>0</v>
      </c>
      <c r="F51" s="4">
        <v>0</v>
      </c>
      <c r="G51" s="4">
        <v>0</v>
      </c>
      <c r="H51" s="4">
        <v>0</v>
      </c>
      <c r="I51" s="4"/>
      <c r="J51" s="4"/>
    </row>
    <row r="52" spans="1:10">
      <c r="A52" s="29" t="s">
        <v>280</v>
      </c>
      <c r="B52" s="4">
        <v>1.5831609251079257E-4</v>
      </c>
      <c r="C52" s="10">
        <v>7.2131649857514959E-5</v>
      </c>
      <c r="D52" s="4">
        <v>7.2131649857514959E-5</v>
      </c>
      <c r="E52" s="4">
        <v>7.2131649857514959E-5</v>
      </c>
      <c r="F52" s="4">
        <v>7.2131649857514959E-5</v>
      </c>
      <c r="G52" s="4">
        <v>7.2131649857514959E-5</v>
      </c>
      <c r="H52" s="4">
        <v>1.5831609251079257E-4</v>
      </c>
      <c r="I52" s="4"/>
      <c r="J52" s="4"/>
    </row>
    <row r="53" spans="1:10">
      <c r="A53" s="29" t="s">
        <v>281</v>
      </c>
      <c r="B53" s="4">
        <v>3.4239716257495108E-3</v>
      </c>
      <c r="C53" s="10">
        <v>7.8508778943272011E-4</v>
      </c>
      <c r="D53" s="4">
        <v>3.4752263405775331E-4</v>
      </c>
      <c r="E53" s="4">
        <v>1.599468382938493E-4</v>
      </c>
      <c r="F53" s="4">
        <v>8.496170211466775E-4</v>
      </c>
      <c r="G53" s="4">
        <v>1.8113474629788771E-3</v>
      </c>
      <c r="H53" s="4">
        <v>8.6184442653277626E-5</v>
      </c>
      <c r="I53" s="4"/>
      <c r="J53" s="4"/>
    </row>
    <row r="54" spans="1:10">
      <c r="A54" s="29" t="s">
        <v>282</v>
      </c>
      <c r="B54" s="4">
        <v>9.2299413053032397E-4</v>
      </c>
      <c r="C54" s="10">
        <v>1.0349500142615495E-4</v>
      </c>
      <c r="D54" s="4">
        <v>1.7968265741178917E-4</v>
      </c>
      <c r="E54" s="4">
        <v>7.1904258553366455E-5</v>
      </c>
      <c r="F54" s="4">
        <v>1.9130961281264895E-4</v>
      </c>
      <c r="G54" s="4">
        <v>1.5808870120664407E-4</v>
      </c>
      <c r="H54" s="4">
        <v>2.7749405546592654E-4</v>
      </c>
      <c r="I54" s="4"/>
      <c r="J54" s="4"/>
    </row>
    <row r="55" spans="1:10">
      <c r="A55" s="29" t="s">
        <v>283</v>
      </c>
      <c r="B55" s="4">
        <v>5.4212089726937392E-4</v>
      </c>
      <c r="C55" s="10">
        <v>1.6965777399884064E-4</v>
      </c>
      <c r="D55" s="4">
        <v>0</v>
      </c>
      <c r="E55" s="4">
        <v>9.6979941396874267E-5</v>
      </c>
      <c r="F55" s="4">
        <v>0</v>
      </c>
      <c r="G55" s="4">
        <v>1.6146223524465524E-4</v>
      </c>
      <c r="H55" s="4">
        <v>6.4482293847780971E-5</v>
      </c>
      <c r="I55" s="4"/>
      <c r="J55" s="4"/>
    </row>
    <row r="56" spans="1:10">
      <c r="A56" s="29" t="s">
        <v>284</v>
      </c>
      <c r="B56" s="4">
        <v>1.2185759009484072E-3</v>
      </c>
      <c r="C56" s="10">
        <v>4.2958245597788779E-4</v>
      </c>
      <c r="D56" s="4">
        <v>4.5523811794284018E-4</v>
      </c>
      <c r="E56" s="4">
        <v>1.7139473770327171E-4</v>
      </c>
      <c r="F56" s="4">
        <v>0</v>
      </c>
      <c r="G56" s="4">
        <v>7.2131649857514959E-5</v>
      </c>
      <c r="H56" s="4">
        <v>0</v>
      </c>
      <c r="I56" s="4"/>
      <c r="J56" s="4"/>
    </row>
    <row r="57" spans="1:10">
      <c r="A57" s="29" t="s">
        <v>285</v>
      </c>
      <c r="B57" s="4">
        <v>0.1289276313521158</v>
      </c>
      <c r="C57" s="10">
        <v>8.8792056731193791E-3</v>
      </c>
      <c r="D57" s="4">
        <v>5.1285282041586781E-3</v>
      </c>
      <c r="E57" s="4">
        <v>5.9039950730931122E-2</v>
      </c>
      <c r="F57" s="4">
        <v>3.1935201833689066E-2</v>
      </c>
      <c r="G57" s="4">
        <v>2.9331984467566588E-2</v>
      </c>
      <c r="H57" s="4">
        <v>3.4298091295714484E-3</v>
      </c>
      <c r="I57" s="4"/>
      <c r="J57" s="4"/>
    </row>
    <row r="58" spans="1:10">
      <c r="A58" s="29" t="s">
        <v>286</v>
      </c>
      <c r="B58" s="4">
        <v>0</v>
      </c>
      <c r="C58" s="10">
        <v>0</v>
      </c>
      <c r="D58" s="4">
        <v>0</v>
      </c>
      <c r="E58" s="4">
        <v>0</v>
      </c>
      <c r="F58" s="4">
        <v>0</v>
      </c>
      <c r="G58" s="4">
        <v>0</v>
      </c>
      <c r="H58" s="4">
        <v>0</v>
      </c>
      <c r="I58" s="4"/>
      <c r="J58" s="4"/>
    </row>
    <row r="59" spans="1:10">
      <c r="A59" s="29" t="s">
        <v>287</v>
      </c>
      <c r="B59" s="4">
        <v>6.9590092925862377E-4</v>
      </c>
      <c r="C59" s="10">
        <v>1.7040576069794809E-4</v>
      </c>
      <c r="D59" s="4">
        <v>8.4663720768713376E-5</v>
      </c>
      <c r="E59" s="4">
        <v>0</v>
      </c>
      <c r="F59" s="4">
        <v>0</v>
      </c>
      <c r="G59" s="4">
        <v>0</v>
      </c>
      <c r="H59" s="4">
        <v>2.5432245160916908E-4</v>
      </c>
      <c r="I59" s="4"/>
      <c r="J59" s="4"/>
    </row>
    <row r="60" spans="1:10">
      <c r="A60" s="29" t="s">
        <v>288</v>
      </c>
      <c r="B60" s="4">
        <v>3.0548842567590568E-2</v>
      </c>
      <c r="C60" s="10">
        <v>1.3554690008908273E-2</v>
      </c>
      <c r="D60" s="4">
        <v>5.9032839411025306E-3</v>
      </c>
      <c r="E60" s="4">
        <v>3.5300002998196215E-3</v>
      </c>
      <c r="F60" s="4">
        <v>2.2514256497118499E-3</v>
      </c>
      <c r="G60" s="4">
        <v>2.1004219908404291E-3</v>
      </c>
      <c r="H60" s="4">
        <v>6.7232531079839015E-3</v>
      </c>
      <c r="I60" s="4"/>
      <c r="J60" s="4"/>
    </row>
    <row r="61" spans="1:10">
      <c r="A61" s="29" t="s">
        <v>289</v>
      </c>
      <c r="B61" s="4">
        <v>6.5512366048779778E-4</v>
      </c>
      <c r="C61" s="10">
        <v>2.8714391247815121E-4</v>
      </c>
      <c r="D61" s="4">
        <v>1.8544753049903434E-4</v>
      </c>
      <c r="E61" s="4">
        <v>8.9063829874507449E-5</v>
      </c>
      <c r="F61" s="4">
        <v>0</v>
      </c>
      <c r="G61" s="4">
        <v>8.6184442653277626E-5</v>
      </c>
      <c r="H61" s="4">
        <v>1.8253221751061226E-4</v>
      </c>
      <c r="I61" s="4"/>
      <c r="J61" s="4"/>
    </row>
    <row r="62" spans="1:10">
      <c r="A62" s="29" t="s">
        <v>290</v>
      </c>
      <c r="B62" s="4">
        <v>2.6244584385041271E-4</v>
      </c>
      <c r="C62" s="10">
        <v>0</v>
      </c>
      <c r="D62" s="4">
        <v>9.0525669963282502E-5</v>
      </c>
      <c r="E62" s="4">
        <v>0</v>
      </c>
      <c r="F62" s="4">
        <v>0</v>
      </c>
      <c r="G62" s="4">
        <v>9.0525669963282502E-5</v>
      </c>
      <c r="H62" s="4">
        <v>0</v>
      </c>
      <c r="I62" s="4"/>
      <c r="J62" s="4"/>
    </row>
    <row r="63" spans="1:10">
      <c r="A63" s="29" t="s">
        <v>291</v>
      </c>
      <c r="B63" s="4">
        <v>5.014133746577454E-4</v>
      </c>
      <c r="C63" s="10">
        <v>0</v>
      </c>
      <c r="D63" s="4">
        <v>0</v>
      </c>
      <c r="E63" s="4">
        <v>2.0901304066702777E-4</v>
      </c>
      <c r="F63" s="4">
        <v>1.09749952821271E-4</v>
      </c>
      <c r="G63" s="4">
        <v>2.9240033399071758E-4</v>
      </c>
      <c r="H63" s="4">
        <v>0</v>
      </c>
      <c r="I63" s="4"/>
      <c r="J63" s="4"/>
    </row>
    <row r="64" spans="1:10">
      <c r="A64" s="29" t="s">
        <v>292</v>
      </c>
      <c r="B64" s="4">
        <v>2.5516855303434997E-2</v>
      </c>
      <c r="C64" s="10">
        <v>1.5938733220675922E-2</v>
      </c>
      <c r="D64" s="4">
        <v>3.7930712191993582E-3</v>
      </c>
      <c r="E64" s="4">
        <v>1.4185361045377554E-3</v>
      </c>
      <c r="F64" s="4">
        <v>2.2916539483591892E-3</v>
      </c>
      <c r="G64" s="4">
        <v>2.7075872919338417E-3</v>
      </c>
      <c r="H64" s="4">
        <v>7.8111512080450201E-4</v>
      </c>
      <c r="I64" s="4"/>
      <c r="J64" s="4"/>
    </row>
    <row r="65" spans="1:10">
      <c r="A65" s="29" t="s">
        <v>293</v>
      </c>
      <c r="B65" s="4">
        <v>8.5104308033990165E-5</v>
      </c>
      <c r="C65" s="10">
        <v>0</v>
      </c>
      <c r="D65" s="4">
        <v>0</v>
      </c>
      <c r="E65" s="4">
        <v>0</v>
      </c>
      <c r="F65" s="4">
        <v>8.5104308033990165E-5</v>
      </c>
      <c r="G65" s="4">
        <v>0</v>
      </c>
      <c r="H65" s="4">
        <v>0</v>
      </c>
      <c r="I65" s="4"/>
      <c r="J65" s="4"/>
    </row>
    <row r="66" spans="1:10">
      <c r="A66" s="29" t="s">
        <v>294</v>
      </c>
      <c r="B66" s="4">
        <v>0</v>
      </c>
      <c r="C66" s="10">
        <v>0</v>
      </c>
      <c r="D66" s="4">
        <v>0</v>
      </c>
      <c r="E66" s="4">
        <v>0</v>
      </c>
      <c r="F66" s="4">
        <v>0</v>
      </c>
      <c r="G66" s="4">
        <v>0</v>
      </c>
      <c r="H66" s="4">
        <v>0</v>
      </c>
      <c r="I66" s="4"/>
      <c r="J66" s="4"/>
    </row>
    <row r="67" spans="1:10">
      <c r="A67" s="29" t="s">
        <v>295</v>
      </c>
      <c r="B67" s="4">
        <v>3.7076584794241267E-3</v>
      </c>
      <c r="C67" s="10">
        <v>1.2379202108381438E-3</v>
      </c>
      <c r="D67" s="4">
        <v>7.213705916127972E-4</v>
      </c>
      <c r="E67" s="4">
        <v>8.6246820476638334E-4</v>
      </c>
      <c r="F67" s="4">
        <v>8.8230520737135544E-4</v>
      </c>
      <c r="G67" s="4">
        <v>5.2273461636372564E-4</v>
      </c>
      <c r="H67" s="4">
        <v>9.0091227016557613E-4</v>
      </c>
      <c r="I67" s="4"/>
      <c r="J67" s="4"/>
    </row>
    <row r="68" spans="1:10">
      <c r="A68" s="29" t="s">
        <v>296</v>
      </c>
      <c r="B68" s="4">
        <v>4.4194952102224967E-4</v>
      </c>
      <c r="C68" s="10">
        <v>0</v>
      </c>
      <c r="D68" s="4">
        <v>1.7275756682279519E-4</v>
      </c>
      <c r="E68" s="4">
        <v>0</v>
      </c>
      <c r="F68" s="4">
        <v>8.6184442653277626E-5</v>
      </c>
      <c r="G68" s="4">
        <v>8.6184442653277626E-5</v>
      </c>
      <c r="H68" s="4">
        <v>8.5104308033990165E-5</v>
      </c>
      <c r="I68" s="4"/>
      <c r="J68" s="4"/>
    </row>
    <row r="69" spans="1:10">
      <c r="A69" s="29" t="s">
        <v>297</v>
      </c>
      <c r="B69" s="4">
        <v>2.8624287723716992E-4</v>
      </c>
      <c r="C69" s="10">
        <v>0</v>
      </c>
      <c r="D69" s="4">
        <v>9.2893237508797711E-5</v>
      </c>
      <c r="E69" s="4">
        <v>0</v>
      </c>
      <c r="F69" s="4">
        <v>9.2893237508797711E-5</v>
      </c>
      <c r="G69" s="4">
        <v>0</v>
      </c>
      <c r="H69" s="4">
        <v>9.2893237508797711E-5</v>
      </c>
      <c r="I69" s="4"/>
      <c r="J69" s="4"/>
    </row>
    <row r="70" spans="1:10">
      <c r="A70" s="29" t="s">
        <v>298</v>
      </c>
      <c r="B70" s="4">
        <v>3.7433409904329756E-3</v>
      </c>
      <c r="C70" s="10">
        <v>2.2943624317679863E-3</v>
      </c>
      <c r="D70" s="4">
        <v>4.5023367442628432E-4</v>
      </c>
      <c r="E70" s="4">
        <v>7.7250666360056659E-5</v>
      </c>
      <c r="F70" s="4">
        <v>8.6553132349945805E-5</v>
      </c>
      <c r="G70" s="4">
        <v>9.6607176274023785E-5</v>
      </c>
      <c r="H70" s="4">
        <v>5.6662775968651963E-4</v>
      </c>
      <c r="I70" s="4"/>
      <c r="J70" s="4"/>
    </row>
    <row r="71" spans="1:10">
      <c r="A71" s="29" t="s">
        <v>299</v>
      </c>
      <c r="B71" s="4">
        <v>4.9973708725730174E-4</v>
      </c>
      <c r="C71" s="10">
        <v>1.9950989127343828E-4</v>
      </c>
      <c r="D71" s="4">
        <v>2.0697045619027537E-4</v>
      </c>
      <c r="E71" s="4">
        <v>7.906185091428781E-5</v>
      </c>
      <c r="F71" s="4">
        <v>0</v>
      </c>
      <c r="G71" s="4">
        <v>0</v>
      </c>
      <c r="H71" s="4">
        <v>0</v>
      </c>
      <c r="I71" s="4"/>
      <c r="J71" s="4"/>
    </row>
    <row r="72" spans="1:10">
      <c r="A72" s="29" t="s">
        <v>300</v>
      </c>
      <c r="B72" s="4">
        <v>2.6279865431793161E-4</v>
      </c>
      <c r="C72" s="10">
        <v>0</v>
      </c>
      <c r="D72" s="4">
        <v>0</v>
      </c>
      <c r="E72" s="4">
        <v>1.8445830042803653E-4</v>
      </c>
      <c r="F72" s="4">
        <v>7.8340353889895102E-5</v>
      </c>
      <c r="G72" s="4">
        <v>8.9021440299230507E-5</v>
      </c>
      <c r="H72" s="4">
        <v>0</v>
      </c>
      <c r="I72" s="4"/>
      <c r="J72" s="4"/>
    </row>
    <row r="73" spans="1:10">
      <c r="A73" s="29" t="s">
        <v>301</v>
      </c>
      <c r="B73" s="4">
        <v>7.906185091428781E-5</v>
      </c>
      <c r="C73" s="10">
        <v>7.906185091428781E-5</v>
      </c>
      <c r="D73" s="4">
        <v>0</v>
      </c>
      <c r="E73" s="4">
        <v>0</v>
      </c>
      <c r="F73" s="4">
        <v>0</v>
      </c>
      <c r="G73" s="4">
        <v>7.906185091428781E-5</v>
      </c>
      <c r="H73" s="4">
        <v>7.906185091428781E-5</v>
      </c>
      <c r="I73" s="4"/>
      <c r="J73" s="4"/>
    </row>
    <row r="74" spans="1:10">
      <c r="A74" s="29" t="s">
        <v>302</v>
      </c>
      <c r="B74" s="4">
        <v>4.3745606907429085E-4</v>
      </c>
      <c r="C74" s="10">
        <v>1.6242992851664894E-4</v>
      </c>
      <c r="D74" s="4">
        <v>0</v>
      </c>
      <c r="E74" s="4">
        <v>0</v>
      </c>
      <c r="F74" s="4">
        <v>8.9852466384788556E-5</v>
      </c>
      <c r="G74" s="4">
        <v>7.1904258553366455E-5</v>
      </c>
      <c r="H74" s="4">
        <v>0</v>
      </c>
      <c r="I74" s="4"/>
      <c r="J74" s="4"/>
    </row>
    <row r="75" spans="1:10">
      <c r="A75" s="29" t="s">
        <v>303</v>
      </c>
      <c r="B75" s="4">
        <v>3.6330478670341308E-4</v>
      </c>
      <c r="C75" s="10">
        <v>0</v>
      </c>
      <c r="D75" s="4">
        <v>7.9291775919553987E-5</v>
      </c>
      <c r="E75" s="4">
        <v>7.9291775919553987E-5</v>
      </c>
      <c r="F75" s="4">
        <v>2.8401301078385906E-4</v>
      </c>
      <c r="G75" s="4">
        <v>7.9291775919553987E-5</v>
      </c>
      <c r="H75" s="4">
        <v>0</v>
      </c>
      <c r="I75" s="4"/>
      <c r="J75" s="4"/>
    </row>
    <row r="76" spans="1:10">
      <c r="A76" s="29" t="s">
        <v>304</v>
      </c>
      <c r="B76" s="4">
        <v>2.3154410647390983E-4</v>
      </c>
      <c r="C76" s="10">
        <v>1.5225233055435585E-4</v>
      </c>
      <c r="D76" s="4">
        <v>0</v>
      </c>
      <c r="E76" s="4">
        <v>8.5824827912445764E-5</v>
      </c>
      <c r="F76" s="4">
        <v>0</v>
      </c>
      <c r="G76" s="4">
        <v>0</v>
      </c>
      <c r="H76" s="4">
        <v>8.5824827912445764E-5</v>
      </c>
      <c r="I76" s="4"/>
      <c r="J76" s="4"/>
    </row>
    <row r="77" spans="1:10">
      <c r="A77" s="29" t="s">
        <v>305</v>
      </c>
      <c r="B77" s="4">
        <v>1.4817148880706889E-3</v>
      </c>
      <c r="C77" s="10">
        <v>2.7312281305907215E-4</v>
      </c>
      <c r="D77" s="4">
        <v>8.6537677589506952E-5</v>
      </c>
      <c r="E77" s="4">
        <v>2.9218715323494005E-4</v>
      </c>
      <c r="F77" s="4">
        <v>9.2444966534098731E-4</v>
      </c>
      <c r="G77" s="4">
        <v>8.6537677589506952E-5</v>
      </c>
      <c r="H77" s="4">
        <v>0</v>
      </c>
      <c r="I77" s="4"/>
      <c r="J77" s="4"/>
    </row>
    <row r="78" spans="1:10">
      <c r="A78" s="29" t="s">
        <v>306</v>
      </c>
      <c r="B78" s="4">
        <v>1.8228935745187586E-3</v>
      </c>
      <c r="C78" s="10">
        <v>5.7428439752195035E-4</v>
      </c>
      <c r="D78" s="4">
        <v>3.5380651246662905E-4</v>
      </c>
      <c r="E78" s="4">
        <v>2.7484062530678459E-4</v>
      </c>
      <c r="F78" s="4">
        <v>6.0409106386478603E-4</v>
      </c>
      <c r="G78" s="4">
        <v>3.568229184623561E-4</v>
      </c>
      <c r="H78" s="4">
        <v>1.7897309727359426E-4</v>
      </c>
      <c r="I78" s="4"/>
      <c r="J78" s="4"/>
    </row>
    <row r="79" spans="1:10">
      <c r="A79" s="29" t="s">
        <v>307</v>
      </c>
      <c r="B79" s="4">
        <v>3.7862691102106448E-4</v>
      </c>
      <c r="C79" s="10">
        <v>2.7955374230804775E-4</v>
      </c>
      <c r="D79" s="4">
        <v>0</v>
      </c>
      <c r="E79" s="4">
        <v>0</v>
      </c>
      <c r="F79" s="4">
        <v>9.9073168713016734E-5</v>
      </c>
      <c r="G79" s="4">
        <v>0</v>
      </c>
      <c r="H79" s="4">
        <v>8.6184442653277626E-5</v>
      </c>
      <c r="I79" s="4"/>
      <c r="J79" s="4"/>
    </row>
    <row r="80" spans="1:10">
      <c r="A80" s="29" t="s">
        <v>308</v>
      </c>
      <c r="B80" s="4">
        <v>0</v>
      </c>
      <c r="C80" s="10">
        <v>0</v>
      </c>
      <c r="D80" s="4">
        <v>0</v>
      </c>
      <c r="E80" s="4">
        <v>0</v>
      </c>
      <c r="F80" s="4">
        <v>0</v>
      </c>
      <c r="G80" s="4">
        <v>0</v>
      </c>
      <c r="H80" s="4">
        <v>0</v>
      </c>
      <c r="I80" s="4"/>
      <c r="J80" s="4"/>
    </row>
    <row r="81" spans="1:10">
      <c r="A81" s="29" t="s">
        <v>309</v>
      </c>
      <c r="B81" s="4">
        <v>9.9073168713016734E-5</v>
      </c>
      <c r="C81" s="10">
        <v>9.9073168713016734E-5</v>
      </c>
      <c r="D81" s="4">
        <v>0</v>
      </c>
      <c r="E81" s="4">
        <v>0</v>
      </c>
      <c r="F81" s="4">
        <v>0</v>
      </c>
      <c r="G81" s="4">
        <v>0</v>
      </c>
      <c r="H81" s="4">
        <v>0</v>
      </c>
      <c r="I81" s="4"/>
      <c r="J81" s="4"/>
    </row>
    <row r="82" spans="1:10">
      <c r="A82" s="29" t="s">
        <v>310</v>
      </c>
      <c r="B82" s="4">
        <v>8.4054416896149999E-5</v>
      </c>
      <c r="C82" s="10">
        <v>0</v>
      </c>
      <c r="D82" s="4">
        <v>0</v>
      </c>
      <c r="E82" s="4">
        <v>0</v>
      </c>
      <c r="F82" s="4">
        <v>8.4054416896149999E-5</v>
      </c>
      <c r="G82" s="4">
        <v>0</v>
      </c>
      <c r="H82" s="4">
        <v>0</v>
      </c>
      <c r="I82" s="4"/>
      <c r="J82" s="4"/>
    </row>
    <row r="83" spans="1:10">
      <c r="A83" s="29" t="s">
        <v>311</v>
      </c>
      <c r="B83" s="4">
        <v>9.900825079202705E-4</v>
      </c>
      <c r="C83" s="10">
        <v>5.2099797005444133E-4</v>
      </c>
      <c r="D83" s="4">
        <v>0</v>
      </c>
      <c r="E83" s="4">
        <v>0</v>
      </c>
      <c r="F83" s="4">
        <v>0</v>
      </c>
      <c r="G83" s="4">
        <v>2.874295880030485E-4</v>
      </c>
      <c r="H83" s="4">
        <v>4.4187988807581981E-4</v>
      </c>
      <c r="I83" s="4"/>
      <c r="J83" s="4"/>
    </row>
    <row r="84" spans="1:10">
      <c r="A84" s="29" t="s">
        <v>312</v>
      </c>
      <c r="B84" s="4">
        <v>0</v>
      </c>
      <c r="C84" s="10">
        <v>0</v>
      </c>
      <c r="D84" s="4">
        <v>0</v>
      </c>
      <c r="E84" s="4">
        <v>0</v>
      </c>
      <c r="F84" s="4">
        <v>0</v>
      </c>
      <c r="G84" s="4">
        <v>0</v>
      </c>
      <c r="H84" s="4">
        <v>0</v>
      </c>
      <c r="I84" s="4"/>
      <c r="J84" s="4"/>
    </row>
    <row r="85" spans="1:10">
      <c r="A85" s="29" t="s">
        <v>313</v>
      </c>
      <c r="B85" s="4">
        <v>6.0062110904783811E-4</v>
      </c>
      <c r="C85" s="10">
        <v>1.5028587703703488E-4</v>
      </c>
      <c r="D85" s="4">
        <v>0</v>
      </c>
      <c r="E85" s="4">
        <v>8.9021440299230507E-5</v>
      </c>
      <c r="F85" s="4">
        <v>0</v>
      </c>
      <c r="G85" s="4">
        <v>8.7840449675700443E-5</v>
      </c>
      <c r="H85" s="4">
        <v>1.8248982793533529E-4</v>
      </c>
      <c r="I85" s="4"/>
      <c r="J85" s="4"/>
    </row>
    <row r="86" spans="1:10">
      <c r="A86" s="29" t="s">
        <v>314</v>
      </c>
      <c r="B86" s="4">
        <v>0</v>
      </c>
      <c r="C86" s="10">
        <v>0</v>
      </c>
      <c r="D86" s="4">
        <v>0</v>
      </c>
      <c r="E86" s="4">
        <v>0</v>
      </c>
      <c r="F86" s="4">
        <v>0</v>
      </c>
      <c r="G86" s="4">
        <v>0</v>
      </c>
      <c r="H86" s="4">
        <v>0</v>
      </c>
      <c r="I86" s="4"/>
      <c r="J86" s="4"/>
    </row>
    <row r="87" spans="1:10">
      <c r="A87" s="29" t="s">
        <v>315</v>
      </c>
      <c r="B87" s="4">
        <v>1.1166903880193368E-4</v>
      </c>
      <c r="C87" s="10">
        <v>1.1166903880193368E-4</v>
      </c>
      <c r="D87" s="4">
        <v>0</v>
      </c>
      <c r="E87" s="4">
        <v>0</v>
      </c>
      <c r="F87" s="4">
        <v>0</v>
      </c>
      <c r="G87" s="4">
        <v>0</v>
      </c>
      <c r="H87" s="4">
        <v>0</v>
      </c>
      <c r="I87" s="4"/>
      <c r="J87" s="4"/>
    </row>
    <row r="88" spans="1:10">
      <c r="A88" s="29" t="s">
        <v>316</v>
      </c>
      <c r="B88" s="4">
        <v>4.3959023990744282E-3</v>
      </c>
      <c r="C88" s="10">
        <v>5.4703644754511532E-4</v>
      </c>
      <c r="D88" s="4">
        <v>8.8646797854757928E-4</v>
      </c>
      <c r="E88" s="4">
        <v>1.027608446661754E-3</v>
      </c>
      <c r="F88" s="4">
        <v>1.1916330999814525E-3</v>
      </c>
      <c r="G88" s="4">
        <v>1.0503330885438056E-3</v>
      </c>
      <c r="H88" s="4">
        <v>2.0040019755003917E-4</v>
      </c>
      <c r="I88" s="4"/>
      <c r="J88" s="4"/>
    </row>
    <row r="89" spans="1:10">
      <c r="A89" s="29" t="s">
        <v>317</v>
      </c>
      <c r="B89" s="4">
        <v>5.7890259979043049E-4</v>
      </c>
      <c r="C89" s="10">
        <v>1.7651375420581341E-4</v>
      </c>
      <c r="D89" s="4">
        <v>0</v>
      </c>
      <c r="E89" s="4">
        <v>8.6184442653277626E-5</v>
      </c>
      <c r="F89" s="4">
        <v>3.1229638979302229E-4</v>
      </c>
      <c r="G89" s="4">
        <v>1.0317110098407385E-4</v>
      </c>
      <c r="H89" s="4">
        <v>0</v>
      </c>
      <c r="I89" s="4"/>
      <c r="J89" s="4"/>
    </row>
    <row r="90" spans="1:10">
      <c r="A90" s="29" t="s">
        <v>318</v>
      </c>
      <c r="B90" s="4">
        <v>0</v>
      </c>
      <c r="C90" s="10">
        <v>0</v>
      </c>
      <c r="D90" s="4">
        <v>0</v>
      </c>
      <c r="E90" s="4">
        <v>0</v>
      </c>
      <c r="F90" s="4">
        <v>0</v>
      </c>
      <c r="G90" s="4">
        <v>0</v>
      </c>
      <c r="H90" s="4">
        <v>0</v>
      </c>
      <c r="I90" s="4"/>
      <c r="J90" s="4"/>
    </row>
    <row r="91" spans="1:10">
      <c r="A91" s="29" t="s">
        <v>319</v>
      </c>
      <c r="B91" s="4">
        <v>3.4013398942752426E-3</v>
      </c>
      <c r="C91" s="10">
        <v>9.6551016500908457E-4</v>
      </c>
      <c r="D91" s="4">
        <v>5.2912604821149511E-4</v>
      </c>
      <c r="E91" s="4">
        <v>9.1559169455435738E-4</v>
      </c>
      <c r="F91" s="4">
        <v>8.380825453465807E-4</v>
      </c>
      <c r="G91" s="4">
        <v>2.9352105655541165E-4</v>
      </c>
      <c r="H91" s="4">
        <v>2.7960529469984151E-4</v>
      </c>
      <c r="I91" s="4"/>
      <c r="J91" s="4"/>
    </row>
    <row r="92" spans="1:10">
      <c r="A92" s="29" t="s">
        <v>320</v>
      </c>
      <c r="B92" s="4">
        <v>1.4649246548768904E-3</v>
      </c>
      <c r="C92" s="10">
        <v>6.731483550170065E-4</v>
      </c>
      <c r="D92" s="4">
        <v>4.076920074159437E-4</v>
      </c>
      <c r="E92" s="4">
        <v>1.7384599861893808E-4</v>
      </c>
      <c r="F92" s="4">
        <v>6.6427502641910088E-5</v>
      </c>
      <c r="G92" s="4">
        <v>9.2351231981985973E-5</v>
      </c>
      <c r="H92" s="4">
        <v>1.7384599861893808E-4</v>
      </c>
      <c r="I92" s="4"/>
      <c r="J92" s="4"/>
    </row>
    <row r="93" spans="1:10">
      <c r="A93" s="29" t="s">
        <v>321</v>
      </c>
      <c r="B93" s="4">
        <v>6.1731169525783562E-4</v>
      </c>
      <c r="C93" s="10">
        <v>8.6573124169517563E-5</v>
      </c>
      <c r="D93" s="4">
        <v>2.0734041534078765E-4</v>
      </c>
      <c r="E93" s="4">
        <v>5.9318458259675998E-5</v>
      </c>
      <c r="F93" s="4">
        <v>9.1173810458938014E-5</v>
      </c>
      <c r="G93" s="4">
        <v>9.0803851308425722E-5</v>
      </c>
      <c r="H93" s="4">
        <v>0</v>
      </c>
      <c r="I93" s="4"/>
      <c r="J93" s="4"/>
    </row>
    <row r="94" spans="1:10">
      <c r="A94" s="29" t="s">
        <v>322</v>
      </c>
      <c r="B94" s="4">
        <v>2.0222254325767133E-4</v>
      </c>
      <c r="C94" s="10">
        <v>0</v>
      </c>
      <c r="D94" s="4">
        <v>0</v>
      </c>
      <c r="E94" s="4">
        <v>0</v>
      </c>
      <c r="F94" s="4">
        <v>0</v>
      </c>
      <c r="G94" s="4">
        <v>0</v>
      </c>
      <c r="H94" s="4">
        <v>8.7163245541074376E-5</v>
      </c>
      <c r="I94" s="4"/>
      <c r="J94" s="4"/>
    </row>
    <row r="95" spans="1:10">
      <c r="A95" s="29" t="s">
        <v>323</v>
      </c>
      <c r="B95" s="4">
        <v>9.0780339123595769E-4</v>
      </c>
      <c r="C95" s="10">
        <v>1.6603454399396824E-4</v>
      </c>
      <c r="D95" s="4">
        <v>0</v>
      </c>
      <c r="E95" s="4">
        <v>3.8063209277453003E-4</v>
      </c>
      <c r="F95" s="4">
        <v>2.7762980064765619E-4</v>
      </c>
      <c r="G95" s="4">
        <v>8.9852466384788556E-5</v>
      </c>
      <c r="H95" s="4">
        <v>0</v>
      </c>
      <c r="I95" s="4"/>
      <c r="J95" s="4"/>
    </row>
    <row r="96" spans="1:10">
      <c r="A96" s="29" t="s">
        <v>324</v>
      </c>
      <c r="B96" s="4">
        <v>2.1983514428528566E-2</v>
      </c>
      <c r="C96" s="10">
        <v>1.2640074015551325E-2</v>
      </c>
      <c r="D96" s="4">
        <v>4.5045746342657293E-3</v>
      </c>
      <c r="E96" s="4">
        <v>1.0721064662816155E-3</v>
      </c>
      <c r="F96" s="4">
        <v>5.1829811190301815E-4</v>
      </c>
      <c r="G96" s="4">
        <v>8.5239472630259242E-4</v>
      </c>
      <c r="H96" s="4">
        <v>2.390044750878399E-3</v>
      </c>
      <c r="I96" s="4"/>
      <c r="J96" s="4"/>
    </row>
    <row r="97" spans="1:10">
      <c r="A97" s="29" t="s">
        <v>325</v>
      </c>
      <c r="B97" s="4">
        <v>5.9206954252613532E-4</v>
      </c>
      <c r="C97" s="10">
        <v>3.5963503999011313E-4</v>
      </c>
      <c r="D97" s="4">
        <v>0</v>
      </c>
      <c r="E97" s="4">
        <v>0</v>
      </c>
      <c r="F97" s="4">
        <v>2.3243450253602224E-4</v>
      </c>
      <c r="G97" s="4">
        <v>0</v>
      </c>
      <c r="H97" s="4">
        <v>0</v>
      </c>
      <c r="I97" s="4"/>
      <c r="J97" s="4"/>
    </row>
    <row r="98" spans="1:10">
      <c r="A98" s="29" t="s">
        <v>326</v>
      </c>
      <c r="B98" s="4">
        <v>6.7973366154060817E-4</v>
      </c>
      <c r="C98" s="10">
        <v>3.2009862155049499E-4</v>
      </c>
      <c r="D98" s="4">
        <v>0</v>
      </c>
      <c r="E98" s="4">
        <v>0</v>
      </c>
      <c r="F98" s="4">
        <v>0</v>
      </c>
      <c r="G98" s="4">
        <v>0</v>
      </c>
      <c r="H98" s="4">
        <v>3.5963503999011313E-4</v>
      </c>
      <c r="I98" s="4"/>
      <c r="J98" s="4"/>
    </row>
    <row r="99" spans="1:10">
      <c r="A99" s="29" t="s">
        <v>327</v>
      </c>
      <c r="B99" s="4">
        <v>0</v>
      </c>
      <c r="C99" s="10">
        <v>0</v>
      </c>
      <c r="D99" s="4">
        <v>0</v>
      </c>
      <c r="E99" s="4">
        <v>0</v>
      </c>
      <c r="F99" s="4">
        <v>0</v>
      </c>
      <c r="G99" s="4">
        <v>0</v>
      </c>
      <c r="H99" s="4">
        <v>0</v>
      </c>
      <c r="I99" s="4"/>
      <c r="J99" s="4"/>
    </row>
    <row r="100" spans="1:10">
      <c r="A100" s="29" t="s">
        <v>328</v>
      </c>
      <c r="B100" s="4">
        <v>0</v>
      </c>
      <c r="C100" s="10">
        <v>0</v>
      </c>
      <c r="D100" s="4">
        <v>0</v>
      </c>
      <c r="E100" s="4">
        <v>0</v>
      </c>
      <c r="F100" s="4">
        <v>0</v>
      </c>
      <c r="G100" s="4">
        <v>0</v>
      </c>
      <c r="H100" s="4">
        <v>0</v>
      </c>
      <c r="I100" s="4"/>
      <c r="J100" s="4"/>
    </row>
    <row r="101" spans="1:10">
      <c r="A101" s="29" t="s">
        <v>329</v>
      </c>
      <c r="B101" s="4">
        <v>3.9977554911020121E-4</v>
      </c>
      <c r="C101" s="10">
        <v>1.6242992851664894E-4</v>
      </c>
      <c r="D101" s="4">
        <v>0</v>
      </c>
      <c r="E101" s="4">
        <v>0</v>
      </c>
      <c r="F101" s="4">
        <v>2.3734562059355221E-4</v>
      </c>
      <c r="G101" s="4">
        <v>0</v>
      </c>
      <c r="H101" s="4">
        <v>0</v>
      </c>
      <c r="I101" s="4"/>
      <c r="J101" s="4"/>
    </row>
    <row r="102" spans="1:10">
      <c r="A102" s="29" t="s">
        <v>330</v>
      </c>
      <c r="B102" s="4">
        <v>0</v>
      </c>
      <c r="C102" s="10">
        <v>0</v>
      </c>
      <c r="D102" s="4">
        <v>0</v>
      </c>
      <c r="E102" s="4">
        <v>0</v>
      </c>
      <c r="F102" s="4">
        <v>0</v>
      </c>
      <c r="G102" s="4">
        <v>0</v>
      </c>
      <c r="H102" s="4">
        <v>0</v>
      </c>
      <c r="I102" s="4"/>
      <c r="J102" s="4"/>
    </row>
    <row r="103" spans="1:10">
      <c r="A103" s="29" t="s">
        <v>331</v>
      </c>
      <c r="B103" s="4">
        <v>8.4824558319707578E-5</v>
      </c>
      <c r="C103" s="10">
        <v>8.4824558319707578E-5</v>
      </c>
      <c r="D103" s="4">
        <v>0</v>
      </c>
      <c r="E103" s="4">
        <v>0</v>
      </c>
      <c r="F103" s="4">
        <v>0</v>
      </c>
      <c r="G103" s="4">
        <v>0</v>
      </c>
      <c r="H103" s="4">
        <v>0</v>
      </c>
      <c r="I103" s="4"/>
      <c r="J103" s="4"/>
    </row>
    <row r="104" spans="1:10">
      <c r="A104" s="29" t="s">
        <v>332</v>
      </c>
      <c r="B104" s="4">
        <v>6.2525781774523361E-5</v>
      </c>
      <c r="C104" s="10">
        <v>0</v>
      </c>
      <c r="D104" s="4">
        <v>6.2525781774523361E-5</v>
      </c>
      <c r="E104" s="4">
        <v>0</v>
      </c>
      <c r="F104" s="4">
        <v>0</v>
      </c>
      <c r="G104" s="4">
        <v>0</v>
      </c>
      <c r="H104" s="4">
        <v>0</v>
      </c>
      <c r="I104" s="4"/>
      <c r="J104" s="4"/>
    </row>
    <row r="105" spans="1:10">
      <c r="A105" s="29" t="s">
        <v>333</v>
      </c>
      <c r="B105" s="4">
        <v>6.6427502641910088E-5</v>
      </c>
      <c r="C105" s="10">
        <v>0</v>
      </c>
      <c r="D105" s="4">
        <v>0</v>
      </c>
      <c r="E105" s="4">
        <v>0</v>
      </c>
      <c r="F105" s="4">
        <v>6.6427502641910088E-5</v>
      </c>
      <c r="G105" s="4">
        <v>6.6427502641910088E-5</v>
      </c>
      <c r="H105" s="4">
        <v>0</v>
      </c>
      <c r="I105" s="4"/>
      <c r="J105" s="4"/>
    </row>
    <row r="106" spans="1:10">
      <c r="A106" s="29" t="s">
        <v>334</v>
      </c>
      <c r="B106" s="4">
        <v>5.0270482901155567E-3</v>
      </c>
      <c r="C106" s="10">
        <v>1.0749577987903003E-3</v>
      </c>
      <c r="D106" s="4">
        <v>7.7778942486409419E-4</v>
      </c>
      <c r="E106" s="4">
        <v>9.5652074062945391E-4</v>
      </c>
      <c r="F106" s="4">
        <v>5.5518033360017543E-4</v>
      </c>
      <c r="G106" s="4">
        <v>1.6623352784052607E-4</v>
      </c>
      <c r="H106" s="4">
        <v>3.628207213258746E-4</v>
      </c>
      <c r="I106" s="4"/>
      <c r="J106" s="4"/>
    </row>
    <row r="107" spans="1:10">
      <c r="A107" s="29" t="s">
        <v>335</v>
      </c>
      <c r="B107" s="4">
        <v>5.861608482870586E-2</v>
      </c>
      <c r="C107" s="10">
        <v>6.4069970094698774E-4</v>
      </c>
      <c r="D107" s="4">
        <v>4.0787451205258183E-4</v>
      </c>
      <c r="E107" s="4">
        <v>1.5601392530399227E-2</v>
      </c>
      <c r="F107" s="4">
        <v>3.9390197921517468E-2</v>
      </c>
      <c r="G107" s="4">
        <v>5.0278093669662363E-3</v>
      </c>
      <c r="H107" s="4">
        <v>9.667424293214184E-4</v>
      </c>
      <c r="I107" s="4"/>
      <c r="J107" s="4"/>
    </row>
    <row r="108" spans="1:10">
      <c r="A108" s="29" t="s">
        <v>336</v>
      </c>
      <c r="B108" s="4">
        <v>0</v>
      </c>
      <c r="C108" s="10">
        <v>0</v>
      </c>
      <c r="D108" s="4">
        <v>0</v>
      </c>
      <c r="E108" s="4">
        <v>0</v>
      </c>
      <c r="F108" s="4">
        <v>0</v>
      </c>
      <c r="G108" s="4">
        <v>0</v>
      </c>
      <c r="H108" s="4">
        <v>0</v>
      </c>
      <c r="I108" s="4"/>
      <c r="J108" s="4"/>
    </row>
    <row r="109" spans="1:10">
      <c r="A109" s="29" t="s">
        <v>337</v>
      </c>
      <c r="B109" s="4">
        <v>0</v>
      </c>
      <c r="C109" s="10">
        <v>0</v>
      </c>
      <c r="D109" s="4">
        <v>0</v>
      </c>
      <c r="E109" s="4">
        <v>0</v>
      </c>
      <c r="F109" s="4">
        <v>0</v>
      </c>
      <c r="G109" s="4">
        <v>0</v>
      </c>
      <c r="H109" s="4">
        <v>0</v>
      </c>
      <c r="I109" s="4"/>
      <c r="J109" s="4"/>
    </row>
    <row r="110" spans="1:10">
      <c r="A110" s="29" t="s">
        <v>338</v>
      </c>
      <c r="B110" s="4">
        <v>1.6914281822294272E-4</v>
      </c>
      <c r="C110" s="10">
        <v>8.1107982218957232E-5</v>
      </c>
      <c r="D110" s="4">
        <v>8.8034836003985471E-5</v>
      </c>
      <c r="E110" s="4">
        <v>0</v>
      </c>
      <c r="F110" s="4">
        <v>0</v>
      </c>
      <c r="G110" s="4">
        <v>0</v>
      </c>
      <c r="H110" s="4">
        <v>0</v>
      </c>
      <c r="I110" s="4"/>
      <c r="J110" s="4"/>
    </row>
    <row r="111" spans="1:10">
      <c r="A111" s="29" t="s">
        <v>339</v>
      </c>
      <c r="B111" s="4">
        <v>4.4284531685763587E-4</v>
      </c>
      <c r="C111" s="10">
        <v>0</v>
      </c>
      <c r="D111" s="4">
        <v>1.0349500142615495E-4</v>
      </c>
      <c r="E111" s="4">
        <v>1.8327475116411564E-4</v>
      </c>
      <c r="F111" s="4">
        <v>9.1173810458938014E-5</v>
      </c>
      <c r="G111" s="4">
        <v>1.5607556426736524E-4</v>
      </c>
      <c r="H111" s="4">
        <v>0</v>
      </c>
      <c r="I111" s="4"/>
      <c r="J111" s="4"/>
    </row>
    <row r="112" spans="1:10">
      <c r="A112" s="29" t="s">
        <v>340</v>
      </c>
      <c r="B112" s="4">
        <v>0</v>
      </c>
      <c r="C112" s="10">
        <v>0</v>
      </c>
      <c r="D112" s="4">
        <v>0</v>
      </c>
      <c r="E112" s="4">
        <v>0</v>
      </c>
      <c r="F112" s="4">
        <v>0</v>
      </c>
      <c r="G112" s="4">
        <v>0</v>
      </c>
      <c r="H112" s="4">
        <v>0</v>
      </c>
      <c r="I112" s="4"/>
      <c r="J112" s="4"/>
    </row>
    <row r="113" spans="1:10">
      <c r="A113" s="29" t="s">
        <v>341</v>
      </c>
      <c r="B113" s="4">
        <v>1.3336041213846633E-3</v>
      </c>
      <c r="C113" s="10">
        <v>7.1904258553366455E-5</v>
      </c>
      <c r="D113" s="4">
        <v>0</v>
      </c>
      <c r="E113" s="4">
        <v>0</v>
      </c>
      <c r="F113" s="4">
        <v>2.7135345534762804E-4</v>
      </c>
      <c r="G113" s="4">
        <v>0</v>
      </c>
      <c r="H113" s="4">
        <v>4.6381274295426286E-4</v>
      </c>
      <c r="I113" s="4"/>
      <c r="J113" s="4"/>
    </row>
    <row r="114" spans="1:10">
      <c r="A114" s="29" t="s">
        <v>342</v>
      </c>
      <c r="B114" s="4">
        <v>0</v>
      </c>
      <c r="C114" s="10">
        <v>0</v>
      </c>
      <c r="D114" s="4">
        <v>0</v>
      </c>
      <c r="E114" s="4">
        <v>0</v>
      </c>
      <c r="F114" s="4">
        <v>0</v>
      </c>
      <c r="G114" s="4">
        <v>0</v>
      </c>
      <c r="H114" s="4">
        <v>0</v>
      </c>
      <c r="I114" s="4"/>
      <c r="J114" s="4"/>
    </row>
    <row r="115" spans="1:10">
      <c r="A115" s="29" t="s">
        <v>343</v>
      </c>
      <c r="B115" s="4">
        <v>1.5186106043589865E-4</v>
      </c>
      <c r="C115" s="10">
        <v>6.6256346783735731E-5</v>
      </c>
      <c r="D115" s="4">
        <v>0</v>
      </c>
      <c r="E115" s="4">
        <v>0</v>
      </c>
      <c r="F115" s="4">
        <v>0</v>
      </c>
      <c r="G115" s="4">
        <v>0</v>
      </c>
      <c r="H115" s="4">
        <v>0</v>
      </c>
      <c r="I115" s="4"/>
      <c r="J115" s="4"/>
    </row>
    <row r="116" spans="1:10">
      <c r="A116" s="29" t="s">
        <v>344</v>
      </c>
      <c r="B116" s="4">
        <v>3.849976596297499E-4</v>
      </c>
      <c r="C116" s="10">
        <v>0</v>
      </c>
      <c r="D116" s="4">
        <v>2.9715720995404941E-4</v>
      </c>
      <c r="E116" s="4">
        <v>8.7840449675700443E-5</v>
      </c>
      <c r="F116" s="4">
        <v>0</v>
      </c>
      <c r="G116" s="4">
        <v>0</v>
      </c>
      <c r="H116" s="4">
        <v>0</v>
      </c>
      <c r="I116" s="4"/>
      <c r="J116" s="4"/>
    </row>
    <row r="117" spans="1:10">
      <c r="A117" s="29" t="s">
        <v>345</v>
      </c>
      <c r="B117" s="4">
        <v>1.7191183352738295E-4</v>
      </c>
      <c r="C117" s="10">
        <v>0</v>
      </c>
      <c r="D117" s="4">
        <v>0</v>
      </c>
      <c r="E117" s="4">
        <v>1.7191183352738295E-4</v>
      </c>
      <c r="F117" s="4">
        <v>0</v>
      </c>
      <c r="G117" s="4">
        <v>0</v>
      </c>
      <c r="H117" s="4">
        <v>0</v>
      </c>
      <c r="I117" s="4"/>
      <c r="J117" s="4"/>
    </row>
    <row r="118" spans="1:10">
      <c r="A118" s="29" t="s">
        <v>346</v>
      </c>
      <c r="B118" s="4">
        <v>1.2312598546521648E-3</v>
      </c>
      <c r="C118" s="10">
        <v>6.4394368397337643E-4</v>
      </c>
      <c r="D118" s="4">
        <v>3.7900368070330101E-4</v>
      </c>
      <c r="E118" s="4">
        <v>1.5863082201447633E-4</v>
      </c>
      <c r="F118" s="4">
        <v>1.4441818784111668E-4</v>
      </c>
      <c r="G118" s="4">
        <v>2.6741376900256327E-4</v>
      </c>
      <c r="H118" s="4">
        <v>1.8496161550923284E-4</v>
      </c>
      <c r="I118" s="4"/>
      <c r="J118" s="4"/>
    </row>
    <row r="119" spans="1:10">
      <c r="A119" s="29" t="s">
        <v>347</v>
      </c>
      <c r="B119" s="4">
        <v>1.2932079411020069E-3</v>
      </c>
      <c r="C119" s="10">
        <v>3.4512342521158921E-4</v>
      </c>
      <c r="D119" s="4">
        <v>0</v>
      </c>
      <c r="E119" s="4">
        <v>2.6931340099518327E-4</v>
      </c>
      <c r="F119" s="4">
        <v>8.9063829874507449E-5</v>
      </c>
      <c r="G119" s="4">
        <v>1.8409453667610144E-4</v>
      </c>
      <c r="H119" s="4">
        <v>3.9430504230203407E-4</v>
      </c>
      <c r="I119" s="4"/>
      <c r="J119" s="4"/>
    </row>
    <row r="120" spans="1:10">
      <c r="A120" s="29" t="s">
        <v>348</v>
      </c>
      <c r="B120" s="4">
        <v>8.6740356324134548E-4</v>
      </c>
      <c r="C120" s="10">
        <v>4.566085946388314E-4</v>
      </c>
      <c r="D120" s="4">
        <v>0</v>
      </c>
      <c r="E120" s="4">
        <v>0</v>
      </c>
      <c r="F120" s="4">
        <v>2.0235104753512726E-4</v>
      </c>
      <c r="G120" s="4">
        <v>8.6184442653277626E-5</v>
      </c>
      <c r="H120" s="4">
        <v>8.6184442653277626E-5</v>
      </c>
      <c r="I120" s="4"/>
      <c r="J120" s="4"/>
    </row>
    <row r="121" spans="1:10">
      <c r="A121" s="29" t="s">
        <v>349</v>
      </c>
      <c r="B121" s="4">
        <v>4.6269236651863041E-2</v>
      </c>
      <c r="C121" s="10">
        <v>6.9572736718924149E-3</v>
      </c>
      <c r="D121" s="4">
        <v>4.579454892963338E-3</v>
      </c>
      <c r="E121" s="4">
        <v>6.4851114717783378E-3</v>
      </c>
      <c r="F121" s="4">
        <v>4.2761067953467477E-3</v>
      </c>
      <c r="G121" s="4">
        <v>4.3404725852859887E-3</v>
      </c>
      <c r="H121" s="4">
        <v>4.7990240659149044E-3</v>
      </c>
      <c r="I121" s="4"/>
      <c r="J121" s="4"/>
    </row>
    <row r="122" spans="1:10">
      <c r="A122" s="29" t="s">
        <v>350</v>
      </c>
      <c r="B122" s="4">
        <v>2.0273084930963656E-3</v>
      </c>
      <c r="C122" s="10">
        <v>1.4306934139650897E-3</v>
      </c>
      <c r="D122" s="4">
        <v>3.886037603279485E-4</v>
      </c>
      <c r="E122" s="4">
        <v>8.6970395006474106E-5</v>
      </c>
      <c r="F122" s="4">
        <v>8.0809012675665508E-5</v>
      </c>
      <c r="G122" s="4">
        <v>0</v>
      </c>
      <c r="H122" s="4">
        <v>1.8327730980450648E-4</v>
      </c>
      <c r="I122" s="4"/>
      <c r="J122" s="4"/>
    </row>
    <row r="123" spans="1:10">
      <c r="A123" s="29" t="s">
        <v>351</v>
      </c>
      <c r="B123" s="4">
        <v>2.9896959103066923E-4</v>
      </c>
      <c r="C123" s="10">
        <v>0</v>
      </c>
      <c r="D123" s="4">
        <v>0</v>
      </c>
      <c r="E123" s="4">
        <v>0</v>
      </c>
      <c r="F123" s="4">
        <v>0</v>
      </c>
      <c r="G123" s="4">
        <v>1.8280298614881962E-4</v>
      </c>
      <c r="H123" s="4">
        <v>0</v>
      </c>
      <c r="I123" s="4"/>
      <c r="J123" s="4"/>
    </row>
    <row r="124" spans="1:10">
      <c r="A124" s="29" t="s">
        <v>352</v>
      </c>
      <c r="B124" s="4">
        <v>3.3238394020719374E-4</v>
      </c>
      <c r="C124" s="10">
        <v>0</v>
      </c>
      <c r="D124" s="4">
        <v>8.7163245541074376E-5</v>
      </c>
      <c r="E124" s="4">
        <v>0</v>
      </c>
      <c r="F124" s="4">
        <v>0</v>
      </c>
      <c r="G124" s="4">
        <v>0</v>
      </c>
      <c r="H124" s="4">
        <v>0</v>
      </c>
      <c r="I124" s="4"/>
      <c r="J124" s="4"/>
    </row>
    <row r="125" spans="1:10">
      <c r="A125" s="29" t="s">
        <v>353</v>
      </c>
      <c r="B125" s="4">
        <v>1.0349500142615495E-4</v>
      </c>
      <c r="C125" s="10">
        <v>0</v>
      </c>
      <c r="D125" s="4">
        <v>0</v>
      </c>
      <c r="E125" s="4">
        <v>1.0349500142615495E-4</v>
      </c>
      <c r="F125" s="4">
        <v>0</v>
      </c>
      <c r="G125" s="4">
        <v>0</v>
      </c>
      <c r="H125" s="4">
        <v>0</v>
      </c>
      <c r="I125" s="4"/>
      <c r="J125" s="4"/>
    </row>
    <row r="126" spans="1:10">
      <c r="A126" s="29" t="s">
        <v>354</v>
      </c>
      <c r="B126" s="4">
        <v>1.2450714016819641E-3</v>
      </c>
      <c r="C126" s="10">
        <v>9.4122923524720813E-4</v>
      </c>
      <c r="D126" s="4">
        <v>2.1344848943948941E-4</v>
      </c>
      <c r="E126" s="4">
        <v>0</v>
      </c>
      <c r="F126" s="4">
        <v>0</v>
      </c>
      <c r="G126" s="4">
        <v>9.1173810458938014E-5</v>
      </c>
      <c r="H126" s="4">
        <v>7.067661075272369E-5</v>
      </c>
      <c r="I126" s="4"/>
      <c r="J126" s="4"/>
    </row>
    <row r="127" spans="1:10">
      <c r="A127" s="29" t="s">
        <v>355</v>
      </c>
      <c r="B127" s="4">
        <v>1.1973996391355399E-3</v>
      </c>
      <c r="C127" s="10">
        <v>7.0435495343367579E-4</v>
      </c>
      <c r="D127" s="4">
        <v>1.8904172874082496E-4</v>
      </c>
      <c r="E127" s="4">
        <v>9.2351231981985973E-5</v>
      </c>
      <c r="F127" s="4">
        <v>1.1505929771659694E-4</v>
      </c>
      <c r="G127" s="4">
        <v>9.0175775201877458E-5</v>
      </c>
      <c r="H127" s="4">
        <v>1.09749952821271E-4</v>
      </c>
      <c r="I127" s="4"/>
      <c r="J127" s="4"/>
    </row>
    <row r="128" spans="1:10">
      <c r="A128" s="29" t="s">
        <v>356</v>
      </c>
      <c r="B128" s="4">
        <v>8.4215329487272986E-4</v>
      </c>
      <c r="C128" s="10">
        <v>2.6432056960130722E-4</v>
      </c>
      <c r="D128" s="4">
        <v>2.0362637145785511E-4</v>
      </c>
      <c r="E128" s="4">
        <v>0</v>
      </c>
      <c r="F128" s="4">
        <v>1.8770460449239119E-4</v>
      </c>
      <c r="G128" s="4">
        <v>0</v>
      </c>
      <c r="H128" s="4">
        <v>1.0045527047378124E-4</v>
      </c>
      <c r="I128" s="4"/>
      <c r="J128" s="4"/>
    </row>
    <row r="129" spans="1:10">
      <c r="A129" s="29" t="s">
        <v>357</v>
      </c>
      <c r="B129" s="4">
        <v>0</v>
      </c>
      <c r="C129" s="10">
        <v>0</v>
      </c>
      <c r="D129" s="4">
        <v>0</v>
      </c>
      <c r="E129" s="4">
        <v>0</v>
      </c>
      <c r="F129" s="4">
        <v>0</v>
      </c>
      <c r="G129" s="4">
        <v>0</v>
      </c>
      <c r="H129" s="4">
        <v>0</v>
      </c>
      <c r="I129" s="4"/>
      <c r="J129" s="4"/>
    </row>
    <row r="130" spans="1:10">
      <c r="A130" s="29" t="s">
        <v>358</v>
      </c>
      <c r="B130" s="4">
        <v>1.3398889809530629E-3</v>
      </c>
      <c r="C130" s="10">
        <v>2.2717890474627386E-4</v>
      </c>
      <c r="D130" s="4">
        <v>1.7618468584030487E-4</v>
      </c>
      <c r="E130" s="4">
        <v>8.7163245541074376E-5</v>
      </c>
      <c r="F130" s="4">
        <v>1.5106445003382435E-4</v>
      </c>
      <c r="G130" s="4">
        <v>8.9021440299230507E-5</v>
      </c>
      <c r="H130" s="4">
        <v>4.6479977073941652E-4</v>
      </c>
      <c r="I130" s="4"/>
      <c r="J130" s="4"/>
    </row>
    <row r="131" spans="1:10">
      <c r="A131" s="29" t="s">
        <v>359</v>
      </c>
      <c r="B131" s="4">
        <v>0</v>
      </c>
      <c r="C131" s="10">
        <v>0</v>
      </c>
      <c r="D131" s="4">
        <v>0</v>
      </c>
      <c r="E131" s="4">
        <v>0</v>
      </c>
      <c r="F131" s="4">
        <v>0</v>
      </c>
      <c r="G131" s="4">
        <v>0</v>
      </c>
      <c r="H131" s="4">
        <v>0</v>
      </c>
      <c r="I131" s="4"/>
      <c r="J131" s="4"/>
    </row>
    <row r="132" spans="1:10">
      <c r="A132" s="29" t="s">
        <v>360</v>
      </c>
      <c r="B132" s="4">
        <v>8.868666217347462E-4</v>
      </c>
      <c r="C132" s="10">
        <v>4.0977691806162866E-4</v>
      </c>
      <c r="D132" s="4">
        <v>3.3820533993863259E-4</v>
      </c>
      <c r="E132" s="4">
        <v>2.9240033399071758E-4</v>
      </c>
      <c r="F132" s="4">
        <v>0</v>
      </c>
      <c r="G132" s="4">
        <v>7.2131649857514959E-5</v>
      </c>
      <c r="H132" s="4">
        <v>1.6334532315025408E-4</v>
      </c>
      <c r="I132" s="4"/>
      <c r="J132" s="4"/>
    </row>
    <row r="133" spans="1:10">
      <c r="A133" s="29" t="s">
        <v>361</v>
      </c>
      <c r="B133" s="4">
        <v>1.928866771209532E-3</v>
      </c>
      <c r="C133" s="10">
        <v>3.991489247378135E-4</v>
      </c>
      <c r="D133" s="4">
        <v>8.4824558319707578E-5</v>
      </c>
      <c r="E133" s="4">
        <v>1.6620887871842516E-4</v>
      </c>
      <c r="F133" s="4">
        <v>1.0314464524549902E-3</v>
      </c>
      <c r="G133" s="4">
        <v>3.9778904040424344E-4</v>
      </c>
      <c r="H133" s="4">
        <v>1.8573984951186163E-4</v>
      </c>
      <c r="I133" s="4"/>
      <c r="J133" s="4"/>
    </row>
    <row r="134" spans="1:10">
      <c r="A134" s="29" t="s">
        <v>362</v>
      </c>
      <c r="B134" s="4">
        <v>6.9012641104974459E-4</v>
      </c>
      <c r="C134" s="10">
        <v>5.7506711333314773E-4</v>
      </c>
      <c r="D134" s="4">
        <v>2.066758287816263E-4</v>
      </c>
      <c r="E134" s="4">
        <v>0</v>
      </c>
      <c r="F134" s="4">
        <v>0</v>
      </c>
      <c r="G134" s="4">
        <v>0</v>
      </c>
      <c r="H134" s="4">
        <v>0</v>
      </c>
      <c r="I134" s="4"/>
      <c r="J134" s="4"/>
    </row>
    <row r="135" spans="1:10">
      <c r="A135" s="29" t="s">
        <v>363</v>
      </c>
      <c r="B135" s="4">
        <v>1.3307540676824536E-3</v>
      </c>
      <c r="C135" s="10">
        <v>1.0224578293814151E-4</v>
      </c>
      <c r="D135" s="4">
        <v>1.0317110098407385E-4</v>
      </c>
      <c r="E135" s="4">
        <v>0</v>
      </c>
      <c r="F135" s="4">
        <v>2.7468634748838318E-4</v>
      </c>
      <c r="G135" s="4">
        <v>1.1776687028808409E-4</v>
      </c>
      <c r="H135" s="4">
        <v>0</v>
      </c>
      <c r="I135" s="4"/>
      <c r="J135" s="4"/>
    </row>
    <row r="136" spans="1:10">
      <c r="A136" s="29" t="s">
        <v>364</v>
      </c>
      <c r="B136" s="4">
        <v>2.4428919905753719E-2</v>
      </c>
      <c r="C136" s="10">
        <v>4.6176086969023662E-3</v>
      </c>
      <c r="D136" s="4">
        <v>2.9488985699582171E-3</v>
      </c>
      <c r="E136" s="4">
        <v>7.5859756910429928E-3</v>
      </c>
      <c r="F136" s="4">
        <v>3.1024728297061E-3</v>
      </c>
      <c r="G136" s="4">
        <v>2.2109302008519027E-3</v>
      </c>
      <c r="H136" s="4">
        <v>2.7047137993996095E-3</v>
      </c>
      <c r="I136" s="4"/>
      <c r="J136" s="4"/>
    </row>
    <row r="137" spans="1:10">
      <c r="A137" s="29" t="s">
        <v>365</v>
      </c>
      <c r="B137" s="4">
        <v>9.3920697997808094E-5</v>
      </c>
      <c r="C137" s="10">
        <v>9.3920697997808094E-5</v>
      </c>
      <c r="D137" s="4">
        <v>0</v>
      </c>
      <c r="E137" s="4">
        <v>0</v>
      </c>
      <c r="F137" s="4">
        <v>0</v>
      </c>
      <c r="G137" s="4">
        <v>0</v>
      </c>
      <c r="H137" s="4">
        <v>0</v>
      </c>
      <c r="I137" s="4"/>
      <c r="J137" s="4"/>
    </row>
    <row r="138" spans="1:10">
      <c r="A138" s="29" t="s">
        <v>366</v>
      </c>
      <c r="B138" s="4">
        <v>3.5202012008114444E-4</v>
      </c>
      <c r="C138" s="10">
        <v>1.6819282027468366E-4</v>
      </c>
      <c r="D138" s="4">
        <v>0</v>
      </c>
      <c r="E138" s="4">
        <v>8.9852466384788556E-5</v>
      </c>
      <c r="F138" s="4">
        <v>2.7367976619124937E-4</v>
      </c>
      <c r="G138" s="4">
        <v>0</v>
      </c>
      <c r="H138" s="4">
        <v>1.1505929771659694E-4</v>
      </c>
      <c r="I138" s="4"/>
      <c r="J138" s="4"/>
    </row>
    <row r="139" spans="1:10">
      <c r="A139" s="29" t="s">
        <v>367</v>
      </c>
      <c r="B139" s="4">
        <v>7.4695734778501815E-3</v>
      </c>
      <c r="C139" s="10">
        <v>3.1209508443933252E-3</v>
      </c>
      <c r="D139" s="4">
        <v>1.3177567065782993E-3</v>
      </c>
      <c r="E139" s="4">
        <v>8.6015039592375457E-4</v>
      </c>
      <c r="F139" s="4">
        <v>1.5956585184076667E-4</v>
      </c>
      <c r="G139" s="4">
        <v>4.709753818590871E-4</v>
      </c>
      <c r="H139" s="4">
        <v>1.3729756098582232E-3</v>
      </c>
      <c r="I139" s="4"/>
      <c r="J139" s="4"/>
    </row>
    <row r="140" spans="1:10">
      <c r="A140" s="29" t="s">
        <v>368</v>
      </c>
      <c r="B140" s="4">
        <v>1.2098557270598686E-3</v>
      </c>
      <c r="C140" s="10">
        <v>5.2518882513284736E-4</v>
      </c>
      <c r="D140" s="4">
        <v>0</v>
      </c>
      <c r="E140" s="4">
        <v>9.3256739793588114E-5</v>
      </c>
      <c r="F140" s="4">
        <v>6.0356032047621648E-4</v>
      </c>
      <c r="G140" s="4">
        <v>7.1904258553366455E-5</v>
      </c>
      <c r="H140" s="4">
        <v>8.2244848085706663E-5</v>
      </c>
      <c r="I140" s="4"/>
      <c r="J140" s="4"/>
    </row>
    <row r="141" spans="1:10">
      <c r="A141" s="29" t="s">
        <v>369</v>
      </c>
      <c r="B141" s="4">
        <v>0</v>
      </c>
      <c r="C141" s="10">
        <v>0</v>
      </c>
      <c r="D141" s="4">
        <v>0</v>
      </c>
      <c r="E141" s="4">
        <v>0</v>
      </c>
      <c r="F141" s="4">
        <v>0</v>
      </c>
      <c r="G141" s="4">
        <v>0</v>
      </c>
      <c r="H141" s="4">
        <v>0</v>
      </c>
      <c r="I141" s="4"/>
      <c r="J141" s="4"/>
    </row>
    <row r="142" spans="1:10">
      <c r="A142" s="29" t="s">
        <v>370</v>
      </c>
      <c r="B142" s="4">
        <v>2.4397752654069797E-2</v>
      </c>
      <c r="C142" s="10">
        <v>1.3753908248484787E-2</v>
      </c>
      <c r="D142" s="4">
        <v>3.1396008041887601E-3</v>
      </c>
      <c r="E142" s="4">
        <v>1.5080276123090744E-3</v>
      </c>
      <c r="F142" s="4">
        <v>1.7672388477415707E-3</v>
      </c>
      <c r="G142" s="4">
        <v>4.1615481477675995E-3</v>
      </c>
      <c r="H142" s="4">
        <v>1.8974107126824929E-3</v>
      </c>
      <c r="I142" s="4"/>
      <c r="J142" s="4"/>
    </row>
    <row r="143" spans="1:10">
      <c r="A143" s="29" t="s">
        <v>371</v>
      </c>
      <c r="B143" s="4">
        <v>1.4675023790001152E-3</v>
      </c>
      <c r="C143" s="10">
        <v>2.5085639259710401E-4</v>
      </c>
      <c r="D143" s="4">
        <v>0</v>
      </c>
      <c r="E143" s="4">
        <v>5.4751660252544618E-5</v>
      </c>
      <c r="F143" s="4">
        <v>8.2236701062055986E-5</v>
      </c>
      <c r="G143" s="4">
        <v>1.2044804035915045E-4</v>
      </c>
      <c r="H143" s="4">
        <v>0</v>
      </c>
      <c r="I143" s="4"/>
      <c r="J143" s="4"/>
    </row>
    <row r="144" spans="1:10">
      <c r="A144" s="29" t="s">
        <v>372</v>
      </c>
      <c r="B144" s="4">
        <v>0</v>
      </c>
      <c r="C144" s="10">
        <v>0</v>
      </c>
      <c r="D144" s="4">
        <v>0</v>
      </c>
      <c r="E144" s="4">
        <v>0</v>
      </c>
      <c r="F144" s="4">
        <v>0</v>
      </c>
      <c r="G144" s="4">
        <v>0</v>
      </c>
      <c r="H144" s="4">
        <v>0</v>
      </c>
      <c r="I144" s="4"/>
      <c r="J144" s="4"/>
    </row>
    <row r="145" spans="1:10">
      <c r="A145" s="29" t="s">
        <v>373</v>
      </c>
      <c r="B145" s="4">
        <v>1.1174431731788604E-3</v>
      </c>
      <c r="C145" s="10">
        <v>4.4533035894739727E-4</v>
      </c>
      <c r="D145" s="4">
        <v>8.7439915090390779E-5</v>
      </c>
      <c r="E145" s="4">
        <v>7.067661075272369E-5</v>
      </c>
      <c r="F145" s="4">
        <v>0</v>
      </c>
      <c r="G145" s="4">
        <v>0</v>
      </c>
      <c r="H145" s="4">
        <v>2.4754550134182445E-4</v>
      </c>
      <c r="I145" s="4"/>
      <c r="J145" s="4"/>
    </row>
    <row r="146" spans="1:10">
      <c r="A146" s="29" t="s">
        <v>374</v>
      </c>
      <c r="B146" s="4">
        <v>6.8049866198855629E-4</v>
      </c>
      <c r="C146" s="10">
        <v>2.0523043475635707E-4</v>
      </c>
      <c r="D146" s="4">
        <v>1.1616660488184962E-4</v>
      </c>
      <c r="E146" s="4">
        <v>0</v>
      </c>
      <c r="F146" s="4">
        <v>0</v>
      </c>
      <c r="G146" s="4">
        <v>0</v>
      </c>
      <c r="H146" s="4">
        <v>0</v>
      </c>
      <c r="I146" s="4"/>
      <c r="J146" s="4"/>
    </row>
    <row r="147" spans="1:10">
      <c r="A147" s="29" t="s">
        <v>375</v>
      </c>
      <c r="B147" s="4">
        <v>2.8498557653543473E-3</v>
      </c>
      <c r="C147" s="10">
        <v>3.2379820870114646E-4</v>
      </c>
      <c r="D147" s="4">
        <v>2.0745237605485593E-4</v>
      </c>
      <c r="E147" s="4">
        <v>1.68867197425086E-4</v>
      </c>
      <c r="F147" s="4">
        <v>2.0103613458302295E-3</v>
      </c>
      <c r="G147" s="4">
        <v>1.987172500423146E-4</v>
      </c>
      <c r="H147" s="4">
        <v>7.7250666360056659E-5</v>
      </c>
      <c r="I147" s="4"/>
      <c r="J147" s="4"/>
    </row>
    <row r="148" spans="1:10">
      <c r="A148" s="29" t="s">
        <v>376</v>
      </c>
      <c r="B148" s="4">
        <v>1.8452009474456586E-3</v>
      </c>
      <c r="C148" s="10">
        <v>2.7305138290572081E-4</v>
      </c>
      <c r="D148" s="4">
        <v>6.0867269857041504E-4</v>
      </c>
      <c r="E148" s="4">
        <v>1.8286920619553265E-4</v>
      </c>
      <c r="F148" s="4">
        <v>2.7018742637725649E-4</v>
      </c>
      <c r="G148" s="4">
        <v>2.6184099941190339E-4</v>
      </c>
      <c r="H148" s="4">
        <v>1.6914424230434256E-4</v>
      </c>
      <c r="I148" s="4"/>
      <c r="J148" s="4"/>
    </row>
    <row r="149" spans="1:10">
      <c r="A149" s="29" t="s">
        <v>377</v>
      </c>
      <c r="B149" s="4">
        <v>7.5307802628017976E-3</v>
      </c>
      <c r="C149" s="10">
        <v>1.9119300010665883E-3</v>
      </c>
      <c r="D149" s="4">
        <v>1.1515562957198017E-3</v>
      </c>
      <c r="E149" s="4">
        <v>6.4070305849302711E-4</v>
      </c>
      <c r="F149" s="4">
        <v>1.7123678678350614E-4</v>
      </c>
      <c r="G149" s="4">
        <v>1.7495677441877871E-4</v>
      </c>
      <c r="H149" s="4">
        <v>3.5178626780783735E-3</v>
      </c>
      <c r="I149" s="4"/>
      <c r="J149" s="4"/>
    </row>
    <row r="150" spans="1:10">
      <c r="A150" s="29" t="s">
        <v>378</v>
      </c>
      <c r="B150" s="4">
        <v>4.705421967760496E-2</v>
      </c>
      <c r="C150" s="10">
        <v>3.8075498013626806E-3</v>
      </c>
      <c r="D150" s="4">
        <v>4.8407946213728679E-3</v>
      </c>
      <c r="E150" s="4">
        <v>3.4246140606459356E-3</v>
      </c>
      <c r="F150" s="4">
        <v>1.7058808790236771E-3</v>
      </c>
      <c r="G150" s="4">
        <v>3.0530528902219783E-3</v>
      </c>
      <c r="H150" s="4">
        <v>4.2627042361768844E-3</v>
      </c>
      <c r="I150" s="4"/>
      <c r="J150" s="4"/>
    </row>
    <row r="151" spans="1:10">
      <c r="A151" s="29" t="s">
        <v>379</v>
      </c>
      <c r="B151" s="4">
        <v>8.0875617552147029E-4</v>
      </c>
      <c r="C151" s="10">
        <v>1.7454058591361382E-4</v>
      </c>
      <c r="D151" s="4">
        <v>0</v>
      </c>
      <c r="E151" s="4">
        <v>1.1505929771659694E-4</v>
      </c>
      <c r="F151" s="4">
        <v>0</v>
      </c>
      <c r="G151" s="4">
        <v>1.1505929771659694E-4</v>
      </c>
      <c r="H151" s="4">
        <v>4.4760122300386483E-4</v>
      </c>
      <c r="I151" s="4"/>
      <c r="J151" s="4"/>
    </row>
    <row r="152" spans="1:10">
      <c r="A152" s="29" t="s">
        <v>380</v>
      </c>
      <c r="B152" s="4">
        <v>2.3953245896169375E-4</v>
      </c>
      <c r="C152" s="10">
        <v>0</v>
      </c>
      <c r="D152" s="4">
        <v>0</v>
      </c>
      <c r="E152" s="4">
        <v>0</v>
      </c>
      <c r="F152" s="4">
        <v>0</v>
      </c>
      <c r="G152" s="4">
        <v>9.3909800438527293E-5</v>
      </c>
      <c r="H152" s="4">
        <v>0</v>
      </c>
      <c r="I152" s="4"/>
      <c r="J152" s="4"/>
    </row>
    <row r="153" spans="1:10">
      <c r="A153" s="29" t="s">
        <v>381</v>
      </c>
      <c r="B153" s="4">
        <v>3.3099709487838616E-3</v>
      </c>
      <c r="C153" s="10">
        <v>6.199932009627755E-4</v>
      </c>
      <c r="D153" s="4">
        <v>8.5897974790174409E-5</v>
      </c>
      <c r="E153" s="4">
        <v>1.4110990439174886E-3</v>
      </c>
      <c r="F153" s="4">
        <v>7.1520732651586896E-4</v>
      </c>
      <c r="G153" s="4">
        <v>6.7001177348198081E-4</v>
      </c>
      <c r="H153" s="4">
        <v>3.6909340062126931E-4</v>
      </c>
      <c r="I153" s="4"/>
      <c r="J153" s="4"/>
    </row>
    <row r="154" spans="1:10">
      <c r="A154" s="29" t="s">
        <v>382</v>
      </c>
      <c r="B154" s="4">
        <v>0</v>
      </c>
      <c r="C154" s="10">
        <v>0</v>
      </c>
      <c r="D154" s="4">
        <v>0</v>
      </c>
      <c r="E154" s="4">
        <v>0</v>
      </c>
      <c r="F154" s="4">
        <v>0</v>
      </c>
      <c r="G154" s="4">
        <v>0</v>
      </c>
      <c r="H154" s="4">
        <v>0</v>
      </c>
      <c r="I154" s="4"/>
      <c r="J154" s="4"/>
    </row>
    <row r="155" spans="1:10">
      <c r="A155" s="29" t="s">
        <v>383</v>
      </c>
      <c r="B155" s="4">
        <v>0</v>
      </c>
      <c r="C155" s="10">
        <v>0</v>
      </c>
      <c r="D155" s="4">
        <v>0</v>
      </c>
      <c r="E155" s="4">
        <v>0</v>
      </c>
      <c r="F155" s="4">
        <v>0</v>
      </c>
      <c r="G155" s="4">
        <v>0</v>
      </c>
      <c r="H155" s="4">
        <v>0</v>
      </c>
      <c r="I155" s="4"/>
      <c r="J155" s="4"/>
    </row>
    <row r="156" spans="1:10">
      <c r="A156" s="29" t="s">
        <v>384</v>
      </c>
      <c r="B156" s="4">
        <v>4.818830686953393E-4</v>
      </c>
      <c r="C156" s="10">
        <v>1.8859930946014511E-4</v>
      </c>
      <c r="D156" s="4">
        <v>0</v>
      </c>
      <c r="E156" s="4">
        <v>1.0349500142615495E-4</v>
      </c>
      <c r="F156" s="4">
        <v>9.9263087845756739E-5</v>
      </c>
      <c r="G156" s="4">
        <v>9.0525669963282502E-5</v>
      </c>
      <c r="H156" s="4">
        <v>8.5104308033990165E-5</v>
      </c>
      <c r="I156" s="4"/>
      <c r="J156" s="4"/>
    </row>
    <row r="157" spans="1:10">
      <c r="A157" s="29" t="s">
        <v>385</v>
      </c>
      <c r="B157" s="4">
        <v>2.8625265892844275E-2</v>
      </c>
      <c r="C157" s="10">
        <v>8.7063956924325451E-4</v>
      </c>
      <c r="D157" s="4">
        <v>1.0563395031640234E-3</v>
      </c>
      <c r="E157" s="4">
        <v>7.103441254700877E-3</v>
      </c>
      <c r="F157" s="4">
        <v>1.6850009521706035E-2</v>
      </c>
      <c r="G157" s="4">
        <v>1.6386345597931297E-3</v>
      </c>
      <c r="H157" s="4">
        <v>1.1597034034694347E-3</v>
      </c>
      <c r="I157" s="4"/>
      <c r="J157" s="4"/>
    </row>
    <row r="158" spans="1:10">
      <c r="A158" s="132"/>
      <c r="B158" s="159" t="s">
        <v>138</v>
      </c>
      <c r="C158" s="159"/>
      <c r="D158" s="159"/>
      <c r="E158" s="159"/>
      <c r="F158" s="159"/>
      <c r="G158" s="159"/>
      <c r="H158" s="159"/>
    </row>
    <row r="159" spans="1:10">
      <c r="A159" s="29" t="s">
        <v>244</v>
      </c>
      <c r="B159" s="39">
        <v>3925.5087381591643</v>
      </c>
      <c r="C159" s="11">
        <v>962.60999734605457</v>
      </c>
      <c r="D159" s="39">
        <v>1265.9669929121465</v>
      </c>
      <c r="E159" s="39">
        <v>0</v>
      </c>
      <c r="F159" s="39">
        <v>645.88257727909968</v>
      </c>
      <c r="G159" s="39">
        <v>1088.9731852125983</v>
      </c>
      <c r="H159" s="39">
        <v>455.9896887565252</v>
      </c>
    </row>
    <row r="160" spans="1:10">
      <c r="A160" s="29" t="s">
        <v>245</v>
      </c>
      <c r="B160" s="39">
        <v>15619.409011715423</v>
      </c>
      <c r="C160" s="11">
        <v>2287.5200181041801</v>
      </c>
      <c r="D160" s="39">
        <v>3058.7891395028832</v>
      </c>
      <c r="E160" s="39">
        <v>3028.5469299150514</v>
      </c>
      <c r="F160" s="39">
        <v>5219.949557778883</v>
      </c>
      <c r="G160" s="39">
        <v>3631.9801765443385</v>
      </c>
      <c r="H160" s="39">
        <v>2356.3095874126489</v>
      </c>
    </row>
    <row r="161" spans="1:8">
      <c r="A161" s="29" t="s">
        <v>246</v>
      </c>
      <c r="B161" s="39">
        <v>7041.2610824098638</v>
      </c>
      <c r="C161" s="11">
        <v>3430.0246217272038</v>
      </c>
      <c r="D161" s="39">
        <v>2125.6340039692323</v>
      </c>
      <c r="E161" s="39">
        <v>0</v>
      </c>
      <c r="F161" s="39">
        <v>1136.7977954007392</v>
      </c>
      <c r="G161" s="39">
        <v>981.6791912531761</v>
      </c>
      <c r="H161" s="39">
        <v>1070.8063876323604</v>
      </c>
    </row>
    <row r="162" spans="1:8">
      <c r="A162" s="29" t="s">
        <v>247</v>
      </c>
      <c r="B162" s="39">
        <v>50555.263990688632</v>
      </c>
      <c r="C162" s="11">
        <v>14530.781090721874</v>
      </c>
      <c r="D162" s="39">
        <v>10900.876321610845</v>
      </c>
      <c r="E162" s="39">
        <v>11218.320693711794</v>
      </c>
      <c r="F162" s="39">
        <v>9533.7024027454863</v>
      </c>
      <c r="G162" s="39">
        <v>10662.880965736937</v>
      </c>
      <c r="H162" s="39">
        <v>12384.070210551003</v>
      </c>
    </row>
    <row r="163" spans="1:8">
      <c r="A163" s="29" t="s">
        <v>248</v>
      </c>
      <c r="B163" s="39">
        <v>165992.48583882762</v>
      </c>
      <c r="C163" s="11">
        <v>98078.177059652706</v>
      </c>
      <c r="D163" s="39">
        <v>24810.015903295091</v>
      </c>
      <c r="E163" s="39">
        <v>15964.566208141832</v>
      </c>
      <c r="F163" s="39">
        <v>8204.2201824396234</v>
      </c>
      <c r="G163" s="39">
        <v>9658.8701976270295</v>
      </c>
      <c r="H163" s="39">
        <v>16430.445002554956</v>
      </c>
    </row>
    <row r="164" spans="1:8">
      <c r="A164" s="29" t="s">
        <v>249</v>
      </c>
      <c r="B164" s="39">
        <v>59685.733424302955</v>
      </c>
      <c r="C164" s="11">
        <v>14830.926656710317</v>
      </c>
      <c r="D164" s="39">
        <v>7965.2125888734336</v>
      </c>
      <c r="E164" s="39">
        <v>3949.5028355510512</v>
      </c>
      <c r="F164" s="39">
        <v>5082.5241015612628</v>
      </c>
      <c r="G164" s="39">
        <v>4947.4790305591869</v>
      </c>
      <c r="H164" s="39">
        <v>18030.35680285432</v>
      </c>
    </row>
    <row r="165" spans="1:8">
      <c r="A165" s="29" t="s">
        <v>250</v>
      </c>
      <c r="B165" s="39">
        <v>15130.920952786757</v>
      </c>
      <c r="C165" s="11">
        <v>6378.2756785753072</v>
      </c>
      <c r="D165" s="39">
        <v>1379.9912161653631</v>
      </c>
      <c r="E165" s="39">
        <v>3557.6014388818244</v>
      </c>
      <c r="F165" s="39">
        <v>1379.9912161653631</v>
      </c>
      <c r="G165" s="39">
        <v>416.01971352379371</v>
      </c>
      <c r="H165" s="39">
        <v>3958.3078670824716</v>
      </c>
    </row>
    <row r="166" spans="1:8">
      <c r="A166" s="29" t="s">
        <v>251</v>
      </c>
      <c r="B166" s="39">
        <v>192440.33602716628</v>
      </c>
      <c r="C166" s="11">
        <v>88878.881092338663</v>
      </c>
      <c r="D166" s="39">
        <v>31315.666771750606</v>
      </c>
      <c r="E166" s="39">
        <v>26597.503773035336</v>
      </c>
      <c r="F166" s="39">
        <v>11150.712620130997</v>
      </c>
      <c r="G166" s="39">
        <v>11392.108740457905</v>
      </c>
      <c r="H166" s="39">
        <v>32990.621975227266</v>
      </c>
    </row>
    <row r="167" spans="1:8">
      <c r="A167" s="29" t="s">
        <v>252</v>
      </c>
      <c r="B167" s="39">
        <v>1768.6402266851794</v>
      </c>
      <c r="C167" s="11">
        <v>416.01971352379371</v>
      </c>
      <c r="D167" s="39">
        <v>416.01971352379371</v>
      </c>
      <c r="E167" s="39">
        <v>416.01971352379371</v>
      </c>
      <c r="F167" s="39">
        <v>929.45139245970756</v>
      </c>
      <c r="G167" s="39">
        <v>929.45139245970756</v>
      </c>
      <c r="H167" s="39">
        <v>416.01971352379371</v>
      </c>
    </row>
    <row r="168" spans="1:8">
      <c r="A168" s="29" t="s">
        <v>253</v>
      </c>
      <c r="B168" s="39">
        <v>0</v>
      </c>
      <c r="C168" s="11">
        <v>0</v>
      </c>
      <c r="D168" s="39">
        <v>0</v>
      </c>
      <c r="E168" s="39">
        <v>0</v>
      </c>
      <c r="F168" s="39">
        <v>0</v>
      </c>
      <c r="G168" s="39">
        <v>0</v>
      </c>
      <c r="H168" s="39">
        <v>0</v>
      </c>
    </row>
    <row r="169" spans="1:8">
      <c r="A169" s="29" t="s">
        <v>254</v>
      </c>
      <c r="B169" s="39">
        <v>5491.4483945990914</v>
      </c>
      <c r="C169" s="11">
        <v>2178.0601298470701</v>
      </c>
      <c r="D169" s="39">
        <v>1527.1842767164262</v>
      </c>
      <c r="E169" s="39">
        <v>2407.0611784797784</v>
      </c>
      <c r="F169" s="39">
        <v>0</v>
      </c>
      <c r="G169" s="39">
        <v>1002.0373818863684</v>
      </c>
      <c r="H169" s="39">
        <v>0</v>
      </c>
    </row>
    <row r="170" spans="1:8">
      <c r="A170" s="29" t="s">
        <v>255</v>
      </c>
      <c r="B170" s="39">
        <v>0</v>
      </c>
      <c r="C170" s="11">
        <v>0</v>
      </c>
      <c r="D170" s="39">
        <v>0</v>
      </c>
      <c r="E170" s="39">
        <v>0</v>
      </c>
      <c r="F170" s="39">
        <v>0</v>
      </c>
      <c r="G170" s="39">
        <v>0</v>
      </c>
      <c r="H170" s="39">
        <v>0</v>
      </c>
    </row>
    <row r="171" spans="1:8">
      <c r="A171" s="29" t="s">
        <v>256</v>
      </c>
      <c r="B171" s="39">
        <v>0</v>
      </c>
      <c r="C171" s="11">
        <v>0</v>
      </c>
      <c r="D171" s="39">
        <v>0</v>
      </c>
      <c r="E171" s="39">
        <v>0</v>
      </c>
      <c r="F171" s="39">
        <v>0</v>
      </c>
      <c r="G171" s="39">
        <v>0</v>
      </c>
      <c r="H171" s="39">
        <v>0</v>
      </c>
    </row>
    <row r="172" spans="1:8">
      <c r="A172" s="29" t="s">
        <v>257</v>
      </c>
      <c r="B172" s="39">
        <v>412.69427939762943</v>
      </c>
      <c r="C172" s="11">
        <v>412.69427939762943</v>
      </c>
      <c r="D172" s="39">
        <v>0</v>
      </c>
      <c r="E172" s="39">
        <v>0</v>
      </c>
      <c r="F172" s="39">
        <v>0</v>
      </c>
      <c r="G172" s="39">
        <v>0</v>
      </c>
      <c r="H172" s="39">
        <v>0</v>
      </c>
    </row>
    <row r="173" spans="1:8">
      <c r="A173" s="29" t="s">
        <v>258</v>
      </c>
      <c r="B173" s="39">
        <v>0</v>
      </c>
      <c r="C173" s="11">
        <v>0</v>
      </c>
      <c r="D173" s="39">
        <v>0</v>
      </c>
      <c r="E173" s="39">
        <v>0</v>
      </c>
      <c r="F173" s="39">
        <v>0</v>
      </c>
      <c r="G173" s="39">
        <v>0</v>
      </c>
      <c r="H173" s="39">
        <v>0</v>
      </c>
    </row>
    <row r="174" spans="1:8">
      <c r="A174" s="29" t="s">
        <v>259</v>
      </c>
      <c r="B174" s="39">
        <v>669.99157484187026</v>
      </c>
      <c r="C174" s="11">
        <v>0</v>
      </c>
      <c r="D174" s="39">
        <v>0</v>
      </c>
      <c r="E174" s="39">
        <v>0</v>
      </c>
      <c r="F174" s="39">
        <v>669.99157484187026</v>
      </c>
      <c r="G174" s="39">
        <v>669.99157484187026</v>
      </c>
      <c r="H174" s="39">
        <v>0</v>
      </c>
    </row>
    <row r="175" spans="1:8">
      <c r="A175" s="29" t="s">
        <v>260</v>
      </c>
      <c r="B175" s="39">
        <v>1540.5715620485589</v>
      </c>
      <c r="C175" s="11">
        <v>0</v>
      </c>
      <c r="D175" s="39">
        <v>0</v>
      </c>
      <c r="E175" s="39">
        <v>1043.502283671462</v>
      </c>
      <c r="F175" s="39">
        <v>0</v>
      </c>
      <c r="G175" s="39">
        <v>497.06927837709685</v>
      </c>
      <c r="H175" s="39">
        <v>490.83959562658805</v>
      </c>
    </row>
    <row r="176" spans="1:8">
      <c r="A176" s="29" t="s">
        <v>261</v>
      </c>
      <c r="B176" s="39">
        <v>42045.617692988671</v>
      </c>
      <c r="C176" s="11">
        <v>30221.12051880834</v>
      </c>
      <c r="D176" s="39">
        <v>11693.06378666099</v>
      </c>
      <c r="E176" s="39">
        <v>1967.1544253606098</v>
      </c>
      <c r="F176" s="39">
        <v>0</v>
      </c>
      <c r="G176" s="39">
        <v>2073.1362055616228</v>
      </c>
      <c r="H176" s="39">
        <v>0</v>
      </c>
    </row>
    <row r="177" spans="1:8">
      <c r="A177" s="29" t="s">
        <v>262</v>
      </c>
      <c r="B177" s="39">
        <v>41700.758238403461</v>
      </c>
      <c r="C177" s="11">
        <v>5051.6958265782305</v>
      </c>
      <c r="D177" s="39">
        <v>2539.8044611920959</v>
      </c>
      <c r="E177" s="39">
        <v>15726.02282282562</v>
      </c>
      <c r="F177" s="39">
        <v>14625.839977765911</v>
      </c>
      <c r="G177" s="39">
        <v>10801.858170468591</v>
      </c>
      <c r="H177" s="39">
        <v>1091.5423428864037</v>
      </c>
    </row>
    <row r="178" spans="1:8">
      <c r="A178" s="29" t="s">
        <v>263</v>
      </c>
      <c r="B178" s="39">
        <v>0</v>
      </c>
      <c r="C178" s="11">
        <v>0</v>
      </c>
      <c r="D178" s="39">
        <v>0</v>
      </c>
      <c r="E178" s="39">
        <v>0</v>
      </c>
      <c r="F178" s="39">
        <v>0</v>
      </c>
      <c r="G178" s="39">
        <v>0</v>
      </c>
      <c r="H178" s="39">
        <v>0</v>
      </c>
    </row>
    <row r="179" spans="1:8">
      <c r="A179" s="29" t="s">
        <v>264</v>
      </c>
      <c r="B179" s="39">
        <v>113540.54050756485</v>
      </c>
      <c r="C179" s="11">
        <v>13864.715750639985</v>
      </c>
      <c r="D179" s="39">
        <v>16637.149679405768</v>
      </c>
      <c r="E179" s="39">
        <v>6600.5306131107754</v>
      </c>
      <c r="F179" s="39">
        <v>18209.029585024909</v>
      </c>
      <c r="G179" s="39">
        <v>8967.5545574700518</v>
      </c>
      <c r="H179" s="39">
        <v>15531.82913789448</v>
      </c>
    </row>
    <row r="180" spans="1:8">
      <c r="A180" s="29" t="s">
        <v>265</v>
      </c>
      <c r="B180" s="39">
        <v>6699.865609729387</v>
      </c>
      <c r="C180" s="11">
        <v>4368.1368472463782</v>
      </c>
      <c r="D180" s="39">
        <v>0</v>
      </c>
      <c r="E180" s="39">
        <v>556.60047443328006</v>
      </c>
      <c r="F180" s="39">
        <v>996.20426228825272</v>
      </c>
      <c r="G180" s="39">
        <v>1093.695395913935</v>
      </c>
      <c r="H180" s="39">
        <v>532.63627199166967</v>
      </c>
    </row>
    <row r="181" spans="1:8">
      <c r="A181" s="29" t="s">
        <v>266</v>
      </c>
      <c r="B181" s="39">
        <v>497.06927837709685</v>
      </c>
      <c r="C181" s="11">
        <v>0</v>
      </c>
      <c r="D181" s="39">
        <v>0</v>
      </c>
      <c r="E181" s="39">
        <v>0</v>
      </c>
      <c r="F181" s="39">
        <v>0</v>
      </c>
      <c r="G181" s="39">
        <v>0</v>
      </c>
      <c r="H181" s="39">
        <v>497.06927837709685</v>
      </c>
    </row>
    <row r="182" spans="1:8">
      <c r="A182" s="29" t="s">
        <v>267</v>
      </c>
      <c r="B182" s="39">
        <v>13450.456784097365</v>
      </c>
      <c r="C182" s="11">
        <v>1087.1226920986078</v>
      </c>
      <c r="D182" s="39">
        <v>457.55988059900858</v>
      </c>
      <c r="E182" s="39">
        <v>1009.0801153005197</v>
      </c>
      <c r="F182" s="39">
        <v>4491.4976863568945</v>
      </c>
      <c r="G182" s="39">
        <v>1114.418742344569</v>
      </c>
      <c r="H182" s="39">
        <v>944.45665312319875</v>
      </c>
    </row>
    <row r="183" spans="1:8">
      <c r="A183" s="29" t="s">
        <v>268</v>
      </c>
      <c r="B183" s="39">
        <v>3953.8725135406085</v>
      </c>
      <c r="C183" s="11">
        <v>513.67616105989055</v>
      </c>
      <c r="D183" s="39">
        <v>0</v>
      </c>
      <c r="E183" s="39">
        <v>0</v>
      </c>
      <c r="F183" s="39">
        <v>3440.1963524807179</v>
      </c>
      <c r="G183" s="39">
        <v>513.67616105989055</v>
      </c>
      <c r="H183" s="39">
        <v>2074.1972019958926</v>
      </c>
    </row>
    <row r="184" spans="1:8">
      <c r="A184" s="29" t="s">
        <v>269</v>
      </c>
      <c r="B184" s="39">
        <v>115913.84490726296</v>
      </c>
      <c r="C184" s="11">
        <v>65184.595435523348</v>
      </c>
      <c r="D184" s="39">
        <v>22281.838717044149</v>
      </c>
      <c r="E184" s="39">
        <v>14409.711790120418</v>
      </c>
      <c r="F184" s="39">
        <v>9565.4604385660805</v>
      </c>
      <c r="G184" s="39">
        <v>9952.7983959641388</v>
      </c>
      <c r="H184" s="39">
        <v>15458.436597294534</v>
      </c>
    </row>
    <row r="185" spans="1:8">
      <c r="A185" s="29" t="s">
        <v>270</v>
      </c>
      <c r="B185" s="39">
        <v>4041.1687403884703</v>
      </c>
      <c r="C185" s="11">
        <v>1895.2121696588672</v>
      </c>
      <c r="D185" s="39">
        <v>877.55758739245971</v>
      </c>
      <c r="E185" s="39">
        <v>0</v>
      </c>
      <c r="F185" s="39">
        <v>0</v>
      </c>
      <c r="G185" s="39">
        <v>0</v>
      </c>
      <c r="H185" s="39">
        <v>0</v>
      </c>
    </row>
    <row r="186" spans="1:8">
      <c r="A186" s="29" t="s">
        <v>271</v>
      </c>
      <c r="B186" s="39">
        <v>22426.117795889804</v>
      </c>
      <c r="C186" s="11">
        <v>1471.5447855778746</v>
      </c>
      <c r="D186" s="39">
        <v>499.19569836457885</v>
      </c>
      <c r="E186" s="39">
        <v>10744.604574394598</v>
      </c>
      <c r="F186" s="39">
        <v>9584.3069520137324</v>
      </c>
      <c r="G186" s="39">
        <v>1687.162939627601</v>
      </c>
      <c r="H186" s="39">
        <v>511.24677944313385</v>
      </c>
    </row>
    <row r="187" spans="1:8">
      <c r="A187" s="29" t="s">
        <v>272</v>
      </c>
      <c r="B187" s="39">
        <v>532.20996220221821</v>
      </c>
      <c r="C187" s="11">
        <v>0</v>
      </c>
      <c r="D187" s="39">
        <v>0</v>
      </c>
      <c r="E187" s="39">
        <v>532.20996220221821</v>
      </c>
      <c r="F187" s="39">
        <v>0</v>
      </c>
      <c r="G187" s="39">
        <v>0</v>
      </c>
      <c r="H187" s="39">
        <v>0</v>
      </c>
    </row>
    <row r="188" spans="1:8">
      <c r="A188" s="29" t="s">
        <v>273</v>
      </c>
      <c r="B188" s="39">
        <v>55157.418854373143</v>
      </c>
      <c r="C188" s="11">
        <v>3803.2400946730677</v>
      </c>
      <c r="D188" s="39">
        <v>5575.7199932150379</v>
      </c>
      <c r="E188" s="39">
        <v>10214.303140016005</v>
      </c>
      <c r="F188" s="39">
        <v>5589.1320366010987</v>
      </c>
      <c r="G188" s="39">
        <v>4135.5722805968398</v>
      </c>
      <c r="H188" s="39">
        <v>4034.2070236959339</v>
      </c>
    </row>
    <row r="189" spans="1:8">
      <c r="A189" s="29" t="s">
        <v>274</v>
      </c>
      <c r="B189" s="39">
        <v>40285.862974411495</v>
      </c>
      <c r="C189" s="11">
        <v>4650.5009970475321</v>
      </c>
      <c r="D189" s="39">
        <v>7552.1613627780562</v>
      </c>
      <c r="E189" s="39">
        <v>4250.4811256106459</v>
      </c>
      <c r="F189" s="39">
        <v>11217.557600820497</v>
      </c>
      <c r="G189" s="39">
        <v>3447.5837642117122</v>
      </c>
      <c r="H189" s="39">
        <v>6281.0091121387013</v>
      </c>
    </row>
    <row r="190" spans="1:8">
      <c r="A190" s="29" t="s">
        <v>275</v>
      </c>
      <c r="B190" s="39">
        <v>71491.815632234691</v>
      </c>
      <c r="C190" s="11">
        <v>4967.1512840354399</v>
      </c>
      <c r="D190" s="39">
        <v>13397.116571082306</v>
      </c>
      <c r="E190" s="39">
        <v>9009.8775210045897</v>
      </c>
      <c r="F190" s="39">
        <v>33371.293714756554</v>
      </c>
      <c r="G190" s="39">
        <v>3415.627803101363</v>
      </c>
      <c r="H190" s="39">
        <v>3222.340305984419</v>
      </c>
    </row>
    <row r="191" spans="1:8">
      <c r="A191" s="29" t="s">
        <v>276</v>
      </c>
      <c r="B191" s="39">
        <v>3067.0983473912115</v>
      </c>
      <c r="C191" s="11">
        <v>1012.0102508738307</v>
      </c>
      <c r="D191" s="39">
        <v>416.92878042528321</v>
      </c>
      <c r="E191" s="39">
        <v>0</v>
      </c>
      <c r="F191" s="39">
        <v>609.79176594058572</v>
      </c>
      <c r="G191" s="39">
        <v>0</v>
      </c>
      <c r="H191" s="39">
        <v>0</v>
      </c>
    </row>
    <row r="192" spans="1:8">
      <c r="A192" s="29" t="s">
        <v>277</v>
      </c>
      <c r="B192" s="39">
        <v>1006.2169432254532</v>
      </c>
      <c r="C192" s="11">
        <v>0</v>
      </c>
      <c r="D192" s="39">
        <v>0</v>
      </c>
      <c r="E192" s="39">
        <v>0</v>
      </c>
      <c r="F192" s="39">
        <v>499.19569836457885</v>
      </c>
      <c r="G192" s="39">
        <v>0</v>
      </c>
      <c r="H192" s="39">
        <v>0</v>
      </c>
    </row>
    <row r="193" spans="1:8">
      <c r="A193" s="29" t="s">
        <v>278</v>
      </c>
      <c r="B193" s="39">
        <v>3571.205961452521</v>
      </c>
      <c r="C193" s="11">
        <v>2680.6420496744377</v>
      </c>
      <c r="D193" s="39">
        <v>0</v>
      </c>
      <c r="E193" s="39">
        <v>0</v>
      </c>
      <c r="F193" s="39">
        <v>0</v>
      </c>
      <c r="G193" s="39">
        <v>0</v>
      </c>
      <c r="H193" s="39">
        <v>424.497457317684</v>
      </c>
    </row>
    <row r="194" spans="1:8">
      <c r="A194" s="29" t="s">
        <v>279</v>
      </c>
      <c r="B194" s="39">
        <v>1246.7729673189476</v>
      </c>
      <c r="C194" s="11">
        <v>878.22239569869282</v>
      </c>
      <c r="D194" s="39">
        <v>918.9832220424297</v>
      </c>
      <c r="E194" s="39">
        <v>0</v>
      </c>
      <c r="F194" s="39">
        <v>0</v>
      </c>
      <c r="G194" s="39">
        <v>0</v>
      </c>
      <c r="H194" s="39">
        <v>0</v>
      </c>
    </row>
    <row r="195" spans="1:8">
      <c r="A195" s="29" t="s">
        <v>280</v>
      </c>
      <c r="B195" s="39">
        <v>913.08899190089051</v>
      </c>
      <c r="C195" s="11">
        <v>416.01971352379371</v>
      </c>
      <c r="D195" s="39">
        <v>416.01971352379371</v>
      </c>
      <c r="E195" s="39">
        <v>416.01971352379371</v>
      </c>
      <c r="F195" s="39">
        <v>416.01971352379371</v>
      </c>
      <c r="G195" s="39">
        <v>416.01971352379371</v>
      </c>
      <c r="H195" s="39">
        <v>913.08899190089051</v>
      </c>
    </row>
    <row r="196" spans="1:8">
      <c r="A196" s="29" t="s">
        <v>281</v>
      </c>
      <c r="B196" s="39">
        <v>19747.776429232832</v>
      </c>
      <c r="C196" s="11">
        <v>4527.9984292054978</v>
      </c>
      <c r="D196" s="39">
        <v>2004.3388297554407</v>
      </c>
      <c r="E196" s="39">
        <v>922.49432776715048</v>
      </c>
      <c r="F196" s="39">
        <v>4900.1711515067354</v>
      </c>
      <c r="G196" s="39">
        <v>10446.95711423568</v>
      </c>
      <c r="H196" s="39">
        <v>497.06927837709685</v>
      </c>
    </row>
    <row r="197" spans="1:8">
      <c r="A197" s="29" t="s">
        <v>282</v>
      </c>
      <c r="B197" s="39">
        <v>5323.3740601507052</v>
      </c>
      <c r="C197" s="11">
        <v>596.90802760652321</v>
      </c>
      <c r="D197" s="39">
        <v>1036.3207802581351</v>
      </c>
      <c r="E197" s="39">
        <v>414.70823284372426</v>
      </c>
      <c r="F197" s="39">
        <v>1103.3793137115422</v>
      </c>
      <c r="G197" s="39">
        <v>911.77751122082111</v>
      </c>
      <c r="H197" s="39">
        <v>1600.4485920886389</v>
      </c>
    </row>
    <row r="198" spans="1:8">
      <c r="A198" s="29" t="s">
        <v>283</v>
      </c>
      <c r="B198" s="39">
        <v>3126.6854539272681</v>
      </c>
      <c r="C198" s="11">
        <v>978.50220638934707</v>
      </c>
      <c r="D198" s="39">
        <v>0</v>
      </c>
      <c r="E198" s="39">
        <v>559.33238068418552</v>
      </c>
      <c r="F198" s="39">
        <v>0</v>
      </c>
      <c r="G198" s="39">
        <v>931.23438856701364</v>
      </c>
      <c r="H198" s="39">
        <v>371.90200788282806</v>
      </c>
    </row>
    <row r="199" spans="1:8">
      <c r="A199" s="29" t="s">
        <v>284</v>
      </c>
      <c r="B199" s="39">
        <v>7028.1436542899064</v>
      </c>
      <c r="C199" s="11">
        <v>2477.6193338678968</v>
      </c>
      <c r="D199" s="39">
        <v>2625.5885146922114</v>
      </c>
      <c r="E199" s="39">
        <v>988.52015473998154</v>
      </c>
      <c r="F199" s="39">
        <v>0</v>
      </c>
      <c r="G199" s="39">
        <v>416.01971352379371</v>
      </c>
      <c r="H199" s="39">
        <v>0</v>
      </c>
    </row>
    <row r="200" spans="1:8">
      <c r="A200" s="29" t="s">
        <v>285</v>
      </c>
      <c r="B200" s="39">
        <v>743590.86983812344</v>
      </c>
      <c r="C200" s="11">
        <v>51210.870786218678</v>
      </c>
      <c r="D200" s="39">
        <v>29578.816490504905</v>
      </c>
      <c r="E200" s="39">
        <v>340513.26204320719</v>
      </c>
      <c r="F200" s="39">
        <v>184186.46383965531</v>
      </c>
      <c r="G200" s="39">
        <v>169172.39241561719</v>
      </c>
      <c r="H200" s="39">
        <v>19781.444266756218</v>
      </c>
    </row>
    <row r="201" spans="1:8">
      <c r="A201" s="29" t="s">
        <v>286</v>
      </c>
      <c r="B201" s="39">
        <v>0</v>
      </c>
      <c r="C201" s="11">
        <v>0</v>
      </c>
      <c r="D201" s="39">
        <v>0</v>
      </c>
      <c r="E201" s="39">
        <v>0</v>
      </c>
      <c r="F201" s="39">
        <v>0</v>
      </c>
      <c r="G201" s="39">
        <v>0</v>
      </c>
      <c r="H201" s="39">
        <v>0</v>
      </c>
    </row>
    <row r="202" spans="1:8">
      <c r="A202" s="29" t="s">
        <v>287</v>
      </c>
      <c r="B202" s="39">
        <v>4013.6126901712942</v>
      </c>
      <c r="C202" s="11">
        <v>982.81622406254564</v>
      </c>
      <c r="D202" s="39">
        <v>488.298505990558</v>
      </c>
      <c r="E202" s="39">
        <v>0</v>
      </c>
      <c r="F202" s="39">
        <v>0</v>
      </c>
      <c r="G202" s="39">
        <v>0</v>
      </c>
      <c r="H202" s="39">
        <v>1466.8062309695308</v>
      </c>
    </row>
    <row r="203" spans="1:8">
      <c r="A203" s="29" t="s">
        <v>288</v>
      </c>
      <c r="B203" s="39">
        <v>176190.62864300251</v>
      </c>
      <c r="C203" s="11">
        <v>78176.754109310772</v>
      </c>
      <c r="D203" s="39">
        <v>34047.224746395055</v>
      </c>
      <c r="E203" s="39">
        <v>20359.297428670496</v>
      </c>
      <c r="F203" s="39">
        <v>12985.110636779125</v>
      </c>
      <c r="G203" s="39">
        <v>12114.196148772467</v>
      </c>
      <c r="H203" s="39">
        <v>38776.401724575488</v>
      </c>
    </row>
    <row r="204" spans="1:8">
      <c r="A204" s="29" t="s">
        <v>289</v>
      </c>
      <c r="B204" s="39">
        <v>3778.4295534229759</v>
      </c>
      <c r="C204" s="11">
        <v>1656.1041989921459</v>
      </c>
      <c r="D204" s="39">
        <v>1069.5697195932846</v>
      </c>
      <c r="E204" s="39">
        <v>513.67616105989055</v>
      </c>
      <c r="F204" s="39">
        <v>0</v>
      </c>
      <c r="G204" s="39">
        <v>497.06927837709685</v>
      </c>
      <c r="H204" s="39">
        <v>1052.7556348375456</v>
      </c>
    </row>
    <row r="205" spans="1:8">
      <c r="A205" s="29" t="s">
        <v>290</v>
      </c>
      <c r="B205" s="39">
        <v>1513.6579433554148</v>
      </c>
      <c r="C205" s="11">
        <v>0</v>
      </c>
      <c r="D205" s="39">
        <v>522.10733234394013</v>
      </c>
      <c r="E205" s="39">
        <v>0</v>
      </c>
      <c r="F205" s="39">
        <v>0</v>
      </c>
      <c r="G205" s="39">
        <v>522.10733234394013</v>
      </c>
      <c r="H205" s="39">
        <v>0</v>
      </c>
    </row>
    <row r="206" spans="1:8">
      <c r="A206" s="29" t="s">
        <v>291</v>
      </c>
      <c r="B206" s="39">
        <v>2891.9045785611033</v>
      </c>
      <c r="C206" s="11">
        <v>0</v>
      </c>
      <c r="D206" s="39">
        <v>0</v>
      </c>
      <c r="E206" s="39">
        <v>1205.4839376722612</v>
      </c>
      <c r="F206" s="39">
        <v>632.98349645607323</v>
      </c>
      <c r="G206" s="39">
        <v>1686.4206408888419</v>
      </c>
      <c r="H206" s="39">
        <v>0</v>
      </c>
    </row>
    <row r="207" spans="1:8">
      <c r="A207" s="29" t="s">
        <v>292</v>
      </c>
      <c r="B207" s="39">
        <v>147168.61259006898</v>
      </c>
      <c r="C207" s="11">
        <v>91926.737312898782</v>
      </c>
      <c r="D207" s="39">
        <v>21876.560498806648</v>
      </c>
      <c r="E207" s="39">
        <v>8181.415301031996</v>
      </c>
      <c r="F207" s="39">
        <v>13217.127585121145</v>
      </c>
      <c r="G207" s="39">
        <v>15616.025583166767</v>
      </c>
      <c r="H207" s="39">
        <v>4505.0860395970394</v>
      </c>
    </row>
    <row r="208" spans="1:8">
      <c r="A208" s="29" t="s">
        <v>293</v>
      </c>
      <c r="B208" s="39">
        <v>490.83959562658805</v>
      </c>
      <c r="C208" s="11">
        <v>0</v>
      </c>
      <c r="D208" s="39">
        <v>0</v>
      </c>
      <c r="E208" s="39">
        <v>0</v>
      </c>
      <c r="F208" s="39">
        <v>490.83959562658805</v>
      </c>
      <c r="G208" s="39">
        <v>0</v>
      </c>
      <c r="H208" s="39">
        <v>0</v>
      </c>
    </row>
    <row r="209" spans="1:8">
      <c r="A209" s="29" t="s">
        <v>294</v>
      </c>
      <c r="B209" s="39">
        <v>0</v>
      </c>
      <c r="C209" s="11">
        <v>0</v>
      </c>
      <c r="D209" s="39">
        <v>0</v>
      </c>
      <c r="E209" s="39">
        <v>0</v>
      </c>
      <c r="F209" s="39">
        <v>0</v>
      </c>
      <c r="G209" s="39">
        <v>0</v>
      </c>
      <c r="H209" s="39">
        <v>0</v>
      </c>
    </row>
    <row r="210" spans="1:8">
      <c r="A210" s="29" t="s">
        <v>295</v>
      </c>
      <c r="B210" s="39">
        <v>21383.942021303847</v>
      </c>
      <c r="C210" s="11">
        <v>7139.7120750114691</v>
      </c>
      <c r="D210" s="39">
        <v>4160.5091171497643</v>
      </c>
      <c r="E210" s="39">
        <v>4974.290428391052</v>
      </c>
      <c r="F210" s="39">
        <v>5088.7004572368214</v>
      </c>
      <c r="G210" s="39">
        <v>3014.874965125322</v>
      </c>
      <c r="H210" s="39">
        <v>5196.0168010118759</v>
      </c>
    </row>
    <row r="211" spans="1:8">
      <c r="A211" s="29" t="s">
        <v>296</v>
      </c>
      <c r="B211" s="39">
        <v>2548.9464540301087</v>
      </c>
      <c r="C211" s="11">
        <v>0</v>
      </c>
      <c r="D211" s="39">
        <v>996.38027967828521</v>
      </c>
      <c r="E211" s="39">
        <v>0</v>
      </c>
      <c r="F211" s="39">
        <v>497.06927837709685</v>
      </c>
      <c r="G211" s="39">
        <v>497.06927837709685</v>
      </c>
      <c r="H211" s="39">
        <v>490.83959562658805</v>
      </c>
    </row>
    <row r="212" spans="1:8">
      <c r="A212" s="29" t="s">
        <v>297</v>
      </c>
      <c r="B212" s="39">
        <v>1650.9074729562335</v>
      </c>
      <c r="C212" s="11">
        <v>0</v>
      </c>
      <c r="D212" s="39">
        <v>535.76229204580602</v>
      </c>
      <c r="E212" s="39">
        <v>0</v>
      </c>
      <c r="F212" s="39">
        <v>535.76229204580602</v>
      </c>
      <c r="G212" s="39">
        <v>0</v>
      </c>
      <c r="H212" s="39">
        <v>535.76229204580602</v>
      </c>
    </row>
    <row r="213" spans="1:8">
      <c r="A213" s="29" t="s">
        <v>298</v>
      </c>
      <c r="B213" s="39">
        <v>21589.741112784966</v>
      </c>
      <c r="C213" s="11">
        <v>13232.748779063575</v>
      </c>
      <c r="D213" s="39">
        <v>2596.7253573650723</v>
      </c>
      <c r="E213" s="39">
        <v>445.54367121944733</v>
      </c>
      <c r="F213" s="39">
        <v>499.19569836457885</v>
      </c>
      <c r="G213" s="39">
        <v>557.18245565229938</v>
      </c>
      <c r="H213" s="39">
        <v>3268.0289266231975</v>
      </c>
    </row>
    <row r="214" spans="1:8">
      <c r="A214" s="29" t="s">
        <v>299</v>
      </c>
      <c r="B214" s="39">
        <v>2882.2365811495142</v>
      </c>
      <c r="C214" s="11">
        <v>1150.6744678195066</v>
      </c>
      <c r="D214" s="39">
        <v>1193.703319725143</v>
      </c>
      <c r="E214" s="39">
        <v>455.9896887565252</v>
      </c>
      <c r="F214" s="39">
        <v>0</v>
      </c>
      <c r="G214" s="39">
        <v>0</v>
      </c>
      <c r="H214" s="39">
        <v>0</v>
      </c>
    </row>
    <row r="215" spans="1:8">
      <c r="A215" s="29" t="s">
        <v>300</v>
      </c>
      <c r="B215" s="39">
        <v>1515.6927797956646</v>
      </c>
      <c r="C215" s="11">
        <v>0</v>
      </c>
      <c r="D215" s="39">
        <v>0</v>
      </c>
      <c r="E215" s="39">
        <v>1063.8643293580888</v>
      </c>
      <c r="F215" s="39">
        <v>451.82845043757595</v>
      </c>
      <c r="G215" s="39">
        <v>513.43167893591385</v>
      </c>
      <c r="H215" s="39">
        <v>0</v>
      </c>
    </row>
    <row r="216" spans="1:8">
      <c r="A216" s="29" t="s">
        <v>301</v>
      </c>
      <c r="B216" s="39">
        <v>455.9896887565252</v>
      </c>
      <c r="C216" s="11">
        <v>455.9896887565252</v>
      </c>
      <c r="D216" s="39">
        <v>0</v>
      </c>
      <c r="E216" s="39">
        <v>0</v>
      </c>
      <c r="F216" s="39">
        <v>0</v>
      </c>
      <c r="G216" s="39">
        <v>455.9896887565252</v>
      </c>
      <c r="H216" s="39">
        <v>455.9896887565252</v>
      </c>
    </row>
    <row r="217" spans="1:8">
      <c r="A217" s="29" t="s">
        <v>302</v>
      </c>
      <c r="B217" s="39">
        <v>2523.0304435712405</v>
      </c>
      <c r="C217" s="11">
        <v>936.81556518766433</v>
      </c>
      <c r="D217" s="39">
        <v>0</v>
      </c>
      <c r="E217" s="39">
        <v>0</v>
      </c>
      <c r="F217" s="39">
        <v>518.22462675739837</v>
      </c>
      <c r="G217" s="39">
        <v>414.70823284372426</v>
      </c>
      <c r="H217" s="39">
        <v>0</v>
      </c>
    </row>
    <row r="218" spans="1:8">
      <c r="A218" s="29" t="s">
        <v>303</v>
      </c>
      <c r="B218" s="39">
        <v>2095.3624876837657</v>
      </c>
      <c r="C218" s="11">
        <v>0</v>
      </c>
      <c r="D218" s="39">
        <v>457.31578257264806</v>
      </c>
      <c r="E218" s="39">
        <v>457.31578257264806</v>
      </c>
      <c r="F218" s="39">
        <v>1638.0467051111173</v>
      </c>
      <c r="G218" s="39">
        <v>457.31578257264806</v>
      </c>
      <c r="H218" s="39">
        <v>0</v>
      </c>
    </row>
    <row r="219" spans="1:8">
      <c r="A219" s="29" t="s">
        <v>304</v>
      </c>
      <c r="B219" s="39">
        <v>1335.4319918326814</v>
      </c>
      <c r="C219" s="11">
        <v>878.11620926003343</v>
      </c>
      <c r="D219" s="39">
        <v>0</v>
      </c>
      <c r="E219" s="39">
        <v>494.9951982506152</v>
      </c>
      <c r="F219" s="39">
        <v>0</v>
      </c>
      <c r="G219" s="39">
        <v>0</v>
      </c>
      <c r="H219" s="39">
        <v>494.9951982506152</v>
      </c>
    </row>
    <row r="220" spans="1:8">
      <c r="A220" s="29" t="s">
        <v>305</v>
      </c>
      <c r="B220" s="39">
        <v>8545.7993055303268</v>
      </c>
      <c r="C220" s="11">
        <v>1575.2374258747113</v>
      </c>
      <c r="D220" s="39">
        <v>499.10656294312309</v>
      </c>
      <c r="E220" s="39">
        <v>1685.1911196298308</v>
      </c>
      <c r="F220" s="39">
        <v>5331.7688657062718</v>
      </c>
      <c r="G220" s="39">
        <v>499.10656294312309</v>
      </c>
      <c r="H220" s="39">
        <v>0</v>
      </c>
    </row>
    <row r="221" spans="1:8">
      <c r="A221" s="29" t="s">
        <v>306</v>
      </c>
      <c r="B221" s="39">
        <v>10513.549380246837</v>
      </c>
      <c r="C221" s="11">
        <v>3312.1886302365683</v>
      </c>
      <c r="D221" s="39">
        <v>2040.5811353264739</v>
      </c>
      <c r="E221" s="39">
        <v>1585.1449180864195</v>
      </c>
      <c r="F221" s="39">
        <v>3484.0987531512728</v>
      </c>
      <c r="G221" s="39">
        <v>2057.9782745946404</v>
      </c>
      <c r="H221" s="39">
        <v>1032.2283880003279</v>
      </c>
    </row>
    <row r="222" spans="1:8">
      <c r="A222" s="29" t="s">
        <v>307</v>
      </c>
      <c r="B222" s="39">
        <v>2183.7329295327563</v>
      </c>
      <c r="C222" s="11">
        <v>1612.3278480283075</v>
      </c>
      <c r="D222" s="39">
        <v>0</v>
      </c>
      <c r="E222" s="39">
        <v>0</v>
      </c>
      <c r="F222" s="39">
        <v>571.40508150444884</v>
      </c>
      <c r="G222" s="39">
        <v>0</v>
      </c>
      <c r="H222" s="39">
        <v>497.06927837709685</v>
      </c>
    </row>
    <row r="223" spans="1:8">
      <c r="A223" s="29" t="s">
        <v>308</v>
      </c>
      <c r="B223" s="39">
        <v>0</v>
      </c>
      <c r="C223" s="11">
        <v>0</v>
      </c>
      <c r="D223" s="39">
        <v>0</v>
      </c>
      <c r="E223" s="39">
        <v>0</v>
      </c>
      <c r="F223" s="39">
        <v>0</v>
      </c>
      <c r="G223" s="39">
        <v>0</v>
      </c>
      <c r="H223" s="39">
        <v>0</v>
      </c>
    </row>
    <row r="224" spans="1:8">
      <c r="A224" s="29" t="s">
        <v>309</v>
      </c>
      <c r="B224" s="39">
        <v>571.40508150444884</v>
      </c>
      <c r="C224" s="11">
        <v>571.40508150444884</v>
      </c>
      <c r="D224" s="39">
        <v>0</v>
      </c>
      <c r="E224" s="39">
        <v>0</v>
      </c>
      <c r="F224" s="39">
        <v>0</v>
      </c>
      <c r="G224" s="39">
        <v>0</v>
      </c>
      <c r="H224" s="39">
        <v>0</v>
      </c>
    </row>
    <row r="225" spans="1:8">
      <c r="A225" s="29" t="s">
        <v>310</v>
      </c>
      <c r="B225" s="39">
        <v>484.78434233267041</v>
      </c>
      <c r="C225" s="11">
        <v>0</v>
      </c>
      <c r="D225" s="39">
        <v>0</v>
      </c>
      <c r="E225" s="39">
        <v>0</v>
      </c>
      <c r="F225" s="39">
        <v>484.78434233267041</v>
      </c>
      <c r="G225" s="39">
        <v>0</v>
      </c>
      <c r="H225" s="39">
        <v>0</v>
      </c>
    </row>
    <row r="226" spans="1:8">
      <c r="A226" s="29" t="s">
        <v>311</v>
      </c>
      <c r="B226" s="39">
        <v>5710.306670144706</v>
      </c>
      <c r="C226" s="11">
        <v>3004.8588473530576</v>
      </c>
      <c r="D226" s="39">
        <v>0</v>
      </c>
      <c r="E226" s="39">
        <v>0</v>
      </c>
      <c r="F226" s="39">
        <v>0</v>
      </c>
      <c r="G226" s="39">
        <v>1657.751834257155</v>
      </c>
      <c r="H226" s="39">
        <v>2548.5448456032559</v>
      </c>
    </row>
    <row r="227" spans="1:8">
      <c r="A227" s="29" t="s">
        <v>312</v>
      </c>
      <c r="B227" s="39">
        <v>0</v>
      </c>
      <c r="C227" s="11">
        <v>0</v>
      </c>
      <c r="D227" s="39">
        <v>0</v>
      </c>
      <c r="E227" s="39">
        <v>0</v>
      </c>
      <c r="F227" s="39">
        <v>0</v>
      </c>
      <c r="G227" s="39">
        <v>0</v>
      </c>
      <c r="H227" s="39">
        <v>0</v>
      </c>
    </row>
    <row r="228" spans="1:8">
      <c r="A228" s="29" t="s">
        <v>313</v>
      </c>
      <c r="B228" s="39">
        <v>3464.0857683971635</v>
      </c>
      <c r="C228" s="11">
        <v>866.77467706785797</v>
      </c>
      <c r="D228" s="39">
        <v>0</v>
      </c>
      <c r="E228" s="39">
        <v>513.43167893591385</v>
      </c>
      <c r="F228" s="39">
        <v>0</v>
      </c>
      <c r="G228" s="39">
        <v>506.62030858952943</v>
      </c>
      <c r="H228" s="39">
        <v>1052.5111527135687</v>
      </c>
    </row>
    <row r="229" spans="1:8">
      <c r="A229" s="29" t="s">
        <v>314</v>
      </c>
      <c r="B229" s="39">
        <v>0</v>
      </c>
      <c r="C229" s="11">
        <v>0</v>
      </c>
      <c r="D229" s="39">
        <v>0</v>
      </c>
      <c r="E229" s="39">
        <v>0</v>
      </c>
      <c r="F229" s="39">
        <v>0</v>
      </c>
      <c r="G229" s="39">
        <v>0</v>
      </c>
      <c r="H229" s="39">
        <v>0</v>
      </c>
    </row>
    <row r="230" spans="1:8">
      <c r="A230" s="29" t="s">
        <v>315</v>
      </c>
      <c r="B230" s="39">
        <v>644.05183610281483</v>
      </c>
      <c r="C230" s="11">
        <v>644.05183610281483</v>
      </c>
      <c r="D230" s="39">
        <v>0</v>
      </c>
      <c r="E230" s="39">
        <v>0</v>
      </c>
      <c r="F230" s="39">
        <v>0</v>
      </c>
      <c r="G230" s="39">
        <v>0</v>
      </c>
      <c r="H230" s="39">
        <v>0</v>
      </c>
    </row>
    <row r="231" spans="1:8">
      <c r="A231" s="29" t="s">
        <v>316</v>
      </c>
      <c r="B231" s="39">
        <v>25353.392863659436</v>
      </c>
      <c r="C231" s="11">
        <v>3155.0359189667515</v>
      </c>
      <c r="D231" s="39">
        <v>5112.7092644056393</v>
      </c>
      <c r="E231" s="39">
        <v>5926.7377418834167</v>
      </c>
      <c r="F231" s="39">
        <v>6872.7508917239284</v>
      </c>
      <c r="G231" s="39">
        <v>6057.8022471924833</v>
      </c>
      <c r="H231" s="39">
        <v>1155.8093144904421</v>
      </c>
    </row>
    <row r="232" spans="1:8">
      <c r="A232" s="29" t="s">
        <v>317</v>
      </c>
      <c r="B232" s="39">
        <v>3338.824138900563</v>
      </c>
      <c r="C232" s="11">
        <v>1018.0441124356352</v>
      </c>
      <c r="D232" s="39">
        <v>0</v>
      </c>
      <c r="E232" s="39">
        <v>497.06927837709685</v>
      </c>
      <c r="F232" s="39">
        <v>1801.1712593965076</v>
      </c>
      <c r="G232" s="39">
        <v>595.03992990751055</v>
      </c>
      <c r="H232" s="39">
        <v>0</v>
      </c>
    </row>
    <row r="233" spans="1:8">
      <c r="A233" s="29" t="s">
        <v>318</v>
      </c>
      <c r="B233" s="39">
        <v>0</v>
      </c>
      <c r="C233" s="11">
        <v>0</v>
      </c>
      <c r="D233" s="39">
        <v>0</v>
      </c>
      <c r="E233" s="39">
        <v>0</v>
      </c>
      <c r="F233" s="39">
        <v>0</v>
      </c>
      <c r="G233" s="39">
        <v>0</v>
      </c>
      <c r="H233" s="39">
        <v>0</v>
      </c>
    </row>
    <row r="234" spans="1:8">
      <c r="A234" s="29" t="s">
        <v>319</v>
      </c>
      <c r="B234" s="39">
        <v>19617.247785245472</v>
      </c>
      <c r="C234" s="11">
        <v>5568.5855383154312</v>
      </c>
      <c r="D234" s="39">
        <v>3051.7375857858542</v>
      </c>
      <c r="E234" s="39">
        <v>5280.6804672523995</v>
      </c>
      <c r="F234" s="39">
        <v>4833.6459946930172</v>
      </c>
      <c r="G234" s="39">
        <v>1692.8844148524859</v>
      </c>
      <c r="H234" s="39">
        <v>1612.6251767502745</v>
      </c>
    </row>
    <row r="235" spans="1:8">
      <c r="A235" s="29" t="s">
        <v>320</v>
      </c>
      <c r="B235" s="39">
        <v>8448.9615371293585</v>
      </c>
      <c r="C235" s="11">
        <v>3882.3870848146425</v>
      </c>
      <c r="D235" s="39">
        <v>2351.3660434241524</v>
      </c>
      <c r="E235" s="39">
        <v>1002.6578164449613</v>
      </c>
      <c r="F235" s="39">
        <v>383.12101100941817</v>
      </c>
      <c r="G235" s="39">
        <v>532.63627199166967</v>
      </c>
      <c r="H235" s="39">
        <v>1002.6578164449613</v>
      </c>
    </row>
    <row r="236" spans="1:8">
      <c r="A236" s="29" t="s">
        <v>321</v>
      </c>
      <c r="B236" s="39">
        <v>3560.3488222347423</v>
      </c>
      <c r="C236" s="11">
        <v>499.31100130118836</v>
      </c>
      <c r="D236" s="39">
        <v>1195.8370612951148</v>
      </c>
      <c r="E236" s="39">
        <v>342.11955584837506</v>
      </c>
      <c r="F236" s="39">
        <v>525.84548645324446</v>
      </c>
      <c r="G236" s="39">
        <v>523.71174488327267</v>
      </c>
      <c r="H236" s="39">
        <v>0</v>
      </c>
    </row>
    <row r="237" spans="1:8">
      <c r="A237" s="29" t="s">
        <v>322</v>
      </c>
      <c r="B237" s="39">
        <v>1166.3197040452078</v>
      </c>
      <c r="C237" s="11">
        <v>0</v>
      </c>
      <c r="D237" s="39">
        <v>0</v>
      </c>
      <c r="E237" s="39">
        <v>0</v>
      </c>
      <c r="F237" s="39">
        <v>0</v>
      </c>
      <c r="G237" s="39">
        <v>0</v>
      </c>
      <c r="H237" s="39">
        <v>502.71452977203694</v>
      </c>
    </row>
    <row r="238" spans="1:8">
      <c r="A238" s="29" t="s">
        <v>323</v>
      </c>
      <c r="B238" s="39">
        <v>5235.7613821939358</v>
      </c>
      <c r="C238" s="11">
        <v>957.60520609009791</v>
      </c>
      <c r="D238" s="39">
        <v>0</v>
      </c>
      <c r="E238" s="39">
        <v>2195.2978270539929</v>
      </c>
      <c r="F238" s="39">
        <v>1601.2315032202564</v>
      </c>
      <c r="G238" s="39">
        <v>518.22462675739837</v>
      </c>
      <c r="H238" s="39">
        <v>0</v>
      </c>
    </row>
    <row r="239" spans="1:8">
      <c r="A239" s="29" t="s">
        <v>324</v>
      </c>
      <c r="B239" s="39">
        <v>126790.04837499662</v>
      </c>
      <c r="C239" s="11">
        <v>72901.701004435818</v>
      </c>
      <c r="D239" s="39">
        <v>25980.160617365062</v>
      </c>
      <c r="E239" s="39">
        <v>6183.3803309715449</v>
      </c>
      <c r="F239" s="39">
        <v>2989.2873996331086</v>
      </c>
      <c r="G239" s="39">
        <v>4916.1915822815754</v>
      </c>
      <c r="H239" s="39">
        <v>13784.597115601504</v>
      </c>
    </row>
    <row r="240" spans="1:8">
      <c r="A240" s="29" t="s">
        <v>325</v>
      </c>
      <c r="B240" s="39">
        <v>3414.7645583379735</v>
      </c>
      <c r="C240" s="11">
        <v>2074.1972019958926</v>
      </c>
      <c r="D240" s="39">
        <v>0</v>
      </c>
      <c r="E240" s="39">
        <v>0</v>
      </c>
      <c r="F240" s="39">
        <v>1340.567356342081</v>
      </c>
      <c r="G240" s="39">
        <v>0</v>
      </c>
      <c r="H240" s="39">
        <v>0</v>
      </c>
    </row>
    <row r="241" spans="1:8">
      <c r="A241" s="29" t="s">
        <v>326</v>
      </c>
      <c r="B241" s="39">
        <v>3920.3678788048924</v>
      </c>
      <c r="C241" s="11">
        <v>1846.1706768089998</v>
      </c>
      <c r="D241" s="39">
        <v>0</v>
      </c>
      <c r="E241" s="39">
        <v>0</v>
      </c>
      <c r="F241" s="39">
        <v>0</v>
      </c>
      <c r="G241" s="39">
        <v>0</v>
      </c>
      <c r="H241" s="39">
        <v>2074.1972019958926</v>
      </c>
    </row>
    <row r="242" spans="1:8">
      <c r="A242" s="29" t="s">
        <v>327</v>
      </c>
      <c r="B242" s="39">
        <v>0</v>
      </c>
      <c r="C242" s="11">
        <v>0</v>
      </c>
      <c r="D242" s="39">
        <v>0</v>
      </c>
      <c r="E242" s="39">
        <v>0</v>
      </c>
      <c r="F242" s="39">
        <v>0</v>
      </c>
      <c r="G242" s="39">
        <v>0</v>
      </c>
      <c r="H242" s="39">
        <v>0</v>
      </c>
    </row>
    <row r="243" spans="1:8">
      <c r="A243" s="29" t="s">
        <v>328</v>
      </c>
      <c r="B243" s="39">
        <v>0</v>
      </c>
      <c r="C243" s="11">
        <v>0</v>
      </c>
      <c r="D243" s="39">
        <v>0</v>
      </c>
      <c r="E243" s="39">
        <v>0</v>
      </c>
      <c r="F243" s="39">
        <v>0</v>
      </c>
      <c r="G243" s="39">
        <v>0</v>
      </c>
      <c r="H243" s="39">
        <v>0</v>
      </c>
    </row>
    <row r="244" spans="1:8">
      <c r="A244" s="29" t="s">
        <v>329</v>
      </c>
      <c r="B244" s="39">
        <v>2305.7078237247047</v>
      </c>
      <c r="C244" s="11">
        <v>936.81556518766433</v>
      </c>
      <c r="D244" s="39">
        <v>0</v>
      </c>
      <c r="E244" s="39">
        <v>0</v>
      </c>
      <c r="F244" s="39">
        <v>1368.8922585370401</v>
      </c>
      <c r="G244" s="39">
        <v>0</v>
      </c>
      <c r="H244" s="39">
        <v>0</v>
      </c>
    </row>
    <row r="245" spans="1:8">
      <c r="A245" s="29" t="s">
        <v>330</v>
      </c>
      <c r="B245" s="39">
        <v>0</v>
      </c>
      <c r="C245" s="11">
        <v>0</v>
      </c>
      <c r="D245" s="39">
        <v>0</v>
      </c>
      <c r="E245" s="39">
        <v>0</v>
      </c>
      <c r="F245" s="39">
        <v>0</v>
      </c>
      <c r="G245" s="39">
        <v>0</v>
      </c>
      <c r="H245" s="39">
        <v>0</v>
      </c>
    </row>
    <row r="246" spans="1:8">
      <c r="A246" s="29" t="s">
        <v>331</v>
      </c>
      <c r="B246" s="39">
        <v>489.22613750904748</v>
      </c>
      <c r="C246" s="11">
        <v>489.22613750904748</v>
      </c>
      <c r="D246" s="39">
        <v>0</v>
      </c>
      <c r="E246" s="39">
        <v>0</v>
      </c>
      <c r="F246" s="39">
        <v>0</v>
      </c>
      <c r="G246" s="39">
        <v>0</v>
      </c>
      <c r="H246" s="39">
        <v>0</v>
      </c>
    </row>
    <row r="247" spans="1:8">
      <c r="A247" s="29" t="s">
        <v>332</v>
      </c>
      <c r="B247" s="39">
        <v>360.61781302758351</v>
      </c>
      <c r="C247" s="11">
        <v>0</v>
      </c>
      <c r="D247" s="39">
        <v>360.61781302758351</v>
      </c>
      <c r="E247" s="39">
        <v>0</v>
      </c>
      <c r="F247" s="39">
        <v>0</v>
      </c>
      <c r="G247" s="39">
        <v>0</v>
      </c>
      <c r="H247" s="39">
        <v>0</v>
      </c>
    </row>
    <row r="248" spans="1:8">
      <c r="A248" s="29" t="s">
        <v>333</v>
      </c>
      <c r="B248" s="39">
        <v>383.12101100941817</v>
      </c>
      <c r="C248" s="11">
        <v>0</v>
      </c>
      <c r="D248" s="39">
        <v>0</v>
      </c>
      <c r="E248" s="39">
        <v>0</v>
      </c>
      <c r="F248" s="39">
        <v>383.12101100941817</v>
      </c>
      <c r="G248" s="39">
        <v>383.12101100941817</v>
      </c>
      <c r="H248" s="39">
        <v>0</v>
      </c>
    </row>
    <row r="249" spans="1:8">
      <c r="A249" s="29" t="s">
        <v>334</v>
      </c>
      <c r="B249" s="39">
        <v>28993.530491196241</v>
      </c>
      <c r="C249" s="11">
        <v>6199.8254079352264</v>
      </c>
      <c r="D249" s="39">
        <v>4485.9050687592908</v>
      </c>
      <c r="E249" s="39">
        <v>5516.7389804931008</v>
      </c>
      <c r="F249" s="39">
        <v>3202.0058295439953</v>
      </c>
      <c r="G249" s="39">
        <v>958.75284659193539</v>
      </c>
      <c r="H249" s="39">
        <v>2092.5706377803162</v>
      </c>
    </row>
    <row r="250" spans="1:8">
      <c r="A250" s="29" t="s">
        <v>335</v>
      </c>
      <c r="B250" s="39">
        <v>338068.61296662869</v>
      </c>
      <c r="C250" s="11">
        <v>3695.2392821911385</v>
      </c>
      <c r="D250" s="39">
        <v>2352.418639986146</v>
      </c>
      <c r="E250" s="39">
        <v>89981.122903606185</v>
      </c>
      <c r="F250" s="39">
        <v>227183.19749132922</v>
      </c>
      <c r="G250" s="39">
        <v>28997.92000639539</v>
      </c>
      <c r="H250" s="39">
        <v>5575.6926299626539</v>
      </c>
    </row>
    <row r="251" spans="1:8">
      <c r="A251" s="29" t="s">
        <v>336</v>
      </c>
      <c r="B251" s="39">
        <v>0</v>
      </c>
      <c r="C251" s="11">
        <v>0</v>
      </c>
      <c r="D251" s="39">
        <v>0</v>
      </c>
      <c r="E251" s="39">
        <v>0</v>
      </c>
      <c r="F251" s="39">
        <v>0</v>
      </c>
      <c r="G251" s="39">
        <v>0</v>
      </c>
      <c r="H251" s="39">
        <v>0</v>
      </c>
    </row>
    <row r="252" spans="1:8">
      <c r="A252" s="29" t="s">
        <v>337</v>
      </c>
      <c r="B252" s="39">
        <v>0</v>
      </c>
      <c r="C252" s="11">
        <v>0</v>
      </c>
      <c r="D252" s="39">
        <v>0</v>
      </c>
      <c r="E252" s="39">
        <v>0</v>
      </c>
      <c r="F252" s="39">
        <v>0</v>
      </c>
      <c r="G252" s="39">
        <v>0</v>
      </c>
      <c r="H252" s="39">
        <v>0</v>
      </c>
    </row>
    <row r="253" spans="1:8">
      <c r="A253" s="29" t="s">
        <v>338</v>
      </c>
      <c r="B253" s="39">
        <v>975.53219593222229</v>
      </c>
      <c r="C253" s="11">
        <v>467.7907630544529</v>
      </c>
      <c r="D253" s="39">
        <v>507.74143287776934</v>
      </c>
      <c r="E253" s="39">
        <v>0</v>
      </c>
      <c r="F253" s="39">
        <v>0</v>
      </c>
      <c r="G253" s="39">
        <v>0</v>
      </c>
      <c r="H253" s="39">
        <v>0</v>
      </c>
    </row>
    <row r="254" spans="1:8">
      <c r="A254" s="29" t="s">
        <v>339</v>
      </c>
      <c r="B254" s="39">
        <v>2554.1129617635283</v>
      </c>
      <c r="C254" s="11">
        <v>0</v>
      </c>
      <c r="D254" s="39">
        <v>596.90802760652321</v>
      </c>
      <c r="E254" s="39">
        <v>1057.0382020382467</v>
      </c>
      <c r="F254" s="39">
        <v>525.84548645324446</v>
      </c>
      <c r="G254" s="39">
        <v>900.16673211875832</v>
      </c>
      <c r="H254" s="39">
        <v>0</v>
      </c>
    </row>
    <row r="255" spans="1:8">
      <c r="A255" s="29" t="s">
        <v>340</v>
      </c>
      <c r="B255" s="39">
        <v>0</v>
      </c>
      <c r="C255" s="11">
        <v>0</v>
      </c>
      <c r="D255" s="39">
        <v>0</v>
      </c>
      <c r="E255" s="39">
        <v>0</v>
      </c>
      <c r="F255" s="39">
        <v>0</v>
      </c>
      <c r="G255" s="39">
        <v>0</v>
      </c>
      <c r="H255" s="39">
        <v>0</v>
      </c>
    </row>
    <row r="256" spans="1:8">
      <c r="A256" s="29" t="s">
        <v>341</v>
      </c>
      <c r="B256" s="39">
        <v>7691.5695901664776</v>
      </c>
      <c r="C256" s="11">
        <v>414.70823284372426</v>
      </c>
      <c r="D256" s="39">
        <v>0</v>
      </c>
      <c r="E256" s="39">
        <v>0</v>
      </c>
      <c r="F256" s="39">
        <v>1565.0326448986748</v>
      </c>
      <c r="G256" s="39">
        <v>0</v>
      </c>
      <c r="H256" s="39">
        <v>2675.0427147260734</v>
      </c>
    </row>
    <row r="257" spans="1:8">
      <c r="A257" s="29" t="s">
        <v>342</v>
      </c>
      <c r="B257" s="39">
        <v>0</v>
      </c>
      <c r="C257" s="11">
        <v>0</v>
      </c>
      <c r="D257" s="39">
        <v>0</v>
      </c>
      <c r="E257" s="39">
        <v>0</v>
      </c>
      <c r="F257" s="39">
        <v>0</v>
      </c>
      <c r="G257" s="39">
        <v>0</v>
      </c>
      <c r="H257" s="39">
        <v>0</v>
      </c>
    </row>
    <row r="258" spans="1:8">
      <c r="A258" s="29" t="s">
        <v>343</v>
      </c>
      <c r="B258" s="39">
        <v>875.85955655747455</v>
      </c>
      <c r="C258" s="11">
        <v>382.13386859376192</v>
      </c>
      <c r="D258" s="39">
        <v>0</v>
      </c>
      <c r="E258" s="39">
        <v>0</v>
      </c>
      <c r="F258" s="39">
        <v>0</v>
      </c>
      <c r="G258" s="39">
        <v>0</v>
      </c>
      <c r="H258" s="39">
        <v>0</v>
      </c>
    </row>
    <row r="259" spans="1:8">
      <c r="A259" s="29" t="s">
        <v>344</v>
      </c>
      <c r="B259" s="39">
        <v>2220.4762594905874</v>
      </c>
      <c r="C259" s="11">
        <v>0</v>
      </c>
      <c r="D259" s="39">
        <v>1713.8559509010579</v>
      </c>
      <c r="E259" s="39">
        <v>506.62030858952943</v>
      </c>
      <c r="F259" s="39">
        <v>0</v>
      </c>
      <c r="G259" s="39">
        <v>0</v>
      </c>
      <c r="H259" s="39">
        <v>0</v>
      </c>
    </row>
    <row r="260" spans="1:8">
      <c r="A260" s="29" t="s">
        <v>345</v>
      </c>
      <c r="B260" s="39">
        <v>991.50250793772557</v>
      </c>
      <c r="C260" s="11">
        <v>0</v>
      </c>
      <c r="D260" s="39">
        <v>0</v>
      </c>
      <c r="E260" s="39">
        <v>991.50250793772557</v>
      </c>
      <c r="F260" s="39">
        <v>0</v>
      </c>
      <c r="G260" s="39">
        <v>0</v>
      </c>
      <c r="H260" s="39">
        <v>0</v>
      </c>
    </row>
    <row r="261" spans="1:8">
      <c r="A261" s="29" t="s">
        <v>346</v>
      </c>
      <c r="B261" s="39">
        <v>7101.2984316533766</v>
      </c>
      <c r="C261" s="11">
        <v>3713.9489733181285</v>
      </c>
      <c r="D261" s="39">
        <v>2185.9059508843839</v>
      </c>
      <c r="E261" s="39">
        <v>914.90419615891926</v>
      </c>
      <c r="F261" s="39">
        <v>832.93274522303659</v>
      </c>
      <c r="G261" s="39">
        <v>1542.3104808017074</v>
      </c>
      <c r="H261" s="39">
        <v>1066.7672020402624</v>
      </c>
    </row>
    <row r="262" spans="1:8">
      <c r="A262" s="29" t="s">
        <v>347</v>
      </c>
      <c r="B262" s="39">
        <v>7458.5843835083306</v>
      </c>
      <c r="C262" s="11">
        <v>1990.5013786665418</v>
      </c>
      <c r="D262" s="39">
        <v>0</v>
      </c>
      <c r="E262" s="39">
        <v>1553.2666194583373</v>
      </c>
      <c r="F262" s="39">
        <v>513.67616105989055</v>
      </c>
      <c r="G262" s="39">
        <v>1061.7663197857401</v>
      </c>
      <c r="H262" s="39">
        <v>2274.1566436302633</v>
      </c>
    </row>
    <row r="263" spans="1:8">
      <c r="A263" s="29" t="s">
        <v>348</v>
      </c>
      <c r="B263" s="39">
        <v>5002.7551373356937</v>
      </c>
      <c r="C263" s="11">
        <v>2633.4927470726375</v>
      </c>
      <c r="D263" s="39">
        <v>0</v>
      </c>
      <c r="E263" s="39">
        <v>0</v>
      </c>
      <c r="F263" s="39">
        <v>1167.0608532189672</v>
      </c>
      <c r="G263" s="39">
        <v>497.06927837709685</v>
      </c>
      <c r="H263" s="39">
        <v>497.06927837709685</v>
      </c>
    </row>
    <row r="264" spans="1:8">
      <c r="A264" s="29" t="s">
        <v>349</v>
      </c>
      <c r="B264" s="39">
        <v>266858.09370638221</v>
      </c>
      <c r="C264" s="11">
        <v>40126.116699183869</v>
      </c>
      <c r="D264" s="39">
        <v>26412.032948491582</v>
      </c>
      <c r="E264" s="39">
        <v>37402.918441328438</v>
      </c>
      <c r="F264" s="39">
        <v>24662.47101669426</v>
      </c>
      <c r="G264" s="39">
        <v>25033.701087601425</v>
      </c>
      <c r="H264" s="39">
        <v>27678.399441014699</v>
      </c>
    </row>
    <row r="265" spans="1:8">
      <c r="A265" s="29" t="s">
        <v>350</v>
      </c>
      <c r="B265" s="39">
        <v>11692.513621805576</v>
      </c>
      <c r="C265" s="11">
        <v>8251.5326544430209</v>
      </c>
      <c r="D265" s="39">
        <v>2241.2744664131515</v>
      </c>
      <c r="E265" s="39">
        <v>501.60226318287954</v>
      </c>
      <c r="F265" s="39">
        <v>466.06645446039954</v>
      </c>
      <c r="G265" s="39">
        <v>0</v>
      </c>
      <c r="H265" s="39">
        <v>1057.0529590117044</v>
      </c>
    </row>
    <row r="266" spans="1:8">
      <c r="A266" s="29" t="s">
        <v>351</v>
      </c>
      <c r="B266" s="39">
        <v>1724.3088693880286</v>
      </c>
      <c r="C266" s="11">
        <v>0</v>
      </c>
      <c r="D266" s="39">
        <v>0</v>
      </c>
      <c r="E266" s="39">
        <v>0</v>
      </c>
      <c r="F266" s="39">
        <v>0</v>
      </c>
      <c r="G266" s="39">
        <v>1054.3172945461583</v>
      </c>
      <c r="H266" s="39">
        <v>0</v>
      </c>
    </row>
    <row r="267" spans="1:8">
      <c r="A267" s="29" t="s">
        <v>352</v>
      </c>
      <c r="B267" s="39">
        <v>1917.0263242010142</v>
      </c>
      <c r="C267" s="11">
        <v>0</v>
      </c>
      <c r="D267" s="39">
        <v>502.71452977203694</v>
      </c>
      <c r="E267" s="39">
        <v>0</v>
      </c>
      <c r="F267" s="39">
        <v>0</v>
      </c>
      <c r="G267" s="39">
        <v>0</v>
      </c>
      <c r="H267" s="39">
        <v>0</v>
      </c>
    </row>
    <row r="268" spans="1:8">
      <c r="A268" s="29" t="s">
        <v>353</v>
      </c>
      <c r="B268" s="39">
        <v>596.90802760652321</v>
      </c>
      <c r="C268" s="11">
        <v>0</v>
      </c>
      <c r="D268" s="39">
        <v>0</v>
      </c>
      <c r="E268" s="39">
        <v>596.90802760652321</v>
      </c>
      <c r="F268" s="39">
        <v>0</v>
      </c>
      <c r="G268" s="39">
        <v>0</v>
      </c>
      <c r="H268" s="39">
        <v>0</v>
      </c>
    </row>
    <row r="269" spans="1:8">
      <c r="A269" s="29" t="s">
        <v>354</v>
      </c>
      <c r="B269" s="39">
        <v>7180.9566101368519</v>
      </c>
      <c r="C269" s="11">
        <v>5428.5451335336074</v>
      </c>
      <c r="D269" s="39">
        <v>1231.0654144763262</v>
      </c>
      <c r="E269" s="39">
        <v>0</v>
      </c>
      <c r="F269" s="39">
        <v>0</v>
      </c>
      <c r="G269" s="39">
        <v>525.84548645324446</v>
      </c>
      <c r="H269" s="39">
        <v>407.62776695475071</v>
      </c>
    </row>
    <row r="270" spans="1:8">
      <c r="A270" s="29" t="s">
        <v>355</v>
      </c>
      <c r="B270" s="39">
        <v>6906.0094401093593</v>
      </c>
      <c r="C270" s="11">
        <v>4062.3713241742007</v>
      </c>
      <c r="D270" s="39">
        <v>1090.2992790287212</v>
      </c>
      <c r="E270" s="39">
        <v>532.63627199166967</v>
      </c>
      <c r="F270" s="39">
        <v>663.60517427317075</v>
      </c>
      <c r="G270" s="39">
        <v>520.08931225579931</v>
      </c>
      <c r="H270" s="39">
        <v>632.98349645607323</v>
      </c>
    </row>
    <row r="271" spans="1:8">
      <c r="A271" s="29" t="s">
        <v>356</v>
      </c>
      <c r="B271" s="39">
        <v>4857.1240664554261</v>
      </c>
      <c r="C271" s="11">
        <v>1524.4704351168457</v>
      </c>
      <c r="D271" s="39">
        <v>1174.4162914216331</v>
      </c>
      <c r="E271" s="39">
        <v>0</v>
      </c>
      <c r="F271" s="39">
        <v>1082.5874070851573</v>
      </c>
      <c r="G271" s="39">
        <v>0</v>
      </c>
      <c r="H271" s="39">
        <v>579.37636151412244</v>
      </c>
    </row>
    <row r="272" spans="1:8">
      <c r="A272" s="29" t="s">
        <v>357</v>
      </c>
      <c r="B272" s="39">
        <v>0</v>
      </c>
      <c r="C272" s="11">
        <v>0</v>
      </c>
      <c r="D272" s="39">
        <v>0</v>
      </c>
      <c r="E272" s="39">
        <v>0</v>
      </c>
      <c r="F272" s="39">
        <v>0</v>
      </c>
      <c r="G272" s="39">
        <v>0</v>
      </c>
      <c r="H272" s="39">
        <v>0</v>
      </c>
    </row>
    <row r="273" spans="1:8">
      <c r="A273" s="29" t="s">
        <v>358</v>
      </c>
      <c r="B273" s="39">
        <v>7727.817554580819</v>
      </c>
      <c r="C273" s="11">
        <v>1310.255665271568</v>
      </c>
      <c r="D273" s="39">
        <v>1016.1462087079508</v>
      </c>
      <c r="E273" s="39">
        <v>502.71452977203694</v>
      </c>
      <c r="F273" s="39">
        <v>871.26510139229174</v>
      </c>
      <c r="G273" s="39">
        <v>513.43167893591385</v>
      </c>
      <c r="H273" s="39">
        <v>2680.735403264749</v>
      </c>
    </row>
    <row r="274" spans="1:8">
      <c r="A274" s="29" t="s">
        <v>359</v>
      </c>
      <c r="B274" s="39">
        <v>0</v>
      </c>
      <c r="C274" s="11">
        <v>0</v>
      </c>
      <c r="D274" s="39">
        <v>0</v>
      </c>
      <c r="E274" s="39">
        <v>0</v>
      </c>
      <c r="F274" s="39">
        <v>0</v>
      </c>
      <c r="G274" s="39">
        <v>0</v>
      </c>
      <c r="H274" s="39">
        <v>0</v>
      </c>
    </row>
    <row r="275" spans="1:8">
      <c r="A275" s="29" t="s">
        <v>360</v>
      </c>
      <c r="B275" s="39">
        <v>5115.0084413252162</v>
      </c>
      <c r="C275" s="11">
        <v>2363.3907777987843</v>
      </c>
      <c r="D275" s="39">
        <v>1950.6012812880158</v>
      </c>
      <c r="E275" s="39">
        <v>1686.4206408888419</v>
      </c>
      <c r="F275" s="39">
        <v>0</v>
      </c>
      <c r="G275" s="39">
        <v>416.01971352379371</v>
      </c>
      <c r="H275" s="39">
        <v>942.09510910473648</v>
      </c>
    </row>
    <row r="276" spans="1:8">
      <c r="A276" s="29" t="s">
        <v>361</v>
      </c>
      <c r="B276" s="39">
        <v>11124.75041357386</v>
      </c>
      <c r="C276" s="11">
        <v>2302.0937639825152</v>
      </c>
      <c r="D276" s="39">
        <v>489.22613750904748</v>
      </c>
      <c r="E276" s="39">
        <v>958.61068263567927</v>
      </c>
      <c r="F276" s="39">
        <v>5948.8734628014727</v>
      </c>
      <c r="G276" s="39">
        <v>2294.2506231144657</v>
      </c>
      <c r="H276" s="39">
        <v>1071.2556712138864</v>
      </c>
    </row>
    <row r="277" spans="1:8">
      <c r="A277" s="29" t="s">
        <v>362</v>
      </c>
      <c r="B277" s="39">
        <v>3980.3081225405631</v>
      </c>
      <c r="C277" s="11">
        <v>3316.7029482673925</v>
      </c>
      <c r="D277" s="39">
        <v>1192.0040544181029</v>
      </c>
      <c r="E277" s="39">
        <v>0</v>
      </c>
      <c r="F277" s="39">
        <v>0</v>
      </c>
      <c r="G277" s="39">
        <v>0</v>
      </c>
      <c r="H277" s="39">
        <v>0</v>
      </c>
    </row>
    <row r="278" spans="1:8">
      <c r="A278" s="29" t="s">
        <v>363</v>
      </c>
      <c r="B278" s="39">
        <v>7675.1318887266407</v>
      </c>
      <c r="C278" s="11">
        <v>589.70315265165152</v>
      </c>
      <c r="D278" s="39">
        <v>595.03992990751055</v>
      </c>
      <c r="E278" s="39">
        <v>0</v>
      </c>
      <c r="F278" s="39">
        <v>1584.2551198641245</v>
      </c>
      <c r="G278" s="39">
        <v>679.22111495607498</v>
      </c>
      <c r="H278" s="39">
        <v>0</v>
      </c>
    </row>
    <row r="279" spans="1:8">
      <c r="A279" s="29" t="s">
        <v>364</v>
      </c>
      <c r="B279" s="39">
        <v>140893.93880443109</v>
      </c>
      <c r="C279" s="11">
        <v>26632.085236438848</v>
      </c>
      <c r="D279" s="39">
        <v>17007.789794190179</v>
      </c>
      <c r="E279" s="39">
        <v>43752.159281261374</v>
      </c>
      <c r="F279" s="39">
        <v>17893.5302378255</v>
      </c>
      <c r="G279" s="39">
        <v>12751.552898019354</v>
      </c>
      <c r="H279" s="39">
        <v>15599.452698125799</v>
      </c>
    </row>
    <row r="280" spans="1:8">
      <c r="A280" s="29" t="s">
        <v>365</v>
      </c>
      <c r="B280" s="39">
        <v>541.68817644106753</v>
      </c>
      <c r="C280" s="11">
        <v>541.68817644106753</v>
      </c>
      <c r="D280" s="39">
        <v>0</v>
      </c>
      <c r="E280" s="39">
        <v>0</v>
      </c>
      <c r="F280" s="39">
        <v>0</v>
      </c>
      <c r="G280" s="39">
        <v>0</v>
      </c>
      <c r="H280" s="39">
        <v>0</v>
      </c>
    </row>
    <row r="281" spans="1:8">
      <c r="A281" s="29" t="s">
        <v>366</v>
      </c>
      <c r="B281" s="39">
        <v>2030.2781067680198</v>
      </c>
      <c r="C281" s="11">
        <v>970.05307719497432</v>
      </c>
      <c r="D281" s="39">
        <v>0</v>
      </c>
      <c r="E281" s="39">
        <v>518.22462675739837</v>
      </c>
      <c r="F281" s="39">
        <v>1578.449656330444</v>
      </c>
      <c r="G281" s="39">
        <v>0</v>
      </c>
      <c r="H281" s="39">
        <v>663.60517427317075</v>
      </c>
    </row>
    <row r="282" spans="1:8">
      <c r="A282" s="29" t="s">
        <v>367</v>
      </c>
      <c r="B282" s="39">
        <v>43080.808834104457</v>
      </c>
      <c r="C282" s="11">
        <v>18000.102295886736</v>
      </c>
      <c r="D282" s="39">
        <v>7600.1695323436024</v>
      </c>
      <c r="E282" s="39">
        <v>4960.922452299862</v>
      </c>
      <c r="F282" s="39">
        <v>920.2969861649417</v>
      </c>
      <c r="G282" s="39">
        <v>2716.3532766104263</v>
      </c>
      <c r="H282" s="39">
        <v>7918.6448808070018</v>
      </c>
    </row>
    <row r="283" spans="1:8">
      <c r="A283" s="29" t="s">
        <v>368</v>
      </c>
      <c r="B283" s="39">
        <v>6977.8500002537985</v>
      </c>
      <c r="C283" s="11">
        <v>3029.029628592391</v>
      </c>
      <c r="D283" s="39">
        <v>0</v>
      </c>
      <c r="E283" s="39">
        <v>537.85879360486456</v>
      </c>
      <c r="F283" s="39">
        <v>3481.0376875454876</v>
      </c>
      <c r="G283" s="39">
        <v>414.70823284372426</v>
      </c>
      <c r="H283" s="39">
        <v>474.34764360736324</v>
      </c>
    </row>
    <row r="284" spans="1:8">
      <c r="A284" s="29" t="s">
        <v>369</v>
      </c>
      <c r="B284" s="39">
        <v>0</v>
      </c>
      <c r="C284" s="11">
        <v>0</v>
      </c>
      <c r="D284" s="39">
        <v>0</v>
      </c>
      <c r="E284" s="39">
        <v>0</v>
      </c>
      <c r="F284" s="39">
        <v>0</v>
      </c>
      <c r="G284" s="39">
        <v>0</v>
      </c>
      <c r="H284" s="39">
        <v>0</v>
      </c>
    </row>
    <row r="285" spans="1:8">
      <c r="A285" s="29" t="s">
        <v>370</v>
      </c>
      <c r="B285" s="39">
        <v>140714.18149758337</v>
      </c>
      <c r="C285" s="11">
        <v>79325.746474258063</v>
      </c>
      <c r="D285" s="39">
        <v>18107.666048367835</v>
      </c>
      <c r="E285" s="39">
        <v>8697.558096869594</v>
      </c>
      <c r="F285" s="39">
        <v>10192.560417207354</v>
      </c>
      <c r="G285" s="39">
        <v>24001.753345024572</v>
      </c>
      <c r="H285" s="39">
        <v>10943.327411564942</v>
      </c>
    </row>
    <row r="286" spans="1:8">
      <c r="A286" s="29" t="s">
        <v>371</v>
      </c>
      <c r="B286" s="39">
        <v>8463.8285761254956</v>
      </c>
      <c r="C286" s="11">
        <v>1446.815715292928</v>
      </c>
      <c r="D286" s="39">
        <v>0</v>
      </c>
      <c r="E286" s="39">
        <v>315.7805215631376</v>
      </c>
      <c r="F286" s="39">
        <v>474.30065560068488</v>
      </c>
      <c r="G286" s="39">
        <v>694.68477906298142</v>
      </c>
      <c r="H286" s="39">
        <v>0</v>
      </c>
    </row>
    <row r="287" spans="1:8">
      <c r="A287" s="29" t="s">
        <v>372</v>
      </c>
      <c r="B287" s="39">
        <v>0</v>
      </c>
      <c r="C287" s="11">
        <v>0</v>
      </c>
      <c r="D287" s="39">
        <v>0</v>
      </c>
      <c r="E287" s="39">
        <v>0</v>
      </c>
      <c r="F287" s="39">
        <v>0</v>
      </c>
      <c r="G287" s="39">
        <v>0</v>
      </c>
      <c r="H287" s="39">
        <v>0</v>
      </c>
    </row>
    <row r="288" spans="1:8">
      <c r="A288" s="29" t="s">
        <v>373</v>
      </c>
      <c r="B288" s="39">
        <v>6444.860053849935</v>
      </c>
      <c r="C288" s="11">
        <v>2568.4454565881897</v>
      </c>
      <c r="D288" s="39">
        <v>504.31022302007347</v>
      </c>
      <c r="E288" s="39">
        <v>407.62776695475071</v>
      </c>
      <c r="F288" s="39">
        <v>0</v>
      </c>
      <c r="G288" s="39">
        <v>0</v>
      </c>
      <c r="H288" s="39">
        <v>1427.720130563469</v>
      </c>
    </row>
    <row r="289" spans="1:8">
      <c r="A289" s="29" t="s">
        <v>374</v>
      </c>
      <c r="B289" s="39">
        <v>3924.780023374296</v>
      </c>
      <c r="C289" s="11">
        <v>1183.6677359017608</v>
      </c>
      <c r="D289" s="39">
        <v>669.99157484187026</v>
      </c>
      <c r="E289" s="39">
        <v>0</v>
      </c>
      <c r="F289" s="39">
        <v>0</v>
      </c>
      <c r="G289" s="39">
        <v>0</v>
      </c>
      <c r="H289" s="39">
        <v>0</v>
      </c>
    </row>
    <row r="290" spans="1:8">
      <c r="A290" s="29" t="s">
        <v>375</v>
      </c>
      <c r="B290" s="39">
        <v>16436.559837863286</v>
      </c>
      <c r="C290" s="11">
        <v>1867.508067394278</v>
      </c>
      <c r="D290" s="39">
        <v>1196.4827953700267</v>
      </c>
      <c r="E290" s="39">
        <v>973.94255136437937</v>
      </c>
      <c r="F290" s="39">
        <v>11594.770850572279</v>
      </c>
      <c r="G290" s="39">
        <v>1146.1029048710561</v>
      </c>
      <c r="H290" s="39">
        <v>445.54367121944733</v>
      </c>
    </row>
    <row r="291" spans="1:8">
      <c r="A291" s="29" t="s">
        <v>376</v>
      </c>
      <c r="B291" s="39">
        <v>10642.207284410255</v>
      </c>
      <c r="C291" s="11">
        <v>1574.8254520464004</v>
      </c>
      <c r="D291" s="39">
        <v>3510.5233581820958</v>
      </c>
      <c r="E291" s="39">
        <v>1054.6992190538815</v>
      </c>
      <c r="F291" s="39">
        <v>1558.3075659746153</v>
      </c>
      <c r="G291" s="39">
        <v>1510.1694995095834</v>
      </c>
      <c r="H291" s="39">
        <v>975.54040933004649</v>
      </c>
    </row>
    <row r="292" spans="1:8">
      <c r="A292" s="29" t="s">
        <v>377</v>
      </c>
      <c r="B292" s="39">
        <v>43433.819325221499</v>
      </c>
      <c r="C292" s="11">
        <v>11027.067492459424</v>
      </c>
      <c r="D292" s="39">
        <v>6641.6076881397103</v>
      </c>
      <c r="E292" s="39">
        <v>3695.2586468576087</v>
      </c>
      <c r="F292" s="39">
        <v>987.60917188403005</v>
      </c>
      <c r="G292" s="39">
        <v>1009.0642223839864</v>
      </c>
      <c r="H292" s="39">
        <v>20289.293624104419</v>
      </c>
    </row>
    <row r="293" spans="1:8">
      <c r="A293" s="29" t="s">
        <v>378</v>
      </c>
      <c r="B293" s="39">
        <v>271385.4879103867</v>
      </c>
      <c r="C293" s="11">
        <v>21960.065806334125</v>
      </c>
      <c r="D293" s="39">
        <v>27919.31136455559</v>
      </c>
      <c r="E293" s="39">
        <v>19751.481676265117</v>
      </c>
      <c r="F293" s="39">
        <v>9838.677972831787</v>
      </c>
      <c r="G293" s="39">
        <v>17608.500447058756</v>
      </c>
      <c r="H293" s="39">
        <v>24585.171678091217</v>
      </c>
    </row>
    <row r="294" spans="1:8">
      <c r="A294" s="29" t="s">
        <v>379</v>
      </c>
      <c r="B294" s="39">
        <v>4664.5059847606899</v>
      </c>
      <c r="C294" s="11">
        <v>1006.6638527399728</v>
      </c>
      <c r="D294" s="39">
        <v>0</v>
      </c>
      <c r="E294" s="39">
        <v>663.60517427317075</v>
      </c>
      <c r="F294" s="39">
        <v>0</v>
      </c>
      <c r="G294" s="39">
        <v>663.60517427317075</v>
      </c>
      <c r="H294" s="39">
        <v>2581.5426783499165</v>
      </c>
    </row>
    <row r="295" spans="1:8">
      <c r="A295" s="29" t="s">
        <v>380</v>
      </c>
      <c r="B295" s="39">
        <v>1381.504861648631</v>
      </c>
      <c r="C295" s="11">
        <v>0</v>
      </c>
      <c r="D295" s="39">
        <v>0</v>
      </c>
      <c r="E295" s="39">
        <v>0</v>
      </c>
      <c r="F295" s="39">
        <v>0</v>
      </c>
      <c r="G295" s="39">
        <v>541.62532470401368</v>
      </c>
      <c r="H295" s="39">
        <v>0</v>
      </c>
    </row>
    <row r="296" spans="1:8">
      <c r="A296" s="29" t="s">
        <v>381</v>
      </c>
      <c r="B296" s="39">
        <v>19090.276856348366</v>
      </c>
      <c r="C296" s="11">
        <v>3575.8144221119824</v>
      </c>
      <c r="D296" s="39">
        <v>495.41707329683896</v>
      </c>
      <c r="E296" s="39">
        <v>8138.522010294655</v>
      </c>
      <c r="F296" s="39">
        <v>4124.9624495626485</v>
      </c>
      <c r="G296" s="39">
        <v>3864.2968324188773</v>
      </c>
      <c r="H296" s="39">
        <v>2128.7483523986775</v>
      </c>
    </row>
    <row r="297" spans="1:8">
      <c r="A297" s="29" t="s">
        <v>382</v>
      </c>
      <c r="B297" s="39">
        <v>0</v>
      </c>
      <c r="C297" s="11">
        <v>0</v>
      </c>
      <c r="D297" s="39">
        <v>0</v>
      </c>
      <c r="E297" s="39">
        <v>0</v>
      </c>
      <c r="F297" s="39">
        <v>0</v>
      </c>
      <c r="G297" s="39">
        <v>0</v>
      </c>
      <c r="H297" s="39">
        <v>0</v>
      </c>
    </row>
    <row r="298" spans="1:8">
      <c r="A298" s="29" t="s">
        <v>383</v>
      </c>
      <c r="B298" s="39">
        <v>0</v>
      </c>
      <c r="C298" s="11">
        <v>0</v>
      </c>
      <c r="D298" s="39">
        <v>0</v>
      </c>
      <c r="E298" s="39">
        <v>0</v>
      </c>
      <c r="F298" s="39">
        <v>0</v>
      </c>
      <c r="G298" s="39">
        <v>0</v>
      </c>
      <c r="H298" s="39">
        <v>0</v>
      </c>
    </row>
    <row r="299" spans="1:8">
      <c r="A299" s="29" t="s">
        <v>384</v>
      </c>
      <c r="B299" s="39">
        <v>2779.2634243997622</v>
      </c>
      <c r="C299" s="11">
        <v>1087.7476232331112</v>
      </c>
      <c r="D299" s="39">
        <v>0</v>
      </c>
      <c r="E299" s="39">
        <v>596.90802760652321</v>
      </c>
      <c r="F299" s="39">
        <v>572.50044121618782</v>
      </c>
      <c r="G299" s="39">
        <v>522.10733234394013</v>
      </c>
      <c r="H299" s="39">
        <v>490.83959562658805</v>
      </c>
    </row>
    <row r="300" spans="1:8">
      <c r="A300" s="29" t="s">
        <v>385</v>
      </c>
      <c r="B300" s="39">
        <v>165096.3888918008</v>
      </c>
      <c r="C300" s="11">
        <v>5021.4188209272206</v>
      </c>
      <c r="D300" s="39">
        <v>6092.4442787354192</v>
      </c>
      <c r="E300" s="39">
        <v>40969.139090139295</v>
      </c>
      <c r="F300" s="39">
        <v>97182.528722695206</v>
      </c>
      <c r="G300" s="39">
        <v>9450.8344323459696</v>
      </c>
      <c r="H300" s="39">
        <v>6688.5961798592944</v>
      </c>
    </row>
    <row r="301" spans="1:8">
      <c r="A301" s="111"/>
      <c r="B301" s="97"/>
      <c r="C301" s="97"/>
      <c r="D301" s="97"/>
      <c r="E301" s="97"/>
      <c r="F301" s="97"/>
      <c r="G301" s="97"/>
      <c r="H301" s="97"/>
    </row>
    <row r="302" spans="1:8">
      <c r="A302" s="115" t="s">
        <v>108</v>
      </c>
    </row>
    <row r="303" spans="1:8">
      <c r="A303" s="16" t="s">
        <v>112</v>
      </c>
    </row>
    <row r="304" spans="1:8">
      <c r="A304" s="16" t="s">
        <v>113</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1" formatCode="\*\*0.0%"/>
            </x14:dxf>
          </x14:cfRule>
          <x14:cfRule type="expression" priority="4" id="{F21496D9-2B6E-4F74-B1F7-AA89522F249C}">
            <xm:f>B159&lt;'27'!$C$103</xm:f>
            <x14:dxf>
              <font>
                <color rgb="FF00B050"/>
              </font>
              <numFmt numFmtId="170"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69" formatCode="\*\*#,###,###,##0"/>
            </x14:dxf>
          </x14:cfRule>
          <x14:cfRule type="expression" priority="2" id="{C526C75A-03EC-46CB-8006-F1B9253BC6BE}">
            <xm:f>B159&lt;'27'!$C$103</xm:f>
            <x14:dxf>
              <font>
                <color rgb="FF00B050"/>
              </font>
              <numFmt numFmtId="168"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F40-43C0-4BFB-9855-4C068738E04F}">
  <dimension ref="A1:I307"/>
  <sheetViews>
    <sheetView zoomScaleNormal="10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9">
      <c r="A1" s="25"/>
      <c r="B1" s="25"/>
      <c r="C1" s="25"/>
      <c r="D1" s="25"/>
      <c r="E1" s="25"/>
      <c r="F1" s="25"/>
      <c r="G1" s="25"/>
      <c r="H1" s="25"/>
    </row>
    <row r="2" spans="1:9">
      <c r="A2" s="25"/>
      <c r="B2" s="25"/>
      <c r="C2" s="25"/>
      <c r="D2" s="25"/>
      <c r="E2" s="25"/>
      <c r="F2" s="25"/>
      <c r="G2" s="25"/>
      <c r="H2" s="25"/>
    </row>
    <row r="3" spans="1:9">
      <c r="A3" s="25"/>
      <c r="B3" s="25"/>
      <c r="C3" s="25"/>
      <c r="D3" s="25"/>
      <c r="E3" s="25"/>
      <c r="F3" s="25"/>
      <c r="G3" s="25"/>
      <c r="H3" s="25"/>
    </row>
    <row r="4" spans="1:9">
      <c r="A4" s="25"/>
      <c r="B4" s="25"/>
      <c r="C4" s="25"/>
      <c r="D4" s="25"/>
      <c r="E4" s="25"/>
      <c r="F4" s="25"/>
      <c r="G4" s="25"/>
      <c r="H4" s="25"/>
    </row>
    <row r="5" spans="1:9">
      <c r="A5" s="25"/>
      <c r="B5" s="25"/>
      <c r="C5" s="25"/>
      <c r="D5" s="25"/>
      <c r="E5" s="25"/>
      <c r="F5" s="25"/>
      <c r="G5" s="25"/>
      <c r="H5" s="25"/>
    </row>
    <row r="6" spans="1:9">
      <c r="A6" s="25"/>
      <c r="B6" s="25"/>
      <c r="C6" s="25"/>
      <c r="D6" s="25"/>
      <c r="E6" s="25"/>
      <c r="F6" s="25"/>
      <c r="G6" s="25"/>
      <c r="H6" s="25"/>
    </row>
    <row r="7" spans="1:9">
      <c r="A7" s="25"/>
      <c r="B7" s="25"/>
      <c r="C7" s="25"/>
      <c r="D7" s="25"/>
      <c r="E7" s="25"/>
      <c r="F7" s="25"/>
      <c r="G7" s="25"/>
      <c r="H7" s="25"/>
    </row>
    <row r="8" spans="1:9">
      <c r="A8" s="25" t="str">
        <f>Index!A8</f>
        <v>AusPlay survey results July 2024 - June 2025</v>
      </c>
      <c r="B8" s="25"/>
      <c r="C8" s="25"/>
      <c r="D8" s="25"/>
      <c r="E8" s="25"/>
      <c r="F8" s="25"/>
      <c r="G8" s="25"/>
      <c r="H8" s="25"/>
    </row>
    <row r="9" spans="1:9">
      <c r="A9" s="24" t="s">
        <v>1</v>
      </c>
      <c r="B9" s="133" t="s">
        <v>2</v>
      </c>
      <c r="C9" s="25"/>
      <c r="D9" s="25"/>
      <c r="E9" s="25"/>
      <c r="F9" s="25"/>
      <c r="G9" s="25"/>
      <c r="H9" s="25"/>
    </row>
    <row r="10" spans="1:9">
      <c r="A10" s="24" t="s">
        <v>40</v>
      </c>
      <c r="B10" s="26">
        <v>20</v>
      </c>
      <c r="C10" s="25"/>
      <c r="D10" s="25"/>
      <c r="E10" s="25"/>
      <c r="F10" s="25"/>
      <c r="G10" s="25"/>
      <c r="H10" s="25"/>
    </row>
    <row r="11" spans="1:9">
      <c r="A11" s="24" t="s">
        <v>3</v>
      </c>
      <c r="B11" s="25" t="s">
        <v>29</v>
      </c>
      <c r="C11" s="25"/>
      <c r="D11" s="25"/>
      <c r="E11" s="25"/>
      <c r="F11" s="96" t="s">
        <v>137</v>
      </c>
      <c r="G11" s="25"/>
      <c r="H11" s="25"/>
    </row>
    <row r="12" spans="1:9">
      <c r="A12" s="109" t="s">
        <v>41</v>
      </c>
      <c r="B12" s="110" t="s">
        <v>114</v>
      </c>
      <c r="C12" s="110"/>
      <c r="D12" s="110"/>
      <c r="E12" s="110"/>
      <c r="F12" s="110"/>
      <c r="G12" s="110"/>
      <c r="H12" s="110"/>
    </row>
    <row r="13" spans="1:9" ht="24.95" customHeight="1">
      <c r="A13" s="37"/>
      <c r="B13" s="28"/>
      <c r="C13" s="154" t="s">
        <v>153</v>
      </c>
      <c r="D13" s="154"/>
      <c r="E13" s="154"/>
      <c r="F13" s="154"/>
      <c r="G13" s="154"/>
      <c r="H13" s="154"/>
    </row>
    <row r="14" spans="1:9" ht="45">
      <c r="A14" s="33"/>
      <c r="B14" s="32" t="s">
        <v>48</v>
      </c>
      <c r="C14" s="55" t="s">
        <v>143</v>
      </c>
      <c r="D14" s="55" t="s">
        <v>387</v>
      </c>
      <c r="E14" s="55" t="s">
        <v>388</v>
      </c>
      <c r="F14" s="55" t="s">
        <v>389</v>
      </c>
      <c r="G14" s="55" t="s">
        <v>390</v>
      </c>
      <c r="H14" s="55" t="s">
        <v>152</v>
      </c>
      <c r="I14" s="94" t="s">
        <v>137</v>
      </c>
    </row>
    <row r="15" spans="1:9">
      <c r="A15" s="57"/>
      <c r="B15" s="160" t="s">
        <v>135</v>
      </c>
      <c r="C15" s="160"/>
      <c r="D15" s="160"/>
      <c r="E15" s="160"/>
      <c r="F15" s="160"/>
      <c r="G15" s="160"/>
      <c r="H15" s="160"/>
    </row>
    <row r="16" spans="1:9">
      <c r="A16" s="29" t="s">
        <v>244</v>
      </c>
      <c r="B16" s="4">
        <v>2.2954124180666322E-3</v>
      </c>
      <c r="C16" s="10">
        <v>6.4268609248909706E-4</v>
      </c>
      <c r="D16" s="4">
        <v>8.131754493037721E-4</v>
      </c>
      <c r="E16" s="4">
        <v>0</v>
      </c>
      <c r="F16" s="4">
        <v>6.8669039647460532E-4</v>
      </c>
      <c r="G16" s="4">
        <v>0</v>
      </c>
      <c r="H16" s="4">
        <v>0</v>
      </c>
    </row>
    <row r="17" spans="1:8">
      <c r="A17" s="29" t="s">
        <v>245</v>
      </c>
      <c r="B17" s="4">
        <v>2.338615268779706E-3</v>
      </c>
      <c r="C17" s="10">
        <v>1.1571968743347954E-3</v>
      </c>
      <c r="D17" s="4">
        <v>7.2594583445269648E-4</v>
      </c>
      <c r="E17" s="4">
        <v>7.7640092840017575E-4</v>
      </c>
      <c r="F17" s="4">
        <v>2.946947945705976E-4</v>
      </c>
      <c r="G17" s="4">
        <v>8.3626850592683356E-4</v>
      </c>
      <c r="H17" s="4">
        <v>1.1571968743347954E-3</v>
      </c>
    </row>
    <row r="18" spans="1:8">
      <c r="A18" s="29" t="s">
        <v>246</v>
      </c>
      <c r="B18" s="4">
        <v>1.4523066525379911E-3</v>
      </c>
      <c r="C18" s="10">
        <v>0</v>
      </c>
      <c r="D18" s="4">
        <v>4.4260392409326655E-4</v>
      </c>
      <c r="E18" s="4">
        <v>1.4523066525379911E-3</v>
      </c>
      <c r="F18" s="4">
        <v>0</v>
      </c>
      <c r="G18" s="4">
        <v>1.1814998768685037E-3</v>
      </c>
      <c r="H18" s="4">
        <v>0</v>
      </c>
    </row>
    <row r="19" spans="1:8">
      <c r="A19" s="29" t="s">
        <v>247</v>
      </c>
      <c r="B19" s="4">
        <v>2.8408375397144199E-2</v>
      </c>
      <c r="C19" s="10">
        <v>1.3390267085736398E-2</v>
      </c>
      <c r="D19" s="4">
        <v>4.3675726859338836E-3</v>
      </c>
      <c r="E19" s="4">
        <v>3.2907650784745461E-3</v>
      </c>
      <c r="F19" s="4">
        <v>1.982930288773211E-3</v>
      </c>
      <c r="G19" s="4">
        <v>5.2620348378674504E-3</v>
      </c>
      <c r="H19" s="4">
        <v>8.6110214718657166E-3</v>
      </c>
    </row>
    <row r="20" spans="1:8">
      <c r="A20" s="29" t="s">
        <v>248</v>
      </c>
      <c r="B20" s="4">
        <v>0.10873556407511764</v>
      </c>
      <c r="C20" s="10">
        <v>7.1713622469548197E-2</v>
      </c>
      <c r="D20" s="4">
        <v>1.6850488266302643E-2</v>
      </c>
      <c r="E20" s="4">
        <v>4.6086086607332937E-3</v>
      </c>
      <c r="F20" s="4">
        <v>2.9592068182321398E-3</v>
      </c>
      <c r="G20" s="4">
        <v>6.2191264732378267E-3</v>
      </c>
      <c r="H20" s="4">
        <v>1.4563949163535586E-2</v>
      </c>
    </row>
    <row r="21" spans="1:8">
      <c r="A21" s="29" t="s">
        <v>249</v>
      </c>
      <c r="B21" s="4">
        <v>1.2352337635243259E-2</v>
      </c>
      <c r="C21" s="10">
        <v>1.7086871820645338E-3</v>
      </c>
      <c r="D21" s="4">
        <v>2.7237579561109016E-3</v>
      </c>
      <c r="E21" s="4">
        <v>2.1957630443269079E-3</v>
      </c>
      <c r="F21" s="4">
        <v>6.7849427784468278E-4</v>
      </c>
      <c r="G21" s="4">
        <v>3.1554066080419366E-3</v>
      </c>
      <c r="H21" s="4">
        <v>2.8939573103410115E-3</v>
      </c>
    </row>
    <row r="22" spans="1:8">
      <c r="A22" s="29" t="s">
        <v>250</v>
      </c>
      <c r="B22" s="4">
        <v>6.445594789758439E-3</v>
      </c>
      <c r="C22" s="10">
        <v>2.0177526414276365E-3</v>
      </c>
      <c r="D22" s="4">
        <v>2.2653104159861851E-3</v>
      </c>
      <c r="E22" s="4">
        <v>0</v>
      </c>
      <c r="F22" s="4">
        <v>5.4157371135623591E-4</v>
      </c>
      <c r="G22" s="4">
        <v>1.3538432248120535E-3</v>
      </c>
      <c r="H22" s="4">
        <v>3.0470866925615315E-4</v>
      </c>
    </row>
    <row r="23" spans="1:8">
      <c r="A23" s="29" t="s">
        <v>251</v>
      </c>
      <c r="B23" s="4">
        <v>0.10393311934894876</v>
      </c>
      <c r="C23" s="10">
        <v>6.9573887321500091E-2</v>
      </c>
      <c r="D23" s="4">
        <v>1.5591133712602298E-2</v>
      </c>
      <c r="E23" s="4">
        <v>8.2956790249183593E-3</v>
      </c>
      <c r="F23" s="4">
        <v>2.9799340209432481E-3</v>
      </c>
      <c r="G23" s="4">
        <v>8.2340856201821768E-3</v>
      </c>
      <c r="H23" s="4">
        <v>1.70857616680452E-2</v>
      </c>
    </row>
    <row r="24" spans="1:8">
      <c r="A24" s="29" t="s">
        <v>252</v>
      </c>
      <c r="B24" s="4">
        <v>8.3523544331230931E-4</v>
      </c>
      <c r="C24" s="10">
        <v>4.3125103988209893E-4</v>
      </c>
      <c r="D24" s="4">
        <v>0</v>
      </c>
      <c r="E24" s="4">
        <v>4.3125103988209893E-4</v>
      </c>
      <c r="F24" s="4">
        <v>4.0398440343021038E-4</v>
      </c>
      <c r="G24" s="4">
        <v>4.3125103988209893E-4</v>
      </c>
      <c r="H24" s="4">
        <v>8.3523544331230931E-4</v>
      </c>
    </row>
    <row r="25" spans="1:8">
      <c r="A25" s="29" t="s">
        <v>253</v>
      </c>
      <c r="B25" s="4">
        <v>5.4157371135623591E-4</v>
      </c>
      <c r="C25" s="10">
        <v>0</v>
      </c>
      <c r="D25" s="4">
        <v>0</v>
      </c>
      <c r="E25" s="4">
        <v>0</v>
      </c>
      <c r="F25" s="4">
        <v>5.4157371135623591E-4</v>
      </c>
      <c r="G25" s="4">
        <v>0</v>
      </c>
      <c r="H25" s="4">
        <v>0</v>
      </c>
    </row>
    <row r="26" spans="1:8">
      <c r="A26" s="29" t="s">
        <v>254</v>
      </c>
      <c r="B26" s="4">
        <v>9.2084947591926543E-4</v>
      </c>
      <c r="C26" s="10">
        <v>4.895984360371666E-4</v>
      </c>
      <c r="D26" s="4">
        <v>0</v>
      </c>
      <c r="E26" s="4">
        <v>0</v>
      </c>
      <c r="F26" s="4">
        <v>4.895984360371666E-4</v>
      </c>
      <c r="G26" s="4">
        <v>4.895984360371666E-4</v>
      </c>
      <c r="H26" s="4">
        <v>0</v>
      </c>
    </row>
    <row r="27" spans="1:8">
      <c r="A27" s="29" t="s">
        <v>255</v>
      </c>
      <c r="B27" s="4">
        <v>2.7080677566948742E-4</v>
      </c>
      <c r="C27" s="10">
        <v>0</v>
      </c>
      <c r="D27" s="4">
        <v>0</v>
      </c>
      <c r="E27" s="4">
        <v>0</v>
      </c>
      <c r="F27" s="4">
        <v>0</v>
      </c>
      <c r="G27" s="4">
        <v>0</v>
      </c>
      <c r="H27" s="4">
        <v>2.7080677566948742E-4</v>
      </c>
    </row>
    <row r="28" spans="1:8">
      <c r="A28" s="29" t="s">
        <v>256</v>
      </c>
      <c r="B28" s="4">
        <v>0</v>
      </c>
      <c r="C28" s="10">
        <v>0</v>
      </c>
      <c r="D28" s="4">
        <v>0</v>
      </c>
      <c r="E28" s="4">
        <v>0</v>
      </c>
      <c r="F28" s="4">
        <v>0</v>
      </c>
      <c r="G28" s="4">
        <v>0</v>
      </c>
      <c r="H28" s="4">
        <v>0</v>
      </c>
    </row>
    <row r="29" spans="1:8">
      <c r="A29" s="29" t="s">
        <v>257</v>
      </c>
      <c r="B29" s="4">
        <v>0</v>
      </c>
      <c r="C29" s="10">
        <v>0</v>
      </c>
      <c r="D29" s="4">
        <v>0</v>
      </c>
      <c r="E29" s="4">
        <v>0</v>
      </c>
      <c r="F29" s="4">
        <v>0</v>
      </c>
      <c r="G29" s="4">
        <v>0</v>
      </c>
      <c r="H29" s="4">
        <v>0</v>
      </c>
    </row>
    <row r="30" spans="1:8">
      <c r="A30" s="29" t="s">
        <v>258</v>
      </c>
      <c r="B30" s="4">
        <v>0</v>
      </c>
      <c r="C30" s="10">
        <v>0</v>
      </c>
      <c r="D30" s="4">
        <v>0</v>
      </c>
      <c r="E30" s="4">
        <v>0</v>
      </c>
      <c r="F30" s="4">
        <v>0</v>
      </c>
      <c r="G30" s="4">
        <v>0</v>
      </c>
      <c r="H30" s="4">
        <v>0</v>
      </c>
    </row>
    <row r="31" spans="1:8">
      <c r="A31" s="29" t="s">
        <v>259</v>
      </c>
      <c r="B31" s="4">
        <v>0</v>
      </c>
      <c r="C31" s="10">
        <v>0</v>
      </c>
      <c r="D31" s="4">
        <v>0</v>
      </c>
      <c r="E31" s="4">
        <v>0</v>
      </c>
      <c r="F31" s="4">
        <v>0</v>
      </c>
      <c r="G31" s="4">
        <v>0</v>
      </c>
      <c r="H31" s="4">
        <v>0</v>
      </c>
    </row>
    <row r="32" spans="1:8">
      <c r="A32" s="29" t="s">
        <v>260</v>
      </c>
      <c r="B32" s="4">
        <v>0</v>
      </c>
      <c r="C32" s="10">
        <v>0</v>
      </c>
      <c r="D32" s="4">
        <v>0</v>
      </c>
      <c r="E32" s="4">
        <v>0</v>
      </c>
      <c r="F32" s="4">
        <v>0</v>
      </c>
      <c r="G32" s="4">
        <v>0</v>
      </c>
      <c r="H32" s="4">
        <v>0</v>
      </c>
    </row>
    <row r="33" spans="1:8">
      <c r="A33" s="29" t="s">
        <v>261</v>
      </c>
      <c r="B33" s="4">
        <v>0</v>
      </c>
      <c r="C33" s="10">
        <v>0</v>
      </c>
      <c r="D33" s="4">
        <v>0</v>
      </c>
      <c r="E33" s="4">
        <v>0</v>
      </c>
      <c r="F33" s="4">
        <v>0</v>
      </c>
      <c r="G33" s="4">
        <v>0</v>
      </c>
      <c r="H33" s="4">
        <v>0</v>
      </c>
    </row>
    <row r="34" spans="1:8">
      <c r="A34" s="29" t="s">
        <v>262</v>
      </c>
      <c r="B34" s="4">
        <v>5.0587562207914921E-3</v>
      </c>
      <c r="C34" s="10">
        <v>1.3285907975354335E-3</v>
      </c>
      <c r="D34" s="4">
        <v>4.1568994893974868E-4</v>
      </c>
      <c r="E34" s="4">
        <v>6.0812958317859494E-4</v>
      </c>
      <c r="F34" s="4">
        <v>1.5012989347572775E-3</v>
      </c>
      <c r="G34" s="4">
        <v>2.3599381137144227E-3</v>
      </c>
      <c r="H34" s="4">
        <v>0</v>
      </c>
    </row>
    <row r="35" spans="1:8">
      <c r="A35" s="29" t="s">
        <v>263</v>
      </c>
      <c r="B35" s="4">
        <v>0</v>
      </c>
      <c r="C35" s="10">
        <v>0</v>
      </c>
      <c r="D35" s="4">
        <v>0</v>
      </c>
      <c r="E35" s="4">
        <v>0</v>
      </c>
      <c r="F35" s="4">
        <v>0</v>
      </c>
      <c r="G35" s="4">
        <v>0</v>
      </c>
      <c r="H35" s="4">
        <v>0</v>
      </c>
    </row>
    <row r="36" spans="1:8">
      <c r="A36" s="29" t="s">
        <v>264</v>
      </c>
      <c r="B36" s="4">
        <v>1.1808730449804152E-2</v>
      </c>
      <c r="C36" s="10">
        <v>1.4850632557790522E-3</v>
      </c>
      <c r="D36" s="4">
        <v>4.6175960257211217E-4</v>
      </c>
      <c r="E36" s="4">
        <v>0</v>
      </c>
      <c r="F36" s="4">
        <v>8.6885801658814776E-4</v>
      </c>
      <c r="G36" s="4">
        <v>3.4514988851807682E-4</v>
      </c>
      <c r="H36" s="4">
        <v>1.7697867644430073E-3</v>
      </c>
    </row>
    <row r="37" spans="1:8">
      <c r="A37" s="29" t="s">
        <v>265</v>
      </c>
      <c r="B37" s="4">
        <v>2.6594872178297164E-3</v>
      </c>
      <c r="C37" s="10">
        <v>2.3261428285031105E-3</v>
      </c>
      <c r="D37" s="4">
        <v>0</v>
      </c>
      <c r="E37" s="4">
        <v>0</v>
      </c>
      <c r="F37" s="4">
        <v>0</v>
      </c>
      <c r="G37" s="4">
        <v>0</v>
      </c>
      <c r="H37" s="4">
        <v>0</v>
      </c>
    </row>
    <row r="38" spans="1:8">
      <c r="A38" s="29" t="s">
        <v>266</v>
      </c>
      <c r="B38" s="4">
        <v>0</v>
      </c>
      <c r="C38" s="10">
        <v>0</v>
      </c>
      <c r="D38" s="4">
        <v>0</v>
      </c>
      <c r="E38" s="4">
        <v>0</v>
      </c>
      <c r="F38" s="4">
        <v>0</v>
      </c>
      <c r="G38" s="4">
        <v>0</v>
      </c>
      <c r="H38" s="4">
        <v>0</v>
      </c>
    </row>
    <row r="39" spans="1:8">
      <c r="A39" s="29" t="s">
        <v>267</v>
      </c>
      <c r="B39" s="4">
        <v>1.4957558414821219E-3</v>
      </c>
      <c r="C39" s="10">
        <v>5.904674565052068E-4</v>
      </c>
      <c r="D39" s="4">
        <v>0</v>
      </c>
      <c r="E39" s="4">
        <v>0</v>
      </c>
      <c r="F39" s="4">
        <v>0</v>
      </c>
      <c r="G39" s="4">
        <v>9.0528838497691522E-4</v>
      </c>
      <c r="H39" s="4">
        <v>0</v>
      </c>
    </row>
    <row r="40" spans="1:8">
      <c r="A40" s="29" t="s">
        <v>268</v>
      </c>
      <c r="B40" s="4">
        <v>2.9127599819912539E-3</v>
      </c>
      <c r="C40" s="10">
        <v>7.2925746019153622E-4</v>
      </c>
      <c r="D40" s="4">
        <v>0</v>
      </c>
      <c r="E40" s="4">
        <v>0</v>
      </c>
      <c r="F40" s="4">
        <v>1.7732778814844477E-3</v>
      </c>
      <c r="G40" s="4">
        <v>0</v>
      </c>
      <c r="H40" s="4">
        <v>4.1022464031526993E-4</v>
      </c>
    </row>
    <row r="41" spans="1:8">
      <c r="A41" s="29" t="s">
        <v>269</v>
      </c>
      <c r="B41" s="4">
        <v>4.1858355501225006E-2</v>
      </c>
      <c r="C41" s="10">
        <v>2.822018549618904E-2</v>
      </c>
      <c r="D41" s="4">
        <v>5.1084464615513735E-3</v>
      </c>
      <c r="E41" s="4">
        <v>2.2428716306719526E-3</v>
      </c>
      <c r="F41" s="4">
        <v>1.4478903474220578E-3</v>
      </c>
      <c r="G41" s="4">
        <v>3.1898110716732922E-3</v>
      </c>
      <c r="H41" s="4">
        <v>5.6637720850915329E-3</v>
      </c>
    </row>
    <row r="42" spans="1:8">
      <c r="A42" s="29" t="s">
        <v>270</v>
      </c>
      <c r="B42" s="4">
        <v>0</v>
      </c>
      <c r="C42" s="10">
        <v>0</v>
      </c>
      <c r="D42" s="4">
        <v>0</v>
      </c>
      <c r="E42" s="4">
        <v>0</v>
      </c>
      <c r="F42" s="4">
        <v>0</v>
      </c>
      <c r="G42" s="4">
        <v>0</v>
      </c>
      <c r="H42" s="4">
        <v>0</v>
      </c>
    </row>
    <row r="43" spans="1:8">
      <c r="A43" s="29" t="s">
        <v>271</v>
      </c>
      <c r="B43" s="4">
        <v>8.2439354469410881E-4</v>
      </c>
      <c r="C43" s="10">
        <v>4.5779662510410298E-4</v>
      </c>
      <c r="D43" s="4">
        <v>0</v>
      </c>
      <c r="E43" s="4">
        <v>3.6659691959000583E-4</v>
      </c>
      <c r="F43" s="4">
        <v>0</v>
      </c>
      <c r="G43" s="4">
        <v>0</v>
      </c>
      <c r="H43" s="4">
        <v>0</v>
      </c>
    </row>
    <row r="44" spans="1:8">
      <c r="A44" s="29" t="s">
        <v>272</v>
      </c>
      <c r="B44" s="4">
        <v>0</v>
      </c>
      <c r="C44" s="10">
        <v>0</v>
      </c>
      <c r="D44" s="4">
        <v>0</v>
      </c>
      <c r="E44" s="4">
        <v>0</v>
      </c>
      <c r="F44" s="4">
        <v>0</v>
      </c>
      <c r="G44" s="4">
        <v>0</v>
      </c>
      <c r="H44" s="4">
        <v>0</v>
      </c>
    </row>
    <row r="45" spans="1:8">
      <c r="A45" s="29" t="s">
        <v>273</v>
      </c>
      <c r="B45" s="4">
        <v>1.9323410329467262E-2</v>
      </c>
      <c r="C45" s="10">
        <v>5.0259581857882635E-4</v>
      </c>
      <c r="D45" s="4">
        <v>2.946947945705976E-4</v>
      </c>
      <c r="E45" s="4">
        <v>3.0470866925615315E-4</v>
      </c>
      <c r="F45" s="4">
        <v>3.560098584280756E-4</v>
      </c>
      <c r="G45" s="4">
        <v>2.946947945705976E-4</v>
      </c>
      <c r="H45" s="4">
        <v>6.64773368708305E-4</v>
      </c>
    </row>
    <row r="46" spans="1:8">
      <c r="A46" s="29" t="s">
        <v>274</v>
      </c>
      <c r="B46" s="4">
        <v>1.6688017667122874E-2</v>
      </c>
      <c r="C46" s="10">
        <v>2.6070921770842727E-3</v>
      </c>
      <c r="D46" s="4">
        <v>3.4514988851807682E-4</v>
      </c>
      <c r="E46" s="4">
        <v>1.6408537579808819E-3</v>
      </c>
      <c r="F46" s="4">
        <v>9.5169560799043748E-3</v>
      </c>
      <c r="G46" s="4">
        <v>2.2939426338272782E-3</v>
      </c>
      <c r="H46" s="4">
        <v>2.1693653529112839E-3</v>
      </c>
    </row>
    <row r="47" spans="1:8">
      <c r="A47" s="29" t="s">
        <v>275</v>
      </c>
      <c r="B47" s="4">
        <v>4.2546680350858491E-2</v>
      </c>
      <c r="C47" s="10">
        <v>5.571238864439252E-3</v>
      </c>
      <c r="D47" s="4">
        <v>4.4049582175647401E-3</v>
      </c>
      <c r="E47" s="4">
        <v>1.6225041727721294E-3</v>
      </c>
      <c r="F47" s="4">
        <v>2.8980096553281293E-2</v>
      </c>
      <c r="G47" s="4">
        <v>3.4473428082964748E-3</v>
      </c>
      <c r="H47" s="4">
        <v>4.7275133711417311E-3</v>
      </c>
    </row>
    <row r="48" spans="1:8">
      <c r="A48" s="29" t="s">
        <v>276</v>
      </c>
      <c r="B48" s="4">
        <v>2.5921206713688479E-4</v>
      </c>
      <c r="C48" s="10">
        <v>2.5921206713688479E-4</v>
      </c>
      <c r="D48" s="4">
        <v>0</v>
      </c>
      <c r="E48" s="4">
        <v>0</v>
      </c>
      <c r="F48" s="4">
        <v>0</v>
      </c>
      <c r="G48" s="4">
        <v>2.5921206713688479E-4</v>
      </c>
      <c r="H48" s="4">
        <v>0</v>
      </c>
    </row>
    <row r="49" spans="1:8">
      <c r="A49" s="29" t="s">
        <v>277</v>
      </c>
      <c r="B49" s="4">
        <v>1.5046793362620528E-3</v>
      </c>
      <c r="C49" s="10">
        <v>4.3743511463877158E-4</v>
      </c>
      <c r="D49" s="4">
        <v>0</v>
      </c>
      <c r="E49" s="4">
        <v>0</v>
      </c>
      <c r="F49" s="4">
        <v>0</v>
      </c>
      <c r="G49" s="4">
        <v>5.4157371135623591E-4</v>
      </c>
      <c r="H49" s="4">
        <v>5.256705102670452E-4</v>
      </c>
    </row>
    <row r="50" spans="1:8">
      <c r="A50" s="29" t="s">
        <v>278</v>
      </c>
      <c r="B50" s="4">
        <v>4.3743511463877158E-4</v>
      </c>
      <c r="C50" s="10">
        <v>4.3743511463877158E-4</v>
      </c>
      <c r="D50" s="4">
        <v>4.3743511463877158E-4</v>
      </c>
      <c r="E50" s="4">
        <v>0</v>
      </c>
      <c r="F50" s="4">
        <v>0</v>
      </c>
      <c r="G50" s="4">
        <v>0</v>
      </c>
      <c r="H50" s="4">
        <v>0</v>
      </c>
    </row>
    <row r="51" spans="1:8">
      <c r="A51" s="29" t="s">
        <v>279</v>
      </c>
      <c r="B51" s="4">
        <v>0</v>
      </c>
      <c r="C51" s="10">
        <v>0</v>
      </c>
      <c r="D51" s="4">
        <v>0</v>
      </c>
      <c r="E51" s="4">
        <v>0</v>
      </c>
      <c r="F51" s="4">
        <v>0</v>
      </c>
      <c r="G51" s="4">
        <v>0</v>
      </c>
      <c r="H51" s="4">
        <v>0</v>
      </c>
    </row>
    <row r="52" spans="1:8">
      <c r="A52" s="29" t="s">
        <v>280</v>
      </c>
      <c r="B52" s="4">
        <v>1.6850331070910414E-3</v>
      </c>
      <c r="C52" s="10">
        <v>0</v>
      </c>
      <c r="D52" s="4">
        <v>0</v>
      </c>
      <c r="E52" s="4">
        <v>4.2392200536522337E-4</v>
      </c>
      <c r="F52" s="4">
        <v>0</v>
      </c>
      <c r="G52" s="4">
        <v>0</v>
      </c>
      <c r="H52" s="4">
        <v>4.5308152468713514E-4</v>
      </c>
    </row>
    <row r="53" spans="1:8">
      <c r="A53" s="29" t="s">
        <v>281</v>
      </c>
      <c r="B53" s="4">
        <v>3.1902641445888916E-3</v>
      </c>
      <c r="C53" s="10">
        <v>4.0398440343021038E-4</v>
      </c>
      <c r="D53" s="4">
        <v>8.4214319476235127E-4</v>
      </c>
      <c r="E53" s="4">
        <v>0</v>
      </c>
      <c r="F53" s="4">
        <v>1.3855454628383442E-3</v>
      </c>
      <c r="G53" s="4">
        <v>1.4800996844071674E-3</v>
      </c>
      <c r="H53" s="4">
        <v>0</v>
      </c>
    </row>
    <row r="54" spans="1:8">
      <c r="A54" s="29" t="s">
        <v>282</v>
      </c>
      <c r="B54" s="4">
        <v>2.8156270408039295E-3</v>
      </c>
      <c r="C54" s="10">
        <v>4.3125103988209893E-4</v>
      </c>
      <c r="D54" s="4">
        <v>8.6250207976419787E-4</v>
      </c>
      <c r="E54" s="4">
        <v>4.3125103988209893E-4</v>
      </c>
      <c r="F54" s="4">
        <v>4.3125103988209893E-4</v>
      </c>
      <c r="G54" s="4">
        <v>4.3125103988209893E-4</v>
      </c>
      <c r="H54" s="4">
        <v>1.9299454328665934E-3</v>
      </c>
    </row>
    <row r="55" spans="1:8">
      <c r="A55" s="29" t="s">
        <v>283</v>
      </c>
      <c r="B55" s="4">
        <v>2.1507705793146368E-3</v>
      </c>
      <c r="C55" s="10">
        <v>1.288268499550439E-3</v>
      </c>
      <c r="D55" s="4">
        <v>4.3125103988209893E-4</v>
      </c>
      <c r="E55" s="4">
        <v>8.6250207976419787E-4</v>
      </c>
      <c r="F55" s="4">
        <v>8.5701745966833992E-4</v>
      </c>
      <c r="G55" s="4">
        <v>8.5701745966833992E-4</v>
      </c>
      <c r="H55" s="4">
        <v>4.2576641978624098E-4</v>
      </c>
    </row>
    <row r="56" spans="1:8">
      <c r="A56" s="29" t="s">
        <v>284</v>
      </c>
      <c r="B56" s="4">
        <v>1.2560505508372971E-3</v>
      </c>
      <c r="C56" s="10">
        <v>0</v>
      </c>
      <c r="D56" s="4">
        <v>0</v>
      </c>
      <c r="E56" s="4">
        <v>0</v>
      </c>
      <c r="F56" s="4">
        <v>0</v>
      </c>
      <c r="G56" s="4">
        <v>0</v>
      </c>
      <c r="H56" s="4">
        <v>0</v>
      </c>
    </row>
    <row r="57" spans="1:8">
      <c r="A57" s="29" t="s">
        <v>285</v>
      </c>
      <c r="B57" s="4">
        <v>1.4150595622700123E-2</v>
      </c>
      <c r="C57" s="10">
        <v>1.650871635155611E-3</v>
      </c>
      <c r="D57" s="4">
        <v>2.4908341976855633E-4</v>
      </c>
      <c r="E57" s="4">
        <v>2.6699255247966268E-3</v>
      </c>
      <c r="F57" s="4">
        <v>3.9155699190736616E-3</v>
      </c>
      <c r="G57" s="4">
        <v>2.4313639851642451E-3</v>
      </c>
      <c r="H57" s="4">
        <v>4.3101487452474286E-3</v>
      </c>
    </row>
    <row r="58" spans="1:8">
      <c r="A58" s="29" t="s">
        <v>286</v>
      </c>
      <c r="B58" s="4">
        <v>0</v>
      </c>
      <c r="C58" s="10">
        <v>0</v>
      </c>
      <c r="D58" s="4">
        <v>0</v>
      </c>
      <c r="E58" s="4">
        <v>0</v>
      </c>
      <c r="F58" s="4">
        <v>0</v>
      </c>
      <c r="G58" s="4">
        <v>0</v>
      </c>
      <c r="H58" s="4">
        <v>0</v>
      </c>
    </row>
    <row r="59" spans="1:8">
      <c r="A59" s="29" t="s">
        <v>287</v>
      </c>
      <c r="B59" s="4">
        <v>8.9934503985097806E-4</v>
      </c>
      <c r="C59" s="10">
        <v>0</v>
      </c>
      <c r="D59" s="4">
        <v>0</v>
      </c>
      <c r="E59" s="4">
        <v>0</v>
      </c>
      <c r="F59" s="4">
        <v>0</v>
      </c>
      <c r="G59" s="4">
        <v>0</v>
      </c>
      <c r="H59" s="4">
        <v>0</v>
      </c>
    </row>
    <row r="60" spans="1:8">
      <c r="A60" s="29" t="s">
        <v>288</v>
      </c>
      <c r="B60" s="4">
        <v>0.10348355000346238</v>
      </c>
      <c r="C60" s="10">
        <v>4.9561711010057234E-2</v>
      </c>
      <c r="D60" s="4">
        <v>1.5426951572927075E-2</v>
      </c>
      <c r="E60" s="4">
        <v>6.8768446930055228E-3</v>
      </c>
      <c r="F60" s="4">
        <v>9.7376714384986747E-3</v>
      </c>
      <c r="G60" s="4">
        <v>7.8637269993882576E-3</v>
      </c>
      <c r="H60" s="4">
        <v>1.5796998169645745E-2</v>
      </c>
    </row>
    <row r="61" spans="1:8">
      <c r="A61" s="29" t="s">
        <v>289</v>
      </c>
      <c r="B61" s="4">
        <v>8.1949320762762302E-4</v>
      </c>
      <c r="C61" s="10">
        <v>4.0974660381381151E-4</v>
      </c>
      <c r="D61" s="4">
        <v>4.0974660381381151E-4</v>
      </c>
      <c r="E61" s="4">
        <v>0</v>
      </c>
      <c r="F61" s="4">
        <v>4.0974660381381151E-4</v>
      </c>
      <c r="G61" s="4">
        <v>0</v>
      </c>
      <c r="H61" s="4">
        <v>8.1949320762762302E-4</v>
      </c>
    </row>
    <row r="62" spans="1:8">
      <c r="A62" s="29" t="s">
        <v>290</v>
      </c>
      <c r="B62" s="4">
        <v>0</v>
      </c>
      <c r="C62" s="10">
        <v>0</v>
      </c>
      <c r="D62" s="4">
        <v>0</v>
      </c>
      <c r="E62" s="4">
        <v>0</v>
      </c>
      <c r="F62" s="4">
        <v>0</v>
      </c>
      <c r="G62" s="4">
        <v>0</v>
      </c>
      <c r="H62" s="4">
        <v>0</v>
      </c>
    </row>
    <row r="63" spans="1:8">
      <c r="A63" s="29" t="s">
        <v>291</v>
      </c>
      <c r="B63" s="4">
        <v>0</v>
      </c>
      <c r="C63" s="10">
        <v>0</v>
      </c>
      <c r="D63" s="4">
        <v>0</v>
      </c>
      <c r="E63" s="4">
        <v>0</v>
      </c>
      <c r="F63" s="4">
        <v>0</v>
      </c>
      <c r="G63" s="4">
        <v>0</v>
      </c>
      <c r="H63" s="4">
        <v>0</v>
      </c>
    </row>
    <row r="64" spans="1:8">
      <c r="A64" s="29" t="s">
        <v>292</v>
      </c>
      <c r="B64" s="4">
        <v>7.4630637859472958E-3</v>
      </c>
      <c r="C64" s="10">
        <v>1.178891965005687E-3</v>
      </c>
      <c r="D64" s="4">
        <v>4.1568994893974868E-4</v>
      </c>
      <c r="E64" s="4">
        <v>1.2725618318631684E-3</v>
      </c>
      <c r="F64" s="4">
        <v>1.6725573573905998E-3</v>
      </c>
      <c r="G64" s="4">
        <v>1.3087092841056521E-3</v>
      </c>
      <c r="H64" s="4">
        <v>0</v>
      </c>
    </row>
    <row r="65" spans="1:8">
      <c r="A65" s="29" t="s">
        <v>293</v>
      </c>
      <c r="B65" s="4">
        <v>0</v>
      </c>
      <c r="C65" s="10">
        <v>0</v>
      </c>
      <c r="D65" s="4">
        <v>0</v>
      </c>
      <c r="E65" s="4">
        <v>0</v>
      </c>
      <c r="F65" s="4">
        <v>0</v>
      </c>
      <c r="G65" s="4">
        <v>0</v>
      </c>
      <c r="H65" s="4">
        <v>0</v>
      </c>
    </row>
    <row r="66" spans="1:8">
      <c r="A66" s="29" t="s">
        <v>294</v>
      </c>
      <c r="B66" s="4">
        <v>0</v>
      </c>
      <c r="C66" s="10">
        <v>0</v>
      </c>
      <c r="D66" s="4">
        <v>0</v>
      </c>
      <c r="E66" s="4">
        <v>0</v>
      </c>
      <c r="F66" s="4">
        <v>0</v>
      </c>
      <c r="G66" s="4">
        <v>0</v>
      </c>
      <c r="H66" s="4">
        <v>0</v>
      </c>
    </row>
    <row r="67" spans="1:8">
      <c r="A67" s="29" t="s">
        <v>295</v>
      </c>
      <c r="B67" s="4">
        <v>6.0167284841477972E-2</v>
      </c>
      <c r="C67" s="10">
        <v>1.1410121635898352E-2</v>
      </c>
      <c r="D67" s="4">
        <v>4.3182394939197911E-3</v>
      </c>
      <c r="E67" s="4">
        <v>8.6500082528442965E-3</v>
      </c>
      <c r="F67" s="4">
        <v>2.9364646826839754E-2</v>
      </c>
      <c r="G67" s="4">
        <v>2.3350037357020891E-3</v>
      </c>
      <c r="H67" s="4">
        <v>2.8242492936987164E-3</v>
      </c>
    </row>
    <row r="68" spans="1:8">
      <c r="A68" s="29" t="s">
        <v>296</v>
      </c>
      <c r="B68" s="4">
        <v>7.1445527306996466E-4</v>
      </c>
      <c r="C68" s="10">
        <v>4.0974660381381151E-4</v>
      </c>
      <c r="D68" s="4">
        <v>4.0974660381381151E-4</v>
      </c>
      <c r="E68" s="4">
        <v>3.0470866925615315E-4</v>
      </c>
      <c r="F68" s="4">
        <v>0</v>
      </c>
      <c r="G68" s="4">
        <v>0</v>
      </c>
      <c r="H68" s="4">
        <v>0</v>
      </c>
    </row>
    <row r="69" spans="1:8">
      <c r="A69" s="29" t="s">
        <v>297</v>
      </c>
      <c r="B69" s="4">
        <v>0</v>
      </c>
      <c r="C69" s="10">
        <v>0</v>
      </c>
      <c r="D69" s="4">
        <v>0</v>
      </c>
      <c r="E69" s="4">
        <v>0</v>
      </c>
      <c r="F69" s="4">
        <v>0</v>
      </c>
      <c r="G69" s="4">
        <v>0</v>
      </c>
      <c r="H69" s="4">
        <v>0</v>
      </c>
    </row>
    <row r="70" spans="1:8">
      <c r="A70" s="29" t="s">
        <v>298</v>
      </c>
      <c r="B70" s="4">
        <v>5.6186619331616422E-3</v>
      </c>
      <c r="C70" s="10">
        <v>4.9435637106598667E-3</v>
      </c>
      <c r="D70" s="4">
        <v>0</v>
      </c>
      <c r="E70" s="4">
        <v>0</v>
      </c>
      <c r="F70" s="4">
        <v>0</v>
      </c>
      <c r="G70" s="4">
        <v>4.2576641978624098E-4</v>
      </c>
      <c r="H70" s="4">
        <v>1.8053060406724253E-3</v>
      </c>
    </row>
    <row r="71" spans="1:8">
      <c r="A71" s="29" t="s">
        <v>299</v>
      </c>
      <c r="B71" s="4">
        <v>0</v>
      </c>
      <c r="C71" s="10">
        <v>0</v>
      </c>
      <c r="D71" s="4">
        <v>0</v>
      </c>
      <c r="E71" s="4">
        <v>0</v>
      </c>
      <c r="F71" s="4">
        <v>0</v>
      </c>
      <c r="G71" s="4">
        <v>0</v>
      </c>
      <c r="H71" s="4">
        <v>0</v>
      </c>
    </row>
    <row r="72" spans="1:8">
      <c r="A72" s="29" t="s">
        <v>300</v>
      </c>
      <c r="B72" s="4">
        <v>7.1760085684089803E-4</v>
      </c>
      <c r="C72" s="10">
        <v>0</v>
      </c>
      <c r="D72" s="4">
        <v>2.5893375779020454E-4</v>
      </c>
      <c r="E72" s="4">
        <v>0</v>
      </c>
      <c r="F72" s="4">
        <v>0</v>
      </c>
      <c r="G72" s="4">
        <v>4.5866709905069349E-4</v>
      </c>
      <c r="H72" s="4">
        <v>0</v>
      </c>
    </row>
    <row r="73" spans="1:8">
      <c r="A73" s="29" t="s">
        <v>301</v>
      </c>
      <c r="B73" s="4">
        <v>0</v>
      </c>
      <c r="C73" s="10">
        <v>0</v>
      </c>
      <c r="D73" s="4">
        <v>0</v>
      </c>
      <c r="E73" s="4">
        <v>0</v>
      </c>
      <c r="F73" s="4">
        <v>0</v>
      </c>
      <c r="G73" s="4">
        <v>0</v>
      </c>
      <c r="H73" s="4">
        <v>0</v>
      </c>
    </row>
    <row r="74" spans="1:8">
      <c r="A74" s="29" t="s">
        <v>302</v>
      </c>
      <c r="B74" s="4">
        <v>1.97837227838565E-3</v>
      </c>
      <c r="C74" s="10">
        <v>5.256705102670452E-4</v>
      </c>
      <c r="D74" s="4">
        <v>0</v>
      </c>
      <c r="E74" s="4">
        <v>5.1754550477985768E-4</v>
      </c>
      <c r="F74" s="4">
        <v>1.0071439408170244E-3</v>
      </c>
      <c r="G74" s="4">
        <v>4.895984360371666E-4</v>
      </c>
      <c r="H74" s="4">
        <v>0</v>
      </c>
    </row>
    <row r="75" spans="1:8">
      <c r="A75" s="29" t="s">
        <v>303</v>
      </c>
      <c r="B75" s="4">
        <v>0</v>
      </c>
      <c r="C75" s="10">
        <v>0</v>
      </c>
      <c r="D75" s="4">
        <v>0</v>
      </c>
      <c r="E75" s="4">
        <v>0</v>
      </c>
      <c r="F75" s="4">
        <v>0</v>
      </c>
      <c r="G75" s="4">
        <v>0</v>
      </c>
      <c r="H75" s="4">
        <v>0</v>
      </c>
    </row>
    <row r="76" spans="1:8">
      <c r="A76" s="29" t="s">
        <v>304</v>
      </c>
      <c r="B76" s="4">
        <v>8.4887172110578518E-4</v>
      </c>
      <c r="C76" s="10">
        <v>0</v>
      </c>
      <c r="D76" s="4">
        <v>0</v>
      </c>
      <c r="E76" s="4">
        <v>0</v>
      </c>
      <c r="F76" s="4">
        <v>2.5921206713688479E-4</v>
      </c>
      <c r="G76" s="4">
        <v>8.4887172110578518E-4</v>
      </c>
      <c r="H76" s="4">
        <v>2.5921206713688479E-4</v>
      </c>
    </row>
    <row r="77" spans="1:8">
      <c r="A77" s="29" t="s">
        <v>305</v>
      </c>
      <c r="B77" s="4">
        <v>3.6718964404412607E-3</v>
      </c>
      <c r="C77" s="10">
        <v>1.1483743489263004E-3</v>
      </c>
      <c r="D77" s="4">
        <v>2.4908341976855633E-4</v>
      </c>
      <c r="E77" s="4">
        <v>6.5883002358236784E-4</v>
      </c>
      <c r="F77" s="4">
        <v>2.1137754877011486E-3</v>
      </c>
      <c r="G77" s="4">
        <v>0</v>
      </c>
      <c r="H77" s="4">
        <v>0</v>
      </c>
    </row>
    <row r="78" spans="1:8">
      <c r="A78" s="29" t="s">
        <v>306</v>
      </c>
      <c r="B78" s="4">
        <v>2.3799169594609704E-2</v>
      </c>
      <c r="C78" s="10">
        <v>3.8219185558422296E-3</v>
      </c>
      <c r="D78" s="4">
        <v>4.4408400046736969E-3</v>
      </c>
      <c r="E78" s="4">
        <v>2.6736105010376544E-3</v>
      </c>
      <c r="F78" s="4">
        <v>1.1236151305092128E-2</v>
      </c>
      <c r="G78" s="4">
        <v>3.2446790279635315E-3</v>
      </c>
      <c r="H78" s="4">
        <v>3.8410757167345951E-4</v>
      </c>
    </row>
    <row r="79" spans="1:8">
      <c r="A79" s="29" t="s">
        <v>307</v>
      </c>
      <c r="B79" s="4">
        <v>5.1786751558040908E-4</v>
      </c>
      <c r="C79" s="10">
        <v>5.1786751558040908E-4</v>
      </c>
      <c r="D79" s="4">
        <v>0</v>
      </c>
      <c r="E79" s="4">
        <v>0</v>
      </c>
      <c r="F79" s="4">
        <v>2.5893375779020454E-4</v>
      </c>
      <c r="G79" s="4">
        <v>0</v>
      </c>
      <c r="H79" s="4">
        <v>2.5893375779020454E-4</v>
      </c>
    </row>
    <row r="80" spans="1:8">
      <c r="A80" s="29" t="s">
        <v>308</v>
      </c>
      <c r="B80" s="4">
        <v>2.5893375779020454E-4</v>
      </c>
      <c r="C80" s="10">
        <v>2.5893375779020454E-4</v>
      </c>
      <c r="D80" s="4">
        <v>0</v>
      </c>
      <c r="E80" s="4">
        <v>0</v>
      </c>
      <c r="F80" s="4">
        <v>2.5893375779020454E-4</v>
      </c>
      <c r="G80" s="4">
        <v>0</v>
      </c>
      <c r="H80" s="4">
        <v>2.5893375779020454E-4</v>
      </c>
    </row>
    <row r="81" spans="1:8">
      <c r="A81" s="29" t="s">
        <v>309</v>
      </c>
      <c r="B81" s="4">
        <v>0</v>
      </c>
      <c r="C81" s="10">
        <v>0</v>
      </c>
      <c r="D81" s="4">
        <v>0</v>
      </c>
      <c r="E81" s="4">
        <v>0</v>
      </c>
      <c r="F81" s="4">
        <v>0</v>
      </c>
      <c r="G81" s="4">
        <v>0</v>
      </c>
      <c r="H81" s="4">
        <v>0</v>
      </c>
    </row>
    <row r="82" spans="1:8">
      <c r="A82" s="29" t="s">
        <v>310</v>
      </c>
      <c r="B82" s="4">
        <v>4.0429144683228773E-4</v>
      </c>
      <c r="C82" s="10">
        <v>0</v>
      </c>
      <c r="D82" s="4">
        <v>0</v>
      </c>
      <c r="E82" s="4">
        <v>0</v>
      </c>
      <c r="F82" s="4">
        <v>4.0429144683228773E-4</v>
      </c>
      <c r="G82" s="4">
        <v>0</v>
      </c>
      <c r="H82" s="4">
        <v>0</v>
      </c>
    </row>
    <row r="83" spans="1:8">
      <c r="A83" s="29" t="s">
        <v>311</v>
      </c>
      <c r="B83" s="4">
        <v>1.5421490670817621E-3</v>
      </c>
      <c r="C83" s="10">
        <v>7.5489649233188827E-4</v>
      </c>
      <c r="D83" s="4">
        <v>0</v>
      </c>
      <c r="E83" s="4">
        <v>0</v>
      </c>
      <c r="F83" s="4">
        <v>4.6175960257211217E-4</v>
      </c>
      <c r="G83" s="4">
        <v>0</v>
      </c>
      <c r="H83" s="4">
        <v>3.2549297217776167E-4</v>
      </c>
    </row>
    <row r="84" spans="1:8">
      <c r="A84" s="29" t="s">
        <v>312</v>
      </c>
      <c r="B84" s="4">
        <v>0</v>
      </c>
      <c r="C84" s="10">
        <v>0</v>
      </c>
      <c r="D84" s="4">
        <v>0</v>
      </c>
      <c r="E84" s="4">
        <v>0</v>
      </c>
      <c r="F84" s="4">
        <v>0</v>
      </c>
      <c r="G84" s="4">
        <v>0</v>
      </c>
      <c r="H84" s="4">
        <v>0</v>
      </c>
    </row>
    <row r="85" spans="1:8">
      <c r="A85" s="29" t="s">
        <v>313</v>
      </c>
      <c r="B85" s="4">
        <v>1.0960742951979779E-3</v>
      </c>
      <c r="C85" s="10">
        <v>6.9208989176776749E-4</v>
      </c>
      <c r="D85" s="4">
        <v>0</v>
      </c>
      <c r="E85" s="4">
        <v>0</v>
      </c>
      <c r="F85" s="4">
        <v>0</v>
      </c>
      <c r="G85" s="4">
        <v>3.2549297217776167E-4</v>
      </c>
      <c r="H85" s="4">
        <v>0</v>
      </c>
    </row>
    <row r="86" spans="1:8">
      <c r="A86" s="29" t="s">
        <v>314</v>
      </c>
      <c r="B86" s="4">
        <v>0</v>
      </c>
      <c r="C86" s="10">
        <v>0</v>
      </c>
      <c r="D86" s="4">
        <v>0</v>
      </c>
      <c r="E86" s="4">
        <v>0</v>
      </c>
      <c r="F86" s="4">
        <v>0</v>
      </c>
      <c r="G86" s="4">
        <v>0</v>
      </c>
      <c r="H86" s="4">
        <v>0</v>
      </c>
    </row>
    <row r="87" spans="1:8">
      <c r="A87" s="29" t="s">
        <v>315</v>
      </c>
      <c r="B87" s="4">
        <v>2.7080677566948742E-4</v>
      </c>
      <c r="C87" s="10">
        <v>0</v>
      </c>
      <c r="D87" s="4">
        <v>2.7080677566948742E-4</v>
      </c>
      <c r="E87" s="4">
        <v>0</v>
      </c>
      <c r="F87" s="4">
        <v>0</v>
      </c>
      <c r="G87" s="4">
        <v>0</v>
      </c>
      <c r="H87" s="4">
        <v>0</v>
      </c>
    </row>
    <row r="88" spans="1:8">
      <c r="A88" s="29" t="s">
        <v>316</v>
      </c>
      <c r="B88" s="4">
        <v>8.0080287592525692E-3</v>
      </c>
      <c r="C88" s="10">
        <v>6.5098594435552333E-4</v>
      </c>
      <c r="D88" s="4">
        <v>0</v>
      </c>
      <c r="E88" s="4">
        <v>2.946947945705976E-4</v>
      </c>
      <c r="F88" s="4">
        <v>4.5280730196080527E-3</v>
      </c>
      <c r="G88" s="4">
        <v>1.1197901030738987E-3</v>
      </c>
      <c r="H88" s="4">
        <v>5.5989505153694933E-4</v>
      </c>
    </row>
    <row r="89" spans="1:8">
      <c r="A89" s="29" t="s">
        <v>317</v>
      </c>
      <c r="B89" s="4">
        <v>2.7080677566948742E-4</v>
      </c>
      <c r="C89" s="10">
        <v>0</v>
      </c>
      <c r="D89" s="4">
        <v>0</v>
      </c>
      <c r="E89" s="4">
        <v>0</v>
      </c>
      <c r="F89" s="4">
        <v>0</v>
      </c>
      <c r="G89" s="4">
        <v>0</v>
      </c>
      <c r="H89" s="4">
        <v>0</v>
      </c>
    </row>
    <row r="90" spans="1:8">
      <c r="A90" s="29" t="s">
        <v>318</v>
      </c>
      <c r="B90" s="4">
        <v>0</v>
      </c>
      <c r="C90" s="10">
        <v>0</v>
      </c>
      <c r="D90" s="4">
        <v>0</v>
      </c>
      <c r="E90" s="4">
        <v>0</v>
      </c>
      <c r="F90" s="4">
        <v>0</v>
      </c>
      <c r="G90" s="4">
        <v>0</v>
      </c>
      <c r="H90" s="4">
        <v>0</v>
      </c>
    </row>
    <row r="91" spans="1:8">
      <c r="A91" s="29" t="s">
        <v>319</v>
      </c>
      <c r="B91" s="4">
        <v>5.3032555409072172E-3</v>
      </c>
      <c r="C91" s="10">
        <v>2.8922005275750071E-4</v>
      </c>
      <c r="D91" s="4">
        <v>5.7844010551500141E-4</v>
      </c>
      <c r="E91" s="4">
        <v>7.8427785260705614E-4</v>
      </c>
      <c r="F91" s="4">
        <v>7.4230157744463595E-4</v>
      </c>
      <c r="G91" s="4">
        <v>0</v>
      </c>
      <c r="H91" s="4">
        <v>5.6002682842698807E-4</v>
      </c>
    </row>
    <row r="92" spans="1:8">
      <c r="A92" s="29" t="s">
        <v>320</v>
      </c>
      <c r="B92" s="4">
        <v>3.3334438932660601E-4</v>
      </c>
      <c r="C92" s="10">
        <v>0</v>
      </c>
      <c r="D92" s="4">
        <v>3.3334438932660601E-4</v>
      </c>
      <c r="E92" s="4">
        <v>0</v>
      </c>
      <c r="F92" s="4">
        <v>3.3334438932660601E-4</v>
      </c>
      <c r="G92" s="4">
        <v>0</v>
      </c>
      <c r="H92" s="4">
        <v>0</v>
      </c>
    </row>
    <row r="93" spans="1:8">
      <c r="A93" s="29" t="s">
        <v>321</v>
      </c>
      <c r="B93" s="4">
        <v>1.2865152573754805E-3</v>
      </c>
      <c r="C93" s="10">
        <v>0</v>
      </c>
      <c r="D93" s="4">
        <v>2.4908341976855633E-4</v>
      </c>
      <c r="E93" s="4">
        <v>0</v>
      </c>
      <c r="F93" s="4">
        <v>0</v>
      </c>
      <c r="G93" s="4">
        <v>0</v>
      </c>
      <c r="H93" s="4">
        <v>0</v>
      </c>
    </row>
    <row r="94" spans="1:8">
      <c r="A94" s="29" t="s">
        <v>322</v>
      </c>
      <c r="B94" s="4">
        <v>0</v>
      </c>
      <c r="C94" s="10">
        <v>0</v>
      </c>
      <c r="D94" s="4">
        <v>0</v>
      </c>
      <c r="E94" s="4">
        <v>0</v>
      </c>
      <c r="F94" s="4">
        <v>0</v>
      </c>
      <c r="G94" s="4">
        <v>0</v>
      </c>
      <c r="H94" s="4">
        <v>0</v>
      </c>
    </row>
    <row r="95" spans="1:8">
      <c r="A95" s="29" t="s">
        <v>323</v>
      </c>
      <c r="B95" s="4">
        <v>2.0190460870175811E-3</v>
      </c>
      <c r="C95" s="10">
        <v>4.6175960257211217E-4</v>
      </c>
      <c r="D95" s="4">
        <v>0</v>
      </c>
      <c r="E95" s="4">
        <v>0</v>
      </c>
      <c r="F95" s="4">
        <v>1.4293864330486804E-3</v>
      </c>
      <c r="G95" s="4">
        <v>9.9364405739911076E-4</v>
      </c>
      <c r="H95" s="4">
        <v>4.6175960257211217E-4</v>
      </c>
    </row>
    <row r="96" spans="1:8">
      <c r="A96" s="29" t="s">
        <v>324</v>
      </c>
      <c r="B96" s="4">
        <v>4.2281810121584495E-2</v>
      </c>
      <c r="C96" s="10">
        <v>2.4059266273461256E-2</v>
      </c>
      <c r="D96" s="4">
        <v>6.264271040357686E-3</v>
      </c>
      <c r="E96" s="4">
        <v>1.9961030056237982E-3</v>
      </c>
      <c r="F96" s="4">
        <v>0</v>
      </c>
      <c r="G96" s="4">
        <v>6.717094177921811E-4</v>
      </c>
      <c r="H96" s="4">
        <v>1.0386395342103108E-2</v>
      </c>
    </row>
    <row r="97" spans="1:8">
      <c r="A97" s="29" t="s">
        <v>325</v>
      </c>
      <c r="B97" s="4">
        <v>2.2469993970488547E-3</v>
      </c>
      <c r="C97" s="10">
        <v>5.256705102670452E-4</v>
      </c>
      <c r="D97" s="4">
        <v>0</v>
      </c>
      <c r="E97" s="4">
        <v>4.0974660381381151E-4</v>
      </c>
      <c r="F97" s="4">
        <v>1.3115822829679979E-3</v>
      </c>
      <c r="G97" s="4">
        <v>0</v>
      </c>
      <c r="H97" s="4">
        <v>0</v>
      </c>
    </row>
    <row r="98" spans="1:8">
      <c r="A98" s="29" t="s">
        <v>326</v>
      </c>
      <c r="B98" s="4">
        <v>0</v>
      </c>
      <c r="C98" s="10">
        <v>0</v>
      </c>
      <c r="D98" s="4">
        <v>0</v>
      </c>
      <c r="E98" s="4">
        <v>0</v>
      </c>
      <c r="F98" s="4">
        <v>0</v>
      </c>
      <c r="G98" s="4">
        <v>0</v>
      </c>
      <c r="H98" s="4">
        <v>0</v>
      </c>
    </row>
    <row r="99" spans="1:8">
      <c r="A99" s="29" t="s">
        <v>327</v>
      </c>
      <c r="B99" s="4">
        <v>0</v>
      </c>
      <c r="C99" s="10">
        <v>0</v>
      </c>
      <c r="D99" s="4">
        <v>0</v>
      </c>
      <c r="E99" s="4">
        <v>0</v>
      </c>
      <c r="F99" s="4">
        <v>0</v>
      </c>
      <c r="G99" s="4">
        <v>0</v>
      </c>
      <c r="H99" s="4">
        <v>0</v>
      </c>
    </row>
    <row r="100" spans="1:8">
      <c r="A100" s="29" t="s">
        <v>328</v>
      </c>
      <c r="B100" s="4">
        <v>0</v>
      </c>
      <c r="C100" s="10">
        <v>0</v>
      </c>
      <c r="D100" s="4">
        <v>0</v>
      </c>
      <c r="E100" s="4">
        <v>0</v>
      </c>
      <c r="F100" s="4">
        <v>0</v>
      </c>
      <c r="G100" s="4">
        <v>0</v>
      </c>
      <c r="H100" s="4">
        <v>0</v>
      </c>
    </row>
    <row r="101" spans="1:8">
      <c r="A101" s="29" t="s">
        <v>329</v>
      </c>
      <c r="B101" s="4">
        <v>0</v>
      </c>
      <c r="C101" s="10">
        <v>0</v>
      </c>
      <c r="D101" s="4">
        <v>0</v>
      </c>
      <c r="E101" s="4">
        <v>0</v>
      </c>
      <c r="F101" s="4">
        <v>0</v>
      </c>
      <c r="G101" s="4">
        <v>0</v>
      </c>
      <c r="H101" s="4">
        <v>0</v>
      </c>
    </row>
    <row r="102" spans="1:8">
      <c r="A102" s="29" t="s">
        <v>330</v>
      </c>
      <c r="B102" s="4">
        <v>2.7080677566948742E-4</v>
      </c>
      <c r="C102" s="10">
        <v>0</v>
      </c>
      <c r="D102" s="4">
        <v>0</v>
      </c>
      <c r="E102" s="4">
        <v>2.7080677566948742E-4</v>
      </c>
      <c r="F102" s="4">
        <v>2.7080677566948742E-4</v>
      </c>
      <c r="G102" s="4">
        <v>2.7080677566948742E-4</v>
      </c>
      <c r="H102" s="4">
        <v>2.7080677566948742E-4</v>
      </c>
    </row>
    <row r="103" spans="1:8">
      <c r="A103" s="29" t="s">
        <v>331</v>
      </c>
      <c r="B103" s="4">
        <v>1.9320715320899286E-3</v>
      </c>
      <c r="C103" s="10">
        <v>7.3803169766835256E-4</v>
      </c>
      <c r="D103" s="4">
        <v>2.4908341976855633E-4</v>
      </c>
      <c r="E103" s="4">
        <v>5.4377821433915393E-4</v>
      </c>
      <c r="F103" s="4">
        <v>1.1484284596195344E-3</v>
      </c>
      <c r="G103" s="4">
        <v>0</v>
      </c>
      <c r="H103" s="4">
        <v>0</v>
      </c>
    </row>
    <row r="104" spans="1:8">
      <c r="A104" s="29" t="s">
        <v>332</v>
      </c>
      <c r="B104" s="4">
        <v>0</v>
      </c>
      <c r="C104" s="10">
        <v>0</v>
      </c>
      <c r="D104" s="4">
        <v>0</v>
      </c>
      <c r="E104" s="4">
        <v>0</v>
      </c>
      <c r="F104" s="4">
        <v>0</v>
      </c>
      <c r="G104" s="4">
        <v>0</v>
      </c>
      <c r="H104" s="4">
        <v>0</v>
      </c>
    </row>
    <row r="105" spans="1:8">
      <c r="A105" s="29" t="s">
        <v>333</v>
      </c>
      <c r="B105" s="4">
        <v>0</v>
      </c>
      <c r="C105" s="10">
        <v>0</v>
      </c>
      <c r="D105" s="4">
        <v>0</v>
      </c>
      <c r="E105" s="4">
        <v>0</v>
      </c>
      <c r="F105" s="4">
        <v>0</v>
      </c>
      <c r="G105" s="4">
        <v>0</v>
      </c>
      <c r="H105" s="4">
        <v>0</v>
      </c>
    </row>
    <row r="106" spans="1:8">
      <c r="A106" s="29" t="s">
        <v>334</v>
      </c>
      <c r="B106" s="4">
        <v>4.2576641978624098E-4</v>
      </c>
      <c r="C106" s="10">
        <v>4.2576641978624098E-4</v>
      </c>
      <c r="D106" s="4">
        <v>0</v>
      </c>
      <c r="E106" s="4">
        <v>4.2576641978624098E-4</v>
      </c>
      <c r="F106" s="4">
        <v>0</v>
      </c>
      <c r="G106" s="4">
        <v>0</v>
      </c>
      <c r="H106" s="4">
        <v>4.2576641978624098E-4</v>
      </c>
    </row>
    <row r="107" spans="1:8">
      <c r="A107" s="29" t="s">
        <v>335</v>
      </c>
      <c r="B107" s="4">
        <v>1.140253880416795E-3</v>
      </c>
      <c r="C107" s="10">
        <v>4.6175960257211217E-4</v>
      </c>
      <c r="D107" s="4">
        <v>0</v>
      </c>
      <c r="E107" s="4">
        <v>0</v>
      </c>
      <c r="F107" s="4">
        <v>0</v>
      </c>
      <c r="G107" s="4">
        <v>4.6175960257211217E-4</v>
      </c>
      <c r="H107" s="4">
        <v>4.6175960257211217E-4</v>
      </c>
    </row>
    <row r="108" spans="1:8">
      <c r="A108" s="29" t="s">
        <v>336</v>
      </c>
      <c r="B108" s="4">
        <v>0</v>
      </c>
      <c r="C108" s="10">
        <v>0</v>
      </c>
      <c r="D108" s="4">
        <v>0</v>
      </c>
      <c r="E108" s="4">
        <v>0</v>
      </c>
      <c r="F108" s="4">
        <v>0</v>
      </c>
      <c r="G108" s="4">
        <v>0</v>
      </c>
      <c r="H108" s="4">
        <v>0</v>
      </c>
    </row>
    <row r="109" spans="1:8">
      <c r="A109" s="29" t="s">
        <v>337</v>
      </c>
      <c r="B109" s="4">
        <v>0</v>
      </c>
      <c r="C109" s="10">
        <v>0</v>
      </c>
      <c r="D109" s="4">
        <v>0</v>
      </c>
      <c r="E109" s="4">
        <v>0</v>
      </c>
      <c r="F109" s="4">
        <v>0</v>
      </c>
      <c r="G109" s="4">
        <v>0</v>
      </c>
      <c r="H109" s="4">
        <v>0</v>
      </c>
    </row>
    <row r="110" spans="1:8">
      <c r="A110" s="29" t="s">
        <v>338</v>
      </c>
      <c r="B110" s="4">
        <v>2.6420579016954021E-3</v>
      </c>
      <c r="C110" s="10">
        <v>1.2728880333190314E-3</v>
      </c>
      <c r="D110" s="4">
        <v>0</v>
      </c>
      <c r="E110" s="4">
        <v>4.895984360371666E-4</v>
      </c>
      <c r="F110" s="4">
        <v>9.605976775023938E-4</v>
      </c>
      <c r="G110" s="4">
        <v>4.0922234901134727E-4</v>
      </c>
      <c r="H110" s="4">
        <v>9.7854671393696278E-4</v>
      </c>
    </row>
    <row r="111" spans="1:8">
      <c r="A111" s="29" t="s">
        <v>339</v>
      </c>
      <c r="B111" s="4">
        <v>0</v>
      </c>
      <c r="C111" s="10">
        <v>0</v>
      </c>
      <c r="D111" s="4">
        <v>0</v>
      </c>
      <c r="E111" s="4">
        <v>0</v>
      </c>
      <c r="F111" s="4">
        <v>0</v>
      </c>
      <c r="G111" s="4">
        <v>0</v>
      </c>
      <c r="H111" s="4">
        <v>0</v>
      </c>
    </row>
    <row r="112" spans="1:8">
      <c r="A112" s="29" t="s">
        <v>340</v>
      </c>
      <c r="B112" s="4">
        <v>4.0576153623401593E-3</v>
      </c>
      <c r="C112" s="10">
        <v>0</v>
      </c>
      <c r="D112" s="4">
        <v>0</v>
      </c>
      <c r="E112" s="4">
        <v>1.0474347327484581E-3</v>
      </c>
      <c r="F112" s="4">
        <v>3.0101806295917016E-3</v>
      </c>
      <c r="G112" s="4">
        <v>0</v>
      </c>
      <c r="H112" s="4">
        <v>0</v>
      </c>
    </row>
    <row r="113" spans="1:8">
      <c r="A113" s="29" t="s">
        <v>341</v>
      </c>
      <c r="B113" s="4">
        <v>1.6346829418584488E-3</v>
      </c>
      <c r="C113" s="10">
        <v>0</v>
      </c>
      <c r="D113" s="4">
        <v>4.6175960257211217E-4</v>
      </c>
      <c r="E113" s="4">
        <v>0</v>
      </c>
      <c r="F113" s="4">
        <v>6.2018776674835916E-4</v>
      </c>
      <c r="G113" s="4">
        <v>5.5273557253797737E-4</v>
      </c>
      <c r="H113" s="4">
        <v>0</v>
      </c>
    </row>
    <row r="114" spans="1:8">
      <c r="A114" s="29" t="s">
        <v>342</v>
      </c>
      <c r="B114" s="4">
        <v>0</v>
      </c>
      <c r="C114" s="10">
        <v>0</v>
      </c>
      <c r="D114" s="4">
        <v>0</v>
      </c>
      <c r="E114" s="4">
        <v>0</v>
      </c>
      <c r="F114" s="4">
        <v>0</v>
      </c>
      <c r="G114" s="4">
        <v>0</v>
      </c>
      <c r="H114" s="4">
        <v>0</v>
      </c>
    </row>
    <row r="115" spans="1:8">
      <c r="A115" s="29" t="s">
        <v>343</v>
      </c>
      <c r="B115" s="4">
        <v>0</v>
      </c>
      <c r="C115" s="10">
        <v>0</v>
      </c>
      <c r="D115" s="4">
        <v>0</v>
      </c>
      <c r="E115" s="4">
        <v>0</v>
      </c>
      <c r="F115" s="4">
        <v>0</v>
      </c>
      <c r="G115" s="4">
        <v>0</v>
      </c>
      <c r="H115" s="4">
        <v>0</v>
      </c>
    </row>
    <row r="116" spans="1:8">
      <c r="A116" s="29" t="s">
        <v>344</v>
      </c>
      <c r="B116" s="4">
        <v>3.8410757167345951E-4</v>
      </c>
      <c r="C116" s="10">
        <v>3.8410757167345951E-4</v>
      </c>
      <c r="D116" s="4">
        <v>0</v>
      </c>
      <c r="E116" s="4">
        <v>0</v>
      </c>
      <c r="F116" s="4">
        <v>0</v>
      </c>
      <c r="G116" s="4">
        <v>0</v>
      </c>
      <c r="H116" s="4">
        <v>0</v>
      </c>
    </row>
    <row r="117" spans="1:8">
      <c r="A117" s="29" t="s">
        <v>345</v>
      </c>
      <c r="B117" s="4">
        <v>9.766575779032009E-4</v>
      </c>
      <c r="C117" s="10">
        <v>0</v>
      </c>
      <c r="D117" s="4">
        <v>4.2392200536522337E-4</v>
      </c>
      <c r="E117" s="4">
        <v>4.2392200536522337E-4</v>
      </c>
      <c r="F117" s="4">
        <v>0</v>
      </c>
      <c r="G117" s="4">
        <v>0</v>
      </c>
      <c r="H117" s="4">
        <v>0</v>
      </c>
    </row>
    <row r="118" spans="1:8">
      <c r="A118" s="29" t="s">
        <v>346</v>
      </c>
      <c r="B118" s="4">
        <v>1.3086959192785976E-3</v>
      </c>
      <c r="C118" s="10">
        <v>0</v>
      </c>
      <c r="D118" s="4">
        <v>3.0470866925615315E-4</v>
      </c>
      <c r="E118" s="4">
        <v>0</v>
      </c>
      <c r="F118" s="4">
        <v>0</v>
      </c>
      <c r="G118" s="4">
        <v>0</v>
      </c>
      <c r="H118" s="4">
        <v>1.3086959192785976E-3</v>
      </c>
    </row>
    <row r="119" spans="1:8">
      <c r="A119" s="29" t="s">
        <v>347</v>
      </c>
      <c r="B119" s="4">
        <v>1.9548625878446119E-3</v>
      </c>
      <c r="C119" s="10">
        <v>1.5151513813984479E-3</v>
      </c>
      <c r="D119" s="4">
        <v>0</v>
      </c>
      <c r="E119" s="4">
        <v>3.4514988851807682E-4</v>
      </c>
      <c r="F119" s="4">
        <v>0</v>
      </c>
      <c r="G119" s="4">
        <v>4.3971120644616395E-4</v>
      </c>
      <c r="H119" s="4">
        <v>0</v>
      </c>
    </row>
    <row r="120" spans="1:8">
      <c r="A120" s="29" t="s">
        <v>348</v>
      </c>
      <c r="B120" s="4">
        <v>2.0318213562573323E-3</v>
      </c>
      <c r="C120" s="10">
        <v>4.1568994893974868E-4</v>
      </c>
      <c r="D120" s="4">
        <v>4.1568994893974868E-4</v>
      </c>
      <c r="E120" s="4">
        <v>4.6175960257211217E-4</v>
      </c>
      <c r="F120" s="4">
        <v>0</v>
      </c>
      <c r="G120" s="4">
        <v>0</v>
      </c>
      <c r="H120" s="4">
        <v>0</v>
      </c>
    </row>
    <row r="121" spans="1:8">
      <c r="A121" s="29" t="s">
        <v>349</v>
      </c>
      <c r="B121" s="4">
        <v>3.2864520747343806E-2</v>
      </c>
      <c r="C121" s="10">
        <v>2.3109384588779419E-3</v>
      </c>
      <c r="D121" s="4">
        <v>1.9593258233577323E-3</v>
      </c>
      <c r="E121" s="4">
        <v>2.5986488529886219E-3</v>
      </c>
      <c r="F121" s="4">
        <v>1.7270951847117605E-3</v>
      </c>
      <c r="G121" s="4">
        <v>2.1210616159100652E-3</v>
      </c>
      <c r="H121" s="4">
        <v>8.3475695050203042E-3</v>
      </c>
    </row>
    <row r="122" spans="1:8">
      <c r="A122" s="29" t="s">
        <v>350</v>
      </c>
      <c r="B122" s="4">
        <v>0</v>
      </c>
      <c r="C122" s="10">
        <v>0</v>
      </c>
      <c r="D122" s="4">
        <v>0</v>
      </c>
      <c r="E122" s="4">
        <v>0</v>
      </c>
      <c r="F122" s="4">
        <v>0</v>
      </c>
      <c r="G122" s="4">
        <v>0</v>
      </c>
      <c r="H122" s="4">
        <v>0</v>
      </c>
    </row>
    <row r="123" spans="1:8">
      <c r="A123" s="29" t="s">
        <v>351</v>
      </c>
      <c r="B123" s="4">
        <v>4.0319510665299948E-3</v>
      </c>
      <c r="C123" s="10">
        <v>3.8410757167345951E-4</v>
      </c>
      <c r="D123" s="4">
        <v>0</v>
      </c>
      <c r="E123" s="4">
        <v>3.8410757167345951E-4</v>
      </c>
      <c r="F123" s="4">
        <v>0</v>
      </c>
      <c r="G123" s="4">
        <v>4.8894827789979628E-4</v>
      </c>
      <c r="H123" s="4">
        <v>3.8410757167345951E-4</v>
      </c>
    </row>
    <row r="124" spans="1:8">
      <c r="A124" s="29" t="s">
        <v>352</v>
      </c>
      <c r="B124" s="4">
        <v>3.2204154821874596E-3</v>
      </c>
      <c r="C124" s="10">
        <v>1.1588808957620988E-3</v>
      </c>
      <c r="D124" s="4">
        <v>7.5125939196400259E-4</v>
      </c>
      <c r="E124" s="4">
        <v>0</v>
      </c>
      <c r="F124" s="4">
        <v>0</v>
      </c>
      <c r="G124" s="4">
        <v>0</v>
      </c>
      <c r="H124" s="4">
        <v>0</v>
      </c>
    </row>
    <row r="125" spans="1:8">
      <c r="A125" s="29" t="s">
        <v>353</v>
      </c>
      <c r="B125" s="4">
        <v>0</v>
      </c>
      <c r="C125" s="10">
        <v>0</v>
      </c>
      <c r="D125" s="4">
        <v>0</v>
      </c>
      <c r="E125" s="4">
        <v>0</v>
      </c>
      <c r="F125" s="4">
        <v>0</v>
      </c>
      <c r="G125" s="4">
        <v>0</v>
      </c>
      <c r="H125" s="4">
        <v>0</v>
      </c>
    </row>
    <row r="126" spans="1:8">
      <c r="A126" s="29" t="s">
        <v>354</v>
      </c>
      <c r="B126" s="4">
        <v>0</v>
      </c>
      <c r="C126" s="10">
        <v>0</v>
      </c>
      <c r="D126" s="4">
        <v>0</v>
      </c>
      <c r="E126" s="4">
        <v>0</v>
      </c>
      <c r="F126" s="4">
        <v>0</v>
      </c>
      <c r="G126" s="4">
        <v>0</v>
      </c>
      <c r="H126" s="4">
        <v>0</v>
      </c>
    </row>
    <row r="127" spans="1:8">
      <c r="A127" s="29" t="s">
        <v>355</v>
      </c>
      <c r="B127" s="4">
        <v>4.0054736614390498E-4</v>
      </c>
      <c r="C127" s="10">
        <v>4.0054736614390498E-4</v>
      </c>
      <c r="D127" s="4">
        <v>0</v>
      </c>
      <c r="E127" s="4">
        <v>4.0054736614390498E-4</v>
      </c>
      <c r="F127" s="4">
        <v>0</v>
      </c>
      <c r="G127" s="4">
        <v>0</v>
      </c>
      <c r="H127" s="4">
        <v>4.0054736614390498E-4</v>
      </c>
    </row>
    <row r="128" spans="1:8">
      <c r="A128" s="29" t="s">
        <v>356</v>
      </c>
      <c r="B128" s="4">
        <v>4.1477052839060729E-3</v>
      </c>
      <c r="C128" s="10">
        <v>0</v>
      </c>
      <c r="D128" s="4">
        <v>0</v>
      </c>
      <c r="E128" s="4">
        <v>5.4157371135623591E-4</v>
      </c>
      <c r="F128" s="4">
        <v>2.946947945705976E-4</v>
      </c>
      <c r="G128" s="4">
        <v>9.3290271244411346E-4</v>
      </c>
      <c r="H128" s="4">
        <v>0</v>
      </c>
    </row>
    <row r="129" spans="1:8">
      <c r="A129" s="29" t="s">
        <v>357</v>
      </c>
      <c r="B129" s="4">
        <v>0</v>
      </c>
      <c r="C129" s="10">
        <v>0</v>
      </c>
      <c r="D129" s="4">
        <v>0</v>
      </c>
      <c r="E129" s="4">
        <v>0</v>
      </c>
      <c r="F129" s="4">
        <v>0</v>
      </c>
      <c r="G129" s="4">
        <v>0</v>
      </c>
      <c r="H129" s="4">
        <v>0</v>
      </c>
    </row>
    <row r="130" spans="1:8">
      <c r="A130" s="29" t="s">
        <v>358</v>
      </c>
      <c r="B130" s="4">
        <v>2.0201476104459992E-3</v>
      </c>
      <c r="C130" s="10">
        <v>5.713364190928638E-4</v>
      </c>
      <c r="D130" s="4">
        <v>0</v>
      </c>
      <c r="E130" s="4">
        <v>0</v>
      </c>
      <c r="F130" s="4">
        <v>3.4514988851807682E-4</v>
      </c>
      <c r="G130" s="4">
        <v>0</v>
      </c>
      <c r="H130" s="4">
        <v>3.2549297217776167E-4</v>
      </c>
    </row>
    <row r="131" spans="1:8">
      <c r="A131" s="29" t="s">
        <v>359</v>
      </c>
      <c r="B131" s="4">
        <v>0</v>
      </c>
      <c r="C131" s="10">
        <v>0</v>
      </c>
      <c r="D131" s="4">
        <v>0</v>
      </c>
      <c r="E131" s="4">
        <v>0</v>
      </c>
      <c r="F131" s="4">
        <v>0</v>
      </c>
      <c r="G131" s="4">
        <v>0</v>
      </c>
      <c r="H131" s="4">
        <v>0</v>
      </c>
    </row>
    <row r="132" spans="1:8">
      <c r="A132" s="29" t="s">
        <v>360</v>
      </c>
      <c r="B132" s="4">
        <v>3.0313701595638628E-3</v>
      </c>
      <c r="C132" s="10">
        <v>1.3716237834544807E-3</v>
      </c>
      <c r="D132" s="4">
        <v>9.2996195709933293E-4</v>
      </c>
      <c r="E132" s="4">
        <v>0</v>
      </c>
      <c r="F132" s="4">
        <v>0</v>
      </c>
      <c r="G132" s="4">
        <v>0</v>
      </c>
      <c r="H132" s="4">
        <v>7.2978441901004945E-4</v>
      </c>
    </row>
    <row r="133" spans="1:8">
      <c r="A133" s="29" t="s">
        <v>361</v>
      </c>
      <c r="B133" s="4">
        <v>1.2710805133608677E-3</v>
      </c>
      <c r="C133" s="10">
        <v>6.4304132946366404E-4</v>
      </c>
      <c r="D133" s="4">
        <v>0</v>
      </c>
      <c r="E133" s="4">
        <v>3.3334438932660601E-4</v>
      </c>
      <c r="F133" s="4">
        <v>2.946947945705976E-4</v>
      </c>
      <c r="G133" s="4">
        <v>2.5893375779020454E-4</v>
      </c>
      <c r="H133" s="4">
        <v>2.5893375779020454E-4</v>
      </c>
    </row>
    <row r="134" spans="1:8">
      <c r="A134" s="29" t="s">
        <v>362</v>
      </c>
      <c r="B134" s="4">
        <v>0</v>
      </c>
      <c r="C134" s="10">
        <v>0</v>
      </c>
      <c r="D134" s="4">
        <v>0</v>
      </c>
      <c r="E134" s="4">
        <v>0</v>
      </c>
      <c r="F134" s="4">
        <v>0</v>
      </c>
      <c r="G134" s="4">
        <v>0</v>
      </c>
      <c r="H134" s="4">
        <v>0</v>
      </c>
    </row>
    <row r="135" spans="1:8">
      <c r="A135" s="29" t="s">
        <v>363</v>
      </c>
      <c r="B135" s="4">
        <v>2.1717984187797955E-3</v>
      </c>
      <c r="C135" s="10">
        <v>0</v>
      </c>
      <c r="D135" s="4">
        <v>0</v>
      </c>
      <c r="E135" s="4">
        <v>0</v>
      </c>
      <c r="F135" s="4">
        <v>0</v>
      </c>
      <c r="G135" s="4">
        <v>4.0054736614390498E-4</v>
      </c>
      <c r="H135" s="4">
        <v>3.0058458869675455E-4</v>
      </c>
    </row>
    <row r="136" spans="1:8">
      <c r="A136" s="29" t="s">
        <v>364</v>
      </c>
      <c r="B136" s="4">
        <v>0.24897749801878236</v>
      </c>
      <c r="C136" s="10">
        <v>2.9861038168208977E-2</v>
      </c>
      <c r="D136" s="4">
        <v>1.808224131290773E-2</v>
      </c>
      <c r="E136" s="4">
        <v>9.9997285218692514E-2</v>
      </c>
      <c r="F136" s="4">
        <v>5.7767279881170835E-2</v>
      </c>
      <c r="G136" s="4">
        <v>2.416010212194817E-2</v>
      </c>
      <c r="H136" s="4">
        <v>2.2232410093720421E-2</v>
      </c>
    </row>
    <row r="137" spans="1:8">
      <c r="A137" s="29" t="s">
        <v>365</v>
      </c>
      <c r="B137" s="4">
        <v>0</v>
      </c>
      <c r="C137" s="10">
        <v>0</v>
      </c>
      <c r="D137" s="4">
        <v>0</v>
      </c>
      <c r="E137" s="4">
        <v>0</v>
      </c>
      <c r="F137" s="4">
        <v>0</v>
      </c>
      <c r="G137" s="4">
        <v>0</v>
      </c>
      <c r="H137" s="4">
        <v>0</v>
      </c>
    </row>
    <row r="138" spans="1:8">
      <c r="A138" s="29" t="s">
        <v>366</v>
      </c>
      <c r="B138" s="4">
        <v>1.9468235754138499E-3</v>
      </c>
      <c r="C138" s="10">
        <v>9.2300404329550634E-4</v>
      </c>
      <c r="D138" s="4">
        <v>3.3334438932660601E-4</v>
      </c>
      <c r="E138" s="4">
        <v>3.3334438932660601E-4</v>
      </c>
      <c r="F138" s="4">
        <v>3.3334438932660601E-4</v>
      </c>
      <c r="G138" s="4">
        <v>1.3386939922352551E-3</v>
      </c>
      <c r="H138" s="4">
        <v>3.3334438932660601E-4</v>
      </c>
    </row>
    <row r="139" spans="1:8">
      <c r="A139" s="29" t="s">
        <v>367</v>
      </c>
      <c r="B139" s="4">
        <v>5.8566721617422362E-3</v>
      </c>
      <c r="C139" s="10">
        <v>2.2775028750552577E-3</v>
      </c>
      <c r="D139" s="4">
        <v>1.0196647427887725E-3</v>
      </c>
      <c r="E139" s="4">
        <v>1.2767020905111396E-3</v>
      </c>
      <c r="F139" s="4">
        <v>1.2424014447064745E-3</v>
      </c>
      <c r="G139" s="4">
        <v>1.5642382701761656E-3</v>
      </c>
      <c r="H139" s="4">
        <v>7.6083983745782555E-4</v>
      </c>
    </row>
    <row r="140" spans="1:8">
      <c r="A140" s="29" t="s">
        <v>368</v>
      </c>
      <c r="B140" s="4">
        <v>1.2564206468935619E-2</v>
      </c>
      <c r="C140" s="10">
        <v>4.2650441074230097E-3</v>
      </c>
      <c r="D140" s="4">
        <v>1.2495588106236676E-3</v>
      </c>
      <c r="E140" s="4">
        <v>4.0398440343021038E-4</v>
      </c>
      <c r="F140" s="4">
        <v>6.6456191474587294E-3</v>
      </c>
      <c r="G140" s="4">
        <v>4.5308152468713514E-4</v>
      </c>
      <c r="H140" s="4">
        <v>0</v>
      </c>
    </row>
    <row r="141" spans="1:8">
      <c r="A141" s="29" t="s">
        <v>369</v>
      </c>
      <c r="B141" s="4">
        <v>5.8965965396890038E-4</v>
      </c>
      <c r="C141" s="10">
        <v>0</v>
      </c>
      <c r="D141" s="4">
        <v>5.8965965396890038E-4</v>
      </c>
      <c r="E141" s="4">
        <v>5.8965965396890038E-4</v>
      </c>
      <c r="F141" s="4">
        <v>5.8965965396890038E-4</v>
      </c>
      <c r="G141" s="4">
        <v>0</v>
      </c>
      <c r="H141" s="4">
        <v>0</v>
      </c>
    </row>
    <row r="142" spans="1:8">
      <c r="A142" s="29" t="s">
        <v>370</v>
      </c>
      <c r="B142" s="4">
        <v>5.0973296868353488E-2</v>
      </c>
      <c r="C142" s="10">
        <v>2.5132928723444522E-2</v>
      </c>
      <c r="D142" s="4">
        <v>4.9726380211841939E-3</v>
      </c>
      <c r="E142" s="4">
        <v>2.6300373543870774E-3</v>
      </c>
      <c r="F142" s="4">
        <v>5.1231715828115396E-3</v>
      </c>
      <c r="G142" s="4">
        <v>1.3683039162169381E-2</v>
      </c>
      <c r="H142" s="4">
        <v>6.2734293973509729E-3</v>
      </c>
    </row>
    <row r="143" spans="1:8">
      <c r="A143" s="29" t="s">
        <v>371</v>
      </c>
      <c r="B143" s="4">
        <v>3.0470866925615315E-4</v>
      </c>
      <c r="C143" s="10">
        <v>0</v>
      </c>
      <c r="D143" s="4">
        <v>0</v>
      </c>
      <c r="E143" s="4">
        <v>0</v>
      </c>
      <c r="F143" s="4">
        <v>0</v>
      </c>
      <c r="G143" s="4">
        <v>3.0470866925615315E-4</v>
      </c>
      <c r="H143" s="4">
        <v>0</v>
      </c>
    </row>
    <row r="144" spans="1:8">
      <c r="A144" s="29" t="s">
        <v>372</v>
      </c>
      <c r="B144" s="4">
        <v>0</v>
      </c>
      <c r="C144" s="10">
        <v>0</v>
      </c>
      <c r="D144" s="4">
        <v>0</v>
      </c>
      <c r="E144" s="4">
        <v>0</v>
      </c>
      <c r="F144" s="4">
        <v>0</v>
      </c>
      <c r="G144" s="4">
        <v>0</v>
      </c>
      <c r="H144" s="4">
        <v>0</v>
      </c>
    </row>
    <row r="145" spans="1:8">
      <c r="A145" s="29" t="s">
        <v>373</v>
      </c>
      <c r="B145" s="4">
        <v>1.7070892519468433E-3</v>
      </c>
      <c r="C145" s="10">
        <v>2.4961792571601816E-4</v>
      </c>
      <c r="D145" s="4">
        <v>3.0058458869675455E-4</v>
      </c>
      <c r="E145" s="4">
        <v>0</v>
      </c>
      <c r="F145" s="4">
        <v>0</v>
      </c>
      <c r="G145" s="4">
        <v>2.4961792571601816E-4</v>
      </c>
      <c r="H145" s="4">
        <v>6.0415116499609343E-4</v>
      </c>
    </row>
    <row r="146" spans="1:8">
      <c r="A146" s="29" t="s">
        <v>374</v>
      </c>
      <c r="B146" s="4">
        <v>0</v>
      </c>
      <c r="C146" s="10">
        <v>0</v>
      </c>
      <c r="D146" s="4">
        <v>0</v>
      </c>
      <c r="E146" s="4">
        <v>0</v>
      </c>
      <c r="F146" s="4">
        <v>0</v>
      </c>
      <c r="G146" s="4">
        <v>0</v>
      </c>
      <c r="H146" s="4">
        <v>0</v>
      </c>
    </row>
    <row r="147" spans="1:8">
      <c r="A147" s="29" t="s">
        <v>375</v>
      </c>
      <c r="B147" s="4">
        <v>0</v>
      </c>
      <c r="C147" s="10">
        <v>0</v>
      </c>
      <c r="D147" s="4">
        <v>0</v>
      </c>
      <c r="E147" s="4">
        <v>0</v>
      </c>
      <c r="F147" s="4">
        <v>0</v>
      </c>
      <c r="G147" s="4">
        <v>0</v>
      </c>
      <c r="H147" s="4">
        <v>0</v>
      </c>
    </row>
    <row r="148" spans="1:8">
      <c r="A148" s="29" t="s">
        <v>376</v>
      </c>
      <c r="B148" s="4">
        <v>4.3002896990621169E-3</v>
      </c>
      <c r="C148" s="10">
        <v>0</v>
      </c>
      <c r="D148" s="4">
        <v>5.9423330828663309E-4</v>
      </c>
      <c r="E148" s="4">
        <v>0</v>
      </c>
      <c r="F148" s="4">
        <v>0</v>
      </c>
      <c r="G148" s="4">
        <v>4.1568994893974868E-4</v>
      </c>
      <c r="H148" s="4">
        <v>4.1568994893974868E-4</v>
      </c>
    </row>
    <row r="149" spans="1:8">
      <c r="A149" s="29" t="s">
        <v>377</v>
      </c>
      <c r="B149" s="4">
        <v>8.0753967990557316E-3</v>
      </c>
      <c r="C149" s="10">
        <v>2.3930516661195295E-3</v>
      </c>
      <c r="D149" s="4">
        <v>8.7021023949623811E-4</v>
      </c>
      <c r="E149" s="4">
        <v>2.4908341976855633E-4</v>
      </c>
      <c r="F149" s="4">
        <v>6.9657319545572845E-4</v>
      </c>
      <c r="G149" s="4">
        <v>0</v>
      </c>
      <c r="H149" s="4">
        <v>3.572412132039425E-3</v>
      </c>
    </row>
    <row r="150" spans="1:8">
      <c r="A150" s="29" t="s">
        <v>378</v>
      </c>
      <c r="B150" s="4">
        <v>3.8441949064294427E-2</v>
      </c>
      <c r="C150" s="10">
        <v>1.5574407540069465E-3</v>
      </c>
      <c r="D150" s="4">
        <v>4.6175960257211217E-4</v>
      </c>
      <c r="E150" s="4">
        <v>1.2440114938455072E-3</v>
      </c>
      <c r="F150" s="4">
        <v>4.7099924146522726E-4</v>
      </c>
      <c r="G150" s="4">
        <v>1.2717051431239219E-3</v>
      </c>
      <c r="H150" s="4">
        <v>3.4473300131699111E-3</v>
      </c>
    </row>
    <row r="151" spans="1:8">
      <c r="A151" s="29" t="s">
        <v>379</v>
      </c>
      <c r="B151" s="4">
        <v>3.6659691959000583E-4</v>
      </c>
      <c r="C151" s="10">
        <v>0</v>
      </c>
      <c r="D151" s="4">
        <v>0</v>
      </c>
      <c r="E151" s="4">
        <v>3.6659691959000583E-4</v>
      </c>
      <c r="F151" s="4">
        <v>0</v>
      </c>
      <c r="G151" s="4">
        <v>0</v>
      </c>
      <c r="H151" s="4">
        <v>0</v>
      </c>
    </row>
    <row r="152" spans="1:8">
      <c r="A152" s="29" t="s">
        <v>380</v>
      </c>
      <c r="B152" s="4">
        <v>2.8922005275750071E-4</v>
      </c>
      <c r="C152" s="10">
        <v>0</v>
      </c>
      <c r="D152" s="4">
        <v>0</v>
      </c>
      <c r="E152" s="4">
        <v>0</v>
      </c>
      <c r="F152" s="4">
        <v>0</v>
      </c>
      <c r="G152" s="4">
        <v>0</v>
      </c>
      <c r="H152" s="4">
        <v>0</v>
      </c>
    </row>
    <row r="153" spans="1:8">
      <c r="A153" s="29" t="s">
        <v>381</v>
      </c>
      <c r="B153" s="4">
        <v>0</v>
      </c>
      <c r="C153" s="10">
        <v>0</v>
      </c>
      <c r="D153" s="4">
        <v>0</v>
      </c>
      <c r="E153" s="4">
        <v>0</v>
      </c>
      <c r="F153" s="4">
        <v>0</v>
      </c>
      <c r="G153" s="4">
        <v>0</v>
      </c>
      <c r="H153" s="4">
        <v>0</v>
      </c>
    </row>
    <row r="154" spans="1:8">
      <c r="A154" s="29" t="s">
        <v>382</v>
      </c>
      <c r="B154" s="4">
        <v>0</v>
      </c>
      <c r="C154" s="10">
        <v>0</v>
      </c>
      <c r="D154" s="4">
        <v>0</v>
      </c>
      <c r="E154" s="4">
        <v>0</v>
      </c>
      <c r="F154" s="4">
        <v>0</v>
      </c>
      <c r="G154" s="4">
        <v>0</v>
      </c>
      <c r="H154" s="4">
        <v>0</v>
      </c>
    </row>
    <row r="155" spans="1:8">
      <c r="A155" s="29" t="s">
        <v>383</v>
      </c>
      <c r="B155" s="4">
        <v>0</v>
      </c>
      <c r="C155" s="10">
        <v>0</v>
      </c>
      <c r="D155" s="4">
        <v>0</v>
      </c>
      <c r="E155" s="4">
        <v>0</v>
      </c>
      <c r="F155" s="4">
        <v>0</v>
      </c>
      <c r="G155" s="4">
        <v>0</v>
      </c>
      <c r="H155" s="4">
        <v>0</v>
      </c>
    </row>
    <row r="156" spans="1:8">
      <c r="A156" s="29" t="s">
        <v>384</v>
      </c>
      <c r="B156" s="4">
        <v>0</v>
      </c>
      <c r="C156" s="10">
        <v>0</v>
      </c>
      <c r="D156" s="4">
        <v>0</v>
      </c>
      <c r="E156" s="4">
        <v>0</v>
      </c>
      <c r="F156" s="4">
        <v>0</v>
      </c>
      <c r="G156" s="4">
        <v>0</v>
      </c>
      <c r="H156" s="4">
        <v>0</v>
      </c>
    </row>
    <row r="157" spans="1:8">
      <c r="A157" s="29" t="s">
        <v>385</v>
      </c>
      <c r="B157" s="4">
        <v>2.7857025153697509E-3</v>
      </c>
      <c r="C157" s="10">
        <v>1.0061574054449553E-3</v>
      </c>
      <c r="D157" s="4">
        <v>5.5989505153694933E-4</v>
      </c>
      <c r="E157" s="4">
        <v>1.0061574054449553E-3</v>
      </c>
      <c r="F157" s="4">
        <v>4.0429144683228773E-4</v>
      </c>
      <c r="G157" s="4">
        <v>0</v>
      </c>
      <c r="H157" s="4">
        <v>4.3125103988209893E-4</v>
      </c>
    </row>
    <row r="158" spans="1:8">
      <c r="A158" s="132"/>
      <c r="B158" s="159" t="s">
        <v>138</v>
      </c>
      <c r="C158" s="159"/>
      <c r="D158" s="159"/>
      <c r="E158" s="159"/>
      <c r="F158" s="159"/>
      <c r="G158" s="159"/>
      <c r="H158" s="159"/>
    </row>
    <row r="159" spans="1:8">
      <c r="A159" s="29" t="s">
        <v>244</v>
      </c>
      <c r="B159" s="39">
        <v>2808.80868796505</v>
      </c>
      <c r="C159" s="11">
        <v>786.4304758524155</v>
      </c>
      <c r="D159" s="39">
        <v>995.05180370511334</v>
      </c>
      <c r="E159" s="39">
        <v>0</v>
      </c>
      <c r="F159" s="39">
        <v>840.27686544651533</v>
      </c>
      <c r="G159" s="39">
        <v>0</v>
      </c>
      <c r="H159" s="39">
        <v>0</v>
      </c>
    </row>
    <row r="160" spans="1:8">
      <c r="A160" s="29" t="s">
        <v>245</v>
      </c>
      <c r="B160" s="39">
        <v>2861.6743697364968</v>
      </c>
      <c r="C160" s="11">
        <v>1416.0177093819402</v>
      </c>
      <c r="D160" s="39">
        <v>888.31224870701271</v>
      </c>
      <c r="E160" s="39">
        <v>950.0522241102733</v>
      </c>
      <c r="F160" s="39">
        <v>360.60678803208515</v>
      </c>
      <c r="G160" s="39">
        <v>1023.3098969192108</v>
      </c>
      <c r="H160" s="39">
        <v>1416.0177093819402</v>
      </c>
    </row>
    <row r="161" spans="1:8">
      <c r="A161" s="29" t="s">
        <v>246</v>
      </c>
      <c r="B161" s="39">
        <v>1777.1322970684278</v>
      </c>
      <c r="C161" s="11">
        <v>0</v>
      </c>
      <c r="D161" s="39">
        <v>541.59755237697016</v>
      </c>
      <c r="E161" s="39">
        <v>1777.1322970684278</v>
      </c>
      <c r="F161" s="39">
        <v>0</v>
      </c>
      <c r="G161" s="39">
        <v>1445.7563672906626</v>
      </c>
      <c r="H161" s="39">
        <v>0</v>
      </c>
    </row>
    <row r="162" spans="1:8">
      <c r="A162" s="29" t="s">
        <v>247</v>
      </c>
      <c r="B162" s="39">
        <v>34762.246208321645</v>
      </c>
      <c r="C162" s="11">
        <v>16385.159472243067</v>
      </c>
      <c r="D162" s="39">
        <v>5344.4322288291414</v>
      </c>
      <c r="E162" s="39">
        <v>4026.7838013425699</v>
      </c>
      <c r="F162" s="39">
        <v>2426.4362163843452</v>
      </c>
      <c r="G162" s="39">
        <v>6438.9514723570755</v>
      </c>
      <c r="H162" s="39">
        <v>10536.978772120556</v>
      </c>
    </row>
    <row r="163" spans="1:8">
      <c r="A163" s="29" t="s">
        <v>248</v>
      </c>
      <c r="B163" s="39">
        <v>133055.56537949556</v>
      </c>
      <c r="C163" s="11">
        <v>87753.226501916302</v>
      </c>
      <c r="D163" s="39">
        <v>20619.300247015603</v>
      </c>
      <c r="E163" s="39">
        <v>5639.3787642752413</v>
      </c>
      <c r="F163" s="39">
        <v>3621.0685953928505</v>
      </c>
      <c r="G163" s="39">
        <v>7610.1080276881075</v>
      </c>
      <c r="H163" s="39">
        <v>17821.349496782499</v>
      </c>
    </row>
    <row r="164" spans="1:8">
      <c r="A164" s="29" t="s">
        <v>249</v>
      </c>
      <c r="B164" s="39">
        <v>15115.084763622541</v>
      </c>
      <c r="C164" s="11">
        <v>2090.855379287254</v>
      </c>
      <c r="D164" s="39">
        <v>3332.9587967821758</v>
      </c>
      <c r="E164" s="39">
        <v>2686.871547385248</v>
      </c>
      <c r="F164" s="39">
        <v>830.24758746835198</v>
      </c>
      <c r="G164" s="39">
        <v>3861.1508001666843</v>
      </c>
      <c r="H164" s="39">
        <v>3541.2252595253849</v>
      </c>
    </row>
    <row r="165" spans="1:8">
      <c r="A165" s="29" t="s">
        <v>250</v>
      </c>
      <c r="B165" s="39">
        <v>7887.2286749344485</v>
      </c>
      <c r="C165" s="11">
        <v>2469.0470020981893</v>
      </c>
      <c r="D165" s="39">
        <v>2771.9740153357552</v>
      </c>
      <c r="E165" s="39">
        <v>0</v>
      </c>
      <c r="F165" s="39">
        <v>662.70310888712561</v>
      </c>
      <c r="G165" s="39">
        <v>1656.6463534242018</v>
      </c>
      <c r="H165" s="39">
        <v>372.86038481303859</v>
      </c>
    </row>
    <row r="166" spans="1:8">
      <c r="A166" s="29" t="s">
        <v>251</v>
      </c>
      <c r="B166" s="39">
        <v>127178.99680987153</v>
      </c>
      <c r="C166" s="11">
        <v>85134.91415574374</v>
      </c>
      <c r="D166" s="39">
        <v>19078.276079061838</v>
      </c>
      <c r="E166" s="39">
        <v>10151.106238845716</v>
      </c>
      <c r="F166" s="39">
        <v>3646.4316833477415</v>
      </c>
      <c r="G166" s="39">
        <v>10075.736737059167</v>
      </c>
      <c r="H166" s="39">
        <v>20907.195341448434</v>
      </c>
    </row>
    <row r="167" spans="1:8">
      <c r="A167" s="29" t="s">
        <v>252</v>
      </c>
      <c r="B167" s="39">
        <v>1022.0457775722695</v>
      </c>
      <c r="C167" s="11">
        <v>527.70546067492762</v>
      </c>
      <c r="D167" s="39">
        <v>0</v>
      </c>
      <c r="E167" s="39">
        <v>527.70546067492762</v>
      </c>
      <c r="F167" s="39">
        <v>494.34031689734184</v>
      </c>
      <c r="G167" s="39">
        <v>527.70546067492762</v>
      </c>
      <c r="H167" s="39">
        <v>1022.0457775722695</v>
      </c>
    </row>
    <row r="168" spans="1:8">
      <c r="A168" s="29" t="s">
        <v>253</v>
      </c>
      <c r="B168" s="39">
        <v>662.70310888712561</v>
      </c>
      <c r="C168" s="11">
        <v>0</v>
      </c>
      <c r="D168" s="39">
        <v>0</v>
      </c>
      <c r="E168" s="39">
        <v>0</v>
      </c>
      <c r="F168" s="39">
        <v>662.70310888712561</v>
      </c>
      <c r="G168" s="39">
        <v>0</v>
      </c>
      <c r="H168" s="39">
        <v>0</v>
      </c>
    </row>
    <row r="169" spans="1:8">
      <c r="A169" s="29" t="s">
        <v>254</v>
      </c>
      <c r="B169" s="39">
        <v>1126.8084061550171</v>
      </c>
      <c r="C169" s="11">
        <v>599.1029454800896</v>
      </c>
      <c r="D169" s="39">
        <v>0</v>
      </c>
      <c r="E169" s="39">
        <v>0</v>
      </c>
      <c r="F169" s="39">
        <v>599.1029454800896</v>
      </c>
      <c r="G169" s="39">
        <v>599.1029454800896</v>
      </c>
      <c r="H169" s="39">
        <v>0</v>
      </c>
    </row>
    <row r="170" spans="1:8">
      <c r="A170" s="29" t="s">
        <v>255</v>
      </c>
      <c r="B170" s="39">
        <v>331.37592977776518</v>
      </c>
      <c r="C170" s="11">
        <v>0</v>
      </c>
      <c r="D170" s="39">
        <v>0</v>
      </c>
      <c r="E170" s="39">
        <v>0</v>
      </c>
      <c r="F170" s="39">
        <v>0</v>
      </c>
      <c r="G170" s="39">
        <v>0</v>
      </c>
      <c r="H170" s="39">
        <v>331.37592977776518</v>
      </c>
    </row>
    <row r="171" spans="1:8">
      <c r="A171" s="29" t="s">
        <v>256</v>
      </c>
      <c r="B171" s="39">
        <v>0</v>
      </c>
      <c r="C171" s="11">
        <v>0</v>
      </c>
      <c r="D171" s="39">
        <v>0</v>
      </c>
      <c r="E171" s="39">
        <v>0</v>
      </c>
      <c r="F171" s="39">
        <v>0</v>
      </c>
      <c r="G171" s="39">
        <v>0</v>
      </c>
      <c r="H171" s="39">
        <v>0</v>
      </c>
    </row>
    <row r="172" spans="1:8">
      <c r="A172" s="29" t="s">
        <v>257</v>
      </c>
      <c r="B172" s="39">
        <v>0</v>
      </c>
      <c r="C172" s="11">
        <v>0</v>
      </c>
      <c r="D172" s="39">
        <v>0</v>
      </c>
      <c r="E172" s="39">
        <v>0</v>
      </c>
      <c r="F172" s="39">
        <v>0</v>
      </c>
      <c r="G172" s="39">
        <v>0</v>
      </c>
      <c r="H172" s="39">
        <v>0</v>
      </c>
    </row>
    <row r="173" spans="1:8">
      <c r="A173" s="29" t="s">
        <v>258</v>
      </c>
      <c r="B173" s="39">
        <v>0</v>
      </c>
      <c r="C173" s="11">
        <v>0</v>
      </c>
      <c r="D173" s="39">
        <v>0</v>
      </c>
      <c r="E173" s="39">
        <v>0</v>
      </c>
      <c r="F173" s="39">
        <v>0</v>
      </c>
      <c r="G173" s="39">
        <v>0</v>
      </c>
      <c r="H173" s="39">
        <v>0</v>
      </c>
    </row>
    <row r="174" spans="1:8">
      <c r="A174" s="29" t="s">
        <v>259</v>
      </c>
      <c r="B174" s="39">
        <v>0</v>
      </c>
      <c r="C174" s="11">
        <v>0</v>
      </c>
      <c r="D174" s="39">
        <v>0</v>
      </c>
      <c r="E174" s="39">
        <v>0</v>
      </c>
      <c r="F174" s="39">
        <v>0</v>
      </c>
      <c r="G174" s="39">
        <v>0</v>
      </c>
      <c r="H174" s="39">
        <v>0</v>
      </c>
    </row>
    <row r="175" spans="1:8">
      <c r="A175" s="29" t="s">
        <v>260</v>
      </c>
      <c r="B175" s="39">
        <v>0</v>
      </c>
      <c r="C175" s="11">
        <v>0</v>
      </c>
      <c r="D175" s="39">
        <v>0</v>
      </c>
      <c r="E175" s="39">
        <v>0</v>
      </c>
      <c r="F175" s="39">
        <v>0</v>
      </c>
      <c r="G175" s="39">
        <v>0</v>
      </c>
      <c r="H175" s="39">
        <v>0</v>
      </c>
    </row>
    <row r="176" spans="1:8">
      <c r="A176" s="29" t="s">
        <v>261</v>
      </c>
      <c r="B176" s="39">
        <v>0</v>
      </c>
      <c r="C176" s="11">
        <v>0</v>
      </c>
      <c r="D176" s="39">
        <v>0</v>
      </c>
      <c r="E176" s="39">
        <v>0</v>
      </c>
      <c r="F176" s="39">
        <v>0</v>
      </c>
      <c r="G176" s="39">
        <v>0</v>
      </c>
      <c r="H176" s="39">
        <v>0</v>
      </c>
    </row>
    <row r="177" spans="1:8">
      <c r="A177" s="29" t="s">
        <v>262</v>
      </c>
      <c r="B177" s="39">
        <v>6190.2071764621414</v>
      </c>
      <c r="C177" s="11">
        <v>1625.7459206442322</v>
      </c>
      <c r="D177" s="39">
        <v>508.66394678876424</v>
      </c>
      <c r="E177" s="39">
        <v>744.14499250609958</v>
      </c>
      <c r="F177" s="39">
        <v>1837.0822855139345</v>
      </c>
      <c r="G177" s="39">
        <v>2887.7663223779355</v>
      </c>
      <c r="H177" s="39">
        <v>0</v>
      </c>
    </row>
    <row r="178" spans="1:8">
      <c r="A178" s="29" t="s">
        <v>263</v>
      </c>
      <c r="B178" s="39">
        <v>0</v>
      </c>
      <c r="C178" s="11">
        <v>0</v>
      </c>
      <c r="D178" s="39">
        <v>0</v>
      </c>
      <c r="E178" s="39">
        <v>0</v>
      </c>
      <c r="F178" s="39">
        <v>0</v>
      </c>
      <c r="G178" s="39">
        <v>0</v>
      </c>
      <c r="H178" s="39">
        <v>0</v>
      </c>
    </row>
    <row r="179" spans="1:8">
      <c r="A179" s="29" t="s">
        <v>264</v>
      </c>
      <c r="B179" s="39">
        <v>14449.893370004635</v>
      </c>
      <c r="C179" s="11">
        <v>1817.2153039597174</v>
      </c>
      <c r="D179" s="39">
        <v>565.03762602637778</v>
      </c>
      <c r="E179" s="39">
        <v>0</v>
      </c>
      <c r="F179" s="39">
        <v>1063.1884389892798</v>
      </c>
      <c r="G179" s="39">
        <v>422.34676343534562</v>
      </c>
      <c r="H179" s="39">
        <v>2165.6206094763638</v>
      </c>
    </row>
    <row r="180" spans="1:8">
      <c r="A180" s="29" t="s">
        <v>265</v>
      </c>
      <c r="B180" s="39">
        <v>3254.3131439812851</v>
      </c>
      <c r="C180" s="11">
        <v>2846.4123199482792</v>
      </c>
      <c r="D180" s="39">
        <v>0</v>
      </c>
      <c r="E180" s="39">
        <v>0</v>
      </c>
      <c r="F180" s="39">
        <v>0</v>
      </c>
      <c r="G180" s="39">
        <v>0</v>
      </c>
      <c r="H180" s="39">
        <v>0</v>
      </c>
    </row>
    <row r="181" spans="1:8">
      <c r="A181" s="29" t="s">
        <v>266</v>
      </c>
      <c r="B181" s="39">
        <v>0</v>
      </c>
      <c r="C181" s="11">
        <v>0</v>
      </c>
      <c r="D181" s="39">
        <v>0</v>
      </c>
      <c r="E181" s="39">
        <v>0</v>
      </c>
      <c r="F181" s="39">
        <v>0</v>
      </c>
      <c r="G181" s="39">
        <v>0</v>
      </c>
      <c r="H181" s="39">
        <v>0</v>
      </c>
    </row>
    <row r="182" spans="1:8">
      <c r="A182" s="29" t="s">
        <v>267</v>
      </c>
      <c r="B182" s="39">
        <v>1830.2994135442118</v>
      </c>
      <c r="C182" s="11">
        <v>722.53252127535802</v>
      </c>
      <c r="D182" s="39">
        <v>0</v>
      </c>
      <c r="E182" s="39">
        <v>0</v>
      </c>
      <c r="F182" s="39">
        <v>0</v>
      </c>
      <c r="G182" s="39">
        <v>1107.7668922688538</v>
      </c>
      <c r="H182" s="39">
        <v>0</v>
      </c>
    </row>
    <row r="183" spans="1:8">
      <c r="A183" s="29" t="s">
        <v>268</v>
      </c>
      <c r="B183" s="39">
        <v>3564.2333721732366</v>
      </c>
      <c r="C183" s="11">
        <v>892.36455890335492</v>
      </c>
      <c r="D183" s="39">
        <v>0</v>
      </c>
      <c r="E183" s="39">
        <v>0</v>
      </c>
      <c r="F183" s="39">
        <v>2169.8925563385142</v>
      </c>
      <c r="G183" s="39">
        <v>0</v>
      </c>
      <c r="H183" s="39">
        <v>501.97625693136774</v>
      </c>
    </row>
    <row r="184" spans="1:8">
      <c r="A184" s="29" t="s">
        <v>269</v>
      </c>
      <c r="B184" s="39">
        <v>51220.474225193248</v>
      </c>
      <c r="C184" s="11">
        <v>34531.965399247973</v>
      </c>
      <c r="D184" s="39">
        <v>6251.0112301715781</v>
      </c>
      <c r="E184" s="39">
        <v>2744.516528985183</v>
      </c>
      <c r="F184" s="39">
        <v>1771.7282328224105</v>
      </c>
      <c r="G184" s="39">
        <v>3903.2502310105419</v>
      </c>
      <c r="H184" s="39">
        <v>6930.5420298537501</v>
      </c>
    </row>
    <row r="185" spans="1:8">
      <c r="A185" s="29" t="s">
        <v>270</v>
      </c>
      <c r="B185" s="39">
        <v>0</v>
      </c>
      <c r="C185" s="11">
        <v>0</v>
      </c>
      <c r="D185" s="39">
        <v>0</v>
      </c>
      <c r="E185" s="39">
        <v>0</v>
      </c>
      <c r="F185" s="39">
        <v>0</v>
      </c>
      <c r="G185" s="39">
        <v>0</v>
      </c>
      <c r="H185" s="39">
        <v>0</v>
      </c>
    </row>
    <row r="186" spans="1:8">
      <c r="A186" s="29" t="s">
        <v>271</v>
      </c>
      <c r="B186" s="39">
        <v>1008.7789594644858</v>
      </c>
      <c r="C186" s="11">
        <v>560.18828154486209</v>
      </c>
      <c r="D186" s="39">
        <v>0</v>
      </c>
      <c r="E186" s="39">
        <v>448.59067791962366</v>
      </c>
      <c r="F186" s="39">
        <v>0</v>
      </c>
      <c r="G186" s="39">
        <v>0</v>
      </c>
      <c r="H186" s="39">
        <v>0</v>
      </c>
    </row>
    <row r="187" spans="1:8">
      <c r="A187" s="29" t="s">
        <v>272</v>
      </c>
      <c r="B187" s="39">
        <v>0</v>
      </c>
      <c r="C187" s="11">
        <v>0</v>
      </c>
      <c r="D187" s="39">
        <v>0</v>
      </c>
      <c r="E187" s="39">
        <v>0</v>
      </c>
      <c r="F187" s="39">
        <v>0</v>
      </c>
      <c r="G187" s="39">
        <v>0</v>
      </c>
      <c r="H187" s="39">
        <v>0</v>
      </c>
    </row>
    <row r="188" spans="1:8">
      <c r="A188" s="29" t="s">
        <v>273</v>
      </c>
      <c r="B188" s="39">
        <v>23645.320722032309</v>
      </c>
      <c r="C188" s="11">
        <v>615.00734711026303</v>
      </c>
      <c r="D188" s="39">
        <v>360.60678803208515</v>
      </c>
      <c r="E188" s="39">
        <v>372.86038481303859</v>
      </c>
      <c r="F188" s="39">
        <v>435.63569469412829</v>
      </c>
      <c r="G188" s="39">
        <v>360.60678803208515</v>
      </c>
      <c r="H188" s="39">
        <v>813.45783392092721</v>
      </c>
    </row>
    <row r="189" spans="1:8">
      <c r="A189" s="29" t="s">
        <v>274</v>
      </c>
      <c r="B189" s="39">
        <v>20420.491167251457</v>
      </c>
      <c r="C189" s="11">
        <v>3190.1993296210576</v>
      </c>
      <c r="D189" s="39">
        <v>422.34676343534562</v>
      </c>
      <c r="E189" s="39">
        <v>2007.8502036591381</v>
      </c>
      <c r="F189" s="39">
        <v>11645.536422919728</v>
      </c>
      <c r="G189" s="39">
        <v>2807.0101690111405</v>
      </c>
      <c r="H189" s="39">
        <v>2654.5696985293125</v>
      </c>
    </row>
    <row r="190" spans="1:8">
      <c r="A190" s="29" t="s">
        <v>275</v>
      </c>
      <c r="B190" s="39">
        <v>52062.751108674252</v>
      </c>
      <c r="C190" s="11">
        <v>6817.3126545799041</v>
      </c>
      <c r="D190" s="39">
        <v>5390.1794789626874</v>
      </c>
      <c r="E190" s="39">
        <v>1985.3965156206677</v>
      </c>
      <c r="F190" s="39">
        <v>35461.839596338541</v>
      </c>
      <c r="G190" s="39">
        <v>4218.3820014760813</v>
      </c>
      <c r="H190" s="39">
        <v>5784.8779264329905</v>
      </c>
    </row>
    <row r="191" spans="1:8">
      <c r="A191" s="29" t="s">
        <v>276</v>
      </c>
      <c r="B191" s="39">
        <v>317.18792687054588</v>
      </c>
      <c r="C191" s="11">
        <v>317.18792687054588</v>
      </c>
      <c r="D191" s="39">
        <v>0</v>
      </c>
      <c r="E191" s="39">
        <v>0</v>
      </c>
      <c r="F191" s="39">
        <v>0</v>
      </c>
      <c r="G191" s="39">
        <v>317.18792687054588</v>
      </c>
      <c r="H191" s="39">
        <v>0</v>
      </c>
    </row>
    <row r="192" spans="1:8">
      <c r="A192" s="29" t="s">
        <v>277</v>
      </c>
      <c r="B192" s="39">
        <v>1841.2187539937122</v>
      </c>
      <c r="C192" s="11">
        <v>535.27267725302636</v>
      </c>
      <c r="D192" s="39">
        <v>0</v>
      </c>
      <c r="E192" s="39">
        <v>0</v>
      </c>
      <c r="F192" s="39">
        <v>0</v>
      </c>
      <c r="G192" s="39">
        <v>662.70310888712561</v>
      </c>
      <c r="H192" s="39">
        <v>643.24296785356012</v>
      </c>
    </row>
    <row r="193" spans="1:8">
      <c r="A193" s="29" t="s">
        <v>278</v>
      </c>
      <c r="B193" s="39">
        <v>535.27267725302636</v>
      </c>
      <c r="C193" s="11">
        <v>535.27267725302636</v>
      </c>
      <c r="D193" s="39">
        <v>535.27267725302636</v>
      </c>
      <c r="E193" s="39">
        <v>0</v>
      </c>
      <c r="F193" s="39">
        <v>0</v>
      </c>
      <c r="G193" s="39">
        <v>0</v>
      </c>
      <c r="H193" s="39">
        <v>0</v>
      </c>
    </row>
    <row r="194" spans="1:8">
      <c r="A194" s="29" t="s">
        <v>279</v>
      </c>
      <c r="B194" s="39">
        <v>0</v>
      </c>
      <c r="C194" s="11">
        <v>0</v>
      </c>
      <c r="D194" s="39">
        <v>0</v>
      </c>
      <c r="E194" s="39">
        <v>0</v>
      </c>
      <c r="F194" s="39">
        <v>0</v>
      </c>
      <c r="G194" s="39">
        <v>0</v>
      </c>
      <c r="H194" s="39">
        <v>0</v>
      </c>
    </row>
    <row r="195" spans="1:8">
      <c r="A195" s="29" t="s">
        <v>280</v>
      </c>
      <c r="B195" s="39">
        <v>2061.9107893005526</v>
      </c>
      <c r="C195" s="11">
        <v>0</v>
      </c>
      <c r="D195" s="39">
        <v>0</v>
      </c>
      <c r="E195" s="39">
        <v>518.73720047760116</v>
      </c>
      <c r="F195" s="39">
        <v>0</v>
      </c>
      <c r="G195" s="39">
        <v>0</v>
      </c>
      <c r="H195" s="39">
        <v>554.41859287734076</v>
      </c>
    </row>
    <row r="196" spans="1:8">
      <c r="A196" s="29" t="s">
        <v>281</v>
      </c>
      <c r="B196" s="39">
        <v>3903.8046390688069</v>
      </c>
      <c r="C196" s="11">
        <v>494.34031689734184</v>
      </c>
      <c r="D196" s="39">
        <v>1030.4985297376181</v>
      </c>
      <c r="E196" s="39">
        <v>0</v>
      </c>
      <c r="F196" s="39">
        <v>1695.4391737885626</v>
      </c>
      <c r="G196" s="39">
        <v>1811.1415708549589</v>
      </c>
      <c r="H196" s="39">
        <v>0</v>
      </c>
    </row>
    <row r="197" spans="1:8">
      <c r="A197" s="29" t="s">
        <v>282</v>
      </c>
      <c r="B197" s="39">
        <v>3445.3754941957573</v>
      </c>
      <c r="C197" s="11">
        <v>527.70546067492762</v>
      </c>
      <c r="D197" s="39">
        <v>1055.4109213498552</v>
      </c>
      <c r="E197" s="39">
        <v>527.70546067492762</v>
      </c>
      <c r="F197" s="39">
        <v>527.70546067492762</v>
      </c>
      <c r="G197" s="39">
        <v>527.70546067492762</v>
      </c>
      <c r="H197" s="39">
        <v>2361.6006676917777</v>
      </c>
    </row>
    <row r="198" spans="1:8">
      <c r="A198" s="29" t="s">
        <v>283</v>
      </c>
      <c r="B198" s="39">
        <v>2631.8159828057578</v>
      </c>
      <c r="C198" s="11">
        <v>1576.4050614559028</v>
      </c>
      <c r="D198" s="39">
        <v>527.70546067492762</v>
      </c>
      <c r="E198" s="39">
        <v>1055.4109213498552</v>
      </c>
      <c r="F198" s="39">
        <v>1048.6996007809751</v>
      </c>
      <c r="G198" s="39">
        <v>1048.6996007809751</v>
      </c>
      <c r="H198" s="39">
        <v>520.99414010604744</v>
      </c>
    </row>
    <row r="199" spans="1:8">
      <c r="A199" s="29" t="s">
        <v>284</v>
      </c>
      <c r="B199" s="39">
        <v>1536.981185579991</v>
      </c>
      <c r="C199" s="11">
        <v>0</v>
      </c>
      <c r="D199" s="39">
        <v>0</v>
      </c>
      <c r="E199" s="39">
        <v>0</v>
      </c>
      <c r="F199" s="39">
        <v>0</v>
      </c>
      <c r="G199" s="39">
        <v>0</v>
      </c>
      <c r="H199" s="39">
        <v>0</v>
      </c>
    </row>
    <row r="200" spans="1:8">
      <c r="A200" s="29" t="s">
        <v>285</v>
      </c>
      <c r="B200" s="39">
        <v>17315.544523540404</v>
      </c>
      <c r="C200" s="11">
        <v>2020.1086981335411</v>
      </c>
      <c r="D200" s="39">
        <v>304.79388713216304</v>
      </c>
      <c r="E200" s="39">
        <v>3267.0861023679959</v>
      </c>
      <c r="F200" s="39">
        <v>4791.3336707885019</v>
      </c>
      <c r="G200" s="39">
        <v>2975.1674389244399</v>
      </c>
      <c r="H200" s="39">
        <v>5274.1647412840675</v>
      </c>
    </row>
    <row r="201" spans="1:8">
      <c r="A201" s="29" t="s">
        <v>286</v>
      </c>
      <c r="B201" s="39">
        <v>0</v>
      </c>
      <c r="C201" s="11">
        <v>0</v>
      </c>
      <c r="D201" s="39">
        <v>0</v>
      </c>
      <c r="E201" s="39">
        <v>0</v>
      </c>
      <c r="F201" s="39">
        <v>0</v>
      </c>
      <c r="G201" s="39">
        <v>0</v>
      </c>
      <c r="H201" s="39">
        <v>0</v>
      </c>
    </row>
    <row r="202" spans="1:8">
      <c r="A202" s="29" t="s">
        <v>287</v>
      </c>
      <c r="B202" s="39">
        <v>1100.4942473646463</v>
      </c>
      <c r="C202" s="11">
        <v>0</v>
      </c>
      <c r="D202" s="39">
        <v>0</v>
      </c>
      <c r="E202" s="39">
        <v>0</v>
      </c>
      <c r="F202" s="39">
        <v>0</v>
      </c>
      <c r="G202" s="39">
        <v>0</v>
      </c>
      <c r="H202" s="39">
        <v>0</v>
      </c>
    </row>
    <row r="203" spans="1:8">
      <c r="A203" s="29" t="s">
        <v>288</v>
      </c>
      <c r="B203" s="39">
        <v>126628.87593681792</v>
      </c>
      <c r="C203" s="11">
        <v>60646.776753396822</v>
      </c>
      <c r="D203" s="39">
        <v>18877.372652427559</v>
      </c>
      <c r="E203" s="39">
        <v>8414.9327447524302</v>
      </c>
      <c r="F203" s="39">
        <v>11915.617394821569</v>
      </c>
      <c r="G203" s="39">
        <v>9622.5430087508994</v>
      </c>
      <c r="H203" s="39">
        <v>19330.184568767523</v>
      </c>
    </row>
    <row r="204" spans="1:8">
      <c r="A204" s="29" t="s">
        <v>289</v>
      </c>
      <c r="B204" s="39">
        <v>1002.7826037691133</v>
      </c>
      <c r="C204" s="11">
        <v>501.39130188455664</v>
      </c>
      <c r="D204" s="39">
        <v>501.39130188455664</v>
      </c>
      <c r="E204" s="39">
        <v>0</v>
      </c>
      <c r="F204" s="39">
        <v>501.39130188455664</v>
      </c>
      <c r="G204" s="39">
        <v>0</v>
      </c>
      <c r="H204" s="39">
        <v>1002.7826037691133</v>
      </c>
    </row>
    <row r="205" spans="1:8">
      <c r="A205" s="29" t="s">
        <v>290</v>
      </c>
      <c r="B205" s="39">
        <v>0</v>
      </c>
      <c r="C205" s="11">
        <v>0</v>
      </c>
      <c r="D205" s="39">
        <v>0</v>
      </c>
      <c r="E205" s="39">
        <v>0</v>
      </c>
      <c r="F205" s="39">
        <v>0</v>
      </c>
      <c r="G205" s="39">
        <v>0</v>
      </c>
      <c r="H205" s="39">
        <v>0</v>
      </c>
    </row>
    <row r="206" spans="1:8">
      <c r="A206" s="29" t="s">
        <v>291</v>
      </c>
      <c r="B206" s="39">
        <v>0</v>
      </c>
      <c r="C206" s="11">
        <v>0</v>
      </c>
      <c r="D206" s="39">
        <v>0</v>
      </c>
      <c r="E206" s="39">
        <v>0</v>
      </c>
      <c r="F206" s="39">
        <v>0</v>
      </c>
      <c r="G206" s="39">
        <v>0</v>
      </c>
      <c r="H206" s="39">
        <v>0</v>
      </c>
    </row>
    <row r="207" spans="1:8">
      <c r="A207" s="29" t="s">
        <v>292</v>
      </c>
      <c r="B207" s="39">
        <v>9132.2667054585909</v>
      </c>
      <c r="C207" s="11">
        <v>1442.5651649428523</v>
      </c>
      <c r="D207" s="39">
        <v>508.66394678876424</v>
      </c>
      <c r="E207" s="39">
        <v>1557.1854108555353</v>
      </c>
      <c r="F207" s="39">
        <v>2046.6446898965105</v>
      </c>
      <c r="G207" s="39">
        <v>1601.417670430051</v>
      </c>
      <c r="H207" s="39">
        <v>0</v>
      </c>
    </row>
    <row r="208" spans="1:8">
      <c r="A208" s="29" t="s">
        <v>293</v>
      </c>
      <c r="B208" s="39">
        <v>0</v>
      </c>
      <c r="C208" s="11">
        <v>0</v>
      </c>
      <c r="D208" s="39">
        <v>0</v>
      </c>
      <c r="E208" s="39">
        <v>0</v>
      </c>
      <c r="F208" s="39">
        <v>0</v>
      </c>
      <c r="G208" s="39">
        <v>0</v>
      </c>
      <c r="H208" s="39">
        <v>0</v>
      </c>
    </row>
    <row r="209" spans="1:8">
      <c r="A209" s="29" t="s">
        <v>294</v>
      </c>
      <c r="B209" s="39">
        <v>0</v>
      </c>
      <c r="C209" s="11">
        <v>0</v>
      </c>
      <c r="D209" s="39">
        <v>0</v>
      </c>
      <c r="E209" s="39">
        <v>0</v>
      </c>
      <c r="F209" s="39">
        <v>0</v>
      </c>
      <c r="G209" s="39">
        <v>0</v>
      </c>
      <c r="H209" s="39">
        <v>0</v>
      </c>
    </row>
    <row r="210" spans="1:8">
      <c r="A210" s="29" t="s">
        <v>295</v>
      </c>
      <c r="B210" s="39">
        <v>73624.413226950404</v>
      </c>
      <c r="C210" s="11">
        <v>13962.130957121515</v>
      </c>
      <c r="D210" s="39">
        <v>5284.0650820612664</v>
      </c>
      <c r="E210" s="39">
        <v>10584.685410050422</v>
      </c>
      <c r="F210" s="39">
        <v>35932.399109229955</v>
      </c>
      <c r="G210" s="39">
        <v>2857.2550743604497</v>
      </c>
      <c r="H210" s="39">
        <v>3455.9262164320289</v>
      </c>
    </row>
    <row r="211" spans="1:8">
      <c r="A211" s="29" t="s">
        <v>296</v>
      </c>
      <c r="B211" s="39">
        <v>874.25168669759523</v>
      </c>
      <c r="C211" s="11">
        <v>501.39130188455664</v>
      </c>
      <c r="D211" s="39">
        <v>501.39130188455664</v>
      </c>
      <c r="E211" s="39">
        <v>372.86038481303859</v>
      </c>
      <c r="F211" s="39">
        <v>0</v>
      </c>
      <c r="G211" s="39">
        <v>0</v>
      </c>
      <c r="H211" s="39">
        <v>0</v>
      </c>
    </row>
    <row r="212" spans="1:8">
      <c r="A212" s="29" t="s">
        <v>297</v>
      </c>
      <c r="B212" s="39">
        <v>0</v>
      </c>
      <c r="C212" s="11">
        <v>0</v>
      </c>
      <c r="D212" s="39">
        <v>0</v>
      </c>
      <c r="E212" s="39">
        <v>0</v>
      </c>
      <c r="F212" s="39">
        <v>0</v>
      </c>
      <c r="G212" s="39">
        <v>0</v>
      </c>
      <c r="H212" s="39">
        <v>0</v>
      </c>
    </row>
    <row r="213" spans="1:8">
      <c r="A213" s="29" t="s">
        <v>298</v>
      </c>
      <c r="B213" s="39">
        <v>6875.3424562787231</v>
      </c>
      <c r="C213" s="11">
        <v>6049.2504922952367</v>
      </c>
      <c r="D213" s="39">
        <v>0</v>
      </c>
      <c r="E213" s="39">
        <v>0</v>
      </c>
      <c r="F213" s="39">
        <v>0</v>
      </c>
      <c r="G213" s="39">
        <v>520.99414010604744</v>
      </c>
      <c r="H213" s="39">
        <v>2209.0841940061759</v>
      </c>
    </row>
    <row r="214" spans="1:8">
      <c r="A214" s="29" t="s">
        <v>299</v>
      </c>
      <c r="B214" s="39">
        <v>0</v>
      </c>
      <c r="C214" s="11">
        <v>0</v>
      </c>
      <c r="D214" s="39">
        <v>0</v>
      </c>
      <c r="E214" s="39">
        <v>0</v>
      </c>
      <c r="F214" s="39">
        <v>0</v>
      </c>
      <c r="G214" s="39">
        <v>0</v>
      </c>
      <c r="H214" s="39">
        <v>0</v>
      </c>
    </row>
    <row r="215" spans="1:8">
      <c r="A215" s="29" t="s">
        <v>300</v>
      </c>
      <c r="B215" s="39">
        <v>878.10081766638268</v>
      </c>
      <c r="C215" s="11">
        <v>0</v>
      </c>
      <c r="D215" s="39">
        <v>316.84737033057741</v>
      </c>
      <c r="E215" s="39">
        <v>0</v>
      </c>
      <c r="F215" s="39">
        <v>0</v>
      </c>
      <c r="G215" s="39">
        <v>561.25344733580528</v>
      </c>
      <c r="H215" s="39">
        <v>0</v>
      </c>
    </row>
    <row r="216" spans="1:8">
      <c r="A216" s="29" t="s">
        <v>301</v>
      </c>
      <c r="B216" s="39">
        <v>0</v>
      </c>
      <c r="C216" s="11">
        <v>0</v>
      </c>
      <c r="D216" s="39">
        <v>0</v>
      </c>
      <c r="E216" s="39">
        <v>0</v>
      </c>
      <c r="F216" s="39">
        <v>0</v>
      </c>
      <c r="G216" s="39">
        <v>0</v>
      </c>
      <c r="H216" s="39">
        <v>0</v>
      </c>
    </row>
    <row r="217" spans="1:8">
      <c r="A217" s="29" t="s">
        <v>302</v>
      </c>
      <c r="B217" s="39">
        <v>2420.8587527984337</v>
      </c>
      <c r="C217" s="11">
        <v>643.24296785356012</v>
      </c>
      <c r="D217" s="39">
        <v>0</v>
      </c>
      <c r="E217" s="39">
        <v>633.30070831773435</v>
      </c>
      <c r="F217" s="39">
        <v>1232.4036537978241</v>
      </c>
      <c r="G217" s="39">
        <v>599.1029454800896</v>
      </c>
      <c r="H217" s="39">
        <v>0</v>
      </c>
    </row>
    <row r="218" spans="1:8">
      <c r="A218" s="29" t="s">
        <v>303</v>
      </c>
      <c r="B218" s="39">
        <v>0</v>
      </c>
      <c r="C218" s="11">
        <v>0</v>
      </c>
      <c r="D218" s="39">
        <v>0</v>
      </c>
      <c r="E218" s="39">
        <v>0</v>
      </c>
      <c r="F218" s="39">
        <v>0</v>
      </c>
      <c r="G218" s="39">
        <v>0</v>
      </c>
      <c r="H218" s="39">
        <v>0</v>
      </c>
    </row>
    <row r="219" spans="1:8">
      <c r="A219" s="29" t="s">
        <v>304</v>
      </c>
      <c r="B219" s="39">
        <v>1038.7319709710489</v>
      </c>
      <c r="C219" s="11">
        <v>0</v>
      </c>
      <c r="D219" s="39">
        <v>0</v>
      </c>
      <c r="E219" s="39">
        <v>0</v>
      </c>
      <c r="F219" s="39">
        <v>317.18792687054588</v>
      </c>
      <c r="G219" s="39">
        <v>1038.7319709710489</v>
      </c>
      <c r="H219" s="39">
        <v>317.18792687054588</v>
      </c>
    </row>
    <row r="220" spans="1:8">
      <c r="A220" s="29" t="s">
        <v>305</v>
      </c>
      <c r="B220" s="39">
        <v>4493.159722428567</v>
      </c>
      <c r="C220" s="11">
        <v>1405.2219213038898</v>
      </c>
      <c r="D220" s="39">
        <v>304.79388713216304</v>
      </c>
      <c r="E220" s="39">
        <v>806.18518901671973</v>
      </c>
      <c r="F220" s="39">
        <v>2586.5464992401203</v>
      </c>
      <c r="G220" s="39">
        <v>0</v>
      </c>
      <c r="H220" s="39">
        <v>0</v>
      </c>
    </row>
    <row r="221" spans="1:8">
      <c r="A221" s="29" t="s">
        <v>306</v>
      </c>
      <c r="B221" s="39">
        <v>29122.136744383908</v>
      </c>
      <c r="C221" s="11">
        <v>4676.7360670577627</v>
      </c>
      <c r="D221" s="39">
        <v>5434.0866542389449</v>
      </c>
      <c r="E221" s="39">
        <v>3271.5952673438746</v>
      </c>
      <c r="F221" s="39">
        <v>13749.250094070225</v>
      </c>
      <c r="G221" s="39">
        <v>3970.3900578695066</v>
      </c>
      <c r="H221" s="39">
        <v>470.01779546800935</v>
      </c>
    </row>
    <row r="222" spans="1:8">
      <c r="A222" s="29" t="s">
        <v>307</v>
      </c>
      <c r="B222" s="39">
        <v>633.69474066115481</v>
      </c>
      <c r="C222" s="11">
        <v>633.69474066115481</v>
      </c>
      <c r="D222" s="39">
        <v>0</v>
      </c>
      <c r="E222" s="39">
        <v>0</v>
      </c>
      <c r="F222" s="39">
        <v>316.84737033057741</v>
      </c>
      <c r="G222" s="39">
        <v>0</v>
      </c>
      <c r="H222" s="39">
        <v>316.84737033057741</v>
      </c>
    </row>
    <row r="223" spans="1:8">
      <c r="A223" s="29" t="s">
        <v>308</v>
      </c>
      <c r="B223" s="39">
        <v>316.84737033057741</v>
      </c>
      <c r="C223" s="11">
        <v>316.84737033057741</v>
      </c>
      <c r="D223" s="39">
        <v>0</v>
      </c>
      <c r="E223" s="39">
        <v>0</v>
      </c>
      <c r="F223" s="39">
        <v>316.84737033057741</v>
      </c>
      <c r="G223" s="39">
        <v>0</v>
      </c>
      <c r="H223" s="39">
        <v>316.84737033057741</v>
      </c>
    </row>
    <row r="224" spans="1:8">
      <c r="A224" s="29" t="s">
        <v>309</v>
      </c>
      <c r="B224" s="39">
        <v>0</v>
      </c>
      <c r="C224" s="11">
        <v>0</v>
      </c>
      <c r="D224" s="39">
        <v>0</v>
      </c>
      <c r="E224" s="39">
        <v>0</v>
      </c>
      <c r="F224" s="39">
        <v>0</v>
      </c>
      <c r="G224" s="39">
        <v>0</v>
      </c>
      <c r="H224" s="39">
        <v>0</v>
      </c>
    </row>
    <row r="225" spans="1:8">
      <c r="A225" s="29" t="s">
        <v>310</v>
      </c>
      <c r="B225" s="39">
        <v>494.71603420572148</v>
      </c>
      <c r="C225" s="11">
        <v>0</v>
      </c>
      <c r="D225" s="39">
        <v>0</v>
      </c>
      <c r="E225" s="39">
        <v>0</v>
      </c>
      <c r="F225" s="39">
        <v>494.71603420572148</v>
      </c>
      <c r="G225" s="39">
        <v>0</v>
      </c>
      <c r="H225" s="39">
        <v>0</v>
      </c>
    </row>
    <row r="226" spans="1:8">
      <c r="A226" s="29" t="s">
        <v>311</v>
      </c>
      <c r="B226" s="39">
        <v>1887.0690354654648</v>
      </c>
      <c r="C226" s="11">
        <v>923.73806531990226</v>
      </c>
      <c r="D226" s="39">
        <v>0</v>
      </c>
      <c r="E226" s="39">
        <v>0</v>
      </c>
      <c r="F226" s="39">
        <v>565.03762602637778</v>
      </c>
      <c r="G226" s="39">
        <v>0</v>
      </c>
      <c r="H226" s="39">
        <v>398.29334411918478</v>
      </c>
    </row>
    <row r="227" spans="1:8">
      <c r="A227" s="29" t="s">
        <v>312</v>
      </c>
      <c r="B227" s="39">
        <v>0</v>
      </c>
      <c r="C227" s="11">
        <v>0</v>
      </c>
      <c r="D227" s="39">
        <v>0</v>
      </c>
      <c r="E227" s="39">
        <v>0</v>
      </c>
      <c r="F227" s="39">
        <v>0</v>
      </c>
      <c r="G227" s="39">
        <v>0</v>
      </c>
      <c r="H227" s="39">
        <v>0</v>
      </c>
    </row>
    <row r="228" spans="1:8">
      <c r="A228" s="29" t="s">
        <v>313</v>
      </c>
      <c r="B228" s="39">
        <v>1341.2243389361502</v>
      </c>
      <c r="C228" s="11">
        <v>846.88402203880844</v>
      </c>
      <c r="D228" s="39">
        <v>0</v>
      </c>
      <c r="E228" s="39">
        <v>0</v>
      </c>
      <c r="F228" s="39">
        <v>0</v>
      </c>
      <c r="G228" s="39">
        <v>398.29334411918478</v>
      </c>
      <c r="H228" s="39">
        <v>0</v>
      </c>
    </row>
    <row r="229" spans="1:8">
      <c r="A229" s="29" t="s">
        <v>314</v>
      </c>
      <c r="B229" s="39">
        <v>0</v>
      </c>
      <c r="C229" s="11">
        <v>0</v>
      </c>
      <c r="D229" s="39">
        <v>0</v>
      </c>
      <c r="E229" s="39">
        <v>0</v>
      </c>
      <c r="F229" s="39">
        <v>0</v>
      </c>
      <c r="G229" s="39">
        <v>0</v>
      </c>
      <c r="H229" s="39">
        <v>0</v>
      </c>
    </row>
    <row r="230" spans="1:8">
      <c r="A230" s="29" t="s">
        <v>315</v>
      </c>
      <c r="B230" s="39">
        <v>331.37592977776518</v>
      </c>
      <c r="C230" s="11">
        <v>0</v>
      </c>
      <c r="D230" s="39">
        <v>331.37592977776518</v>
      </c>
      <c r="E230" s="39">
        <v>0</v>
      </c>
      <c r="F230" s="39">
        <v>0</v>
      </c>
      <c r="G230" s="39">
        <v>0</v>
      </c>
      <c r="H230" s="39">
        <v>0</v>
      </c>
    </row>
    <row r="231" spans="1:8">
      <c r="A231" s="29" t="s">
        <v>316</v>
      </c>
      <c r="B231" s="39">
        <v>9799.1195723372002</v>
      </c>
      <c r="C231" s="11">
        <v>796.58668823836956</v>
      </c>
      <c r="D231" s="39">
        <v>0</v>
      </c>
      <c r="E231" s="39">
        <v>360.60678803208515</v>
      </c>
      <c r="F231" s="39">
        <v>5540.8303697893643</v>
      </c>
      <c r="G231" s="39">
        <v>1370.2444691226476</v>
      </c>
      <c r="H231" s="39">
        <v>685.12223456132381</v>
      </c>
    </row>
    <row r="232" spans="1:8">
      <c r="A232" s="29" t="s">
        <v>317</v>
      </c>
      <c r="B232" s="39">
        <v>331.37592977776518</v>
      </c>
      <c r="C232" s="11">
        <v>0</v>
      </c>
      <c r="D232" s="39">
        <v>0</v>
      </c>
      <c r="E232" s="39">
        <v>0</v>
      </c>
      <c r="F232" s="39">
        <v>0</v>
      </c>
      <c r="G232" s="39">
        <v>0</v>
      </c>
      <c r="H232" s="39">
        <v>0</v>
      </c>
    </row>
    <row r="233" spans="1:8">
      <c r="A233" s="29" t="s">
        <v>318</v>
      </c>
      <c r="B233" s="39">
        <v>0</v>
      </c>
      <c r="C233" s="11">
        <v>0</v>
      </c>
      <c r="D233" s="39">
        <v>0</v>
      </c>
      <c r="E233" s="39">
        <v>0</v>
      </c>
      <c r="F233" s="39">
        <v>0</v>
      </c>
      <c r="G233" s="39">
        <v>0</v>
      </c>
      <c r="H233" s="39">
        <v>0</v>
      </c>
    </row>
    <row r="234" spans="1:8">
      <c r="A234" s="29" t="s">
        <v>319</v>
      </c>
      <c r="B234" s="39">
        <v>6489.391675568856</v>
      </c>
      <c r="C234" s="11">
        <v>353.90755514131598</v>
      </c>
      <c r="D234" s="39">
        <v>707.81511028263196</v>
      </c>
      <c r="E234" s="39">
        <v>959.69091603882998</v>
      </c>
      <c r="F234" s="39">
        <v>908.3261480186568</v>
      </c>
      <c r="G234" s="39">
        <v>0</v>
      </c>
      <c r="H234" s="39">
        <v>685.28348491908116</v>
      </c>
    </row>
    <row r="235" spans="1:8">
      <c r="A235" s="29" t="s">
        <v>320</v>
      </c>
      <c r="B235" s="39">
        <v>407.90082403300636</v>
      </c>
      <c r="C235" s="11">
        <v>0</v>
      </c>
      <c r="D235" s="39">
        <v>407.90082403300636</v>
      </c>
      <c r="E235" s="39">
        <v>0</v>
      </c>
      <c r="F235" s="39">
        <v>407.90082403300636</v>
      </c>
      <c r="G235" s="39">
        <v>0</v>
      </c>
      <c r="H235" s="39">
        <v>0</v>
      </c>
    </row>
    <row r="236" spans="1:8">
      <c r="A236" s="29" t="s">
        <v>321</v>
      </c>
      <c r="B236" s="39">
        <v>1574.2596858299935</v>
      </c>
      <c r="C236" s="11">
        <v>0</v>
      </c>
      <c r="D236" s="39">
        <v>304.79388713216304</v>
      </c>
      <c r="E236" s="39">
        <v>0</v>
      </c>
      <c r="F236" s="39">
        <v>0</v>
      </c>
      <c r="G236" s="39">
        <v>0</v>
      </c>
      <c r="H236" s="39">
        <v>0</v>
      </c>
    </row>
    <row r="237" spans="1:8">
      <c r="A237" s="29" t="s">
        <v>322</v>
      </c>
      <c r="B237" s="39">
        <v>0</v>
      </c>
      <c r="C237" s="11">
        <v>0</v>
      </c>
      <c r="D237" s="39">
        <v>0</v>
      </c>
      <c r="E237" s="39">
        <v>0</v>
      </c>
      <c r="F237" s="39">
        <v>0</v>
      </c>
      <c r="G237" s="39">
        <v>0</v>
      </c>
      <c r="H237" s="39">
        <v>0</v>
      </c>
    </row>
    <row r="238" spans="1:8">
      <c r="A238" s="29" t="s">
        <v>323</v>
      </c>
      <c r="B238" s="39">
        <v>2470.6297421678391</v>
      </c>
      <c r="C238" s="11">
        <v>565.03762602637778</v>
      </c>
      <c r="D238" s="39">
        <v>0</v>
      </c>
      <c r="E238" s="39">
        <v>0</v>
      </c>
      <c r="F238" s="39">
        <v>1749.0856980673357</v>
      </c>
      <c r="G238" s="39">
        <v>1215.8843609978449</v>
      </c>
      <c r="H238" s="39">
        <v>565.03762602637778</v>
      </c>
    </row>
    <row r="239" spans="1:8">
      <c r="A239" s="29" t="s">
        <v>324</v>
      </c>
      <c r="B239" s="39">
        <v>51738.639504453378</v>
      </c>
      <c r="C239" s="11">
        <v>29440.407136893344</v>
      </c>
      <c r="D239" s="39">
        <v>7665.3497138193889</v>
      </c>
      <c r="E239" s="39">
        <v>2442.55516792561</v>
      </c>
      <c r="F239" s="39">
        <v>0</v>
      </c>
      <c r="G239" s="39">
        <v>821.94521282225446</v>
      </c>
      <c r="H239" s="39">
        <v>12709.436110008915</v>
      </c>
    </row>
    <row r="240" spans="1:8">
      <c r="A240" s="29" t="s">
        <v>325</v>
      </c>
      <c r="B240" s="39">
        <v>2749.5675193736979</v>
      </c>
      <c r="C240" s="11">
        <v>643.24296785356012</v>
      </c>
      <c r="D240" s="39">
        <v>0</v>
      </c>
      <c r="E240" s="39">
        <v>501.39130188455664</v>
      </c>
      <c r="F240" s="39">
        <v>1604.933249635581</v>
      </c>
      <c r="G240" s="39">
        <v>0</v>
      </c>
      <c r="H240" s="39">
        <v>0</v>
      </c>
    </row>
    <row r="241" spans="1:8">
      <c r="A241" s="29" t="s">
        <v>326</v>
      </c>
      <c r="B241" s="39">
        <v>0</v>
      </c>
      <c r="C241" s="11">
        <v>0</v>
      </c>
      <c r="D241" s="39">
        <v>0</v>
      </c>
      <c r="E241" s="39">
        <v>0</v>
      </c>
      <c r="F241" s="39">
        <v>0</v>
      </c>
      <c r="G241" s="39">
        <v>0</v>
      </c>
      <c r="H241" s="39">
        <v>0</v>
      </c>
    </row>
    <row r="242" spans="1:8">
      <c r="A242" s="29" t="s">
        <v>327</v>
      </c>
      <c r="B242" s="39">
        <v>0</v>
      </c>
      <c r="C242" s="11">
        <v>0</v>
      </c>
      <c r="D242" s="39">
        <v>0</v>
      </c>
      <c r="E242" s="39">
        <v>0</v>
      </c>
      <c r="F242" s="39">
        <v>0</v>
      </c>
      <c r="G242" s="39">
        <v>0</v>
      </c>
      <c r="H242" s="39">
        <v>0</v>
      </c>
    </row>
    <row r="243" spans="1:8">
      <c r="A243" s="29" t="s">
        <v>328</v>
      </c>
      <c r="B243" s="39">
        <v>0</v>
      </c>
      <c r="C243" s="11">
        <v>0</v>
      </c>
      <c r="D243" s="39">
        <v>0</v>
      </c>
      <c r="E243" s="39">
        <v>0</v>
      </c>
      <c r="F243" s="39">
        <v>0</v>
      </c>
      <c r="G243" s="39">
        <v>0</v>
      </c>
      <c r="H243" s="39">
        <v>0</v>
      </c>
    </row>
    <row r="244" spans="1:8">
      <c r="A244" s="29" t="s">
        <v>329</v>
      </c>
      <c r="B244" s="39">
        <v>0</v>
      </c>
      <c r="C244" s="11">
        <v>0</v>
      </c>
      <c r="D244" s="39">
        <v>0</v>
      </c>
      <c r="E244" s="39">
        <v>0</v>
      </c>
      <c r="F244" s="39">
        <v>0</v>
      </c>
      <c r="G244" s="39">
        <v>0</v>
      </c>
      <c r="H244" s="39">
        <v>0</v>
      </c>
    </row>
    <row r="245" spans="1:8">
      <c r="A245" s="29" t="s">
        <v>330</v>
      </c>
      <c r="B245" s="39">
        <v>331.37592977776518</v>
      </c>
      <c r="C245" s="11">
        <v>0</v>
      </c>
      <c r="D245" s="39">
        <v>0</v>
      </c>
      <c r="E245" s="39">
        <v>331.37592977776518</v>
      </c>
      <c r="F245" s="39">
        <v>331.37592977776518</v>
      </c>
      <c r="G245" s="39">
        <v>331.37592977776518</v>
      </c>
      <c r="H245" s="39">
        <v>331.37592977776518</v>
      </c>
    </row>
    <row r="246" spans="1:8">
      <c r="A246" s="29" t="s">
        <v>331</v>
      </c>
      <c r="B246" s="39">
        <v>2364.2022942766025</v>
      </c>
      <c r="C246" s="11">
        <v>903.10125887987078</v>
      </c>
      <c r="D246" s="39">
        <v>304.79388713216304</v>
      </c>
      <c r="E246" s="39">
        <v>665.40067516424824</v>
      </c>
      <c r="F246" s="39">
        <v>1405.2881344968093</v>
      </c>
      <c r="G246" s="39">
        <v>0</v>
      </c>
      <c r="H246" s="39">
        <v>0</v>
      </c>
    </row>
    <row r="247" spans="1:8">
      <c r="A247" s="29" t="s">
        <v>332</v>
      </c>
      <c r="B247" s="39">
        <v>0</v>
      </c>
      <c r="C247" s="11">
        <v>0</v>
      </c>
      <c r="D247" s="39">
        <v>0</v>
      </c>
      <c r="E247" s="39">
        <v>0</v>
      </c>
      <c r="F247" s="39">
        <v>0</v>
      </c>
      <c r="G247" s="39">
        <v>0</v>
      </c>
      <c r="H247" s="39">
        <v>0</v>
      </c>
    </row>
    <row r="248" spans="1:8">
      <c r="A248" s="29" t="s">
        <v>333</v>
      </c>
      <c r="B248" s="39">
        <v>0</v>
      </c>
      <c r="C248" s="11">
        <v>0</v>
      </c>
      <c r="D248" s="39">
        <v>0</v>
      </c>
      <c r="E248" s="39">
        <v>0</v>
      </c>
      <c r="F248" s="39">
        <v>0</v>
      </c>
      <c r="G248" s="39">
        <v>0</v>
      </c>
      <c r="H248" s="39">
        <v>0</v>
      </c>
    </row>
    <row r="249" spans="1:8">
      <c r="A249" s="29" t="s">
        <v>334</v>
      </c>
      <c r="B249" s="39">
        <v>520.99414010604744</v>
      </c>
      <c r="C249" s="11">
        <v>520.99414010604744</v>
      </c>
      <c r="D249" s="39">
        <v>0</v>
      </c>
      <c r="E249" s="39">
        <v>520.99414010604744</v>
      </c>
      <c r="F249" s="39">
        <v>0</v>
      </c>
      <c r="G249" s="39">
        <v>0</v>
      </c>
      <c r="H249" s="39">
        <v>520.99414010604744</v>
      </c>
    </row>
    <row r="250" spans="1:8">
      <c r="A250" s="29" t="s">
        <v>335</v>
      </c>
      <c r="B250" s="39">
        <v>1395.2852134947298</v>
      </c>
      <c r="C250" s="11">
        <v>565.03762602637778</v>
      </c>
      <c r="D250" s="39">
        <v>0</v>
      </c>
      <c r="E250" s="39">
        <v>0</v>
      </c>
      <c r="F250" s="39">
        <v>0</v>
      </c>
      <c r="G250" s="39">
        <v>565.03762602637778</v>
      </c>
      <c r="H250" s="39">
        <v>565.03762602637778</v>
      </c>
    </row>
    <row r="251" spans="1:8">
      <c r="A251" s="29" t="s">
        <v>336</v>
      </c>
      <c r="B251" s="39">
        <v>0</v>
      </c>
      <c r="C251" s="11">
        <v>0</v>
      </c>
      <c r="D251" s="39">
        <v>0</v>
      </c>
      <c r="E251" s="39">
        <v>0</v>
      </c>
      <c r="F251" s="39">
        <v>0</v>
      </c>
      <c r="G251" s="39">
        <v>0</v>
      </c>
      <c r="H251" s="39">
        <v>0</v>
      </c>
    </row>
    <row r="252" spans="1:8">
      <c r="A252" s="29" t="s">
        <v>337</v>
      </c>
      <c r="B252" s="39">
        <v>0</v>
      </c>
      <c r="C252" s="11">
        <v>0</v>
      </c>
      <c r="D252" s="39">
        <v>0</v>
      </c>
      <c r="E252" s="39">
        <v>0</v>
      </c>
      <c r="F252" s="39">
        <v>0</v>
      </c>
      <c r="G252" s="39">
        <v>0</v>
      </c>
      <c r="H252" s="39">
        <v>0</v>
      </c>
    </row>
    <row r="253" spans="1:8">
      <c r="A253" s="29" t="s">
        <v>338</v>
      </c>
      <c r="B253" s="39">
        <v>3232.9855541337993</v>
      </c>
      <c r="C253" s="11">
        <v>1557.5845711441366</v>
      </c>
      <c r="D253" s="39">
        <v>0</v>
      </c>
      <c r="E253" s="39">
        <v>599.1029454800896</v>
      </c>
      <c r="F253" s="39">
        <v>1175.4467654576617</v>
      </c>
      <c r="G253" s="39">
        <v>500.74979126438268</v>
      </c>
      <c r="H253" s="39">
        <v>1197.4103172277973</v>
      </c>
    </row>
    <row r="254" spans="1:8">
      <c r="A254" s="29" t="s">
        <v>339</v>
      </c>
      <c r="B254" s="39">
        <v>0</v>
      </c>
      <c r="C254" s="11">
        <v>0</v>
      </c>
      <c r="D254" s="39">
        <v>0</v>
      </c>
      <c r="E254" s="39">
        <v>0</v>
      </c>
      <c r="F254" s="39">
        <v>0</v>
      </c>
      <c r="G254" s="39">
        <v>0</v>
      </c>
      <c r="H254" s="39">
        <v>0</v>
      </c>
    </row>
    <row r="255" spans="1:8">
      <c r="A255" s="29" t="s">
        <v>340</v>
      </c>
      <c r="B255" s="39">
        <v>4965.1492657519702</v>
      </c>
      <c r="C255" s="11">
        <v>0</v>
      </c>
      <c r="D255" s="39">
        <v>0</v>
      </c>
      <c r="E255" s="39">
        <v>1281.705960229242</v>
      </c>
      <c r="F255" s="39">
        <v>3683.4433055227287</v>
      </c>
      <c r="G255" s="39">
        <v>0</v>
      </c>
      <c r="H255" s="39">
        <v>0</v>
      </c>
    </row>
    <row r="256" spans="1:8">
      <c r="A256" s="29" t="s">
        <v>341</v>
      </c>
      <c r="B256" s="39">
        <v>2000.2992111664148</v>
      </c>
      <c r="C256" s="11">
        <v>0</v>
      </c>
      <c r="D256" s="39">
        <v>565.03762602637778</v>
      </c>
      <c r="E256" s="39">
        <v>0</v>
      </c>
      <c r="F256" s="39">
        <v>758.90013215126987</v>
      </c>
      <c r="G256" s="39">
        <v>676.36145298876716</v>
      </c>
      <c r="H256" s="39">
        <v>0</v>
      </c>
    </row>
    <row r="257" spans="1:8">
      <c r="A257" s="29" t="s">
        <v>342</v>
      </c>
      <c r="B257" s="39">
        <v>0</v>
      </c>
      <c r="C257" s="11">
        <v>0</v>
      </c>
      <c r="D257" s="39">
        <v>0</v>
      </c>
      <c r="E257" s="39">
        <v>0</v>
      </c>
      <c r="F257" s="39">
        <v>0</v>
      </c>
      <c r="G257" s="39">
        <v>0</v>
      </c>
      <c r="H257" s="39">
        <v>0</v>
      </c>
    </row>
    <row r="258" spans="1:8">
      <c r="A258" s="29" t="s">
        <v>343</v>
      </c>
      <c r="B258" s="39">
        <v>0</v>
      </c>
      <c r="C258" s="11">
        <v>0</v>
      </c>
      <c r="D258" s="39">
        <v>0</v>
      </c>
      <c r="E258" s="39">
        <v>0</v>
      </c>
      <c r="F258" s="39">
        <v>0</v>
      </c>
      <c r="G258" s="39">
        <v>0</v>
      </c>
      <c r="H258" s="39">
        <v>0</v>
      </c>
    </row>
    <row r="259" spans="1:8">
      <c r="A259" s="29" t="s">
        <v>344</v>
      </c>
      <c r="B259" s="39">
        <v>470.01779546800935</v>
      </c>
      <c r="C259" s="11">
        <v>470.01779546800935</v>
      </c>
      <c r="D259" s="39">
        <v>0</v>
      </c>
      <c r="E259" s="39">
        <v>0</v>
      </c>
      <c r="F259" s="39">
        <v>0</v>
      </c>
      <c r="G259" s="39">
        <v>0</v>
      </c>
      <c r="H259" s="39">
        <v>0</v>
      </c>
    </row>
    <row r="260" spans="1:8">
      <c r="A260" s="29" t="s">
        <v>345</v>
      </c>
      <c r="B260" s="39">
        <v>1195.0986534663684</v>
      </c>
      <c r="C260" s="11">
        <v>0</v>
      </c>
      <c r="D260" s="39">
        <v>518.73720047760116</v>
      </c>
      <c r="E260" s="39">
        <v>518.73720047760116</v>
      </c>
      <c r="F260" s="39">
        <v>0</v>
      </c>
      <c r="G260" s="39">
        <v>0</v>
      </c>
      <c r="H260" s="39">
        <v>0</v>
      </c>
    </row>
    <row r="261" spans="1:8">
      <c r="A261" s="29" t="s">
        <v>346</v>
      </c>
      <c r="B261" s="39">
        <v>1601.4013164005753</v>
      </c>
      <c r="C261" s="11">
        <v>0</v>
      </c>
      <c r="D261" s="39">
        <v>372.86038481303859</v>
      </c>
      <c r="E261" s="39">
        <v>0</v>
      </c>
      <c r="F261" s="39">
        <v>0</v>
      </c>
      <c r="G261" s="39">
        <v>0</v>
      </c>
      <c r="H261" s="39">
        <v>1601.4013164005753</v>
      </c>
    </row>
    <row r="262" spans="1:8">
      <c r="A262" s="29" t="s">
        <v>347</v>
      </c>
      <c r="B262" s="39">
        <v>2392.0908405386158</v>
      </c>
      <c r="C262" s="11">
        <v>1854.0329964925149</v>
      </c>
      <c r="D262" s="39">
        <v>0</v>
      </c>
      <c r="E262" s="39">
        <v>422.34676343534562</v>
      </c>
      <c r="F262" s="39">
        <v>0</v>
      </c>
      <c r="G262" s="39">
        <v>538.05784404610074</v>
      </c>
      <c r="H262" s="39">
        <v>0</v>
      </c>
    </row>
    <row r="263" spans="1:8">
      <c r="A263" s="29" t="s">
        <v>348</v>
      </c>
      <c r="B263" s="39">
        <v>2486.2623522161589</v>
      </c>
      <c r="C263" s="11">
        <v>508.66394678876424</v>
      </c>
      <c r="D263" s="39">
        <v>508.66394678876424</v>
      </c>
      <c r="E263" s="39">
        <v>565.03762602637778</v>
      </c>
      <c r="F263" s="39">
        <v>0</v>
      </c>
      <c r="G263" s="39">
        <v>0</v>
      </c>
      <c r="H263" s="39">
        <v>0</v>
      </c>
    </row>
    <row r="264" spans="1:8">
      <c r="A264" s="29" t="s">
        <v>349</v>
      </c>
      <c r="B264" s="39">
        <v>40215.061430528207</v>
      </c>
      <c r="C264" s="11">
        <v>2827.8073123417698</v>
      </c>
      <c r="D264" s="39">
        <v>2397.5523317229517</v>
      </c>
      <c r="E264" s="39">
        <v>3179.8675557365445</v>
      </c>
      <c r="F264" s="39">
        <v>2113.380550518646</v>
      </c>
      <c r="G264" s="39">
        <v>2595.4622566237408</v>
      </c>
      <c r="H264" s="39">
        <v>10214.602641577467</v>
      </c>
    </row>
    <row r="265" spans="1:8">
      <c r="A265" s="29" t="s">
        <v>350</v>
      </c>
      <c r="B265" s="39">
        <v>0</v>
      </c>
      <c r="C265" s="11">
        <v>0</v>
      </c>
      <c r="D265" s="39">
        <v>0</v>
      </c>
      <c r="E265" s="39">
        <v>0</v>
      </c>
      <c r="F265" s="39">
        <v>0</v>
      </c>
      <c r="G265" s="39">
        <v>0</v>
      </c>
      <c r="H265" s="39">
        <v>0</v>
      </c>
    </row>
    <row r="266" spans="1:8">
      <c r="A266" s="29" t="s">
        <v>351</v>
      </c>
      <c r="B266" s="39">
        <v>4933.7448451455803</v>
      </c>
      <c r="C266" s="11">
        <v>470.01779546800935</v>
      </c>
      <c r="D266" s="39">
        <v>0</v>
      </c>
      <c r="E266" s="39">
        <v>470.01779546800935</v>
      </c>
      <c r="F266" s="39">
        <v>0</v>
      </c>
      <c r="G266" s="39">
        <v>598.30737174770775</v>
      </c>
      <c r="H266" s="39">
        <v>470.01779546800935</v>
      </c>
    </row>
    <row r="267" spans="1:8">
      <c r="A267" s="29" t="s">
        <v>352</v>
      </c>
      <c r="B267" s="39">
        <v>3940.6996816912374</v>
      </c>
      <c r="C267" s="11">
        <v>1418.0783822172441</v>
      </c>
      <c r="D267" s="39">
        <v>919.28748422523222</v>
      </c>
      <c r="E267" s="39">
        <v>0</v>
      </c>
      <c r="F267" s="39">
        <v>0</v>
      </c>
      <c r="G267" s="39">
        <v>0</v>
      </c>
      <c r="H267" s="39">
        <v>0</v>
      </c>
    </row>
    <row r="268" spans="1:8">
      <c r="A268" s="29" t="s">
        <v>353</v>
      </c>
      <c r="B268" s="39">
        <v>0</v>
      </c>
      <c r="C268" s="11">
        <v>0</v>
      </c>
      <c r="D268" s="39">
        <v>0</v>
      </c>
      <c r="E268" s="39">
        <v>0</v>
      </c>
      <c r="F268" s="39">
        <v>0</v>
      </c>
      <c r="G268" s="39">
        <v>0</v>
      </c>
      <c r="H268" s="39">
        <v>0</v>
      </c>
    </row>
    <row r="269" spans="1:8">
      <c r="A269" s="29" t="s">
        <v>354</v>
      </c>
      <c r="B269" s="39">
        <v>0</v>
      </c>
      <c r="C269" s="11">
        <v>0</v>
      </c>
      <c r="D269" s="39">
        <v>0</v>
      </c>
      <c r="E269" s="39">
        <v>0</v>
      </c>
      <c r="F269" s="39">
        <v>0</v>
      </c>
      <c r="G269" s="39">
        <v>0</v>
      </c>
      <c r="H269" s="39">
        <v>0</v>
      </c>
    </row>
    <row r="270" spans="1:8">
      <c r="A270" s="29" t="s">
        <v>355</v>
      </c>
      <c r="B270" s="39">
        <v>490.13454537033851</v>
      </c>
      <c r="C270" s="11">
        <v>490.13454537033851</v>
      </c>
      <c r="D270" s="39">
        <v>0</v>
      </c>
      <c r="E270" s="39">
        <v>490.13454537033851</v>
      </c>
      <c r="F270" s="39">
        <v>0</v>
      </c>
      <c r="G270" s="39">
        <v>0</v>
      </c>
      <c r="H270" s="39">
        <v>490.13454537033851</v>
      </c>
    </row>
    <row r="271" spans="1:8">
      <c r="A271" s="29" t="s">
        <v>356</v>
      </c>
      <c r="B271" s="39">
        <v>5075.3888690584481</v>
      </c>
      <c r="C271" s="11">
        <v>0</v>
      </c>
      <c r="D271" s="39">
        <v>0</v>
      </c>
      <c r="E271" s="39">
        <v>662.70310888712561</v>
      </c>
      <c r="F271" s="39">
        <v>360.60678803208515</v>
      </c>
      <c r="G271" s="39">
        <v>1141.5574922898766</v>
      </c>
      <c r="H271" s="39">
        <v>0</v>
      </c>
    </row>
    <row r="272" spans="1:8">
      <c r="A272" s="29" t="s">
        <v>357</v>
      </c>
      <c r="B272" s="39">
        <v>0</v>
      </c>
      <c r="C272" s="11">
        <v>0</v>
      </c>
      <c r="D272" s="39">
        <v>0</v>
      </c>
      <c r="E272" s="39">
        <v>0</v>
      </c>
      <c r="F272" s="39">
        <v>0</v>
      </c>
      <c r="G272" s="39">
        <v>0</v>
      </c>
      <c r="H272" s="39">
        <v>0</v>
      </c>
    </row>
    <row r="273" spans="1:8">
      <c r="A273" s="29" t="s">
        <v>358</v>
      </c>
      <c r="B273" s="39">
        <v>2471.9776344034071</v>
      </c>
      <c r="C273" s="11">
        <v>699.12259995985289</v>
      </c>
      <c r="D273" s="39">
        <v>0</v>
      </c>
      <c r="E273" s="39">
        <v>0</v>
      </c>
      <c r="F273" s="39">
        <v>422.34676343534562</v>
      </c>
      <c r="G273" s="39">
        <v>0</v>
      </c>
      <c r="H273" s="39">
        <v>398.29334411918478</v>
      </c>
    </row>
    <row r="274" spans="1:8">
      <c r="A274" s="29" t="s">
        <v>359</v>
      </c>
      <c r="B274" s="39">
        <v>0</v>
      </c>
      <c r="C274" s="11">
        <v>0</v>
      </c>
      <c r="D274" s="39">
        <v>0</v>
      </c>
      <c r="E274" s="39">
        <v>0</v>
      </c>
      <c r="F274" s="39">
        <v>0</v>
      </c>
      <c r="G274" s="39">
        <v>0</v>
      </c>
      <c r="H274" s="39">
        <v>0</v>
      </c>
    </row>
    <row r="275" spans="1:8">
      <c r="A275" s="29" t="s">
        <v>360</v>
      </c>
      <c r="B275" s="39">
        <v>3709.3721257256934</v>
      </c>
      <c r="C275" s="11">
        <v>1678.4037453415058</v>
      </c>
      <c r="D275" s="39">
        <v>1137.9590020592816</v>
      </c>
      <c r="E275" s="39">
        <v>0</v>
      </c>
      <c r="F275" s="39">
        <v>0</v>
      </c>
      <c r="G275" s="39">
        <v>0</v>
      </c>
      <c r="H275" s="39">
        <v>893.00937832490627</v>
      </c>
    </row>
    <row r="276" spans="1:8">
      <c r="A276" s="29" t="s">
        <v>361</v>
      </c>
      <c r="B276" s="39">
        <v>1555.3727778636783</v>
      </c>
      <c r="C276" s="11">
        <v>786.86516579858676</v>
      </c>
      <c r="D276" s="39">
        <v>0</v>
      </c>
      <c r="E276" s="39">
        <v>407.90082403300636</v>
      </c>
      <c r="F276" s="39">
        <v>360.60678803208515</v>
      </c>
      <c r="G276" s="39">
        <v>316.84737033057741</v>
      </c>
      <c r="H276" s="39">
        <v>316.84737033057741</v>
      </c>
    </row>
    <row r="277" spans="1:8">
      <c r="A277" s="29" t="s">
        <v>362</v>
      </c>
      <c r="B277" s="39">
        <v>0</v>
      </c>
      <c r="C277" s="11">
        <v>0</v>
      </c>
      <c r="D277" s="39">
        <v>0</v>
      </c>
      <c r="E277" s="39">
        <v>0</v>
      </c>
      <c r="F277" s="39">
        <v>0</v>
      </c>
      <c r="G277" s="39">
        <v>0</v>
      </c>
      <c r="H277" s="39">
        <v>0</v>
      </c>
    </row>
    <row r="278" spans="1:8">
      <c r="A278" s="29" t="s">
        <v>363</v>
      </c>
      <c r="B278" s="39">
        <v>2657.5469484980235</v>
      </c>
      <c r="C278" s="11">
        <v>0</v>
      </c>
      <c r="D278" s="39">
        <v>0</v>
      </c>
      <c r="E278" s="39">
        <v>0</v>
      </c>
      <c r="F278" s="39">
        <v>0</v>
      </c>
      <c r="G278" s="39">
        <v>490.13454537033851</v>
      </c>
      <c r="H278" s="39">
        <v>367.81390461892022</v>
      </c>
    </row>
    <row r="279" spans="1:8">
      <c r="A279" s="29" t="s">
        <v>364</v>
      </c>
      <c r="B279" s="39">
        <v>304664.27472409728</v>
      </c>
      <c r="C279" s="11">
        <v>36539.814274058095</v>
      </c>
      <c r="D279" s="39">
        <v>22126.549502748851</v>
      </c>
      <c r="E279" s="39">
        <v>122362.866596215</v>
      </c>
      <c r="F279" s="39">
        <v>70687.618631516525</v>
      </c>
      <c r="G279" s="39">
        <v>29563.796121399635</v>
      </c>
      <c r="H279" s="39">
        <v>27204.952859077486</v>
      </c>
    </row>
    <row r="280" spans="1:8">
      <c r="A280" s="29" t="s">
        <v>365</v>
      </c>
      <c r="B280" s="39">
        <v>0</v>
      </c>
      <c r="C280" s="11">
        <v>0</v>
      </c>
      <c r="D280" s="39">
        <v>0</v>
      </c>
      <c r="E280" s="39">
        <v>0</v>
      </c>
      <c r="F280" s="39">
        <v>0</v>
      </c>
      <c r="G280" s="39">
        <v>0</v>
      </c>
      <c r="H280" s="39">
        <v>0</v>
      </c>
    </row>
    <row r="281" spans="1:8">
      <c r="A281" s="29" t="s">
        <v>366</v>
      </c>
      <c r="B281" s="39">
        <v>2382.253807428373</v>
      </c>
      <c r="C281" s="11">
        <v>1129.4448681335093</v>
      </c>
      <c r="D281" s="39">
        <v>407.90082403300636</v>
      </c>
      <c r="E281" s="39">
        <v>407.90082403300636</v>
      </c>
      <c r="F281" s="39">
        <v>407.90082403300636</v>
      </c>
      <c r="G281" s="39">
        <v>1638.1088149222737</v>
      </c>
      <c r="H281" s="39">
        <v>407.90082403300636</v>
      </c>
    </row>
    <row r="282" spans="1:8">
      <c r="A282" s="29" t="s">
        <v>367</v>
      </c>
      <c r="B282" s="39">
        <v>7166.5865014010378</v>
      </c>
      <c r="C282" s="11">
        <v>2786.8934627916133</v>
      </c>
      <c r="D282" s="39">
        <v>1247.7248819491285</v>
      </c>
      <c r="E282" s="39">
        <v>1562.2516875600236</v>
      </c>
      <c r="F282" s="39">
        <v>1520.2792946337436</v>
      </c>
      <c r="G282" s="39">
        <v>1914.0987513777118</v>
      </c>
      <c r="H282" s="39">
        <v>931.01071022410986</v>
      </c>
    </row>
    <row r="283" spans="1:8">
      <c r="A283" s="29" t="s">
        <v>368</v>
      </c>
      <c r="B283" s="39">
        <v>15374.340580180926</v>
      </c>
      <c r="C283" s="11">
        <v>5218.9719151097397</v>
      </c>
      <c r="D283" s="39">
        <v>1529.037490508666</v>
      </c>
      <c r="E283" s="39">
        <v>494.34031689734184</v>
      </c>
      <c r="F283" s="39">
        <v>8131.990857665176</v>
      </c>
      <c r="G283" s="39">
        <v>554.41859287734076</v>
      </c>
      <c r="H283" s="39">
        <v>0</v>
      </c>
    </row>
    <row r="284" spans="1:8">
      <c r="A284" s="29" t="s">
        <v>369</v>
      </c>
      <c r="B284" s="39">
        <v>721.54404410050302</v>
      </c>
      <c r="C284" s="11">
        <v>0</v>
      </c>
      <c r="D284" s="39">
        <v>721.54404410050302</v>
      </c>
      <c r="E284" s="39">
        <v>721.54404410050302</v>
      </c>
      <c r="F284" s="39">
        <v>721.54404410050302</v>
      </c>
      <c r="G284" s="39">
        <v>0</v>
      </c>
      <c r="H284" s="39">
        <v>0</v>
      </c>
    </row>
    <row r="285" spans="1:8">
      <c r="A285" s="29" t="s">
        <v>370</v>
      </c>
      <c r="B285" s="39">
        <v>62374.080566595949</v>
      </c>
      <c r="C285" s="11">
        <v>30754.206955051901</v>
      </c>
      <c r="D285" s="39">
        <v>6084.8276179370441</v>
      </c>
      <c r="E285" s="39">
        <v>3218.276468547273</v>
      </c>
      <c r="F285" s="39">
        <v>6269.0297998200467</v>
      </c>
      <c r="G285" s="39">
        <v>16743.413503373198</v>
      </c>
      <c r="H285" s="39">
        <v>7676.5564462077655</v>
      </c>
    </row>
    <row r="286" spans="1:8">
      <c r="A286" s="29" t="s">
        <v>371</v>
      </c>
      <c r="B286" s="39">
        <v>372.86038481303859</v>
      </c>
      <c r="C286" s="11">
        <v>0</v>
      </c>
      <c r="D286" s="39">
        <v>0</v>
      </c>
      <c r="E286" s="39">
        <v>0</v>
      </c>
      <c r="F286" s="39">
        <v>0</v>
      </c>
      <c r="G286" s="39">
        <v>372.86038481303859</v>
      </c>
      <c r="H286" s="39">
        <v>0</v>
      </c>
    </row>
    <row r="287" spans="1:8">
      <c r="A287" s="29" t="s">
        <v>372</v>
      </c>
      <c r="B287" s="39">
        <v>0</v>
      </c>
      <c r="C287" s="11">
        <v>0</v>
      </c>
      <c r="D287" s="39">
        <v>0</v>
      </c>
      <c r="E287" s="39">
        <v>0</v>
      </c>
      <c r="F287" s="39">
        <v>0</v>
      </c>
      <c r="G287" s="39">
        <v>0</v>
      </c>
      <c r="H287" s="39">
        <v>0</v>
      </c>
    </row>
    <row r="288" spans="1:8">
      <c r="A288" s="29" t="s">
        <v>373</v>
      </c>
      <c r="B288" s="39">
        <v>2088.9000531062143</v>
      </c>
      <c r="C288" s="11">
        <v>305.44794168775536</v>
      </c>
      <c r="D288" s="39">
        <v>367.81390461892022</v>
      </c>
      <c r="E288" s="39">
        <v>0</v>
      </c>
      <c r="F288" s="39">
        <v>0</v>
      </c>
      <c r="G288" s="39">
        <v>305.44794168775536</v>
      </c>
      <c r="H288" s="39">
        <v>739.27675381077154</v>
      </c>
    </row>
    <row r="289" spans="1:8">
      <c r="A289" s="29" t="s">
        <v>374</v>
      </c>
      <c r="B289" s="39">
        <v>0</v>
      </c>
      <c r="C289" s="11">
        <v>0</v>
      </c>
      <c r="D289" s="39">
        <v>0</v>
      </c>
      <c r="E289" s="39">
        <v>0</v>
      </c>
      <c r="F289" s="39">
        <v>0</v>
      </c>
      <c r="G289" s="39">
        <v>0</v>
      </c>
      <c r="H289" s="39">
        <v>0</v>
      </c>
    </row>
    <row r="290" spans="1:8">
      <c r="A290" s="29" t="s">
        <v>375</v>
      </c>
      <c r="B290" s="39">
        <v>0</v>
      </c>
      <c r="C290" s="11">
        <v>0</v>
      </c>
      <c r="D290" s="39">
        <v>0</v>
      </c>
      <c r="E290" s="39">
        <v>0</v>
      </c>
      <c r="F290" s="39">
        <v>0</v>
      </c>
      <c r="G290" s="39">
        <v>0</v>
      </c>
      <c r="H290" s="39">
        <v>0</v>
      </c>
    </row>
    <row r="291" spans="1:8">
      <c r="A291" s="29" t="s">
        <v>376</v>
      </c>
      <c r="B291" s="39">
        <v>5262.1006022376841</v>
      </c>
      <c r="C291" s="11">
        <v>0</v>
      </c>
      <c r="D291" s="39">
        <v>727.1406505675086</v>
      </c>
      <c r="E291" s="39">
        <v>0</v>
      </c>
      <c r="F291" s="39">
        <v>0</v>
      </c>
      <c r="G291" s="39">
        <v>508.66394678876424</v>
      </c>
      <c r="H291" s="39">
        <v>508.66394678876424</v>
      </c>
    </row>
    <row r="292" spans="1:8">
      <c r="A292" s="29" t="s">
        <v>377</v>
      </c>
      <c r="B292" s="39">
        <v>9881.5552749590734</v>
      </c>
      <c r="C292" s="11">
        <v>2928.2861143564023</v>
      </c>
      <c r="D292" s="39">
        <v>1064.8431026228889</v>
      </c>
      <c r="E292" s="39">
        <v>304.79388713216304</v>
      </c>
      <c r="F292" s="39">
        <v>852.37006988381268</v>
      </c>
      <c r="G292" s="39">
        <v>0</v>
      </c>
      <c r="H292" s="39">
        <v>4371.4245660113902</v>
      </c>
    </row>
    <row r="293" spans="1:8">
      <c r="A293" s="29" t="s">
        <v>378</v>
      </c>
      <c r="B293" s="39">
        <v>47039.947882239663</v>
      </c>
      <c r="C293" s="11">
        <v>1905.780889923966</v>
      </c>
      <c r="D293" s="39">
        <v>565.03762602637778</v>
      </c>
      <c r="E293" s="39">
        <v>1522.2494503992921</v>
      </c>
      <c r="F293" s="39">
        <v>576.34381997757214</v>
      </c>
      <c r="G293" s="39">
        <v>1556.1371134974056</v>
      </c>
      <c r="H293" s="39">
        <v>4218.3663445673828</v>
      </c>
    </row>
    <row r="294" spans="1:8">
      <c r="A294" s="29" t="s">
        <v>379</v>
      </c>
      <c r="B294" s="39">
        <v>448.59067791962366</v>
      </c>
      <c r="C294" s="11">
        <v>0</v>
      </c>
      <c r="D294" s="39">
        <v>0</v>
      </c>
      <c r="E294" s="39">
        <v>448.59067791962366</v>
      </c>
      <c r="F294" s="39">
        <v>0</v>
      </c>
      <c r="G294" s="39">
        <v>0</v>
      </c>
      <c r="H294" s="39">
        <v>0</v>
      </c>
    </row>
    <row r="295" spans="1:8">
      <c r="A295" s="29" t="s">
        <v>380</v>
      </c>
      <c r="B295" s="39">
        <v>353.90755514131598</v>
      </c>
      <c r="C295" s="11">
        <v>0</v>
      </c>
      <c r="D295" s="39">
        <v>0</v>
      </c>
      <c r="E295" s="39">
        <v>0</v>
      </c>
      <c r="F295" s="39">
        <v>0</v>
      </c>
      <c r="G295" s="39">
        <v>0</v>
      </c>
      <c r="H295" s="39">
        <v>0</v>
      </c>
    </row>
    <row r="296" spans="1:8">
      <c r="A296" s="29" t="s">
        <v>381</v>
      </c>
      <c r="B296" s="39">
        <v>0</v>
      </c>
      <c r="C296" s="11">
        <v>0</v>
      </c>
      <c r="D296" s="39">
        <v>0</v>
      </c>
      <c r="E296" s="39">
        <v>0</v>
      </c>
      <c r="F296" s="39">
        <v>0</v>
      </c>
      <c r="G296" s="39">
        <v>0</v>
      </c>
      <c r="H296" s="39">
        <v>0</v>
      </c>
    </row>
    <row r="297" spans="1:8">
      <c r="A297" s="29" t="s">
        <v>382</v>
      </c>
      <c r="B297" s="39">
        <v>0</v>
      </c>
      <c r="C297" s="11">
        <v>0</v>
      </c>
      <c r="D297" s="39">
        <v>0</v>
      </c>
      <c r="E297" s="39">
        <v>0</v>
      </c>
      <c r="F297" s="39">
        <v>0</v>
      </c>
      <c r="G297" s="39">
        <v>0</v>
      </c>
      <c r="H297" s="39">
        <v>0</v>
      </c>
    </row>
    <row r="298" spans="1:8">
      <c r="A298" s="29" t="s">
        <v>383</v>
      </c>
      <c r="B298" s="39">
        <v>0</v>
      </c>
      <c r="C298" s="11">
        <v>0</v>
      </c>
      <c r="D298" s="39">
        <v>0</v>
      </c>
      <c r="E298" s="39">
        <v>0</v>
      </c>
      <c r="F298" s="39">
        <v>0</v>
      </c>
      <c r="G298" s="39">
        <v>0</v>
      </c>
      <c r="H298" s="39">
        <v>0</v>
      </c>
    </row>
    <row r="299" spans="1:8">
      <c r="A299" s="29" t="s">
        <v>384</v>
      </c>
      <c r="B299" s="39">
        <v>0</v>
      </c>
      <c r="C299" s="11">
        <v>0</v>
      </c>
      <c r="D299" s="39">
        <v>0</v>
      </c>
      <c r="E299" s="39">
        <v>0</v>
      </c>
      <c r="F299" s="39">
        <v>0</v>
      </c>
      <c r="G299" s="39">
        <v>0</v>
      </c>
      <c r="H299" s="39">
        <v>0</v>
      </c>
    </row>
    <row r="300" spans="1:8">
      <c r="A300" s="29" t="s">
        <v>385</v>
      </c>
      <c r="B300" s="39">
        <v>3408.7579929741046</v>
      </c>
      <c r="C300" s="11">
        <v>1231.1964680641222</v>
      </c>
      <c r="D300" s="39">
        <v>685.12223456132381</v>
      </c>
      <c r="E300" s="39">
        <v>1231.1964680641222</v>
      </c>
      <c r="F300" s="39">
        <v>494.71603420572148</v>
      </c>
      <c r="G300" s="39">
        <v>0</v>
      </c>
      <c r="H300" s="39">
        <v>527.70546067492762</v>
      </c>
    </row>
    <row r="301" spans="1:8">
      <c r="A301" s="111"/>
      <c r="B301" s="97"/>
      <c r="C301" s="97"/>
      <c r="D301" s="97"/>
      <c r="E301" s="97"/>
      <c r="F301" s="97"/>
      <c r="G301" s="97"/>
      <c r="H301" s="97"/>
    </row>
    <row r="302" spans="1:8">
      <c r="A302" s="146" t="s">
        <v>121</v>
      </c>
    </row>
    <row r="303" spans="1:8">
      <c r="A303" s="115" t="s">
        <v>108</v>
      </c>
    </row>
    <row r="304" spans="1:8">
      <c r="A304" s="16" t="s">
        <v>112</v>
      </c>
    </row>
    <row r="305" spans="1:2">
      <c r="A305" s="16" t="s">
        <v>113</v>
      </c>
    </row>
    <row r="307" spans="1:2">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5AD2599D-A568-4018-A819-6A51A716A6AE}">
            <xm:f>B159&lt;'27'!$D$104</xm:f>
            <x14:dxf>
              <font>
                <color rgb="FFFF0000"/>
              </font>
              <numFmt numFmtId="171" formatCode="\*\*0.0%"/>
            </x14:dxf>
          </x14:cfRule>
          <x14:cfRule type="expression" priority="4" id="{8F47025C-627A-4F1F-9CFC-484F33D2CCC9}">
            <xm:f>B159&lt;'27'!$D$103</xm:f>
            <x14:dxf>
              <font>
                <color rgb="FF00B050"/>
              </font>
              <numFmt numFmtId="170" formatCode="\*0.0%"/>
            </x14:dxf>
          </x14:cfRule>
          <xm:sqref>B16:H157</xm:sqref>
        </x14:conditionalFormatting>
        <x14:conditionalFormatting xmlns:xm="http://schemas.microsoft.com/office/excel/2006/main">
          <x14:cfRule type="expression" priority="1" id="{D9249ED1-5189-4799-97A1-D029D4CF3FC8}">
            <xm:f>B159&lt;'27'!$D$104</xm:f>
            <x14:dxf>
              <font>
                <color rgb="FFFF0000"/>
              </font>
              <numFmt numFmtId="169" formatCode="\*\*#,###,###,##0"/>
            </x14:dxf>
          </x14:cfRule>
          <x14:cfRule type="expression" priority="2" id="{B5EB1AF0-F920-4C4B-A490-673196FB2FDB}">
            <xm:f>B159&lt;'27'!$D$103</xm:f>
            <x14:dxf>
              <font>
                <color rgb="FF00B050"/>
              </font>
              <numFmt numFmtId="168"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4"/>
      <c r="B1" s="24"/>
      <c r="C1" s="24"/>
      <c r="D1" s="24"/>
      <c r="E1" s="24"/>
      <c r="F1" s="24"/>
      <c r="G1" s="24"/>
      <c r="H1" s="24"/>
      <c r="I1" s="24"/>
      <c r="J1" s="24"/>
      <c r="K1" s="24"/>
      <c r="L1" s="24"/>
      <c r="M1" s="24"/>
      <c r="N1" s="24"/>
    </row>
    <row r="2" spans="1:14">
      <c r="A2" s="24"/>
      <c r="B2" s="24"/>
      <c r="C2" s="24"/>
      <c r="D2" s="24"/>
      <c r="E2" s="24"/>
      <c r="F2" s="24"/>
      <c r="G2" s="24"/>
      <c r="H2" s="24"/>
      <c r="I2" s="24"/>
      <c r="J2" s="24"/>
      <c r="K2" s="24"/>
      <c r="L2" s="24"/>
      <c r="M2" s="24"/>
      <c r="N2" s="24"/>
    </row>
    <row r="3" spans="1:14">
      <c r="A3" s="24"/>
      <c r="B3" s="24"/>
      <c r="C3" s="24"/>
      <c r="D3" s="24"/>
      <c r="E3" s="24"/>
      <c r="F3" s="24"/>
      <c r="G3" s="24"/>
      <c r="H3" s="24"/>
      <c r="I3" s="24"/>
      <c r="J3" s="24"/>
      <c r="K3" s="24"/>
      <c r="L3" s="24"/>
      <c r="M3" s="24"/>
      <c r="N3" s="24"/>
    </row>
    <row r="4" spans="1:14">
      <c r="A4" s="24"/>
      <c r="B4" s="24"/>
      <c r="C4" s="24"/>
      <c r="D4" s="24"/>
      <c r="E4" s="24"/>
      <c r="F4" s="24"/>
      <c r="G4" s="24"/>
      <c r="H4" s="24"/>
      <c r="I4" s="24"/>
      <c r="J4" s="24"/>
      <c r="K4" s="24"/>
      <c r="L4" s="24"/>
      <c r="M4" s="24"/>
      <c r="N4" s="24"/>
    </row>
    <row r="5" spans="1:14">
      <c r="A5" s="24"/>
      <c r="B5" s="24"/>
      <c r="C5" s="24"/>
      <c r="D5" s="24"/>
      <c r="E5" s="24"/>
      <c r="F5" s="24"/>
      <c r="G5" s="24"/>
      <c r="H5" s="24"/>
      <c r="I5" s="24"/>
      <c r="J5" s="24"/>
      <c r="K5" s="24"/>
      <c r="L5" s="24"/>
      <c r="M5" s="24"/>
      <c r="N5" s="24"/>
    </row>
    <row r="6" spans="1:14">
      <c r="A6" s="24"/>
      <c r="B6" s="24"/>
      <c r="C6" s="24"/>
      <c r="D6" s="24"/>
      <c r="E6" s="24"/>
      <c r="F6" s="24"/>
      <c r="G6" s="24"/>
      <c r="H6" s="24"/>
      <c r="I6" s="24"/>
      <c r="J6" s="24"/>
      <c r="K6" s="24"/>
      <c r="L6" s="24"/>
      <c r="M6" s="24"/>
      <c r="N6" s="24"/>
    </row>
    <row r="7" spans="1:14">
      <c r="A7" s="24"/>
      <c r="B7" s="24"/>
      <c r="C7" s="24"/>
      <c r="D7" s="24"/>
      <c r="E7" s="24"/>
      <c r="F7" s="24"/>
      <c r="G7" s="24"/>
      <c r="H7" s="24"/>
      <c r="I7" s="24"/>
      <c r="J7" s="24"/>
      <c r="K7" s="24"/>
      <c r="L7" s="24"/>
      <c r="M7" s="24"/>
      <c r="N7" s="24"/>
    </row>
    <row r="8" spans="1:14">
      <c r="A8" s="25" t="str">
        <f>Index!A8</f>
        <v>AusPlay survey results July 2024 - June 2025</v>
      </c>
      <c r="B8" s="24"/>
      <c r="C8" s="24"/>
      <c r="D8" s="24"/>
      <c r="E8" s="24"/>
      <c r="F8" s="24"/>
      <c r="G8" s="24"/>
      <c r="H8" s="24"/>
      <c r="I8" s="24"/>
      <c r="J8" s="24"/>
      <c r="K8" s="24"/>
      <c r="L8" s="24"/>
      <c r="M8" s="24"/>
      <c r="N8" s="24"/>
    </row>
    <row r="9" spans="1:14">
      <c r="A9" s="24" t="s">
        <v>1</v>
      </c>
      <c r="B9" s="24"/>
      <c r="C9" s="133" t="s">
        <v>2</v>
      </c>
      <c r="D9" s="25"/>
      <c r="E9" s="24"/>
      <c r="F9" s="24"/>
      <c r="G9" s="24"/>
      <c r="H9" s="24"/>
      <c r="I9" s="24"/>
      <c r="J9" s="24"/>
      <c r="K9" s="24"/>
      <c r="L9" s="24"/>
      <c r="M9" s="24"/>
      <c r="N9" s="24"/>
    </row>
    <row r="10" spans="1:14">
      <c r="A10" s="24" t="s">
        <v>40</v>
      </c>
      <c r="B10" s="24"/>
      <c r="C10" s="26">
        <v>21</v>
      </c>
      <c r="D10" s="26"/>
      <c r="E10" s="24"/>
      <c r="F10" s="24"/>
      <c r="G10" s="24"/>
      <c r="H10" s="24"/>
      <c r="I10" s="24"/>
      <c r="J10" s="24"/>
      <c r="K10" s="24"/>
      <c r="L10" s="24"/>
      <c r="M10" s="24"/>
      <c r="N10" s="24"/>
    </row>
    <row r="11" spans="1:14">
      <c r="A11" s="24" t="s">
        <v>3</v>
      </c>
      <c r="B11" s="24"/>
      <c r="C11" s="25" t="s">
        <v>30</v>
      </c>
      <c r="D11" s="25"/>
      <c r="E11" s="24"/>
      <c r="F11" s="24"/>
      <c r="G11" s="24"/>
      <c r="H11" s="24"/>
      <c r="I11" s="24"/>
      <c r="J11" s="24"/>
      <c r="K11" s="24"/>
      <c r="L11" s="24"/>
      <c r="M11" s="24"/>
      <c r="N11" s="24"/>
    </row>
    <row r="12" spans="1:14">
      <c r="A12" s="109" t="s">
        <v>41</v>
      </c>
      <c r="B12" s="109"/>
      <c r="C12" s="110" t="s">
        <v>42</v>
      </c>
      <c r="D12" s="110"/>
      <c r="E12" s="109"/>
      <c r="F12" s="109"/>
      <c r="G12" s="109"/>
      <c r="H12" s="109"/>
      <c r="I12" s="109"/>
      <c r="J12" s="109"/>
      <c r="K12" s="109"/>
      <c r="L12" s="109"/>
      <c r="M12" s="109"/>
      <c r="N12" s="109"/>
    </row>
    <row r="13" spans="1:14" s="80" customFormat="1" ht="24.95" customHeight="1">
      <c r="A13" s="86"/>
      <c r="B13" s="86"/>
      <c r="C13" s="81"/>
      <c r="D13" s="81"/>
      <c r="E13" s="154" t="s">
        <v>391</v>
      </c>
      <c r="F13" s="154"/>
      <c r="G13" s="154"/>
      <c r="H13" s="154"/>
      <c r="I13" s="154"/>
      <c r="J13" s="154"/>
      <c r="K13" s="154"/>
      <c r="L13" s="154"/>
      <c r="M13" s="154"/>
      <c r="N13" s="154"/>
    </row>
    <row r="14" spans="1:14" s="6" customFormat="1" ht="45">
      <c r="A14" s="35"/>
      <c r="B14" s="35"/>
      <c r="C14" s="55" t="s">
        <v>392</v>
      </c>
      <c r="D14" s="55"/>
      <c r="E14" s="55" t="s">
        <v>393</v>
      </c>
      <c r="F14" s="55" t="s">
        <v>394</v>
      </c>
      <c r="G14" s="55" t="s">
        <v>395</v>
      </c>
      <c r="H14" s="55" t="s">
        <v>396</v>
      </c>
      <c r="I14" s="55" t="s">
        <v>397</v>
      </c>
      <c r="J14" s="55" t="s">
        <v>398</v>
      </c>
      <c r="K14" s="55" t="s">
        <v>399</v>
      </c>
      <c r="L14" s="55" t="s">
        <v>400</v>
      </c>
      <c r="M14" s="55" t="s">
        <v>401</v>
      </c>
      <c r="N14" s="55" t="s">
        <v>107</v>
      </c>
    </row>
    <row r="15" spans="1:14">
      <c r="A15" s="57"/>
      <c r="B15" s="57"/>
      <c r="C15" s="160" t="s">
        <v>135</v>
      </c>
      <c r="D15" s="160"/>
      <c r="E15" s="160"/>
      <c r="F15" s="160"/>
      <c r="G15" s="160"/>
      <c r="H15" s="160"/>
      <c r="I15" s="160"/>
      <c r="J15" s="160"/>
      <c r="K15" s="160"/>
      <c r="L15" s="160"/>
      <c r="M15" s="160"/>
      <c r="N15" s="160"/>
    </row>
    <row r="16" spans="1:14" ht="17.25">
      <c r="A16" s="30" t="s">
        <v>136</v>
      </c>
      <c r="B16" s="30" t="s">
        <v>48</v>
      </c>
      <c r="C16" s="23">
        <v>0.15368309280512862</v>
      </c>
      <c r="D16" s="23"/>
      <c r="E16" s="23">
        <v>4.657163760965892E-2</v>
      </c>
      <c r="F16" s="23">
        <v>4.9071279234164364E-2</v>
      </c>
      <c r="G16" s="23">
        <v>3.9590044944231698E-2</v>
      </c>
      <c r="H16" s="23">
        <v>3.2579253392376772E-2</v>
      </c>
      <c r="I16" s="23">
        <v>3.0291905236144417E-2</v>
      </c>
      <c r="J16" s="23">
        <v>2.8783855160830412E-2</v>
      </c>
      <c r="K16" s="23">
        <v>2.2793453284624222E-2</v>
      </c>
      <c r="L16" s="23">
        <v>1.4192460422051245E-2</v>
      </c>
      <c r="M16" s="23">
        <v>1.3249150970876216E-2</v>
      </c>
      <c r="N16" s="23">
        <v>1.9149197666133379E-3</v>
      </c>
    </row>
    <row r="17" spans="1:14">
      <c r="A17" s="29" t="s">
        <v>52</v>
      </c>
      <c r="B17" s="29" t="s">
        <v>53</v>
      </c>
      <c r="C17" s="90">
        <v>8.5677605334735257E-2</v>
      </c>
      <c r="D17" s="90"/>
      <c r="E17" s="90">
        <v>3.0945835085129703E-2</v>
      </c>
      <c r="F17" s="90">
        <v>1.9332107301155865E-2</v>
      </c>
      <c r="G17" s="90">
        <v>5.8755751253405817E-3</v>
      </c>
      <c r="H17" s="90">
        <v>0</v>
      </c>
      <c r="I17" s="90">
        <v>8.6169835626793978E-3</v>
      </c>
      <c r="J17" s="90">
        <v>7.006016076156669E-3</v>
      </c>
      <c r="K17" s="90">
        <v>6.8869152330597993E-3</v>
      </c>
      <c r="L17" s="90">
        <v>5.3037613987293843E-3</v>
      </c>
      <c r="M17" s="90">
        <v>7.0141729512132409E-3</v>
      </c>
      <c r="N17" s="90">
        <v>0</v>
      </c>
    </row>
    <row r="18" spans="1:14">
      <c r="A18" s="29"/>
      <c r="B18" s="29" t="s">
        <v>54</v>
      </c>
      <c r="C18" s="90">
        <v>0.24391957755208302</v>
      </c>
      <c r="D18" s="90"/>
      <c r="E18" s="90">
        <v>8.8752221521246427E-2</v>
      </c>
      <c r="F18" s="90">
        <v>7.3892431463744079E-2</v>
      </c>
      <c r="G18" s="90">
        <v>3.8511393965376117E-2</v>
      </c>
      <c r="H18" s="90">
        <v>3.0309589082727101E-2</v>
      </c>
      <c r="I18" s="90">
        <v>4.567497264844618E-2</v>
      </c>
      <c r="J18" s="90">
        <v>3.6754286384871326E-2</v>
      </c>
      <c r="K18" s="90">
        <v>4.0956056888450762E-2</v>
      </c>
      <c r="L18" s="90">
        <v>3.0904307275103259E-2</v>
      </c>
      <c r="M18" s="90">
        <v>1.5612405165858795E-2</v>
      </c>
      <c r="N18" s="90">
        <v>2.2783798073453738E-3</v>
      </c>
    </row>
    <row r="19" spans="1:14">
      <c r="A19" s="29"/>
      <c r="B19" s="29" t="s">
        <v>55</v>
      </c>
      <c r="C19" s="90">
        <v>0.18335901830516141</v>
      </c>
      <c r="D19" s="90"/>
      <c r="E19" s="90">
        <v>6.2419476697926989E-2</v>
      </c>
      <c r="F19" s="90">
        <v>4.2120864256532137E-2</v>
      </c>
      <c r="G19" s="90">
        <v>4.305461395018842E-2</v>
      </c>
      <c r="H19" s="90">
        <v>3.4806067381064953E-2</v>
      </c>
      <c r="I19" s="90">
        <v>3.8161920249080106E-2</v>
      </c>
      <c r="J19" s="90">
        <v>3.0633554542690743E-2</v>
      </c>
      <c r="K19" s="90">
        <v>3.2427264250387958E-2</v>
      </c>
      <c r="L19" s="90">
        <v>2.5436649047708072E-2</v>
      </c>
      <c r="M19" s="90">
        <v>2.1037274519599119E-2</v>
      </c>
      <c r="N19" s="90">
        <v>2.156218780411613E-3</v>
      </c>
    </row>
    <row r="20" spans="1:14">
      <c r="A20" s="29"/>
      <c r="B20" s="29" t="s">
        <v>56</v>
      </c>
      <c r="C20" s="90">
        <v>0.15647722333229855</v>
      </c>
      <c r="D20" s="90"/>
      <c r="E20" s="90">
        <v>5.5765964888359366E-2</v>
      </c>
      <c r="F20" s="90">
        <v>4.9552572884376651E-2</v>
      </c>
      <c r="G20" s="90">
        <v>4.3483476557833876E-2</v>
      </c>
      <c r="H20" s="90">
        <v>2.8822439931005233E-2</v>
      </c>
      <c r="I20" s="90">
        <v>3.5278619480403665E-2</v>
      </c>
      <c r="J20" s="90">
        <v>3.0897649768690017E-2</v>
      </c>
      <c r="K20" s="90">
        <v>2.3879322505564227E-2</v>
      </c>
      <c r="L20" s="90">
        <v>1.4387931684625923E-2</v>
      </c>
      <c r="M20" s="90">
        <v>1.2801593202636142E-2</v>
      </c>
      <c r="N20" s="90">
        <v>4.912905387667141E-4</v>
      </c>
    </row>
    <row r="21" spans="1:14">
      <c r="A21" s="29"/>
      <c r="B21" s="29" t="s">
        <v>57</v>
      </c>
      <c r="C21" s="90">
        <v>0.18818546171204006</v>
      </c>
      <c r="D21" s="90"/>
      <c r="E21" s="90">
        <v>4.6554470020719815E-2</v>
      </c>
      <c r="F21" s="90">
        <v>7.390199811125335E-2</v>
      </c>
      <c r="G21" s="90">
        <v>5.8069268270252244E-2</v>
      </c>
      <c r="H21" s="90">
        <v>3.3635372453682318E-2</v>
      </c>
      <c r="I21" s="90">
        <v>4.5914191079786441E-2</v>
      </c>
      <c r="J21" s="90">
        <v>5.1435687790059324E-2</v>
      </c>
      <c r="K21" s="90">
        <v>2.5384324568449509E-2</v>
      </c>
      <c r="L21" s="90">
        <v>1.3360854529221091E-2</v>
      </c>
      <c r="M21" s="90">
        <v>1.7897960994692576E-2</v>
      </c>
      <c r="N21" s="90">
        <v>2.9080587864399789E-3</v>
      </c>
    </row>
    <row r="22" spans="1:14">
      <c r="A22" s="29"/>
      <c r="B22" s="29" t="s">
        <v>58</v>
      </c>
      <c r="C22" s="90">
        <v>0.10763620015222314</v>
      </c>
      <c r="D22" s="90"/>
      <c r="E22" s="90">
        <v>2.3930897636058719E-2</v>
      </c>
      <c r="F22" s="90">
        <v>3.872897403080984E-2</v>
      </c>
      <c r="G22" s="90">
        <v>3.9097966547094472E-2</v>
      </c>
      <c r="H22" s="90">
        <v>2.921283129577824E-2</v>
      </c>
      <c r="I22" s="90">
        <v>1.6186468953288367E-2</v>
      </c>
      <c r="J22" s="90">
        <v>2.0485138223932428E-2</v>
      </c>
      <c r="K22" s="90">
        <v>1.3916904029624217E-2</v>
      </c>
      <c r="L22" s="90">
        <v>5.7012578194161742E-3</v>
      </c>
      <c r="M22" s="90">
        <v>9.8224359708525329E-3</v>
      </c>
      <c r="N22" s="90">
        <v>2.6238820249303266E-3</v>
      </c>
    </row>
    <row r="23" spans="1:14">
      <c r="A23" s="29"/>
      <c r="B23" s="29" t="s">
        <v>59</v>
      </c>
      <c r="C23" s="90">
        <v>9.047614048398997E-2</v>
      </c>
      <c r="D23" s="90"/>
      <c r="E23" s="90">
        <v>1.7751412236584673E-2</v>
      </c>
      <c r="F23" s="90">
        <v>3.5033663636307055E-2</v>
      </c>
      <c r="G23" s="90">
        <v>2.7445228746662737E-2</v>
      </c>
      <c r="H23" s="90">
        <v>4.3114239614897167E-2</v>
      </c>
      <c r="I23" s="90">
        <v>1.2032955899514707E-2</v>
      </c>
      <c r="J23" s="90">
        <v>1.3841819149533984E-2</v>
      </c>
      <c r="K23" s="90">
        <v>9.7351684126906306E-3</v>
      </c>
      <c r="L23" s="90">
        <v>2.1141463929825635E-3</v>
      </c>
      <c r="M23" s="90">
        <v>5.3221801666525565E-3</v>
      </c>
      <c r="N23" s="90">
        <v>1.9188598222476766E-3</v>
      </c>
    </row>
    <row r="24" spans="1:14">
      <c r="A24" s="29"/>
      <c r="B24" s="29"/>
    </row>
    <row r="25" spans="1:14">
      <c r="A25" s="30" t="s">
        <v>49</v>
      </c>
      <c r="B25" s="30" t="s">
        <v>48</v>
      </c>
      <c r="C25" s="23">
        <v>0.18878849634712644</v>
      </c>
      <c r="D25" s="23"/>
      <c r="E25" s="23">
        <v>6.2240652569355404E-2</v>
      </c>
      <c r="F25" s="23">
        <v>6.0996733976424557E-2</v>
      </c>
      <c r="G25" s="23">
        <v>4.6165852025618764E-2</v>
      </c>
      <c r="H25" s="23">
        <v>4.0995467843981184E-2</v>
      </c>
      <c r="I25" s="23">
        <v>3.3882620761799272E-2</v>
      </c>
      <c r="J25" s="23">
        <v>3.0945552446326442E-2</v>
      </c>
      <c r="K25" s="23">
        <v>2.8258617066576765E-2</v>
      </c>
      <c r="L25" s="23">
        <v>1.6633305616991945E-2</v>
      </c>
      <c r="M25" s="23">
        <v>1.6452060867617396E-2</v>
      </c>
      <c r="N25" s="23">
        <v>2.0572161212010116E-3</v>
      </c>
    </row>
    <row r="26" spans="1:14">
      <c r="A26" s="29" t="s">
        <v>52</v>
      </c>
      <c r="B26" s="29" t="s">
        <v>53</v>
      </c>
      <c r="C26" s="90">
        <v>0.14988232751749958</v>
      </c>
      <c r="D26" s="90"/>
      <c r="E26" s="90">
        <v>5.444845639460108E-2</v>
      </c>
      <c r="F26" s="90">
        <v>4.7031301172745989E-2</v>
      </c>
      <c r="G26" s="90">
        <v>1.4294144915410518E-2</v>
      </c>
      <c r="H26" s="90">
        <v>0</v>
      </c>
      <c r="I26" s="90">
        <v>0</v>
      </c>
      <c r="J26" s="90">
        <v>1.7044290462795205E-2</v>
      </c>
      <c r="K26" s="90">
        <v>0</v>
      </c>
      <c r="L26" s="90">
        <v>1.290303202885244E-2</v>
      </c>
      <c r="M26" s="90">
        <v>1.7064134571946776E-2</v>
      </c>
      <c r="N26" s="90">
        <v>0</v>
      </c>
    </row>
    <row r="27" spans="1:14">
      <c r="A27" s="29"/>
      <c r="B27" s="29" t="s">
        <v>54</v>
      </c>
      <c r="C27" s="90">
        <v>0.27554702719748231</v>
      </c>
      <c r="D27" s="90"/>
      <c r="E27" s="90">
        <v>9.5948620094252882E-2</v>
      </c>
      <c r="F27" s="90">
        <v>7.8263085721918244E-2</v>
      </c>
      <c r="G27" s="90">
        <v>4.5821130476131754E-2</v>
      </c>
      <c r="H27" s="90">
        <v>3.7918694758123948E-2</v>
      </c>
      <c r="I27" s="90">
        <v>5.6339414944292905E-2</v>
      </c>
      <c r="J27" s="90">
        <v>4.2064418024721488E-2</v>
      </c>
      <c r="K27" s="90">
        <v>4.6736406842178717E-2</v>
      </c>
      <c r="L27" s="90">
        <v>3.9285650737779988E-2</v>
      </c>
      <c r="M27" s="90">
        <v>2.3673717779485882E-2</v>
      </c>
      <c r="N27" s="90">
        <v>1.4891127652956154E-3</v>
      </c>
    </row>
    <row r="28" spans="1:14">
      <c r="A28" s="29"/>
      <c r="B28" s="29" t="s">
        <v>55</v>
      </c>
      <c r="C28" s="90">
        <v>0.22737590781155539</v>
      </c>
      <c r="D28" s="90"/>
      <c r="E28" s="90">
        <v>7.9372129129349087E-2</v>
      </c>
      <c r="F28" s="90">
        <v>4.3184411286417423E-2</v>
      </c>
      <c r="G28" s="90">
        <v>4.9867104822931246E-2</v>
      </c>
      <c r="H28" s="90">
        <v>3.4536130793668914E-2</v>
      </c>
      <c r="I28" s="90">
        <v>4.5948397536784633E-2</v>
      </c>
      <c r="J28" s="90">
        <v>3.7272324942045694E-2</v>
      </c>
      <c r="K28" s="90">
        <v>4.2132059307446131E-2</v>
      </c>
      <c r="L28" s="90">
        <v>2.8405408062205068E-2</v>
      </c>
      <c r="M28" s="90">
        <v>2.8799721276169636E-2</v>
      </c>
      <c r="N28" s="90">
        <v>2.3713740774981562E-3</v>
      </c>
    </row>
    <row r="29" spans="1:14">
      <c r="A29" s="29"/>
      <c r="B29" s="29" t="s">
        <v>56</v>
      </c>
      <c r="C29" s="90">
        <v>0.17371919091333982</v>
      </c>
      <c r="D29" s="90"/>
      <c r="E29" s="90">
        <v>6.9336231414865404E-2</v>
      </c>
      <c r="F29" s="90">
        <v>5.602943870415919E-2</v>
      </c>
      <c r="G29" s="90">
        <v>4.6313027188263516E-2</v>
      </c>
      <c r="H29" s="90">
        <v>3.200612755398189E-2</v>
      </c>
      <c r="I29" s="90">
        <v>3.9648287628322752E-2</v>
      </c>
      <c r="J29" s="90">
        <v>2.8258926484699038E-2</v>
      </c>
      <c r="K29" s="90">
        <v>3.0141496330732671E-2</v>
      </c>
      <c r="L29" s="90">
        <v>1.4069597683788605E-2</v>
      </c>
      <c r="M29" s="90">
        <v>1.3797406736858838E-2</v>
      </c>
      <c r="N29" s="90">
        <v>0</v>
      </c>
    </row>
    <row r="30" spans="1:14">
      <c r="A30" s="29"/>
      <c r="B30" s="29" t="s">
        <v>57</v>
      </c>
      <c r="C30" s="90">
        <v>0.20358454734508996</v>
      </c>
      <c r="D30" s="90"/>
      <c r="E30" s="90">
        <v>6.8381588720334757E-2</v>
      </c>
      <c r="F30" s="90">
        <v>8.4954086076233198E-2</v>
      </c>
      <c r="G30" s="90">
        <v>5.5958594844362122E-2</v>
      </c>
      <c r="H30" s="90">
        <v>3.7137317493075368E-2</v>
      </c>
      <c r="I30" s="90">
        <v>3.2675389599647206E-2</v>
      </c>
      <c r="J30" s="90">
        <v>4.2273618095509682E-2</v>
      </c>
      <c r="K30" s="90">
        <v>2.7605820002721305E-2</v>
      </c>
      <c r="L30" s="90">
        <v>1.3764339642210795E-2</v>
      </c>
      <c r="M30" s="90">
        <v>1.6016185229887729E-2</v>
      </c>
      <c r="N30" s="90">
        <v>3.7526083239815974E-3</v>
      </c>
    </row>
    <row r="31" spans="1:14">
      <c r="A31" s="29"/>
      <c r="B31" s="29" t="s">
        <v>58</v>
      </c>
      <c r="C31" s="90">
        <v>0.13184624157994601</v>
      </c>
      <c r="D31" s="90"/>
      <c r="E31" s="90">
        <v>3.8030206417281241E-2</v>
      </c>
      <c r="F31" s="90">
        <v>5.6065796758892492E-2</v>
      </c>
      <c r="G31" s="90">
        <v>4.8801108844438709E-2</v>
      </c>
      <c r="H31" s="90">
        <v>3.7245342534702214E-2</v>
      </c>
      <c r="I31" s="90">
        <v>2.0139080396598018E-2</v>
      </c>
      <c r="J31" s="90">
        <v>2.4195798214688688E-2</v>
      </c>
      <c r="K31" s="90">
        <v>1.5639156832446949E-2</v>
      </c>
      <c r="L31" s="90">
        <v>6.3796184382439013E-3</v>
      </c>
      <c r="M31" s="90">
        <v>1.0242658236547904E-2</v>
      </c>
      <c r="N31" s="90">
        <v>2.5686009990217454E-3</v>
      </c>
    </row>
    <row r="32" spans="1:14">
      <c r="A32" s="29"/>
      <c r="B32" s="29" t="s">
        <v>59</v>
      </c>
      <c r="C32" s="90">
        <v>0.1429115547976611</v>
      </c>
      <c r="D32" s="90"/>
      <c r="E32" s="90">
        <v>3.0088166251130005E-2</v>
      </c>
      <c r="F32" s="90">
        <v>5.7756773713687766E-2</v>
      </c>
      <c r="G32" s="90">
        <v>3.9131115666113582E-2</v>
      </c>
      <c r="H32" s="90">
        <v>7.0598919775532842E-2</v>
      </c>
      <c r="I32" s="90">
        <v>1.8652165844816011E-2</v>
      </c>
      <c r="J32" s="90">
        <v>1.8327691429733395E-2</v>
      </c>
      <c r="K32" s="90">
        <v>1.5418925274364224E-2</v>
      </c>
      <c r="L32" s="90">
        <v>2.7410661767670146E-3</v>
      </c>
      <c r="M32" s="90">
        <v>7.0255832790175081E-3</v>
      </c>
      <c r="N32" s="90">
        <v>2.7646859441517553E-3</v>
      </c>
    </row>
    <row r="33" spans="1:14">
      <c r="A33" s="29"/>
      <c r="B33" s="29"/>
    </row>
    <row r="34" spans="1:14">
      <c r="A34" s="30" t="s">
        <v>50</v>
      </c>
      <c r="B34" s="30" t="s">
        <v>48</v>
      </c>
      <c r="C34" s="23">
        <v>0.12065861688343377</v>
      </c>
      <c r="D34" s="23"/>
      <c r="E34" s="23">
        <v>3.1507462597686019E-2</v>
      </c>
      <c r="F34" s="23">
        <v>3.7903685430146994E-2</v>
      </c>
      <c r="G34" s="23">
        <v>3.3769744524635589E-2</v>
      </c>
      <c r="H34" s="23">
        <v>2.4890176888505242E-2</v>
      </c>
      <c r="I34" s="23">
        <v>2.7058937580518787E-2</v>
      </c>
      <c r="J34" s="23">
        <v>2.6764894139725545E-2</v>
      </c>
      <c r="K34" s="23">
        <v>1.7822174824338361E-2</v>
      </c>
      <c r="L34" s="23">
        <v>1.2025383357524488E-2</v>
      </c>
      <c r="M34" s="23">
        <v>1.0334240064836735E-2</v>
      </c>
      <c r="N34" s="23">
        <v>1.6276494508490557E-3</v>
      </c>
    </row>
    <row r="35" spans="1:14">
      <c r="A35" s="29" t="s">
        <v>52</v>
      </c>
      <c r="B35" s="29" t="s">
        <v>53</v>
      </c>
      <c r="C35" s="90">
        <v>4.186435644854615E-2</v>
      </c>
      <c r="D35" s="90"/>
      <c r="E35" s="90">
        <v>1.4897488597315359E-2</v>
      </c>
      <c r="F35" s="90">
        <v>0</v>
      </c>
      <c r="G35" s="90">
        <v>0</v>
      </c>
      <c r="H35" s="90">
        <v>0</v>
      </c>
      <c r="I35" s="90">
        <v>1.4988040109940877E-2</v>
      </c>
      <c r="J35" s="90">
        <v>0</v>
      </c>
      <c r="K35" s="90">
        <v>1.1978827741289905E-2</v>
      </c>
      <c r="L35" s="90">
        <v>0</v>
      </c>
      <c r="M35" s="90">
        <v>0</v>
      </c>
      <c r="N35" s="90">
        <v>0</v>
      </c>
    </row>
    <row r="36" spans="1:14">
      <c r="A36" s="29"/>
      <c r="B36" s="29" t="s">
        <v>54</v>
      </c>
      <c r="C36" s="90">
        <v>0.20742295503106001</v>
      </c>
      <c r="D36" s="90"/>
      <c r="E36" s="90">
        <v>8.1289497762695548E-2</v>
      </c>
      <c r="F36" s="90">
        <v>6.7996082063595337E-2</v>
      </c>
      <c r="G36" s="90">
        <v>3.0961637829957152E-2</v>
      </c>
      <c r="H36" s="90">
        <v>2.2143549628638806E-2</v>
      </c>
      <c r="I36" s="90">
        <v>3.2703840523378359E-2</v>
      </c>
      <c r="J36" s="90">
        <v>2.9893617187989403E-2</v>
      </c>
      <c r="K36" s="90">
        <v>3.5315700372967676E-2</v>
      </c>
      <c r="L36" s="90">
        <v>2.1831587133404513E-2</v>
      </c>
      <c r="M36" s="90">
        <v>6.4429702467579718E-3</v>
      </c>
      <c r="N36" s="90">
        <v>3.2956881908751596E-3</v>
      </c>
    </row>
    <row r="37" spans="1:14">
      <c r="A37" s="29"/>
      <c r="B37" s="29" t="s">
        <v>55</v>
      </c>
      <c r="C37" s="90">
        <v>0.14410833939298759</v>
      </c>
      <c r="D37" s="90"/>
      <c r="E37" s="90">
        <v>4.7487066890708154E-2</v>
      </c>
      <c r="F37" s="90">
        <v>4.1692779789811778E-2</v>
      </c>
      <c r="G37" s="90">
        <v>3.7293261046163734E-2</v>
      </c>
      <c r="H37" s="90">
        <v>3.5520532730450083E-2</v>
      </c>
      <c r="I37" s="90">
        <v>3.142974920699898E-2</v>
      </c>
      <c r="J37" s="90">
        <v>2.4105594821079525E-2</v>
      </c>
      <c r="K37" s="90">
        <v>2.383496972812699E-2</v>
      </c>
      <c r="L37" s="90">
        <v>2.3014827996038559E-2</v>
      </c>
      <c r="M37" s="90">
        <v>1.4099424038230716E-2</v>
      </c>
      <c r="N37" s="90">
        <v>1.9848661729159533E-3</v>
      </c>
    </row>
    <row r="38" spans="1:14">
      <c r="A38" s="29"/>
      <c r="B38" s="29" t="s">
        <v>56</v>
      </c>
      <c r="C38" s="90">
        <v>0.13934813533697343</v>
      </c>
      <c r="D38" s="90"/>
      <c r="E38" s="90">
        <v>4.1204593590665431E-2</v>
      </c>
      <c r="F38" s="90">
        <v>4.3490126631150837E-2</v>
      </c>
      <c r="G38" s="90">
        <v>4.109628007263727E-2</v>
      </c>
      <c r="H38" s="90">
        <v>2.5895892216121187E-2</v>
      </c>
      <c r="I38" s="90">
        <v>3.1210652995235066E-2</v>
      </c>
      <c r="J38" s="90">
        <v>3.3978883062364844E-2</v>
      </c>
      <c r="K38" s="90">
        <v>1.7730253641421643E-2</v>
      </c>
      <c r="L38" s="90">
        <v>1.4887224488759119E-2</v>
      </c>
      <c r="M38" s="90">
        <v>1.1931520857686105E-2</v>
      </c>
      <c r="N38" s="90">
        <v>1.0020062892824603E-3</v>
      </c>
    </row>
    <row r="39" spans="1:14">
      <c r="A39" s="29"/>
      <c r="B39" s="29" t="s">
        <v>57</v>
      </c>
      <c r="C39" s="90">
        <v>0.17520311031267696</v>
      </c>
      <c r="D39" s="90"/>
      <c r="E39" s="90">
        <v>2.5623929648558332E-2</v>
      </c>
      <c r="F39" s="90">
        <v>6.3881954835206159E-2</v>
      </c>
      <c r="G39" s="90">
        <v>6.0811913005608731E-2</v>
      </c>
      <c r="H39" s="90">
        <v>3.0577810275817484E-2</v>
      </c>
      <c r="I39" s="90">
        <v>5.9460862729961608E-2</v>
      </c>
      <c r="J39" s="90">
        <v>6.1036633393948485E-2</v>
      </c>
      <c r="K39" s="90">
        <v>2.3491214818967762E-2</v>
      </c>
      <c r="L39" s="90">
        <v>1.3117517000284903E-2</v>
      </c>
      <c r="M39" s="90">
        <v>1.9954108915919033E-2</v>
      </c>
      <c r="N39" s="90">
        <v>2.1109119229078127E-3</v>
      </c>
    </row>
    <row r="40" spans="1:14">
      <c r="A40" s="29"/>
      <c r="B40" s="29" t="s">
        <v>58</v>
      </c>
      <c r="C40" s="90">
        <v>8.2774562363103946E-2</v>
      </c>
      <c r="D40" s="90"/>
      <c r="E40" s="90">
        <v>8.675845117240186E-3</v>
      </c>
      <c r="F40" s="90">
        <v>2.1704374475331467E-2</v>
      </c>
      <c r="G40" s="90">
        <v>2.9661374311500972E-2</v>
      </c>
      <c r="H40" s="90">
        <v>2.1384360089679883E-2</v>
      </c>
      <c r="I40" s="90">
        <v>1.2343806492143301E-2</v>
      </c>
      <c r="J40" s="90">
        <v>1.6905569465815073E-2</v>
      </c>
      <c r="K40" s="90">
        <v>1.2278728350443042E-2</v>
      </c>
      <c r="L40" s="90">
        <v>5.0571710175050712E-3</v>
      </c>
      <c r="M40" s="90">
        <v>9.45659352618986E-3</v>
      </c>
      <c r="N40" s="90">
        <v>1.3228499583137433E-3</v>
      </c>
    </row>
    <row r="41" spans="1:14">
      <c r="A41" s="111"/>
      <c r="B41" s="111" t="s">
        <v>59</v>
      </c>
      <c r="C41" s="90">
        <v>4.6262809067194793E-2</v>
      </c>
      <c r="D41" s="90"/>
      <c r="E41" s="90">
        <v>7.3174697806155393E-3</v>
      </c>
      <c r="F41" s="90">
        <v>1.5836266862683426E-2</v>
      </c>
      <c r="G41" s="90">
        <v>1.7656903360894743E-2</v>
      </c>
      <c r="H41" s="90">
        <v>1.9900694146898924E-2</v>
      </c>
      <c r="I41" s="90">
        <v>6.4571387598710266E-3</v>
      </c>
      <c r="J41" s="90">
        <v>1.0113957047269055E-2</v>
      </c>
      <c r="K41" s="90">
        <v>4.9420027524143895E-3</v>
      </c>
      <c r="L41" s="90">
        <v>1.5947699769651702E-3</v>
      </c>
      <c r="M41" s="90">
        <v>3.9072047513991721E-3</v>
      </c>
      <c r="N41" s="90">
        <v>1.2097741983473488E-3</v>
      </c>
    </row>
    <row r="42" spans="1:14">
      <c r="A42" s="57"/>
      <c r="B42" s="57"/>
      <c r="C42" s="159" t="s">
        <v>402</v>
      </c>
      <c r="D42" s="159"/>
      <c r="E42" s="159"/>
      <c r="F42" s="159"/>
      <c r="G42" s="159"/>
      <c r="H42" s="159"/>
      <c r="I42" s="159"/>
      <c r="J42" s="159"/>
      <c r="K42" s="159"/>
      <c r="L42" s="159"/>
      <c r="M42" s="159"/>
      <c r="N42" s="159"/>
    </row>
    <row r="43" spans="1:14" ht="17.25">
      <c r="A43" s="30" t="s">
        <v>136</v>
      </c>
      <c r="B43" s="30" t="s">
        <v>48</v>
      </c>
      <c r="C43" s="40">
        <v>886368.13893116836</v>
      </c>
      <c r="D43" s="40"/>
      <c r="E43" s="40">
        <v>268602.19300370966</v>
      </c>
      <c r="F43" s="40">
        <v>283018.89073061693</v>
      </c>
      <c r="G43" s="40">
        <v>228335.81636671041</v>
      </c>
      <c r="H43" s="40">
        <v>187901.0349810209</v>
      </c>
      <c r="I43" s="40">
        <v>174708.74107723986</v>
      </c>
      <c r="J43" s="40">
        <v>166011.05342485762</v>
      </c>
      <c r="K43" s="40">
        <v>131461.37547690401</v>
      </c>
      <c r="L43" s="40">
        <v>81855.098706915291</v>
      </c>
      <c r="M43" s="40">
        <v>76414.555915819859</v>
      </c>
      <c r="N43" s="40">
        <v>11044.310982781897</v>
      </c>
    </row>
    <row r="44" spans="1:14">
      <c r="A44" s="29" t="s">
        <v>52</v>
      </c>
      <c r="B44" s="29" t="s">
        <v>53</v>
      </c>
      <c r="C44" s="92">
        <v>20623.487089925202</v>
      </c>
      <c r="D44" s="92"/>
      <c r="E44" s="92">
        <v>7448.983055393408</v>
      </c>
      <c r="F44" s="92">
        <v>4653.4384777535133</v>
      </c>
      <c r="G44" s="92">
        <v>1414.3117944289772</v>
      </c>
      <c r="H44" s="92">
        <v>0</v>
      </c>
      <c r="I44" s="92">
        <v>2074.1972019958926</v>
      </c>
      <c r="J44" s="92">
        <v>1686.4206408888419</v>
      </c>
      <c r="K44" s="92">
        <v>1657.751834257155</v>
      </c>
      <c r="L44" s="92">
        <v>1276.6703073386859</v>
      </c>
      <c r="M44" s="92">
        <v>1688.3840852074138</v>
      </c>
      <c r="N44" s="92">
        <v>0</v>
      </c>
    </row>
    <row r="45" spans="1:14">
      <c r="A45" s="29"/>
      <c r="B45" s="29" t="s">
        <v>54</v>
      </c>
      <c r="C45" s="92">
        <v>165519.10287419439</v>
      </c>
      <c r="D45" s="92"/>
      <c r="E45" s="92">
        <v>60225.539219588674</v>
      </c>
      <c r="F45" s="92">
        <v>50141.973382436961</v>
      </c>
      <c r="G45" s="92">
        <v>26133.086337535286</v>
      </c>
      <c r="H45" s="92">
        <v>20567.500336815927</v>
      </c>
      <c r="I45" s="92">
        <v>30994.152140001592</v>
      </c>
      <c r="J45" s="92">
        <v>24940.747152229425</v>
      </c>
      <c r="K45" s="92">
        <v>27791.987266759468</v>
      </c>
      <c r="L45" s="92">
        <v>20971.064588004603</v>
      </c>
      <c r="M45" s="92">
        <v>10594.275878530512</v>
      </c>
      <c r="N45" s="92">
        <v>1546.0644262470585</v>
      </c>
    </row>
    <row r="46" spans="1:14">
      <c r="A46" s="29"/>
      <c r="B46" s="29" t="s">
        <v>55</v>
      </c>
      <c r="C46" s="92">
        <v>193720.26731680031</v>
      </c>
      <c r="D46" s="92"/>
      <c r="E46" s="92">
        <v>65946.675671947713</v>
      </c>
      <c r="F46" s="92">
        <v>44501.029503823302</v>
      </c>
      <c r="G46" s="92">
        <v>45487.543512973534</v>
      </c>
      <c r="H46" s="92">
        <v>36772.888182051669</v>
      </c>
      <c r="I46" s="92">
        <v>40318.373540103712</v>
      </c>
      <c r="J46" s="92">
        <v>32364.595042701458</v>
      </c>
      <c r="K46" s="92">
        <v>34259.663675134594</v>
      </c>
      <c r="L46" s="92">
        <v>26874.02287988217</v>
      </c>
      <c r="M46" s="92">
        <v>22226.048553396598</v>
      </c>
      <c r="N46" s="92">
        <v>2278.0623630939499</v>
      </c>
    </row>
    <row r="47" spans="1:14">
      <c r="A47" s="29"/>
      <c r="B47" s="29" t="s">
        <v>56</v>
      </c>
      <c r="C47" s="92">
        <v>157292.77959331262</v>
      </c>
      <c r="D47" s="92"/>
      <c r="E47" s="92">
        <v>56056.616018585577</v>
      </c>
      <c r="F47" s="92">
        <v>49810.839935673874</v>
      </c>
      <c r="G47" s="92">
        <v>43710.111596481576</v>
      </c>
      <c r="H47" s="92">
        <v>28972.661930366219</v>
      </c>
      <c r="I47" s="92">
        <v>35462.490962683718</v>
      </c>
      <c r="J47" s="92">
        <v>31058.687721580849</v>
      </c>
      <c r="K47" s="92">
        <v>24003.781072526588</v>
      </c>
      <c r="L47" s="92">
        <v>14462.921306236989</v>
      </c>
      <c r="M47" s="92">
        <v>12868.314858766207</v>
      </c>
      <c r="N47" s="92">
        <v>493.85113555093284</v>
      </c>
    </row>
    <row r="48" spans="1:14">
      <c r="A48" s="29"/>
      <c r="B48" s="29" t="s">
        <v>57</v>
      </c>
      <c r="C48" s="92">
        <v>162355.90330803656</v>
      </c>
      <c r="D48" s="92"/>
      <c r="E48" s="92">
        <v>40164.595949535505</v>
      </c>
      <c r="F48" s="92">
        <v>63758.515405303988</v>
      </c>
      <c r="G48" s="92">
        <v>50098.920600359612</v>
      </c>
      <c r="H48" s="92">
        <v>29018.720299318717</v>
      </c>
      <c r="I48" s="92">
        <v>39612.199048740804</v>
      </c>
      <c r="J48" s="92">
        <v>44375.837949712033</v>
      </c>
      <c r="K48" s="92">
        <v>21900.177132075052</v>
      </c>
      <c r="L48" s="92">
        <v>11526.998878257002</v>
      </c>
      <c r="M48" s="92">
        <v>15441.360869373699</v>
      </c>
      <c r="N48" s="92">
        <v>2508.9106610573408</v>
      </c>
    </row>
    <row r="49" spans="1:14">
      <c r="A49" s="29"/>
      <c r="B49" s="29" t="s">
        <v>58</v>
      </c>
      <c r="C49" s="92">
        <v>80306.954045991399</v>
      </c>
      <c r="D49" s="92"/>
      <c r="E49" s="92">
        <v>17854.750483762764</v>
      </c>
      <c r="F49" s="92">
        <v>28895.538242171973</v>
      </c>
      <c r="G49" s="92">
        <v>29170.842136277086</v>
      </c>
      <c r="H49" s="92">
        <v>21795.58082787734</v>
      </c>
      <c r="I49" s="92">
        <v>12076.662094725083</v>
      </c>
      <c r="J49" s="92">
        <v>15283.882668178203</v>
      </c>
      <c r="K49" s="92">
        <v>10383.348453298413</v>
      </c>
      <c r="L49" s="92">
        <v>4253.6864833642803</v>
      </c>
      <c r="M49" s="92">
        <v>7328.4816169223996</v>
      </c>
      <c r="N49" s="92">
        <v>1957.6682649534282</v>
      </c>
    </row>
    <row r="50" spans="1:14">
      <c r="A50" s="29"/>
      <c r="B50" s="29" t="s">
        <v>59</v>
      </c>
      <c r="C50" s="92">
        <v>106549.64470290951</v>
      </c>
      <c r="D50" s="92"/>
      <c r="E50" s="92">
        <v>20905.032604896176</v>
      </c>
      <c r="F50" s="92">
        <v>41257.555783453128</v>
      </c>
      <c r="G50" s="92">
        <v>32321.000388654436</v>
      </c>
      <c r="H50" s="92">
        <v>50773.683404590935</v>
      </c>
      <c r="I50" s="92">
        <v>14170.666088988884</v>
      </c>
      <c r="J50" s="92">
        <v>16300.882249566701</v>
      </c>
      <c r="K50" s="92">
        <v>11464.666042852745</v>
      </c>
      <c r="L50" s="92">
        <v>2489.7342638315854</v>
      </c>
      <c r="M50" s="92">
        <v>6267.690053623005</v>
      </c>
      <c r="N50" s="92">
        <v>2259.7541318791864</v>
      </c>
    </row>
    <row r="51" spans="1:14">
      <c r="A51" s="29"/>
      <c r="B51" s="29"/>
    </row>
    <row r="52" spans="1:14">
      <c r="A52" s="30" t="s">
        <v>49</v>
      </c>
      <c r="B52" s="30" t="s">
        <v>48</v>
      </c>
      <c r="C52" s="40">
        <v>531115.85946346505</v>
      </c>
      <c r="D52" s="40"/>
      <c r="E52" s="40">
        <v>175100.69904978762</v>
      </c>
      <c r="F52" s="40">
        <v>171601.20143541877</v>
      </c>
      <c r="G52" s="40">
        <v>129877.70256597453</v>
      </c>
      <c r="H52" s="40">
        <v>115331.93790594181</v>
      </c>
      <c r="I52" s="40">
        <v>95321.471355378875</v>
      </c>
      <c r="J52" s="40">
        <v>87058.660893627952</v>
      </c>
      <c r="K52" s="40">
        <v>79499.545687187769</v>
      </c>
      <c r="L52" s="40">
        <v>46794.23047177431</v>
      </c>
      <c r="M52" s="40">
        <v>46284.337323092695</v>
      </c>
      <c r="N52" s="40">
        <v>5787.5354137296827</v>
      </c>
    </row>
    <row r="53" spans="1:14">
      <c r="A53" s="29" t="s">
        <v>52</v>
      </c>
      <c r="B53" s="29" t="s">
        <v>53</v>
      </c>
      <c r="C53" s="92">
        <v>14829.872289592537</v>
      </c>
      <c r="D53" s="92"/>
      <c r="E53" s="92">
        <v>5387.3172913137896</v>
      </c>
      <c r="F53" s="92">
        <v>4653.4384777535133</v>
      </c>
      <c r="G53" s="92">
        <v>1414.3117944289772</v>
      </c>
      <c r="H53" s="92">
        <v>0</v>
      </c>
      <c r="I53" s="92">
        <v>0</v>
      </c>
      <c r="J53" s="92">
        <v>1686.4206408888419</v>
      </c>
      <c r="K53" s="92">
        <v>0</v>
      </c>
      <c r="L53" s="92">
        <v>1276.6703073386859</v>
      </c>
      <c r="M53" s="92">
        <v>1688.3840852074138</v>
      </c>
      <c r="N53" s="92">
        <v>0</v>
      </c>
    </row>
    <row r="54" spans="1:14">
      <c r="A54" s="29"/>
      <c r="B54" s="29" t="s">
        <v>54</v>
      </c>
      <c r="C54" s="92">
        <v>100487.56569034756</v>
      </c>
      <c r="D54" s="92"/>
      <c r="E54" s="92">
        <v>34990.917385979817</v>
      </c>
      <c r="F54" s="92">
        <v>28541.287661848593</v>
      </c>
      <c r="G54" s="92">
        <v>16710.228760429709</v>
      </c>
      <c r="H54" s="92">
        <v>13828.337649487199</v>
      </c>
      <c r="I54" s="92">
        <v>20546.077806576715</v>
      </c>
      <c r="J54" s="92">
        <v>15340.216196402725</v>
      </c>
      <c r="K54" s="92">
        <v>17044.015319092341</v>
      </c>
      <c r="L54" s="92">
        <v>14326.844493123197</v>
      </c>
      <c r="M54" s="92">
        <v>8633.4238285789525</v>
      </c>
      <c r="N54" s="92">
        <v>543.05545715698975</v>
      </c>
    </row>
    <row r="55" spans="1:14">
      <c r="A55" s="29"/>
      <c r="B55" s="29" t="s">
        <v>55</v>
      </c>
      <c r="C55" s="92">
        <v>114953.5229506201</v>
      </c>
      <c r="D55" s="92"/>
      <c r="E55" s="92">
        <v>40127.847999938887</v>
      </c>
      <c r="F55" s="92">
        <v>21832.569077795317</v>
      </c>
      <c r="G55" s="92">
        <v>25211.111563740091</v>
      </c>
      <c r="H55" s="92">
        <v>17460.292702188726</v>
      </c>
      <c r="I55" s="92">
        <v>23229.946486531662</v>
      </c>
      <c r="J55" s="92">
        <v>18843.619369732867</v>
      </c>
      <c r="K55" s="92">
        <v>21300.53572153021</v>
      </c>
      <c r="L55" s="92">
        <v>14360.807875505598</v>
      </c>
      <c r="M55" s="92">
        <v>14560.159220718369</v>
      </c>
      <c r="N55" s="92">
        <v>1198.8860520267322</v>
      </c>
    </row>
    <row r="56" spans="1:14">
      <c r="A56" s="29"/>
      <c r="B56" s="29" t="s">
        <v>56</v>
      </c>
      <c r="C56" s="92">
        <v>87980.352056291202</v>
      </c>
      <c r="D56" s="92"/>
      <c r="E56" s="92">
        <v>35115.441293872056</v>
      </c>
      <c r="F56" s="92">
        <v>28376.195610808481</v>
      </c>
      <c r="G56" s="92">
        <v>23455.304019051364</v>
      </c>
      <c r="H56" s="92">
        <v>16209.552642704928</v>
      </c>
      <c r="I56" s="92">
        <v>20079.936394068642</v>
      </c>
      <c r="J56" s="92">
        <v>14311.776884206962</v>
      </c>
      <c r="K56" s="92">
        <v>15265.207285038276</v>
      </c>
      <c r="L56" s="92">
        <v>7125.5694376771762</v>
      </c>
      <c r="M56" s="92">
        <v>6987.717912975093</v>
      </c>
      <c r="N56" s="92">
        <v>0</v>
      </c>
    </row>
    <row r="57" spans="1:14">
      <c r="A57" s="29"/>
      <c r="B57" s="29" t="s">
        <v>57</v>
      </c>
      <c r="C57" s="92">
        <v>86585.216586411814</v>
      </c>
      <c r="D57" s="92"/>
      <c r="E57" s="92">
        <v>29082.927693116577</v>
      </c>
      <c r="F57" s="92">
        <v>36131.2685011539</v>
      </c>
      <c r="G57" s="92">
        <v>23799.385157938497</v>
      </c>
      <c r="H57" s="92">
        <v>15794.630390712819</v>
      </c>
      <c r="I57" s="92">
        <v>13896.956927360214</v>
      </c>
      <c r="J57" s="92">
        <v>17979.116914441205</v>
      </c>
      <c r="K57" s="92">
        <v>11740.85133253986</v>
      </c>
      <c r="L57" s="92">
        <v>5854.0215582747132</v>
      </c>
      <c r="M57" s="92">
        <v>6811.7393245335861</v>
      </c>
      <c r="N57" s="92">
        <v>1595.9973815947619</v>
      </c>
    </row>
    <row r="58" spans="1:14">
      <c r="A58" s="29"/>
      <c r="B58" s="29" t="s">
        <v>58</v>
      </c>
      <c r="C58" s="92">
        <v>48901.857596163994</v>
      </c>
      <c r="D58" s="92"/>
      <c r="E58" s="92">
        <v>14105.428537702659</v>
      </c>
      <c r="F58" s="92">
        <v>20794.84084084694</v>
      </c>
      <c r="G58" s="92">
        <v>18100.363322063975</v>
      </c>
      <c r="H58" s="92">
        <v>13814.32200817008</v>
      </c>
      <c r="I58" s="92">
        <v>7469.5981460720641</v>
      </c>
      <c r="J58" s="92">
        <v>8974.2374491787905</v>
      </c>
      <c r="K58" s="92">
        <v>5800.5735406622352</v>
      </c>
      <c r="L58" s="92">
        <v>2366.2046687595321</v>
      </c>
      <c r="M58" s="92">
        <v>3799.0086671232584</v>
      </c>
      <c r="N58" s="92">
        <v>952.69579754658184</v>
      </c>
    </row>
    <row r="59" spans="1:14">
      <c r="A59" s="29"/>
      <c r="B59" s="29" t="s">
        <v>59</v>
      </c>
      <c r="C59" s="92">
        <v>77377.472294038715</v>
      </c>
      <c r="D59" s="92"/>
      <c r="E59" s="92">
        <v>16290.818847863695</v>
      </c>
      <c r="F59" s="92">
        <v>31271.601265211899</v>
      </c>
      <c r="G59" s="92">
        <v>21186.997948321827</v>
      </c>
      <c r="H59" s="92">
        <v>38224.80251267799</v>
      </c>
      <c r="I59" s="92">
        <v>10098.95559476963</v>
      </c>
      <c r="J59" s="92">
        <v>9923.2734387765267</v>
      </c>
      <c r="K59" s="92">
        <v>8348.3624883248212</v>
      </c>
      <c r="L59" s="92">
        <v>1484.112131095417</v>
      </c>
      <c r="M59" s="92">
        <v>3803.9042839560225</v>
      </c>
      <c r="N59" s="92">
        <v>1496.900725404618</v>
      </c>
    </row>
    <row r="60" spans="1:14">
      <c r="A60" s="29"/>
      <c r="B60" s="29"/>
    </row>
    <row r="61" spans="1:14">
      <c r="A61" s="30" t="s">
        <v>50</v>
      </c>
      <c r="B61" s="30" t="s">
        <v>48</v>
      </c>
      <c r="C61" s="40">
        <v>351788.8571375481</v>
      </c>
      <c r="D61" s="40"/>
      <c r="E61" s="40">
        <v>91862.268479772523</v>
      </c>
      <c r="F61" s="40">
        <v>110510.91520180764</v>
      </c>
      <c r="G61" s="40">
        <v>98458.113800735999</v>
      </c>
      <c r="H61" s="40">
        <v>72569.097075079015</v>
      </c>
      <c r="I61" s="40">
        <v>78892.274523610118</v>
      </c>
      <c r="J61" s="40">
        <v>78034.969768613795</v>
      </c>
      <c r="K61" s="40">
        <v>51961.829789716299</v>
      </c>
      <c r="L61" s="40">
        <v>35060.868235141003</v>
      </c>
      <c r="M61" s="40">
        <v>30130.218592727135</v>
      </c>
      <c r="N61" s="40">
        <v>4745.5287896090795</v>
      </c>
    </row>
    <row r="62" spans="1:14">
      <c r="A62" s="29" t="s">
        <v>52</v>
      </c>
      <c r="B62" s="29" t="s">
        <v>53</v>
      </c>
      <c r="C62" s="92">
        <v>5793.6148003326671</v>
      </c>
      <c r="D62" s="92"/>
      <c r="E62" s="92">
        <v>2061.6657640796188</v>
      </c>
      <c r="F62" s="92">
        <v>0</v>
      </c>
      <c r="G62" s="92">
        <v>0</v>
      </c>
      <c r="H62" s="92">
        <v>0</v>
      </c>
      <c r="I62" s="92">
        <v>2074.1972019958926</v>
      </c>
      <c r="J62" s="92">
        <v>0</v>
      </c>
      <c r="K62" s="92">
        <v>1657.751834257155</v>
      </c>
      <c r="L62" s="92">
        <v>0</v>
      </c>
      <c r="M62" s="92">
        <v>0</v>
      </c>
      <c r="N62" s="92">
        <v>0</v>
      </c>
    </row>
    <row r="63" spans="1:14">
      <c r="A63" s="29"/>
      <c r="B63" s="29" t="s">
        <v>54</v>
      </c>
      <c r="C63" s="92">
        <v>63127.053362433828</v>
      </c>
      <c r="D63" s="92"/>
      <c r="E63" s="92">
        <v>24739.626635358243</v>
      </c>
      <c r="F63" s="92">
        <v>20693.911627197962</v>
      </c>
      <c r="G63" s="92">
        <v>9422.8575771055857</v>
      </c>
      <c r="H63" s="92">
        <v>6739.162687328725</v>
      </c>
      <c r="I63" s="92">
        <v>9953.0791351742573</v>
      </c>
      <c r="J63" s="92">
        <v>9097.8164260546655</v>
      </c>
      <c r="K63" s="92">
        <v>10747.971947667134</v>
      </c>
      <c r="L63" s="92">
        <v>6644.2200948814025</v>
      </c>
      <c r="M63" s="92">
        <v>1960.8520499515585</v>
      </c>
      <c r="N63" s="92">
        <v>1003.0089690900688</v>
      </c>
    </row>
    <row r="64" spans="1:14">
      <c r="A64" s="29"/>
      <c r="B64" s="29" t="s">
        <v>55</v>
      </c>
      <c r="C64" s="92">
        <v>78352.036133335903</v>
      </c>
      <c r="D64" s="92"/>
      <c r="E64" s="92">
        <v>25818.827672008803</v>
      </c>
      <c r="F64" s="92">
        <v>22668.460426027988</v>
      </c>
      <c r="G64" s="92">
        <v>20276.431949233436</v>
      </c>
      <c r="H64" s="92">
        <v>19312.595479862932</v>
      </c>
      <c r="I64" s="92">
        <v>17088.427053572032</v>
      </c>
      <c r="J64" s="92">
        <v>13106.267440124871</v>
      </c>
      <c r="K64" s="92">
        <v>12959.127953604384</v>
      </c>
      <c r="L64" s="92">
        <v>12513.215004376572</v>
      </c>
      <c r="M64" s="92">
        <v>7665.8893326782327</v>
      </c>
      <c r="N64" s="92">
        <v>1079.1763110672175</v>
      </c>
    </row>
    <row r="65" spans="1:14">
      <c r="A65" s="29"/>
      <c r="B65" s="29" t="s">
        <v>56</v>
      </c>
      <c r="C65" s="92">
        <v>68679.444040565475</v>
      </c>
      <c r="D65" s="92"/>
      <c r="E65" s="92">
        <v>20308.191228257405</v>
      </c>
      <c r="F65" s="92">
        <v>21434.644324865378</v>
      </c>
      <c r="G65" s="92">
        <v>20254.807577430194</v>
      </c>
      <c r="H65" s="92">
        <v>12763.109287661306</v>
      </c>
      <c r="I65" s="92">
        <v>15382.554568615087</v>
      </c>
      <c r="J65" s="92">
        <v>16746.910837373893</v>
      </c>
      <c r="K65" s="92">
        <v>8738.5737874883143</v>
      </c>
      <c r="L65" s="92">
        <v>7337.3518685598146</v>
      </c>
      <c r="M65" s="92">
        <v>5880.5969457911133</v>
      </c>
      <c r="N65" s="92">
        <v>493.85113555093284</v>
      </c>
    </row>
    <row r="66" spans="1:14">
      <c r="A66" s="29"/>
      <c r="B66" s="29" t="s">
        <v>57</v>
      </c>
      <c r="C66" s="92">
        <v>75770.686721624545</v>
      </c>
      <c r="D66" s="92"/>
      <c r="E66" s="92">
        <v>11081.668256418952</v>
      </c>
      <c r="F66" s="92">
        <v>27627.246904150103</v>
      </c>
      <c r="G66" s="92">
        <v>26299.535442421115</v>
      </c>
      <c r="H66" s="92">
        <v>13224.089908605903</v>
      </c>
      <c r="I66" s="92">
        <v>25715.242121380594</v>
      </c>
      <c r="J66" s="92">
        <v>26396.721035270839</v>
      </c>
      <c r="K66" s="92">
        <v>10159.325799535196</v>
      </c>
      <c r="L66" s="92">
        <v>5672.9773199822885</v>
      </c>
      <c r="M66" s="92">
        <v>8629.6215448401126</v>
      </c>
      <c r="N66" s="92">
        <v>912.91327946257911</v>
      </c>
    </row>
    <row r="67" spans="1:14">
      <c r="A67" s="29"/>
      <c r="B67" s="29" t="s">
        <v>58</v>
      </c>
      <c r="C67" s="92">
        <v>30893.849670384152</v>
      </c>
      <c r="D67" s="92"/>
      <c r="E67" s="92">
        <v>3238.0751666169713</v>
      </c>
      <c r="F67" s="92">
        <v>8100.6974013250356</v>
      </c>
      <c r="G67" s="92">
        <v>11070.478814213124</v>
      </c>
      <c r="H67" s="92">
        <v>7981.258819707271</v>
      </c>
      <c r="I67" s="92">
        <v>4607.0639486530172</v>
      </c>
      <c r="J67" s="92">
        <v>6309.6452189994106</v>
      </c>
      <c r="K67" s="92">
        <v>4582.774912636175</v>
      </c>
      <c r="L67" s="92">
        <v>1887.4818146047483</v>
      </c>
      <c r="M67" s="92">
        <v>3529.472949799142</v>
      </c>
      <c r="N67" s="92">
        <v>493.72568796371263</v>
      </c>
    </row>
    <row r="68" spans="1:14">
      <c r="A68" s="29"/>
      <c r="B68" s="29" t="s">
        <v>59</v>
      </c>
      <c r="C68" s="92">
        <v>29172.172408870629</v>
      </c>
      <c r="D68" s="92"/>
      <c r="E68" s="92">
        <v>4614.2137570324821</v>
      </c>
      <c r="F68" s="92">
        <v>9985.9545182412403</v>
      </c>
      <c r="G68" s="92">
        <v>11134.002440332617</v>
      </c>
      <c r="H68" s="92">
        <v>12548.880891912953</v>
      </c>
      <c r="I68" s="92">
        <v>4071.7104942192536</v>
      </c>
      <c r="J68" s="92">
        <v>6377.6088107901724</v>
      </c>
      <c r="K68" s="92">
        <v>3116.3035545279231</v>
      </c>
      <c r="L68" s="92">
        <v>1005.6221327361686</v>
      </c>
      <c r="M68" s="92">
        <v>2463.7857696669821</v>
      </c>
      <c r="N68" s="92">
        <v>762.85340647456871</v>
      </c>
    </row>
    <row r="69" spans="1:14">
      <c r="A69" s="111"/>
      <c r="B69" s="111"/>
      <c r="C69" s="97"/>
      <c r="D69" s="97"/>
      <c r="E69" s="97"/>
      <c r="F69" s="97"/>
      <c r="G69" s="97"/>
      <c r="H69" s="97"/>
      <c r="I69" s="97"/>
      <c r="J69" s="97"/>
      <c r="K69" s="97"/>
      <c r="L69" s="97"/>
      <c r="M69" s="97"/>
      <c r="N69" s="97"/>
    </row>
    <row r="70" spans="1:14">
      <c r="A70" s="16" t="s">
        <v>403</v>
      </c>
    </row>
    <row r="71" spans="1:14">
      <c r="A71" s="115" t="s">
        <v>108</v>
      </c>
    </row>
    <row r="72" spans="1:14">
      <c r="A72" s="16" t="s">
        <v>112</v>
      </c>
    </row>
    <row r="73" spans="1:14">
      <c r="A73" s="16" t="s">
        <v>113</v>
      </c>
    </row>
    <row r="74" spans="1:14">
      <c r="A74" s="21" t="s">
        <v>111</v>
      </c>
    </row>
    <row r="75" spans="1:14">
      <c r="C75" s="38"/>
      <c r="D75" s="38"/>
      <c r="E75" s="38"/>
      <c r="F75" s="38"/>
      <c r="G75" s="38"/>
      <c r="H75" s="38"/>
      <c r="I75" s="38"/>
      <c r="J75" s="38"/>
      <c r="K75" s="38"/>
      <c r="L75" s="38"/>
      <c r="M75" s="38"/>
      <c r="N75" s="38"/>
    </row>
    <row r="76" spans="1:14">
      <c r="C76" s="38"/>
      <c r="D76" s="38"/>
      <c r="E76" s="38"/>
      <c r="F76" s="38"/>
      <c r="G76" s="38"/>
      <c r="H76" s="38"/>
      <c r="I76" s="38"/>
      <c r="J76" s="38"/>
      <c r="K76" s="38"/>
      <c r="L76" s="38"/>
      <c r="M76" s="38"/>
      <c r="N76" s="38"/>
    </row>
    <row r="77" spans="1:14">
      <c r="C77" s="38"/>
      <c r="D77" s="38"/>
      <c r="E77" s="38"/>
      <c r="F77" s="38"/>
      <c r="G77" s="38"/>
      <c r="H77" s="38"/>
      <c r="I77" s="38"/>
      <c r="J77" s="38"/>
      <c r="K77" s="38"/>
      <c r="L77" s="38"/>
      <c r="M77" s="38"/>
      <c r="N77" s="38"/>
    </row>
    <row r="78" spans="1:14">
      <c r="C78" s="38"/>
      <c r="D78" s="38"/>
      <c r="E78" s="38"/>
      <c r="F78" s="38"/>
      <c r="G78" s="38"/>
      <c r="H78" s="38"/>
      <c r="I78" s="38"/>
      <c r="J78" s="38"/>
      <c r="K78" s="38"/>
      <c r="L78" s="38"/>
      <c r="M78" s="38"/>
      <c r="N78" s="38"/>
    </row>
    <row r="79" spans="1:14">
      <c r="C79" s="38"/>
      <c r="D79" s="38"/>
      <c r="E79" s="38"/>
      <c r="F79" s="38"/>
      <c r="G79" s="38"/>
      <c r="H79" s="38"/>
      <c r="I79" s="38"/>
      <c r="J79" s="38"/>
      <c r="K79" s="38"/>
      <c r="L79" s="38"/>
      <c r="M79" s="38"/>
      <c r="N79" s="38"/>
    </row>
    <row r="80" spans="1:14">
      <c r="C80" s="38"/>
      <c r="D80" s="38"/>
      <c r="E80" s="38"/>
      <c r="F80" s="38"/>
      <c r="G80" s="38"/>
      <c r="H80" s="38"/>
      <c r="I80" s="38"/>
      <c r="J80" s="38"/>
      <c r="K80" s="38"/>
      <c r="L80" s="38"/>
      <c r="M80" s="38"/>
      <c r="N80" s="38"/>
    </row>
    <row r="81" spans="3:14">
      <c r="C81" s="38"/>
      <c r="D81" s="38"/>
      <c r="E81" s="38"/>
      <c r="F81" s="38"/>
      <c r="G81" s="38"/>
      <c r="H81" s="38"/>
      <c r="I81" s="38"/>
      <c r="J81" s="38"/>
      <c r="K81" s="38"/>
      <c r="L81" s="38"/>
      <c r="M81" s="38"/>
      <c r="N81" s="38"/>
    </row>
    <row r="82" spans="3:14">
      <c r="C82" s="38"/>
      <c r="D82" s="38"/>
      <c r="E82" s="38"/>
      <c r="F82" s="38"/>
      <c r="G82" s="38"/>
      <c r="H82" s="38"/>
      <c r="I82" s="38"/>
      <c r="J82" s="38"/>
      <c r="K82" s="38"/>
      <c r="L82" s="38"/>
      <c r="M82" s="38"/>
      <c r="N82" s="38"/>
    </row>
    <row r="83" spans="3:14">
      <c r="C83" s="38"/>
      <c r="D83" s="38"/>
      <c r="E83" s="38"/>
      <c r="F83" s="38"/>
      <c r="G83" s="38"/>
      <c r="H83" s="38"/>
      <c r="I83" s="38"/>
      <c r="J83" s="38"/>
      <c r="K83" s="38"/>
      <c r="L83" s="38"/>
      <c r="M83" s="38"/>
      <c r="N83" s="38"/>
    </row>
    <row r="84" spans="3:14">
      <c r="C84" s="38"/>
      <c r="D84" s="38"/>
      <c r="E84" s="38"/>
      <c r="F84" s="38"/>
      <c r="G84" s="38"/>
      <c r="H84" s="38"/>
      <c r="I84" s="38"/>
      <c r="J84" s="38"/>
      <c r="K84" s="38"/>
      <c r="L84" s="38"/>
      <c r="M84" s="38"/>
      <c r="N84" s="38"/>
    </row>
    <row r="85" spans="3:14">
      <c r="C85" s="38"/>
      <c r="D85" s="38"/>
      <c r="E85" s="38"/>
      <c r="F85" s="38"/>
      <c r="G85" s="38"/>
      <c r="H85" s="38"/>
      <c r="I85" s="38"/>
      <c r="J85" s="38"/>
      <c r="K85" s="38"/>
      <c r="L85" s="38"/>
      <c r="M85" s="38"/>
      <c r="N85" s="38"/>
    </row>
    <row r="86" spans="3:14">
      <c r="C86" s="38"/>
      <c r="D86" s="38"/>
      <c r="E86" s="38"/>
      <c r="F86" s="38"/>
      <c r="G86" s="38"/>
      <c r="H86" s="38"/>
      <c r="I86" s="38"/>
      <c r="J86" s="38"/>
      <c r="K86" s="38"/>
      <c r="L86" s="38"/>
      <c r="M86" s="38"/>
      <c r="N86" s="38"/>
    </row>
    <row r="87" spans="3:14">
      <c r="C87" s="38"/>
      <c r="D87" s="38"/>
      <c r="E87" s="38"/>
      <c r="F87" s="38"/>
      <c r="G87" s="38"/>
      <c r="H87" s="38"/>
      <c r="I87" s="38"/>
      <c r="J87" s="38"/>
      <c r="K87" s="38"/>
      <c r="L87" s="38"/>
      <c r="M87" s="38"/>
      <c r="N87" s="38"/>
    </row>
    <row r="88" spans="3:14">
      <c r="C88" s="38"/>
      <c r="D88" s="38"/>
      <c r="E88" s="38"/>
      <c r="F88" s="38"/>
      <c r="G88" s="38"/>
      <c r="H88" s="38"/>
      <c r="I88" s="38"/>
      <c r="J88" s="38"/>
      <c r="K88" s="38"/>
      <c r="L88" s="38"/>
      <c r="M88" s="38"/>
      <c r="N88" s="38"/>
    </row>
    <row r="89" spans="3:14">
      <c r="C89" s="38"/>
      <c r="D89" s="38"/>
      <c r="E89" s="38"/>
      <c r="F89" s="38"/>
      <c r="G89" s="38"/>
      <c r="H89" s="38"/>
      <c r="I89" s="38"/>
      <c r="J89" s="38"/>
      <c r="K89" s="38"/>
      <c r="L89" s="38"/>
      <c r="M89" s="38"/>
      <c r="N89" s="38"/>
    </row>
    <row r="90" spans="3:14">
      <c r="C90" s="38"/>
      <c r="D90" s="38"/>
      <c r="E90" s="38"/>
      <c r="F90" s="38"/>
      <c r="G90" s="38"/>
      <c r="H90" s="38"/>
      <c r="I90" s="38"/>
      <c r="J90" s="38"/>
      <c r="K90" s="38"/>
      <c r="L90" s="38"/>
      <c r="M90" s="38"/>
      <c r="N90" s="38"/>
    </row>
    <row r="91" spans="3:14">
      <c r="C91" s="38"/>
      <c r="D91" s="38"/>
      <c r="E91" s="38"/>
      <c r="F91" s="38"/>
      <c r="G91" s="38"/>
      <c r="H91" s="38"/>
      <c r="I91" s="38"/>
      <c r="J91" s="38"/>
      <c r="K91" s="38"/>
      <c r="L91" s="38"/>
      <c r="M91" s="38"/>
      <c r="N91" s="38"/>
    </row>
    <row r="92" spans="3:14">
      <c r="C92" s="38"/>
      <c r="D92" s="38"/>
      <c r="E92" s="38"/>
      <c r="F92" s="38"/>
      <c r="G92" s="38"/>
      <c r="H92" s="38"/>
      <c r="I92" s="38"/>
      <c r="J92" s="38"/>
      <c r="K92" s="38"/>
      <c r="L92" s="38"/>
      <c r="M92" s="38"/>
      <c r="N92" s="38"/>
    </row>
    <row r="93" spans="3:14">
      <c r="C93" s="38"/>
      <c r="D93" s="38"/>
      <c r="E93" s="38"/>
      <c r="F93" s="38"/>
      <c r="G93" s="38"/>
      <c r="H93" s="38"/>
      <c r="I93" s="38"/>
      <c r="J93" s="38"/>
      <c r="K93" s="38"/>
      <c r="L93" s="38"/>
      <c r="M93" s="38"/>
      <c r="N93" s="38"/>
    </row>
    <row r="94" spans="3:14">
      <c r="C94" s="38"/>
      <c r="D94" s="38"/>
      <c r="E94" s="38"/>
      <c r="F94" s="38"/>
      <c r="G94" s="38"/>
      <c r="H94" s="38"/>
      <c r="I94" s="38"/>
      <c r="J94" s="38"/>
      <c r="K94" s="38"/>
      <c r="L94" s="38"/>
      <c r="M94" s="38"/>
      <c r="N94" s="38"/>
    </row>
    <row r="95" spans="3:14">
      <c r="C95" s="38"/>
      <c r="D95" s="38"/>
      <c r="E95" s="38"/>
      <c r="F95" s="38"/>
      <c r="G95" s="38"/>
      <c r="H95" s="38"/>
      <c r="I95" s="38"/>
      <c r="J95" s="38"/>
      <c r="K95" s="38"/>
      <c r="L95" s="38"/>
      <c r="M95" s="38"/>
      <c r="N95" s="38"/>
    </row>
    <row r="96" spans="3:14">
      <c r="C96" s="38"/>
      <c r="D96" s="38"/>
      <c r="E96" s="38"/>
      <c r="F96" s="38"/>
      <c r="G96" s="38"/>
      <c r="H96" s="38"/>
      <c r="I96" s="38"/>
      <c r="J96" s="38"/>
      <c r="K96" s="38"/>
      <c r="L96" s="38"/>
      <c r="M96" s="38"/>
      <c r="N96" s="38"/>
    </row>
    <row r="97" spans="3:14">
      <c r="C97" s="38"/>
      <c r="D97" s="38"/>
      <c r="E97" s="38"/>
      <c r="F97" s="38"/>
      <c r="G97" s="38"/>
      <c r="H97" s="38"/>
      <c r="I97" s="38"/>
      <c r="J97" s="38"/>
      <c r="K97" s="38"/>
      <c r="L97" s="38"/>
      <c r="M97" s="38"/>
      <c r="N97" s="38"/>
    </row>
    <row r="98" spans="3:14">
      <c r="C98" s="38"/>
      <c r="D98" s="38"/>
      <c r="E98" s="38"/>
      <c r="F98" s="38"/>
      <c r="G98" s="38"/>
      <c r="H98" s="38"/>
      <c r="I98" s="38"/>
      <c r="J98" s="38"/>
      <c r="K98" s="38"/>
      <c r="L98" s="38"/>
      <c r="M98" s="38"/>
      <c r="N98" s="38"/>
    </row>
    <row r="99" spans="3:14">
      <c r="C99" s="38"/>
      <c r="D99" s="38"/>
      <c r="E99" s="38"/>
      <c r="F99" s="38"/>
      <c r="G99" s="38"/>
      <c r="H99" s="38"/>
      <c r="I99" s="38"/>
      <c r="J99" s="38"/>
      <c r="K99" s="38"/>
      <c r="L99" s="38"/>
      <c r="M99" s="38"/>
      <c r="N99" s="38"/>
    </row>
    <row r="100" spans="3:14">
      <c r="C100" s="38"/>
      <c r="D100" s="38"/>
      <c r="E100" s="38"/>
      <c r="F100" s="38"/>
      <c r="G100" s="38"/>
      <c r="H100" s="38"/>
      <c r="I100" s="38"/>
      <c r="J100" s="38"/>
      <c r="K100" s="38"/>
      <c r="L100" s="38"/>
      <c r="M100" s="38"/>
      <c r="N100" s="38"/>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1" formatCode="\*\*0.0%"/>
            </x14:dxf>
          </x14:cfRule>
          <x14:cfRule type="expression" priority="4" id="{083B8A94-26AF-443D-838A-B80AF58F6AD1}">
            <xm:f>C43&lt;'27'!$C$103</xm:f>
            <x14:dxf>
              <font>
                <color rgb="FF00B050"/>
              </font>
              <numFmt numFmtId="170"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69" formatCode="\*\*#,###,###,##0"/>
            </x14:dxf>
          </x14:cfRule>
          <x14:cfRule type="expression" priority="2" id="{19C17E40-95AA-4A13-B548-07318F0ACE24}">
            <xm:f>C43&lt;'27'!$C$103</xm:f>
            <x14:dxf>
              <font>
                <color rgb="FF00B050"/>
              </font>
              <numFmt numFmtId="168"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4"/>
      <c r="B1" s="24"/>
      <c r="C1" s="24"/>
      <c r="D1" s="24"/>
      <c r="E1" s="24"/>
      <c r="F1" s="24"/>
      <c r="G1" s="24"/>
      <c r="H1" s="24"/>
      <c r="I1" s="24"/>
      <c r="J1" s="24"/>
      <c r="K1" s="24"/>
      <c r="L1" s="24"/>
      <c r="M1" s="24"/>
      <c r="N1" s="24"/>
    </row>
    <row r="2" spans="1:14">
      <c r="A2" s="24"/>
      <c r="B2" s="24"/>
      <c r="C2" s="24"/>
      <c r="D2" s="24"/>
      <c r="E2" s="24"/>
      <c r="F2" s="24"/>
      <c r="G2" s="24"/>
      <c r="H2" s="24"/>
      <c r="I2" s="24"/>
      <c r="J2" s="24"/>
      <c r="K2" s="24"/>
      <c r="L2" s="24"/>
      <c r="M2" s="24"/>
      <c r="N2" s="24"/>
    </row>
    <row r="3" spans="1:14">
      <c r="A3" s="24"/>
      <c r="B3" s="24"/>
      <c r="C3" s="24"/>
      <c r="D3" s="24"/>
      <c r="E3" s="24"/>
      <c r="F3" s="24"/>
      <c r="G3" s="24"/>
      <c r="H3" s="24"/>
      <c r="I3" s="24"/>
      <c r="J3" s="24"/>
      <c r="K3" s="24"/>
      <c r="L3" s="24"/>
      <c r="M3" s="24"/>
      <c r="N3" s="24"/>
    </row>
    <row r="4" spans="1:14">
      <c r="A4" s="24"/>
      <c r="B4" s="24"/>
      <c r="C4" s="24"/>
      <c r="D4" s="24"/>
      <c r="E4" s="24"/>
      <c r="F4" s="24"/>
      <c r="G4" s="24"/>
      <c r="H4" s="24"/>
      <c r="I4" s="24"/>
      <c r="J4" s="24"/>
      <c r="K4" s="24"/>
      <c r="L4" s="24"/>
      <c r="M4" s="24"/>
      <c r="N4" s="24"/>
    </row>
    <row r="5" spans="1:14">
      <c r="A5" s="24"/>
      <c r="B5" s="24"/>
      <c r="C5" s="24"/>
      <c r="D5" s="24"/>
      <c r="E5" s="24"/>
      <c r="F5" s="24"/>
      <c r="G5" s="24"/>
      <c r="H5" s="24"/>
      <c r="I5" s="24"/>
      <c r="J5" s="24"/>
      <c r="K5" s="24"/>
      <c r="L5" s="24"/>
      <c r="M5" s="24"/>
      <c r="N5" s="24"/>
    </row>
    <row r="6" spans="1:14">
      <c r="A6" s="24"/>
      <c r="B6" s="24"/>
      <c r="C6" s="24"/>
      <c r="D6" s="24"/>
      <c r="E6" s="24"/>
      <c r="F6" s="24"/>
      <c r="G6" s="24"/>
      <c r="H6" s="24"/>
      <c r="I6" s="24"/>
      <c r="J6" s="24"/>
      <c r="K6" s="24"/>
      <c r="L6" s="24"/>
      <c r="M6" s="24"/>
      <c r="N6" s="24"/>
    </row>
    <row r="7" spans="1:14">
      <c r="A7" s="24"/>
      <c r="B7" s="24"/>
      <c r="C7" s="24"/>
      <c r="D7" s="24"/>
      <c r="E7" s="24"/>
      <c r="F7" s="24"/>
      <c r="G7" s="24"/>
      <c r="H7" s="24"/>
      <c r="I7" s="24"/>
      <c r="J7" s="24"/>
      <c r="K7" s="24"/>
      <c r="L7" s="24"/>
      <c r="M7" s="24"/>
      <c r="N7" s="24"/>
    </row>
    <row r="8" spans="1:14">
      <c r="A8" s="25" t="str">
        <f>Index!A8</f>
        <v>AusPlay survey results July 2024 - June 2025</v>
      </c>
      <c r="B8" s="24"/>
      <c r="C8" s="24"/>
      <c r="D8" s="24"/>
      <c r="E8" s="24"/>
      <c r="F8" s="24"/>
      <c r="G8" s="24"/>
      <c r="H8" s="24"/>
      <c r="I8" s="24"/>
      <c r="J8" s="24"/>
      <c r="K8" s="24"/>
      <c r="L8" s="24"/>
      <c r="M8" s="24"/>
      <c r="N8" s="24"/>
    </row>
    <row r="9" spans="1:14">
      <c r="A9" s="24" t="s">
        <v>1</v>
      </c>
      <c r="B9" s="24"/>
      <c r="C9" s="133" t="s">
        <v>2</v>
      </c>
      <c r="D9" s="25"/>
      <c r="E9" s="24"/>
      <c r="F9" s="24"/>
      <c r="G9" s="24"/>
      <c r="H9" s="24"/>
      <c r="I9" s="24"/>
      <c r="J9" s="24"/>
      <c r="K9" s="24"/>
      <c r="L9" s="24"/>
      <c r="M9" s="24"/>
      <c r="N9" s="24"/>
    </row>
    <row r="10" spans="1:14">
      <c r="A10" s="24" t="s">
        <v>40</v>
      </c>
      <c r="B10" s="24"/>
      <c r="C10" s="26">
        <v>22</v>
      </c>
      <c r="D10" s="26"/>
      <c r="E10" s="24"/>
      <c r="F10" s="24"/>
      <c r="G10" s="24"/>
      <c r="H10" s="24"/>
      <c r="I10" s="24"/>
      <c r="J10" s="24"/>
      <c r="K10" s="24"/>
      <c r="L10" s="24"/>
      <c r="M10" s="24"/>
      <c r="N10" s="24"/>
    </row>
    <row r="11" spans="1:14">
      <c r="A11" s="24" t="s">
        <v>3</v>
      </c>
      <c r="B11" s="24"/>
      <c r="C11" s="25" t="s">
        <v>404</v>
      </c>
      <c r="D11" s="25"/>
      <c r="E11" s="24"/>
      <c r="F11" s="24"/>
      <c r="G11" s="24"/>
      <c r="H11" s="24"/>
      <c r="I11" s="24"/>
      <c r="J11" s="24"/>
      <c r="K11" s="24"/>
      <c r="L11" s="24"/>
      <c r="M11" s="24"/>
      <c r="N11" s="24"/>
    </row>
    <row r="12" spans="1:14">
      <c r="A12" s="109" t="s">
        <v>41</v>
      </c>
      <c r="B12" s="109"/>
      <c r="C12" s="110" t="s">
        <v>42</v>
      </c>
      <c r="D12" s="110"/>
      <c r="E12" s="109"/>
      <c r="F12" s="109"/>
      <c r="G12" s="109"/>
      <c r="H12" s="109"/>
      <c r="I12" s="109"/>
      <c r="J12" s="109"/>
      <c r="K12" s="109"/>
      <c r="L12" s="109"/>
      <c r="M12" s="109"/>
      <c r="N12" s="109"/>
    </row>
    <row r="13" spans="1:14" s="80" customFormat="1" ht="24.95" customHeight="1">
      <c r="A13" s="86"/>
      <c r="B13" s="86"/>
      <c r="C13" s="79"/>
      <c r="D13" s="79"/>
      <c r="E13" s="154" t="s">
        <v>391</v>
      </c>
      <c r="F13" s="154"/>
      <c r="G13" s="154"/>
      <c r="H13" s="154"/>
      <c r="I13" s="154"/>
      <c r="J13" s="154"/>
      <c r="K13" s="154"/>
      <c r="L13" s="154"/>
      <c r="M13" s="154"/>
      <c r="N13" s="154"/>
    </row>
    <row r="14" spans="1:14" s="6" customFormat="1" ht="45">
      <c r="A14" s="35"/>
      <c r="B14" s="35"/>
      <c r="C14" s="55" t="s">
        <v>405</v>
      </c>
      <c r="D14" s="55"/>
      <c r="E14" s="55" t="s">
        <v>394</v>
      </c>
      <c r="F14" s="55" t="s">
        <v>393</v>
      </c>
      <c r="G14" s="55" t="s">
        <v>395</v>
      </c>
      <c r="H14" s="55" t="s">
        <v>396</v>
      </c>
      <c r="I14" s="55" t="s">
        <v>397</v>
      </c>
      <c r="J14" s="55" t="s">
        <v>398</v>
      </c>
      <c r="K14" s="55" t="s">
        <v>399</v>
      </c>
      <c r="L14" s="55" t="s">
        <v>400</v>
      </c>
      <c r="M14" s="55" t="s">
        <v>401</v>
      </c>
      <c r="N14" s="55" t="s">
        <v>107</v>
      </c>
    </row>
    <row r="15" spans="1:14">
      <c r="A15" s="57"/>
      <c r="B15" s="57"/>
      <c r="C15" s="160" t="s">
        <v>135</v>
      </c>
      <c r="D15" s="160"/>
      <c r="E15" s="160"/>
      <c r="F15" s="160"/>
      <c r="G15" s="160"/>
      <c r="H15" s="160"/>
      <c r="I15" s="160"/>
      <c r="J15" s="160"/>
      <c r="K15" s="160"/>
      <c r="L15" s="160"/>
      <c r="M15" s="160"/>
      <c r="N15" s="160"/>
    </row>
    <row r="16" spans="1:14" ht="17.25">
      <c r="A16" s="30" t="s">
        <v>136</v>
      </c>
      <c r="B16" s="30" t="s">
        <v>48</v>
      </c>
      <c r="C16" s="23">
        <v>0.13688195987341767</v>
      </c>
      <c r="D16" s="23"/>
      <c r="E16" s="23">
        <v>4.4712805347476819E-2</v>
      </c>
      <c r="F16" s="23">
        <v>3.8564284501394951E-2</v>
      </c>
      <c r="G16" s="23">
        <v>3.7704161768934534E-2</v>
      </c>
      <c r="H16" s="23">
        <v>3.0711898667571867E-2</v>
      </c>
      <c r="I16" s="23">
        <v>2.7638726649264148E-2</v>
      </c>
      <c r="J16" s="23">
        <v>2.7363307296693326E-2</v>
      </c>
      <c r="K16" s="23">
        <v>2.1135699407799823E-2</v>
      </c>
      <c r="L16" s="23">
        <v>1.2159251132616804E-2</v>
      </c>
      <c r="M16" s="23">
        <v>1.2018695660143386E-2</v>
      </c>
      <c r="N16" s="23">
        <v>1.715806052000591E-3</v>
      </c>
    </row>
    <row r="17" spans="1:14">
      <c r="A17" s="29" t="s">
        <v>52</v>
      </c>
      <c r="B17" s="29" t="s">
        <v>53</v>
      </c>
      <c r="C17" s="90">
        <v>6.886001369118637E-2</v>
      </c>
      <c r="D17" s="90"/>
      <c r="E17" s="90">
        <v>1.9332107301155865E-2</v>
      </c>
      <c r="F17" s="90">
        <v>1.4128243441580821E-2</v>
      </c>
      <c r="G17" s="90">
        <v>5.8755751253405817E-3</v>
      </c>
      <c r="H17" s="90">
        <v>0</v>
      </c>
      <c r="I17" s="90">
        <v>8.6169835626793978E-3</v>
      </c>
      <c r="J17" s="90">
        <v>7.006016076156669E-3</v>
      </c>
      <c r="K17" s="90">
        <v>6.8869152330597993E-3</v>
      </c>
      <c r="L17" s="90">
        <v>5.3037613987293843E-3</v>
      </c>
      <c r="M17" s="90">
        <v>7.0141729512132409E-3</v>
      </c>
      <c r="N17" s="90">
        <v>0</v>
      </c>
    </row>
    <row r="18" spans="1:14">
      <c r="A18" s="29"/>
      <c r="B18" s="29" t="s">
        <v>54</v>
      </c>
      <c r="C18" s="90">
        <v>0.19348415863700724</v>
      </c>
      <c r="D18" s="90"/>
      <c r="E18" s="90">
        <v>5.5787096627174911E-2</v>
      </c>
      <c r="F18" s="90">
        <v>6.6908460507493592E-2</v>
      </c>
      <c r="G18" s="90">
        <v>3.6161840357741046E-2</v>
      </c>
      <c r="H18" s="90">
        <v>2.8768664422380567E-2</v>
      </c>
      <c r="I18" s="90">
        <v>3.6549826059842978E-2</v>
      </c>
      <c r="J18" s="90">
        <v>3.2827164535060502E-2</v>
      </c>
      <c r="K18" s="90">
        <v>3.4334115456529618E-2</v>
      </c>
      <c r="L18" s="90">
        <v>2.4864552616648637E-2</v>
      </c>
      <c r="M18" s="90">
        <v>1.2037891799793773E-2</v>
      </c>
      <c r="N18" s="90">
        <v>1.5639704737258817E-3</v>
      </c>
    </row>
    <row r="19" spans="1:14">
      <c r="A19" s="29"/>
      <c r="B19" s="29" t="s">
        <v>55</v>
      </c>
      <c r="C19" s="90">
        <v>0.15391814430087725</v>
      </c>
      <c r="D19" s="90"/>
      <c r="E19" s="90">
        <v>3.6542514243746875E-2</v>
      </c>
      <c r="F19" s="90">
        <v>4.9345299702959533E-2</v>
      </c>
      <c r="G19" s="90">
        <v>3.9058175718077924E-2</v>
      </c>
      <c r="H19" s="90">
        <v>2.8866574727606682E-2</v>
      </c>
      <c r="I19" s="90">
        <v>3.3002754642537768E-2</v>
      </c>
      <c r="J19" s="90">
        <v>2.6896115714206973E-2</v>
      </c>
      <c r="K19" s="90">
        <v>2.8631289994743115E-2</v>
      </c>
      <c r="L19" s="90">
        <v>2.0294246838715179E-2</v>
      </c>
      <c r="M19" s="90">
        <v>1.9092068033724725E-2</v>
      </c>
      <c r="N19" s="90">
        <v>1.5281069417160359E-3</v>
      </c>
    </row>
    <row r="20" spans="1:14">
      <c r="A20" s="29"/>
      <c r="B20" s="29" t="s">
        <v>56</v>
      </c>
      <c r="C20" s="90">
        <v>0.1408205743939861</v>
      </c>
      <c r="D20" s="90"/>
      <c r="E20" s="90">
        <v>4.6285763469743162E-2</v>
      </c>
      <c r="F20" s="90">
        <v>4.6547580423958908E-2</v>
      </c>
      <c r="G20" s="90">
        <v>4.1427556950918661E-2</v>
      </c>
      <c r="H20" s="90">
        <v>2.6206713390931606E-2</v>
      </c>
      <c r="I20" s="90">
        <v>3.2475285378038836E-2</v>
      </c>
      <c r="J20" s="90">
        <v>2.9865141200224304E-2</v>
      </c>
      <c r="K20" s="90">
        <v>2.3879322505564227E-2</v>
      </c>
      <c r="L20" s="90">
        <v>1.4387931684625923E-2</v>
      </c>
      <c r="M20" s="90">
        <v>1.0695942349291167E-2</v>
      </c>
      <c r="N20" s="90">
        <v>4.912905387667141E-4</v>
      </c>
    </row>
    <row r="21" spans="1:14">
      <c r="A21" s="29"/>
      <c r="B21" s="29" t="s">
        <v>57</v>
      </c>
      <c r="C21" s="90">
        <v>0.17938440233866815</v>
      </c>
      <c r="D21" s="90"/>
      <c r="E21" s="90">
        <v>7.2123170411777793E-2</v>
      </c>
      <c r="F21" s="90">
        <v>4.3001518676174418E-2</v>
      </c>
      <c r="G21" s="90">
        <v>5.5804481975751281E-2</v>
      </c>
      <c r="H21" s="90">
        <v>3.3635372453682318E-2</v>
      </c>
      <c r="I21" s="90">
        <v>4.5335443591070314E-2</v>
      </c>
      <c r="J21" s="90">
        <v>5.0807894098991772E-2</v>
      </c>
      <c r="K21" s="90">
        <v>2.4159040276812468E-2</v>
      </c>
      <c r="L21" s="90">
        <v>1.1618941199554292E-2</v>
      </c>
      <c r="M21" s="90">
        <v>1.7319213505976445E-2</v>
      </c>
      <c r="N21" s="90">
        <v>2.9080587864399789E-3</v>
      </c>
    </row>
    <row r="22" spans="1:14">
      <c r="A22" s="29"/>
      <c r="B22" s="29" t="s">
        <v>58</v>
      </c>
      <c r="C22" s="90">
        <v>0.10506237047804481</v>
      </c>
      <c r="D22" s="90"/>
      <c r="E22" s="90">
        <v>3.7464931914793706E-2</v>
      </c>
      <c r="F22" s="90">
        <v>2.3930897636058719E-2</v>
      </c>
      <c r="G22" s="90">
        <v>3.7704519246892741E-2</v>
      </c>
      <c r="H22" s="90">
        <v>2.8611261952329062E-2</v>
      </c>
      <c r="I22" s="90">
        <v>1.6186468953288367E-2</v>
      </c>
      <c r="J22" s="90">
        <v>2.0485138223932428E-2</v>
      </c>
      <c r="K22" s="90">
        <v>1.3916904029624217E-2</v>
      </c>
      <c r="L22" s="90">
        <v>5.7012578194161742E-3</v>
      </c>
      <c r="M22" s="90">
        <v>9.8224359708525329E-3</v>
      </c>
      <c r="N22" s="90">
        <v>2.6238820249303266E-3</v>
      </c>
    </row>
    <row r="23" spans="1:14">
      <c r="A23" s="29"/>
      <c r="B23" s="29" t="s">
        <v>59</v>
      </c>
      <c r="C23" s="90">
        <v>8.8547044317043688E-2</v>
      </c>
      <c r="D23" s="90"/>
      <c r="E23" s="90">
        <v>3.4017731993193592E-2</v>
      </c>
      <c r="F23" s="90">
        <v>1.6760592598234078E-2</v>
      </c>
      <c r="G23" s="90">
        <v>2.7445228746662737E-2</v>
      </c>
      <c r="H23" s="90">
        <v>4.2799182868247791E-2</v>
      </c>
      <c r="I23" s="90">
        <v>1.1742446653016837E-2</v>
      </c>
      <c r="J23" s="90">
        <v>1.3841819149533984E-2</v>
      </c>
      <c r="K23" s="90">
        <v>9.7351684126906306E-3</v>
      </c>
      <c r="L23" s="90">
        <v>1.5263073126189559E-3</v>
      </c>
      <c r="M23" s="90">
        <v>5.3221801666525565E-3</v>
      </c>
      <c r="N23" s="90">
        <v>1.9188598222476766E-3</v>
      </c>
    </row>
    <row r="24" spans="1:14">
      <c r="A24" s="29"/>
      <c r="B24" s="29"/>
    </row>
    <row r="25" spans="1:14">
      <c r="A25" s="30" t="s">
        <v>406</v>
      </c>
      <c r="B25" s="30" t="s">
        <v>48</v>
      </c>
      <c r="C25" s="23">
        <v>0.16796389599778688</v>
      </c>
      <c r="D25" s="23"/>
      <c r="E25" s="23">
        <v>5.6063509620764562E-2</v>
      </c>
      <c r="F25" s="23">
        <v>5.2942249403984183E-2</v>
      </c>
      <c r="G25" s="23">
        <v>4.3747846898673587E-2</v>
      </c>
      <c r="H25" s="23">
        <v>3.9199178686350256E-2</v>
      </c>
      <c r="I25" s="23">
        <v>3.0556642254499611E-2</v>
      </c>
      <c r="J25" s="23">
        <v>2.874267635425037E-2</v>
      </c>
      <c r="K25" s="23">
        <v>2.5932115056696025E-2</v>
      </c>
      <c r="L25" s="23">
        <v>1.4492568073182388E-2</v>
      </c>
      <c r="M25" s="23">
        <v>1.4613154645459885E-2</v>
      </c>
      <c r="N25" s="23">
        <v>1.8213334587142164E-3</v>
      </c>
    </row>
    <row r="26" spans="1:14">
      <c r="A26" s="29"/>
      <c r="B26" s="29"/>
    </row>
    <row r="27" spans="1:14">
      <c r="A27" s="30" t="s">
        <v>407</v>
      </c>
      <c r="B27" s="30" t="s">
        <v>48</v>
      </c>
      <c r="C27" s="23">
        <v>0.10768950352689095</v>
      </c>
      <c r="D27" s="23"/>
      <c r="E27" s="23">
        <v>3.404202187727777E-2</v>
      </c>
      <c r="F27" s="23">
        <v>2.4639719758690809E-2</v>
      </c>
      <c r="G27" s="23">
        <v>3.2372315527976779E-2</v>
      </c>
      <c r="H27" s="23">
        <v>2.2929496001142503E-2</v>
      </c>
      <c r="I27" s="23">
        <v>2.5019784430814755E-2</v>
      </c>
      <c r="J27" s="23">
        <v>2.6252821281136512E-2</v>
      </c>
      <c r="K27" s="23">
        <v>1.6787732163324003E-2</v>
      </c>
      <c r="L27" s="23">
        <v>1.0068977559760942E-2</v>
      </c>
      <c r="M27" s="23">
        <v>9.6745784480793667E-3</v>
      </c>
      <c r="N27" s="23">
        <v>1.4613752581172082E-3</v>
      </c>
    </row>
    <row r="28" spans="1:14">
      <c r="A28" s="132"/>
      <c r="B28" s="132"/>
      <c r="C28" s="159" t="s">
        <v>408</v>
      </c>
      <c r="D28" s="159"/>
      <c r="E28" s="159"/>
      <c r="F28" s="159"/>
      <c r="G28" s="159"/>
      <c r="H28" s="159"/>
      <c r="I28" s="159"/>
      <c r="J28" s="159"/>
      <c r="K28" s="159"/>
      <c r="L28" s="159"/>
      <c r="M28" s="159"/>
      <c r="N28" s="159"/>
    </row>
    <row r="29" spans="1:14" ht="17.25">
      <c r="A29" s="30" t="s">
        <v>136</v>
      </c>
      <c r="B29" s="30" t="s">
        <v>48</v>
      </c>
      <c r="C29" s="40">
        <v>789467.50622787571</v>
      </c>
      <c r="D29" s="40"/>
      <c r="E29" s="40">
        <v>257881.36703162472</v>
      </c>
      <c r="F29" s="40">
        <v>222419.73699772416</v>
      </c>
      <c r="G29" s="40">
        <v>217458.9740946113</v>
      </c>
      <c r="H29" s="40">
        <v>177131.05565578432</v>
      </c>
      <c r="I29" s="40">
        <v>159406.51801951512</v>
      </c>
      <c r="J29" s="40">
        <v>157818.03528853977</v>
      </c>
      <c r="K29" s="40">
        <v>121900.27027146702</v>
      </c>
      <c r="L29" s="40">
        <v>70128.552207628367</v>
      </c>
      <c r="M29" s="40">
        <v>69317.897695938984</v>
      </c>
      <c r="N29" s="40">
        <v>9895.9214661760561</v>
      </c>
    </row>
    <row r="30" spans="1:14">
      <c r="A30" s="29" t="s">
        <v>52</v>
      </c>
      <c r="B30" s="29" t="s">
        <v>53</v>
      </c>
      <c r="C30" s="92">
        <v>16575.318577403177</v>
      </c>
      <c r="D30" s="92"/>
      <c r="E30" s="92">
        <v>4653.4384777535133</v>
      </c>
      <c r="F30" s="92">
        <v>3400.8145428713833</v>
      </c>
      <c r="G30" s="92">
        <v>1414.3117944289772</v>
      </c>
      <c r="H30" s="92">
        <v>0</v>
      </c>
      <c r="I30" s="92">
        <v>2074.1972019958926</v>
      </c>
      <c r="J30" s="92">
        <v>1686.4206408888419</v>
      </c>
      <c r="K30" s="92">
        <v>1657.751834257155</v>
      </c>
      <c r="L30" s="92">
        <v>1276.6703073386859</v>
      </c>
      <c r="M30" s="92">
        <v>1688.3840852074138</v>
      </c>
      <c r="N30" s="92">
        <v>0</v>
      </c>
    </row>
    <row r="31" spans="1:14">
      <c r="A31" s="29"/>
      <c r="B31" s="29" t="s">
        <v>54</v>
      </c>
      <c r="C31" s="92">
        <v>131294.60406320821</v>
      </c>
      <c r="D31" s="92"/>
      <c r="E31" s="92">
        <v>37856.043694214459</v>
      </c>
      <c r="F31" s="92">
        <v>45402.785906059922</v>
      </c>
      <c r="G31" s="92">
        <v>24538.724748385906</v>
      </c>
      <c r="H31" s="92">
        <v>19521.858695677791</v>
      </c>
      <c r="I31" s="92">
        <v>24802.004334159268</v>
      </c>
      <c r="J31" s="92">
        <v>22275.87829675783</v>
      </c>
      <c r="K31" s="92">
        <v>23298.466016448961</v>
      </c>
      <c r="L31" s="92">
        <v>16872.604010627678</v>
      </c>
      <c r="M31" s="92">
        <v>8168.6803133833619</v>
      </c>
      <c r="N31" s="92">
        <v>1061.2800839143881</v>
      </c>
    </row>
    <row r="32" spans="1:14">
      <c r="A32" s="29"/>
      <c r="B32" s="29" t="s">
        <v>55</v>
      </c>
      <c r="C32" s="92">
        <v>162615.74878879276</v>
      </c>
      <c r="D32" s="92"/>
      <c r="E32" s="92">
        <v>38607.458161371265</v>
      </c>
      <c r="F32" s="92">
        <v>52133.703254103122</v>
      </c>
      <c r="G32" s="92">
        <v>41265.27460143817</v>
      </c>
      <c r="H32" s="92">
        <v>30497.766755304157</v>
      </c>
      <c r="I32" s="92">
        <v>34867.673870847844</v>
      </c>
      <c r="J32" s="92">
        <v>28415.961069710316</v>
      </c>
      <c r="K32" s="92">
        <v>30249.186555828859</v>
      </c>
      <c r="L32" s="92">
        <v>21441.033874025536</v>
      </c>
      <c r="M32" s="92">
        <v>20170.922364823662</v>
      </c>
      <c r="N32" s="92">
        <v>1614.457188820779</v>
      </c>
    </row>
    <row r="33" spans="1:14">
      <c r="A33" s="29"/>
      <c r="B33" s="29" t="s">
        <v>56</v>
      </c>
      <c r="C33" s="92">
        <v>141554.52850360575</v>
      </c>
      <c r="D33" s="92"/>
      <c r="E33" s="92">
        <v>46527.003973566527</v>
      </c>
      <c r="F33" s="92">
        <v>46790.185512682896</v>
      </c>
      <c r="G33" s="92">
        <v>41643.476576346118</v>
      </c>
      <c r="H33" s="92">
        <v>26343.302274165988</v>
      </c>
      <c r="I33" s="92">
        <v>32644.545937206818</v>
      </c>
      <c r="J33" s="92">
        <v>30020.797738429788</v>
      </c>
      <c r="K33" s="92">
        <v>24003.781072526588</v>
      </c>
      <c r="L33" s="92">
        <v>14462.921306236989</v>
      </c>
      <c r="M33" s="92">
        <v>10751.689393906634</v>
      </c>
      <c r="N33" s="92">
        <v>493.85113555093284</v>
      </c>
    </row>
    <row r="34" spans="1:14">
      <c r="A34" s="29"/>
      <c r="B34" s="29" t="s">
        <v>57</v>
      </c>
      <c r="C34" s="92">
        <v>154762.84095544124</v>
      </c>
      <c r="D34" s="92"/>
      <c r="E34" s="92">
        <v>62223.842241127066</v>
      </c>
      <c r="F34" s="92">
        <v>37099.308016529016</v>
      </c>
      <c r="G34" s="92">
        <v>48144.989508668696</v>
      </c>
      <c r="H34" s="92">
        <v>29018.720299318717</v>
      </c>
      <c r="I34" s="92">
        <v>39112.888047439614</v>
      </c>
      <c r="J34" s="92">
        <v>43834.212625008018</v>
      </c>
      <c r="K34" s="92">
        <v>20843.070296254315</v>
      </c>
      <c r="L34" s="92">
        <v>10024.173370114846</v>
      </c>
      <c r="M34" s="92">
        <v>14942.04986807251</v>
      </c>
      <c r="N34" s="92">
        <v>2508.9106610573408</v>
      </c>
    </row>
    <row r="35" spans="1:14">
      <c r="A35" s="29"/>
      <c r="B35" s="29" t="s">
        <v>58</v>
      </c>
      <c r="C35" s="92">
        <v>78386.629647005466</v>
      </c>
      <c r="D35" s="92"/>
      <c r="E35" s="92">
        <v>27952.441291707866</v>
      </c>
      <c r="F35" s="92">
        <v>17854.750483762764</v>
      </c>
      <c r="G35" s="92">
        <v>28131.19647668902</v>
      </c>
      <c r="H35" s="92">
        <v>21346.752259500452</v>
      </c>
      <c r="I35" s="92">
        <v>12076.662094725083</v>
      </c>
      <c r="J35" s="92">
        <v>15283.882668178203</v>
      </c>
      <c r="K35" s="92">
        <v>10383.348453298413</v>
      </c>
      <c r="L35" s="92">
        <v>4253.6864833642803</v>
      </c>
      <c r="M35" s="92">
        <v>7328.4816169223996</v>
      </c>
      <c r="N35" s="92">
        <v>1957.6682649534282</v>
      </c>
    </row>
    <row r="36" spans="1:14">
      <c r="A36" s="29"/>
      <c r="B36" s="29" t="s">
        <v>59</v>
      </c>
      <c r="C36" s="92">
        <v>104277.8356924197</v>
      </c>
      <c r="D36" s="92"/>
      <c r="E36" s="92">
        <v>40061.139191884024</v>
      </c>
      <c r="F36" s="92">
        <v>19738.189281715273</v>
      </c>
      <c r="G36" s="92">
        <v>32321.000388654436</v>
      </c>
      <c r="H36" s="92">
        <v>50402.655371817084</v>
      </c>
      <c r="I36" s="92">
        <v>13828.546533140508</v>
      </c>
      <c r="J36" s="92">
        <v>16300.882249566701</v>
      </c>
      <c r="K36" s="92">
        <v>11464.666042852745</v>
      </c>
      <c r="L36" s="92">
        <v>1797.4628559203388</v>
      </c>
      <c r="M36" s="92">
        <v>6267.690053623005</v>
      </c>
      <c r="N36" s="92">
        <v>2259.7541318791864</v>
      </c>
    </row>
    <row r="37" spans="1:14">
      <c r="A37" s="29"/>
      <c r="B37" s="29"/>
    </row>
    <row r="38" spans="1:14">
      <c r="A38" s="30" t="s">
        <v>406</v>
      </c>
      <c r="B38" s="30" t="s">
        <v>48</v>
      </c>
      <c r="C38" s="40">
        <v>472530.32206829416</v>
      </c>
      <c r="D38" s="40"/>
      <c r="E38" s="40">
        <v>157722.63497464862</v>
      </c>
      <c r="F38" s="40">
        <v>148941.64018566362</v>
      </c>
      <c r="G38" s="40">
        <v>123075.16482647577</v>
      </c>
      <c r="H38" s="40">
        <v>110278.46442498427</v>
      </c>
      <c r="I38" s="40">
        <v>85964.545654707821</v>
      </c>
      <c r="J38" s="40">
        <v>80861.342457534003</v>
      </c>
      <c r="K38" s="40">
        <v>72954.432301416076</v>
      </c>
      <c r="L38" s="40">
        <v>40771.725486218682</v>
      </c>
      <c r="M38" s="40">
        <v>41110.969890481298</v>
      </c>
      <c r="N38" s="40">
        <v>5123.930239456512</v>
      </c>
    </row>
    <row r="39" spans="1:14">
      <c r="A39" s="29"/>
      <c r="B39" s="29"/>
    </row>
    <row r="40" spans="1:14">
      <c r="A40" s="30" t="s">
        <v>407</v>
      </c>
      <c r="B40" s="30" t="s">
        <v>48</v>
      </c>
      <c r="C40" s="40">
        <v>313976.47635919764</v>
      </c>
      <c r="D40" s="40"/>
      <c r="E40" s="40">
        <v>99251.957963585679</v>
      </c>
      <c r="F40" s="40">
        <v>71838.87133791107</v>
      </c>
      <c r="G40" s="40">
        <v>94383.809268135563</v>
      </c>
      <c r="H40" s="40">
        <v>66852.591230799997</v>
      </c>
      <c r="I40" s="40">
        <v>72946.977166556593</v>
      </c>
      <c r="J40" s="40">
        <v>76541.984598161987</v>
      </c>
      <c r="K40" s="40">
        <v>48945.837970050998</v>
      </c>
      <c r="L40" s="40">
        <v>29356.826721409667</v>
      </c>
      <c r="M40" s="40">
        <v>28206.927805457686</v>
      </c>
      <c r="N40" s="40">
        <v>4260.7444472764091</v>
      </c>
    </row>
    <row r="41" spans="1:14">
      <c r="A41" s="111"/>
      <c r="B41" s="111"/>
      <c r="C41" s="97"/>
      <c r="D41" s="97"/>
      <c r="E41" s="97"/>
      <c r="F41" s="97"/>
      <c r="G41" s="97"/>
      <c r="H41" s="97"/>
      <c r="I41" s="97"/>
      <c r="J41" s="97"/>
      <c r="K41" s="97"/>
      <c r="L41" s="97"/>
      <c r="M41" s="97"/>
      <c r="N41" s="97"/>
    </row>
    <row r="42" spans="1:14">
      <c r="A42" s="16" t="s">
        <v>403</v>
      </c>
    </row>
    <row r="43" spans="1:14">
      <c r="A43" s="115" t="s">
        <v>108</v>
      </c>
    </row>
    <row r="44" spans="1:14">
      <c r="A44" s="16" t="s">
        <v>409</v>
      </c>
    </row>
    <row r="45" spans="1:14">
      <c r="A45" s="16" t="s">
        <v>112</v>
      </c>
    </row>
    <row r="46" spans="1:14">
      <c r="A46" s="16" t="s">
        <v>113</v>
      </c>
    </row>
    <row r="47" spans="1:14">
      <c r="A47" s="21" t="s">
        <v>111</v>
      </c>
    </row>
    <row r="48" spans="1:14">
      <c r="A48" s="16" t="s">
        <v>410</v>
      </c>
      <c r="C48" s="4"/>
      <c r="D48" s="7"/>
      <c r="E48" s="7"/>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1" formatCode="\*\*0.0%"/>
            </x14:dxf>
          </x14:cfRule>
          <x14:cfRule type="expression" priority="4" id="{B2EEDE8F-0511-4DDD-89FA-49131EF3AA60}">
            <xm:f>C29&lt;'27'!$C$103</xm:f>
            <x14:dxf>
              <font>
                <color rgb="FF00B050"/>
              </font>
              <numFmt numFmtId="170"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69" formatCode="\*\*#,###,###,##0"/>
            </x14:dxf>
          </x14:cfRule>
          <x14:cfRule type="expression" priority="2" id="{7D86C670-27FE-4794-B304-071BEDD52AB4}">
            <xm:f>C29&lt;'27'!$C$103</xm:f>
            <x14:dxf>
              <font>
                <color rgb="FF00B050"/>
              </font>
              <numFmt numFmtId="168"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7.5703125" style="1" customWidth="1"/>
    <col min="3" max="3" width="7" style="1" customWidth="1"/>
    <col min="4" max="4" width="17.5703125" style="7" customWidth="1"/>
    <col min="5" max="5" width="20" style="7" customWidth="1"/>
    <col min="6" max="6" width="8.85546875" style="1"/>
    <col min="7" max="7" width="11.5703125" style="1" bestFit="1" customWidth="1"/>
    <col min="8" max="16384" width="8.85546875" style="1"/>
  </cols>
  <sheetData>
    <row r="1" spans="1:7">
      <c r="A1" s="24"/>
      <c r="B1" s="24"/>
      <c r="C1" s="24"/>
      <c r="D1" s="106"/>
      <c r="E1" s="106"/>
    </row>
    <row r="2" spans="1:7">
      <c r="A2" s="24"/>
      <c r="B2" s="24"/>
      <c r="C2" s="24"/>
      <c r="D2" s="106"/>
      <c r="E2" s="106"/>
    </row>
    <row r="3" spans="1:7">
      <c r="A3" s="24"/>
      <c r="B3" s="24"/>
      <c r="C3" s="24"/>
      <c r="D3" s="106"/>
      <c r="E3" s="106"/>
    </row>
    <row r="4" spans="1:7">
      <c r="A4" s="24"/>
      <c r="B4" s="24"/>
      <c r="C4" s="24"/>
      <c r="D4" s="106"/>
      <c r="E4" s="106"/>
    </row>
    <row r="5" spans="1:7">
      <c r="A5" s="24"/>
      <c r="B5" s="24"/>
      <c r="C5" s="24"/>
      <c r="D5" s="106"/>
      <c r="E5" s="106"/>
    </row>
    <row r="6" spans="1:7">
      <c r="A6" s="24"/>
      <c r="B6" s="24"/>
      <c r="C6" s="24"/>
      <c r="D6" s="106"/>
      <c r="E6" s="106"/>
    </row>
    <row r="7" spans="1:7">
      <c r="A7" s="24"/>
      <c r="B7" s="24"/>
      <c r="C7" s="24"/>
      <c r="D7" s="106"/>
      <c r="E7" s="106"/>
    </row>
    <row r="8" spans="1:7">
      <c r="A8" s="25" t="str">
        <f>Index!A8</f>
        <v>AusPlay survey results July 2024 - June 2025</v>
      </c>
      <c r="B8" s="24"/>
      <c r="C8" s="25"/>
      <c r="D8" s="106"/>
      <c r="E8" s="106"/>
    </row>
    <row r="9" spans="1:7">
      <c r="A9" s="24" t="s">
        <v>1</v>
      </c>
      <c r="B9" s="133" t="s">
        <v>2</v>
      </c>
      <c r="C9" s="25"/>
      <c r="D9" s="106"/>
      <c r="E9" s="106"/>
    </row>
    <row r="10" spans="1:7">
      <c r="A10" s="24" t="s">
        <v>40</v>
      </c>
      <c r="B10" s="26">
        <v>23</v>
      </c>
      <c r="C10" s="25"/>
      <c r="D10" s="106"/>
      <c r="E10" s="106"/>
    </row>
    <row r="11" spans="1:7">
      <c r="A11" s="24" t="s">
        <v>3</v>
      </c>
      <c r="B11" s="25" t="s">
        <v>411</v>
      </c>
      <c r="C11" s="25"/>
      <c r="D11" s="106"/>
      <c r="E11" s="106"/>
    </row>
    <row r="12" spans="1:7">
      <c r="A12" s="109" t="s">
        <v>41</v>
      </c>
      <c r="B12" s="110" t="s">
        <v>42</v>
      </c>
      <c r="C12" s="110"/>
      <c r="D12" s="148"/>
      <c r="E12" s="148"/>
    </row>
    <row r="13" spans="1:7" ht="24.95" customHeight="1">
      <c r="A13" s="27"/>
      <c r="B13" s="48"/>
      <c r="C13" s="45"/>
      <c r="D13" s="32"/>
      <c r="E13" s="32"/>
      <c r="G13" s="105" t="s">
        <v>137</v>
      </c>
    </row>
    <row r="14" spans="1:7" s="6" customFormat="1" ht="24.95" customHeight="1">
      <c r="A14" s="36"/>
      <c r="B14" s="32" t="s">
        <v>51</v>
      </c>
      <c r="C14" s="55"/>
      <c r="D14" s="55" t="s">
        <v>49</v>
      </c>
      <c r="E14" s="55" t="s">
        <v>50</v>
      </c>
    </row>
    <row r="15" spans="1:7">
      <c r="A15" s="57"/>
      <c r="B15" s="160" t="s">
        <v>135</v>
      </c>
      <c r="C15" s="160"/>
      <c r="D15" s="160"/>
      <c r="E15" s="160"/>
    </row>
    <row r="16" spans="1:7">
      <c r="A16" s="29" t="s">
        <v>248</v>
      </c>
      <c r="B16" s="112">
        <v>2.54161722392417E-2</v>
      </c>
      <c r="C16" s="113"/>
      <c r="D16" s="112">
        <v>3.5769166088274455E-2</v>
      </c>
      <c r="E16" s="112">
        <v>1.554620545949827E-2</v>
      </c>
      <c r="G16" s="105" t="s">
        <v>137</v>
      </c>
    </row>
    <row r="17" spans="1:13">
      <c r="A17" s="29" t="s">
        <v>251</v>
      </c>
      <c r="B17" s="112">
        <v>1.8430322851621335E-2</v>
      </c>
      <c r="C17" s="113"/>
      <c r="D17" s="112">
        <v>1.9282595402481114E-2</v>
      </c>
      <c r="E17" s="112">
        <v>1.7709604432195616E-2</v>
      </c>
    </row>
    <row r="18" spans="1:13">
      <c r="A18" s="29" t="s">
        <v>288</v>
      </c>
      <c r="B18" s="112">
        <v>1.2823917344970839E-2</v>
      </c>
      <c r="C18" s="113"/>
      <c r="D18" s="112">
        <v>1.8110921378575343E-2</v>
      </c>
      <c r="E18" s="112">
        <v>7.724040368783644E-3</v>
      </c>
    </row>
    <row r="19" spans="1:13">
      <c r="A19" s="29" t="s">
        <v>269</v>
      </c>
      <c r="B19" s="112">
        <v>1.1911961249169619E-2</v>
      </c>
      <c r="C19" s="113"/>
      <c r="D19" s="112">
        <v>1.9255783304671922E-2</v>
      </c>
      <c r="E19" s="112">
        <v>4.983687485086632E-3</v>
      </c>
    </row>
    <row r="20" spans="1:13">
      <c r="A20" s="29" t="s">
        <v>324</v>
      </c>
      <c r="B20" s="112">
        <v>1.0614496283653779E-2</v>
      </c>
      <c r="C20" s="113"/>
      <c r="D20" s="112">
        <v>4.5815224602069691E-3</v>
      </c>
      <c r="E20" s="112">
        <v>1.6576522415285736E-2</v>
      </c>
    </row>
    <row r="21" spans="1:13">
      <c r="A21" s="29" t="s">
        <v>370</v>
      </c>
      <c r="B21" s="112">
        <v>7.4703725773654526E-3</v>
      </c>
      <c r="C21" s="113"/>
      <c r="D21" s="112">
        <v>9.3857334478834285E-3</v>
      </c>
      <c r="E21" s="112">
        <v>5.721235873805069E-3</v>
      </c>
    </row>
    <row r="22" spans="1:13">
      <c r="A22" s="29" t="s">
        <v>349</v>
      </c>
      <c r="B22" s="112">
        <v>5.1514936276078347E-3</v>
      </c>
      <c r="C22" s="113"/>
      <c r="D22" s="112">
        <v>5.2325180881303383E-3</v>
      </c>
      <c r="E22" s="112">
        <v>5.1416002890305249E-3</v>
      </c>
    </row>
    <row r="23" spans="1:13">
      <c r="A23" s="29" t="s">
        <v>292</v>
      </c>
      <c r="B23" s="112">
        <v>4.0813709430470614E-3</v>
      </c>
      <c r="C23" s="113"/>
      <c r="D23" s="112">
        <v>5.8585541323127304E-3</v>
      </c>
      <c r="E23" s="112">
        <v>2.4206394120482597E-3</v>
      </c>
    </row>
    <row r="24" spans="1:13">
      <c r="A24" s="29" t="s">
        <v>247</v>
      </c>
      <c r="B24" s="112">
        <v>3.7259262048611372E-3</v>
      </c>
      <c r="C24" s="113"/>
      <c r="D24" s="112">
        <v>3.4339429553429512E-3</v>
      </c>
      <c r="E24" s="112">
        <v>4.0570569681243375E-3</v>
      </c>
    </row>
    <row r="25" spans="1:13">
      <c r="A25" s="29" t="s">
        <v>285</v>
      </c>
      <c r="B25" s="112">
        <v>3.6661345741305028E-3</v>
      </c>
      <c r="C25" s="113"/>
      <c r="D25" s="112">
        <v>3.9497233548263276E-3</v>
      </c>
      <c r="E25" s="112">
        <v>3.4410934372545365E-3</v>
      </c>
    </row>
    <row r="26" spans="1:13">
      <c r="A26" s="132"/>
      <c r="B26" s="159" t="s">
        <v>408</v>
      </c>
      <c r="C26" s="159"/>
      <c r="D26" s="159"/>
      <c r="E26" s="159"/>
    </row>
    <row r="27" spans="1:13">
      <c r="A27" s="29" t="s">
        <v>248</v>
      </c>
      <c r="B27" s="15">
        <v>146587.92242694195</v>
      </c>
      <c r="C27" s="113"/>
      <c r="D27" s="15">
        <v>100628.861169244</v>
      </c>
      <c r="E27" s="15">
        <v>45326.077761241846</v>
      </c>
      <c r="F27" s="11"/>
      <c r="G27" s="11"/>
      <c r="H27" s="38"/>
      <c r="I27" s="38"/>
      <c r="J27" s="38"/>
      <c r="K27" s="38"/>
      <c r="L27" s="38"/>
      <c r="M27" s="38"/>
    </row>
    <row r="28" spans="1:13">
      <c r="A28" s="29" t="s">
        <v>251</v>
      </c>
      <c r="B28" s="15">
        <v>106296.99511973272</v>
      </c>
      <c r="C28" s="113"/>
      <c r="D28" s="15">
        <v>54247.437889670437</v>
      </c>
      <c r="E28" s="15">
        <v>51633.622732298427</v>
      </c>
      <c r="F28" s="11"/>
      <c r="G28" s="11"/>
      <c r="H28" s="38"/>
      <c r="I28" s="38"/>
      <c r="J28" s="38"/>
      <c r="K28" s="38"/>
      <c r="L28" s="38"/>
      <c r="M28" s="38"/>
    </row>
    <row r="29" spans="1:13">
      <c r="A29" s="29" t="s">
        <v>288</v>
      </c>
      <c r="B29" s="15">
        <v>73962.018484896136</v>
      </c>
      <c r="C29" s="113"/>
      <c r="D29" s="15">
        <v>50951.184843226794</v>
      </c>
      <c r="E29" s="15">
        <v>22519.994046042768</v>
      </c>
      <c r="F29" s="11"/>
      <c r="G29" s="11"/>
      <c r="H29" s="38"/>
      <c r="I29" s="38"/>
      <c r="J29" s="38"/>
      <c r="K29" s="38"/>
      <c r="L29" s="38"/>
      <c r="M29" s="38"/>
    </row>
    <row r="30" spans="1:13">
      <c r="A30" s="29" t="s">
        <v>269</v>
      </c>
      <c r="B30" s="15">
        <v>68702.306354771135</v>
      </c>
      <c r="C30" s="113"/>
      <c r="D30" s="15">
        <v>54172.007815023499</v>
      </c>
      <c r="E30" s="15">
        <v>14530.29853974764</v>
      </c>
      <c r="F30" s="11"/>
      <c r="G30" s="11"/>
      <c r="H30" s="38"/>
      <c r="I30" s="38"/>
      <c r="J30" s="38"/>
      <c r="K30" s="38"/>
      <c r="L30" s="38"/>
      <c r="M30" s="38"/>
    </row>
    <row r="31" spans="1:13">
      <c r="A31" s="29" t="s">
        <v>324</v>
      </c>
      <c r="B31" s="15">
        <v>61219.169557993388</v>
      </c>
      <c r="C31" s="113"/>
      <c r="D31" s="15">
        <v>12889.128766775257</v>
      </c>
      <c r="E31" s="15">
        <v>48330.040791218162</v>
      </c>
      <c r="F31" s="11"/>
      <c r="G31" s="11"/>
      <c r="H31" s="38"/>
      <c r="I31" s="38"/>
      <c r="J31" s="38"/>
      <c r="K31" s="38"/>
      <c r="L31" s="38"/>
      <c r="M31" s="38"/>
    </row>
    <row r="32" spans="1:13">
      <c r="A32" s="29" t="s">
        <v>370</v>
      </c>
      <c r="B32" s="15">
        <v>43085.417645244597</v>
      </c>
      <c r="C32" s="113"/>
      <c r="D32" s="15">
        <v>26404.743844676919</v>
      </c>
      <c r="E32" s="15">
        <v>16680.673800567678</v>
      </c>
      <c r="F32" s="11"/>
      <c r="G32" s="11"/>
      <c r="H32" s="38"/>
      <c r="I32" s="38"/>
      <c r="J32" s="38"/>
      <c r="K32" s="38"/>
      <c r="L32" s="38"/>
      <c r="M32" s="38"/>
    </row>
    <row r="33" spans="1:13">
      <c r="A33" s="29" t="s">
        <v>349</v>
      </c>
      <c r="B33" s="15">
        <v>29711.269704914164</v>
      </c>
      <c r="C33" s="113"/>
      <c r="D33" s="15">
        <v>14720.565051938198</v>
      </c>
      <c r="E33" s="15">
        <v>14990.70465297597</v>
      </c>
      <c r="F33" s="11"/>
      <c r="G33" s="11"/>
      <c r="H33" s="38"/>
      <c r="I33" s="38"/>
      <c r="J33" s="38"/>
      <c r="K33" s="38"/>
      <c r="L33" s="38"/>
      <c r="M33" s="38"/>
    </row>
    <row r="34" spans="1:13">
      <c r="A34" s="29" t="s">
        <v>292</v>
      </c>
      <c r="B34" s="15">
        <v>23539.330846650213</v>
      </c>
      <c r="C34" s="113"/>
      <c r="D34" s="15">
        <v>16481.782912637049</v>
      </c>
      <c r="E34" s="15">
        <v>7057.5479340131624</v>
      </c>
      <c r="F34" s="11"/>
      <c r="G34" s="11"/>
      <c r="H34" s="38"/>
      <c r="I34" s="38"/>
      <c r="J34" s="38"/>
      <c r="K34" s="38"/>
      <c r="L34" s="38"/>
      <c r="M34" s="38"/>
    </row>
    <row r="35" spans="1:13">
      <c r="A35" s="29" t="s">
        <v>247</v>
      </c>
      <c r="B35" s="15">
        <v>21489.301234881361</v>
      </c>
      <c r="C35" s="113"/>
      <c r="D35" s="15">
        <v>9660.660471186824</v>
      </c>
      <c r="E35" s="15">
        <v>11828.640763694537</v>
      </c>
      <c r="F35" s="11"/>
      <c r="G35" s="11"/>
      <c r="H35" s="38"/>
      <c r="I35" s="38"/>
      <c r="J35" s="38"/>
      <c r="K35" s="38"/>
      <c r="L35" s="38"/>
      <c r="M35" s="38"/>
    </row>
    <row r="36" spans="1:13">
      <c r="A36" s="29" t="s">
        <v>285</v>
      </c>
      <c r="B36" s="15">
        <v>21144.452654032113</v>
      </c>
      <c r="C36" s="113"/>
      <c r="D36" s="15">
        <v>11111.697772010119</v>
      </c>
      <c r="E36" s="15">
        <v>10032.754882021985</v>
      </c>
      <c r="F36" s="11"/>
      <c r="G36" s="11"/>
      <c r="H36" s="38"/>
      <c r="I36" s="38"/>
      <c r="J36" s="38"/>
      <c r="K36" s="38"/>
      <c r="L36" s="38"/>
      <c r="M36" s="38"/>
    </row>
    <row r="37" spans="1:13">
      <c r="A37" s="111"/>
      <c r="B37" s="100"/>
      <c r="C37" s="100"/>
      <c r="D37" s="149"/>
      <c r="E37" s="149"/>
    </row>
    <row r="38" spans="1:13">
      <c r="A38" s="16" t="s">
        <v>403</v>
      </c>
      <c r="C38" s="4"/>
    </row>
    <row r="39" spans="1:13">
      <c r="A39" s="115" t="s">
        <v>108</v>
      </c>
      <c r="C39" s="4"/>
    </row>
    <row r="40" spans="1:13">
      <c r="A40" s="16" t="s">
        <v>409</v>
      </c>
      <c r="C40" s="4"/>
    </row>
    <row r="41" spans="1:13">
      <c r="A41" s="16" t="s">
        <v>112</v>
      </c>
      <c r="C41" s="4"/>
    </row>
    <row r="42" spans="1:13">
      <c r="A42" s="16" t="s">
        <v>113</v>
      </c>
      <c r="C42" s="4"/>
    </row>
    <row r="43" spans="1:13">
      <c r="A43" s="21" t="s">
        <v>111</v>
      </c>
      <c r="C43" s="4"/>
    </row>
    <row r="44" spans="1:13">
      <c r="A44" s="16"/>
      <c r="C44" s="4"/>
    </row>
    <row r="45" spans="1:13">
      <c r="C45" s="4"/>
    </row>
    <row r="46" spans="1:13">
      <c r="C46" s="4"/>
    </row>
    <row r="47" spans="1:13">
      <c r="C47" s="4"/>
    </row>
    <row r="48" spans="1:13">
      <c r="C48" s="4"/>
    </row>
    <row r="49" spans="3:3">
      <c r="C49" s="4"/>
    </row>
    <row r="50" spans="3:3">
      <c r="C50" s="4"/>
    </row>
    <row r="51" spans="3:3">
      <c r="C51" s="4"/>
    </row>
    <row r="52" spans="3:3">
      <c r="C52" s="4"/>
    </row>
    <row r="53" spans="3:3">
      <c r="C53" s="4"/>
    </row>
    <row r="54" spans="3:3">
      <c r="C54" s="4"/>
    </row>
    <row r="55" spans="3:3">
      <c r="C55" s="4"/>
    </row>
    <row r="56" spans="3:3">
      <c r="C56" s="4"/>
    </row>
    <row r="57" spans="3:3">
      <c r="C57" s="4"/>
    </row>
    <row r="58" spans="3:3">
      <c r="C58" s="4"/>
    </row>
    <row r="59" spans="3:3">
      <c r="C59" s="4"/>
    </row>
    <row r="60" spans="3:3">
      <c r="C60" s="4"/>
    </row>
    <row r="61" spans="3:3">
      <c r="C61" s="4"/>
    </row>
    <row r="62" spans="3:3">
      <c r="C62" s="4"/>
    </row>
    <row r="63" spans="3:3">
      <c r="C63" s="4"/>
    </row>
    <row r="64" spans="3:3">
      <c r="C64" s="4"/>
    </row>
    <row r="65" spans="3:3">
      <c r="C65" s="4"/>
    </row>
    <row r="66" spans="3:3">
      <c r="C66" s="4"/>
    </row>
    <row r="67" spans="3:3">
      <c r="C67" s="4"/>
    </row>
    <row r="68" spans="3:3">
      <c r="C68" s="4"/>
    </row>
    <row r="69" spans="3:3">
      <c r="C69" s="4"/>
    </row>
    <row r="70" spans="3:3">
      <c r="C70" s="4"/>
    </row>
    <row r="71" spans="3:3">
      <c r="C71" s="4"/>
    </row>
    <row r="72" spans="3:3">
      <c r="C72" s="4"/>
    </row>
    <row r="73" spans="3:3">
      <c r="C73" s="4"/>
    </row>
    <row r="74" spans="3:3">
      <c r="C74" s="4"/>
    </row>
    <row r="75" spans="3:3">
      <c r="C75" s="4"/>
    </row>
    <row r="76" spans="3:3">
      <c r="C76" s="4"/>
    </row>
    <row r="77" spans="3:3">
      <c r="C77" s="4"/>
    </row>
    <row r="78" spans="3:3">
      <c r="C78" s="4"/>
    </row>
    <row r="79" spans="3:3">
      <c r="C79" s="4"/>
    </row>
    <row r="80" spans="3:3">
      <c r="C80" s="4"/>
    </row>
    <row r="81" spans="3:3">
      <c r="C81" s="4"/>
    </row>
    <row r="82" spans="3:3">
      <c r="C82" s="4"/>
    </row>
    <row r="83" spans="3:3">
      <c r="C83" s="4"/>
    </row>
    <row r="84" spans="3:3">
      <c r="C84" s="4"/>
    </row>
    <row r="85" spans="3:3">
      <c r="C85" s="4"/>
    </row>
    <row r="86" spans="3:3">
      <c r="C86" s="4"/>
    </row>
    <row r="87" spans="3:3">
      <c r="C87" s="4"/>
    </row>
    <row r="88" spans="3:3">
      <c r="C88" s="4"/>
    </row>
    <row r="89" spans="3:3">
      <c r="C89" s="4"/>
    </row>
    <row r="90" spans="3:3">
      <c r="C90" s="4"/>
    </row>
    <row r="91" spans="3:3">
      <c r="C91" s="4"/>
    </row>
    <row r="92" spans="3:3">
      <c r="C92" s="4"/>
    </row>
    <row r="93" spans="3:3">
      <c r="C93" s="4"/>
    </row>
    <row r="94" spans="3:3">
      <c r="C94" s="4"/>
    </row>
    <row r="95" spans="3:3">
      <c r="C95" s="4"/>
    </row>
    <row r="96" spans="3:3">
      <c r="C96" s="4"/>
    </row>
    <row r="97" spans="3:3">
      <c r="C97" s="4"/>
    </row>
    <row r="98" spans="3:3">
      <c r="C98" s="4"/>
    </row>
    <row r="99" spans="3:3">
      <c r="C99" s="4"/>
    </row>
    <row r="100" spans="3:3">
      <c r="C100" s="4"/>
    </row>
    <row r="101" spans="3:3">
      <c r="C101" s="4"/>
    </row>
    <row r="102" spans="3:3">
      <c r="C102" s="4"/>
    </row>
    <row r="103" spans="3:3">
      <c r="C103" s="4"/>
    </row>
    <row r="104" spans="3:3">
      <c r="C104" s="4"/>
    </row>
    <row r="105" spans="3:3">
      <c r="C105" s="4"/>
    </row>
    <row r="106" spans="3:3">
      <c r="C106" s="4"/>
    </row>
    <row r="107" spans="3:3">
      <c r="C107" s="4"/>
    </row>
    <row r="108" spans="3:3">
      <c r="C108" s="4"/>
    </row>
    <row r="109" spans="3:3">
      <c r="C109" s="4"/>
    </row>
    <row r="110" spans="3:3">
      <c r="C110" s="4"/>
    </row>
    <row r="111" spans="3:3">
      <c r="C111" s="4"/>
    </row>
    <row r="112" spans="3:3">
      <c r="C112" s="4"/>
    </row>
    <row r="113" spans="3:3">
      <c r="C113" s="4"/>
    </row>
    <row r="114" spans="3:3">
      <c r="C114" s="4"/>
    </row>
    <row r="115" spans="3:3">
      <c r="C115" s="4"/>
    </row>
    <row r="116" spans="3:3">
      <c r="C116" s="4"/>
    </row>
    <row r="117" spans="3:3">
      <c r="C117" s="4"/>
    </row>
    <row r="118" spans="3:3">
      <c r="C118" s="4"/>
    </row>
    <row r="119" spans="3:3">
      <c r="C119" s="4"/>
    </row>
    <row r="120" spans="3:3">
      <c r="C120" s="4"/>
    </row>
    <row r="121" spans="3:3">
      <c r="C121" s="4"/>
    </row>
    <row r="122" spans="3:3">
      <c r="C122" s="4"/>
    </row>
    <row r="123" spans="3:3">
      <c r="C123" s="4"/>
    </row>
    <row r="124" spans="3:3">
      <c r="C124" s="4"/>
    </row>
    <row r="125" spans="3:3">
      <c r="C125" s="4"/>
    </row>
    <row r="126" spans="3:3">
      <c r="C126" s="4"/>
    </row>
    <row r="127" spans="3:3">
      <c r="C127" s="4"/>
    </row>
    <row r="128" spans="3:3">
      <c r="C128" s="4"/>
    </row>
    <row r="129" spans="3:3">
      <c r="C129" s="4"/>
    </row>
    <row r="130" spans="3:3">
      <c r="C130" s="4"/>
    </row>
    <row r="131" spans="3:3">
      <c r="C131" s="4"/>
    </row>
    <row r="132" spans="3:3">
      <c r="C132" s="4"/>
    </row>
    <row r="133" spans="3:3">
      <c r="C133" s="4"/>
    </row>
    <row r="134" spans="3:3">
      <c r="C134" s="4"/>
    </row>
    <row r="135" spans="3:3">
      <c r="C135" s="4"/>
    </row>
    <row r="136" spans="3:3">
      <c r="C136" s="4"/>
    </row>
    <row r="137" spans="3:3">
      <c r="C137" s="4"/>
    </row>
    <row r="138" spans="3:3">
      <c r="C138" s="4"/>
    </row>
    <row r="139" spans="3:3">
      <c r="C139" s="4"/>
    </row>
    <row r="140" spans="3:3">
      <c r="C140" s="4"/>
    </row>
    <row r="141" spans="3:3">
      <c r="C141" s="4"/>
    </row>
    <row r="142" spans="3:3">
      <c r="C142" s="4"/>
    </row>
    <row r="143" spans="3:3">
      <c r="C143" s="4"/>
    </row>
    <row r="144" spans="3:3">
      <c r="C144" s="4"/>
    </row>
    <row r="145" spans="3:3">
      <c r="C145" s="4"/>
    </row>
    <row r="146" spans="3:3">
      <c r="C146" s="4"/>
    </row>
    <row r="147" spans="3:3">
      <c r="C147" s="4"/>
    </row>
    <row r="148" spans="3:3">
      <c r="C148" s="4"/>
    </row>
    <row r="149" spans="3:3">
      <c r="C149" s="4"/>
    </row>
    <row r="150" spans="3:3">
      <c r="C150" s="4"/>
    </row>
    <row r="151" spans="3:3">
      <c r="C151" s="4"/>
    </row>
    <row r="152" spans="3:3">
      <c r="C152" s="4"/>
    </row>
    <row r="153" spans="3:3">
      <c r="C153" s="4"/>
    </row>
    <row r="154" spans="3:3">
      <c r="C154" s="4"/>
    </row>
    <row r="155" spans="3:3">
      <c r="C155" s="4"/>
    </row>
    <row r="156" spans="3:3">
      <c r="C156" s="4"/>
    </row>
    <row r="157" spans="3:3">
      <c r="C157" s="4"/>
    </row>
    <row r="158" spans="3:3">
      <c r="C158" s="4"/>
    </row>
    <row r="160" spans="3:3">
      <c r="C160" s="39"/>
    </row>
    <row r="161" spans="3:3">
      <c r="C161" s="39"/>
    </row>
    <row r="162" spans="3:3">
      <c r="C162" s="39"/>
    </row>
    <row r="163" spans="3:3">
      <c r="C163" s="39"/>
    </row>
    <row r="164" spans="3:3">
      <c r="C164" s="39"/>
    </row>
    <row r="165" spans="3:3">
      <c r="C165" s="39"/>
    </row>
    <row r="166" spans="3:3">
      <c r="C166" s="39"/>
    </row>
    <row r="167" spans="3:3">
      <c r="C167" s="39"/>
    </row>
    <row r="168" spans="3:3">
      <c r="C168" s="39"/>
    </row>
    <row r="169" spans="3:3">
      <c r="C169" s="39"/>
    </row>
    <row r="170" spans="3:3">
      <c r="C170" s="39"/>
    </row>
    <row r="171" spans="3:3">
      <c r="C171" s="39"/>
    </row>
    <row r="172" spans="3:3">
      <c r="C172" s="39"/>
    </row>
    <row r="173" spans="3:3">
      <c r="C173" s="39"/>
    </row>
    <row r="174" spans="3:3">
      <c r="C174" s="39"/>
    </row>
    <row r="175" spans="3:3">
      <c r="C175" s="39"/>
    </row>
    <row r="176" spans="3:3">
      <c r="C176" s="39"/>
    </row>
    <row r="177" spans="3:3">
      <c r="C177" s="39"/>
    </row>
    <row r="178" spans="3:3">
      <c r="C178" s="39"/>
    </row>
    <row r="179" spans="3:3">
      <c r="C179" s="39"/>
    </row>
    <row r="180" spans="3:3">
      <c r="C180" s="39"/>
    </row>
    <row r="181" spans="3:3">
      <c r="C181" s="39"/>
    </row>
    <row r="182" spans="3:3">
      <c r="C182" s="39"/>
    </row>
    <row r="183" spans="3:3">
      <c r="C183" s="39"/>
    </row>
    <row r="184" spans="3:3">
      <c r="C184" s="39"/>
    </row>
    <row r="185" spans="3:3">
      <c r="C185" s="39"/>
    </row>
    <row r="186" spans="3:3">
      <c r="C186" s="39"/>
    </row>
    <row r="187" spans="3:3">
      <c r="C187" s="39"/>
    </row>
    <row r="188" spans="3:3">
      <c r="C188" s="39"/>
    </row>
    <row r="189" spans="3:3">
      <c r="C189" s="39"/>
    </row>
    <row r="190" spans="3:3">
      <c r="C190" s="39"/>
    </row>
    <row r="191" spans="3:3">
      <c r="C191" s="39"/>
    </row>
    <row r="192" spans="3:3">
      <c r="C192" s="39"/>
    </row>
    <row r="193" spans="3:3">
      <c r="C193" s="39"/>
    </row>
    <row r="194" spans="3:3">
      <c r="C194" s="39"/>
    </row>
    <row r="195" spans="3:3">
      <c r="C195" s="39"/>
    </row>
    <row r="196" spans="3:3">
      <c r="C196" s="39"/>
    </row>
    <row r="197" spans="3:3">
      <c r="C197" s="39"/>
    </row>
    <row r="198" spans="3:3">
      <c r="C198" s="39"/>
    </row>
    <row r="199" spans="3:3">
      <c r="C199" s="39"/>
    </row>
    <row r="200" spans="3:3">
      <c r="C200" s="39"/>
    </row>
    <row r="201" spans="3:3">
      <c r="C201" s="39"/>
    </row>
    <row r="202" spans="3:3">
      <c r="C202" s="39"/>
    </row>
    <row r="203" spans="3:3">
      <c r="C203" s="39"/>
    </row>
    <row r="204" spans="3:3">
      <c r="C204" s="39"/>
    </row>
    <row r="205" spans="3:3">
      <c r="C205" s="39"/>
    </row>
    <row r="206" spans="3:3">
      <c r="C206" s="39"/>
    </row>
    <row r="207" spans="3:3">
      <c r="C207" s="39"/>
    </row>
    <row r="208" spans="3:3">
      <c r="C208" s="39"/>
    </row>
    <row r="209" spans="3:3">
      <c r="C209" s="39"/>
    </row>
    <row r="210" spans="3:3">
      <c r="C210" s="39"/>
    </row>
    <row r="211" spans="3:3">
      <c r="C211" s="39"/>
    </row>
    <row r="212" spans="3:3">
      <c r="C212" s="39"/>
    </row>
    <row r="213" spans="3:3">
      <c r="C213" s="39"/>
    </row>
    <row r="214" spans="3:3">
      <c r="C214" s="39"/>
    </row>
    <row r="215" spans="3:3">
      <c r="C215" s="39"/>
    </row>
    <row r="216" spans="3:3">
      <c r="C216" s="39"/>
    </row>
    <row r="217" spans="3:3">
      <c r="C217" s="39"/>
    </row>
    <row r="218" spans="3:3">
      <c r="C218" s="39"/>
    </row>
    <row r="219" spans="3:3">
      <c r="C219" s="39"/>
    </row>
    <row r="220" spans="3:3">
      <c r="C220" s="39"/>
    </row>
    <row r="221" spans="3:3">
      <c r="C221" s="39"/>
    </row>
    <row r="222" spans="3:3">
      <c r="C222" s="39"/>
    </row>
    <row r="223" spans="3:3">
      <c r="C223" s="39"/>
    </row>
    <row r="224" spans="3:3">
      <c r="C224" s="39"/>
    </row>
    <row r="225" spans="3:3">
      <c r="C225" s="39"/>
    </row>
    <row r="226" spans="3:3">
      <c r="C226" s="39"/>
    </row>
    <row r="227" spans="3:3">
      <c r="C227" s="39"/>
    </row>
    <row r="228" spans="3:3">
      <c r="C228" s="39"/>
    </row>
    <row r="229" spans="3:3">
      <c r="C229" s="39"/>
    </row>
    <row r="230" spans="3:3">
      <c r="C230" s="39"/>
    </row>
    <row r="231" spans="3:3">
      <c r="C231" s="39"/>
    </row>
    <row r="232" spans="3:3">
      <c r="C232" s="39"/>
    </row>
    <row r="233" spans="3:3">
      <c r="C233" s="39"/>
    </row>
    <row r="234" spans="3:3">
      <c r="C234" s="39"/>
    </row>
    <row r="235" spans="3:3">
      <c r="C235" s="39"/>
    </row>
    <row r="236" spans="3:3">
      <c r="C236" s="39"/>
    </row>
    <row r="237" spans="3:3">
      <c r="C237" s="39"/>
    </row>
    <row r="238" spans="3:3">
      <c r="C238" s="39"/>
    </row>
    <row r="239" spans="3:3">
      <c r="C239" s="39"/>
    </row>
    <row r="240" spans="3:3">
      <c r="C240" s="39"/>
    </row>
    <row r="241" spans="3:3">
      <c r="C241" s="39"/>
    </row>
    <row r="242" spans="3:3">
      <c r="C242" s="39"/>
    </row>
    <row r="243" spans="3:3">
      <c r="C243" s="39"/>
    </row>
    <row r="244" spans="3:3">
      <c r="C244" s="39"/>
    </row>
    <row r="245" spans="3:3">
      <c r="C245" s="39"/>
    </row>
    <row r="246" spans="3:3">
      <c r="C246" s="39"/>
    </row>
    <row r="247" spans="3:3">
      <c r="C247" s="39"/>
    </row>
    <row r="248" spans="3:3">
      <c r="C248" s="39"/>
    </row>
    <row r="249" spans="3:3">
      <c r="C249" s="39"/>
    </row>
    <row r="250" spans="3:3">
      <c r="C250" s="39"/>
    </row>
    <row r="251" spans="3:3">
      <c r="C251" s="39"/>
    </row>
    <row r="252" spans="3:3">
      <c r="C252" s="39"/>
    </row>
    <row r="253" spans="3:3">
      <c r="C253" s="39"/>
    </row>
    <row r="254" spans="3:3">
      <c r="C254" s="39"/>
    </row>
    <row r="255" spans="3:3">
      <c r="C255" s="39"/>
    </row>
    <row r="256" spans="3:3">
      <c r="C256" s="39"/>
    </row>
    <row r="257" spans="3:3">
      <c r="C257" s="39"/>
    </row>
    <row r="258" spans="3:3">
      <c r="C258" s="39"/>
    </row>
    <row r="259" spans="3:3">
      <c r="C259" s="39"/>
    </row>
    <row r="260" spans="3:3">
      <c r="C260" s="39"/>
    </row>
    <row r="261" spans="3:3">
      <c r="C261" s="39"/>
    </row>
    <row r="262" spans="3:3">
      <c r="C262" s="39"/>
    </row>
    <row r="263" spans="3:3">
      <c r="C263" s="39"/>
    </row>
    <row r="264" spans="3:3">
      <c r="C264" s="39"/>
    </row>
    <row r="265" spans="3:3">
      <c r="C265" s="39"/>
    </row>
    <row r="266" spans="3:3">
      <c r="C266" s="39"/>
    </row>
    <row r="267" spans="3:3">
      <c r="C267" s="39"/>
    </row>
    <row r="268" spans="3:3">
      <c r="C268" s="39"/>
    </row>
    <row r="269" spans="3:3">
      <c r="C269" s="39"/>
    </row>
    <row r="270" spans="3:3">
      <c r="C270" s="39"/>
    </row>
    <row r="271" spans="3:3">
      <c r="C271" s="39"/>
    </row>
    <row r="272" spans="3:3">
      <c r="C272" s="39"/>
    </row>
    <row r="273" spans="3:3">
      <c r="C273" s="39"/>
    </row>
    <row r="274" spans="3:3">
      <c r="C274" s="39"/>
    </row>
    <row r="275" spans="3:3">
      <c r="C275" s="39"/>
    </row>
    <row r="276" spans="3:3">
      <c r="C276" s="39"/>
    </row>
    <row r="277" spans="3:3">
      <c r="C277" s="39"/>
    </row>
    <row r="278" spans="3:3">
      <c r="C278" s="39"/>
    </row>
    <row r="279" spans="3:3">
      <c r="C279" s="39"/>
    </row>
    <row r="280" spans="3:3">
      <c r="C280" s="39"/>
    </row>
    <row r="281" spans="3:3">
      <c r="C281" s="39"/>
    </row>
    <row r="282" spans="3:3">
      <c r="C282" s="39"/>
    </row>
    <row r="283" spans="3:3">
      <c r="C283" s="39"/>
    </row>
    <row r="284" spans="3:3">
      <c r="C284" s="39"/>
    </row>
    <row r="285" spans="3:3">
      <c r="C285" s="39"/>
    </row>
    <row r="286" spans="3:3">
      <c r="C286" s="39"/>
    </row>
    <row r="287" spans="3:3">
      <c r="C287" s="39"/>
    </row>
    <row r="288" spans="3:3">
      <c r="C288" s="39"/>
    </row>
    <row r="289" spans="3:3">
      <c r="C289" s="39"/>
    </row>
    <row r="290" spans="3:3">
      <c r="C290" s="39"/>
    </row>
    <row r="291" spans="3:3">
      <c r="C291" s="39"/>
    </row>
    <row r="292" spans="3:3">
      <c r="C292" s="39"/>
    </row>
    <row r="293" spans="3:3">
      <c r="C293" s="39"/>
    </row>
    <row r="294" spans="3:3">
      <c r="C294" s="39"/>
    </row>
    <row r="295" spans="3:3">
      <c r="C295" s="39"/>
    </row>
    <row r="296" spans="3:3">
      <c r="C296" s="39"/>
    </row>
    <row r="297" spans="3:3">
      <c r="C297" s="39"/>
    </row>
    <row r="298" spans="3:3">
      <c r="C298" s="39"/>
    </row>
    <row r="299" spans="3:3">
      <c r="C299" s="39"/>
    </row>
    <row r="300" spans="3:3">
      <c r="C300" s="39"/>
    </row>
    <row r="301" spans="3:3">
      <c r="C301" s="39"/>
    </row>
    <row r="302" spans="3:3">
      <c r="C302" s="39"/>
    </row>
    <row r="303" spans="3:3">
      <c r="C303" s="97"/>
    </row>
    <row r="304" spans="3:3">
      <c r="C304" s="17"/>
    </row>
    <row r="305" spans="3:3">
      <c r="C305" s="17"/>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1" formatCode="\*\*0.0%"/>
            </x14:dxf>
          </x14:cfRule>
          <x14:cfRule type="expression" priority="4" id="{CA20275E-04DD-48C1-9B3E-42A6C59ECCBC}">
            <xm:f>B27&lt;'27'!$C$103</xm:f>
            <x14:dxf>
              <font>
                <color rgb="FF00B050"/>
              </font>
              <numFmt numFmtId="170"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69" formatCode="\*\*#,###,###,##0"/>
            </x14:dxf>
          </x14:cfRule>
          <x14:cfRule type="expression" priority="2" id="{2DFA176C-A0F7-409B-931F-AD8CCB9B20A8}">
            <xm:f>B27&lt;'27'!$C$103</xm:f>
            <x14:dxf>
              <font>
                <color rgb="FF00B050"/>
              </font>
              <numFmt numFmtId="168"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2"/>
  <sheetViews>
    <sheetView workbookViewId="0">
      <pane xSplit="1" ySplit="14" topLeftCell="B15" activePane="bottomRight" state="frozen"/>
      <selection pane="bottomRight"/>
      <selection pane="bottomLeft" activeCell="A15" sqref="A15"/>
      <selection pane="topRight" activeCell="B1" sqref="B1"/>
    </sheetView>
  </sheetViews>
  <sheetFormatPr defaultColWidth="8.85546875" defaultRowHeight="1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5">
      <c r="A1" s="24"/>
      <c r="B1" s="24"/>
      <c r="C1" s="24"/>
      <c r="D1" s="24"/>
      <c r="E1" s="24"/>
    </row>
    <row r="2" spans="1:5">
      <c r="A2" s="24"/>
      <c r="B2" s="24"/>
      <c r="C2" s="24"/>
      <c r="D2" s="24"/>
      <c r="E2" s="24"/>
    </row>
    <row r="3" spans="1:5">
      <c r="A3" s="24"/>
      <c r="B3" s="24"/>
      <c r="C3" s="24"/>
      <c r="D3" s="24"/>
      <c r="E3" s="24"/>
    </row>
    <row r="4" spans="1:5">
      <c r="A4" s="24"/>
      <c r="B4" s="24"/>
      <c r="C4" s="24"/>
      <c r="D4" s="24"/>
      <c r="E4" s="24"/>
    </row>
    <row r="5" spans="1:5">
      <c r="A5" s="24"/>
      <c r="B5" s="24"/>
      <c r="C5" s="24"/>
      <c r="D5" s="24"/>
      <c r="E5" s="24"/>
    </row>
    <row r="6" spans="1:5">
      <c r="A6" s="24"/>
      <c r="B6" s="24"/>
      <c r="C6" s="24"/>
      <c r="D6" s="24"/>
      <c r="E6" s="24"/>
    </row>
    <row r="7" spans="1:5">
      <c r="A7" s="24"/>
      <c r="B7" s="24"/>
      <c r="C7" s="24"/>
      <c r="D7" s="24"/>
      <c r="E7" s="24"/>
    </row>
    <row r="8" spans="1:5">
      <c r="A8" s="25" t="str">
        <f>Index!A8</f>
        <v>AusPlay survey results July 2024 - June 2025</v>
      </c>
      <c r="B8" s="24"/>
      <c r="C8" s="24"/>
      <c r="D8" s="24"/>
      <c r="E8" s="24"/>
    </row>
    <row r="9" spans="1:5">
      <c r="A9" s="24" t="s">
        <v>1</v>
      </c>
      <c r="B9" s="133" t="s">
        <v>2</v>
      </c>
      <c r="C9" s="24"/>
      <c r="D9" s="24"/>
      <c r="E9" s="24"/>
    </row>
    <row r="10" spans="1:5">
      <c r="A10" s="24" t="s">
        <v>40</v>
      </c>
      <c r="B10" s="26">
        <v>24</v>
      </c>
      <c r="C10" s="24"/>
      <c r="D10" s="24"/>
      <c r="E10" s="24"/>
    </row>
    <row r="11" spans="1:5">
      <c r="A11" s="24" t="s">
        <v>3</v>
      </c>
      <c r="B11" s="25" t="s">
        <v>412</v>
      </c>
      <c r="C11" s="24"/>
      <c r="D11" s="24"/>
      <c r="E11" s="24"/>
    </row>
    <row r="12" spans="1:5">
      <c r="A12" s="109" t="s">
        <v>41</v>
      </c>
      <c r="B12" s="110" t="s">
        <v>42</v>
      </c>
      <c r="C12" s="109"/>
      <c r="D12" s="109"/>
      <c r="E12" s="109"/>
    </row>
    <row r="13" spans="1:5" s="6" customFormat="1" ht="50.1" customHeight="1">
      <c r="A13" s="36"/>
      <c r="B13" s="55" t="s">
        <v>393</v>
      </c>
      <c r="C13" s="55" t="s">
        <v>394</v>
      </c>
      <c r="D13" s="55" t="s">
        <v>413</v>
      </c>
      <c r="E13" s="55" t="s">
        <v>397</v>
      </c>
    </row>
    <row r="14" spans="1:5">
      <c r="A14" s="57"/>
      <c r="B14" s="160" t="s">
        <v>135</v>
      </c>
      <c r="C14" s="160"/>
      <c r="D14" s="160"/>
      <c r="E14" s="160"/>
    </row>
    <row r="15" spans="1:5">
      <c r="A15" s="29" t="s">
        <v>248</v>
      </c>
      <c r="B15" s="4">
        <v>6.1772960328140896E-3</v>
      </c>
      <c r="C15" s="10">
        <v>1.0191300575397261E-2</v>
      </c>
      <c r="D15" s="4">
        <v>3.3533401259302656E-3</v>
      </c>
      <c r="E15" s="4">
        <v>3.588401551655906E-3</v>
      </c>
    </row>
    <row r="16" spans="1:5">
      <c r="A16" s="29" t="s">
        <v>251</v>
      </c>
      <c r="B16" s="4">
        <v>6.6267263310077632E-3</v>
      </c>
      <c r="C16" s="10">
        <v>6.6954179802694094E-3</v>
      </c>
      <c r="D16" s="4">
        <v>1.9332565209648012E-3</v>
      </c>
      <c r="E16" s="4">
        <v>5.0145913896664637E-3</v>
      </c>
    </row>
    <row r="17" spans="1:12">
      <c r="A17" s="29" t="s">
        <v>288</v>
      </c>
      <c r="B17" s="4">
        <v>4.3400681878085975E-3</v>
      </c>
      <c r="C17" s="10">
        <v>2.9425981340204261E-3</v>
      </c>
      <c r="D17" s="4">
        <v>2.0131970060336258E-3</v>
      </c>
      <c r="E17" s="4">
        <v>2.4939089821296892E-3</v>
      </c>
      <c r="G17" s="105" t="s">
        <v>137</v>
      </c>
    </row>
    <row r="18" spans="1:12">
      <c r="A18" s="29" t="s">
        <v>269</v>
      </c>
      <c r="B18" s="4">
        <v>3.2582911213706318E-3</v>
      </c>
      <c r="C18" s="10">
        <v>4.4317362994196205E-3</v>
      </c>
      <c r="D18" s="4">
        <v>3.3588689609880358E-3</v>
      </c>
      <c r="E18" s="4">
        <v>1.8885230142634802E-3</v>
      </c>
    </row>
    <row r="19" spans="1:12">
      <c r="A19" s="29" t="s">
        <v>324</v>
      </c>
      <c r="B19" s="4">
        <v>2.7866453777993325E-3</v>
      </c>
      <c r="C19" s="10">
        <v>4.0695838468311936E-3</v>
      </c>
      <c r="D19" s="4">
        <v>1.9702138419502163E-3</v>
      </c>
      <c r="E19" s="4">
        <v>2.741072739073628E-3</v>
      </c>
    </row>
    <row r="20" spans="1:12">
      <c r="A20" s="132"/>
      <c r="B20" s="159" t="s">
        <v>408</v>
      </c>
      <c r="C20" s="159"/>
      <c r="D20" s="159"/>
      <c r="E20" s="159"/>
    </row>
    <row r="21" spans="1:12">
      <c r="A21" s="29" t="s">
        <v>248</v>
      </c>
      <c r="B21" s="11">
        <v>35627.591092112576</v>
      </c>
      <c r="C21" s="11">
        <v>58778.385829059545</v>
      </c>
      <c r="D21" s="11">
        <v>19340.408839851443</v>
      </c>
      <c r="E21" s="11">
        <v>20696.126991093581</v>
      </c>
      <c r="I21" s="38"/>
      <c r="J21" s="38"/>
      <c r="K21" s="38"/>
      <c r="L21" s="38"/>
    </row>
    <row r="22" spans="1:12">
      <c r="A22" s="29" t="s">
        <v>251</v>
      </c>
      <c r="B22" s="11">
        <v>38219.682972345196</v>
      </c>
      <c r="C22" s="11">
        <v>38615.8624622606</v>
      </c>
      <c r="D22" s="11">
        <v>11150.068321028295</v>
      </c>
      <c r="E22" s="11">
        <v>28921.685244810458</v>
      </c>
      <c r="I22" s="38"/>
      <c r="J22" s="38"/>
      <c r="K22" s="38"/>
      <c r="L22" s="38"/>
    </row>
    <row r="23" spans="1:12">
      <c r="A23" s="29" t="s">
        <v>288</v>
      </c>
      <c r="B23" s="11">
        <v>25031.368722779236</v>
      </c>
      <c r="C23" s="11">
        <v>16971.451992974035</v>
      </c>
      <c r="D23" s="11">
        <v>11611.125537423308</v>
      </c>
      <c r="E23" s="11">
        <v>14383.634678389612</v>
      </c>
      <c r="I23" s="38"/>
      <c r="J23" s="38"/>
      <c r="K23" s="38"/>
      <c r="L23" s="38"/>
    </row>
    <row r="24" spans="1:12">
      <c r="A24" s="29" t="s">
        <v>269</v>
      </c>
      <c r="B24" s="11">
        <v>18792.213148698804</v>
      </c>
      <c r="C24" s="11">
        <v>25560.065094025646</v>
      </c>
      <c r="D24" s="11">
        <v>19372.2964284675</v>
      </c>
      <c r="E24" s="11">
        <v>10892.067558816983</v>
      </c>
      <c r="I24" s="38"/>
      <c r="J24" s="38"/>
      <c r="K24" s="38"/>
      <c r="L24" s="38"/>
    </row>
    <row r="25" spans="1:12">
      <c r="A25" s="29" t="s">
        <v>324</v>
      </c>
      <c r="B25" s="11">
        <v>16071.993556982279</v>
      </c>
      <c r="C25" s="11">
        <v>23471.348700107199</v>
      </c>
      <c r="D25" s="11">
        <v>11363.219886524581</v>
      </c>
      <c r="E25" s="11">
        <v>15809.153095899776</v>
      </c>
      <c r="I25" s="38"/>
      <c r="J25" s="38"/>
      <c r="K25" s="38"/>
      <c r="L25" s="38"/>
    </row>
    <row r="26" spans="1:12">
      <c r="A26" s="111"/>
      <c r="B26" s="100"/>
      <c r="C26" s="100"/>
      <c r="D26" s="100"/>
      <c r="E26" s="100"/>
    </row>
    <row r="27" spans="1:12">
      <c r="A27" s="16" t="s">
        <v>403</v>
      </c>
    </row>
    <row r="28" spans="1:12">
      <c r="A28" s="21" t="s">
        <v>414</v>
      </c>
    </row>
    <row r="29" spans="1:12">
      <c r="A29" s="16" t="s">
        <v>409</v>
      </c>
    </row>
    <row r="30" spans="1:12">
      <c r="A30" s="16" t="s">
        <v>112</v>
      </c>
    </row>
    <row r="31" spans="1:12">
      <c r="A31" s="16" t="s">
        <v>113</v>
      </c>
    </row>
    <row r="32" spans="1:12">
      <c r="A32" s="16"/>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9A075E2E-F521-4702-B105-753147BB0AA8}">
            <xm:f>B21&lt;'27'!$C$104</xm:f>
            <x14:dxf>
              <font>
                <color rgb="FFFF0000"/>
              </font>
              <numFmt numFmtId="171" formatCode="\*\*0.0%"/>
            </x14:dxf>
          </x14:cfRule>
          <x14:cfRule type="expression" priority="4" id="{F83F329A-9603-4208-B4B1-20A622EAC851}">
            <xm:f>B21&lt;'27'!$C$103</xm:f>
            <x14:dxf>
              <font>
                <color rgb="FF00B050"/>
              </font>
              <numFmt numFmtId="170" formatCode="\*0.0%"/>
            </x14:dxf>
          </x14:cfRule>
          <xm:sqref>B15:E19</xm:sqref>
        </x14:conditionalFormatting>
        <x14:conditionalFormatting xmlns:xm="http://schemas.microsoft.com/office/excel/2006/main">
          <x14:cfRule type="expression" priority="295" id="{9A075E2E-F521-4702-B105-753147BB0AA8}">
            <xm:f>B23&lt;'27'!$C$104</xm:f>
            <x14:dxf>
              <font>
                <color rgb="FFFF0000"/>
              </font>
              <numFmt numFmtId="171" formatCode="\*\*0.0%"/>
            </x14:dxf>
          </x14:cfRule>
          <x14:cfRule type="expression" priority="296" id="{F83F329A-9603-4208-B4B1-20A622EAC851}">
            <xm:f>B23&lt;'27'!$C$103</xm:f>
            <x14:dxf>
              <font>
                <color rgb="FF00B050"/>
              </font>
              <numFmt numFmtId="170" formatCode="\*0.0%"/>
            </x14:dxf>
          </x14:cfRule>
          <xm:sqref>B17:E19</xm:sqref>
        </x14:conditionalFormatting>
        <x14:conditionalFormatting xmlns:xm="http://schemas.microsoft.com/office/excel/2006/main">
          <x14:cfRule type="expression" priority="1" id="{2ED485BF-21F7-4654-8527-D9667D299170}">
            <xm:f>B21&lt;'27'!$C$104</xm:f>
            <x14:dxf>
              <font>
                <color rgb="FFFF0000"/>
              </font>
              <numFmt numFmtId="169" formatCode="\*\*#,###,###,##0"/>
            </x14:dxf>
          </x14:cfRule>
          <x14:cfRule type="expression" priority="2" id="{705E030A-B518-4B87-9E03-C0A2213F2928}">
            <xm:f>B21&lt;'27'!$C$103</xm:f>
            <x14:dxf>
              <font>
                <color rgb="FF00B050"/>
              </font>
              <numFmt numFmtId="168" formatCode="\*#,###,###,##0"/>
            </x14:dxf>
          </x14:cfRule>
          <xm:sqref>B21:E25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24"/>
      <c r="B1" s="24"/>
      <c r="C1" s="24"/>
      <c r="D1" s="24"/>
      <c r="E1" s="24"/>
      <c r="F1" s="24"/>
      <c r="G1" s="24"/>
      <c r="H1" s="24"/>
      <c r="I1" s="24"/>
    </row>
    <row r="2" spans="1:9">
      <c r="A2" s="24"/>
      <c r="B2" s="24"/>
      <c r="C2" s="24"/>
      <c r="D2" s="24"/>
      <c r="E2" s="24"/>
      <c r="F2" s="24"/>
      <c r="G2" s="24"/>
      <c r="H2" s="24"/>
      <c r="I2" s="24"/>
    </row>
    <row r="3" spans="1:9">
      <c r="A3" s="24"/>
      <c r="B3" s="24"/>
      <c r="C3" s="24"/>
      <c r="D3" s="24"/>
      <c r="E3" s="24"/>
      <c r="F3" s="24"/>
      <c r="G3" s="24"/>
      <c r="H3" s="24"/>
      <c r="I3" s="24"/>
    </row>
    <row r="4" spans="1:9">
      <c r="A4" s="24"/>
      <c r="B4" s="24"/>
      <c r="C4" s="24"/>
      <c r="D4" s="24"/>
      <c r="E4" s="24"/>
      <c r="F4" s="24"/>
      <c r="G4" s="24"/>
      <c r="H4" s="24"/>
      <c r="I4" s="24"/>
    </row>
    <row r="5" spans="1:9">
      <c r="A5" s="24"/>
      <c r="B5" s="24"/>
      <c r="C5" s="24"/>
      <c r="D5" s="24"/>
      <c r="E5" s="24"/>
      <c r="F5" s="24"/>
      <c r="G5" s="24"/>
      <c r="H5" s="24"/>
      <c r="I5" s="24"/>
    </row>
    <row r="6" spans="1:9">
      <c r="A6" s="24"/>
      <c r="B6" s="24"/>
      <c r="C6" s="24"/>
      <c r="D6" s="24"/>
      <c r="E6" s="24"/>
      <c r="F6" s="24"/>
      <c r="G6" s="24"/>
      <c r="H6" s="24"/>
      <c r="I6" s="24"/>
    </row>
    <row r="7" spans="1:9">
      <c r="A7" s="24"/>
      <c r="B7" s="24"/>
      <c r="C7" s="24"/>
      <c r="D7" s="24"/>
      <c r="E7" s="24"/>
      <c r="F7" s="24"/>
      <c r="G7" s="24"/>
      <c r="H7" s="24"/>
      <c r="I7" s="24"/>
    </row>
    <row r="8" spans="1:9">
      <c r="A8" s="25" t="str">
        <f>Index!A8</f>
        <v>AusPlay survey results July 2024 - June 2025</v>
      </c>
      <c r="B8" s="24"/>
      <c r="C8" s="24"/>
      <c r="D8" s="24"/>
      <c r="E8" s="24"/>
      <c r="F8" s="24"/>
      <c r="G8" s="24"/>
      <c r="H8" s="24"/>
      <c r="I8" s="24"/>
    </row>
    <row r="9" spans="1:9">
      <c r="A9" s="24" t="s">
        <v>1</v>
      </c>
      <c r="B9" s="24"/>
      <c r="C9" s="133" t="s">
        <v>2</v>
      </c>
      <c r="D9" s="24"/>
      <c r="E9" s="24"/>
      <c r="F9" s="24"/>
      <c r="G9" s="25"/>
      <c r="H9" s="25"/>
      <c r="I9" s="24"/>
    </row>
    <row r="10" spans="1:9">
      <c r="A10" s="24" t="s">
        <v>40</v>
      </c>
      <c r="B10" s="24"/>
      <c r="C10" s="26">
        <v>25</v>
      </c>
      <c r="D10" s="24"/>
      <c r="E10" s="24"/>
      <c r="F10" s="24"/>
      <c r="G10" s="26"/>
      <c r="H10" s="26"/>
      <c r="I10" s="24"/>
    </row>
    <row r="11" spans="1:9">
      <c r="A11" s="24" t="s">
        <v>3</v>
      </c>
      <c r="B11" s="24"/>
      <c r="C11" s="25" t="s">
        <v>35</v>
      </c>
      <c r="D11" s="24"/>
      <c r="E11" s="24"/>
      <c r="F11" s="24"/>
      <c r="G11" s="25"/>
      <c r="H11" s="25"/>
      <c r="I11" s="24"/>
    </row>
    <row r="12" spans="1:9">
      <c r="A12" s="109" t="s">
        <v>41</v>
      </c>
      <c r="B12" s="109"/>
      <c r="C12" s="110" t="s">
        <v>42</v>
      </c>
      <c r="D12" s="109"/>
      <c r="E12" s="109"/>
      <c r="F12" s="109"/>
      <c r="G12" s="110"/>
      <c r="H12" s="110"/>
      <c r="I12" s="109"/>
    </row>
    <row r="13" spans="1:9" ht="24.95" customHeight="1">
      <c r="A13" s="27"/>
      <c r="B13" s="27"/>
      <c r="C13" s="167" t="s">
        <v>415</v>
      </c>
      <c r="D13" s="167"/>
      <c r="E13" s="167"/>
      <c r="F13" s="150"/>
      <c r="G13" s="167" t="s">
        <v>225</v>
      </c>
      <c r="H13" s="167"/>
      <c r="I13" s="167"/>
    </row>
    <row r="14" spans="1:9" ht="24.95" customHeight="1">
      <c r="A14" s="27"/>
      <c r="B14" s="27"/>
      <c r="C14" s="32" t="s">
        <v>48</v>
      </c>
      <c r="D14" s="32" t="s">
        <v>49</v>
      </c>
      <c r="E14" s="32" t="s">
        <v>50</v>
      </c>
      <c r="F14" s="32"/>
      <c r="G14" s="32" t="s">
        <v>51</v>
      </c>
      <c r="H14" s="32" t="s">
        <v>49</v>
      </c>
      <c r="I14" s="32" t="s">
        <v>50</v>
      </c>
    </row>
    <row r="15" spans="1:9">
      <c r="A15" s="152" t="s">
        <v>48</v>
      </c>
      <c r="B15" s="152"/>
      <c r="C15" s="23">
        <v>0.13036017026032129</v>
      </c>
      <c r="D15" s="23">
        <v>0.12265002061787998</v>
      </c>
      <c r="E15" s="23">
        <v>0.13556230413873974</v>
      </c>
      <c r="F15" s="23"/>
      <c r="G15" s="89">
        <v>751853.0463914196</v>
      </c>
      <c r="H15" s="89">
        <v>345049.47268556681</v>
      </c>
      <c r="I15" s="89">
        <v>395241.6269612289</v>
      </c>
    </row>
    <row r="16" spans="1:9">
      <c r="A16" s="29" t="s">
        <v>52</v>
      </c>
      <c r="B16" s="29"/>
      <c r="C16" s="23"/>
      <c r="D16" s="90"/>
      <c r="E16" s="90"/>
      <c r="F16" s="2"/>
      <c r="G16" s="89"/>
      <c r="H16" s="91"/>
      <c r="I16" s="91"/>
    </row>
    <row r="17" spans="1:9">
      <c r="A17" s="29"/>
      <c r="B17" s="29" t="s">
        <v>53</v>
      </c>
      <c r="C17" s="23">
        <v>0.15416531850391693</v>
      </c>
      <c r="D17" s="90">
        <v>0.18014357529883943</v>
      </c>
      <c r="E17" s="90">
        <v>0.11495324041627746</v>
      </c>
      <c r="F17" s="4"/>
      <c r="G17" s="89">
        <v>37109.189075231312</v>
      </c>
      <c r="H17" s="91">
        <v>17824.024084230161</v>
      </c>
      <c r="I17" s="91">
        <v>15908.396820586329</v>
      </c>
    </row>
    <row r="18" spans="1:9">
      <c r="A18" s="29"/>
      <c r="B18" s="29" t="s">
        <v>54</v>
      </c>
      <c r="C18" s="23">
        <v>0.11080141069358471</v>
      </c>
      <c r="D18" s="90">
        <v>0.11866843421544512</v>
      </c>
      <c r="E18" s="90">
        <v>9.9637870358180336E-2</v>
      </c>
      <c r="F18" s="4"/>
      <c r="G18" s="89">
        <v>75187.692104301503</v>
      </c>
      <c r="H18" s="91">
        <v>43276.467904147961</v>
      </c>
      <c r="I18" s="91">
        <v>30323.766036783429</v>
      </c>
    </row>
    <row r="19" spans="1:9">
      <c r="A19" s="29"/>
      <c r="B19" s="29" t="s">
        <v>55</v>
      </c>
      <c r="C19" s="23">
        <v>8.1349084848512346E-2</v>
      </c>
      <c r="D19" s="90">
        <v>7.9792973974276149E-2</v>
      </c>
      <c r="E19" s="90">
        <v>8.3059794019282956E-2</v>
      </c>
      <c r="F19" s="4"/>
      <c r="G19" s="89">
        <v>85945.957872677347</v>
      </c>
      <c r="H19" s="91">
        <v>40340.612835077307</v>
      </c>
      <c r="I19" s="91">
        <v>45159.801366380707</v>
      </c>
    </row>
    <row r="20" spans="1:9">
      <c r="A20" s="29"/>
      <c r="B20" s="29" t="s">
        <v>56</v>
      </c>
      <c r="C20" s="23">
        <v>0.10766611469325717</v>
      </c>
      <c r="D20" s="90">
        <v>0.11204508395528723</v>
      </c>
      <c r="E20" s="90">
        <v>0.10116192284613269</v>
      </c>
      <c r="F20" s="4"/>
      <c r="G20" s="89">
        <v>108227.26840027735</v>
      </c>
      <c r="H20" s="91">
        <v>56745.405506064337</v>
      </c>
      <c r="I20" s="91">
        <v>49858.899097184534</v>
      </c>
    </row>
    <row r="21" spans="1:9">
      <c r="A21" s="29"/>
      <c r="B21" s="29" t="s">
        <v>57</v>
      </c>
      <c r="C21" s="23">
        <v>0.10854520605676905</v>
      </c>
      <c r="D21" s="90">
        <v>9.6746320395077509E-2</v>
      </c>
      <c r="E21" s="90">
        <v>0.12139519271317671</v>
      </c>
      <c r="F21" s="4"/>
      <c r="G21" s="89">
        <v>93646.7398638382</v>
      </c>
      <c r="H21" s="91">
        <v>41146.546801250668</v>
      </c>
      <c r="I21" s="91">
        <v>52500.193062587474</v>
      </c>
    </row>
    <row r="22" spans="1:9">
      <c r="A22" s="29"/>
      <c r="B22" s="29" t="s">
        <v>58</v>
      </c>
      <c r="C22" s="23">
        <v>0.12478979565697527</v>
      </c>
      <c r="D22" s="90">
        <v>0.12674187504889475</v>
      </c>
      <c r="E22" s="90">
        <v>0.12350746296849993</v>
      </c>
      <c r="F22" s="4"/>
      <c r="G22" s="89">
        <v>93105.185532939722</v>
      </c>
      <c r="H22" s="91">
        <v>47008.644697343974</v>
      </c>
      <c r="I22" s="91">
        <v>46096.540835595588</v>
      </c>
    </row>
    <row r="23" spans="1:9">
      <c r="A23" s="29"/>
      <c r="B23" s="29" t="s">
        <v>59</v>
      </c>
      <c r="C23" s="23">
        <v>0.21961533499245622</v>
      </c>
      <c r="D23" s="90">
        <v>0.18230733811314462</v>
      </c>
      <c r="E23" s="90">
        <v>0.24643225836534757</v>
      </c>
      <c r="F23" s="4"/>
      <c r="G23" s="89">
        <v>258631.01354215428</v>
      </c>
      <c r="H23" s="91">
        <v>98707.770857452488</v>
      </c>
      <c r="I23" s="91">
        <v>155394.02974211102</v>
      </c>
    </row>
    <row r="24" spans="1:9">
      <c r="A24" s="29" t="s">
        <v>60</v>
      </c>
      <c r="B24" s="29"/>
      <c r="C24" s="23"/>
      <c r="D24" s="90"/>
      <c r="E24" s="90"/>
      <c r="F24" s="4"/>
      <c r="G24" s="89"/>
      <c r="H24" s="91"/>
      <c r="I24" s="91"/>
    </row>
    <row r="25" spans="1:9">
      <c r="A25" s="29"/>
      <c r="B25" s="29" t="s">
        <v>61</v>
      </c>
      <c r="C25" s="23">
        <v>0.12341537954142166</v>
      </c>
      <c r="D25" s="90">
        <v>0.11159246566431777</v>
      </c>
      <c r="E25" s="90">
        <v>0.13174104124530281</v>
      </c>
      <c r="F25" s="4"/>
      <c r="G25" s="89">
        <v>549294.9456070211</v>
      </c>
      <c r="H25" s="91">
        <v>241867.53228802857</v>
      </c>
      <c r="I25" s="91">
        <v>296957.34143324819</v>
      </c>
    </row>
    <row r="26" spans="1:9">
      <c r="A26" s="29"/>
      <c r="B26" s="29" t="s">
        <v>62</v>
      </c>
      <c r="C26" s="23">
        <v>0.15225892992519224</v>
      </c>
      <c r="D26" s="90">
        <v>0.15839606312473101</v>
      </c>
      <c r="E26" s="90">
        <v>0.14657741669963745</v>
      </c>
      <c r="F26" s="4"/>
      <c r="G26" s="89">
        <v>164565.65397827566</v>
      </c>
      <c r="H26" s="91">
        <v>84194.199576484694</v>
      </c>
      <c r="I26" s="91">
        <v>79279.579542910884</v>
      </c>
    </row>
    <row r="27" spans="1:9">
      <c r="A27" s="29"/>
      <c r="B27" s="29" t="s">
        <v>63</v>
      </c>
      <c r="C27" s="23">
        <v>0.16278693578390901</v>
      </c>
      <c r="D27" s="90">
        <v>0.16981241295660152</v>
      </c>
      <c r="E27" s="90">
        <v>0.15758317755177095</v>
      </c>
      <c r="F27" s="4"/>
      <c r="G27" s="89">
        <v>37992.44680612316</v>
      </c>
      <c r="H27" s="91">
        <v>18987.740821053558</v>
      </c>
      <c r="I27" s="91">
        <v>19004.705985069621</v>
      </c>
    </row>
    <row r="28" spans="1:9">
      <c r="A28" s="29"/>
      <c r="B28" s="29" t="s">
        <v>64</v>
      </c>
      <c r="C28" s="23">
        <v>0</v>
      </c>
      <c r="D28" s="90">
        <v>0</v>
      </c>
      <c r="E28" s="90">
        <v>0</v>
      </c>
      <c r="F28" s="4"/>
      <c r="G28" s="89">
        <v>0</v>
      </c>
      <c r="H28" s="91">
        <v>0</v>
      </c>
      <c r="I28" s="91">
        <v>0</v>
      </c>
    </row>
    <row r="29" spans="1:9">
      <c r="A29" s="29" t="s">
        <v>65</v>
      </c>
      <c r="B29" s="29"/>
      <c r="C29" s="23"/>
      <c r="D29" s="90"/>
      <c r="E29" s="90"/>
      <c r="G29" s="89"/>
      <c r="H29" s="91"/>
      <c r="I29" s="91"/>
    </row>
    <row r="30" spans="1:9">
      <c r="A30" s="29"/>
      <c r="B30" s="29" t="s">
        <v>66</v>
      </c>
      <c r="C30" s="23">
        <v>8.8175047874442983E-2</v>
      </c>
      <c r="D30" s="90">
        <v>8.6542219700439099E-2</v>
      </c>
      <c r="E30" s="90">
        <v>8.9743815029884461E-2</v>
      </c>
      <c r="G30" s="89">
        <v>230220.88212910711</v>
      </c>
      <c r="H30" s="91">
        <v>133493.13462475006</v>
      </c>
      <c r="I30" s="91">
        <v>95104.783707328432</v>
      </c>
    </row>
    <row r="31" spans="1:9">
      <c r="A31" s="29"/>
      <c r="B31" s="29" t="s">
        <v>67</v>
      </c>
      <c r="C31" s="23">
        <v>0.11382477710936792</v>
      </c>
      <c r="D31" s="90">
        <v>0.14145571201447038</v>
      </c>
      <c r="E31" s="90">
        <v>9.6822684061852904E-2</v>
      </c>
      <c r="F31" s="4"/>
      <c r="G31" s="89">
        <v>99224.881394370081</v>
      </c>
      <c r="H31" s="91">
        <v>42723.748824613773</v>
      </c>
      <c r="I31" s="91">
        <v>54429.62747353952</v>
      </c>
    </row>
    <row r="32" spans="1:9">
      <c r="A32" s="29"/>
      <c r="B32" s="29" t="s">
        <v>68</v>
      </c>
      <c r="C32" s="23">
        <v>8.6079305735451819E-2</v>
      </c>
      <c r="D32" s="90">
        <v>7.88818945797434E-2</v>
      </c>
      <c r="E32" s="90">
        <v>8.9626113490476028E-2</v>
      </c>
      <c r="F32" s="4"/>
      <c r="G32" s="89">
        <v>28765.568928490531</v>
      </c>
      <c r="H32" s="91">
        <v>10042.612478523291</v>
      </c>
      <c r="I32" s="91">
        <v>18181.268273526177</v>
      </c>
    </row>
    <row r="33" spans="1:9">
      <c r="A33" s="29"/>
      <c r="B33" s="30" t="s">
        <v>69</v>
      </c>
      <c r="C33" s="23">
        <v>9.3849706325836002E-2</v>
      </c>
      <c r="D33" s="90">
        <v>9.445871084889175E-2</v>
      </c>
      <c r="E33" s="90">
        <v>9.1911543641737675E-2</v>
      </c>
      <c r="F33" s="4"/>
      <c r="G33" s="89">
        <v>358211.3324519681</v>
      </c>
      <c r="H33" s="91">
        <v>186259.4959278871</v>
      </c>
      <c r="I33" s="91">
        <v>167715.67945439421</v>
      </c>
    </row>
    <row r="34" spans="1:9">
      <c r="A34" s="29"/>
      <c r="B34" s="29" t="s">
        <v>70</v>
      </c>
      <c r="C34" s="23">
        <v>9.4574234141401037E-2</v>
      </c>
      <c r="D34" s="90">
        <v>9.2750834985386582E-2</v>
      </c>
      <c r="E34" s="90">
        <v>8.4564622728275682E-2</v>
      </c>
      <c r="F34" s="4"/>
      <c r="G34" s="89">
        <v>28212.223047650747</v>
      </c>
      <c r="H34" s="91">
        <v>13504.653366006836</v>
      </c>
      <c r="I34" s="91">
        <v>12516.471066664462</v>
      </c>
    </row>
    <row r="35" spans="1:9">
      <c r="A35" s="29"/>
      <c r="B35" s="29" t="s">
        <v>71</v>
      </c>
      <c r="C35" s="23">
        <v>0.19380922638978787</v>
      </c>
      <c r="D35" s="90">
        <v>0.29144620998633786</v>
      </c>
      <c r="E35" s="90">
        <v>0.17714739714790112</v>
      </c>
      <c r="F35" s="4"/>
      <c r="G35" s="89">
        <v>36909.551287084476</v>
      </c>
      <c r="H35" s="91">
        <v>8342.9099649864111</v>
      </c>
      <c r="I35" s="91">
        <v>28566.641322098065</v>
      </c>
    </row>
    <row r="36" spans="1:9">
      <c r="A36" s="29"/>
      <c r="B36" s="29" t="s">
        <v>72</v>
      </c>
      <c r="C36" s="23">
        <v>0.21743481682219787</v>
      </c>
      <c r="D36" s="90">
        <v>0.23329460052834972</v>
      </c>
      <c r="E36" s="90">
        <v>0.20518797525739474</v>
      </c>
      <c r="F36" s="4"/>
      <c r="G36" s="89">
        <v>53323.172966348582</v>
      </c>
      <c r="H36" s="91">
        <v>26236.932791081595</v>
      </c>
      <c r="I36" s="91">
        <v>26640.696504047515</v>
      </c>
    </row>
    <row r="37" spans="1:9">
      <c r="A37" s="29"/>
      <c r="B37" s="29" t="s">
        <v>73</v>
      </c>
      <c r="C37" s="23">
        <v>0.22226414821425231</v>
      </c>
      <c r="D37" s="90">
        <v>0.18952453760827973</v>
      </c>
      <c r="E37" s="90">
        <v>0.2456326509767835</v>
      </c>
      <c r="F37" s="4"/>
      <c r="G37" s="89">
        <v>254702.00456161756</v>
      </c>
      <c r="H37" s="91">
        <v>97870.878189070601</v>
      </c>
      <c r="I37" s="91">
        <v>152685.03444096562</v>
      </c>
    </row>
    <row r="38" spans="1:9">
      <c r="A38" s="29" t="s">
        <v>74</v>
      </c>
      <c r="B38" s="29"/>
      <c r="C38" s="23"/>
      <c r="D38" s="90"/>
      <c r="E38" s="90"/>
      <c r="G38" s="89"/>
      <c r="H38" s="91"/>
      <c r="I38" s="91"/>
    </row>
    <row r="39" spans="1:9">
      <c r="A39" s="29"/>
      <c r="B39" s="29" t="s">
        <v>75</v>
      </c>
      <c r="C39" s="23">
        <v>6.9941939161883918E-2</v>
      </c>
      <c r="D39" s="90">
        <v>7.4293376425627264E-2</v>
      </c>
      <c r="E39" s="90">
        <v>6.4905452669976937E-2</v>
      </c>
      <c r="F39" s="4"/>
      <c r="G39" s="89">
        <v>172414.12592842459</v>
      </c>
      <c r="H39" s="91">
        <v>95454.952063436183</v>
      </c>
      <c r="I39" s="91">
        <v>75885.029469682937</v>
      </c>
    </row>
    <row r="40" spans="1:9">
      <c r="A40" s="29"/>
      <c r="B40" s="29" t="s">
        <v>76</v>
      </c>
      <c r="C40" s="23">
        <v>0.13156625613583908</v>
      </c>
      <c r="D40" s="90">
        <v>0.12798776275391913</v>
      </c>
      <c r="E40" s="90">
        <v>0.12966102567807372</v>
      </c>
      <c r="F40" s="4"/>
      <c r="G40" s="89">
        <v>104583.72570814261</v>
      </c>
      <c r="H40" s="91">
        <v>49611.458591248513</v>
      </c>
      <c r="I40" s="91">
        <v>51973.044682936641</v>
      </c>
    </row>
    <row r="41" spans="1:9">
      <c r="A41" s="29"/>
      <c r="B41" s="29" t="s">
        <v>77</v>
      </c>
      <c r="C41" s="23">
        <v>0.16449006111879538</v>
      </c>
      <c r="D41" s="90">
        <v>0.15606028170816616</v>
      </c>
      <c r="E41" s="90">
        <v>0.1718245728425602</v>
      </c>
      <c r="F41" s="4"/>
      <c r="G41" s="89">
        <v>153615.50679726197</v>
      </c>
      <c r="H41" s="91">
        <v>65750.514769841189</v>
      </c>
      <c r="I41" s="91">
        <v>87316.172625697305</v>
      </c>
    </row>
    <row r="42" spans="1:9">
      <c r="A42" s="29"/>
      <c r="B42" s="29" t="s">
        <v>78</v>
      </c>
      <c r="C42" s="23">
        <v>0.15766506815509193</v>
      </c>
      <c r="D42" s="90">
        <v>0.15958368582369462</v>
      </c>
      <c r="E42" s="90">
        <v>0.15262707874218143</v>
      </c>
      <c r="F42" s="4"/>
      <c r="G42" s="89">
        <v>144631.14849998191</v>
      </c>
      <c r="H42" s="91">
        <v>71087.683298414486</v>
      </c>
      <c r="I42" s="91">
        <v>70867.8492686994</v>
      </c>
    </row>
    <row r="43" spans="1:9">
      <c r="A43" s="29"/>
      <c r="B43" s="29" t="s">
        <v>79</v>
      </c>
      <c r="C43" s="23">
        <v>0.31849482524027556</v>
      </c>
      <c r="D43" s="90">
        <v>0.22201027507654097</v>
      </c>
      <c r="E43" s="90">
        <v>0.38086155903667623</v>
      </c>
      <c r="F43" s="4"/>
      <c r="G43" s="89">
        <v>116562.69469331419</v>
      </c>
      <c r="H43" s="91">
        <v>30366.279962264187</v>
      </c>
      <c r="I43" s="91">
        <v>85693.700201277854</v>
      </c>
    </row>
    <row r="44" spans="1:9">
      <c r="A44" s="29"/>
      <c r="B44" s="29" t="s">
        <v>80</v>
      </c>
      <c r="C44" s="23">
        <v>0.12123487307440865</v>
      </c>
      <c r="D44" s="90">
        <v>0.11533588530205527</v>
      </c>
      <c r="E44" s="90">
        <v>9.5732239402872246E-2</v>
      </c>
      <c r="F44" s="4"/>
      <c r="G44" s="89">
        <v>24148.891292900298</v>
      </c>
      <c r="H44" s="91">
        <v>10164.339343523172</v>
      </c>
      <c r="I44" s="91">
        <v>10223.121898378735</v>
      </c>
    </row>
    <row r="45" spans="1:9">
      <c r="A45" s="29" t="s">
        <v>81</v>
      </c>
      <c r="B45" s="29"/>
      <c r="C45" s="23"/>
      <c r="D45" s="90"/>
      <c r="E45" s="90"/>
      <c r="F45" s="4"/>
      <c r="G45" s="89"/>
      <c r="H45" s="91"/>
      <c r="I45" s="91"/>
    </row>
    <row r="46" spans="1:9">
      <c r="A46" s="29"/>
      <c r="B46" s="29" t="s">
        <v>82</v>
      </c>
      <c r="C46" s="23">
        <v>8.636314110336088E-2</v>
      </c>
      <c r="D46" s="90">
        <v>7.2805647867951184E-2</v>
      </c>
      <c r="E46" s="90">
        <v>9.5749607839569387E-2</v>
      </c>
      <c r="G46" s="89">
        <v>93123.151727864722</v>
      </c>
      <c r="H46" s="91">
        <v>39151.391874640409</v>
      </c>
      <c r="I46" s="91">
        <v>51351.435355284339</v>
      </c>
    </row>
    <row r="47" spans="1:9">
      <c r="A47" s="29"/>
      <c r="B47" s="29" t="s">
        <v>83</v>
      </c>
      <c r="C47" s="23">
        <v>0.12475063091420405</v>
      </c>
      <c r="D47" s="90">
        <v>0.12454829266565304</v>
      </c>
      <c r="E47" s="90">
        <v>0.1234581919257071</v>
      </c>
      <c r="F47" s="4"/>
      <c r="G47" s="89">
        <v>171096.52173716089</v>
      </c>
      <c r="H47" s="91">
        <v>83161.633900617671</v>
      </c>
      <c r="I47" s="91">
        <v>85704.815574894747</v>
      </c>
    </row>
    <row r="48" spans="1:9">
      <c r="A48" s="29"/>
      <c r="B48" s="29" t="s">
        <v>84</v>
      </c>
      <c r="C48" s="23">
        <v>8.455373715120322E-2</v>
      </c>
      <c r="D48" s="90">
        <v>8.3391697801885656E-2</v>
      </c>
      <c r="E48" s="90">
        <v>8.6903371024106682E-2</v>
      </c>
      <c r="F48" s="4"/>
      <c r="G48" s="89">
        <v>16716.370029966612</v>
      </c>
      <c r="H48" s="91">
        <v>7821.2126853352302</v>
      </c>
      <c r="I48" s="91">
        <v>8895.1573446313832</v>
      </c>
    </row>
    <row r="49" spans="1:9">
      <c r="A49" s="29"/>
      <c r="B49" s="29" t="s">
        <v>85</v>
      </c>
      <c r="C49" s="23">
        <v>0.13539003789442741</v>
      </c>
      <c r="D49" s="90">
        <v>0.12911433516949333</v>
      </c>
      <c r="E49" s="90">
        <v>0.14185947633123441</v>
      </c>
      <c r="F49" s="4"/>
      <c r="G49" s="89">
        <v>91046.246773913081</v>
      </c>
      <c r="H49" s="91">
        <v>45804.018871969332</v>
      </c>
      <c r="I49" s="91">
        <v>44189.080721749502</v>
      </c>
    </row>
    <row r="50" spans="1:9">
      <c r="A50" s="29"/>
      <c r="B50" s="29" t="s">
        <v>86</v>
      </c>
      <c r="C50" s="23">
        <v>0.14823572199183077</v>
      </c>
      <c r="D50" s="90">
        <v>0.13481554217989361</v>
      </c>
      <c r="E50" s="90">
        <v>0.15806355053820012</v>
      </c>
      <c r="F50" s="4"/>
      <c r="G50" s="89">
        <v>352599.60555621888</v>
      </c>
      <c r="H50" s="91">
        <v>151148.61223813269</v>
      </c>
      <c r="I50" s="91">
        <v>196335.64597040173</v>
      </c>
    </row>
    <row r="51" spans="1:9">
      <c r="A51" s="29" t="s">
        <v>87</v>
      </c>
      <c r="B51" s="29"/>
      <c r="C51" s="23"/>
      <c r="D51" s="90"/>
      <c r="E51" s="90"/>
      <c r="G51" s="89"/>
      <c r="H51" s="91"/>
      <c r="I51" s="91"/>
    </row>
    <row r="52" spans="1:9">
      <c r="A52" s="29"/>
      <c r="B52" s="29" t="s">
        <v>88</v>
      </c>
      <c r="C52" s="23">
        <v>0.19452875030385869</v>
      </c>
      <c r="D52" s="90">
        <v>0.16193760152996059</v>
      </c>
      <c r="E52" s="90">
        <v>0.24225252221022506</v>
      </c>
      <c r="F52" s="4"/>
      <c r="G52" s="89">
        <v>34283.160128294963</v>
      </c>
      <c r="H52" s="91">
        <v>17720.838524331568</v>
      </c>
      <c r="I52" s="91">
        <v>15733.656921734531</v>
      </c>
    </row>
    <row r="53" spans="1:9">
      <c r="A53" s="29"/>
      <c r="B53" s="29" t="s">
        <v>89</v>
      </c>
      <c r="C53" s="23">
        <v>0.12490444590817541</v>
      </c>
      <c r="D53" s="90">
        <v>0.11572777995356304</v>
      </c>
      <c r="E53" s="90">
        <v>0.13257086151234679</v>
      </c>
      <c r="F53" s="4"/>
      <c r="G53" s="89">
        <v>653462.97686913435</v>
      </c>
      <c r="H53" s="91">
        <v>292611.30108642607</v>
      </c>
      <c r="I53" s="91">
        <v>354540.93187765591</v>
      </c>
    </row>
    <row r="54" spans="1:9">
      <c r="A54" s="29"/>
      <c r="B54" s="29" t="s">
        <v>90</v>
      </c>
      <c r="C54" s="23">
        <v>0.22714757020546653</v>
      </c>
      <c r="D54" s="90">
        <v>0.22092338694174635</v>
      </c>
      <c r="E54" s="90">
        <v>0.23911580354872441</v>
      </c>
      <c r="F54" s="4"/>
      <c r="G54" s="89">
        <v>26997.720318759686</v>
      </c>
      <c r="H54" s="91">
        <v>16893.308990578666</v>
      </c>
      <c r="I54" s="91">
        <v>9058.6413412519942</v>
      </c>
    </row>
    <row r="55" spans="1:9">
      <c r="A55" s="29" t="s">
        <v>91</v>
      </c>
      <c r="B55" s="29"/>
      <c r="C55" s="23"/>
      <c r="D55" s="90"/>
      <c r="E55" s="90"/>
      <c r="G55" s="89"/>
      <c r="H55" s="91"/>
      <c r="I55" s="91"/>
    </row>
    <row r="56" spans="1:9">
      <c r="A56" s="29"/>
      <c r="B56" s="29" t="s">
        <v>92</v>
      </c>
      <c r="C56" s="23">
        <v>0.12715270959027614</v>
      </c>
      <c r="D56" s="90">
        <v>0.1173601756153579</v>
      </c>
      <c r="E56" s="90">
        <v>0.13594760350794738</v>
      </c>
      <c r="F56" s="4"/>
      <c r="G56" s="89">
        <v>567387.10620659415</v>
      </c>
      <c r="H56" s="91">
        <v>250995.05707915264</v>
      </c>
      <c r="I56" s="91">
        <v>312782.95191226632</v>
      </c>
    </row>
    <row r="57" spans="1:9">
      <c r="A57" s="29"/>
      <c r="B57" s="29" t="s">
        <v>93</v>
      </c>
      <c r="C57" s="23">
        <v>0.12591224208548651</v>
      </c>
      <c r="D57" s="90">
        <v>0.11859552617995743</v>
      </c>
      <c r="E57" s="90">
        <v>0.12711356449891739</v>
      </c>
      <c r="F57" s="4"/>
      <c r="G57" s="89">
        <v>124772.08607937755</v>
      </c>
      <c r="H57" s="91">
        <v>62359.529465892367</v>
      </c>
      <c r="I57" s="91">
        <v>57836.475254450263</v>
      </c>
    </row>
    <row r="58" spans="1:9">
      <c r="A58" s="29" t="s">
        <v>94</v>
      </c>
      <c r="B58" s="29"/>
      <c r="C58" s="23"/>
      <c r="D58" s="90"/>
      <c r="E58" s="90"/>
      <c r="F58" s="4"/>
      <c r="G58" s="89"/>
      <c r="H58" s="91"/>
      <c r="I58" s="91"/>
    </row>
    <row r="59" spans="1:9">
      <c r="A59" s="29"/>
      <c r="B59" s="29" t="s">
        <v>88</v>
      </c>
      <c r="C59" s="23">
        <v>0.27269057075613301</v>
      </c>
      <c r="D59" s="90">
        <v>0.27285526033359264</v>
      </c>
      <c r="E59" s="90">
        <v>0.27589775399895672</v>
      </c>
      <c r="G59" s="89">
        <v>238861.82093172718</v>
      </c>
      <c r="H59" s="91">
        <v>97930.497536778188</v>
      </c>
      <c r="I59" s="91">
        <v>139049.51153252632</v>
      </c>
    </row>
    <row r="60" spans="1:9">
      <c r="A60" s="29"/>
      <c r="B60" s="29" t="s">
        <v>89</v>
      </c>
      <c r="C60" s="23">
        <v>9.7196715542194806E-2</v>
      </c>
      <c r="D60" s="90">
        <v>9.1834381122309239E-2</v>
      </c>
      <c r="E60" s="90">
        <v>0.10074359339443789</v>
      </c>
      <c r="G60" s="89">
        <v>439791.30262756575</v>
      </c>
      <c r="H60" s="91">
        <v>210162.78275281837</v>
      </c>
      <c r="I60" s="91">
        <v>223325.15316296031</v>
      </c>
    </row>
    <row r="61" spans="1:9">
      <c r="A61" s="29"/>
      <c r="B61" s="29" t="s">
        <v>90</v>
      </c>
      <c r="C61" s="23">
        <v>0.28621592623917025</v>
      </c>
      <c r="D61" s="90">
        <v>0.2858374131766972</v>
      </c>
      <c r="E61" s="90">
        <v>0.30055302729787636</v>
      </c>
      <c r="G61" s="89">
        <v>36090.733756895956</v>
      </c>
      <c r="H61" s="91">
        <v>19132.168311740177</v>
      </c>
      <c r="I61" s="91">
        <v>16958.565445155793</v>
      </c>
    </row>
    <row r="62" spans="1:9">
      <c r="A62" s="29" t="s">
        <v>95</v>
      </c>
      <c r="B62" s="29"/>
      <c r="C62" s="23"/>
      <c r="D62" s="90"/>
      <c r="E62" s="90"/>
      <c r="F62" s="4"/>
      <c r="G62" s="89"/>
      <c r="H62" s="91"/>
      <c r="I62" s="91"/>
    </row>
    <row r="63" spans="1:9">
      <c r="A63" s="29"/>
      <c r="B63" s="31" t="s">
        <v>96</v>
      </c>
      <c r="C63" s="23">
        <v>0.26650836699449498</v>
      </c>
      <c r="D63" s="90">
        <v>0.21475457849071306</v>
      </c>
      <c r="E63" s="90">
        <v>0.30634262278696539</v>
      </c>
      <c r="G63" s="89">
        <v>188806.0940353224</v>
      </c>
      <c r="H63" s="91">
        <v>62121.535420619126</v>
      </c>
      <c r="I63" s="91">
        <v>126301.43760369392</v>
      </c>
    </row>
    <row r="64" spans="1:9">
      <c r="A64" s="29"/>
      <c r="B64" s="29" t="s">
        <v>97</v>
      </c>
      <c r="C64" s="23">
        <v>0.17544474244398456</v>
      </c>
      <c r="D64" s="90">
        <v>0.18985159934046825</v>
      </c>
      <c r="E64" s="90">
        <v>0.15987007490673208</v>
      </c>
      <c r="F64" s="4"/>
      <c r="G64" s="89">
        <v>137566.44453979077</v>
      </c>
      <c r="H64" s="91">
        <v>64657.652518889481</v>
      </c>
      <c r="I64" s="91">
        <v>69866.49063900749</v>
      </c>
    </row>
    <row r="65" spans="1:9">
      <c r="A65" s="29"/>
      <c r="B65" s="29" t="s">
        <v>98</v>
      </c>
      <c r="C65" s="23">
        <v>0.12456206128336397</v>
      </c>
      <c r="D65" s="90">
        <v>0.12176158100097333</v>
      </c>
      <c r="E65" s="90">
        <v>0.12170708873050336</v>
      </c>
      <c r="F65" s="4"/>
      <c r="G65" s="89">
        <v>101692.4929953781</v>
      </c>
      <c r="H65" s="91">
        <v>51460.282264167741</v>
      </c>
      <c r="I65" s="91">
        <v>47107.63083392402</v>
      </c>
    </row>
    <row r="66" spans="1:9">
      <c r="A66" s="29"/>
      <c r="B66" s="29" t="s">
        <v>99</v>
      </c>
      <c r="C66" s="23">
        <v>7.5449341265629091E-2</v>
      </c>
      <c r="D66" s="90">
        <v>6.4728892360304574E-2</v>
      </c>
      <c r="E66" s="90">
        <v>8.7495758697551565E-2</v>
      </c>
      <c r="F66" s="4"/>
      <c r="G66" s="89">
        <v>83056.32358758898</v>
      </c>
      <c r="H66" s="91">
        <v>38407.782450007675</v>
      </c>
      <c r="I66" s="91">
        <v>44106.85296114027</v>
      </c>
    </row>
    <row r="67" spans="1:9">
      <c r="A67" s="29"/>
      <c r="B67" s="29" t="s">
        <v>100</v>
      </c>
      <c r="C67" s="23">
        <v>6.6083868040637178E-2</v>
      </c>
      <c r="D67" s="90">
        <v>7.6497115509482544E-2</v>
      </c>
      <c r="E67" s="90">
        <v>5.3017346374570395E-2</v>
      </c>
      <c r="G67" s="89">
        <v>39435.056593380104</v>
      </c>
      <c r="H67" s="91">
        <v>24230.382252777406</v>
      </c>
      <c r="I67" s="91">
        <v>14654.241690180506</v>
      </c>
    </row>
    <row r="68" spans="1:9">
      <c r="A68" s="29"/>
      <c r="B68" s="29" t="s">
        <v>101</v>
      </c>
      <c r="C68" s="23">
        <v>6.672931833558704E-2</v>
      </c>
      <c r="D68" s="90">
        <v>7.1418037273445659E-2</v>
      </c>
      <c r="E68" s="90">
        <v>6.0396124039871199E-2</v>
      </c>
      <c r="G68" s="89">
        <v>44307.229286186557</v>
      </c>
      <c r="H68" s="91">
        <v>27609.086329850299</v>
      </c>
      <c r="I68" s="91">
        <v>16698.14295633624</v>
      </c>
    </row>
    <row r="69" spans="1:9">
      <c r="A69" s="29"/>
      <c r="B69" s="29" t="s">
        <v>102</v>
      </c>
      <c r="C69" s="23">
        <v>0.13999771371290684</v>
      </c>
      <c r="D69" s="90">
        <v>0.16085041135670186</v>
      </c>
      <c r="E69" s="90">
        <v>0.12524707741964242</v>
      </c>
      <c r="G69" s="89">
        <v>119880.21627854218</v>
      </c>
      <c r="H69" s="91">
        <v>58738.727365024992</v>
      </c>
      <c r="I69" s="91">
        <v>60598.433456360137</v>
      </c>
    </row>
    <row r="70" spans="1:9">
      <c r="A70" s="29" t="s">
        <v>103</v>
      </c>
      <c r="B70" s="29"/>
      <c r="C70" s="23"/>
      <c r="D70" s="90"/>
      <c r="E70" s="90"/>
      <c r="F70" s="4"/>
      <c r="G70" s="89"/>
      <c r="H70" s="91"/>
      <c r="I70" s="91"/>
    </row>
    <row r="71" spans="1:9">
      <c r="A71" s="29"/>
      <c r="B71" s="29" t="s">
        <v>104</v>
      </c>
      <c r="C71" s="23">
        <v>0.12969680124677085</v>
      </c>
      <c r="D71" s="90">
        <v>0.1177181036786118</v>
      </c>
      <c r="E71" s="90">
        <v>0.14026429707018079</v>
      </c>
      <c r="F71" s="4"/>
      <c r="G71" s="89">
        <v>630025.74159435718</v>
      </c>
      <c r="H71" s="91">
        <v>276311.01304378669</v>
      </c>
      <c r="I71" s="91">
        <v>351098.62712762173</v>
      </c>
    </row>
    <row r="72" spans="1:9">
      <c r="A72" s="29"/>
      <c r="B72" s="29" t="s">
        <v>105</v>
      </c>
      <c r="C72" s="23">
        <v>9.8655111580536664E-2</v>
      </c>
      <c r="D72" s="90">
        <v>9.8594621914127351E-2</v>
      </c>
      <c r="E72" s="90">
        <v>9.8123299114120127E-2</v>
      </c>
      <c r="G72" s="89">
        <v>25242.414340532174</v>
      </c>
      <c r="H72" s="91">
        <v>19347.256062569897</v>
      </c>
      <c r="I72" s="91">
        <v>5371.446533079009</v>
      </c>
    </row>
    <row r="73" spans="1:9">
      <c r="A73" s="29"/>
      <c r="B73" s="29" t="s">
        <v>106</v>
      </c>
      <c r="C73" s="23">
        <v>0.11137753988488563</v>
      </c>
      <c r="D73" s="90">
        <v>0.14942185807264419</v>
      </c>
      <c r="E73" s="90">
        <v>8.2783676579982743E-2</v>
      </c>
      <c r="G73" s="89">
        <v>20552.613393283988</v>
      </c>
      <c r="H73" s="91">
        <v>10158.800945909588</v>
      </c>
      <c r="I73" s="91">
        <v>8957.5442561707714</v>
      </c>
    </row>
    <row r="74" spans="1:9">
      <c r="A74" s="29"/>
      <c r="B74" s="29" t="s">
        <v>107</v>
      </c>
      <c r="C74" s="23">
        <v>0.1330911139855481</v>
      </c>
      <c r="D74" s="90">
        <v>0</v>
      </c>
      <c r="E74" s="90">
        <v>0.19543532288004728</v>
      </c>
      <c r="F74" s="4"/>
      <c r="G74" s="89">
        <v>3338.4260084612683</v>
      </c>
      <c r="H74" s="91">
        <v>0</v>
      </c>
      <c r="I74" s="91">
        <v>2344.0629355185351</v>
      </c>
    </row>
    <row r="75" spans="1:9">
      <c r="A75" s="111"/>
      <c r="B75" s="111"/>
      <c r="C75" s="97"/>
      <c r="D75" s="97"/>
      <c r="E75" s="97"/>
      <c r="F75" s="97"/>
      <c r="G75" s="136"/>
      <c r="H75" s="136"/>
      <c r="I75" s="136"/>
    </row>
    <row r="76" spans="1:9">
      <c r="A76" s="21" t="s">
        <v>414</v>
      </c>
    </row>
    <row r="77" spans="1:9">
      <c r="A77" s="16" t="s">
        <v>109</v>
      </c>
    </row>
    <row r="78" spans="1:9">
      <c r="A78" s="16" t="s">
        <v>110</v>
      </c>
    </row>
    <row r="79" spans="1:9">
      <c r="A79" s="21" t="s">
        <v>111</v>
      </c>
    </row>
    <row r="80" spans="1:9">
      <c r="A80" s="16" t="s">
        <v>112</v>
      </c>
    </row>
    <row r="81" spans="1:1">
      <c r="A81" s="16" t="s">
        <v>113</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1" formatCode="\*\*0.0%"/>
            </x14:dxf>
          </x14:cfRule>
          <x14:cfRule type="expression" priority="4" id="{5EE794A5-CB05-4E6B-A220-F490759D339D}">
            <xm:f>G15&lt;'27'!$C$103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69" formatCode="\*\*#,###,###,##0"/>
            </x14:dxf>
          </x14:cfRule>
          <x14:cfRule type="expression" priority="2" id="{3FCFCE58-D57C-45DB-AA73-C08D772FE331}">
            <xm:f>G15&lt;'27'!$C$103</xm:f>
            <x14:dxf>
              <font>
                <color rgb="FF00B050"/>
              </font>
              <numFmt numFmtId="168"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24"/>
      <c r="B1" s="24"/>
      <c r="C1" s="24"/>
      <c r="D1" s="24"/>
      <c r="E1" s="24"/>
      <c r="F1" s="24"/>
      <c r="G1" s="24"/>
      <c r="H1" s="24"/>
      <c r="I1" s="24"/>
    </row>
    <row r="2" spans="1:9">
      <c r="A2" s="24"/>
      <c r="B2" s="24"/>
      <c r="C2" s="24"/>
      <c r="D2" s="24"/>
      <c r="E2" s="24"/>
      <c r="F2" s="24"/>
      <c r="G2" s="24"/>
      <c r="H2" s="24"/>
      <c r="I2" s="24"/>
    </row>
    <row r="3" spans="1:9">
      <c r="A3" s="24"/>
      <c r="B3" s="24"/>
      <c r="C3" s="24"/>
      <c r="D3" s="24"/>
      <c r="E3" s="24"/>
      <c r="F3" s="24"/>
      <c r="G3" s="24"/>
      <c r="H3" s="24"/>
      <c r="I3" s="24"/>
    </row>
    <row r="4" spans="1:9">
      <c r="A4" s="24"/>
      <c r="B4" s="24"/>
      <c r="C4" s="24"/>
      <c r="D4" s="24"/>
      <c r="E4" s="24"/>
      <c r="F4" s="24"/>
      <c r="G4" s="24"/>
      <c r="H4" s="24"/>
      <c r="I4" s="24"/>
    </row>
    <row r="5" spans="1:9">
      <c r="A5" s="24"/>
      <c r="B5" s="24"/>
      <c r="C5" s="24"/>
      <c r="D5" s="24"/>
      <c r="E5" s="24"/>
      <c r="F5" s="24"/>
      <c r="G5" s="24"/>
      <c r="H5" s="24"/>
      <c r="I5" s="24"/>
    </row>
    <row r="6" spans="1:9">
      <c r="A6" s="24"/>
      <c r="B6" s="24"/>
      <c r="C6" s="24"/>
      <c r="D6" s="24"/>
      <c r="E6" s="24"/>
      <c r="F6" s="24"/>
      <c r="G6" s="24"/>
      <c r="H6" s="24"/>
      <c r="I6" s="24"/>
    </row>
    <row r="7" spans="1:9">
      <c r="A7" s="24"/>
      <c r="B7" s="24"/>
      <c r="C7" s="24"/>
      <c r="D7" s="24"/>
      <c r="E7" s="24"/>
      <c r="F7" s="24"/>
      <c r="G7" s="24"/>
      <c r="H7" s="24"/>
      <c r="I7" s="24"/>
    </row>
    <row r="8" spans="1:9">
      <c r="A8" s="25" t="str">
        <f>Index!A8</f>
        <v>AusPlay survey results July 2024 - June 2025</v>
      </c>
      <c r="B8" s="24"/>
      <c r="C8" s="24"/>
      <c r="D8" s="24"/>
      <c r="E8" s="24"/>
      <c r="F8" s="24"/>
      <c r="G8" s="24"/>
      <c r="H8" s="24"/>
      <c r="I8" s="24"/>
    </row>
    <row r="9" spans="1:9">
      <c r="A9" s="24" t="s">
        <v>1</v>
      </c>
      <c r="B9" s="24"/>
      <c r="C9" s="133" t="s">
        <v>2</v>
      </c>
      <c r="D9" s="24"/>
      <c r="E9" s="24"/>
      <c r="F9" s="24"/>
      <c r="G9" s="24"/>
      <c r="H9" s="24"/>
      <c r="I9" s="24"/>
    </row>
    <row r="10" spans="1:9">
      <c r="A10" s="24" t="s">
        <v>40</v>
      </c>
      <c r="B10" s="24"/>
      <c r="C10" s="26">
        <v>26</v>
      </c>
      <c r="D10" s="24"/>
      <c r="E10" s="24"/>
      <c r="F10" s="24"/>
      <c r="G10" s="24"/>
      <c r="H10" s="24"/>
      <c r="I10" s="24"/>
    </row>
    <row r="11" spans="1:9">
      <c r="A11" s="24" t="s">
        <v>3</v>
      </c>
      <c r="B11" s="24"/>
      <c r="C11" s="25" t="s">
        <v>36</v>
      </c>
      <c r="D11" s="24"/>
      <c r="E11" s="24"/>
      <c r="F11" s="24"/>
      <c r="G11" s="24"/>
      <c r="H11" s="24"/>
      <c r="I11" s="24"/>
    </row>
    <row r="12" spans="1:9">
      <c r="A12" s="109" t="s">
        <v>41</v>
      </c>
      <c r="B12" s="109"/>
      <c r="C12" s="110" t="s">
        <v>114</v>
      </c>
      <c r="D12" s="109"/>
      <c r="E12" s="109"/>
      <c r="F12" s="109"/>
      <c r="G12" s="109"/>
      <c r="H12" s="109"/>
      <c r="I12" s="109"/>
    </row>
    <row r="13" spans="1:9" ht="24.95" customHeight="1">
      <c r="A13" s="34"/>
      <c r="B13" s="34"/>
      <c r="C13" s="167" t="s">
        <v>416</v>
      </c>
      <c r="D13" s="167"/>
      <c r="E13" s="167"/>
      <c r="F13" s="150"/>
      <c r="G13" s="167" t="s">
        <v>225</v>
      </c>
      <c r="H13" s="167"/>
      <c r="I13" s="167"/>
    </row>
    <row r="14" spans="1:9" ht="24.95" customHeight="1">
      <c r="A14" s="34"/>
      <c r="B14" s="34"/>
      <c r="C14" s="32" t="s">
        <v>48</v>
      </c>
      <c r="D14" s="32" t="s">
        <v>49</v>
      </c>
      <c r="E14" s="32" t="s">
        <v>50</v>
      </c>
      <c r="F14" s="32"/>
      <c r="G14" s="32" t="s">
        <v>51</v>
      </c>
      <c r="H14" s="32" t="s">
        <v>49</v>
      </c>
      <c r="I14" s="32" t="s">
        <v>50</v>
      </c>
    </row>
    <row r="15" spans="1:9">
      <c r="A15" s="30" t="s">
        <v>48</v>
      </c>
      <c r="B15" s="29"/>
      <c r="C15" s="23">
        <v>0.26785856983136341</v>
      </c>
      <c r="D15" s="23">
        <v>0.2656713249940969</v>
      </c>
      <c r="E15" s="23">
        <v>0.2681010405292768</v>
      </c>
      <c r="F15" s="23"/>
      <c r="G15" s="89">
        <v>327768.32266243611</v>
      </c>
      <c r="H15" s="89">
        <v>172966.49086334274</v>
      </c>
      <c r="I15" s="89">
        <v>152826.57294585675</v>
      </c>
    </row>
    <row r="16" spans="1:9">
      <c r="A16" s="29" t="s">
        <v>52</v>
      </c>
      <c r="B16" s="29"/>
      <c r="C16" s="23"/>
      <c r="D16" s="90"/>
      <c r="E16" s="90"/>
      <c r="F16" s="2"/>
      <c r="G16" s="89"/>
      <c r="H16" s="91"/>
      <c r="I16" s="91"/>
    </row>
    <row r="17" spans="1:9">
      <c r="A17" s="29"/>
      <c r="B17" s="29" t="s">
        <v>115</v>
      </c>
      <c r="C17" s="23">
        <v>0.50033306873224681</v>
      </c>
      <c r="D17" s="90">
        <v>0.52023441294292205</v>
      </c>
      <c r="E17" s="90">
        <v>0.4789959412866312</v>
      </c>
      <c r="F17" s="4"/>
      <c r="G17" s="89">
        <v>190451.30318816961</v>
      </c>
      <c r="H17" s="91">
        <v>106078.48163434521</v>
      </c>
      <c r="I17" s="91">
        <v>84372.82155382463</v>
      </c>
    </row>
    <row r="18" spans="1:9">
      <c r="A18" s="29"/>
      <c r="B18" s="29" t="s">
        <v>116</v>
      </c>
      <c r="C18" s="23">
        <v>0.17798356879113064</v>
      </c>
      <c r="D18" s="90">
        <v>0.17489736542366777</v>
      </c>
      <c r="E18" s="90">
        <v>0.1763190528618373</v>
      </c>
      <c r="F18" s="4"/>
      <c r="G18" s="89">
        <v>59645.026353198147</v>
      </c>
      <c r="H18" s="91">
        <v>29811.218972439623</v>
      </c>
      <c r="I18" s="91">
        <v>28862.39828340599</v>
      </c>
    </row>
    <row r="19" spans="1:9">
      <c r="A19" s="29"/>
      <c r="B19" s="29" t="s">
        <v>117</v>
      </c>
      <c r="C19" s="23">
        <v>0.1498149093503611</v>
      </c>
      <c r="D19" s="90">
        <v>0.12533060738591817</v>
      </c>
      <c r="E19" s="90">
        <v>0.17219141415113723</v>
      </c>
      <c r="F19" s="4"/>
      <c r="G19" s="89">
        <v>37263.406058636858</v>
      </c>
      <c r="H19" s="91">
        <v>16309.766434769919</v>
      </c>
      <c r="I19" s="91">
        <v>20310.396656013385</v>
      </c>
    </row>
    <row r="20" spans="1:9">
      <c r="A20" s="29"/>
      <c r="B20" s="29" t="s">
        <v>118</v>
      </c>
      <c r="C20" s="23">
        <v>0.15591665515693157</v>
      </c>
      <c r="D20" s="90">
        <v>0.14169105304481591</v>
      </c>
      <c r="E20" s="90">
        <v>0.17178063565381069</v>
      </c>
      <c r="F20" s="4"/>
      <c r="G20" s="89">
        <v>40408.587062432816</v>
      </c>
      <c r="H20" s="91">
        <v>20767.02382178781</v>
      </c>
      <c r="I20" s="91">
        <v>19280.956452612892</v>
      </c>
    </row>
    <row r="21" spans="1:9">
      <c r="A21" s="29" t="s">
        <v>60</v>
      </c>
      <c r="B21" s="29"/>
      <c r="C21" s="23"/>
      <c r="D21" s="90"/>
      <c r="E21" s="90"/>
      <c r="F21" s="4"/>
      <c r="G21" s="89"/>
      <c r="H21" s="91"/>
      <c r="I21" s="91"/>
    </row>
    <row r="22" spans="1:9">
      <c r="A22" s="29"/>
      <c r="B22" s="29" t="s">
        <v>61</v>
      </c>
      <c r="C22" s="23">
        <v>0.26336843039778068</v>
      </c>
      <c r="D22" s="90">
        <v>0.25086639281886636</v>
      </c>
      <c r="E22" s="90">
        <v>0.2746976091156676</v>
      </c>
      <c r="F22" s="4"/>
      <c r="G22" s="89">
        <v>250544.05217492348</v>
      </c>
      <c r="H22" s="91">
        <v>126802.80314327497</v>
      </c>
      <c r="I22" s="91">
        <v>121765.99017841085</v>
      </c>
    </row>
    <row r="23" spans="1:9">
      <c r="A23" s="29"/>
      <c r="B23" s="29" t="s">
        <v>62</v>
      </c>
      <c r="C23" s="23">
        <v>0.27309546169381027</v>
      </c>
      <c r="D23" s="90">
        <v>0.3198183658784669</v>
      </c>
      <c r="E23" s="90">
        <v>0.22106370313646498</v>
      </c>
      <c r="F23" s="4"/>
      <c r="G23" s="89">
        <v>62035.044587411445</v>
      </c>
      <c r="H23" s="91">
        <v>38276.913409328721</v>
      </c>
      <c r="I23" s="91">
        <v>23758.131178082698</v>
      </c>
    </row>
    <row r="24" spans="1:9">
      <c r="A24" s="29"/>
      <c r="B24" s="29" t="s">
        <v>63</v>
      </c>
      <c r="C24" s="23">
        <v>0.33604183543929073</v>
      </c>
      <c r="D24" s="90">
        <v>0.30437201442995404</v>
      </c>
      <c r="E24" s="90">
        <v>0.37858557696015738</v>
      </c>
      <c r="F24" s="4"/>
      <c r="G24" s="89">
        <v>15189.225900102381</v>
      </c>
      <c r="H24" s="91">
        <v>7886.774310739097</v>
      </c>
      <c r="I24" s="91">
        <v>7302.451589363287</v>
      </c>
    </row>
    <row r="25" spans="1:9">
      <c r="A25" s="29"/>
      <c r="B25" s="29" t="s">
        <v>64</v>
      </c>
      <c r="C25" s="23">
        <v>0</v>
      </c>
      <c r="D25" s="90">
        <v>0</v>
      </c>
      <c r="E25" s="90">
        <v>0</v>
      </c>
      <c r="F25" s="4"/>
      <c r="G25" s="89">
        <v>0</v>
      </c>
      <c r="H25" s="91">
        <v>0</v>
      </c>
      <c r="I25" s="91">
        <v>0</v>
      </c>
    </row>
    <row r="26" spans="1:9">
      <c r="A26" s="29" t="s">
        <v>81</v>
      </c>
      <c r="B26" s="29"/>
      <c r="C26" s="23"/>
      <c r="D26" s="90"/>
      <c r="E26" s="90"/>
      <c r="F26" s="4"/>
      <c r="G26" s="89"/>
      <c r="H26" s="91"/>
      <c r="I26" s="91"/>
    </row>
    <row r="27" spans="1:9">
      <c r="A27" s="29"/>
      <c r="B27" s="29" t="s">
        <v>82</v>
      </c>
      <c r="C27" s="23">
        <v>0.28188145123486319</v>
      </c>
      <c r="D27" s="90">
        <v>0.28329768529156979</v>
      </c>
      <c r="E27" s="90">
        <v>0.27820045873022248</v>
      </c>
      <c r="F27" s="4"/>
      <c r="G27" s="89">
        <v>291679.51333305048</v>
      </c>
      <c r="H27" s="91">
        <v>156179.09765358092</v>
      </c>
      <c r="I27" s="91">
        <v>133885.7636142647</v>
      </c>
    </row>
    <row r="28" spans="1:9">
      <c r="A28" s="29"/>
      <c r="B28" s="29" t="s">
        <v>83</v>
      </c>
      <c r="C28" s="23">
        <v>0.23175565148226401</v>
      </c>
      <c r="D28" s="90">
        <v>0.19845454443541713</v>
      </c>
      <c r="E28" s="90">
        <v>0.27909550144200235</v>
      </c>
      <c r="F28" s="4"/>
      <c r="G28" s="89">
        <v>17565.888123966452</v>
      </c>
      <c r="H28" s="91">
        <v>8830.2303166287984</v>
      </c>
      <c r="I28" s="91">
        <v>8735.6578073376495</v>
      </c>
    </row>
    <row r="29" spans="1:9">
      <c r="A29" s="29"/>
      <c r="B29" s="29" t="s">
        <v>84</v>
      </c>
      <c r="C29" s="23">
        <v>0.16376385193022039</v>
      </c>
      <c r="D29" s="90">
        <v>0.14396961217143872</v>
      </c>
      <c r="E29" s="90">
        <v>0.17755141560289506</v>
      </c>
      <c r="G29" s="89">
        <v>18522.921205419541</v>
      </c>
      <c r="H29" s="91">
        <v>7957.1628931330051</v>
      </c>
      <c r="I29" s="91">
        <v>10205.15152425445</v>
      </c>
    </row>
    <row r="30" spans="1:9">
      <c r="A30" s="29" t="s">
        <v>119</v>
      </c>
      <c r="B30" s="29"/>
      <c r="C30" s="23"/>
      <c r="D30" s="90"/>
      <c r="E30" s="90"/>
      <c r="F30" s="4"/>
      <c r="G30" s="89"/>
      <c r="H30" s="91"/>
      <c r="I30" s="91"/>
    </row>
    <row r="31" spans="1:9">
      <c r="A31" s="29"/>
      <c r="B31" s="29" t="s">
        <v>88</v>
      </c>
      <c r="C31" s="23">
        <v>0.23152169641293546</v>
      </c>
      <c r="D31" s="90">
        <v>0.18672927174877871</v>
      </c>
      <c r="E31" s="90">
        <v>0.27077865207074742</v>
      </c>
      <c r="F31" s="4"/>
      <c r="G31" s="89">
        <v>18238.739130222453</v>
      </c>
      <c r="H31" s="91">
        <v>7632.1145938080226</v>
      </c>
      <c r="I31" s="91">
        <v>10136.606740946423</v>
      </c>
    </row>
    <row r="32" spans="1:9">
      <c r="A32" s="29"/>
      <c r="B32" s="29" t="s">
        <v>89</v>
      </c>
      <c r="C32" s="23">
        <v>0.27001592525576196</v>
      </c>
      <c r="D32" s="90">
        <v>0.2724818346655638</v>
      </c>
      <c r="E32" s="90">
        <v>0.26542264592528081</v>
      </c>
      <c r="F32" s="4"/>
      <c r="G32" s="89">
        <v>301942.90319402702</v>
      </c>
      <c r="H32" s="91">
        <v>161716.44839796607</v>
      </c>
      <c r="I32" s="91">
        <v>138721.21373829184</v>
      </c>
    </row>
    <row r="33" spans="1:9">
      <c r="A33" s="29"/>
      <c r="B33" s="29" t="s">
        <v>90</v>
      </c>
      <c r="C33" s="23">
        <v>0.28475188133380042</v>
      </c>
      <c r="D33" s="90">
        <v>0.21680620363996261</v>
      </c>
      <c r="E33" s="90">
        <v>0.39863944085879166</v>
      </c>
      <c r="F33" s="4"/>
      <c r="G33" s="89">
        <v>7586.6803381871932</v>
      </c>
      <c r="H33" s="91">
        <v>3617.9278715686473</v>
      </c>
      <c r="I33" s="91">
        <v>3968.7524666185432</v>
      </c>
    </row>
    <row r="34" spans="1:9">
      <c r="A34" s="29" t="s">
        <v>120</v>
      </c>
      <c r="B34" s="29"/>
      <c r="C34" s="23"/>
      <c r="D34" s="90"/>
      <c r="E34" s="90"/>
      <c r="F34" s="4"/>
      <c r="G34" s="89"/>
      <c r="H34" s="91"/>
      <c r="I34" s="91"/>
    </row>
    <row r="35" spans="1:9">
      <c r="A35" s="29"/>
      <c r="B35" s="29" t="s">
        <v>92</v>
      </c>
      <c r="C35" s="23">
        <v>0.27461851904842721</v>
      </c>
      <c r="D35" s="90">
        <v>0.27689672948803151</v>
      </c>
      <c r="E35" s="90">
        <v>0.27127246281047163</v>
      </c>
      <c r="F35" s="4"/>
      <c r="G35" s="89">
        <v>261586.71207837239</v>
      </c>
      <c r="H35" s="91">
        <v>141835.72481579438</v>
      </c>
      <c r="I35" s="91">
        <v>119107.74429472501</v>
      </c>
    </row>
    <row r="36" spans="1:9">
      <c r="A36" s="29"/>
      <c r="B36" s="29" t="s">
        <v>93</v>
      </c>
      <c r="C36" s="23">
        <v>0.24187493795853926</v>
      </c>
      <c r="D36" s="90">
        <v>0.22291554174454378</v>
      </c>
      <c r="E36" s="90">
        <v>0.25968713555217005</v>
      </c>
      <c r="F36" s="4"/>
      <c r="G36" s="89">
        <v>62332.363557921351</v>
      </c>
      <c r="H36" s="91">
        <v>29445.478435500867</v>
      </c>
      <c r="I36" s="91">
        <v>32526.278334388378</v>
      </c>
    </row>
    <row r="37" spans="1:9">
      <c r="A37" s="29" t="s">
        <v>95</v>
      </c>
      <c r="B37" s="29"/>
      <c r="C37" s="23"/>
      <c r="D37" s="90"/>
      <c r="E37" s="90"/>
      <c r="G37" s="89"/>
      <c r="H37" s="91"/>
      <c r="I37" s="91"/>
    </row>
    <row r="38" spans="1:9">
      <c r="A38" s="29"/>
      <c r="B38" s="31" t="s">
        <v>96</v>
      </c>
      <c r="C38" s="23">
        <v>0.41320146216817977</v>
      </c>
      <c r="D38" s="90">
        <v>0.34813514661674172</v>
      </c>
      <c r="E38" s="90">
        <v>0.45457863425226153</v>
      </c>
      <c r="F38" s="4"/>
      <c r="G38" s="89">
        <v>24755.251188269656</v>
      </c>
      <c r="H38" s="91">
        <v>9255.1072195651686</v>
      </c>
      <c r="I38" s="91">
        <v>14856.901000850929</v>
      </c>
    </row>
    <row r="39" spans="1:9">
      <c r="A39" s="29"/>
      <c r="B39" s="29" t="s">
        <v>97</v>
      </c>
      <c r="C39" s="23">
        <v>0.27924375913117394</v>
      </c>
      <c r="D39" s="90">
        <v>0.25199162923258056</v>
      </c>
      <c r="E39" s="90">
        <v>0.30333183592608487</v>
      </c>
      <c r="F39" s="4"/>
      <c r="G39" s="89">
        <v>25641.69409977107</v>
      </c>
      <c r="H39" s="91">
        <v>12571.076185519936</v>
      </c>
      <c r="I39" s="91">
        <v>12569.226612366581</v>
      </c>
    </row>
    <row r="40" spans="1:9">
      <c r="A40" s="29"/>
      <c r="B40" s="29" t="s">
        <v>98</v>
      </c>
      <c r="C40" s="23">
        <v>0.30754866044437629</v>
      </c>
      <c r="D40" s="90">
        <v>0.31267734485342519</v>
      </c>
      <c r="E40" s="90">
        <v>0.29906959274688577</v>
      </c>
      <c r="F40" s="4"/>
      <c r="G40" s="89">
        <v>52289.746404653495</v>
      </c>
      <c r="H40" s="91">
        <v>27317.480719714313</v>
      </c>
      <c r="I40" s="91">
        <v>24611.658896907102</v>
      </c>
    </row>
    <row r="41" spans="1:9">
      <c r="A41" s="29"/>
      <c r="B41" s="29" t="s">
        <v>99</v>
      </c>
      <c r="C41" s="23">
        <v>0.25556198454149387</v>
      </c>
      <c r="D41" s="90">
        <v>0.25947414765241261</v>
      </c>
      <c r="E41" s="90">
        <v>0.25151737417981113</v>
      </c>
      <c r="F41" s="4"/>
      <c r="G41" s="89">
        <v>90195.274308979977</v>
      </c>
      <c r="H41" s="91">
        <v>51460.86221860657</v>
      </c>
      <c r="I41" s="91">
        <v>38734.412090373386</v>
      </c>
    </row>
    <row r="42" spans="1:9">
      <c r="A42" s="29"/>
      <c r="B42" s="29" t="s">
        <v>100</v>
      </c>
      <c r="C42" s="23">
        <v>0.31614726418537176</v>
      </c>
      <c r="D42" s="90">
        <v>0.34111193948061613</v>
      </c>
      <c r="E42" s="90">
        <v>0.28391259384045908</v>
      </c>
      <c r="F42" s="4"/>
      <c r="G42" s="89">
        <v>64348.194542959653</v>
      </c>
      <c r="H42" s="91">
        <v>39126.953260253322</v>
      </c>
      <c r="I42" s="91">
        <v>25221.241282706334</v>
      </c>
    </row>
    <row r="43" spans="1:9">
      <c r="A43" s="29"/>
      <c r="B43" s="29" t="s">
        <v>101</v>
      </c>
      <c r="C43" s="23">
        <v>0.18049642706343744</v>
      </c>
      <c r="D43" s="90">
        <v>0.16054684019624704</v>
      </c>
      <c r="E43" s="90">
        <v>0.19988286834000621</v>
      </c>
      <c r="F43" s="4"/>
      <c r="G43" s="89">
        <v>41710.961872807289</v>
      </c>
      <c r="H43" s="91">
        <v>18284.830800277545</v>
      </c>
      <c r="I43" s="91">
        <v>23426.131072529715</v>
      </c>
    </row>
    <row r="44" spans="1:9">
      <c r="A44" s="29"/>
      <c r="B44" s="29" t="s">
        <v>102</v>
      </c>
      <c r="C44" s="23">
        <v>0.25210405196612479</v>
      </c>
      <c r="D44" s="90">
        <v>0.24795562554777159</v>
      </c>
      <c r="E44" s="90">
        <v>0.25021164597897233</v>
      </c>
      <c r="F44" s="4"/>
      <c r="G44" s="89">
        <v>28827.200244996242</v>
      </c>
      <c r="H44" s="91">
        <v>14950.180459405461</v>
      </c>
      <c r="I44" s="91">
        <v>13407.001990122775</v>
      </c>
    </row>
    <row r="45" spans="1:9">
      <c r="A45" s="111"/>
      <c r="B45" s="111"/>
      <c r="C45" s="97"/>
      <c r="D45" s="97"/>
      <c r="E45" s="97"/>
      <c r="F45" s="97"/>
      <c r="G45" s="136"/>
      <c r="H45" s="136"/>
      <c r="I45" s="136"/>
    </row>
    <row r="46" spans="1:9">
      <c r="A46" s="16" t="s">
        <v>121</v>
      </c>
    </row>
    <row r="47" spans="1:9">
      <c r="A47" s="21" t="s">
        <v>414</v>
      </c>
    </row>
    <row r="48" spans="1:9">
      <c r="A48" s="16" t="s">
        <v>109</v>
      </c>
    </row>
    <row r="49" spans="1:1">
      <c r="A49" s="16" t="s">
        <v>110</v>
      </c>
    </row>
    <row r="50" spans="1:1">
      <c r="A50" s="21" t="s">
        <v>111</v>
      </c>
    </row>
    <row r="51" spans="1:1">
      <c r="A51" s="16" t="s">
        <v>112</v>
      </c>
    </row>
    <row r="52" spans="1:1">
      <c r="A52" s="16" t="s">
        <v>113</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1" formatCode="\*\*0.0%"/>
            </x14:dxf>
          </x14:cfRule>
          <x14:cfRule type="expression" priority="4" id="{42052122-4EA4-498E-9ADD-49D578608FED}">
            <xm:f>G15&lt;'27'!$D$103</xm:f>
            <x14:dxf>
              <font>
                <color rgb="FF00B050"/>
              </font>
              <numFmt numFmtId="170"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69" formatCode="\*\*#,###,###,##0"/>
            </x14:dxf>
          </x14:cfRule>
          <x14:cfRule type="expression" priority="2" id="{0EE1389D-9C9E-4A71-917B-BE1A01213FE1}">
            <xm:f>G15&lt;'27'!$D$103</xm:f>
            <x14:dxf>
              <font>
                <color rgb="FF00B050"/>
              </font>
              <numFmt numFmtId="168"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24"/>
      <c r="B1" s="24"/>
      <c r="C1" s="24"/>
      <c r="D1" s="24"/>
      <c r="E1" s="24"/>
      <c r="F1" s="24"/>
      <c r="G1" s="24"/>
      <c r="H1" s="24"/>
      <c r="I1" s="24"/>
      <c r="J1" s="24"/>
      <c r="K1" s="24"/>
    </row>
    <row r="2" spans="1:11">
      <c r="A2" s="24"/>
      <c r="B2" s="24"/>
      <c r="C2" s="24"/>
      <c r="D2" s="24"/>
      <c r="E2" s="24"/>
      <c r="F2" s="24"/>
      <c r="G2" s="24"/>
      <c r="H2" s="24"/>
      <c r="I2" s="24"/>
      <c r="J2" s="24"/>
      <c r="K2" s="24"/>
    </row>
    <row r="3" spans="1:11">
      <c r="A3" s="24"/>
      <c r="B3" s="24"/>
      <c r="C3" s="24"/>
      <c r="D3" s="24"/>
      <c r="E3" s="24"/>
      <c r="F3" s="24"/>
      <c r="G3" s="24"/>
      <c r="H3" s="24"/>
      <c r="I3" s="24"/>
      <c r="J3" s="24"/>
      <c r="K3" s="24"/>
    </row>
    <row r="4" spans="1:11">
      <c r="A4" s="24"/>
      <c r="B4" s="24"/>
      <c r="C4" s="24"/>
      <c r="D4" s="24"/>
      <c r="E4" s="24"/>
      <c r="F4" s="24"/>
      <c r="G4" s="24"/>
      <c r="H4" s="24"/>
      <c r="I4" s="24"/>
      <c r="J4" s="24"/>
      <c r="K4" s="24"/>
    </row>
    <row r="5" spans="1:11">
      <c r="A5" s="24"/>
      <c r="B5" s="24"/>
      <c r="C5" s="24"/>
      <c r="D5" s="24"/>
      <c r="E5" s="24"/>
      <c r="F5" s="24"/>
      <c r="G5" s="24"/>
      <c r="H5" s="24"/>
      <c r="I5" s="24"/>
      <c r="J5" s="24"/>
      <c r="K5" s="24"/>
    </row>
    <row r="6" spans="1:11">
      <c r="A6" s="24"/>
      <c r="B6" s="24"/>
      <c r="C6" s="24"/>
      <c r="D6" s="24"/>
      <c r="E6" s="24"/>
      <c r="F6" s="24"/>
      <c r="G6" s="24"/>
      <c r="H6" s="24"/>
      <c r="I6" s="24"/>
      <c r="J6" s="24"/>
      <c r="K6" s="24"/>
    </row>
    <row r="7" spans="1:11">
      <c r="A7" s="24"/>
      <c r="B7" s="24"/>
      <c r="C7" s="24"/>
      <c r="D7" s="24"/>
      <c r="E7" s="24"/>
      <c r="F7" s="24"/>
      <c r="G7" s="24"/>
      <c r="H7" s="24"/>
      <c r="I7" s="24"/>
      <c r="J7" s="24"/>
      <c r="K7" s="24"/>
    </row>
    <row r="8" spans="1:11">
      <c r="A8" s="25" t="s">
        <v>0</v>
      </c>
      <c r="B8" s="25"/>
      <c r="C8" s="24"/>
      <c r="D8" s="24"/>
      <c r="E8" s="24"/>
      <c r="F8" s="24"/>
      <c r="G8" s="24"/>
      <c r="H8" s="24"/>
      <c r="I8" s="24"/>
      <c r="J8" s="24"/>
      <c r="K8" s="24"/>
    </row>
    <row r="9" spans="1:11">
      <c r="A9" s="24" t="s">
        <v>1</v>
      </c>
      <c r="B9" s="24"/>
      <c r="C9" s="133" t="s">
        <v>2</v>
      </c>
      <c r="D9" s="24"/>
      <c r="E9" s="24"/>
      <c r="F9" s="24"/>
      <c r="G9" s="24"/>
      <c r="H9" s="24"/>
      <c r="I9" s="24"/>
      <c r="J9" s="24"/>
      <c r="K9" s="24"/>
    </row>
    <row r="10" spans="1:11">
      <c r="A10" s="24" t="s">
        <v>40</v>
      </c>
      <c r="B10" s="24"/>
      <c r="C10" s="26">
        <v>27</v>
      </c>
      <c r="D10" s="24"/>
      <c r="E10" s="24"/>
      <c r="F10" s="24"/>
      <c r="G10" s="24"/>
      <c r="H10" s="24"/>
      <c r="I10" s="24"/>
      <c r="J10" s="24"/>
      <c r="K10" s="24"/>
    </row>
    <row r="11" spans="1:11" s="3" customFormat="1">
      <c r="A11" s="109" t="s">
        <v>3</v>
      </c>
      <c r="B11" s="109"/>
      <c r="C11" s="110" t="s">
        <v>38</v>
      </c>
      <c r="D11" s="109"/>
      <c r="E11" s="109"/>
      <c r="F11" s="109"/>
      <c r="G11" s="109"/>
      <c r="H11" s="109"/>
      <c r="I11" s="109"/>
      <c r="J11" s="109"/>
      <c r="K11" s="109"/>
    </row>
    <row r="12" spans="1:11">
      <c r="A12" s="167" t="s">
        <v>417</v>
      </c>
      <c r="B12" s="167"/>
      <c r="C12" s="167"/>
      <c r="D12" s="167"/>
      <c r="E12" s="167"/>
      <c r="F12" s="167"/>
      <c r="G12" s="167"/>
      <c r="H12" s="167"/>
      <c r="I12" s="167"/>
      <c r="J12" s="167"/>
      <c r="K12" s="167"/>
    </row>
    <row r="13" spans="1:11">
      <c r="A13" s="29" t="s">
        <v>418</v>
      </c>
      <c r="B13" s="29"/>
      <c r="C13" s="60" t="s">
        <v>419</v>
      </c>
      <c r="D13" s="60" t="s">
        <v>420</v>
      </c>
      <c r="E13" s="60" t="s">
        <v>421</v>
      </c>
      <c r="F13" s="60" t="s">
        <v>422</v>
      </c>
      <c r="G13" s="60" t="s">
        <v>423</v>
      </c>
      <c r="H13" s="60" t="s">
        <v>424</v>
      </c>
      <c r="I13" s="60" t="s">
        <v>425</v>
      </c>
      <c r="J13" s="60" t="s">
        <v>426</v>
      </c>
      <c r="K13" s="60" t="s">
        <v>427</v>
      </c>
    </row>
    <row r="14" spans="1:11">
      <c r="A14" s="58">
        <v>1000</v>
      </c>
      <c r="B14" s="130"/>
      <c r="C14" s="20">
        <v>1.6539392843023899</v>
      </c>
      <c r="D14" s="20">
        <v>1.61315316148511</v>
      </c>
      <c r="E14" s="20">
        <v>1.68224141644796</v>
      </c>
      <c r="F14" s="20">
        <v>1.6946596742722499</v>
      </c>
      <c r="G14" s="20">
        <v>1.5893685161495901</v>
      </c>
      <c r="H14" s="20">
        <v>1.2932359360561201</v>
      </c>
      <c r="I14" s="20">
        <v>1.31087120078174</v>
      </c>
      <c r="J14" s="20">
        <v>1.2485138564716001</v>
      </c>
      <c r="K14" s="20">
        <v>1.62942761281082</v>
      </c>
    </row>
    <row r="15" spans="1:11">
      <c r="A15" s="58">
        <v>2000</v>
      </c>
      <c r="B15" s="130"/>
      <c r="C15" s="20">
        <v>1.16939341372304</v>
      </c>
      <c r="D15" s="20">
        <v>1.1405379636620201</v>
      </c>
      <c r="E15" s="20">
        <v>1.1893341262064201</v>
      </c>
      <c r="F15" s="20">
        <v>1.1977372956135699</v>
      </c>
      <c r="G15" s="20">
        <v>1.1237029977676201</v>
      </c>
      <c r="H15" s="20">
        <v>0.91321483742007903</v>
      </c>
      <c r="I15" s="20">
        <v>0.92492607284267403</v>
      </c>
      <c r="J15" s="20">
        <v>0.88147753659625205</v>
      </c>
      <c r="K15" s="20">
        <v>1.1521440251320001</v>
      </c>
    </row>
    <row r="16" spans="1:11">
      <c r="A16" s="58">
        <v>5000</v>
      </c>
      <c r="B16" s="130"/>
      <c r="C16" s="20">
        <v>0.73943971005596498</v>
      </c>
      <c r="D16" s="20">
        <v>0.72117055326758595</v>
      </c>
      <c r="E16" s="20">
        <v>0.75196032024694504</v>
      </c>
      <c r="F16" s="20">
        <v>0.75679653178564299</v>
      </c>
      <c r="G16" s="20">
        <v>0.71021682966073596</v>
      </c>
      <c r="H16" s="20">
        <v>0.57599473315147898</v>
      </c>
      <c r="I16" s="20">
        <v>0.58052607079801699</v>
      </c>
      <c r="J16" s="20">
        <v>0.55549047407761698</v>
      </c>
      <c r="K16" s="20">
        <v>0.72863522246488799</v>
      </c>
    </row>
    <row r="17" spans="1:16">
      <c r="A17" s="58">
        <v>10000</v>
      </c>
      <c r="B17" s="130"/>
      <c r="C17" s="20">
        <v>0.52267763199703599</v>
      </c>
      <c r="D17" s="20">
        <v>0.50970551471314796</v>
      </c>
      <c r="E17" s="20">
        <v>0.53141834943870703</v>
      </c>
      <c r="F17" s="20">
        <v>0.53437238828592604</v>
      </c>
      <c r="G17" s="20">
        <v>0.50172818791294904</v>
      </c>
      <c r="H17" s="20">
        <v>0.405056000095881</v>
      </c>
      <c r="I17" s="20">
        <v>0.40550154859533699</v>
      </c>
      <c r="J17" s="20">
        <v>0.390144622333086</v>
      </c>
      <c r="K17" s="20">
        <v>0.51516766307064199</v>
      </c>
    </row>
    <row r="18" spans="1:16">
      <c r="A18" s="58">
        <v>20000</v>
      </c>
      <c r="B18" s="130"/>
      <c r="C18" s="20">
        <v>0.36932684451697301</v>
      </c>
      <c r="D18" s="20">
        <v>0.360099041759466</v>
      </c>
      <c r="E18" s="20">
        <v>0.375378013420477</v>
      </c>
      <c r="F18" s="20">
        <v>0.37659550067987901</v>
      </c>
      <c r="G18" s="20">
        <v>0.35406075462511999</v>
      </c>
      <c r="H18" s="20">
        <v>0.28336581828740398</v>
      </c>
      <c r="I18" s="20">
        <v>0.27920750136227102</v>
      </c>
      <c r="J18" s="20">
        <v>0.27238537270954499</v>
      </c>
      <c r="K18" s="20">
        <v>0.36419482697973798</v>
      </c>
    </row>
    <row r="19" spans="1:16">
      <c r="A19" s="58">
        <v>50000</v>
      </c>
      <c r="B19" s="130"/>
      <c r="C19" s="20">
        <v>0.23308488740268199</v>
      </c>
      <c r="D19" s="20">
        <v>0.22715716818370099</v>
      </c>
      <c r="E19" s="20">
        <v>0.23662728149810799</v>
      </c>
      <c r="F19" s="20">
        <v>0.23588303723290699</v>
      </c>
      <c r="G19" s="20">
        <v>0.22253587464136901</v>
      </c>
      <c r="H19" s="20">
        <v>0.17329651245684999</v>
      </c>
      <c r="I19" s="20">
        <v>0.16192640010519099</v>
      </c>
      <c r="J19" s="20">
        <v>0.165283441884372</v>
      </c>
      <c r="K19" s="20">
        <v>0.230185176056315</v>
      </c>
    </row>
    <row r="20" spans="1:16">
      <c r="A20" s="58">
        <v>100000</v>
      </c>
      <c r="B20" s="130"/>
      <c r="C20" s="20">
        <v>0.16422742448727501</v>
      </c>
      <c r="D20" s="20">
        <v>0.15992092010317099</v>
      </c>
      <c r="E20" s="20">
        <v>0.16639887090550201</v>
      </c>
      <c r="F20" s="20">
        <v>0.16403805160139801</v>
      </c>
      <c r="G20" s="20">
        <v>0.15571700031225999</v>
      </c>
      <c r="H20" s="20">
        <v>0.11529079613818401</v>
      </c>
      <c r="I20" s="20">
        <v>9.4864597599329595E-2</v>
      </c>
      <c r="J20" s="20">
        <v>0.108161317629897</v>
      </c>
      <c r="K20" s="20">
        <v>0.16258304173944299</v>
      </c>
    </row>
    <row r="21" spans="1:16">
      <c r="A21" s="58">
        <v>200000</v>
      </c>
      <c r="B21" s="130"/>
      <c r="C21" s="20">
        <v>0.11528358492324101</v>
      </c>
      <c r="D21" s="20">
        <v>0.112086507103133</v>
      </c>
      <c r="E21" s="20">
        <v>0.116356793194762</v>
      </c>
      <c r="F21" s="20">
        <v>0.111992499448265</v>
      </c>
      <c r="G21" s="20">
        <v>0.107752348133013</v>
      </c>
      <c r="H21" s="20">
        <v>7.0049905095923098E-2</v>
      </c>
      <c r="I21" s="20">
        <v>1.9244251856964101E-2</v>
      </c>
      <c r="J21" s="20">
        <v>6.23618302055087E-2</v>
      </c>
      <c r="K21" s="20">
        <v>0.11470864716487</v>
      </c>
    </row>
    <row r="22" spans="1:16">
      <c r="A22" s="58">
        <v>500000</v>
      </c>
      <c r="B22" s="130"/>
      <c r="C22" s="20">
        <v>7.1296607494479303E-2</v>
      </c>
      <c r="D22" s="20">
        <v>6.8959240488484203E-2</v>
      </c>
      <c r="E22" s="20">
        <v>7.1037878669383603E-2</v>
      </c>
      <c r="F22" s="20">
        <v>6.26525707482046E-2</v>
      </c>
      <c r="G22" s="20">
        <v>6.3468410515288495E-2</v>
      </c>
      <c r="H22" s="20" t="s">
        <v>428</v>
      </c>
      <c r="I22" s="20" t="s">
        <v>428</v>
      </c>
      <c r="J22" s="20" t="s">
        <v>428</v>
      </c>
      <c r="K22" s="20">
        <v>7.2060012670077098E-2</v>
      </c>
    </row>
    <row r="23" spans="1:16">
      <c r="A23" s="58">
        <v>800000</v>
      </c>
      <c r="B23" s="130"/>
      <c r="C23" s="20">
        <v>5.5058437701191003E-2</v>
      </c>
      <c r="D23" s="20">
        <v>5.2946905408078102E-2</v>
      </c>
      <c r="E23" s="20">
        <v>5.4072312337025003E-2</v>
      </c>
      <c r="F23" s="20">
        <v>4.2084448357212999E-2</v>
      </c>
      <c r="G23" s="20">
        <v>4.6180697099832198E-2</v>
      </c>
      <c r="H23" s="20" t="s">
        <v>428</v>
      </c>
      <c r="I23" s="20" t="s">
        <v>428</v>
      </c>
      <c r="J23" s="20" t="s">
        <v>428</v>
      </c>
      <c r="K23" s="20">
        <v>5.6579030579843002E-2</v>
      </c>
    </row>
    <row r="24" spans="1:16">
      <c r="A24" s="58">
        <v>1000000</v>
      </c>
      <c r="B24" s="130"/>
      <c r="C24" s="20">
        <v>4.8450123447172401E-2</v>
      </c>
      <c r="D24" s="20">
        <v>4.6398372942265897E-2</v>
      </c>
      <c r="E24" s="20">
        <v>4.7079125126015101E-2</v>
      </c>
      <c r="F24" s="20">
        <v>3.2436278042588099E-2</v>
      </c>
      <c r="G24" s="20">
        <v>3.8740108437155897E-2</v>
      </c>
      <c r="H24" s="20" t="s">
        <v>428</v>
      </c>
      <c r="I24" s="20" t="s">
        <v>428</v>
      </c>
      <c r="J24" s="20" t="s">
        <v>428</v>
      </c>
      <c r="K24" s="20">
        <v>5.0373092465364401E-2</v>
      </c>
      <c r="P24" s="10"/>
    </row>
    <row r="25" spans="1:16">
      <c r="A25" s="58">
        <v>1500000</v>
      </c>
      <c r="B25" s="130"/>
      <c r="C25" s="20">
        <v>3.7885346172883999E-2</v>
      </c>
      <c r="D25" s="20">
        <v>3.5850891193041197E-2</v>
      </c>
      <c r="E25" s="20">
        <v>3.5676747931884703E-2</v>
      </c>
      <c r="F25" s="20">
        <v>9.7609095317676402E-3</v>
      </c>
      <c r="G25" s="20">
        <v>2.5648872763193799E-2</v>
      </c>
      <c r="H25" s="20" t="s">
        <v>428</v>
      </c>
      <c r="I25" s="20" t="s">
        <v>428</v>
      </c>
      <c r="J25" s="20" t="s">
        <v>428</v>
      </c>
      <c r="K25" s="20">
        <v>4.0650178302875803E-2</v>
      </c>
    </row>
    <row r="26" spans="1:16">
      <c r="A26" s="58">
        <v>2000000</v>
      </c>
      <c r="B26" s="130"/>
      <c r="C26" s="20">
        <v>3.12950517166194E-2</v>
      </c>
      <c r="D26" s="20">
        <v>2.91782922021309E-2</v>
      </c>
      <c r="E26" s="20">
        <v>2.8302358615102299E-2</v>
      </c>
      <c r="F26" s="20" t="s">
        <v>428</v>
      </c>
      <c r="G26" s="20">
        <v>1.53862511042818E-2</v>
      </c>
      <c r="H26" s="20" t="s">
        <v>428</v>
      </c>
      <c r="I26" s="20" t="s">
        <v>428</v>
      </c>
      <c r="J26" s="20" t="s">
        <v>428</v>
      </c>
      <c r="K26" s="20">
        <v>3.4783481895824003E-2</v>
      </c>
    </row>
    <row r="27" spans="1:16">
      <c r="A27" s="58">
        <v>5000000</v>
      </c>
      <c r="B27" s="130"/>
      <c r="C27" s="20">
        <v>1.25964435732478E-2</v>
      </c>
      <c r="D27" s="20">
        <v>8.4079604607753995E-3</v>
      </c>
      <c r="E27" s="20" t="s">
        <v>428</v>
      </c>
      <c r="F27" s="20" t="s">
        <v>428</v>
      </c>
      <c r="G27" s="20" t="s">
        <v>428</v>
      </c>
      <c r="H27" s="20" t="s">
        <v>428</v>
      </c>
      <c r="I27" s="20" t="s">
        <v>428</v>
      </c>
      <c r="J27" s="20" t="s">
        <v>428</v>
      </c>
      <c r="K27" s="20">
        <v>2.0331156232889801E-2</v>
      </c>
    </row>
    <row r="28" spans="1:16">
      <c r="A28" s="58">
        <v>8000000</v>
      </c>
      <c r="B28" s="130"/>
      <c r="C28" s="20" t="s">
        <v>428</v>
      </c>
      <c r="D28" s="20" t="s">
        <v>428</v>
      </c>
      <c r="E28" s="20" t="s">
        <v>428</v>
      </c>
      <c r="F28" s="20" t="s">
        <v>428</v>
      </c>
      <c r="G28" s="20" t="s">
        <v>428</v>
      </c>
      <c r="H28" s="20" t="s">
        <v>428</v>
      </c>
      <c r="I28" s="20" t="s">
        <v>428</v>
      </c>
      <c r="J28" s="20" t="s">
        <v>428</v>
      </c>
      <c r="K28" s="20">
        <v>1.46366800800316E-2</v>
      </c>
    </row>
    <row r="29" spans="1:16">
      <c r="A29" s="58">
        <v>10000000</v>
      </c>
      <c r="B29" s="130"/>
      <c r="C29" s="20" t="s">
        <v>428</v>
      </c>
      <c r="D29" s="20" t="s">
        <v>428</v>
      </c>
      <c r="E29" s="20" t="s">
        <v>428</v>
      </c>
      <c r="F29" s="20" t="s">
        <v>428</v>
      </c>
      <c r="G29" s="20" t="s">
        <v>428</v>
      </c>
      <c r="H29" s="20" t="s">
        <v>428</v>
      </c>
      <c r="I29" s="20" t="s">
        <v>428</v>
      </c>
      <c r="J29" s="20" t="s">
        <v>428</v>
      </c>
      <c r="K29" s="20">
        <v>1.21594604826003E-2</v>
      </c>
    </row>
    <row r="30" spans="1:16">
      <c r="A30" s="58">
        <v>20000000</v>
      </c>
      <c r="B30" s="130"/>
      <c r="C30" s="20" t="s">
        <v>428</v>
      </c>
      <c r="D30" s="20" t="s">
        <v>428</v>
      </c>
      <c r="E30" s="20" t="s">
        <v>428</v>
      </c>
      <c r="F30" s="20" t="s">
        <v>428</v>
      </c>
      <c r="G30" s="20" t="s">
        <v>428</v>
      </c>
      <c r="H30" s="20" t="s">
        <v>428</v>
      </c>
      <c r="I30" s="20" t="s">
        <v>428</v>
      </c>
      <c r="J30" s="20" t="s">
        <v>428</v>
      </c>
      <c r="K30" s="20">
        <v>3.8854466996460302E-3</v>
      </c>
    </row>
    <row r="31" spans="1:16">
      <c r="A31" s="58"/>
      <c r="B31" s="58"/>
      <c r="C31" s="20"/>
      <c r="D31" s="20"/>
      <c r="E31" s="20"/>
      <c r="F31" s="20"/>
      <c r="G31" s="20"/>
      <c r="H31" s="20"/>
      <c r="I31" s="20"/>
      <c r="J31" s="20"/>
      <c r="K31" s="20"/>
    </row>
    <row r="32" spans="1:16">
      <c r="A32" s="168" t="s">
        <v>429</v>
      </c>
      <c r="B32" s="168"/>
      <c r="C32" s="168"/>
      <c r="D32" s="168"/>
      <c r="E32" s="168"/>
      <c r="F32" s="168"/>
      <c r="G32" s="168"/>
      <c r="H32" s="168"/>
      <c r="I32" s="168"/>
      <c r="J32" s="168"/>
      <c r="K32" s="168"/>
    </row>
    <row r="33" spans="1:11">
      <c r="A33" s="29" t="s">
        <v>418</v>
      </c>
      <c r="B33" s="29"/>
      <c r="C33" s="60" t="s">
        <v>430</v>
      </c>
      <c r="D33" s="60" t="s">
        <v>431</v>
      </c>
      <c r="E33" s="60" t="s">
        <v>432</v>
      </c>
      <c r="F33" s="60" t="s">
        <v>433</v>
      </c>
      <c r="G33" s="60" t="s">
        <v>434</v>
      </c>
      <c r="H33" s="60" t="s">
        <v>435</v>
      </c>
      <c r="I33" s="60" t="s">
        <v>436</v>
      </c>
      <c r="J33" s="60" t="s">
        <v>437</v>
      </c>
      <c r="K33" s="60" t="s">
        <v>438</v>
      </c>
    </row>
    <row r="34" spans="1:11">
      <c r="A34" s="59">
        <v>1000</v>
      </c>
      <c r="B34" s="59"/>
      <c r="C34" s="15">
        <v>1653.93928430239</v>
      </c>
      <c r="D34" s="15">
        <v>1613.1531614851101</v>
      </c>
      <c r="E34" s="15">
        <v>1682.2414164479601</v>
      </c>
      <c r="F34" s="15">
        <v>1694.65967427225</v>
      </c>
      <c r="G34" s="15">
        <v>1589.3685161495901</v>
      </c>
      <c r="H34" s="15">
        <v>1293.23593605612</v>
      </c>
      <c r="I34" s="15">
        <v>1310.8712007817401</v>
      </c>
      <c r="J34" s="15">
        <v>1248.5138564716001</v>
      </c>
      <c r="K34" s="15">
        <v>1629.4276128108199</v>
      </c>
    </row>
    <row r="35" spans="1:11">
      <c r="A35" s="59">
        <v>2000</v>
      </c>
      <c r="B35" s="59"/>
      <c r="C35" s="15">
        <v>2338.7868274460898</v>
      </c>
      <c r="D35" s="15">
        <v>2281.0759273240301</v>
      </c>
      <c r="E35" s="15">
        <v>2378.66825241284</v>
      </c>
      <c r="F35" s="15">
        <v>2395.4745912271301</v>
      </c>
      <c r="G35" s="15">
        <v>2247.40599553523</v>
      </c>
      <c r="H35" s="15">
        <v>1826.42967484016</v>
      </c>
      <c r="I35" s="15">
        <v>1849.85214568535</v>
      </c>
      <c r="J35" s="15">
        <v>1762.9550731925001</v>
      </c>
      <c r="K35" s="15">
        <v>2304.288050264</v>
      </c>
    </row>
    <row r="36" spans="1:11">
      <c r="A36" s="59">
        <v>5000</v>
      </c>
      <c r="B36" s="59"/>
      <c r="C36" s="15">
        <v>3697.1985502798202</v>
      </c>
      <c r="D36" s="15">
        <v>3605.85276633793</v>
      </c>
      <c r="E36" s="15">
        <v>3759.8016012347298</v>
      </c>
      <c r="F36" s="15">
        <v>3783.9826589282102</v>
      </c>
      <c r="G36" s="15">
        <v>3551.0841483036802</v>
      </c>
      <c r="H36" s="15">
        <v>2879.9736657573999</v>
      </c>
      <c r="I36" s="15">
        <v>2902.63035399009</v>
      </c>
      <c r="J36" s="15">
        <v>2777.45237038808</v>
      </c>
      <c r="K36" s="15">
        <v>3643.1761123244401</v>
      </c>
    </row>
    <row r="37" spans="1:11">
      <c r="A37" s="59">
        <v>10000</v>
      </c>
      <c r="B37" s="59"/>
      <c r="C37" s="15">
        <v>5226.7763199703604</v>
      </c>
      <c r="D37" s="15">
        <v>5097.0551471314802</v>
      </c>
      <c r="E37" s="15">
        <v>5314.1834943870699</v>
      </c>
      <c r="F37" s="15">
        <v>5343.7238828592599</v>
      </c>
      <c r="G37" s="15">
        <v>5017.2818791294903</v>
      </c>
      <c r="H37" s="15">
        <v>4050.5600009588102</v>
      </c>
      <c r="I37" s="15">
        <v>4055.01548595337</v>
      </c>
      <c r="J37" s="15">
        <v>3901.44622333086</v>
      </c>
      <c r="K37" s="15">
        <v>5151.6766307064199</v>
      </c>
    </row>
    <row r="38" spans="1:11">
      <c r="A38" s="59">
        <v>20000</v>
      </c>
      <c r="B38" s="59"/>
      <c r="C38" s="15">
        <v>7386.5368903394501</v>
      </c>
      <c r="D38" s="15">
        <v>7201.9808351893098</v>
      </c>
      <c r="E38" s="15">
        <v>7507.5602684095502</v>
      </c>
      <c r="F38" s="15">
        <v>7531.9100135975796</v>
      </c>
      <c r="G38" s="15">
        <v>7081.2150925023998</v>
      </c>
      <c r="H38" s="15">
        <v>5667.31636574808</v>
      </c>
      <c r="I38" s="15">
        <v>5584.1500272454196</v>
      </c>
      <c r="J38" s="15">
        <v>5447.7074541908996</v>
      </c>
      <c r="K38" s="15">
        <v>7283.8965395947598</v>
      </c>
    </row>
    <row r="39" spans="1:11">
      <c r="A39" s="59">
        <v>50000</v>
      </c>
      <c r="B39" s="59"/>
      <c r="C39" s="15">
        <v>11654.2443701341</v>
      </c>
      <c r="D39" s="15">
        <v>11357.858409185101</v>
      </c>
      <c r="E39" s="15">
        <v>11831.364074905399</v>
      </c>
      <c r="F39" s="15">
        <v>11794.1518616454</v>
      </c>
      <c r="G39" s="15">
        <v>11126.7937320685</v>
      </c>
      <c r="H39" s="15">
        <v>8664.8256228425107</v>
      </c>
      <c r="I39" s="15">
        <v>8096.3200052595403</v>
      </c>
      <c r="J39" s="15">
        <v>8264.1720942186003</v>
      </c>
      <c r="K39" s="15">
        <v>11509.258802815801</v>
      </c>
    </row>
    <row r="40" spans="1:11">
      <c r="A40" s="59">
        <v>100000</v>
      </c>
      <c r="B40" s="59"/>
      <c r="C40" s="15">
        <v>16422.742448727498</v>
      </c>
      <c r="D40" s="15">
        <v>15992.092010317099</v>
      </c>
      <c r="E40" s="15">
        <v>16639.887090550201</v>
      </c>
      <c r="F40" s="15">
        <v>16403.8051601398</v>
      </c>
      <c r="G40" s="15">
        <v>15571.700031226001</v>
      </c>
      <c r="H40" s="15">
        <v>11529.0796138184</v>
      </c>
      <c r="I40" s="15">
        <v>9486.4597599329609</v>
      </c>
      <c r="J40" s="15">
        <v>10816.1317629897</v>
      </c>
      <c r="K40" s="15">
        <v>16258.3041739443</v>
      </c>
    </row>
    <row r="41" spans="1:11">
      <c r="A41" s="59">
        <v>200000</v>
      </c>
      <c r="B41" s="59"/>
      <c r="C41" s="15">
        <v>23056.716984648101</v>
      </c>
      <c r="D41" s="15">
        <v>22417.3014206265</v>
      </c>
      <c r="E41" s="15">
        <v>23271.358638952501</v>
      </c>
      <c r="F41" s="15">
        <v>22398.499889653001</v>
      </c>
      <c r="G41" s="15">
        <v>21550.469626602699</v>
      </c>
      <c r="H41" s="15">
        <v>14009.981019184601</v>
      </c>
      <c r="I41" s="15">
        <v>3848.8503713928199</v>
      </c>
      <c r="J41" s="15">
        <v>12472.366041101701</v>
      </c>
      <c r="K41" s="15">
        <v>22941.729432973902</v>
      </c>
    </row>
    <row r="42" spans="1:11">
      <c r="A42" s="59">
        <v>500000</v>
      </c>
      <c r="B42" s="59"/>
      <c r="C42" s="15">
        <v>35648.303747239697</v>
      </c>
      <c r="D42" s="15">
        <v>34479.620244242098</v>
      </c>
      <c r="E42" s="15">
        <v>35518.9393346918</v>
      </c>
      <c r="F42" s="15">
        <v>31326.285374102299</v>
      </c>
      <c r="G42" s="15">
        <v>31734.205257644298</v>
      </c>
      <c r="H42" s="15" t="s">
        <v>428</v>
      </c>
      <c r="I42" s="15" t="s">
        <v>428</v>
      </c>
      <c r="J42" s="15" t="s">
        <v>428</v>
      </c>
      <c r="K42" s="15">
        <v>36030.006335038503</v>
      </c>
    </row>
    <row r="43" spans="1:11">
      <c r="A43" s="59">
        <v>800000</v>
      </c>
      <c r="B43" s="59"/>
      <c r="C43" s="15">
        <v>44046.750160952797</v>
      </c>
      <c r="D43" s="15">
        <v>42357.524326462502</v>
      </c>
      <c r="E43" s="15">
        <v>43257.849869619997</v>
      </c>
      <c r="F43" s="15">
        <v>33667.558685770397</v>
      </c>
      <c r="G43" s="15">
        <v>36944.5576798658</v>
      </c>
      <c r="H43" s="15" t="s">
        <v>428</v>
      </c>
      <c r="I43" s="15" t="s">
        <v>428</v>
      </c>
      <c r="J43" s="15" t="s">
        <v>428</v>
      </c>
      <c r="K43" s="15">
        <v>45263.224463874401</v>
      </c>
    </row>
    <row r="44" spans="1:11">
      <c r="A44" s="59">
        <v>1000000</v>
      </c>
      <c r="B44" s="59"/>
      <c r="C44" s="15">
        <v>48450.123447172402</v>
      </c>
      <c r="D44" s="15">
        <v>46398.372942265902</v>
      </c>
      <c r="E44" s="15">
        <v>47079.125126015097</v>
      </c>
      <c r="F44" s="15">
        <v>32436.278042588099</v>
      </c>
      <c r="G44" s="15">
        <v>38740.108437155897</v>
      </c>
      <c r="H44" s="15" t="s">
        <v>428</v>
      </c>
      <c r="I44" s="15" t="s">
        <v>428</v>
      </c>
      <c r="J44" s="15" t="s">
        <v>428</v>
      </c>
      <c r="K44" s="15">
        <v>50373.092465364403</v>
      </c>
    </row>
    <row r="45" spans="1:11">
      <c r="A45" s="59">
        <v>1500000</v>
      </c>
      <c r="B45" s="59"/>
      <c r="C45" s="15">
        <v>56828.019259326102</v>
      </c>
      <c r="D45" s="15">
        <v>53776.336789561901</v>
      </c>
      <c r="E45" s="15">
        <v>53515.121897827099</v>
      </c>
      <c r="F45" s="15">
        <v>14641.3642976515</v>
      </c>
      <c r="G45" s="15">
        <v>38473.309144790699</v>
      </c>
      <c r="H45" s="15" t="s">
        <v>428</v>
      </c>
      <c r="I45" s="15" t="s">
        <v>428</v>
      </c>
      <c r="J45" s="15" t="s">
        <v>428</v>
      </c>
      <c r="K45" s="15">
        <v>60975.267454313696</v>
      </c>
    </row>
    <row r="46" spans="1:11">
      <c r="A46" s="59">
        <v>2000000</v>
      </c>
      <c r="B46" s="59"/>
      <c r="C46" s="15">
        <v>62590.103433238903</v>
      </c>
      <c r="D46" s="15">
        <v>58356.584404261797</v>
      </c>
      <c r="E46" s="15">
        <v>56604.717230204602</v>
      </c>
      <c r="F46" s="15" t="s">
        <v>428</v>
      </c>
      <c r="G46" s="15">
        <v>30772.502208563699</v>
      </c>
      <c r="H46" s="15" t="s">
        <v>428</v>
      </c>
      <c r="I46" s="15" t="s">
        <v>428</v>
      </c>
      <c r="J46" s="15" t="s">
        <v>428</v>
      </c>
      <c r="K46" s="15">
        <v>69566.963791647999</v>
      </c>
    </row>
    <row r="47" spans="1:11">
      <c r="A47" s="59">
        <v>5000000</v>
      </c>
      <c r="B47" s="59"/>
      <c r="C47" s="15">
        <v>62982.217866239</v>
      </c>
      <c r="D47" s="15">
        <v>42039.802303876997</v>
      </c>
      <c r="E47" s="15" t="s">
        <v>428</v>
      </c>
      <c r="F47" s="15" t="s">
        <v>428</v>
      </c>
      <c r="G47" s="15" t="s">
        <v>428</v>
      </c>
      <c r="H47" s="15" t="s">
        <v>428</v>
      </c>
      <c r="I47" s="15" t="s">
        <v>428</v>
      </c>
      <c r="J47" s="15" t="s">
        <v>428</v>
      </c>
      <c r="K47" s="15">
        <v>101655.781164449</v>
      </c>
    </row>
    <row r="48" spans="1:11">
      <c r="A48" s="59">
        <v>8000000</v>
      </c>
      <c r="B48" s="59"/>
      <c r="C48" s="15" t="s">
        <v>428</v>
      </c>
      <c r="D48" s="15" t="s">
        <v>428</v>
      </c>
      <c r="E48" s="15" t="s">
        <v>428</v>
      </c>
      <c r="F48" s="15" t="s">
        <v>428</v>
      </c>
      <c r="G48" s="15" t="s">
        <v>428</v>
      </c>
      <c r="H48" s="15" t="s">
        <v>428</v>
      </c>
      <c r="I48" s="15" t="s">
        <v>428</v>
      </c>
      <c r="J48" s="15" t="s">
        <v>428</v>
      </c>
      <c r="K48" s="15">
        <v>117093.440640253</v>
      </c>
    </row>
    <row r="49" spans="1:11">
      <c r="A49" s="59">
        <v>10000000</v>
      </c>
      <c r="B49" s="59"/>
      <c r="C49" s="15" t="s">
        <v>428</v>
      </c>
      <c r="D49" s="15" t="s">
        <v>428</v>
      </c>
      <c r="E49" s="15" t="s">
        <v>428</v>
      </c>
      <c r="F49" s="15" t="s">
        <v>428</v>
      </c>
      <c r="G49" s="15" t="s">
        <v>428</v>
      </c>
      <c r="H49" s="15" t="s">
        <v>428</v>
      </c>
      <c r="I49" s="15" t="s">
        <v>428</v>
      </c>
      <c r="J49" s="15" t="s">
        <v>428</v>
      </c>
      <c r="K49" s="15">
        <v>121594.60482600299</v>
      </c>
    </row>
    <row r="50" spans="1:11">
      <c r="A50" s="59">
        <v>20000000</v>
      </c>
      <c r="B50" s="59"/>
      <c r="C50" s="15" t="s">
        <v>428</v>
      </c>
      <c r="D50" s="15" t="s">
        <v>428</v>
      </c>
      <c r="E50" s="15" t="s">
        <v>428</v>
      </c>
      <c r="F50" s="15" t="s">
        <v>428</v>
      </c>
      <c r="G50" s="15" t="s">
        <v>428</v>
      </c>
      <c r="H50" s="15" t="s">
        <v>428</v>
      </c>
      <c r="I50" s="15" t="s">
        <v>428</v>
      </c>
      <c r="J50" s="15" t="s">
        <v>428</v>
      </c>
      <c r="K50" s="15">
        <v>77708.933992920603</v>
      </c>
    </row>
    <row r="51" spans="1:11">
      <c r="A51" s="1" t="s">
        <v>439</v>
      </c>
    </row>
    <row r="53" spans="1:11">
      <c r="A53" s="168" t="s">
        <v>440</v>
      </c>
      <c r="B53" s="168"/>
      <c r="C53" s="168"/>
      <c r="D53" s="168"/>
      <c r="E53" s="168"/>
      <c r="F53" s="168"/>
      <c r="G53" s="168"/>
      <c r="H53" s="168"/>
      <c r="I53" s="168"/>
      <c r="J53" s="168"/>
      <c r="K53" s="168"/>
    </row>
    <row r="54" spans="1:11">
      <c r="A54" s="29" t="s">
        <v>441</v>
      </c>
      <c r="B54" s="29"/>
      <c r="C54" s="60" t="s">
        <v>430</v>
      </c>
      <c r="D54" s="60" t="s">
        <v>431</v>
      </c>
      <c r="E54" s="60" t="s">
        <v>432</v>
      </c>
      <c r="F54" s="60" t="s">
        <v>433</v>
      </c>
      <c r="G54" s="60" t="s">
        <v>434</v>
      </c>
      <c r="H54" s="60" t="s">
        <v>435</v>
      </c>
      <c r="I54" s="60" t="s">
        <v>436</v>
      </c>
      <c r="J54" s="60" t="s">
        <v>437</v>
      </c>
      <c r="K54" s="60" t="s">
        <v>438</v>
      </c>
    </row>
    <row r="55" spans="1:11">
      <c r="A55" s="59" t="s">
        <v>442</v>
      </c>
      <c r="B55" s="59"/>
      <c r="C55" s="11">
        <v>10926.703662412199</v>
      </c>
      <c r="D55" s="11">
        <v>10392.041692896901</v>
      </c>
      <c r="E55" s="11">
        <v>11294.4438488505</v>
      </c>
      <c r="F55" s="11">
        <v>11411.3310255823</v>
      </c>
      <c r="G55" s="11">
        <v>10069.4056509775</v>
      </c>
      <c r="H55" s="11">
        <v>6611.3166963231497</v>
      </c>
      <c r="I55" s="11">
        <v>6681.1289904499699</v>
      </c>
      <c r="J55" s="11">
        <v>6152.5712767039904</v>
      </c>
      <c r="K55" s="11">
        <v>10615.676462653</v>
      </c>
    </row>
    <row r="56" spans="1:11">
      <c r="A56" s="59" t="s">
        <v>443</v>
      </c>
      <c r="B56" s="59"/>
      <c r="C56" s="11">
        <v>2735.3060455534701</v>
      </c>
      <c r="D56" s="11">
        <v>2601.3872291316602</v>
      </c>
      <c r="E56" s="11">
        <v>2829.1194448900501</v>
      </c>
      <c r="F56" s="11">
        <v>2868.3598543252401</v>
      </c>
      <c r="G56" s="11">
        <v>2525.2936593273398</v>
      </c>
      <c r="H56" s="11">
        <v>1670.3902422118999</v>
      </c>
      <c r="I56" s="11">
        <v>1711.40323917559</v>
      </c>
      <c r="J56" s="11">
        <v>1556.7901989204299</v>
      </c>
      <c r="K56" s="11">
        <v>2655.4904152711802</v>
      </c>
    </row>
    <row r="58" spans="1:11">
      <c r="A58" s="1" t="s">
        <v>112</v>
      </c>
    </row>
    <row r="59" spans="1:11">
      <c r="A59" s="1" t="s">
        <v>113</v>
      </c>
    </row>
    <row r="61" spans="1:11">
      <c r="A61" s="168" t="s">
        <v>444</v>
      </c>
      <c r="B61" s="168"/>
      <c r="C61" s="168"/>
      <c r="D61" s="168"/>
      <c r="E61" s="168"/>
      <c r="F61" s="168"/>
      <c r="G61" s="168"/>
      <c r="H61" s="168"/>
      <c r="I61" s="168"/>
      <c r="J61" s="168"/>
      <c r="K61" s="168"/>
    </row>
    <row r="62" spans="1:11">
      <c r="A62" s="29" t="s">
        <v>418</v>
      </c>
      <c r="B62" s="29"/>
      <c r="C62" s="60" t="s">
        <v>419</v>
      </c>
      <c r="D62" s="60" t="s">
        <v>420</v>
      </c>
      <c r="E62" s="60" t="s">
        <v>421</v>
      </c>
      <c r="F62" s="60" t="s">
        <v>422</v>
      </c>
      <c r="G62" s="60" t="s">
        <v>423</v>
      </c>
      <c r="H62" s="60" t="s">
        <v>424</v>
      </c>
      <c r="I62" s="60" t="s">
        <v>425</v>
      </c>
      <c r="J62" s="60" t="s">
        <v>426</v>
      </c>
      <c r="K62" s="60" t="s">
        <v>427</v>
      </c>
    </row>
    <row r="63" spans="1:11">
      <c r="A63" s="59">
        <v>1000</v>
      </c>
      <c r="B63" s="59"/>
      <c r="C63" s="20">
        <v>1.48082921887849</v>
      </c>
      <c r="D63" s="20">
        <v>1.44001236582902</v>
      </c>
      <c r="E63" s="20">
        <v>1.5490016835284</v>
      </c>
      <c r="F63" s="20">
        <v>1.6138613665777499</v>
      </c>
      <c r="G63" s="20">
        <v>1.5297642208714901</v>
      </c>
      <c r="H63" s="20">
        <v>1.26051083947216</v>
      </c>
      <c r="I63" s="20">
        <v>1.3367925380343599</v>
      </c>
      <c r="J63" s="20">
        <v>1.2278843112161799</v>
      </c>
      <c r="K63" s="20">
        <v>1.4910194014354401</v>
      </c>
    </row>
    <row r="64" spans="1:11">
      <c r="A64" s="59">
        <v>2000</v>
      </c>
      <c r="B64" s="59"/>
      <c r="C64" s="20">
        <v>1.04670616817902</v>
      </c>
      <c r="D64" s="20">
        <v>1.01779344930755</v>
      </c>
      <c r="E64" s="20">
        <v>1.09497022667794</v>
      </c>
      <c r="F64" s="20">
        <v>1.1386941974985201</v>
      </c>
      <c r="G64" s="20">
        <v>1.08110217990663</v>
      </c>
      <c r="H64" s="20">
        <v>0.88527287394659104</v>
      </c>
      <c r="I64" s="20">
        <v>0.93677727349798101</v>
      </c>
      <c r="J64" s="20">
        <v>0.86406098380943297</v>
      </c>
      <c r="K64" s="20">
        <v>1.0542467272901299</v>
      </c>
    </row>
    <row r="65" spans="1:11">
      <c r="A65" s="59">
        <v>5000</v>
      </c>
      <c r="B65" s="59"/>
      <c r="C65" s="20">
        <v>0.66136505484016095</v>
      </c>
      <c r="D65" s="20">
        <v>0.64299852314316597</v>
      </c>
      <c r="E65" s="20">
        <v>0.69144580262884803</v>
      </c>
      <c r="F65" s="20">
        <v>0.71702856727418796</v>
      </c>
      <c r="G65" s="20">
        <v>0.68183432349705397</v>
      </c>
      <c r="H65" s="20">
        <v>0.55087495204903802</v>
      </c>
      <c r="I65" s="20">
        <v>0.57330880460282196</v>
      </c>
      <c r="J65" s="20">
        <v>0.535763811859997</v>
      </c>
      <c r="K65" s="20">
        <v>0.66652428842209599</v>
      </c>
    </row>
    <row r="66" spans="1:11">
      <c r="A66" s="59">
        <v>10000</v>
      </c>
      <c r="B66" s="59"/>
      <c r="C66" s="20">
        <v>0.46685271892522001</v>
      </c>
      <c r="D66" s="20">
        <v>0.45366204267619598</v>
      </c>
      <c r="E66" s="20">
        <v>0.487708265488075</v>
      </c>
      <c r="F66" s="20">
        <v>0.50253871419442897</v>
      </c>
      <c r="G66" s="20">
        <v>0.479955458996636</v>
      </c>
      <c r="H66" s="20">
        <v>0.37834247039331498</v>
      </c>
      <c r="I66" s="20">
        <v>0.38520904452997901</v>
      </c>
      <c r="J66" s="20">
        <v>0.36718273720442002</v>
      </c>
      <c r="K66" s="20">
        <v>0.47107758210856499</v>
      </c>
    </row>
    <row r="67" spans="1:11">
      <c r="A67" s="59">
        <v>20000</v>
      </c>
      <c r="B67" s="59"/>
      <c r="C67" s="20">
        <v>0.329039531259956</v>
      </c>
      <c r="D67" s="20">
        <v>0.319502352428368</v>
      </c>
      <c r="E67" s="20">
        <v>0.34313318019623501</v>
      </c>
      <c r="F67" s="20">
        <v>0.349739522698789</v>
      </c>
      <c r="G67" s="20">
        <v>0.33608943058151203</v>
      </c>
      <c r="H67" s="20">
        <v>0.250964003310154</v>
      </c>
      <c r="I67" s="20">
        <v>0.23799573691770901</v>
      </c>
      <c r="J67" s="20">
        <v>0.24155927811995501</v>
      </c>
      <c r="K67" s="20">
        <v>0.33274189077157101</v>
      </c>
    </row>
    <row r="68" spans="1:11">
      <c r="A68" s="59">
        <v>50000</v>
      </c>
      <c r="B68" s="59"/>
      <c r="C68" s="20">
        <v>0.20596842695088199</v>
      </c>
      <c r="D68" s="20">
        <v>0.19952113596278001</v>
      </c>
      <c r="E68" s="20">
        <v>0.213703054791646</v>
      </c>
      <c r="F68" s="20">
        <v>0.209385509600478</v>
      </c>
      <c r="G68" s="20">
        <v>0.20644614787351601</v>
      </c>
      <c r="H68" s="20">
        <v>0.122011780537556</v>
      </c>
      <c r="I68" s="20">
        <v>4.7262753434183402E-2</v>
      </c>
      <c r="J68" s="20">
        <v>0.111006968746562</v>
      </c>
      <c r="K68" s="20">
        <v>0.20979753160350301</v>
      </c>
    </row>
    <row r="69" spans="1:11">
      <c r="A69" s="59">
        <v>100000</v>
      </c>
      <c r="B69" s="59"/>
      <c r="C69" s="20">
        <v>0.143129673001095</v>
      </c>
      <c r="D69" s="20">
        <v>0.138069491721768</v>
      </c>
      <c r="E69" s="20">
        <v>0.14712308130444501</v>
      </c>
      <c r="F69" s="20">
        <v>0.13340467205210099</v>
      </c>
      <c r="G69" s="20">
        <v>0.13844107686670101</v>
      </c>
      <c r="H69" s="20" t="s">
        <v>428</v>
      </c>
      <c r="I69" s="20" t="s">
        <v>428</v>
      </c>
      <c r="J69" s="20" t="s">
        <v>428</v>
      </c>
      <c r="K69" s="20">
        <v>0.14756564562497199</v>
      </c>
    </row>
    <row r="70" spans="1:11">
      <c r="A70" s="59">
        <v>200000</v>
      </c>
      <c r="B70" s="59"/>
      <c r="C70" s="20">
        <v>9.7537118901486405E-2</v>
      </c>
      <c r="D70" s="20">
        <v>9.3197979921418594E-2</v>
      </c>
      <c r="E70" s="20">
        <v>9.8149395133791201E-2</v>
      </c>
      <c r="F70" s="20">
        <v>6.8684541013057904E-2</v>
      </c>
      <c r="G70" s="20">
        <v>8.6249009618145397E-2</v>
      </c>
      <c r="H70" s="20" t="s">
        <v>428</v>
      </c>
      <c r="I70" s="20" t="s">
        <v>428</v>
      </c>
      <c r="J70" s="20" t="s">
        <v>428</v>
      </c>
      <c r="K70" s="20">
        <v>0.103234006881887</v>
      </c>
    </row>
    <row r="71" spans="1:11">
      <c r="A71" s="59">
        <v>500000</v>
      </c>
      <c r="B71" s="59"/>
      <c r="C71" s="20">
        <v>5.41133417490271E-2</v>
      </c>
      <c r="D71" s="20">
        <v>4.95746125438941E-2</v>
      </c>
      <c r="E71" s="20">
        <v>4.9256120357771299E-2</v>
      </c>
      <c r="F71" s="20" t="s">
        <v>428</v>
      </c>
      <c r="G71" s="20">
        <v>2.0066579124766198E-2</v>
      </c>
      <c r="H71" s="20" t="s">
        <v>428</v>
      </c>
      <c r="I71" s="20" t="s">
        <v>428</v>
      </c>
      <c r="J71" s="20" t="s">
        <v>428</v>
      </c>
      <c r="K71" s="20">
        <v>6.3140933511513897E-2</v>
      </c>
    </row>
    <row r="72" spans="1:11">
      <c r="A72" s="59">
        <v>800000</v>
      </c>
      <c r="B72" s="59"/>
      <c r="C72" s="20">
        <v>3.5818808393155002E-2</v>
      </c>
      <c r="D72" s="20">
        <v>3.00288157027448E-2</v>
      </c>
      <c r="E72" s="20">
        <v>2.4987612923040602E-2</v>
      </c>
      <c r="F72" s="20" t="s">
        <v>428</v>
      </c>
      <c r="G72" s="20" t="s">
        <v>428</v>
      </c>
      <c r="H72" s="20" t="s">
        <v>428</v>
      </c>
      <c r="I72" s="20" t="s">
        <v>428</v>
      </c>
      <c r="J72" s="20" t="s">
        <v>428</v>
      </c>
      <c r="K72" s="20">
        <v>4.81576246471987E-2</v>
      </c>
    </row>
    <row r="73" spans="1:11">
      <c r="A73" s="59">
        <v>1000000</v>
      </c>
      <c r="B73" s="59"/>
      <c r="C73" s="20">
        <v>2.7102855837073898E-2</v>
      </c>
      <c r="D73" s="20">
        <v>1.9549373194634598E-2</v>
      </c>
      <c r="E73" s="20">
        <v>4.8770826548810101E-3</v>
      </c>
      <c r="F73" s="20" t="s">
        <v>428</v>
      </c>
      <c r="G73" s="20" t="s">
        <v>428</v>
      </c>
      <c r="H73" s="20" t="s">
        <v>428</v>
      </c>
      <c r="I73" s="20" t="s">
        <v>428</v>
      </c>
      <c r="J73" s="20" t="s">
        <v>428</v>
      </c>
      <c r="K73" s="20">
        <v>4.19893506301523E-2</v>
      </c>
    </row>
    <row r="74" spans="1:11">
      <c r="A74" s="59">
        <v>1500000</v>
      </c>
      <c r="B74" s="59"/>
      <c r="C74" s="20">
        <v>1.6671185099112001E-3</v>
      </c>
      <c r="D74" s="20" t="s">
        <v>428</v>
      </c>
      <c r="E74" s="20" t="s">
        <v>428</v>
      </c>
      <c r="F74" s="20" t="s">
        <v>428</v>
      </c>
      <c r="G74" s="20" t="s">
        <v>428</v>
      </c>
      <c r="H74" s="20" t="s">
        <v>428</v>
      </c>
      <c r="I74" s="20" t="s">
        <v>428</v>
      </c>
      <c r="J74" s="20" t="s">
        <v>428</v>
      </c>
      <c r="K74" s="20">
        <v>3.1966882762523602E-2</v>
      </c>
    </row>
    <row r="75" spans="1:11">
      <c r="A75" s="59">
        <v>2000000</v>
      </c>
      <c r="B75" s="59"/>
      <c r="C75" s="20" t="s">
        <v>428</v>
      </c>
      <c r="D75" s="20" t="s">
        <v>428</v>
      </c>
      <c r="E75" s="20" t="s">
        <v>428</v>
      </c>
      <c r="F75" s="20" t="s">
        <v>428</v>
      </c>
      <c r="G75" s="20" t="s">
        <v>428</v>
      </c>
      <c r="H75" s="20" t="s">
        <v>428</v>
      </c>
      <c r="I75" s="20" t="s">
        <v>428</v>
      </c>
      <c r="J75" s="20" t="s">
        <v>428</v>
      </c>
      <c r="K75" s="20">
        <v>2.5519984466269598E-2</v>
      </c>
    </row>
    <row r="77" spans="1:11">
      <c r="A77" s="168" t="s">
        <v>445</v>
      </c>
      <c r="B77" s="168"/>
      <c r="C77" s="168"/>
      <c r="D77" s="168"/>
      <c r="E77" s="168"/>
      <c r="F77" s="168"/>
      <c r="G77" s="168"/>
      <c r="H77" s="168"/>
      <c r="I77" s="168"/>
      <c r="J77" s="168"/>
      <c r="K77" s="168"/>
    </row>
    <row r="78" spans="1:11">
      <c r="A78" s="29" t="s">
        <v>418</v>
      </c>
      <c r="B78" s="29"/>
      <c r="C78" s="7" t="s">
        <v>430</v>
      </c>
      <c r="D78" s="7" t="s">
        <v>431</v>
      </c>
      <c r="E78" s="7" t="s">
        <v>432</v>
      </c>
      <c r="F78" s="7" t="s">
        <v>433</v>
      </c>
      <c r="G78" s="7" t="s">
        <v>434</v>
      </c>
      <c r="H78" s="7" t="s">
        <v>435</v>
      </c>
      <c r="I78" s="7" t="s">
        <v>436</v>
      </c>
      <c r="J78" s="7" t="s">
        <v>437</v>
      </c>
      <c r="K78" s="7" t="s">
        <v>438</v>
      </c>
    </row>
    <row r="79" spans="1:11">
      <c r="A79" s="59">
        <v>1000</v>
      </c>
      <c r="B79" s="59"/>
      <c r="C79" s="15">
        <v>1480.8292188784901</v>
      </c>
      <c r="D79" s="15">
        <v>1440.0123658290199</v>
      </c>
      <c r="E79" s="15">
        <v>1549.0016835284</v>
      </c>
      <c r="F79" s="15">
        <v>1613.86136657775</v>
      </c>
      <c r="G79" s="15">
        <v>1529.7642208714899</v>
      </c>
      <c r="H79" s="15">
        <v>1260.5108394721599</v>
      </c>
      <c r="I79" s="15">
        <v>1336.7925380343599</v>
      </c>
      <c r="J79" s="15">
        <v>1227.8843112161801</v>
      </c>
      <c r="K79" s="15">
        <v>1491.0194014354399</v>
      </c>
    </row>
    <row r="80" spans="1:11">
      <c r="A80" s="59">
        <v>2000</v>
      </c>
      <c r="B80" s="59"/>
      <c r="C80" s="15">
        <v>2093.4123363580302</v>
      </c>
      <c r="D80" s="15">
        <v>2035.5868986151099</v>
      </c>
      <c r="E80" s="15">
        <v>2189.94045335588</v>
      </c>
      <c r="F80" s="15">
        <v>2277.38839499703</v>
      </c>
      <c r="G80" s="15">
        <v>2162.20435981327</v>
      </c>
      <c r="H80" s="15">
        <v>1770.5457478931801</v>
      </c>
      <c r="I80" s="15">
        <v>1873.55454699596</v>
      </c>
      <c r="J80" s="15">
        <v>1728.12196761887</v>
      </c>
      <c r="K80" s="15">
        <v>2108.4934545802598</v>
      </c>
    </row>
    <row r="81" spans="1:11">
      <c r="A81" s="59">
        <v>5000</v>
      </c>
      <c r="B81" s="59"/>
      <c r="C81" s="15">
        <v>3306.8252742008099</v>
      </c>
      <c r="D81" s="15">
        <v>3214.9926157158302</v>
      </c>
      <c r="E81" s="15">
        <v>3457.2290131442401</v>
      </c>
      <c r="F81" s="15">
        <v>3585.1428363709401</v>
      </c>
      <c r="G81" s="15">
        <v>3409.17161748527</v>
      </c>
      <c r="H81" s="15">
        <v>2754.3747602451899</v>
      </c>
      <c r="I81" s="15">
        <v>2866.5440230141098</v>
      </c>
      <c r="J81" s="15">
        <v>2678.8190592999799</v>
      </c>
      <c r="K81" s="15">
        <v>3332.6214421104801</v>
      </c>
    </row>
    <row r="82" spans="1:11">
      <c r="A82" s="59">
        <v>10000</v>
      </c>
      <c r="B82" s="59"/>
      <c r="C82" s="15">
        <v>4668.5271892521996</v>
      </c>
      <c r="D82" s="15">
        <v>4536.6204267619596</v>
      </c>
      <c r="E82" s="15">
        <v>4877.0826548807499</v>
      </c>
      <c r="F82" s="15">
        <v>5025.3871419442903</v>
      </c>
      <c r="G82" s="15">
        <v>4799.5545899663603</v>
      </c>
      <c r="H82" s="15">
        <v>3783.4247039331499</v>
      </c>
      <c r="I82" s="15">
        <v>3852.0904452997902</v>
      </c>
      <c r="J82" s="15">
        <v>3671.8273720441998</v>
      </c>
      <c r="K82" s="15">
        <v>4710.77582108565</v>
      </c>
    </row>
    <row r="83" spans="1:11">
      <c r="A83" s="59">
        <v>20000</v>
      </c>
      <c r="B83" s="59"/>
      <c r="C83" s="15">
        <v>6580.7906251991099</v>
      </c>
      <c r="D83" s="15">
        <v>6390.0470485673604</v>
      </c>
      <c r="E83" s="15">
        <v>6862.6636039246996</v>
      </c>
      <c r="F83" s="15">
        <v>6994.7904539757801</v>
      </c>
      <c r="G83" s="15">
        <v>6721.7886116302398</v>
      </c>
      <c r="H83" s="15">
        <v>5019.2800662030904</v>
      </c>
      <c r="I83" s="15">
        <v>4759.9147383541804</v>
      </c>
      <c r="J83" s="15">
        <v>4831.1855623990996</v>
      </c>
      <c r="K83" s="15">
        <v>6654.8378154314096</v>
      </c>
    </row>
    <row r="84" spans="1:11">
      <c r="A84" s="59">
        <v>50000</v>
      </c>
      <c r="B84" s="59"/>
      <c r="C84" s="15">
        <v>10298.421347544099</v>
      </c>
      <c r="D84" s="15">
        <v>9976.0567981389904</v>
      </c>
      <c r="E84" s="15">
        <v>10685.1527395823</v>
      </c>
      <c r="F84" s="15">
        <v>10469.2754800239</v>
      </c>
      <c r="G84" s="15">
        <v>10322.307393675799</v>
      </c>
      <c r="H84" s="15">
        <v>6100.5890268778203</v>
      </c>
      <c r="I84" s="15">
        <v>2363.1376717091698</v>
      </c>
      <c r="J84" s="15">
        <v>5550.3484373280899</v>
      </c>
      <c r="K84" s="15">
        <v>10489.8765801751</v>
      </c>
    </row>
    <row r="85" spans="1:11">
      <c r="A85" s="59">
        <v>100000</v>
      </c>
      <c r="B85" s="59"/>
      <c r="C85" s="15">
        <v>14312.9673001095</v>
      </c>
      <c r="D85" s="15">
        <v>13806.949172176801</v>
      </c>
      <c r="E85" s="15">
        <v>14712.3081304445</v>
      </c>
      <c r="F85" s="15">
        <v>13340.4672052101</v>
      </c>
      <c r="G85" s="15">
        <v>13844.107686670101</v>
      </c>
      <c r="H85" s="15" t="s">
        <v>428</v>
      </c>
      <c r="I85" s="15" t="s">
        <v>428</v>
      </c>
      <c r="J85" s="15" t="s">
        <v>428</v>
      </c>
      <c r="K85" s="15">
        <v>14756.5645624972</v>
      </c>
    </row>
    <row r="86" spans="1:11">
      <c r="A86" s="59">
        <v>200000</v>
      </c>
      <c r="B86" s="59"/>
      <c r="C86" s="15">
        <v>19507.4237802973</v>
      </c>
      <c r="D86" s="15">
        <v>18639.5959842837</v>
      </c>
      <c r="E86" s="15">
        <v>19629.879026758201</v>
      </c>
      <c r="F86" s="15">
        <v>13736.908202611599</v>
      </c>
      <c r="G86" s="15">
        <v>17249.8019236291</v>
      </c>
      <c r="H86" s="15" t="s">
        <v>428</v>
      </c>
      <c r="I86" s="15" t="s">
        <v>428</v>
      </c>
      <c r="J86" s="15" t="s">
        <v>428</v>
      </c>
      <c r="K86" s="15">
        <v>20646.8013763774</v>
      </c>
    </row>
    <row r="87" spans="1:11">
      <c r="A87" s="59">
        <v>500000</v>
      </c>
      <c r="B87" s="59"/>
      <c r="C87" s="15">
        <v>27056.670874513598</v>
      </c>
      <c r="D87" s="15">
        <v>24787.306271947102</v>
      </c>
      <c r="E87" s="15">
        <v>24628.0601788856</v>
      </c>
      <c r="F87" s="15" t="s">
        <v>428</v>
      </c>
      <c r="G87" s="15">
        <v>10033.289562383099</v>
      </c>
      <c r="H87" s="15" t="s">
        <v>428</v>
      </c>
      <c r="I87" s="15" t="s">
        <v>428</v>
      </c>
      <c r="J87" s="15" t="s">
        <v>428</v>
      </c>
      <c r="K87" s="15">
        <v>31570.466755756901</v>
      </c>
    </row>
    <row r="88" spans="1:11">
      <c r="A88" s="59">
        <v>800000</v>
      </c>
      <c r="B88" s="59"/>
      <c r="C88" s="15">
        <v>28655.046714524</v>
      </c>
      <c r="D88" s="15">
        <v>24023.0525621958</v>
      </c>
      <c r="E88" s="15">
        <v>19990.090338432499</v>
      </c>
      <c r="F88" s="15" t="s">
        <v>428</v>
      </c>
      <c r="G88" s="15" t="s">
        <v>428</v>
      </c>
      <c r="H88" s="15" t="s">
        <v>428</v>
      </c>
      <c r="I88" s="15" t="s">
        <v>428</v>
      </c>
      <c r="J88" s="15" t="s">
        <v>428</v>
      </c>
      <c r="K88" s="15">
        <v>38526.099717759003</v>
      </c>
    </row>
    <row r="89" spans="1:11">
      <c r="A89" s="59">
        <v>1000000</v>
      </c>
      <c r="B89" s="59"/>
      <c r="C89" s="15">
        <v>27102.855837073901</v>
      </c>
      <c r="D89" s="15">
        <v>19549.373194634602</v>
      </c>
      <c r="E89" s="15">
        <v>4877.0826548810101</v>
      </c>
      <c r="F89" s="15" t="s">
        <v>428</v>
      </c>
      <c r="G89" s="15" t="s">
        <v>428</v>
      </c>
      <c r="H89" s="15" t="s">
        <v>428</v>
      </c>
      <c r="I89" s="15" t="s">
        <v>428</v>
      </c>
      <c r="J89" s="15" t="s">
        <v>428</v>
      </c>
      <c r="K89" s="15">
        <v>41989.350630152301</v>
      </c>
    </row>
    <row r="90" spans="1:11">
      <c r="A90" s="59">
        <v>1500000</v>
      </c>
      <c r="B90" s="59"/>
      <c r="C90" s="15">
        <v>2500.6777648667999</v>
      </c>
      <c r="D90" s="15" t="s">
        <v>428</v>
      </c>
      <c r="E90" s="15" t="s">
        <v>428</v>
      </c>
      <c r="F90" s="15" t="s">
        <v>428</v>
      </c>
      <c r="G90" s="15" t="s">
        <v>428</v>
      </c>
      <c r="H90" s="15" t="s">
        <v>428</v>
      </c>
      <c r="I90" s="15" t="s">
        <v>428</v>
      </c>
      <c r="J90" s="15" t="s">
        <v>428</v>
      </c>
      <c r="K90" s="15">
        <v>47950.324143785401</v>
      </c>
    </row>
    <row r="91" spans="1:11">
      <c r="A91" s="59">
        <v>2000000</v>
      </c>
      <c r="B91" s="59"/>
      <c r="C91" s="15" t="s">
        <v>428</v>
      </c>
      <c r="D91" s="15" t="s">
        <v>428</v>
      </c>
      <c r="E91" s="15" t="s">
        <v>428</v>
      </c>
      <c r="F91" s="15" t="s">
        <v>428</v>
      </c>
      <c r="G91" s="15" t="s">
        <v>428</v>
      </c>
      <c r="H91" s="15" t="s">
        <v>428</v>
      </c>
      <c r="I91" s="15" t="s">
        <v>428</v>
      </c>
      <c r="J91" s="15" t="s">
        <v>428</v>
      </c>
      <c r="K91" s="15">
        <v>51039.968932539101</v>
      </c>
    </row>
    <row r="92" spans="1:11">
      <c r="A92" s="1" t="s">
        <v>439</v>
      </c>
    </row>
    <row r="94" spans="1:11">
      <c r="A94" s="168" t="s">
        <v>446</v>
      </c>
      <c r="B94" s="168"/>
      <c r="C94" s="168"/>
      <c r="D94" s="168"/>
      <c r="E94" s="168"/>
      <c r="F94" s="168"/>
      <c r="G94" s="168"/>
      <c r="H94" s="168"/>
      <c r="I94" s="168"/>
      <c r="J94" s="168"/>
      <c r="K94" s="168"/>
    </row>
    <row r="95" spans="1:11">
      <c r="A95" s="29" t="s">
        <v>441</v>
      </c>
      <c r="B95" s="29"/>
      <c r="C95" s="60" t="s">
        <v>430</v>
      </c>
      <c r="D95" s="60" t="s">
        <v>431</v>
      </c>
      <c r="E95" s="60" t="s">
        <v>432</v>
      </c>
      <c r="F95" s="60" t="s">
        <v>433</v>
      </c>
      <c r="G95" s="60" t="s">
        <v>434</v>
      </c>
      <c r="H95" s="60" t="s">
        <v>435</v>
      </c>
      <c r="I95" s="60" t="s">
        <v>436</v>
      </c>
      <c r="J95" s="60" t="s">
        <v>437</v>
      </c>
      <c r="K95" s="60" t="s">
        <v>438</v>
      </c>
    </row>
    <row r="96" spans="1:11">
      <c r="A96" s="59" t="s">
        <v>442</v>
      </c>
      <c r="B96" s="59"/>
      <c r="C96" s="15">
        <v>8728.2372729924991</v>
      </c>
      <c r="D96" s="15">
        <v>8247.2253046977694</v>
      </c>
      <c r="E96" s="15">
        <v>9520.4480603303291</v>
      </c>
      <c r="F96" s="15">
        <v>10101.819529136001</v>
      </c>
      <c r="G96" s="15">
        <v>9224.8999509977693</v>
      </c>
      <c r="H96" s="15">
        <v>6009.4300136379497</v>
      </c>
      <c r="I96" s="15">
        <v>6389.2206574280099</v>
      </c>
      <c r="J96" s="15">
        <v>5709.2954293147104</v>
      </c>
      <c r="K96" s="15">
        <v>8878.83748454548</v>
      </c>
    </row>
    <row r="97" spans="1:11">
      <c r="A97" s="59" t="s">
        <v>443</v>
      </c>
      <c r="B97" s="59"/>
      <c r="C97" s="15">
        <v>2191.4635381158</v>
      </c>
      <c r="D97" s="15">
        <v>2072.5412050925602</v>
      </c>
      <c r="E97" s="15">
        <v>2396.5409823405398</v>
      </c>
      <c r="F97" s="15">
        <v>2587.9148084111898</v>
      </c>
      <c r="G97" s="15">
        <v>2335.6786268848</v>
      </c>
      <c r="H97" s="15">
        <v>1575.4789097559801</v>
      </c>
      <c r="I97" s="15">
        <v>1756.1611069904</v>
      </c>
      <c r="J97" s="15">
        <v>1500.4736625970099</v>
      </c>
      <c r="K97" s="15">
        <v>2223.1949895737898</v>
      </c>
    </row>
    <row r="99" spans="1:11">
      <c r="A99" s="1" t="s">
        <v>112</v>
      </c>
    </row>
    <row r="100" spans="1:11">
      <c r="A100" s="1" t="s">
        <v>113</v>
      </c>
    </row>
    <row r="102" spans="1:11" hidden="1">
      <c r="C102" s="1" t="s">
        <v>447</v>
      </c>
      <c r="D102" s="1" t="s">
        <v>448</v>
      </c>
    </row>
    <row r="103" spans="1:11" hidden="1">
      <c r="A103" s="12" t="s">
        <v>449</v>
      </c>
      <c r="B103" s="12"/>
      <c r="C103" s="11">
        <v>10392.041692896901</v>
      </c>
      <c r="D103" s="11">
        <v>8247.2253046977694</v>
      </c>
    </row>
    <row r="104" spans="1:11" hidden="1">
      <c r="A104" s="13" t="s">
        <v>450</v>
      </c>
      <c r="B104" s="13"/>
      <c r="C104" s="11">
        <v>2601.3872291316602</v>
      </c>
      <c r="D104" s="11">
        <v>2072.5412050925602</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workbookViewId="0"/>
  </sheetViews>
  <sheetFormatPr defaultColWidth="8.85546875" defaultRowHeight="15"/>
  <cols>
    <col min="1" max="1" width="124.140625" style="1" customWidth="1"/>
    <col min="2" max="16384" width="8.85546875" style="1"/>
  </cols>
  <sheetData>
    <row r="1" spans="1:2">
      <c r="A1" s="24"/>
    </row>
    <row r="2" spans="1:2">
      <c r="A2" s="24"/>
    </row>
    <row r="3" spans="1:2">
      <c r="A3" s="24"/>
    </row>
    <row r="4" spans="1:2">
      <c r="A4" s="24"/>
    </row>
    <row r="5" spans="1:2">
      <c r="A5" s="24"/>
    </row>
    <row r="6" spans="1:2">
      <c r="A6" s="24"/>
    </row>
    <row r="7" spans="1:2">
      <c r="A7" s="24"/>
    </row>
    <row r="8" spans="1:2">
      <c r="A8" s="25" t="s">
        <v>0</v>
      </c>
    </row>
    <row r="9" spans="1:2">
      <c r="A9" s="24" t="s">
        <v>451</v>
      </c>
    </row>
    <row r="10" spans="1:2">
      <c r="A10" s="24" t="s">
        <v>452</v>
      </c>
      <c r="B10" s="14"/>
    </row>
    <row r="11" spans="1:2">
      <c r="A11" s="24" t="s">
        <v>453</v>
      </c>
      <c r="B11" s="2"/>
    </row>
    <row r="12" spans="1:2" ht="15.75" thickBot="1">
      <c r="B12" s="2"/>
    </row>
    <row r="13" spans="1:2" ht="30">
      <c r="A13" s="120" t="s">
        <v>454</v>
      </c>
    </row>
    <row r="14" spans="1:2">
      <c r="A14" s="121"/>
    </row>
    <row r="15" spans="1:2">
      <c r="A15" s="122" t="s">
        <v>447</v>
      </c>
    </row>
    <row r="16" spans="1:2" ht="30">
      <c r="A16" s="123" t="s">
        <v>455</v>
      </c>
    </row>
    <row r="17" spans="1:1">
      <c r="A17" s="121"/>
    </row>
    <row r="18" spans="1:1">
      <c r="A18" s="122" t="s">
        <v>456</v>
      </c>
    </row>
    <row r="19" spans="1:1" ht="60">
      <c r="A19" s="123" t="s">
        <v>457</v>
      </c>
    </row>
    <row r="20" spans="1:1">
      <c r="A20" s="121"/>
    </row>
    <row r="21" spans="1:1">
      <c r="A21" s="122" t="s">
        <v>458</v>
      </c>
    </row>
    <row r="22" spans="1:1" ht="75">
      <c r="A22" s="123" t="s">
        <v>459</v>
      </c>
    </row>
    <row r="23" spans="1:1">
      <c r="A23" s="123"/>
    </row>
    <row r="24" spans="1:1">
      <c r="A24" s="122" t="s">
        <v>200</v>
      </c>
    </row>
    <row r="25" spans="1:1" ht="30">
      <c r="A25" s="123" t="s">
        <v>460</v>
      </c>
    </row>
    <row r="26" spans="1:1">
      <c r="A26" s="121"/>
    </row>
    <row r="27" spans="1:1">
      <c r="A27" s="122" t="s">
        <v>461</v>
      </c>
    </row>
    <row r="28" spans="1:1" ht="75">
      <c r="A28" s="123" t="s">
        <v>462</v>
      </c>
    </row>
    <row r="29" spans="1:1">
      <c r="A29" s="123"/>
    </row>
    <row r="30" spans="1:1">
      <c r="A30" s="124" t="s">
        <v>138</v>
      </c>
    </row>
    <row r="31" spans="1:1" ht="75">
      <c r="A31" s="125" t="s">
        <v>463</v>
      </c>
    </row>
    <row r="32" spans="1:1">
      <c r="A32" s="121"/>
    </row>
    <row r="33" spans="1:1">
      <c r="A33" s="122" t="s">
        <v>464</v>
      </c>
    </row>
    <row r="34" spans="1:1" ht="60">
      <c r="A34" s="123" t="s">
        <v>465</v>
      </c>
    </row>
    <row r="35" spans="1:1">
      <c r="A35" s="125"/>
    </row>
    <row r="36" spans="1:1">
      <c r="A36" s="124" t="s">
        <v>466</v>
      </c>
    </row>
    <row r="37" spans="1:1">
      <c r="A37" s="125" t="s">
        <v>467</v>
      </c>
    </row>
    <row r="38" spans="1:1">
      <c r="A38" s="121"/>
    </row>
    <row r="39" spans="1:1">
      <c r="A39" s="122" t="s">
        <v>468</v>
      </c>
    </row>
    <row r="40" spans="1:1" ht="60">
      <c r="A40" s="126" t="s">
        <v>469</v>
      </c>
    </row>
    <row r="41" spans="1:1">
      <c r="A41" s="122" t="s">
        <v>470</v>
      </c>
    </row>
    <row r="42" spans="1:1" ht="45">
      <c r="A42" s="123" t="s">
        <v>471</v>
      </c>
    </row>
    <row r="43" spans="1:1" ht="60">
      <c r="A43" s="123" t="s">
        <v>472</v>
      </c>
    </row>
    <row r="44" spans="1:1">
      <c r="A44" s="121"/>
    </row>
    <row r="45" spans="1:1">
      <c r="A45" s="122" t="s">
        <v>473</v>
      </c>
    </row>
    <row r="46" spans="1:1" ht="30">
      <c r="A46" s="123" t="s">
        <v>474</v>
      </c>
    </row>
    <row r="47" spans="1:1">
      <c r="A47" s="121"/>
    </row>
    <row r="48" spans="1:1">
      <c r="A48" s="122" t="s">
        <v>475</v>
      </c>
    </row>
    <row r="49" spans="1:1" ht="30">
      <c r="A49" s="123" t="s">
        <v>476</v>
      </c>
    </row>
    <row r="50" spans="1:1">
      <c r="A50" s="121"/>
    </row>
    <row r="51" spans="1:1">
      <c r="A51" s="122" t="s">
        <v>477</v>
      </c>
    </row>
    <row r="52" spans="1:1" ht="30">
      <c r="A52" s="123" t="s">
        <v>478</v>
      </c>
    </row>
    <row r="53" spans="1:1">
      <c r="A53" s="127"/>
    </row>
    <row r="54" spans="1:1">
      <c r="A54" s="122" t="s">
        <v>479</v>
      </c>
    </row>
    <row r="55" spans="1:1" ht="30">
      <c r="A55" s="123" t="s">
        <v>480</v>
      </c>
    </row>
    <row r="56" spans="1:1" ht="30">
      <c r="A56" s="123" t="s">
        <v>481</v>
      </c>
    </row>
    <row r="57" spans="1:1">
      <c r="A57" s="123"/>
    </row>
    <row r="58" spans="1:1">
      <c r="A58" s="122" t="s">
        <v>482</v>
      </c>
    </row>
    <row r="59" spans="1:1" ht="30">
      <c r="A59" s="123" t="s">
        <v>483</v>
      </c>
    </row>
    <row r="60" spans="1:1">
      <c r="A60" s="121"/>
    </row>
    <row r="61" spans="1:1">
      <c r="A61" s="122" t="s">
        <v>484</v>
      </c>
    </row>
    <row r="62" spans="1:1" ht="120">
      <c r="A62" s="125" t="s">
        <v>485</v>
      </c>
    </row>
    <row r="63" spans="1:1">
      <c r="A63" s="121"/>
    </row>
    <row r="64" spans="1:1">
      <c r="A64" s="124" t="s">
        <v>486</v>
      </c>
    </row>
    <row r="65" spans="1:1" ht="45">
      <c r="A65" s="125" t="s">
        <v>487</v>
      </c>
    </row>
    <row r="66" spans="1:1">
      <c r="A66" s="123"/>
    </row>
    <row r="67" spans="1:1">
      <c r="A67" s="122" t="s">
        <v>488</v>
      </c>
    </row>
    <row r="68" spans="1:1">
      <c r="A68" s="123" t="s">
        <v>489</v>
      </c>
    </row>
    <row r="69" spans="1:1">
      <c r="A69" s="121"/>
    </row>
    <row r="70" spans="1:1">
      <c r="A70" s="122" t="s">
        <v>490</v>
      </c>
    </row>
    <row r="71" spans="1:1" ht="60">
      <c r="A71" s="125" t="s">
        <v>491</v>
      </c>
    </row>
    <row r="72" spans="1:1">
      <c r="A72" s="121"/>
    </row>
    <row r="73" spans="1:1">
      <c r="A73" s="122" t="s">
        <v>492</v>
      </c>
    </row>
    <row r="74" spans="1:1" ht="75">
      <c r="A74" s="125" t="s">
        <v>493</v>
      </c>
    </row>
    <row r="75" spans="1:1">
      <c r="A75" s="125"/>
    </row>
    <row r="76" spans="1:1">
      <c r="A76" s="124" t="s">
        <v>135</v>
      </c>
    </row>
    <row r="77" spans="1:1" ht="30">
      <c r="A77" s="125" t="s">
        <v>494</v>
      </c>
    </row>
    <row r="78" spans="1:1">
      <c r="A78" s="121"/>
    </row>
    <row r="79" spans="1:1">
      <c r="A79" s="122" t="s">
        <v>495</v>
      </c>
    </row>
    <row r="80" spans="1:1" ht="45">
      <c r="A80" s="123" t="s">
        <v>496</v>
      </c>
    </row>
    <row r="81" spans="1:1">
      <c r="A81" s="121"/>
    </row>
    <row r="82" spans="1:1">
      <c r="A82" s="122" t="s">
        <v>497</v>
      </c>
    </row>
    <row r="83" spans="1:1" ht="30">
      <c r="A83" s="123" t="s">
        <v>498</v>
      </c>
    </row>
    <row r="84" spans="1:1">
      <c r="A84" s="121"/>
    </row>
    <row r="85" spans="1:1">
      <c r="A85" s="122" t="s">
        <v>499</v>
      </c>
    </row>
    <row r="86" spans="1:1" ht="45">
      <c r="A86" s="125" t="s">
        <v>500</v>
      </c>
    </row>
    <row r="87" spans="1:1" ht="45">
      <c r="A87" s="125" t="s">
        <v>501</v>
      </c>
    </row>
    <row r="88" spans="1:1" ht="45">
      <c r="A88" s="125" t="s">
        <v>502</v>
      </c>
    </row>
    <row r="89" spans="1:1">
      <c r="A89" s="121"/>
    </row>
    <row r="90" spans="1:1">
      <c r="A90" s="122" t="s">
        <v>503</v>
      </c>
    </row>
    <row r="91" spans="1:1" ht="90">
      <c r="A91" s="123" t="s">
        <v>504</v>
      </c>
    </row>
    <row r="92" spans="1:1" ht="60">
      <c r="A92" s="128" t="s">
        <v>505</v>
      </c>
    </row>
    <row r="93" spans="1:1">
      <c r="A93" s="121"/>
    </row>
    <row r="94" spans="1:1">
      <c r="A94" s="122" t="s">
        <v>506</v>
      </c>
    </row>
    <row r="95" spans="1:1" ht="30">
      <c r="A95" s="123" t="s">
        <v>507</v>
      </c>
    </row>
    <row r="96" spans="1:1" ht="45">
      <c r="A96" s="123" t="s">
        <v>508</v>
      </c>
    </row>
    <row r="97" spans="1:1">
      <c r="A97" s="123"/>
    </row>
    <row r="98" spans="1:1">
      <c r="A98" s="124" t="s">
        <v>509</v>
      </c>
    </row>
    <row r="99" spans="1:1" ht="60">
      <c r="A99" s="125" t="s">
        <v>510</v>
      </c>
    </row>
    <row r="100" spans="1:1">
      <c r="A100" s="123"/>
    </row>
    <row r="101" spans="1:1" ht="15.75" thickBot="1">
      <c r="A101" s="18"/>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Props1.xml><?xml version="1.0" encoding="utf-8"?>
<ds:datastoreItem xmlns:ds="http://schemas.openxmlformats.org/officeDocument/2006/customXml" ds:itemID="{3F70599D-4229-4ABB-92BF-5B45706CAA34}"/>
</file>

<file path=customXml/itemProps2.xml><?xml version="1.0" encoding="utf-8"?>
<ds:datastoreItem xmlns:ds="http://schemas.openxmlformats.org/officeDocument/2006/customXml" ds:itemID="{A41CA6BC-EC33-44A1-BACB-A55B4AFBD285}"/>
</file>

<file path=customXml/itemProps3.xml><?xml version="1.0" encoding="utf-8"?>
<ds:datastoreItem xmlns:ds="http://schemas.openxmlformats.org/officeDocument/2006/customXml" ds:itemID="{9FDA8DBC-8A5F-410C-89B4-84BEDA1109FC}"/>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2026-03-03T22:23:04Z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