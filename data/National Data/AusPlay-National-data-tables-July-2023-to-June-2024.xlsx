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defaultThemeVersion="124226"/>
  <mc:AlternateContent xmlns:mc="http://schemas.openxmlformats.org/markup-compatibility/2006">
    <mc:Choice Requires="x15">
      <x15ac:absPath xmlns:x15ac="http://schemas.microsoft.com/office/spreadsheetml/2010/11/ac" url="https://ausport.sharepoint.com/sites/Insights/Shared Documents/AusPlay 2023-ongoing/Data/Reporting/Data tables October 2024/"/>
    </mc:Choice>
  </mc:AlternateContent>
  <xr:revisionPtr revIDLastSave="128" documentId="8_{51D616AE-9090-4EE8-A88B-2CECB5FE4767}" xr6:coauthVersionLast="47" xr6:coauthVersionMax="47" xr10:uidLastSave="{B0865CA5-AA43-4F96-B679-B5A9CA6DEE24}"/>
  <bookViews>
    <workbookView xWindow="32625" yWindow="690" windowWidth="31290" windowHeight="20445" tabRatio="747" xr2:uid="{00000000-000D-0000-FFFF-FFFF00000000}"/>
  </bookViews>
  <sheets>
    <sheet name="Index" sheetId="40" r:id="rId1"/>
    <sheet name="1" sheetId="1" r:id="rId2"/>
    <sheet name="2" sheetId="55" r:id="rId3"/>
    <sheet name="3" sheetId="80" r:id="rId4"/>
    <sheet name="4" sheetId="97" r:id="rId5"/>
    <sheet name="5" sheetId="81" r:id="rId6"/>
    <sheet name="6" sheetId="82" r:id="rId7"/>
    <sheet name="7" sheetId="83" r:id="rId8"/>
    <sheet name="8" sheetId="84" r:id="rId9"/>
    <sheet name="9" sheetId="79" r:id="rId10"/>
    <sheet name="10" sheetId="48" r:id="rId11"/>
    <sheet name="11" sheetId="21" r:id="rId12"/>
    <sheet name="12" sheetId="27" r:id="rId13"/>
    <sheet name="13" sheetId="29" r:id="rId14"/>
    <sheet name="14" sheetId="32" r:id="rId15"/>
    <sheet name="15" sheetId="20" r:id="rId16"/>
    <sheet name="16" sheetId="58" r:id="rId17"/>
    <sheet name="17" sheetId="11" r:id="rId18"/>
    <sheet name="18" sheetId="46" r:id="rId19"/>
    <sheet name="19" sheetId="42" r:id="rId20"/>
    <sheet name="20" sheetId="10" r:id="rId21"/>
    <sheet name="21" sheetId="68" r:id="rId22"/>
    <sheet name="22" sheetId="63" r:id="rId23"/>
    <sheet name="23" sheetId="37" r:id="rId24"/>
    <sheet name="24" sheetId="33" r:id="rId25"/>
    <sheet name="25" sheetId="70" r:id="rId26"/>
    <sheet name="26" sheetId="71" r:id="rId27"/>
    <sheet name="27" sheetId="72" r:id="rId28"/>
    <sheet name="28" sheetId="87" r:id="rId29"/>
    <sheet name="29" sheetId="88" r:id="rId30"/>
    <sheet name="30" sheetId="59" r:id="rId31"/>
    <sheet name="31" sheetId="60" r:id="rId32"/>
    <sheet name="32" sheetId="92" r:id="rId33"/>
    <sheet name="33" sheetId="93" r:id="rId34"/>
    <sheet name="34" sheetId="5" r:id="rId35"/>
    <sheet name="35" sheetId="67" r:id="rId36"/>
  </sheets>
  <definedNames>
    <definedName name="_xlnm.Print_Area" localSheetId="10">'10'!$A$1:$L$53</definedName>
    <definedName name="_xlnm.Print_Area" localSheetId="12">'12'!$A$1:$L$72</definedName>
    <definedName name="_xlnm.Print_Area" localSheetId="14">'14'!$A$1:$F$41</definedName>
    <definedName name="_xlnm.Print_Area" localSheetId="15">'15'!$A$1:$F$70</definedName>
    <definedName name="_xlnm.Print_Area" localSheetId="16">'16'!$A$1:$F$53</definedName>
    <definedName name="_xlnm.Print_Area" localSheetId="17">'17'!$A$1:$M$300</definedName>
    <definedName name="_xlnm.Print_Area" localSheetId="18">'18'!$A$1:$J$300</definedName>
    <definedName name="_xlnm.Print_Area" localSheetId="19">'19'!$A$1:$M$300</definedName>
    <definedName name="_xlnm.Print_Area" localSheetId="20">'20'!$A$1:$H$300</definedName>
    <definedName name="_xlnm.Print_Area" localSheetId="21">'21'!$A$1:$H$300</definedName>
    <definedName name="_xlnm.Print_Area" localSheetId="22">'22'!$A$1:$E$41</definedName>
    <definedName name="_xlnm.Print_Area" localSheetId="23">'23'!$A$1:$E$33</definedName>
    <definedName name="_xlnm.Print_Area" localSheetId="28">'28'!$A$1:$K$65</definedName>
    <definedName name="_xlnm.Print_Area" localSheetId="29">'29'!$A$1:$K$65</definedName>
    <definedName name="_xlnm.Print_Area" localSheetId="32">'32'!$A$1:$L$38</definedName>
    <definedName name="_xlnm.Print_Area" localSheetId="33">'33'!$A$1:$L$26</definedName>
    <definedName name="_xlnm.Print_Area" localSheetId="34">'34'!$A$1:$K$100</definedName>
    <definedName name="_xlnm.Print_Area" localSheetId="35">'35'!$A$1:$A$101</definedName>
    <definedName name="_xlnm.Print_Area" localSheetId="4">'4'!$A$1:$S$71</definedName>
    <definedName name="_xlnm.Print_Area" localSheetId="5">'5'!$A$1:$N$71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Index!$A$1:$D$54</definedName>
    <definedName name="_xlnm.Print_Titles" localSheetId="1">'1'!$A:$B,'1'!$1:$12</definedName>
    <definedName name="_xlnm.Print_Titles" localSheetId="11">'11'!$A:$B,'11'!$1:$12</definedName>
    <definedName name="_xlnm.Print_Titles" localSheetId="12">'12'!$A:$B,'12'!$1:$12</definedName>
    <definedName name="_xlnm.Print_Titles" localSheetId="17">'17'!$A:$A,'17'!$1:$14</definedName>
    <definedName name="_xlnm.Print_Titles" localSheetId="18">'18'!$A:$A,'18'!$1:$14</definedName>
    <definedName name="_xlnm.Print_Titles" localSheetId="19">'19'!$A:$A,'19'!$1:$14</definedName>
    <definedName name="_xlnm.Print_Titles" localSheetId="20">'20'!$A:$A,'20'!$1:$14</definedName>
    <definedName name="_xlnm.Print_Titles" localSheetId="21">'21'!$A:$A,'21'!$1:$14</definedName>
    <definedName name="_xlnm.Print_Titles" localSheetId="34">'34'!$1:$11</definedName>
    <definedName name="_xlnm.Print_Titles" localSheetId="35">'35'!$1:$11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5" l="1"/>
  <c r="A8" i="5"/>
  <c r="A8" i="67"/>
  <c r="C9" i="5"/>
  <c r="C11" i="5" l="1"/>
</calcChain>
</file>

<file path=xl/sharedStrings.xml><?xml version="1.0" encoding="utf-8"?>
<sst xmlns="http://schemas.openxmlformats.org/spreadsheetml/2006/main" count="3857" uniqueCount="576">
  <si>
    <t>AusPlay survey results July 2023 - June 2024</t>
  </si>
  <si>
    <t>Released at:</t>
  </si>
  <si>
    <t>31 October 2024</t>
  </si>
  <si>
    <t>Table name:</t>
  </si>
  <si>
    <t>Index</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</si>
  <si>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</si>
  <si>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</si>
  <si>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</si>
  <si>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</si>
  <si>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</si>
  <si>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</si>
  <si>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</si>
  <si>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</si>
  <si>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</si>
  <si>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</si>
  <si>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</si>
  <si>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</si>
  <si>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</si>
  <si>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</si>
  <si>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Use of technology (adults)</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</si>
  <si>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</si>
  <si>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</si>
  <si>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</si>
  <si>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</si>
  <si>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</si>
  <si>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</si>
  <si>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 xml:space="preserve">Participation by activity (children) </t>
  </si>
  <si>
    <t>Organised participation by activity (adults)</t>
  </si>
  <si>
    <t>Type of organising entity by activity (adults)</t>
  </si>
  <si>
    <t>Type of organising entity by activity (children)</t>
  </si>
  <si>
    <t>Payment to participate (adults)</t>
  </si>
  <si>
    <t>Payment to participate (children)</t>
  </si>
  <si>
    <t>Non-playing roles (adults)</t>
  </si>
  <si>
    <t>Volunteers in non-playing roles (adults)</t>
  </si>
  <si>
    <t>Volunteers in non-playing roles by activity - top 10 activities (adults)</t>
  </si>
  <si>
    <t>Volunteers in non-playing roles by activity - top roles and top 5 activities (adults)</t>
  </si>
  <si>
    <t>Type of injury (adults)</t>
  </si>
  <si>
    <t>Body part injured (adults)</t>
  </si>
  <si>
    <t>Demographics of non-participants</t>
  </si>
  <si>
    <t>Demographics of non-participants (adults)</t>
  </si>
  <si>
    <t>Demographics of non-participants (children)</t>
  </si>
  <si>
    <t>State/territory comparison</t>
  </si>
  <si>
    <t>Frequency of participation by state/territory (adults)</t>
  </si>
  <si>
    <t>Frequency of participation by state/territory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</si>
  <si>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</si>
  <si>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</si>
  <si>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</si>
  <si>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</si>
  <si>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</si>
  <si>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</si>
  <si>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</si>
  <si>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</si>
  <si>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</si>
  <si>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</si>
  <si>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</si>
  <si>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</si>
  <si>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</si>
  <si>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</si>
  <si>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t>Total</t>
    </r>
    <r>
      <rPr>
        <b/>
        <vertAlign val="superscript"/>
        <sz val="11"/>
        <color theme="0"/>
        <rFont val="Calibri"/>
        <family val="2"/>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</si>
  <si>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</si>
  <si>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</si>
  <si>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</si>
  <si>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</si>
  <si>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</si>
  <si>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</si>
  <si>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</si>
  <si>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</si>
  <si>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</si>
  <si>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</si>
  <si>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</si>
  <si>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</si>
  <si>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</si>
  <si>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</si>
  <si>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</si>
  <si>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</si>
  <si>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</si>
  <si>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</si>
  <si>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</si>
  <si>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</si>
  <si>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</si>
  <si>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</si>
  <si>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</si>
  <si>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</si>
  <si>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</si>
  <si>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</si>
  <si>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</si>
  <si>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</si>
  <si>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</si>
  <si>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</si>
  <si>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</si>
  <si>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</si>
  <si>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</si>
  <si>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</si>
  <si>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</si>
  <si>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</si>
  <si>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</si>
  <si>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</si>
  <si>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</si>
  <si>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</si>
  <si>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</si>
  <si>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</si>
  <si>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</si>
  <si>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</si>
  <si>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</si>
  <si>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</si>
  <si>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</si>
  <si>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</si>
  <si>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</si>
  <si>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</si>
  <si>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</si>
  <si>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</si>
  <si>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</si>
  <si>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</si>
  <si>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</si>
  <si>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</si>
  <si>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r>
      <t xml:space="preserve">NB. Estimated participant numbers have not been rounded but users must remember that they </t>
    </r>
    <r>
      <rPr>
        <b/>
        <sz val="9"/>
        <color rgb="FF000000"/>
        <rFont val="Calibri"/>
        <family val="2"/>
      </rPr>
      <t>are estimates</t>
    </r>
    <r>
      <rPr>
        <sz val="9"/>
        <color rgb="FF000000"/>
        <rFont val="Calibri"/>
        <family val="2"/>
      </rPr>
      <t xml:space="preserve"> and are subject to margins of error. Refer to sheet number 34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</si>
  <si>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</si>
  <si>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</si>
  <si>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columns but not reported separately due to sample size. The sum of male and female estimates is not therefore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</si>
  <si>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</si>
  <si>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</si>
  <si>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</si>
  <si>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</si>
  <si>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</si>
  <si>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</si>
  <si>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</si>
  <si>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</si>
  <si>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</si>
  <si>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</si>
  <si>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t xml:space="preserve">NB. Estimated participant numbers have not been rounded but users must remember that they are estimates and are subject to margins of error. Refer to sheet number 34 for margin of error and relative margin of error statistics. </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</si>
  <si>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</si>
  <si>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</si>
  <si>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</si>
  <si>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</si>
  <si>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</si>
  <si>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</si>
  <si>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</si>
  <si>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</si>
  <si>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</si>
  <si>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</si>
  <si>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</si>
  <si>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</si>
  <si>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</si>
  <si>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</si>
  <si>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t>All</t>
  </si>
  <si>
    <t xml:space="preserve"> </t>
  </si>
  <si>
    <t>Estimated number of participants</t>
  </si>
  <si>
    <r>
      <t xml:space="preserve">NB. Estimated participant numbers have not been rounded but users must remember that they </t>
    </r>
    <r>
      <rPr>
        <b/>
        <sz val="9"/>
        <color theme="1"/>
        <rFont val="Calibri"/>
        <family val="2"/>
        <scheme val="minor"/>
      </rPr>
      <t>are estimates</t>
    </r>
    <r>
      <rPr>
        <sz val="9"/>
        <color theme="1"/>
        <rFont val="Calibri"/>
        <family val="2"/>
        <scheme val="minor"/>
      </rPr>
      <t xml:space="preserve"> and are subject to margins of error. Refer to sheet number 34 for margin of error and relative margin of error statistics. </t>
    </r>
  </si>
  <si>
    <t>Informal participation</t>
  </si>
  <si>
    <t>Organised participation</t>
  </si>
  <si>
    <t>Informally by myself</t>
  </si>
  <si>
    <t>Informally with family and friends</t>
  </si>
  <si>
    <t>Sports club or association</t>
  </si>
  <si>
    <t>Gym/fitness club/sports/
leisure centre</t>
  </si>
  <si>
    <t>Private or commerical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</si>
  <si>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</si>
  <si>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</si>
  <si>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</si>
  <si>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</si>
  <si>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</si>
  <si>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</si>
  <si>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</si>
  <si>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</si>
  <si>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r>
      <t>Total
 organised</t>
    </r>
    <r>
      <rPr>
        <b/>
        <vertAlign val="superscript"/>
        <sz val="11"/>
        <color theme="0"/>
        <rFont val="Calibri"/>
        <family val="2"/>
        <scheme val="minor"/>
      </rPr>
      <t>#</t>
    </r>
  </si>
  <si>
    <t>Recreation club or association</t>
  </si>
  <si>
    <t>Public space</t>
  </si>
  <si>
    <t>Home environment</t>
  </si>
  <si>
    <t>Free 
community facilities</t>
  </si>
  <si>
    <t>Sports club or association facilities</t>
  </si>
  <si>
    <t>Private or commercial premises</t>
  </si>
  <si>
    <t>Recreation club or association facilities</t>
  </si>
  <si>
    <t>1+ per year</t>
  </si>
  <si>
    <t>1+ per month</t>
  </si>
  <si>
    <t>1+ per fortnight</t>
  </si>
  <si>
    <t>1+ per week</t>
  </si>
  <si>
    <t>2+ per week</t>
  </si>
  <si>
    <t>3+ per week</t>
  </si>
  <si>
    <t>4+ per week</t>
  </si>
  <si>
    <t>5+ per week</t>
  </si>
  <si>
    <t>6+ per week</t>
  </si>
  <si>
    <t>7+ per week</t>
  </si>
  <si>
    <r>
      <t>All</t>
    </r>
    <r>
      <rPr>
        <vertAlign val="superscript"/>
        <sz val="11"/>
        <color theme="1"/>
        <rFont val="Calibri"/>
        <family val="2"/>
        <scheme val="minor"/>
      </rPr>
      <t>#</t>
    </r>
  </si>
  <si>
    <t>Adult players</t>
  </si>
  <si>
    <t>Type of technology used</t>
  </si>
  <si>
    <t>Apps for music</t>
  </si>
  <si>
    <t>Headphones/
speakers</t>
  </si>
  <si>
    <t>Apps for tracking 
activity or training</t>
  </si>
  <si>
    <t>Wearable technology such as Fitbit, watches, heart rate monitors</t>
  </si>
  <si>
    <t>Apps for maps and 
GPS technology</t>
  </si>
  <si>
    <t>Watching/accompanying  video sessions of physical activities /fitness/ exercise</t>
  </si>
  <si>
    <t>Indoor smart
 trainers or treadmills</t>
  </si>
  <si>
    <t>Apps used during the activity, e.g. scoring</t>
  </si>
  <si>
    <t>Websites (not
 including social media sites) or online tools</t>
  </si>
  <si>
    <t>Bike computers/
speedometer/
odometer</t>
  </si>
  <si>
    <t>Free social media site/page such as Running Mums 
Australia or Urban Rec</t>
  </si>
  <si>
    <t>Motion sensing 
virtual exercise/
activity based 
video games</t>
  </si>
  <si>
    <t>Cameras/Go-pros</t>
  </si>
  <si>
    <t>Online training platforms e.g. Zwift, Rouvy, Fulgaz</t>
  </si>
  <si>
    <t>Online programs requiring payment</t>
  </si>
  <si>
    <t>Proportion of participants</t>
  </si>
  <si>
    <t>Estimated number of users</t>
  </si>
  <si>
    <t>NB. Please note that use of technology was collected for adults (15 years and over) only</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</si>
  <si>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</si>
  <si>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</si>
  <si>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</si>
  <si>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</si>
  <si>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</si>
  <si>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</si>
  <si>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</si>
  <si>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</si>
  <si>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</si>
  <si>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</si>
  <si>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</si>
  <si>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</si>
  <si>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</si>
  <si>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</si>
  <si>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</si>
  <si>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</si>
  <si>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</si>
  <si>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</si>
  <si>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</si>
  <si>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</si>
  <si>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</si>
  <si>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</si>
  <si>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</si>
  <si>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</si>
  <si>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</si>
  <si>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</si>
  <si>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</si>
  <si>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</si>
  <si>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</si>
  <si>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</si>
  <si>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</si>
  <si>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</si>
  <si>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</si>
  <si>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</si>
  <si>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</si>
  <si>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</si>
  <si>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</si>
  <si>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</si>
  <si>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</si>
  <si>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</si>
  <si>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</si>
  <si>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</si>
  <si>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</si>
  <si>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</si>
  <si>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</si>
  <si>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Males^</t>
  </si>
  <si>
    <t>Females^</t>
  </si>
  <si>
    <t>Estimated number of non-participants</t>
  </si>
  <si>
    <t xml:space="preserve">NB. This table presents all the barriers presented to respondents in the online AusPlay questionnaire. </t>
  </si>
  <si>
    <t>^ Age group data by gender has not been reported due to sample size</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</si>
  <si>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</si>
  <si>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</si>
  <si>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</si>
  <si>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</si>
  <si>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</si>
  <si>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</si>
  <si>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</si>
  <si>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</si>
  <si>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</si>
  <si>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</si>
  <si>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</si>
  <si>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</si>
  <si>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</si>
  <si>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</si>
  <si>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</si>
  <si>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</si>
  <si>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</si>
  <si>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</si>
  <si>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</si>
  <si>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</si>
  <si>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</si>
  <si>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</si>
  <si>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</si>
  <si>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</si>
  <si>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</si>
  <si>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</si>
  <si>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</si>
  <si>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</si>
  <si>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</si>
  <si>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</si>
  <si>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</si>
  <si>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</si>
  <si>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</si>
  <si>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</si>
  <si>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</si>
  <si>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</si>
  <si>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</si>
  <si>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</si>
  <si>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</si>
  <si>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</si>
  <si>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</si>
  <si>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</si>
  <si>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</si>
  <si>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</si>
  <si>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</si>
  <si>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</si>
  <si>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</si>
  <si>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</si>
  <si>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</si>
  <si>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</si>
  <si>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</si>
  <si>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</si>
  <si>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</si>
  <si>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</si>
  <si>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</si>
  <si>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</si>
  <si>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</si>
  <si>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</si>
  <si>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</si>
  <si>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</si>
  <si>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</si>
  <si>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</si>
  <si>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</si>
  <si>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</si>
  <si>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</si>
  <si>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</si>
  <si>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</si>
  <si>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</si>
  <si>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</si>
  <si>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</si>
  <si>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</si>
  <si>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</si>
  <si>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</si>
  <si>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</si>
  <si>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</si>
  <si>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</si>
  <si>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</si>
  <si>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</si>
  <si>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</si>
  <si>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</si>
  <si>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</si>
  <si>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</si>
  <si>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</si>
  <si>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</si>
  <si>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</si>
  <si>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</si>
  <si>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</si>
  <si>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</si>
  <si>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</si>
  <si>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</si>
  <si>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</si>
  <si>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</si>
  <si>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</si>
  <si>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</si>
  <si>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</si>
  <si>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</si>
  <si>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</si>
  <si>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</si>
  <si>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</si>
  <si>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</si>
  <si>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</si>
  <si>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</si>
  <si>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</si>
  <si>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</si>
  <si>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</si>
  <si>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</si>
  <si>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</si>
  <si>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</si>
  <si>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</si>
  <si>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</si>
  <si>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</si>
  <si>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</si>
  <si>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</si>
  <si>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</si>
  <si>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</si>
  <si>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</si>
  <si>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</si>
  <si>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</si>
  <si>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</si>
  <si>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</si>
  <si>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</si>
  <si>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</si>
  <si>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</si>
  <si>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</si>
  <si>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</si>
  <si>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t>
  </si>
  <si>
    <t>Shooting sports</t>
  </si>
  <si>
    <t>Skate</t>
  </si>
  <si>
    <t>Skeleton</t>
  </si>
  <si>
    <t>Ski &amp; snowboard</t>
  </si>
  <si>
    <t>Skirmish</t>
  </si>
  <si>
    <t>Softball</t>
  </si>
  <si>
    <t>Sport climbing</t>
  </si>
  <si>
    <t>Squash</t>
  </si>
  <si>
    <t>Surfing</t>
  </si>
  <si>
    <t>Swimming</t>
  </si>
  <si>
    <t>Sword fighting</t>
  </si>
  <si>
    <t>Synchronised swimming</t>
  </si>
  <si>
    <t>Table tennis</t>
  </si>
  <si>
    <t>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</si>
  <si>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</si>
  <si>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</si>
  <si>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</si>
  <si>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</si>
  <si>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</si>
  <si>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</si>
  <si>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</si>
  <si>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</si>
  <si>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</si>
  <si>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</si>
  <si>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</si>
  <si>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</si>
  <si>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</si>
  <si>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</si>
  <si>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</si>
  <si>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</si>
  <si>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</si>
  <si>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t>Total organised</t>
    </r>
    <r>
      <rPr>
        <b/>
        <vertAlign val="superscript"/>
        <sz val="11"/>
        <color theme="0"/>
        <rFont val="Calibri"/>
        <family val="2"/>
        <scheme val="minor"/>
      </rPr>
      <t>#</t>
    </r>
  </si>
  <si>
    <t>Recreation club
 or association</t>
  </si>
  <si>
    <t>Gym/fitness 
club/sports/
leisure centre</t>
  </si>
  <si>
    <t>Private or commercial business</t>
  </si>
  <si>
    <t>Education institution</t>
  </si>
  <si>
    <t>Adult player</t>
  </si>
  <si>
    <t>Proportion^</t>
  </si>
  <si>
    <t>Mean</t>
  </si>
  <si>
    <t>Median</t>
  </si>
  <si>
    <t>^ The proportion of adult participants who paid money to an organisation/venue to participate</t>
  </si>
  <si>
    <t>Child player</t>
  </si>
  <si>
    <t>^ The proportion of participants' parents/guardians and adults who paid money to an organisation/venue to participate</t>
  </si>
  <si>
    <t>Type of non-playing role</t>
  </si>
  <si>
    <r>
      <t>Any non-playing role</t>
    </r>
    <r>
      <rPr>
        <b/>
        <vertAlign val="superscript"/>
        <sz val="11"/>
        <color theme="0"/>
        <rFont val="Calibri"/>
        <family val="2"/>
        <scheme val="minor"/>
      </rPr>
      <t>#</t>
    </r>
  </si>
  <si>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</si>
  <si>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</si>
  <si>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</si>
  <si>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</si>
  <si>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</si>
  <si>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</si>
  <si>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</si>
  <si>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</si>
  <si>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</si>
  <si>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</si>
  <si>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</si>
  <si>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Volunteers^ in non-playing roles (adults)</t>
  </si>
  <si>
    <t>Type of role</t>
  </si>
  <si>
    <r>
      <t>Any volunteer 
role</t>
    </r>
    <r>
      <rPr>
        <b/>
        <vertAlign val="superscript"/>
        <sz val="11"/>
        <color theme="0"/>
        <rFont val="Calibri"/>
        <family val="2"/>
        <scheme val="minor"/>
      </rPr>
      <t>#</t>
    </r>
  </si>
  <si>
    <t>Estimated number of adult volunteers</t>
  </si>
  <si>
    <t>^ Includes adults involved in non-playing roles as a volunteer, or who considered themselves a volunteer even if they received some form of compensation</t>
  </si>
  <si>
    <t>Volunteers^ in non-playing roles by activity - top 10 activities (adults)</t>
  </si>
  <si>
    <t/>
  </si>
  <si>
    <t>15-34</t>
  </si>
  <si>
    <t>35-54</t>
  </si>
  <si>
    <t>55+</t>
  </si>
  <si>
    <t>Volunteers^ in non-playing roles by activity - top roles and top 5 activities (adults)</t>
  </si>
  <si>
    <t>Administrator or committee
member</t>
  </si>
  <si>
    <t>Type of injury (adults)^</t>
  </si>
  <si>
    <t>Type of injury</t>
  </si>
  <si>
    <r>
      <t>Total injured</t>
    </r>
    <r>
      <rPr>
        <b/>
        <vertAlign val="superscript"/>
        <sz val="11"/>
        <color theme="0"/>
        <rFont val="Calibri"/>
        <family val="2"/>
        <scheme val="minor"/>
      </rPr>
      <t>#</t>
    </r>
  </si>
  <si>
    <t>Soft-tissue</t>
  </si>
  <si>
    <t>Injury to skin surface</t>
  </si>
  <si>
    <t>Fracture</t>
  </si>
  <si>
    <t>Open wound</t>
  </si>
  <si>
    <t>Dislocation</t>
  </si>
  <si>
    <t>Head injury</t>
  </si>
  <si>
    <t>Injury rate</t>
  </si>
  <si>
    <t>Estimated number injured</t>
  </si>
  <si>
    <t>Body part injured (adults)^</t>
  </si>
  <si>
    <t>Body part injured</t>
  </si>
  <si>
    <t>Hip, knee and/or leg</t>
  </si>
  <si>
    <t>Ankle and/or foot</t>
  </si>
  <si>
    <t>Shoulder and/or arm</t>
  </si>
  <si>
    <t>Back and/or trunk</t>
  </si>
  <si>
    <t>Wrist and/or hand</t>
  </si>
  <si>
    <t>Head and/or neck</t>
  </si>
  <si>
    <t xml:space="preserve">                Non-Participation rate</t>
  </si>
  <si>
    <t xml:space="preserve">Demographics of non-participants (children) </t>
  </si>
  <si>
    <t xml:space="preserve">                  Non-Participation rate</t>
  </si>
  <si>
    <t>ACT</t>
  </si>
  <si>
    <t>NSW</t>
  </si>
  <si>
    <t>NT</t>
  </si>
  <si>
    <t>QLD</t>
  </si>
  <si>
    <t>SA</t>
  </si>
  <si>
    <t>TAS</t>
  </si>
  <si>
    <t>VIC</t>
  </si>
  <si>
    <t>WA</t>
  </si>
  <si>
    <t>AUSTRALIA</t>
  </si>
  <si>
    <t>2023/24FY</t>
  </si>
  <si>
    <t>At least once per year</t>
  </si>
  <si>
    <t>At least once per week</t>
  </si>
  <si>
    <t>At least three times per week</t>
  </si>
  <si>
    <t>Year</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</si>
  <si>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</si>
  <si>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</si>
  <si>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</si>
  <si>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</si>
  <si>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</si>
  <si>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</si>
  <si>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</si>
  <si>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</si>
  <si>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</si>
  <si>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</si>
  <si>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</si>
  <si>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</si>
  <si>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</si>
  <si>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</si>
  <si>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</si>
  <si>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</si>
  <si>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</si>
  <si>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</si>
  <si>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</si>
  <si>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</si>
  <si>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</si>
  <si>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</si>
  <si>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</si>
  <si>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</si>
  <si>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</si>
  <si>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</si>
  <si>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</si>
  <si>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</si>
  <si>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</si>
  <si>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</si>
  <si>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</si>
  <si>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</si>
  <si>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</si>
  <si>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</si>
  <si>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Released at:   </t>
    </r>
    <r>
      <rPr>
        <b/>
        <sz val="11"/>
        <color theme="0"/>
        <rFont val="Calibri"/>
        <family val="2"/>
        <scheme val="minor"/>
      </rPr>
      <t>31 October 2024</t>
    </r>
  </si>
  <si>
    <r>
      <t xml:space="preserve">Table number:    </t>
    </r>
    <r>
      <rPr>
        <b/>
        <sz val="11"/>
        <color theme="0"/>
        <rFont val="Calibri"/>
        <family val="2"/>
        <scheme val="minor"/>
      </rPr>
      <t>35</t>
    </r>
  </si>
  <si>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</si>
  <si>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</si>
  <si>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</si>
  <si>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</si>
  <si>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</si>
  <si>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</si>
  <si>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</si>
  <si>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condition that restricts their life in some way. If they say 'yes' they are categorised as having a disability, regardless of how long it has lasted or is likely to last.</t>
  </si>
  <si>
    <t>Duration</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</si>
  <si>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</si>
  <si>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</si>
  <si>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</si>
  <si>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</si>
  <si>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</si>
  <si>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</si>
  <si>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</si>
  <si>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</si>
  <si>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</si>
  <si>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</si>
  <si>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</si>
  <si>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</si>
  <si>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</si>
  <si>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</si>
  <si>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</si>
  <si>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</si>
  <si>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</si>
  <si>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</si>
  <si>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</si>
  <si>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</si>
  <si>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</si>
  <si>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</si>
  <si>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</si>
  <si>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</si>
  <si>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</si>
  <si>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</si>
  <si>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</si>
  <si>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</si>
  <si>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</si>
  <si>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</si>
  <si>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</si>
  <si>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</si>
  <si>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</si>
  <si>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</si>
  <si>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</si>
  <si>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</si>
  <si>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</si>
  <si>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</si>
  <si>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</si>
  <si>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</si>
  <si>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</si>
  <si>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</si>
  <si>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</si>
  <si>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</si>
  <si>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</si>
  <si>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</si>
  <si>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</si>
  <si>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</si>
  <si>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activities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</si>
</sst>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quot;$&quot;#,##0"/>
    <numFmt numFmtId="167" formatCode="#,##0.0"/>
    <numFmt numFmtId="168" formatCode="#,##0_ ;\-#,##0\ "/>
  </numFmts>
  <fonts count="29">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sz val="9"/>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u/>
      <sz val="11"/>
      <color theme="10"/>
      <name val="Calibri"/>
      <family val="2"/>
      <scheme val="minor"/>
    </font>
    <font>
      <u/>
      <sz val="9"/>
      <color theme="10"/>
      <name val="Calibri"/>
      <family val="2"/>
      <scheme val="minor"/>
    </font>
    <font>
      <i/>
      <sz val="11"/>
      <name val="Calibri"/>
      <family val="2"/>
      <scheme val="minor"/>
    </font>
    <font>
      <strike/>
      <sz val="11"/>
      <name val="Calibri"/>
      <family val="2"/>
      <scheme val="minor"/>
    </font>
    <font>
      <vertAlign val="superscript"/>
      <sz val="11"/>
      <color theme="1"/>
      <name val="Calibri"/>
      <family val="2"/>
      <scheme val="minor"/>
    </font>
    <font>
      <b/>
      <sz val="9"/>
      <color theme="1"/>
      <name val="Calibri"/>
      <family val="2"/>
      <scheme val="minor"/>
    </font>
    <font>
      <sz val="11"/>
      <color theme="1"/>
      <name val="Aptos"/>
      <family val="2"/>
    </font>
    <font>
      <sz val="9"/>
      <color rgb="FF000000"/>
      <name val="Calibri"/>
      <family val="2"/>
    </font>
    <font>
      <b/>
      <sz val="9"/>
      <color rgb="FF000000"/>
      <name val="Calibri"/>
      <family val="2"/>
    </font>
  </fonts>
  <fills count="8">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indexed="64"/>
      </bottom>
      <diagonal/>
    </border>
  </borders>
  <cellStyleXfs count="2662">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87">
    <xf numFmtId="0" fontId="0" fillId="0" borderId="0" xfId="0"/>
    <xf numFmtId="0" fontId="0" fillId="2" borderId="0" xfId="0" applyFill="1"/>
    <xf numFmtId="0" fontId="1" fillId="2" borderId="0" xfId="0" applyFont="1" applyFill="1"/>
    <xf numFmtId="0" fontId="0" fillId="2" borderId="1" xfId="0"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6" fillId="0" borderId="4" xfId="0" applyFont="1" applyBorder="1" applyAlignment="1">
      <alignment vertical="center" wrapText="1"/>
    </xf>
    <xf numFmtId="0" fontId="6" fillId="0" borderId="5" xfId="0" applyFont="1" applyBorder="1" applyAlignment="1">
      <alignment vertical="center"/>
    </xf>
    <xf numFmtId="0" fontId="7" fillId="0" borderId="5" xfId="0" applyFont="1" applyBorder="1" applyAlignment="1">
      <alignment vertical="center"/>
    </xf>
    <xf numFmtId="0" fontId="6" fillId="0" borderId="5" xfId="0" applyFont="1" applyBorder="1" applyAlignment="1">
      <alignment vertical="center" wrapText="1"/>
    </xf>
    <xf numFmtId="0" fontId="9" fillId="0" borderId="5" xfId="0" applyFont="1" applyBorder="1" applyAlignment="1">
      <alignment vertical="center"/>
    </xf>
    <xf numFmtId="0" fontId="0" fillId="2" borderId="6" xfId="0" applyFill="1" applyBorder="1"/>
    <xf numFmtId="167" fontId="0" fillId="2" borderId="0" xfId="492" applyNumberFormat="1" applyFont="1" applyFill="1"/>
    <xf numFmtId="164" fontId="0" fillId="2" borderId="0" xfId="0" applyNumberFormat="1" applyFill="1" applyAlignment="1">
      <alignment horizontal="right"/>
    </xf>
    <xf numFmtId="0" fontId="4" fillId="2" borderId="2" xfId="0" applyFont="1" applyFill="1" applyBorder="1" applyAlignment="1">
      <alignment horizontal="left" vertical="top"/>
    </xf>
    <xf numFmtId="0" fontId="4" fillId="2" borderId="0" xfId="0" applyFont="1" applyFill="1" applyAlignment="1">
      <alignment horizontal="left"/>
    </xf>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6" fontId="1" fillId="2" borderId="0" xfId="357" applyNumberFormat="1" applyFont="1" applyFill="1"/>
    <xf numFmtId="165" fontId="0" fillId="2" borderId="0" xfId="492" applyNumberFormat="1" applyFont="1" applyFill="1"/>
    <xf numFmtId="3" fontId="0" fillId="2" borderId="0" xfId="492" applyNumberFormat="1" applyFont="1" applyFill="1"/>
    <xf numFmtId="3" fontId="1" fillId="2" borderId="0" xfId="492" applyNumberFormat="1" applyFont="1" applyFill="1"/>
    <xf numFmtId="168" fontId="1" fillId="2" borderId="0" xfId="492" applyNumberFormat="1" applyFont="1" applyFill="1"/>
    <xf numFmtId="168" fontId="0" fillId="2" borderId="0" xfId="492" applyNumberFormat="1" applyFont="1" applyFill="1"/>
    <xf numFmtId="168" fontId="1" fillId="2" borderId="0" xfId="0" applyNumberFormat="1" applyFont="1" applyFill="1"/>
    <xf numFmtId="3" fontId="11" fillId="3" borderId="0" xfId="0" applyNumberFormat="1" applyFont="1" applyFill="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0" fillId="4" borderId="0" xfId="0" applyFont="1" applyFill="1" applyAlignment="1">
      <alignment vertical="top" wrapText="1"/>
    </xf>
    <xf numFmtId="0" fontId="1" fillId="2" borderId="0" xfId="0" applyFont="1" applyFill="1"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0" fontId="12" fillId="2" borderId="0" xfId="0" applyFont="1" applyFill="1"/>
    <xf numFmtId="0" fontId="0" fillId="7" borderId="0" xfId="0" applyFill="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3" fillId="2" borderId="0" xfId="0" applyFont="1" applyFill="1"/>
    <xf numFmtId="0" fontId="14" fillId="2" borderId="0" xfId="0" applyFont="1" applyFill="1"/>
    <xf numFmtId="0" fontId="13" fillId="2" borderId="0" xfId="0" applyFont="1" applyFill="1" applyAlignment="1">
      <alignment vertical="top" wrapText="1"/>
    </xf>
    <xf numFmtId="0" fontId="14" fillId="2" borderId="0" xfId="0" applyFont="1" applyFill="1" applyAlignment="1">
      <alignment vertical="top" wrapText="1"/>
    </xf>
    <xf numFmtId="0" fontId="11" fillId="2" borderId="0" xfId="0" applyFont="1" applyFill="1" applyAlignment="1">
      <alignment wrapText="1"/>
    </xf>
    <xf numFmtId="0" fontId="15" fillId="2" borderId="0" xfId="0" applyFont="1" applyFill="1"/>
    <xf numFmtId="0" fontId="11" fillId="4" borderId="0" xfId="0" applyFont="1" applyFill="1" applyAlignment="1">
      <alignment wrapText="1"/>
    </xf>
    <xf numFmtId="3" fontId="1" fillId="2" borderId="0" xfId="492" applyNumberFormat="1" applyFont="1" applyFill="1" applyBorder="1"/>
    <xf numFmtId="3" fontId="3" fillId="2" borderId="0" xfId="492" applyNumberFormat="1" applyFont="1" applyFill="1" applyBorder="1"/>
    <xf numFmtId="0" fontId="15" fillId="2" borderId="0" xfId="0" applyFont="1" applyFill="1" applyAlignment="1">
      <alignment wrapText="1"/>
    </xf>
    <xf numFmtId="0" fontId="11" fillId="4" borderId="0" xfId="0" applyFont="1" applyFill="1" applyAlignment="1">
      <alignment vertical="center" wrapText="1"/>
    </xf>
    <xf numFmtId="3" fontId="16" fillId="2" borderId="0" xfId="492" applyNumberFormat="1" applyFont="1" applyFill="1" applyBorder="1"/>
    <xf numFmtId="3" fontId="2" fillId="2" borderId="0" xfId="492" applyNumberFormat="1" applyFont="1" applyFill="1"/>
    <xf numFmtId="3" fontId="2" fillId="2" borderId="0" xfId="492" applyNumberFormat="1" applyFont="1" applyFill="1" applyBorder="1"/>
    <xf numFmtId="167" fontId="2" fillId="2" borderId="0" xfId="492" applyNumberFormat="1" applyFont="1" applyFill="1"/>
    <xf numFmtId="3" fontId="16" fillId="2" borderId="0" xfId="492" applyNumberFormat="1" applyFont="1" applyFill="1"/>
    <xf numFmtId="164" fontId="16" fillId="2" borderId="0" xfId="270" applyNumberFormat="1" applyFont="1" applyFill="1"/>
    <xf numFmtId="49" fontId="10" fillId="3" borderId="0" xfId="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0" fontId="4" fillId="0" borderId="0" xfId="0" applyFont="1"/>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2" applyNumberFormat="1" applyFont="1" applyFill="1"/>
    <xf numFmtId="0" fontId="18" fillId="0" borderId="0" xfId="0" applyFont="1"/>
    <xf numFmtId="0" fontId="18" fillId="2" borderId="0" xfId="0" applyFont="1" applyFill="1" applyAlignment="1">
      <alignment vertical="center"/>
    </xf>
    <xf numFmtId="0" fontId="18" fillId="2" borderId="0" xfId="0" applyFont="1" applyFill="1"/>
    <xf numFmtId="0" fontId="18" fillId="3" borderId="0" xfId="0" applyFont="1" applyFill="1"/>
    <xf numFmtId="0" fontId="19" fillId="3" borderId="0" xfId="0" applyFont="1" applyFill="1"/>
    <xf numFmtId="166" fontId="3" fillId="2" borderId="0" xfId="357" applyNumberFormat="1" applyFont="1" applyFill="1"/>
    <xf numFmtId="164" fontId="1" fillId="2" borderId="0" xfId="0" applyNumberFormat="1" applyFont="1" applyFill="1"/>
    <xf numFmtId="166" fontId="2" fillId="2" borderId="0" xfId="357" applyNumberFormat="1" applyFont="1" applyFill="1"/>
    <xf numFmtId="3" fontId="1" fillId="2" borderId="0" xfId="0" applyNumberFormat="1" applyFont="1" applyFill="1"/>
    <xf numFmtId="0" fontId="19" fillId="2" borderId="0" xfId="0" applyFont="1" applyFill="1"/>
    <xf numFmtId="0" fontId="11" fillId="3" borderId="0" xfId="0" applyFont="1" applyFill="1" applyAlignment="1">
      <alignment horizontal="center"/>
    </xf>
    <xf numFmtId="0" fontId="10" fillId="4" borderId="0" xfId="0" applyFont="1" applyFill="1" applyAlignment="1">
      <alignment horizontal="center" wrapText="1"/>
    </xf>
    <xf numFmtId="164" fontId="0" fillId="2" borderId="0" xfId="270" applyNumberFormat="1" applyFont="1" applyFill="1" applyAlignment="1">
      <alignment horizontal="center"/>
    </xf>
    <xf numFmtId="3" fontId="0" fillId="2" borderId="0" xfId="0" applyNumberFormat="1" applyFill="1" applyAlignment="1">
      <alignment horizontal="center"/>
    </xf>
    <xf numFmtId="0" fontId="2" fillId="3" borderId="0" xfId="0" applyFont="1" applyFill="1"/>
    <xf numFmtId="0" fontId="4" fillId="0" borderId="0" xfId="0" applyFont="1" applyAlignment="1">
      <alignment horizontal="left"/>
    </xf>
    <xf numFmtId="0" fontId="0" fillId="5" borderId="0" xfId="0" applyFill="1" applyAlignment="1">
      <alignment horizontal="left"/>
    </xf>
    <xf numFmtId="0" fontId="21" fillId="2" borderId="0" xfId="2467" applyFont="1" applyFill="1" applyAlignment="1">
      <alignment vertical="center"/>
    </xf>
    <xf numFmtId="0" fontId="0" fillId="7" borderId="0" xfId="0" applyFill="1" applyAlignment="1">
      <alignment horizontal="left"/>
    </xf>
    <xf numFmtId="0" fontId="11" fillId="3" borderId="10" xfId="0" applyFont="1" applyFill="1" applyBorder="1"/>
    <xf numFmtId="0" fontId="10" fillId="3" borderId="10" xfId="0" applyFont="1" applyFill="1" applyBorder="1"/>
    <xf numFmtId="0" fontId="0" fillId="5" borderId="10" xfId="0" applyFill="1" applyBorder="1"/>
    <xf numFmtId="0" fontId="0" fillId="2" borderId="10" xfId="0" applyFill="1" applyBorder="1"/>
    <xf numFmtId="0" fontId="10" fillId="4" borderId="2" xfId="0" applyFont="1" applyFill="1" applyBorder="1" applyAlignment="1">
      <alignment horizontal="center" vertical="center"/>
    </xf>
    <xf numFmtId="164" fontId="2" fillId="2" borderId="0" xfId="270" applyNumberFormat="1" applyFont="1" applyFill="1" applyBorder="1"/>
    <xf numFmtId="0" fontId="18" fillId="2" borderId="0" xfId="0" applyFont="1" applyFill="1" applyAlignment="1">
      <alignment vertical="center" wrapText="1"/>
    </xf>
    <xf numFmtId="164" fontId="0" fillId="2" borderId="10" xfId="270" applyNumberFormat="1" applyFont="1" applyFill="1" applyBorder="1"/>
    <xf numFmtId="164" fontId="3" fillId="2" borderId="10" xfId="270" applyNumberFormat="1" applyFont="1" applyFill="1" applyBorder="1"/>
    <xf numFmtId="164" fontId="2" fillId="2" borderId="10" xfId="270" applyNumberFormat="1" applyFont="1" applyFill="1" applyBorder="1"/>
    <xf numFmtId="164" fontId="0" fillId="2" borderId="10" xfId="0" applyNumberFormat="1" applyFill="1" applyBorder="1"/>
    <xf numFmtId="164" fontId="0" fillId="2" borderId="10" xfId="270" applyNumberFormat="1" applyFont="1" applyFill="1" applyBorder="1" applyAlignment="1">
      <alignment horizontal="center"/>
    </xf>
    <xf numFmtId="0" fontId="16" fillId="0" borderId="5" xfId="0" applyFont="1" applyBorder="1" applyAlignment="1">
      <alignment vertical="center"/>
    </xf>
    <xf numFmtId="0" fontId="2" fillId="0" borderId="5" xfId="0" applyFont="1" applyBorder="1" applyAlignment="1">
      <alignment vertical="center" wrapText="1"/>
    </xf>
    <xf numFmtId="0" fontId="2" fillId="0" borderId="5" xfId="0" applyFont="1" applyBorder="1" applyAlignment="1">
      <alignment horizontal="left" vertical="top" wrapText="1"/>
    </xf>
    <xf numFmtId="3" fontId="1" fillId="2" borderId="0" xfId="270" applyNumberFormat="1" applyFont="1" applyFill="1"/>
    <xf numFmtId="3" fontId="3" fillId="2" borderId="0" xfId="270" applyNumberFormat="1" applyFont="1" applyFill="1"/>
    <xf numFmtId="0" fontId="4" fillId="2" borderId="0" xfId="0" applyFont="1" applyFill="1" applyAlignment="1">
      <alignment horizontal="left" wrapText="1"/>
    </xf>
    <xf numFmtId="0" fontId="27" fillId="0" borderId="0" xfId="0" applyFont="1" applyAlignment="1">
      <alignment vertical="center"/>
    </xf>
    <xf numFmtId="0" fontId="26" fillId="0" borderId="0" xfId="0" applyFont="1" applyAlignment="1">
      <alignment vertical="center"/>
    </xf>
    <xf numFmtId="0" fontId="0" fillId="2" borderId="0" xfId="0" applyFill="1" applyAlignment="1">
      <alignment horizontal="right"/>
    </xf>
    <xf numFmtId="0" fontId="6" fillId="0" borderId="5" xfId="0" applyFont="1" applyBorder="1" applyAlignment="1">
      <alignment wrapText="1"/>
    </xf>
    <xf numFmtId="0" fontId="27" fillId="2" borderId="0" xfId="0" applyFont="1" applyFill="1" applyAlignment="1">
      <alignment vertical="center"/>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0" fillId="7" borderId="0" xfId="0" applyFill="1" applyAlignment="1">
      <alignment horizontal="center"/>
    </xf>
    <xf numFmtId="0" fontId="13" fillId="3" borderId="0" xfId="0" applyFont="1" applyFill="1" applyAlignment="1">
      <alignment horizontal="left" vertical="top" wrapText="1"/>
    </xf>
    <xf numFmtId="0" fontId="14" fillId="3" borderId="0" xfId="0" applyFont="1" applyFill="1" applyAlignment="1">
      <alignment horizontal="left" vertical="top" wrapText="1"/>
    </xf>
    <xf numFmtId="0" fontId="14" fillId="2" borderId="0" xfId="0" applyFont="1" applyFill="1" applyAlignment="1">
      <alignment horizontal="left" vertical="top" wrapText="1"/>
    </xf>
    <xf numFmtId="0" fontId="14" fillId="2" borderId="0" xfId="0" applyFont="1" applyFill="1" applyAlignment="1">
      <alignment horizontal="left" vertical="center" wrapText="1"/>
    </xf>
    <xf numFmtId="0" fontId="10" fillId="4" borderId="7" xfId="0" applyFont="1" applyFill="1" applyBorder="1" applyAlignment="1">
      <alignment horizontal="center"/>
    </xf>
    <xf numFmtId="0" fontId="2" fillId="7" borderId="0" xfId="0" applyFont="1" applyFill="1" applyAlignment="1">
      <alignment horizontal="center"/>
    </xf>
    <xf numFmtId="0" fontId="0" fillId="7" borderId="2" xfId="0" applyFill="1" applyBorder="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3" fontId="0" fillId="7" borderId="0" xfId="0" applyNumberFormat="1" applyFill="1" applyAlignment="1">
      <alignment horizontal="center"/>
    </xf>
    <xf numFmtId="0" fontId="10" fillId="4" borderId="2" xfId="0" applyFont="1" applyFill="1" applyBorder="1" applyAlignment="1">
      <alignment horizontal="center"/>
    </xf>
    <xf numFmtId="0" fontId="10" fillId="4" borderId="0" xfId="0" applyFont="1" applyFill="1" applyAlignment="1">
      <alignment horizontal="center"/>
    </xf>
    <xf numFmtId="0" fontId="1" fillId="2" borderId="10" xfId="0" applyFont="1" applyFill="1" applyBorder="1"/>
    <xf numFmtId="0" fontId="1" fillId="6" borderId="10" xfId="0" applyFont="1" applyFill="1" applyBorder="1"/>
    <xf numFmtId="0" fontId="0" fillId="6" borderId="10" xfId="0" applyFill="1" applyBorder="1"/>
    <xf numFmtId="164" fontId="1"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0" fontId="13" fillId="3" borderId="0" xfId="0" applyFont="1" applyFill="1" applyAlignment="1"/>
    <xf numFmtId="3" fontId="0" fillId="2" borderId="10" xfId="492" applyNumberFormat="1" applyFont="1" applyFill="1" applyBorder="1"/>
    <xf numFmtId="3" fontId="3" fillId="2" borderId="10" xfId="492" applyNumberFormat="1" applyFont="1" applyFill="1" applyBorder="1"/>
    <xf numFmtId="0" fontId="2" fillId="2" borderId="10" xfId="0" applyFont="1" applyFill="1" applyBorder="1"/>
    <xf numFmtId="0" fontId="19" fillId="3" borderId="10" xfId="0" applyFont="1" applyFill="1" applyBorder="1"/>
    <xf numFmtId="0" fontId="18" fillId="3" borderId="10" xfId="0" applyFont="1" applyFill="1" applyBorder="1"/>
    <xf numFmtId="0" fontId="10" fillId="3" borderId="10" xfId="0" applyFont="1" applyFill="1" applyBorder="1" applyAlignment="1">
      <alignment horizontal="left"/>
    </xf>
    <xf numFmtId="3" fontId="11" fillId="3" borderId="10" xfId="0" applyNumberFormat="1" applyFont="1" applyFill="1" applyBorder="1"/>
    <xf numFmtId="0" fontId="11" fillId="3" borderId="10" xfId="0" applyFont="1" applyFill="1" applyBorder="1" applyAlignment="1">
      <alignment horizontal="center"/>
    </xf>
    <xf numFmtId="0" fontId="10" fillId="4" borderId="10" xfId="0" applyFont="1" applyFill="1" applyBorder="1"/>
  </cellXfs>
  <cellStyles count="2662">
    <cellStyle name="Comma" xfId="492" builtinId="3"/>
    <cellStyle name="Currency" xfId="357" builtinId="4"/>
    <cellStyle name="Hyperlink" xfId="2467" builtinId="8"/>
    <cellStyle name="Normal" xfId="0" builtinId="0"/>
    <cellStyle name="Normal 10" xfId="696" xr:uid="{00000000-0005-0000-0000-000003000000}"/>
    <cellStyle name="Normal 11" xfId="697" xr:uid="{00000000-0005-0000-0000-000004000000}"/>
    <cellStyle name="Normal 12" xfId="698" xr:uid="{00000000-0005-0000-0000-000005000000}"/>
    <cellStyle name="Normal 13" xfId="699" xr:uid="{00000000-0005-0000-0000-000006000000}"/>
    <cellStyle name="Normal 14" xfId="700" xr:uid="{00000000-0005-0000-0000-000007000000}"/>
    <cellStyle name="Normal 2" xfId="701" xr:uid="{00000000-0005-0000-0000-000008000000}"/>
    <cellStyle name="Normal 3" xfId="702" xr:uid="{00000000-0005-0000-0000-000009000000}"/>
    <cellStyle name="Normal 4" xfId="703" xr:uid="{00000000-0005-0000-0000-00000A000000}"/>
    <cellStyle name="Normal 5" xfId="704" xr:uid="{00000000-0005-0000-0000-00000B000000}"/>
    <cellStyle name="Normal 6" xfId="705" xr:uid="{00000000-0005-0000-0000-00000C000000}"/>
    <cellStyle name="Normal 7" xfId="706" xr:uid="{00000000-0005-0000-0000-00000D000000}"/>
    <cellStyle name="Normal 8" xfId="707" xr:uid="{00000000-0005-0000-0000-00000E000000}"/>
    <cellStyle name="Normal 9" xfId="708" xr:uid="{00000000-0005-0000-0000-00000F000000}"/>
    <cellStyle name="Percent" xfId="270" builtinId="5"/>
    <cellStyle name="Percent 2" xfId="709" xr:uid="{00000000-0005-0000-0000-000011000000}"/>
    <cellStyle name="style1478648479602" xfId="710" xr:uid="{00000000-0005-0000-0000-000012000000}"/>
    <cellStyle name="style1478648479602 2" xfId="711" xr:uid="{00000000-0005-0000-0000-000013000000}"/>
    <cellStyle name="style1478648479696" xfId="712" xr:uid="{00000000-0005-0000-0000-000014000000}"/>
    <cellStyle name="style1478648479696 2" xfId="713" xr:uid="{00000000-0005-0000-0000-000015000000}"/>
    <cellStyle name="style1478648479758" xfId="714" xr:uid="{00000000-0005-0000-0000-000016000000}"/>
    <cellStyle name="style1478648479758 2" xfId="715" xr:uid="{00000000-0005-0000-0000-000017000000}"/>
    <cellStyle name="style1478648479821" xfId="716" xr:uid="{00000000-0005-0000-0000-000018000000}"/>
    <cellStyle name="style1478648479821 2" xfId="717" xr:uid="{00000000-0005-0000-0000-000019000000}"/>
    <cellStyle name="style1478648479883" xfId="718" xr:uid="{00000000-0005-0000-0000-00001A000000}"/>
    <cellStyle name="style1478648479883 2" xfId="719" xr:uid="{00000000-0005-0000-0000-00001B000000}"/>
    <cellStyle name="style1478648479961" xfId="720" xr:uid="{00000000-0005-0000-0000-00001C000000}"/>
    <cellStyle name="style1478648479961 2" xfId="721" xr:uid="{00000000-0005-0000-0000-00001D000000}"/>
    <cellStyle name="style1478648480024" xfId="722" xr:uid="{00000000-0005-0000-0000-00001E000000}"/>
    <cellStyle name="style1478648480024 2" xfId="723" xr:uid="{00000000-0005-0000-0000-00001F000000}"/>
    <cellStyle name="style1478648480086" xfId="724" xr:uid="{00000000-0005-0000-0000-000020000000}"/>
    <cellStyle name="style1478648480086 2" xfId="725" xr:uid="{00000000-0005-0000-0000-000021000000}"/>
    <cellStyle name="style1478648480148" xfId="726" xr:uid="{00000000-0005-0000-0000-000022000000}"/>
    <cellStyle name="style1478648480148 2" xfId="727" xr:uid="{00000000-0005-0000-0000-000023000000}"/>
    <cellStyle name="style1478648480211" xfId="728" xr:uid="{00000000-0005-0000-0000-000024000000}"/>
    <cellStyle name="style1478648480211 2" xfId="729" xr:uid="{00000000-0005-0000-0000-000025000000}"/>
    <cellStyle name="style1478648480273" xfId="730" xr:uid="{00000000-0005-0000-0000-000026000000}"/>
    <cellStyle name="style1478648480273 2" xfId="731" xr:uid="{00000000-0005-0000-0000-000027000000}"/>
    <cellStyle name="style1478648480336" xfId="732" xr:uid="{00000000-0005-0000-0000-000028000000}"/>
    <cellStyle name="style1478648480336 2" xfId="733" xr:uid="{00000000-0005-0000-0000-000029000000}"/>
    <cellStyle name="style1478648480398" xfId="734" xr:uid="{00000000-0005-0000-0000-00002A000000}"/>
    <cellStyle name="style1478648480398 2" xfId="735" xr:uid="{00000000-0005-0000-0000-00002B000000}"/>
    <cellStyle name="style1478648480460" xfId="736" xr:uid="{00000000-0005-0000-0000-00002C000000}"/>
    <cellStyle name="style1478648480460 2" xfId="737" xr:uid="{00000000-0005-0000-0000-00002D000000}"/>
    <cellStyle name="style1478648480523" xfId="738" xr:uid="{00000000-0005-0000-0000-00002E000000}"/>
    <cellStyle name="style1478648480523 2" xfId="739" xr:uid="{00000000-0005-0000-0000-00002F000000}"/>
    <cellStyle name="style1478648480601" xfId="740" xr:uid="{00000000-0005-0000-0000-000030000000}"/>
    <cellStyle name="style1478648480601 2" xfId="741" xr:uid="{00000000-0005-0000-0000-000031000000}"/>
    <cellStyle name="style1478648480648" xfId="742" xr:uid="{00000000-0005-0000-0000-000032000000}"/>
    <cellStyle name="style1478648480648 2" xfId="743" xr:uid="{00000000-0005-0000-0000-000033000000}"/>
    <cellStyle name="style1478648480850" xfId="744" xr:uid="{00000000-0005-0000-0000-000034000000}"/>
    <cellStyle name="style1478648480850 2" xfId="745" xr:uid="{00000000-0005-0000-0000-000035000000}"/>
    <cellStyle name="style1478648480913" xfId="746" xr:uid="{00000000-0005-0000-0000-000036000000}"/>
    <cellStyle name="style1478648480913 2" xfId="747" xr:uid="{00000000-0005-0000-0000-000037000000}"/>
    <cellStyle name="style1478648480975" xfId="748" xr:uid="{00000000-0005-0000-0000-000038000000}"/>
    <cellStyle name="style1478648480975 2" xfId="749" xr:uid="{00000000-0005-0000-0000-000039000000}"/>
    <cellStyle name="style1478648481022" xfId="750" xr:uid="{00000000-0005-0000-0000-00003A000000}"/>
    <cellStyle name="style1478648481022 2" xfId="751" xr:uid="{00000000-0005-0000-0000-00003B000000}"/>
    <cellStyle name="style1478648481084" xfId="752" xr:uid="{00000000-0005-0000-0000-00003C000000}"/>
    <cellStyle name="style1478648481084 2" xfId="753" xr:uid="{00000000-0005-0000-0000-00003D000000}"/>
    <cellStyle name="style1478648481147" xfId="754" xr:uid="{00000000-0005-0000-0000-00003E000000}"/>
    <cellStyle name="style1478648481147 2" xfId="755" xr:uid="{00000000-0005-0000-0000-00003F000000}"/>
    <cellStyle name="style1478648481194" xfId="756" xr:uid="{00000000-0005-0000-0000-000040000000}"/>
    <cellStyle name="style1478648481194 2" xfId="757" xr:uid="{00000000-0005-0000-0000-000041000000}"/>
    <cellStyle name="style1478664485790" xfId="758" xr:uid="{00000000-0005-0000-0000-000042000000}"/>
    <cellStyle name="style1478664485915" xfId="759" xr:uid="{00000000-0005-0000-0000-000043000000}"/>
    <cellStyle name="style1478664486039" xfId="760" xr:uid="{00000000-0005-0000-0000-000044000000}"/>
    <cellStyle name="style1478664486164" xfId="761" xr:uid="{00000000-0005-0000-0000-000045000000}"/>
    <cellStyle name="style1478664486258" xfId="762" xr:uid="{00000000-0005-0000-0000-000046000000}"/>
    <cellStyle name="style1478664486414" xfId="763" xr:uid="{00000000-0005-0000-0000-000047000000}"/>
    <cellStyle name="style1478664486523" xfId="764" xr:uid="{00000000-0005-0000-0000-000048000000}"/>
    <cellStyle name="style1478664486648" xfId="765" xr:uid="{00000000-0005-0000-0000-000049000000}"/>
    <cellStyle name="style1478664486773" xfId="766" xr:uid="{00000000-0005-0000-0000-00004A000000}"/>
    <cellStyle name="style1478664486882" xfId="767" xr:uid="{00000000-0005-0000-0000-00004B000000}"/>
    <cellStyle name="style1478664487007" xfId="768" xr:uid="{00000000-0005-0000-0000-00004C000000}"/>
    <cellStyle name="style1478664487116" xfId="769" xr:uid="{00000000-0005-0000-0000-00004D000000}"/>
    <cellStyle name="style1478664487241" xfId="770" xr:uid="{00000000-0005-0000-0000-00004E000000}"/>
    <cellStyle name="style1478664487350" xfId="771" xr:uid="{00000000-0005-0000-0000-00004F000000}"/>
    <cellStyle name="style1478664487475" xfId="772" xr:uid="{00000000-0005-0000-0000-000050000000}"/>
    <cellStyle name="style1478664487599" xfId="773" xr:uid="{00000000-0005-0000-0000-000051000000}"/>
    <cellStyle name="style1478664487709" xfId="774" xr:uid="{00000000-0005-0000-0000-000052000000}"/>
    <cellStyle name="style1478664487989" xfId="775" xr:uid="{00000000-0005-0000-0000-000053000000}"/>
    <cellStyle name="style1478664488099" xfId="776" xr:uid="{00000000-0005-0000-0000-000054000000}"/>
    <cellStyle name="style1478664488223" xfId="777" xr:uid="{00000000-0005-0000-0000-000055000000}"/>
    <cellStyle name="style1478664488457" xfId="778" xr:uid="{00000000-0005-0000-0000-000056000000}"/>
    <cellStyle name="style1478664488582" xfId="779" xr:uid="{00000000-0005-0000-0000-000057000000}"/>
    <cellStyle name="style1479335080697" xfId="780" xr:uid="{00000000-0005-0000-0000-000058000000}"/>
    <cellStyle name="style1479335080807" xfId="781" xr:uid="{00000000-0005-0000-0000-000059000000}"/>
    <cellStyle name="style1479335080947" xfId="782" xr:uid="{00000000-0005-0000-0000-00005A000000}"/>
    <cellStyle name="style1479335081104" xfId="783" xr:uid="{00000000-0005-0000-0000-00005B000000}"/>
    <cellStyle name="style1479335081213" xfId="784" xr:uid="{00000000-0005-0000-0000-00005C000000}"/>
    <cellStyle name="style1479335081385" xfId="785" xr:uid="{00000000-0005-0000-0000-00005D000000}"/>
    <cellStyle name="style1479335081963" xfId="786" xr:uid="{00000000-0005-0000-0000-00005E000000}"/>
    <cellStyle name="style1479335082025" xfId="787" xr:uid="{00000000-0005-0000-0000-00005F000000}"/>
    <cellStyle name="style1479335082088" xfId="788" xr:uid="{00000000-0005-0000-0000-000060000000}"/>
    <cellStyle name="style1479335082134" xfId="789" xr:uid="{00000000-0005-0000-0000-000061000000}"/>
    <cellStyle name="style1479335082213" xfId="790" xr:uid="{00000000-0005-0000-0000-000062000000}"/>
    <cellStyle name="style1479335082275" xfId="791" xr:uid="{00000000-0005-0000-0000-000063000000}"/>
    <cellStyle name="style1479335082322" xfId="792" xr:uid="{00000000-0005-0000-0000-000064000000}"/>
    <cellStyle name="style1479335082384" xfId="793" xr:uid="{00000000-0005-0000-0000-000065000000}"/>
    <cellStyle name="style1479335082447" xfId="794" xr:uid="{00000000-0005-0000-0000-000066000000}"/>
    <cellStyle name="style1479335082509" xfId="795" xr:uid="{00000000-0005-0000-0000-000067000000}"/>
    <cellStyle name="style1479335082556" xfId="796" xr:uid="{00000000-0005-0000-0000-000068000000}"/>
    <cellStyle name="style1479335082681" xfId="797" xr:uid="{00000000-0005-0000-0000-000069000000}"/>
    <cellStyle name="style1479335082728" xfId="798" xr:uid="{00000000-0005-0000-0000-00006A000000}"/>
    <cellStyle name="style1479335082790" xfId="799" xr:uid="{00000000-0005-0000-0000-00006B000000}"/>
    <cellStyle name="style1479363751896" xfId="800" xr:uid="{00000000-0005-0000-0000-00006C000000}"/>
    <cellStyle name="style1479363751958" xfId="801" xr:uid="{00000000-0005-0000-0000-00006D000000}"/>
    <cellStyle name="style1479363752020" xfId="802" xr:uid="{00000000-0005-0000-0000-00006E000000}"/>
    <cellStyle name="style1479363752067" xfId="803" xr:uid="{00000000-0005-0000-0000-00006F000000}"/>
    <cellStyle name="style1479363752130" xfId="804" xr:uid="{00000000-0005-0000-0000-000070000000}"/>
    <cellStyle name="style1479363752192" xfId="805" xr:uid="{00000000-0005-0000-0000-000071000000}"/>
    <cellStyle name="style1479363752239" xfId="806" xr:uid="{00000000-0005-0000-0000-000072000000}"/>
    <cellStyle name="style1479363752301" xfId="807" xr:uid="{00000000-0005-0000-0000-000073000000}"/>
    <cellStyle name="style1479363752348" xfId="808" xr:uid="{00000000-0005-0000-0000-000074000000}"/>
    <cellStyle name="style1479363752395" xfId="809" xr:uid="{00000000-0005-0000-0000-000075000000}"/>
    <cellStyle name="style1479363752457" xfId="810" xr:uid="{00000000-0005-0000-0000-000076000000}"/>
    <cellStyle name="style1479363752504" xfId="811" xr:uid="{00000000-0005-0000-0000-000077000000}"/>
    <cellStyle name="style1479363755796" xfId="812" xr:uid="{00000000-0005-0000-0000-000078000000}"/>
    <cellStyle name="style1479363755936" xfId="813" xr:uid="{00000000-0005-0000-0000-000079000000}"/>
    <cellStyle name="style1479363764235" xfId="814" xr:uid="{00000000-0005-0000-0000-00007A000000}"/>
    <cellStyle name="style1479363764313" xfId="815" xr:uid="{00000000-0005-0000-0000-00007B000000}"/>
    <cellStyle name="style1479363764360" xfId="816" xr:uid="{00000000-0005-0000-0000-00007C000000}"/>
    <cellStyle name="style1479363764407" xfId="817" xr:uid="{00000000-0005-0000-0000-00007D000000}"/>
    <cellStyle name="style1479363764454" xfId="818" xr:uid="{00000000-0005-0000-0000-00007E000000}"/>
    <cellStyle name="style1479363764516" xfId="819" xr:uid="{00000000-0005-0000-0000-00007F000000}"/>
    <cellStyle name="style1479363764563" xfId="820" xr:uid="{00000000-0005-0000-0000-000080000000}"/>
    <cellStyle name="style1479363764625" xfId="821" xr:uid="{00000000-0005-0000-0000-000081000000}"/>
    <cellStyle name="style1479363764672" xfId="822" xr:uid="{00000000-0005-0000-0000-000082000000}"/>
    <cellStyle name="style1479363764734" xfId="823" xr:uid="{00000000-0005-0000-0000-000083000000}"/>
    <cellStyle name="style1479363764781" xfId="824" xr:uid="{00000000-0005-0000-0000-000084000000}"/>
    <cellStyle name="style1479363764890" xfId="825" xr:uid="{00000000-0005-0000-0000-000085000000}"/>
    <cellStyle name="style1479363764953" xfId="826" xr:uid="{00000000-0005-0000-0000-000086000000}"/>
    <cellStyle name="style1479363765000" xfId="827" xr:uid="{00000000-0005-0000-0000-000087000000}"/>
    <cellStyle name="style1479363765062" xfId="828" xr:uid="{00000000-0005-0000-0000-000088000000}"/>
    <cellStyle name="style1479363765358" xfId="829" xr:uid="{00000000-0005-0000-0000-000089000000}"/>
    <cellStyle name="style1479434513754" xfId="830" xr:uid="{00000000-0005-0000-0000-00008A000000}"/>
    <cellStyle name="style1479434514238" xfId="831" xr:uid="{00000000-0005-0000-0000-00008B000000}"/>
    <cellStyle name="style1479434514347" xfId="832" xr:uid="{00000000-0005-0000-0000-00008C000000}"/>
    <cellStyle name="style1479434514472" xfId="833" xr:uid="{00000000-0005-0000-0000-00008D000000}"/>
    <cellStyle name="style1479434521648" xfId="834" xr:uid="{00000000-0005-0000-0000-00008E000000}"/>
    <cellStyle name="style1479434521710" xfId="835" xr:uid="{00000000-0005-0000-0000-00008F000000}"/>
    <cellStyle name="style1479434521772" xfId="836" xr:uid="{00000000-0005-0000-0000-000090000000}"/>
    <cellStyle name="style1479434521819" xfId="837" xr:uid="{00000000-0005-0000-0000-000091000000}"/>
    <cellStyle name="style1479434521866" xfId="838" xr:uid="{00000000-0005-0000-0000-000092000000}"/>
    <cellStyle name="style1479434521928" xfId="839" xr:uid="{00000000-0005-0000-0000-000093000000}"/>
    <cellStyle name="style1479434521991" xfId="840" xr:uid="{00000000-0005-0000-0000-000094000000}"/>
    <cellStyle name="style1479434522038" xfId="841" xr:uid="{00000000-0005-0000-0000-000095000000}"/>
    <cellStyle name="style1479434522100" xfId="842" xr:uid="{00000000-0005-0000-0000-000096000000}"/>
    <cellStyle name="style1479434522178" xfId="843" xr:uid="{00000000-0005-0000-0000-000097000000}"/>
    <cellStyle name="style1479434522240" xfId="844" xr:uid="{00000000-0005-0000-0000-000098000000}"/>
    <cellStyle name="style1479434522318" xfId="845" xr:uid="{00000000-0005-0000-0000-000099000000}"/>
    <cellStyle name="style1479434522365" xfId="846" xr:uid="{00000000-0005-0000-0000-00009A000000}"/>
    <cellStyle name="style1479434522428" xfId="847" xr:uid="{00000000-0005-0000-0000-00009B000000}"/>
    <cellStyle name="style1479434522474" xfId="848" xr:uid="{00000000-0005-0000-0000-00009C000000}"/>
    <cellStyle name="style1479440712872" xfId="849" xr:uid="{00000000-0005-0000-0000-00009D000000}"/>
    <cellStyle name="style1479440712935" xfId="850" xr:uid="{00000000-0005-0000-0000-00009E000000}"/>
    <cellStyle name="style1479440712982" xfId="851" xr:uid="{00000000-0005-0000-0000-00009F000000}"/>
    <cellStyle name="style1479440713044" xfId="852" xr:uid="{00000000-0005-0000-0000-0000A0000000}"/>
    <cellStyle name="style1479440713091" xfId="853" xr:uid="{00000000-0005-0000-0000-0000A1000000}"/>
    <cellStyle name="style1479440713153" xfId="854" xr:uid="{00000000-0005-0000-0000-0000A2000000}"/>
    <cellStyle name="style1479440713216" xfId="855" xr:uid="{00000000-0005-0000-0000-0000A3000000}"/>
    <cellStyle name="style1479440713262" xfId="856" xr:uid="{00000000-0005-0000-0000-0000A4000000}"/>
    <cellStyle name="style1479440713325" xfId="857" xr:uid="{00000000-0005-0000-0000-0000A5000000}"/>
    <cellStyle name="style1479440713372" xfId="858" xr:uid="{00000000-0005-0000-0000-0000A6000000}"/>
    <cellStyle name="style1479440713434" xfId="859" xr:uid="{00000000-0005-0000-0000-0000A7000000}"/>
    <cellStyle name="style1479440713481" xfId="860" xr:uid="{00000000-0005-0000-0000-0000A8000000}"/>
    <cellStyle name="style1479440713543" xfId="861" xr:uid="{00000000-0005-0000-0000-0000A9000000}"/>
    <cellStyle name="style1479440713590" xfId="862" xr:uid="{00000000-0005-0000-0000-0000AA000000}"/>
    <cellStyle name="style1479440713621" xfId="863" xr:uid="{00000000-0005-0000-0000-0000AB000000}"/>
    <cellStyle name="style1479440713668" xfId="864" xr:uid="{00000000-0005-0000-0000-0000AC000000}"/>
    <cellStyle name="style1479440713730" xfId="865" xr:uid="{00000000-0005-0000-0000-0000AD000000}"/>
    <cellStyle name="style1479440713793" xfId="866" xr:uid="{00000000-0005-0000-0000-0000AE000000}"/>
    <cellStyle name="style1479440713840" xfId="867" xr:uid="{00000000-0005-0000-0000-0000AF000000}"/>
    <cellStyle name="style1479440714807" xfId="868" xr:uid="{00000000-0005-0000-0000-0000B0000000}"/>
    <cellStyle name="style1479440714854" xfId="869" xr:uid="{00000000-0005-0000-0000-0000B1000000}"/>
    <cellStyle name="style1479440714885" xfId="870"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8" xr:uid="{00000000-0005-0000-0000-000016020000}"/>
    <cellStyle name="style1480824154794" xfId="359" xr:uid="{00000000-0005-0000-0000-000017020000}"/>
    <cellStyle name="style1480824154840" xfId="360" xr:uid="{00000000-0005-0000-0000-000018020000}"/>
    <cellStyle name="style1480824154918" xfId="361" xr:uid="{00000000-0005-0000-0000-000019020000}"/>
    <cellStyle name="style1480824154981" xfId="362" xr:uid="{00000000-0005-0000-0000-00001A020000}"/>
    <cellStyle name="style1480824155043" xfId="363" xr:uid="{00000000-0005-0000-0000-00001B020000}"/>
    <cellStyle name="style1480824155106" xfId="364" xr:uid="{00000000-0005-0000-0000-00001C020000}"/>
    <cellStyle name="style1480824155168" xfId="365" xr:uid="{00000000-0005-0000-0000-00001D020000}"/>
    <cellStyle name="style1480824155230" xfId="366" xr:uid="{00000000-0005-0000-0000-00001E020000}"/>
    <cellStyle name="style1480824155277" xfId="367" xr:uid="{00000000-0005-0000-0000-00001F020000}"/>
    <cellStyle name="style1480824155340" xfId="368" xr:uid="{00000000-0005-0000-0000-000020020000}"/>
    <cellStyle name="style1480824155402" xfId="369" xr:uid="{00000000-0005-0000-0000-000021020000}"/>
    <cellStyle name="style1480824155464" xfId="370" xr:uid="{00000000-0005-0000-0000-000022020000}"/>
    <cellStyle name="style1480824155527" xfId="371" xr:uid="{00000000-0005-0000-0000-000023020000}"/>
    <cellStyle name="style1480824155589" xfId="372" xr:uid="{00000000-0005-0000-0000-000024020000}"/>
    <cellStyle name="style1480824155636" xfId="373" xr:uid="{00000000-0005-0000-0000-000025020000}"/>
    <cellStyle name="style1480824155698" xfId="374" xr:uid="{00000000-0005-0000-0000-000026020000}"/>
    <cellStyle name="style1480824155761" xfId="375" xr:uid="{00000000-0005-0000-0000-000027020000}"/>
    <cellStyle name="style1480824155823" xfId="376" xr:uid="{00000000-0005-0000-0000-000028020000}"/>
    <cellStyle name="style1480824155886" xfId="377" xr:uid="{00000000-0005-0000-0000-000029020000}"/>
    <cellStyle name="style1480824155948" xfId="378" xr:uid="{00000000-0005-0000-0000-00002A020000}"/>
    <cellStyle name="style1480824156010" xfId="379" xr:uid="{00000000-0005-0000-0000-00002B020000}"/>
    <cellStyle name="style1480824156057" xfId="380" xr:uid="{00000000-0005-0000-0000-00002C020000}"/>
    <cellStyle name="style1480824156120" xfId="381" xr:uid="{00000000-0005-0000-0000-00002D020000}"/>
    <cellStyle name="style1480824156182" xfId="382" xr:uid="{00000000-0005-0000-0000-00002E020000}"/>
    <cellStyle name="style1480824156244" xfId="383" xr:uid="{00000000-0005-0000-0000-00002F020000}"/>
    <cellStyle name="style1480824156291" xfId="384" xr:uid="{00000000-0005-0000-0000-000030020000}"/>
    <cellStyle name="style1480824156354" xfId="385" xr:uid="{00000000-0005-0000-0000-000031020000}"/>
    <cellStyle name="style1480824156400" xfId="386" xr:uid="{00000000-0005-0000-0000-000032020000}"/>
    <cellStyle name="style1480824156525" xfId="387" xr:uid="{00000000-0005-0000-0000-000033020000}"/>
    <cellStyle name="style1480824156588" xfId="388" xr:uid="{00000000-0005-0000-0000-000034020000}"/>
    <cellStyle name="style1480824156634" xfId="389" xr:uid="{00000000-0005-0000-0000-000035020000}"/>
    <cellStyle name="style1480824156697" xfId="390" xr:uid="{00000000-0005-0000-0000-000036020000}"/>
    <cellStyle name="style1480824156744" xfId="391" xr:uid="{00000000-0005-0000-0000-000037020000}"/>
    <cellStyle name="style1480824156915" xfId="392" xr:uid="{00000000-0005-0000-0000-000038020000}"/>
    <cellStyle name="style1480824156962" xfId="393" xr:uid="{00000000-0005-0000-0000-000039020000}"/>
    <cellStyle name="style1480824157024" xfId="394" xr:uid="{00000000-0005-0000-0000-00003A020000}"/>
    <cellStyle name="style1480824157056" xfId="395" xr:uid="{00000000-0005-0000-0000-00003B020000}"/>
    <cellStyle name="style1480824157118" xfId="396" xr:uid="{00000000-0005-0000-0000-00003C020000}"/>
    <cellStyle name="style1480824157165" xfId="397" xr:uid="{00000000-0005-0000-0000-00003D020000}"/>
    <cellStyle name="style1480824157227" xfId="398" xr:uid="{00000000-0005-0000-0000-00003E020000}"/>
    <cellStyle name="style1480824157274" xfId="399" xr:uid="{00000000-0005-0000-0000-00003F020000}"/>
    <cellStyle name="style1480824157336" xfId="400" xr:uid="{00000000-0005-0000-0000-000040020000}"/>
    <cellStyle name="style1480824157399" xfId="401" xr:uid="{00000000-0005-0000-0000-000041020000}"/>
    <cellStyle name="style1480824157446" xfId="403" xr:uid="{00000000-0005-0000-0000-000042020000}"/>
    <cellStyle name="style1480824157508" xfId="402" xr:uid="{00000000-0005-0000-0000-000043020000}"/>
    <cellStyle name="style1480824157570" xfId="404" xr:uid="{00000000-0005-0000-0000-000044020000}"/>
    <cellStyle name="style1480824157617" xfId="405" xr:uid="{00000000-0005-0000-0000-000045020000}"/>
    <cellStyle name="style1480824157773" xfId="406" xr:uid="{00000000-0005-0000-0000-000046020000}"/>
    <cellStyle name="style1480824157820" xfId="407" xr:uid="{00000000-0005-0000-0000-000047020000}"/>
    <cellStyle name="style1480824157867" xfId="408" xr:uid="{00000000-0005-0000-0000-000048020000}"/>
    <cellStyle name="style1480824157929" xfId="409" xr:uid="{00000000-0005-0000-0000-000049020000}"/>
    <cellStyle name="style1480824157992" xfId="410" xr:uid="{00000000-0005-0000-0000-00004A020000}"/>
    <cellStyle name="style1480824158038" xfId="411" xr:uid="{00000000-0005-0000-0000-00004B020000}"/>
    <cellStyle name="style1480824158179" xfId="412" xr:uid="{00000000-0005-0000-0000-00004C020000}"/>
    <cellStyle name="style1480824158241" xfId="413" xr:uid="{00000000-0005-0000-0000-00004D020000}"/>
    <cellStyle name="style1480824158288" xfId="414" xr:uid="{00000000-0005-0000-0000-00004E020000}"/>
    <cellStyle name="style1480824158350" xfId="415" xr:uid="{00000000-0005-0000-0000-00004F020000}"/>
    <cellStyle name="style1480824159864" xfId="416" xr:uid="{00000000-0005-0000-0000-000050020000}"/>
    <cellStyle name="style1480824159926" xfId="417" xr:uid="{00000000-0005-0000-0000-000051020000}"/>
    <cellStyle name="style1480824159973" xfId="418" xr:uid="{00000000-0005-0000-0000-000052020000}"/>
    <cellStyle name="style1480824160534" xfId="419" xr:uid="{00000000-0005-0000-0000-000053020000}"/>
    <cellStyle name="style1480824160597" xfId="420" xr:uid="{00000000-0005-0000-0000-000054020000}"/>
    <cellStyle name="style1480824160644" xfId="421" xr:uid="{00000000-0005-0000-0000-000055020000}"/>
    <cellStyle name="style1480824160690" xfId="422" xr:uid="{00000000-0005-0000-0000-000056020000}"/>
    <cellStyle name="style1480824160722" xfId="423" xr:uid="{00000000-0005-0000-0000-000057020000}"/>
    <cellStyle name="style1480824160768" xfId="424" xr:uid="{00000000-0005-0000-0000-000058020000}"/>
    <cellStyle name="style1480824160815" xfId="425" xr:uid="{00000000-0005-0000-0000-000059020000}"/>
    <cellStyle name="style1480824160862" xfId="426" xr:uid="{00000000-0005-0000-0000-00005A020000}"/>
    <cellStyle name="style1480824161876" xfId="427" xr:uid="{00000000-0005-0000-0000-00005B020000}"/>
    <cellStyle name="style1480824161938" xfId="428" xr:uid="{00000000-0005-0000-0000-00005C020000}"/>
    <cellStyle name="style1480824161985" xfId="429" xr:uid="{00000000-0005-0000-0000-00005D020000}"/>
    <cellStyle name="style1480824162016" xfId="430" xr:uid="{00000000-0005-0000-0000-00005E020000}"/>
    <cellStyle name="style1480824162079" xfId="431" xr:uid="{00000000-0005-0000-0000-00005F020000}"/>
    <cellStyle name="style1480824162110" xfId="432" xr:uid="{00000000-0005-0000-0000-000060020000}"/>
    <cellStyle name="style1480824162172" xfId="433" xr:uid="{00000000-0005-0000-0000-000061020000}"/>
    <cellStyle name="style1480824162204" xfId="434" xr:uid="{00000000-0005-0000-0000-000062020000}"/>
    <cellStyle name="style1480824162266" xfId="435" xr:uid="{00000000-0005-0000-0000-000063020000}"/>
    <cellStyle name="style1480824162313" xfId="436" xr:uid="{00000000-0005-0000-0000-000064020000}"/>
    <cellStyle name="style1480824162344" xfId="437" xr:uid="{00000000-0005-0000-0000-000065020000}"/>
    <cellStyle name="style1480824162500" xfId="438" xr:uid="{00000000-0005-0000-0000-000066020000}"/>
    <cellStyle name="style1480824162562" xfId="439" xr:uid="{00000000-0005-0000-0000-000067020000}"/>
    <cellStyle name="style1480824162718" xfId="440" xr:uid="{00000000-0005-0000-0000-000068020000}"/>
    <cellStyle name="style1480824162765" xfId="441" xr:uid="{00000000-0005-0000-0000-000069020000}"/>
    <cellStyle name="style1480824162812" xfId="442" xr:uid="{00000000-0005-0000-0000-00006A020000}"/>
    <cellStyle name="style1480824162859" xfId="443" xr:uid="{00000000-0005-0000-0000-00006B020000}"/>
    <cellStyle name="style1480829121807" xfId="444" xr:uid="{00000000-0005-0000-0000-00006C020000}"/>
    <cellStyle name="style1480829121901" xfId="445" xr:uid="{00000000-0005-0000-0000-00006D020000}"/>
    <cellStyle name="style1480829121979" xfId="446" xr:uid="{00000000-0005-0000-0000-00006E020000}"/>
    <cellStyle name="style1480829122057" xfId="447" xr:uid="{00000000-0005-0000-0000-00006F020000}"/>
    <cellStyle name="style1480829122135" xfId="448" xr:uid="{00000000-0005-0000-0000-000070020000}"/>
    <cellStyle name="style1480829122213" xfId="449" xr:uid="{00000000-0005-0000-0000-000071020000}"/>
    <cellStyle name="style1480829122275" xfId="450" xr:uid="{00000000-0005-0000-0000-000072020000}"/>
    <cellStyle name="style1480829122369" xfId="451" xr:uid="{00000000-0005-0000-0000-000073020000}"/>
    <cellStyle name="style1480829122462" xfId="452" xr:uid="{00000000-0005-0000-0000-000074020000}"/>
    <cellStyle name="style1480829122556" xfId="453" xr:uid="{00000000-0005-0000-0000-000075020000}"/>
    <cellStyle name="style1480829122634" xfId="454" xr:uid="{00000000-0005-0000-0000-000076020000}"/>
    <cellStyle name="style1480829122728" xfId="455" xr:uid="{00000000-0005-0000-0000-000077020000}"/>
    <cellStyle name="style1480829122806" xfId="456" xr:uid="{00000000-0005-0000-0000-000078020000}"/>
    <cellStyle name="style1480829122884" xfId="457" xr:uid="{00000000-0005-0000-0000-000079020000}"/>
    <cellStyle name="style1480829122962" xfId="458" xr:uid="{00000000-0005-0000-0000-00007A020000}"/>
    <cellStyle name="style1480829123055" xfId="459" xr:uid="{00000000-0005-0000-0000-00007B020000}"/>
    <cellStyle name="style1480829123164" xfId="461" xr:uid="{00000000-0005-0000-0000-00007C020000}"/>
    <cellStyle name="style1480829123242" xfId="460" xr:uid="{00000000-0005-0000-0000-00007D020000}"/>
    <cellStyle name="style1480829123320" xfId="462" xr:uid="{00000000-0005-0000-0000-00007E020000}"/>
    <cellStyle name="style1480829123398" xfId="463" xr:uid="{00000000-0005-0000-0000-00007F020000}"/>
    <cellStyle name="style1480829123476" xfId="464" xr:uid="{00000000-0005-0000-0000-000080020000}"/>
    <cellStyle name="style1480829123632" xfId="465" xr:uid="{00000000-0005-0000-0000-000081020000}"/>
    <cellStyle name="style1480829123726" xfId="466" xr:uid="{00000000-0005-0000-0000-000082020000}"/>
    <cellStyle name="style1480829123804" xfId="467" xr:uid="{00000000-0005-0000-0000-000083020000}"/>
    <cellStyle name="style1480829123882" xfId="468" xr:uid="{00000000-0005-0000-0000-000084020000}"/>
    <cellStyle name="style1480829123960" xfId="469" xr:uid="{00000000-0005-0000-0000-000085020000}"/>
    <cellStyle name="style1480829124038" xfId="470" xr:uid="{00000000-0005-0000-0000-000086020000}"/>
    <cellStyle name="style1480829124116" xfId="471" xr:uid="{00000000-0005-0000-0000-000087020000}"/>
    <cellStyle name="style1480829124194" xfId="472" xr:uid="{00000000-0005-0000-0000-000088020000}"/>
    <cellStyle name="style1480829124272" xfId="473" xr:uid="{00000000-0005-0000-0000-000089020000}"/>
    <cellStyle name="style1480829124397" xfId="474" xr:uid="{00000000-0005-0000-0000-00008A020000}"/>
    <cellStyle name="style1480829124475" xfId="475" xr:uid="{00000000-0005-0000-0000-00008B020000}"/>
    <cellStyle name="style1480829124568" xfId="476" xr:uid="{00000000-0005-0000-0000-00008C020000}"/>
    <cellStyle name="style1480829124834" xfId="477" xr:uid="{00000000-0005-0000-0000-00008D020000}"/>
    <cellStyle name="style1480829124912" xfId="478" xr:uid="{00000000-0005-0000-0000-00008E020000}"/>
    <cellStyle name="style1480829124990" xfId="479" xr:uid="{00000000-0005-0000-0000-00008F020000}"/>
    <cellStyle name="style1480829125083" xfId="480" xr:uid="{00000000-0005-0000-0000-000090020000}"/>
    <cellStyle name="style1480829125208" xfId="481" xr:uid="{00000000-0005-0000-0000-000091020000}"/>
    <cellStyle name="style1480829125286" xfId="482" xr:uid="{00000000-0005-0000-0000-000092020000}"/>
    <cellStyle name="style1480829125380" xfId="483" xr:uid="{00000000-0005-0000-0000-000093020000}"/>
    <cellStyle name="style1480829125473" xfId="484" xr:uid="{00000000-0005-0000-0000-000094020000}"/>
    <cellStyle name="style1480829125551" xfId="485" xr:uid="{00000000-0005-0000-0000-000095020000}"/>
    <cellStyle name="style1480829125629" xfId="486" xr:uid="{00000000-0005-0000-0000-000096020000}"/>
    <cellStyle name="style1480829125707" xfId="487" xr:uid="{00000000-0005-0000-0000-000097020000}"/>
    <cellStyle name="style1480829125785" xfId="488" xr:uid="{00000000-0005-0000-0000-000098020000}"/>
    <cellStyle name="style1480829125863" xfId="489" xr:uid="{00000000-0005-0000-0000-000099020000}"/>
    <cellStyle name="style1480829125957" xfId="490" xr:uid="{00000000-0005-0000-0000-00009A020000}"/>
    <cellStyle name="style1480829126050" xfId="491" xr:uid="{00000000-0005-0000-0000-00009B020000}"/>
    <cellStyle name="style1480848716487" xfId="871" xr:uid="{00000000-0005-0000-0000-00009C020000}"/>
    <cellStyle name="style1480848716550" xfId="872" xr:uid="{00000000-0005-0000-0000-00009D020000}"/>
    <cellStyle name="style1480848716581" xfId="873" xr:uid="{00000000-0005-0000-0000-00009E020000}"/>
    <cellStyle name="style1480848716628" xfId="874" xr:uid="{00000000-0005-0000-0000-00009F020000}"/>
    <cellStyle name="style1480848716674" xfId="875" xr:uid="{00000000-0005-0000-0000-0000A0020000}"/>
    <cellStyle name="style1480848716721" xfId="876" xr:uid="{00000000-0005-0000-0000-0000A1020000}"/>
    <cellStyle name="style1480848716768" xfId="877" xr:uid="{00000000-0005-0000-0000-0000A2020000}"/>
    <cellStyle name="style1480848716815" xfId="878" xr:uid="{00000000-0005-0000-0000-0000A3020000}"/>
    <cellStyle name="style1480848716877" xfId="879" xr:uid="{00000000-0005-0000-0000-0000A4020000}"/>
    <cellStyle name="style1480848716924" xfId="880" xr:uid="{00000000-0005-0000-0000-0000A5020000}"/>
    <cellStyle name="style1480848716971" xfId="881" xr:uid="{00000000-0005-0000-0000-0000A6020000}"/>
    <cellStyle name="style1480848717018" xfId="882" xr:uid="{00000000-0005-0000-0000-0000A7020000}"/>
    <cellStyle name="style1480848717064" xfId="883" xr:uid="{00000000-0005-0000-0000-0000A8020000}"/>
    <cellStyle name="style1480848717111" xfId="884" xr:uid="{00000000-0005-0000-0000-0000A9020000}"/>
    <cellStyle name="style1480848717158" xfId="885" xr:uid="{00000000-0005-0000-0000-0000AA020000}"/>
    <cellStyle name="style1480848717205" xfId="886" xr:uid="{00000000-0005-0000-0000-0000AB020000}"/>
    <cellStyle name="style1480848717252" xfId="887" xr:uid="{00000000-0005-0000-0000-0000AC020000}"/>
    <cellStyle name="style1480848717314" xfId="888" xr:uid="{00000000-0005-0000-0000-0000AD020000}"/>
    <cellStyle name="style1480848717361" xfId="889" xr:uid="{00000000-0005-0000-0000-0000AE020000}"/>
    <cellStyle name="style1480848717408" xfId="890" xr:uid="{00000000-0005-0000-0000-0000AF020000}"/>
    <cellStyle name="style1480848717470" xfId="891" xr:uid="{00000000-0005-0000-0000-0000B0020000}"/>
    <cellStyle name="style1480848717517" xfId="892" xr:uid="{00000000-0005-0000-0000-0000B1020000}"/>
    <cellStyle name="style1480848717564" xfId="893" xr:uid="{00000000-0005-0000-0000-0000B2020000}"/>
    <cellStyle name="style1480848717610" xfId="894" xr:uid="{00000000-0005-0000-0000-0000B3020000}"/>
    <cellStyle name="style1480848717657" xfId="895" xr:uid="{00000000-0005-0000-0000-0000B4020000}"/>
    <cellStyle name="style1480848717704" xfId="896" xr:uid="{00000000-0005-0000-0000-0000B5020000}"/>
    <cellStyle name="style1480848717751" xfId="897" xr:uid="{00000000-0005-0000-0000-0000B6020000}"/>
    <cellStyle name="style1480848717798" xfId="898" xr:uid="{00000000-0005-0000-0000-0000B7020000}"/>
    <cellStyle name="style1480848717860" xfId="899" xr:uid="{00000000-0005-0000-0000-0000B8020000}"/>
    <cellStyle name="style1480848717907" xfId="900" xr:uid="{00000000-0005-0000-0000-0000B9020000}"/>
    <cellStyle name="style1480848717954" xfId="901" xr:uid="{00000000-0005-0000-0000-0000BA020000}"/>
    <cellStyle name="style1480848718016" xfId="902" xr:uid="{00000000-0005-0000-0000-0000BB020000}"/>
    <cellStyle name="style1480848718063" xfId="903" xr:uid="{00000000-0005-0000-0000-0000BC020000}"/>
    <cellStyle name="style1480848718110" xfId="904" xr:uid="{00000000-0005-0000-0000-0000BD020000}"/>
    <cellStyle name="style1480848718188" xfId="905" xr:uid="{00000000-0005-0000-0000-0000BE020000}"/>
    <cellStyle name="style1480848718234" xfId="906" xr:uid="{00000000-0005-0000-0000-0000BF020000}"/>
    <cellStyle name="style1480848718281" xfId="907" xr:uid="{00000000-0005-0000-0000-0000C0020000}"/>
    <cellStyle name="style1480848718312" xfId="908" xr:uid="{00000000-0005-0000-0000-0000C1020000}"/>
    <cellStyle name="style1480848718375" xfId="909" xr:uid="{00000000-0005-0000-0000-0000C2020000}"/>
    <cellStyle name="style1480848718422" xfId="910" xr:uid="{00000000-0005-0000-0000-0000C3020000}"/>
    <cellStyle name="style1480848718468" xfId="911" xr:uid="{00000000-0005-0000-0000-0000C4020000}"/>
    <cellStyle name="style1480848718515" xfId="912" xr:uid="{00000000-0005-0000-0000-0000C5020000}"/>
    <cellStyle name="style1480848718578" xfId="913" xr:uid="{00000000-0005-0000-0000-0000C6020000}"/>
    <cellStyle name="style1480848718624" xfId="914" xr:uid="{00000000-0005-0000-0000-0000C7020000}"/>
    <cellStyle name="style1480848718671" xfId="915" xr:uid="{00000000-0005-0000-0000-0000C8020000}"/>
    <cellStyle name="style1480848718718" xfId="916" xr:uid="{00000000-0005-0000-0000-0000C9020000}"/>
    <cellStyle name="style1480848718765" xfId="917" xr:uid="{00000000-0005-0000-0000-0000CA020000}"/>
    <cellStyle name="style1480848718812" xfId="918" xr:uid="{00000000-0005-0000-0000-0000CB020000}"/>
    <cellStyle name="style1480848718905" xfId="919" xr:uid="{00000000-0005-0000-0000-0000CC020000}"/>
    <cellStyle name="style1480848718952" xfId="920" xr:uid="{00000000-0005-0000-0000-0000CD020000}"/>
    <cellStyle name="style1480848718999" xfId="921" xr:uid="{00000000-0005-0000-0000-0000CE020000}"/>
    <cellStyle name="style1480848719046" xfId="922" xr:uid="{00000000-0005-0000-0000-0000CF020000}"/>
    <cellStyle name="style1480848719092" xfId="923" xr:uid="{00000000-0005-0000-0000-0000D0020000}"/>
    <cellStyle name="style1480848719139" xfId="924" xr:uid="{00000000-0005-0000-0000-0000D1020000}"/>
    <cellStyle name="style1480848719233" xfId="925" xr:uid="{00000000-0005-0000-0000-0000D2020000}"/>
    <cellStyle name="style1480848719280" xfId="926" xr:uid="{00000000-0005-0000-0000-0000D3020000}"/>
    <cellStyle name="style1480848719326" xfId="927" xr:uid="{00000000-0005-0000-0000-0000D4020000}"/>
    <cellStyle name="style1480848719373" xfId="928" xr:uid="{00000000-0005-0000-0000-0000D5020000}"/>
    <cellStyle name="style1480848720106" xfId="929" xr:uid="{00000000-0005-0000-0000-0000D6020000}"/>
    <cellStyle name="style1480848720153" xfId="930" xr:uid="{00000000-0005-0000-0000-0000D7020000}"/>
    <cellStyle name="style1480848720200" xfId="931" xr:uid="{00000000-0005-0000-0000-0000D8020000}"/>
    <cellStyle name="style1480848720496" xfId="932" xr:uid="{00000000-0005-0000-0000-0000D9020000}"/>
    <cellStyle name="style1480848720543" xfId="933" xr:uid="{00000000-0005-0000-0000-0000DA020000}"/>
    <cellStyle name="style1480848720606" xfId="934" xr:uid="{00000000-0005-0000-0000-0000DB020000}"/>
    <cellStyle name="style1480848720637" xfId="935" xr:uid="{00000000-0005-0000-0000-0000DC020000}"/>
    <cellStyle name="style1480848720668" xfId="936" xr:uid="{00000000-0005-0000-0000-0000DD020000}"/>
    <cellStyle name="style1480848720715" xfId="937" xr:uid="{00000000-0005-0000-0000-0000DE020000}"/>
    <cellStyle name="style1480848720746" xfId="938" xr:uid="{00000000-0005-0000-0000-0000DF020000}"/>
    <cellStyle name="style1480848720793" xfId="939" xr:uid="{00000000-0005-0000-0000-0000E0020000}"/>
    <cellStyle name="style1480848721401" xfId="940" xr:uid="{00000000-0005-0000-0000-0000E1020000}"/>
    <cellStyle name="style1480848721448" xfId="941" xr:uid="{00000000-0005-0000-0000-0000E2020000}"/>
    <cellStyle name="style1480848721495" xfId="942" xr:uid="{00000000-0005-0000-0000-0000E3020000}"/>
    <cellStyle name="style1480848721526" xfId="943" xr:uid="{00000000-0005-0000-0000-0000E4020000}"/>
    <cellStyle name="style1480848721573" xfId="944" xr:uid="{00000000-0005-0000-0000-0000E5020000}"/>
    <cellStyle name="style1480848721620" xfId="945" xr:uid="{00000000-0005-0000-0000-0000E6020000}"/>
    <cellStyle name="style1480848721651" xfId="946" xr:uid="{00000000-0005-0000-0000-0000E7020000}"/>
    <cellStyle name="style1480848721698" xfId="947" xr:uid="{00000000-0005-0000-0000-0000E8020000}"/>
    <cellStyle name="style1480848721729" xfId="948" xr:uid="{00000000-0005-0000-0000-0000E9020000}"/>
    <cellStyle name="style1480848721776" xfId="949" xr:uid="{00000000-0005-0000-0000-0000EA020000}"/>
    <cellStyle name="style1480848721807" xfId="950" xr:uid="{00000000-0005-0000-0000-0000EB020000}"/>
    <cellStyle name="style1480848721947" xfId="951" xr:uid="{00000000-0005-0000-0000-0000EC020000}"/>
    <cellStyle name="style1480848721994" xfId="952" xr:uid="{00000000-0005-0000-0000-0000ED020000}"/>
    <cellStyle name="style1480848722119" xfId="953" xr:uid="{00000000-0005-0000-0000-0000EE020000}"/>
    <cellStyle name="style1480848722166" xfId="954" xr:uid="{00000000-0005-0000-0000-0000EF020000}"/>
    <cellStyle name="style1480848722212" xfId="955" xr:uid="{00000000-0005-0000-0000-0000F0020000}"/>
    <cellStyle name="style1480848722244" xfId="956" xr:uid="{00000000-0005-0000-0000-0000F1020000}"/>
    <cellStyle name="style1480848772803" xfId="957" xr:uid="{00000000-0005-0000-0000-0000F2020000}"/>
    <cellStyle name="style1480848772866" xfId="958" xr:uid="{00000000-0005-0000-0000-0000F3020000}"/>
    <cellStyle name="style1480848772913" xfId="959" xr:uid="{00000000-0005-0000-0000-0000F4020000}"/>
    <cellStyle name="style1480848772944" xfId="960" xr:uid="{00000000-0005-0000-0000-0000F5020000}"/>
    <cellStyle name="style1480848772991" xfId="961" xr:uid="{00000000-0005-0000-0000-0000F6020000}"/>
    <cellStyle name="style1480848773037" xfId="962" xr:uid="{00000000-0005-0000-0000-0000F7020000}"/>
    <cellStyle name="style1480848773084" xfId="963" xr:uid="{00000000-0005-0000-0000-0000F8020000}"/>
    <cellStyle name="style1480848773131" xfId="964" xr:uid="{00000000-0005-0000-0000-0000F9020000}"/>
    <cellStyle name="style1480848773178" xfId="965" xr:uid="{00000000-0005-0000-0000-0000FA020000}"/>
    <cellStyle name="style1480848773240" xfId="966" xr:uid="{00000000-0005-0000-0000-0000FB020000}"/>
    <cellStyle name="style1480848773287" xfId="967" xr:uid="{00000000-0005-0000-0000-0000FC020000}"/>
    <cellStyle name="style1480848773334" xfId="968" xr:uid="{00000000-0005-0000-0000-0000FD020000}"/>
    <cellStyle name="style1480848773365" xfId="969" xr:uid="{00000000-0005-0000-0000-0000FE020000}"/>
    <cellStyle name="style1480848773427" xfId="970" xr:uid="{00000000-0005-0000-0000-0000FF020000}"/>
    <cellStyle name="style1480848773474" xfId="971" xr:uid="{00000000-0005-0000-0000-000000030000}"/>
    <cellStyle name="style1480848773521" xfId="972" xr:uid="{00000000-0005-0000-0000-000001030000}"/>
    <cellStyle name="style1480848773568" xfId="973" xr:uid="{00000000-0005-0000-0000-000002030000}"/>
    <cellStyle name="style1480848773615" xfId="974" xr:uid="{00000000-0005-0000-0000-000003030000}"/>
    <cellStyle name="style1480848773661" xfId="975" xr:uid="{00000000-0005-0000-0000-000004030000}"/>
    <cellStyle name="style1480848773724" xfId="976" xr:uid="{00000000-0005-0000-0000-000005030000}"/>
    <cellStyle name="style1480848773771" xfId="977" xr:uid="{00000000-0005-0000-0000-000006030000}"/>
    <cellStyle name="style1480848773880" xfId="978" xr:uid="{00000000-0005-0000-0000-000007030000}"/>
    <cellStyle name="style1480848773927" xfId="979" xr:uid="{00000000-0005-0000-0000-000008030000}"/>
    <cellStyle name="style1480848773973" xfId="980" xr:uid="{00000000-0005-0000-0000-000009030000}"/>
    <cellStyle name="style1480848774020" xfId="981" xr:uid="{00000000-0005-0000-0000-00000A030000}"/>
    <cellStyle name="style1480848774067" xfId="982" xr:uid="{00000000-0005-0000-0000-00000B030000}"/>
    <cellStyle name="style1480848774114" xfId="983" xr:uid="{00000000-0005-0000-0000-00000C030000}"/>
    <cellStyle name="style1480848774161" xfId="984" xr:uid="{00000000-0005-0000-0000-00000D030000}"/>
    <cellStyle name="style1480848774207" xfId="985" xr:uid="{00000000-0005-0000-0000-00000E030000}"/>
    <cellStyle name="style1480848774254" xfId="986" xr:uid="{00000000-0005-0000-0000-00000F030000}"/>
    <cellStyle name="style1480848774317" xfId="987" xr:uid="{00000000-0005-0000-0000-000010030000}"/>
    <cellStyle name="style1480848774363" xfId="988" xr:uid="{00000000-0005-0000-0000-000011030000}"/>
    <cellStyle name="style1480848774410" xfId="989" xr:uid="{00000000-0005-0000-0000-000012030000}"/>
    <cellStyle name="style1480848774535" xfId="990" xr:uid="{00000000-0005-0000-0000-000013030000}"/>
    <cellStyle name="style1480848774582" xfId="991" xr:uid="{00000000-0005-0000-0000-000014030000}"/>
    <cellStyle name="style1480848774629" xfId="992" xr:uid="{00000000-0005-0000-0000-000015030000}"/>
    <cellStyle name="style1480848774675" xfId="993" xr:uid="{00000000-0005-0000-0000-000016030000}"/>
    <cellStyle name="style1480848774722" xfId="994" xr:uid="{00000000-0005-0000-0000-000017030000}"/>
    <cellStyle name="style1480848774769" xfId="995" xr:uid="{00000000-0005-0000-0000-000018030000}"/>
    <cellStyle name="style1480848774816" xfId="996" xr:uid="{00000000-0005-0000-0000-000019030000}"/>
    <cellStyle name="style1480848774863" xfId="997" xr:uid="{00000000-0005-0000-0000-00001A030000}"/>
    <cellStyle name="style1480848774909" xfId="998" xr:uid="{00000000-0005-0000-0000-00001B030000}"/>
    <cellStyle name="style1480848774956" xfId="999" xr:uid="{00000000-0005-0000-0000-00001C030000}"/>
    <cellStyle name="style1480848775003" xfId="1000" xr:uid="{00000000-0005-0000-0000-00001D030000}"/>
    <cellStyle name="style1480848775050" xfId="1001" xr:uid="{00000000-0005-0000-0000-00001E030000}"/>
    <cellStyle name="style1480848775097" xfId="1002" xr:uid="{00000000-0005-0000-0000-00001F030000}"/>
    <cellStyle name="style1480848775159" xfId="1003" xr:uid="{00000000-0005-0000-0000-000020030000}"/>
    <cellStyle name="style1480848775206" xfId="1004" xr:uid="{00000000-0005-0000-0000-000021030000}"/>
    <cellStyle name="style1480848775237" xfId="1005" xr:uid="{00000000-0005-0000-0000-000022030000}"/>
    <cellStyle name="style1480852613674" xfId="1006" xr:uid="{00000000-0005-0000-0000-000023030000}"/>
    <cellStyle name="style1480852613721" xfId="1007" xr:uid="{00000000-0005-0000-0000-000024030000}"/>
    <cellStyle name="style1480852613767" xfId="1008" xr:uid="{00000000-0005-0000-0000-000025030000}"/>
    <cellStyle name="style1480852613814" xfId="1009" xr:uid="{00000000-0005-0000-0000-000026030000}"/>
    <cellStyle name="style1480852613861" xfId="1010" xr:uid="{00000000-0005-0000-0000-000027030000}"/>
    <cellStyle name="style1480852613908" xfId="1011" xr:uid="{00000000-0005-0000-0000-000028030000}"/>
    <cellStyle name="style1480852613955" xfId="1012" xr:uid="{00000000-0005-0000-0000-000029030000}"/>
    <cellStyle name="style1480852614001" xfId="1013" xr:uid="{00000000-0005-0000-0000-00002A030000}"/>
    <cellStyle name="style1480852614048" xfId="1014" xr:uid="{00000000-0005-0000-0000-00002B030000}"/>
    <cellStyle name="style1480852614095" xfId="1015" xr:uid="{00000000-0005-0000-0000-00002C030000}"/>
    <cellStyle name="style1480852614142" xfId="1016" xr:uid="{00000000-0005-0000-0000-00002D030000}"/>
    <cellStyle name="style1480852614189" xfId="1017" xr:uid="{00000000-0005-0000-0000-00002E030000}"/>
    <cellStyle name="style1480852614235" xfId="1018" xr:uid="{00000000-0005-0000-0000-00002F030000}"/>
    <cellStyle name="style1480852614282" xfId="1019" xr:uid="{00000000-0005-0000-0000-000030030000}"/>
    <cellStyle name="style1480852614329" xfId="1020" xr:uid="{00000000-0005-0000-0000-000031030000}"/>
    <cellStyle name="style1480852614376" xfId="1021" xr:uid="{00000000-0005-0000-0000-000032030000}"/>
    <cellStyle name="style1480852614423" xfId="1022" xr:uid="{00000000-0005-0000-0000-000033030000}"/>
    <cellStyle name="style1480852614469" xfId="1023" xr:uid="{00000000-0005-0000-0000-000034030000}"/>
    <cellStyle name="style1480852614516" xfId="1024" xr:uid="{00000000-0005-0000-0000-000035030000}"/>
    <cellStyle name="style1480852614579" xfId="1025" xr:uid="{00000000-0005-0000-0000-000036030000}"/>
    <cellStyle name="style1480852614625" xfId="1026" xr:uid="{00000000-0005-0000-0000-000037030000}"/>
    <cellStyle name="style1480852614672" xfId="1027" xr:uid="{00000000-0005-0000-0000-000038030000}"/>
    <cellStyle name="style1480852614719" xfId="1028" xr:uid="{00000000-0005-0000-0000-000039030000}"/>
    <cellStyle name="style1480852614766" xfId="1029" xr:uid="{00000000-0005-0000-0000-00003A030000}"/>
    <cellStyle name="style1480852614813" xfId="1030" xr:uid="{00000000-0005-0000-0000-00003B030000}"/>
    <cellStyle name="style1480852614859" xfId="1031" xr:uid="{00000000-0005-0000-0000-00003C030000}"/>
    <cellStyle name="style1480852614906" xfId="1032" xr:uid="{00000000-0005-0000-0000-00003D030000}"/>
    <cellStyle name="style1480852614953" xfId="1033" xr:uid="{00000000-0005-0000-0000-00003E030000}"/>
    <cellStyle name="style1480852615000" xfId="1034" xr:uid="{00000000-0005-0000-0000-00003F030000}"/>
    <cellStyle name="style1480852615062" xfId="1035" xr:uid="{00000000-0005-0000-0000-000040030000}"/>
    <cellStyle name="style1480852615109" xfId="1036" xr:uid="{00000000-0005-0000-0000-000041030000}"/>
    <cellStyle name="style1480852615156" xfId="1037" xr:uid="{00000000-0005-0000-0000-000042030000}"/>
    <cellStyle name="style1480852615203" xfId="1038" xr:uid="{00000000-0005-0000-0000-000043030000}"/>
    <cellStyle name="style1480852615249" xfId="1039" xr:uid="{00000000-0005-0000-0000-000044030000}"/>
    <cellStyle name="style1480852615327" xfId="1040" xr:uid="{00000000-0005-0000-0000-000045030000}"/>
    <cellStyle name="style1480852615374" xfId="1041" xr:uid="{00000000-0005-0000-0000-000046030000}"/>
    <cellStyle name="style1480852615421" xfId="1042" xr:uid="{00000000-0005-0000-0000-000047030000}"/>
    <cellStyle name="style1480852615468" xfId="1043" xr:uid="{00000000-0005-0000-0000-000048030000}"/>
    <cellStyle name="style1480852615515" xfId="1044" xr:uid="{00000000-0005-0000-0000-000049030000}"/>
    <cellStyle name="style1480852615561" xfId="1045" xr:uid="{00000000-0005-0000-0000-00004A030000}"/>
    <cellStyle name="style1480852615608" xfId="1046" xr:uid="{00000000-0005-0000-0000-00004B030000}"/>
    <cellStyle name="style1480852615655" xfId="1047" xr:uid="{00000000-0005-0000-0000-00004C030000}"/>
    <cellStyle name="style1480852615702" xfId="1048" xr:uid="{00000000-0005-0000-0000-00004D030000}"/>
    <cellStyle name="style1480852615749" xfId="1049" xr:uid="{00000000-0005-0000-0000-00004E030000}"/>
    <cellStyle name="style1480852615795" xfId="1050" xr:uid="{00000000-0005-0000-0000-00004F030000}"/>
    <cellStyle name="style1480852615842" xfId="1051" xr:uid="{00000000-0005-0000-0000-000050030000}"/>
    <cellStyle name="style1480852615889" xfId="1052" xr:uid="{00000000-0005-0000-0000-000051030000}"/>
    <cellStyle name="style1480852615936" xfId="1053" xr:uid="{00000000-0005-0000-0000-000052030000}"/>
    <cellStyle name="style1480852616014" xfId="1054" xr:uid="{00000000-0005-0000-0000-000053030000}"/>
    <cellStyle name="style1480852616061" xfId="1055" xr:uid="{00000000-0005-0000-0000-000054030000}"/>
    <cellStyle name="style1480852616107" xfId="1056" xr:uid="{00000000-0005-0000-0000-000055030000}"/>
    <cellStyle name="style1480852616154" xfId="1057" xr:uid="{00000000-0005-0000-0000-000056030000}"/>
    <cellStyle name="style1480852616217" xfId="1058" xr:uid="{00000000-0005-0000-0000-000057030000}"/>
    <cellStyle name="style1480852616263" xfId="1059" xr:uid="{00000000-0005-0000-0000-000058030000}"/>
    <cellStyle name="style1480852616341" xfId="1060" xr:uid="{00000000-0005-0000-0000-000059030000}"/>
    <cellStyle name="style1480852616388" xfId="1061" xr:uid="{00000000-0005-0000-0000-00005A030000}"/>
    <cellStyle name="style1480852616435" xfId="1062" xr:uid="{00000000-0005-0000-0000-00005B030000}"/>
    <cellStyle name="style1480852616482" xfId="1063" xr:uid="{00000000-0005-0000-0000-00005C030000}"/>
    <cellStyle name="style1480852617215" xfId="1064" xr:uid="{00000000-0005-0000-0000-00005D030000}"/>
    <cellStyle name="style1480852617262" xfId="1065" xr:uid="{00000000-0005-0000-0000-00005E030000}"/>
    <cellStyle name="style1480852617309" xfId="1066" xr:uid="{00000000-0005-0000-0000-00005F030000}"/>
    <cellStyle name="style1480852617605" xfId="1067" xr:uid="{00000000-0005-0000-0000-000060030000}"/>
    <cellStyle name="style1480852617652" xfId="1068" xr:uid="{00000000-0005-0000-0000-000061030000}"/>
    <cellStyle name="style1480852617699" xfId="1069" xr:uid="{00000000-0005-0000-0000-000062030000}"/>
    <cellStyle name="style1480852617730" xfId="1070" xr:uid="{00000000-0005-0000-0000-000063030000}"/>
    <cellStyle name="style1480852617761" xfId="1071" xr:uid="{00000000-0005-0000-0000-000064030000}"/>
    <cellStyle name="style1480852617808" xfId="1072" xr:uid="{00000000-0005-0000-0000-000065030000}"/>
    <cellStyle name="style1480852617839" xfId="1073" xr:uid="{00000000-0005-0000-0000-000066030000}"/>
    <cellStyle name="style1480852617886" xfId="1074" xr:uid="{00000000-0005-0000-0000-000067030000}"/>
    <cellStyle name="style1480852618510" xfId="1075" xr:uid="{00000000-0005-0000-0000-000068030000}"/>
    <cellStyle name="style1480852618557" xfId="1076" xr:uid="{00000000-0005-0000-0000-000069030000}"/>
    <cellStyle name="style1480852618603" xfId="1077" xr:uid="{00000000-0005-0000-0000-00006A030000}"/>
    <cellStyle name="style1480852618635" xfId="1078" xr:uid="{00000000-0005-0000-0000-00006B030000}"/>
    <cellStyle name="style1480852618681" xfId="1079" xr:uid="{00000000-0005-0000-0000-00006C030000}"/>
    <cellStyle name="style1480852618713" xfId="1080" xr:uid="{00000000-0005-0000-0000-00006D030000}"/>
    <cellStyle name="style1480852618759" xfId="1081" xr:uid="{00000000-0005-0000-0000-00006E030000}"/>
    <cellStyle name="style1480852618791" xfId="1082" xr:uid="{00000000-0005-0000-0000-00006F030000}"/>
    <cellStyle name="style1480852618837" xfId="1083" xr:uid="{00000000-0005-0000-0000-000070030000}"/>
    <cellStyle name="style1480852618869" xfId="1084" xr:uid="{00000000-0005-0000-0000-000071030000}"/>
    <cellStyle name="style1480852618915" xfId="1085" xr:uid="{00000000-0005-0000-0000-000072030000}"/>
    <cellStyle name="style1480852619009" xfId="1086" xr:uid="{00000000-0005-0000-0000-000073030000}"/>
    <cellStyle name="style1480852619056" xfId="1087" xr:uid="{00000000-0005-0000-0000-000074030000}"/>
    <cellStyle name="style1480852619103" xfId="1088" xr:uid="{00000000-0005-0000-0000-000075030000}"/>
    <cellStyle name="style1480852619212" xfId="1089" xr:uid="{00000000-0005-0000-0000-000076030000}"/>
    <cellStyle name="style1480852619259" xfId="1090" xr:uid="{00000000-0005-0000-0000-000077030000}"/>
    <cellStyle name="style1480852619305" xfId="1091" xr:uid="{00000000-0005-0000-0000-000078030000}"/>
    <cellStyle name="style1480852619337" xfId="1092" xr:uid="{00000000-0005-0000-0000-000079030000}"/>
    <cellStyle name="style1480852669413" xfId="1093" xr:uid="{00000000-0005-0000-0000-00007A030000}"/>
    <cellStyle name="style1480852669506" xfId="1094" xr:uid="{00000000-0005-0000-0000-00007B030000}"/>
    <cellStyle name="style1480852669553" xfId="1095" xr:uid="{00000000-0005-0000-0000-00007C030000}"/>
    <cellStyle name="style1480852669615" xfId="1096" xr:uid="{00000000-0005-0000-0000-00007D030000}"/>
    <cellStyle name="style1480852669662" xfId="1097" xr:uid="{00000000-0005-0000-0000-00007E030000}"/>
    <cellStyle name="style1480852669709" xfId="1098" xr:uid="{00000000-0005-0000-0000-00007F030000}"/>
    <cellStyle name="style1480852669740" xfId="1099" xr:uid="{00000000-0005-0000-0000-000080030000}"/>
    <cellStyle name="style1480852669803" xfId="1100" xr:uid="{00000000-0005-0000-0000-000081030000}"/>
    <cellStyle name="style1480852669849" xfId="1101" xr:uid="{00000000-0005-0000-0000-000082030000}"/>
    <cellStyle name="style1480852669896" xfId="1102" xr:uid="{00000000-0005-0000-0000-000083030000}"/>
    <cellStyle name="style1480852669943" xfId="1103" xr:uid="{00000000-0005-0000-0000-000084030000}"/>
    <cellStyle name="style1480852669990" xfId="1104" xr:uid="{00000000-0005-0000-0000-000085030000}"/>
    <cellStyle name="style1480852670037" xfId="1105" xr:uid="{00000000-0005-0000-0000-000086030000}"/>
    <cellStyle name="style1480852670083" xfId="1106" xr:uid="{00000000-0005-0000-0000-000087030000}"/>
    <cellStyle name="style1480852670130" xfId="1107" xr:uid="{00000000-0005-0000-0000-000088030000}"/>
    <cellStyle name="style1480852670177" xfId="1108" xr:uid="{00000000-0005-0000-0000-000089030000}"/>
    <cellStyle name="style1480852670239" xfId="1109" xr:uid="{00000000-0005-0000-0000-00008A030000}"/>
    <cellStyle name="style1480852670286" xfId="1110" xr:uid="{00000000-0005-0000-0000-00008B030000}"/>
    <cellStyle name="style1480852670333" xfId="1111" xr:uid="{00000000-0005-0000-0000-00008C030000}"/>
    <cellStyle name="style1480852670380" xfId="1112" xr:uid="{00000000-0005-0000-0000-00008D030000}"/>
    <cellStyle name="style1480852670427" xfId="1113" xr:uid="{00000000-0005-0000-0000-00008E030000}"/>
    <cellStyle name="style1480852670536" xfId="1114" xr:uid="{00000000-0005-0000-0000-00008F030000}"/>
    <cellStyle name="style1480852670583" xfId="1115" xr:uid="{00000000-0005-0000-0000-000090030000}"/>
    <cellStyle name="style1480852670629" xfId="1116" xr:uid="{00000000-0005-0000-0000-000091030000}"/>
    <cellStyle name="style1480852670676" xfId="1117" xr:uid="{00000000-0005-0000-0000-000092030000}"/>
    <cellStyle name="style1480852670723" xfId="1118" xr:uid="{00000000-0005-0000-0000-000093030000}"/>
    <cellStyle name="style1480852670770" xfId="1119" xr:uid="{00000000-0005-0000-0000-000094030000}"/>
    <cellStyle name="style1480852670817" xfId="1120" xr:uid="{00000000-0005-0000-0000-000095030000}"/>
    <cellStyle name="style1480852670863" xfId="1121" xr:uid="{00000000-0005-0000-0000-000096030000}"/>
    <cellStyle name="style1480852670910" xfId="1122" xr:uid="{00000000-0005-0000-0000-000097030000}"/>
    <cellStyle name="style1480852670973" xfId="1123" xr:uid="{00000000-0005-0000-0000-000098030000}"/>
    <cellStyle name="style1480852671019" xfId="1124" xr:uid="{00000000-0005-0000-0000-000099030000}"/>
    <cellStyle name="style1480852671066" xfId="1125" xr:uid="{00000000-0005-0000-0000-00009A030000}"/>
    <cellStyle name="style1480853544571" xfId="1126" xr:uid="{00000000-0005-0000-0000-00009B030000}"/>
    <cellStyle name="style1480853544742" xfId="1127" xr:uid="{00000000-0005-0000-0000-00009C030000}"/>
    <cellStyle name="style1480853544867" xfId="1128" xr:uid="{00000000-0005-0000-0000-00009D030000}"/>
    <cellStyle name="style1480853544961" xfId="1129" xr:uid="{00000000-0005-0000-0000-00009E030000}"/>
    <cellStyle name="style1480853545054" xfId="1130" xr:uid="{00000000-0005-0000-0000-00009F030000}"/>
    <cellStyle name="style1480853545132" xfId="1131" xr:uid="{00000000-0005-0000-0000-0000A0030000}"/>
    <cellStyle name="style1480853545241" xfId="1132" xr:uid="{00000000-0005-0000-0000-0000A1030000}"/>
    <cellStyle name="style1480853545351" xfId="1133" xr:uid="{00000000-0005-0000-0000-0000A2030000}"/>
    <cellStyle name="style1480853545429" xfId="1134" xr:uid="{00000000-0005-0000-0000-0000A3030000}"/>
    <cellStyle name="style1480853545538" xfId="1135" xr:uid="{00000000-0005-0000-0000-0000A4030000}"/>
    <cellStyle name="style1480853545631" xfId="1136" xr:uid="{00000000-0005-0000-0000-0000A5030000}"/>
    <cellStyle name="style1480853545725" xfId="1137" xr:uid="{00000000-0005-0000-0000-0000A6030000}"/>
    <cellStyle name="style1480853545819" xfId="1138" xr:uid="{00000000-0005-0000-0000-0000A7030000}"/>
    <cellStyle name="style1480853545897" xfId="1139" xr:uid="{00000000-0005-0000-0000-0000A8030000}"/>
    <cellStyle name="style1480853545990" xfId="1140" xr:uid="{00000000-0005-0000-0000-0000A9030000}"/>
    <cellStyle name="style1480853546084" xfId="1141" xr:uid="{00000000-0005-0000-0000-0000AA030000}"/>
    <cellStyle name="style1480853546177" xfId="1142" xr:uid="{00000000-0005-0000-0000-0000AB030000}"/>
    <cellStyle name="style1480853546271" xfId="1143" xr:uid="{00000000-0005-0000-0000-0000AC030000}"/>
    <cellStyle name="style1480853546380" xfId="1144" xr:uid="{00000000-0005-0000-0000-0000AD030000}"/>
    <cellStyle name="style1480853546474" xfId="1145" xr:uid="{00000000-0005-0000-0000-0000AE030000}"/>
    <cellStyle name="style1480853546583" xfId="1146" xr:uid="{00000000-0005-0000-0000-0000AF030000}"/>
    <cellStyle name="style1480853546677" xfId="1147" xr:uid="{00000000-0005-0000-0000-0000B0030000}"/>
    <cellStyle name="style1480853546770" xfId="1148" xr:uid="{00000000-0005-0000-0000-0000B1030000}"/>
    <cellStyle name="style1480853546833" xfId="1149" xr:uid="{00000000-0005-0000-0000-0000B2030000}"/>
    <cellStyle name="style1480853546926" xfId="1150" xr:uid="{00000000-0005-0000-0000-0000B3030000}"/>
    <cellStyle name="style1480853547020" xfId="1151" xr:uid="{00000000-0005-0000-0000-0000B4030000}"/>
    <cellStyle name="style1480853547113" xfId="1152" xr:uid="{00000000-0005-0000-0000-0000B5030000}"/>
    <cellStyle name="style1480853547207" xfId="1153" xr:uid="{00000000-0005-0000-0000-0000B6030000}"/>
    <cellStyle name="style1480853547301" xfId="1154" xr:uid="{00000000-0005-0000-0000-0000B7030000}"/>
    <cellStyle name="style1480853547394" xfId="1155" xr:uid="{00000000-0005-0000-0000-0000B8030000}"/>
    <cellStyle name="style1480853547472" xfId="1156" xr:uid="{00000000-0005-0000-0000-0000B9030000}"/>
    <cellStyle name="style1480853547613" xfId="1157" xr:uid="{00000000-0005-0000-0000-0000BA030000}"/>
    <cellStyle name="style1480853547722" xfId="1158" xr:uid="{00000000-0005-0000-0000-0000BB030000}"/>
    <cellStyle name="style1480853547862" xfId="1159" xr:uid="{00000000-0005-0000-0000-0000BC030000}"/>
    <cellStyle name="style1480853547971" xfId="1160" xr:uid="{00000000-0005-0000-0000-0000BD030000}"/>
    <cellStyle name="style1480853548112" xfId="1161" xr:uid="{00000000-0005-0000-0000-0000BE030000}"/>
    <cellStyle name="style1480853548205" xfId="1162" xr:uid="{00000000-0005-0000-0000-0000BF030000}"/>
    <cellStyle name="style1480853548283" xfId="1163" xr:uid="{00000000-0005-0000-0000-0000C0030000}"/>
    <cellStyle name="style1480853548377" xfId="1164" xr:uid="{00000000-0005-0000-0000-0000C1030000}"/>
    <cellStyle name="style1480853548471" xfId="1165" xr:uid="{00000000-0005-0000-0000-0000C2030000}"/>
    <cellStyle name="style1487292822303" xfId="493" xr:uid="{00000000-0005-0000-0000-0000C3030000}"/>
    <cellStyle name="style1487292822349" xfId="494" xr:uid="{00000000-0005-0000-0000-0000C4030000}"/>
    <cellStyle name="style1487292822396" xfId="495" xr:uid="{00000000-0005-0000-0000-0000C5030000}"/>
    <cellStyle name="style1487292822443" xfId="496" xr:uid="{00000000-0005-0000-0000-0000C6030000}"/>
    <cellStyle name="style1487292822490" xfId="497" xr:uid="{00000000-0005-0000-0000-0000C7030000}"/>
    <cellStyle name="style1487292822537" xfId="498" xr:uid="{00000000-0005-0000-0000-0000C8030000}"/>
    <cellStyle name="style1487292822583" xfId="499" xr:uid="{00000000-0005-0000-0000-0000C9030000}"/>
    <cellStyle name="style1487292822646" xfId="500" xr:uid="{00000000-0005-0000-0000-0000CA030000}"/>
    <cellStyle name="style1487292822693" xfId="501" xr:uid="{00000000-0005-0000-0000-0000CB030000}"/>
    <cellStyle name="style1487292822739" xfId="502" xr:uid="{00000000-0005-0000-0000-0000CC030000}"/>
    <cellStyle name="style1487292822786" xfId="503" xr:uid="{00000000-0005-0000-0000-0000CD030000}"/>
    <cellStyle name="style1487292822833" xfId="504" xr:uid="{00000000-0005-0000-0000-0000CE030000}"/>
    <cellStyle name="style1487292822895" xfId="505" xr:uid="{00000000-0005-0000-0000-0000CF030000}"/>
    <cellStyle name="style1487292822942" xfId="506" xr:uid="{00000000-0005-0000-0000-0000D0030000}"/>
    <cellStyle name="style1487292822989" xfId="507" xr:uid="{00000000-0005-0000-0000-0000D1030000}"/>
    <cellStyle name="style1487292823051" xfId="508" xr:uid="{00000000-0005-0000-0000-0000D2030000}"/>
    <cellStyle name="style1487292823098" xfId="509" xr:uid="{00000000-0005-0000-0000-0000D3030000}"/>
    <cellStyle name="style1487292823161" xfId="510" xr:uid="{00000000-0005-0000-0000-0000D4030000}"/>
    <cellStyle name="style1487292823239" xfId="511" xr:uid="{00000000-0005-0000-0000-0000D5030000}"/>
    <cellStyle name="style1487292823301" xfId="512" xr:uid="{00000000-0005-0000-0000-0000D6030000}"/>
    <cellStyle name="style1487292823363" xfId="513" xr:uid="{00000000-0005-0000-0000-0000D7030000}"/>
    <cellStyle name="style1487292823410" xfId="514" xr:uid="{00000000-0005-0000-0000-0000D8030000}"/>
    <cellStyle name="style1487292823457" xfId="515" xr:uid="{00000000-0005-0000-0000-0000D9030000}"/>
    <cellStyle name="style1487292823519" xfId="516" xr:uid="{00000000-0005-0000-0000-0000DA030000}"/>
    <cellStyle name="style1487292823566" xfId="517" xr:uid="{00000000-0005-0000-0000-0000DB030000}"/>
    <cellStyle name="style1487292823629" xfId="518" xr:uid="{00000000-0005-0000-0000-0000DC030000}"/>
    <cellStyle name="style1487292823675" xfId="519" xr:uid="{00000000-0005-0000-0000-0000DD030000}"/>
    <cellStyle name="style1487292823738" xfId="520" xr:uid="{00000000-0005-0000-0000-0000DE030000}"/>
    <cellStyle name="style1487292823785" xfId="521" xr:uid="{00000000-0005-0000-0000-0000DF030000}"/>
    <cellStyle name="style1487292823847" xfId="522" xr:uid="{00000000-0005-0000-0000-0000E0030000}"/>
    <cellStyle name="style1487292823894" xfId="523" xr:uid="{00000000-0005-0000-0000-0000E1030000}"/>
    <cellStyle name="style1487292823956" xfId="524" xr:uid="{00000000-0005-0000-0000-0000E2030000}"/>
    <cellStyle name="style1487292824003" xfId="525" xr:uid="{00000000-0005-0000-0000-0000E3030000}"/>
    <cellStyle name="style1487292824050" xfId="526" xr:uid="{00000000-0005-0000-0000-0000E4030000}"/>
    <cellStyle name="style1487292824143" xfId="527" xr:uid="{00000000-0005-0000-0000-0000E5030000}"/>
    <cellStyle name="style1487292824190" xfId="528" xr:uid="{00000000-0005-0000-0000-0000E6030000}"/>
    <cellStyle name="style1487292824237" xfId="529" xr:uid="{00000000-0005-0000-0000-0000E7030000}"/>
    <cellStyle name="style1487292824268" xfId="530" xr:uid="{00000000-0005-0000-0000-0000E8030000}"/>
    <cellStyle name="style1487292824331" xfId="531" xr:uid="{00000000-0005-0000-0000-0000E9030000}"/>
    <cellStyle name="style1487292824377" xfId="532" xr:uid="{00000000-0005-0000-0000-0000EA030000}"/>
    <cellStyle name="style1487292824424" xfId="533" xr:uid="{00000000-0005-0000-0000-0000EB030000}"/>
    <cellStyle name="style1487292824471" xfId="534" xr:uid="{00000000-0005-0000-0000-0000EC030000}"/>
    <cellStyle name="style1487292824518" xfId="535" xr:uid="{00000000-0005-0000-0000-0000ED030000}"/>
    <cellStyle name="style1487292824565" xfId="536" xr:uid="{00000000-0005-0000-0000-0000EE030000}"/>
    <cellStyle name="style1487292824611" xfId="537" xr:uid="{00000000-0005-0000-0000-0000EF030000}"/>
    <cellStyle name="style1487292824689" xfId="538" xr:uid="{00000000-0005-0000-0000-0000F0030000}"/>
    <cellStyle name="style1487292824736" xfId="539" xr:uid="{00000000-0005-0000-0000-0000F1030000}"/>
    <cellStyle name="style1487292824783" xfId="540" xr:uid="{00000000-0005-0000-0000-0000F2030000}"/>
    <cellStyle name="style1487292824861" xfId="541" xr:uid="{00000000-0005-0000-0000-0000F3030000}"/>
    <cellStyle name="style1487292824908" xfId="542" xr:uid="{00000000-0005-0000-0000-0000F4030000}"/>
    <cellStyle name="style1487292824970" xfId="543" xr:uid="{00000000-0005-0000-0000-0000F5030000}"/>
    <cellStyle name="style1487292825017" xfId="544" xr:uid="{00000000-0005-0000-0000-0000F6030000}"/>
    <cellStyle name="style1487292825064" xfId="545" xr:uid="{00000000-0005-0000-0000-0000F7030000}"/>
    <cellStyle name="style1487292825111" xfId="546" xr:uid="{00000000-0005-0000-0000-0000F8030000}"/>
    <cellStyle name="style1487292825204" xfId="547" xr:uid="{00000000-0005-0000-0000-0000F9030000}"/>
    <cellStyle name="style1487292825251" xfId="548" xr:uid="{00000000-0005-0000-0000-0000FA030000}"/>
    <cellStyle name="style1487292825298" xfId="549" xr:uid="{00000000-0005-0000-0000-0000FB030000}"/>
    <cellStyle name="style1487292825345" xfId="550" xr:uid="{00000000-0005-0000-0000-0000FC030000}"/>
    <cellStyle name="style1487292826125" xfId="551" xr:uid="{00000000-0005-0000-0000-0000FD030000}"/>
    <cellStyle name="style1487292826171" xfId="552" xr:uid="{00000000-0005-0000-0000-0000FE030000}"/>
    <cellStyle name="style1487292826218" xfId="553" xr:uid="{00000000-0005-0000-0000-0000FF030000}"/>
    <cellStyle name="style1487292826530" xfId="554" xr:uid="{00000000-0005-0000-0000-000000040000}"/>
    <cellStyle name="style1487292826577" xfId="555" xr:uid="{00000000-0005-0000-0000-000001040000}"/>
    <cellStyle name="style1487292826624" xfId="556" xr:uid="{00000000-0005-0000-0000-000002040000}"/>
    <cellStyle name="style1487292826671" xfId="557" xr:uid="{00000000-0005-0000-0000-000003040000}"/>
    <cellStyle name="style1487292826702" xfId="558" xr:uid="{00000000-0005-0000-0000-000004040000}"/>
    <cellStyle name="style1487292826749" xfId="559" xr:uid="{00000000-0005-0000-0000-000005040000}"/>
    <cellStyle name="style1487292826780" xfId="560" xr:uid="{00000000-0005-0000-0000-000006040000}"/>
    <cellStyle name="style1487292826827" xfId="561" xr:uid="{00000000-0005-0000-0000-000007040000}"/>
    <cellStyle name="style1487292827451" xfId="562" xr:uid="{00000000-0005-0000-0000-000008040000}"/>
    <cellStyle name="style1487292827497" xfId="563" xr:uid="{00000000-0005-0000-0000-000009040000}"/>
    <cellStyle name="style1487292827544" xfId="564" xr:uid="{00000000-0005-0000-0000-00000A040000}"/>
    <cellStyle name="style1487292827575" xfId="565" xr:uid="{00000000-0005-0000-0000-00000B040000}"/>
    <cellStyle name="style1487292827622" xfId="566" xr:uid="{00000000-0005-0000-0000-00000C040000}"/>
    <cellStyle name="style1487292827669" xfId="567" xr:uid="{00000000-0005-0000-0000-00000D040000}"/>
    <cellStyle name="style1487292827700" xfId="568" xr:uid="{00000000-0005-0000-0000-00000E040000}"/>
    <cellStyle name="style1487292827747" xfId="569" xr:uid="{00000000-0005-0000-0000-00000F040000}"/>
    <cellStyle name="style1487292827778" xfId="570" xr:uid="{00000000-0005-0000-0000-000010040000}"/>
    <cellStyle name="style1487292827841" xfId="571" xr:uid="{00000000-0005-0000-0000-000011040000}"/>
    <cellStyle name="style1487292827872" xfId="572" xr:uid="{00000000-0005-0000-0000-000012040000}"/>
    <cellStyle name="style1487292827981" xfId="573" xr:uid="{00000000-0005-0000-0000-000013040000}"/>
    <cellStyle name="style1487292828043" xfId="574" xr:uid="{00000000-0005-0000-0000-000014040000}"/>
    <cellStyle name="style1487292828168" xfId="575" xr:uid="{00000000-0005-0000-0000-000015040000}"/>
    <cellStyle name="style1487292828215" xfId="576" xr:uid="{00000000-0005-0000-0000-000016040000}"/>
    <cellStyle name="style1487292828262" xfId="577" xr:uid="{00000000-0005-0000-0000-000017040000}"/>
    <cellStyle name="style1487292828309" xfId="578" xr:uid="{00000000-0005-0000-0000-000018040000}"/>
    <cellStyle name="style1487292880990" xfId="626" xr:uid="{00000000-0005-0000-0000-000019040000}"/>
    <cellStyle name="style1487292881083" xfId="625" xr:uid="{00000000-0005-0000-0000-00001A040000}"/>
    <cellStyle name="style1487292881130" xfId="624" xr:uid="{00000000-0005-0000-0000-00001B040000}"/>
    <cellStyle name="style1487292881177" xfId="623" xr:uid="{00000000-0005-0000-0000-00001C040000}"/>
    <cellStyle name="style1487292881224" xfId="622" xr:uid="{00000000-0005-0000-0000-00001D040000}"/>
    <cellStyle name="style1487292881271" xfId="621" xr:uid="{00000000-0005-0000-0000-00001E040000}"/>
    <cellStyle name="style1487292881317" xfId="620" xr:uid="{00000000-0005-0000-0000-00001F040000}"/>
    <cellStyle name="style1487292881380" xfId="619" xr:uid="{00000000-0005-0000-0000-000020040000}"/>
    <cellStyle name="style1487292881427" xfId="618" xr:uid="{00000000-0005-0000-0000-000021040000}"/>
    <cellStyle name="style1487292881473" xfId="617" xr:uid="{00000000-0005-0000-0000-000022040000}"/>
    <cellStyle name="style1487292881520" xfId="616" xr:uid="{00000000-0005-0000-0000-000023040000}"/>
    <cellStyle name="style1487292881567" xfId="615" xr:uid="{00000000-0005-0000-0000-000024040000}"/>
    <cellStyle name="style1487292881614" xfId="614" xr:uid="{00000000-0005-0000-0000-000025040000}"/>
    <cellStyle name="style1487292881661" xfId="613" xr:uid="{00000000-0005-0000-0000-000026040000}"/>
    <cellStyle name="style1487292881723" xfId="612" xr:uid="{00000000-0005-0000-0000-000027040000}"/>
    <cellStyle name="style1487292881785" xfId="611" xr:uid="{00000000-0005-0000-0000-000028040000}"/>
    <cellStyle name="style1487292881832" xfId="610" xr:uid="{00000000-0005-0000-0000-000029040000}"/>
    <cellStyle name="style1487292881879" xfId="609" xr:uid="{00000000-0005-0000-0000-00002A040000}"/>
    <cellStyle name="style1487292881926" xfId="608" xr:uid="{00000000-0005-0000-0000-00002B040000}"/>
    <cellStyle name="style1487292881973" xfId="607" xr:uid="{00000000-0005-0000-0000-00002C040000}"/>
    <cellStyle name="style1487292882019" xfId="606" xr:uid="{00000000-0005-0000-0000-00002D040000}"/>
    <cellStyle name="style1487292882129" xfId="605" xr:uid="{00000000-0005-0000-0000-00002E040000}"/>
    <cellStyle name="style1487292882191" xfId="604" xr:uid="{00000000-0005-0000-0000-00002F040000}"/>
    <cellStyle name="style1487292882238" xfId="603" xr:uid="{00000000-0005-0000-0000-000030040000}"/>
    <cellStyle name="style1487292882285" xfId="602" xr:uid="{00000000-0005-0000-0000-000031040000}"/>
    <cellStyle name="style1487292882331" xfId="601" xr:uid="{00000000-0005-0000-0000-000032040000}"/>
    <cellStyle name="style1487292882378" xfId="600" xr:uid="{00000000-0005-0000-0000-000033040000}"/>
    <cellStyle name="style1487292882425" xfId="599" xr:uid="{00000000-0005-0000-0000-000034040000}"/>
    <cellStyle name="style1487292882487" xfId="598" xr:uid="{00000000-0005-0000-0000-000035040000}"/>
    <cellStyle name="style1487292882534" xfId="597" xr:uid="{00000000-0005-0000-0000-000036040000}"/>
    <cellStyle name="style1487292882581" xfId="596" xr:uid="{00000000-0005-0000-0000-000037040000}"/>
    <cellStyle name="style1487292882628" xfId="595" xr:uid="{00000000-0005-0000-0000-000038040000}"/>
    <cellStyle name="style1487292882675" xfId="594" xr:uid="{00000000-0005-0000-0000-000039040000}"/>
    <cellStyle name="style1487292882862" xfId="593" xr:uid="{00000000-0005-0000-0000-00003A040000}"/>
    <cellStyle name="style1487292882909" xfId="592" xr:uid="{00000000-0005-0000-0000-00003B040000}"/>
    <cellStyle name="style1487292882955" xfId="591" xr:uid="{00000000-0005-0000-0000-00003C040000}"/>
    <cellStyle name="style1487292883002" xfId="590" xr:uid="{00000000-0005-0000-0000-00003D040000}"/>
    <cellStyle name="style1487292883049" xfId="589" xr:uid="{00000000-0005-0000-0000-00003E040000}"/>
    <cellStyle name="style1487292883096" xfId="588" xr:uid="{00000000-0005-0000-0000-00003F040000}"/>
    <cellStyle name="style1487292883143" xfId="587" xr:uid="{00000000-0005-0000-0000-000040040000}"/>
    <cellStyle name="style1487292883189" xfId="586" xr:uid="{00000000-0005-0000-0000-000041040000}"/>
    <cellStyle name="style1487292883252" xfId="585" xr:uid="{00000000-0005-0000-0000-000042040000}"/>
    <cellStyle name="style1487292883299" xfId="584" xr:uid="{00000000-0005-0000-0000-000043040000}"/>
    <cellStyle name="style1487292883345" xfId="583" xr:uid="{00000000-0005-0000-0000-000044040000}"/>
    <cellStyle name="style1487292883392" xfId="582" xr:uid="{00000000-0005-0000-0000-000045040000}"/>
    <cellStyle name="style1487292883439" xfId="581" xr:uid="{00000000-0005-0000-0000-000046040000}"/>
    <cellStyle name="style1487292883486" xfId="580" xr:uid="{00000000-0005-0000-0000-000047040000}"/>
    <cellStyle name="style1487292883595" xfId="579" xr:uid="{00000000-0005-0000-0000-000048040000}"/>
    <cellStyle name="style1487311991789" xfId="627" xr:uid="{00000000-0005-0000-0000-000049040000}"/>
    <cellStyle name="style1487311991852" xfId="628" xr:uid="{00000000-0005-0000-0000-00004A040000}"/>
    <cellStyle name="style1487311991883" xfId="629" xr:uid="{00000000-0005-0000-0000-00004B040000}"/>
    <cellStyle name="style1487311991930" xfId="630" xr:uid="{00000000-0005-0000-0000-00004C040000}"/>
    <cellStyle name="style1487311991977" xfId="631" xr:uid="{00000000-0005-0000-0000-00004D040000}"/>
    <cellStyle name="style1487311992023" xfId="632" xr:uid="{00000000-0005-0000-0000-00004E040000}"/>
    <cellStyle name="style1487311992070" xfId="633" xr:uid="{00000000-0005-0000-0000-00004F040000}"/>
    <cellStyle name="style1487311992117" xfId="634" xr:uid="{00000000-0005-0000-0000-000050040000}"/>
    <cellStyle name="style1487311992179" xfId="635" xr:uid="{00000000-0005-0000-0000-000051040000}"/>
    <cellStyle name="style1487311992226" xfId="636" xr:uid="{00000000-0005-0000-0000-000052040000}"/>
    <cellStyle name="style1487311992273" xfId="637" xr:uid="{00000000-0005-0000-0000-000053040000}"/>
    <cellStyle name="style1487311992320" xfId="638" xr:uid="{00000000-0005-0000-0000-000054040000}"/>
    <cellStyle name="style1487311992367" xfId="639" xr:uid="{00000000-0005-0000-0000-000055040000}"/>
    <cellStyle name="style1487311992413" xfId="640" xr:uid="{00000000-0005-0000-0000-000056040000}"/>
    <cellStyle name="style1487311992476" xfId="641" xr:uid="{00000000-0005-0000-0000-000057040000}"/>
    <cellStyle name="style1487311992523" xfId="642" xr:uid="{00000000-0005-0000-0000-000058040000}"/>
    <cellStyle name="style1487311992585" xfId="643" xr:uid="{00000000-0005-0000-0000-000059040000}"/>
    <cellStyle name="style1487311992632" xfId="644" xr:uid="{00000000-0005-0000-0000-00005A040000}"/>
    <cellStyle name="style1487311992679" xfId="645" xr:uid="{00000000-0005-0000-0000-00005B040000}"/>
    <cellStyle name="style1487311992725" xfId="646" xr:uid="{00000000-0005-0000-0000-00005C040000}"/>
    <cellStyle name="style1487311992772" xfId="647" xr:uid="{00000000-0005-0000-0000-00005D040000}"/>
    <cellStyle name="style1487311992881" xfId="648" xr:uid="{00000000-0005-0000-0000-00005E040000}"/>
    <cellStyle name="style1487311992944" xfId="649" xr:uid="{00000000-0005-0000-0000-00005F040000}"/>
    <cellStyle name="style1487311992991" xfId="650" xr:uid="{00000000-0005-0000-0000-000060040000}"/>
    <cellStyle name="style1487311993037" xfId="651" xr:uid="{00000000-0005-0000-0000-000061040000}"/>
    <cellStyle name="style1487311993084" xfId="652" xr:uid="{00000000-0005-0000-0000-000062040000}"/>
    <cellStyle name="style1487311993131" xfId="653" xr:uid="{00000000-0005-0000-0000-000063040000}"/>
    <cellStyle name="style1487311993178" xfId="654" xr:uid="{00000000-0005-0000-0000-000064040000}"/>
    <cellStyle name="style1487311993240" xfId="655" xr:uid="{00000000-0005-0000-0000-000065040000}"/>
    <cellStyle name="style1487311993287" xfId="656" xr:uid="{00000000-0005-0000-0000-000066040000}"/>
    <cellStyle name="style1487311993334" xfId="657" xr:uid="{00000000-0005-0000-0000-000067040000}"/>
    <cellStyle name="style1487311993381" xfId="658" xr:uid="{00000000-0005-0000-0000-000068040000}"/>
    <cellStyle name="style1487311993443" xfId="659" xr:uid="{00000000-0005-0000-0000-000069040000}"/>
    <cellStyle name="style1487311993583" xfId="660" xr:uid="{00000000-0005-0000-0000-00006A040000}"/>
    <cellStyle name="style1487311993630" xfId="661" xr:uid="{00000000-0005-0000-0000-00006B040000}"/>
    <cellStyle name="style1487311993677" xfId="662" xr:uid="{00000000-0005-0000-0000-00006C040000}"/>
    <cellStyle name="style1487311993724" xfId="663" xr:uid="{00000000-0005-0000-0000-00006D040000}"/>
    <cellStyle name="style1487311993771" xfId="664" xr:uid="{00000000-0005-0000-0000-00006E040000}"/>
    <cellStyle name="style1487311993817" xfId="665" xr:uid="{00000000-0005-0000-0000-00006F040000}"/>
    <cellStyle name="style1487311993864" xfId="666" xr:uid="{00000000-0005-0000-0000-000070040000}"/>
    <cellStyle name="style1487311993911" xfId="667" xr:uid="{00000000-0005-0000-0000-000071040000}"/>
    <cellStyle name="style1487311993958" xfId="668" xr:uid="{00000000-0005-0000-0000-000072040000}"/>
    <cellStyle name="style1487311994020" xfId="669" xr:uid="{00000000-0005-0000-0000-000073040000}"/>
    <cellStyle name="style1487311994067" xfId="670" xr:uid="{00000000-0005-0000-0000-000074040000}"/>
    <cellStyle name="style1487311994114" xfId="671" xr:uid="{00000000-0005-0000-0000-000075040000}"/>
    <cellStyle name="style1487311994161" xfId="672" xr:uid="{00000000-0005-0000-0000-000076040000}"/>
    <cellStyle name="style1487311994207" xfId="673" xr:uid="{00000000-0005-0000-0000-000077040000}"/>
    <cellStyle name="style1487311994270" xfId="674" xr:uid="{00000000-0005-0000-0000-000078040000}"/>
    <cellStyle name="style1487311994395" xfId="675" xr:uid="{00000000-0005-0000-0000-000079040000}"/>
    <cellStyle name="style1487311994457" xfId="676" xr:uid="{00000000-0005-0000-0000-00007A040000}"/>
    <cellStyle name="style1487311994504" xfId="677" xr:uid="{00000000-0005-0000-0000-00007B040000}"/>
    <cellStyle name="style1487311994551" xfId="678" xr:uid="{00000000-0005-0000-0000-00007C040000}"/>
    <cellStyle name="style1487311994597" xfId="679" xr:uid="{00000000-0005-0000-0000-00007D040000}"/>
    <cellStyle name="style1487311994644" xfId="680" xr:uid="{00000000-0005-0000-0000-00007E040000}"/>
    <cellStyle name="style1487311994691" xfId="681" xr:uid="{00000000-0005-0000-0000-00007F040000}"/>
    <cellStyle name="style1487311994722" xfId="682" xr:uid="{00000000-0005-0000-0000-000080040000}"/>
    <cellStyle name="style1487311994753" xfId="683" xr:uid="{00000000-0005-0000-0000-000081040000}"/>
    <cellStyle name="style1487311994800" xfId="684" xr:uid="{00000000-0005-0000-0000-000082040000}"/>
    <cellStyle name="style1487311994831" xfId="685" xr:uid="{00000000-0005-0000-0000-000083040000}"/>
    <cellStyle name="style1487311994878" xfId="686" xr:uid="{00000000-0005-0000-0000-000084040000}"/>
    <cellStyle name="style1487311994909" xfId="687" xr:uid="{00000000-0005-0000-0000-000085040000}"/>
    <cellStyle name="style1487311994941" xfId="688" xr:uid="{00000000-0005-0000-0000-000086040000}"/>
    <cellStyle name="style1487311995019" xfId="689" xr:uid="{00000000-0005-0000-0000-000087040000}"/>
    <cellStyle name="style1487311995081" xfId="690" xr:uid="{00000000-0005-0000-0000-000088040000}"/>
    <cellStyle name="style1487311995128" xfId="691" xr:uid="{00000000-0005-0000-0000-000089040000}"/>
    <cellStyle name="style1487311995175" xfId="692" xr:uid="{00000000-0005-0000-0000-00008A040000}"/>
    <cellStyle name="style1487311995221" xfId="693" xr:uid="{00000000-0005-0000-0000-00008B040000}"/>
    <cellStyle name="style1487311995268" xfId="694" xr:uid="{00000000-0005-0000-0000-00008C040000}"/>
    <cellStyle name="style1487311995315" xfId="695" xr:uid="{00000000-0005-0000-0000-00008D040000}"/>
    <cellStyle name="style1505694651028" xfId="1166" xr:uid="{00000000-0005-0000-0000-00008E040000}"/>
    <cellStyle name="style1505694651122" xfId="1167" xr:uid="{00000000-0005-0000-0000-00008F040000}"/>
    <cellStyle name="style1505694651184" xfId="1168" xr:uid="{00000000-0005-0000-0000-000090040000}"/>
    <cellStyle name="style1505694651262" xfId="1169" xr:uid="{00000000-0005-0000-0000-000091040000}"/>
    <cellStyle name="style1505694651340" xfId="1170" xr:uid="{00000000-0005-0000-0000-000092040000}"/>
    <cellStyle name="style1505694651402" xfId="1171" xr:uid="{00000000-0005-0000-0000-000093040000}"/>
    <cellStyle name="style1505694651465" xfId="1172" xr:uid="{00000000-0005-0000-0000-000094040000}"/>
    <cellStyle name="style1505694651527" xfId="1173" xr:uid="{00000000-0005-0000-0000-000095040000}"/>
    <cellStyle name="style1505694651590" xfId="1174" xr:uid="{00000000-0005-0000-0000-000096040000}"/>
    <cellStyle name="style1505694651668" xfId="1175" xr:uid="{00000000-0005-0000-0000-000097040000}"/>
    <cellStyle name="style1505694651730" xfId="1176" xr:uid="{00000000-0005-0000-0000-000098040000}"/>
    <cellStyle name="style1505694651808" xfId="1177" xr:uid="{00000000-0005-0000-0000-000099040000}"/>
    <cellStyle name="style1505694651870" xfId="1178" xr:uid="{00000000-0005-0000-0000-00009A040000}"/>
    <cellStyle name="style1505694651948" xfId="1179" xr:uid="{00000000-0005-0000-0000-00009B040000}"/>
    <cellStyle name="style1505694652011" xfId="1180" xr:uid="{00000000-0005-0000-0000-00009C040000}"/>
    <cellStyle name="style1505694652073" xfId="1181" xr:uid="{00000000-0005-0000-0000-00009D040000}"/>
    <cellStyle name="style1505694652136" xfId="1182" xr:uid="{00000000-0005-0000-0000-00009E040000}"/>
    <cellStyle name="style1505694652198" xfId="1183" xr:uid="{00000000-0005-0000-0000-00009F040000}"/>
    <cellStyle name="style1505694652276" xfId="1184" xr:uid="{00000000-0005-0000-0000-0000A0040000}"/>
    <cellStyle name="style1505694652354" xfId="1185" xr:uid="{00000000-0005-0000-0000-0000A1040000}"/>
    <cellStyle name="style1505694652432" xfId="1186" xr:uid="{00000000-0005-0000-0000-0000A2040000}"/>
    <cellStyle name="style1505694652494" xfId="1187" xr:uid="{00000000-0005-0000-0000-0000A3040000}"/>
    <cellStyle name="style1505694652557" xfId="1188" xr:uid="{00000000-0005-0000-0000-0000A4040000}"/>
    <cellStyle name="style1505694652604" xfId="1189" xr:uid="{00000000-0005-0000-0000-0000A5040000}"/>
    <cellStyle name="style1505694652666" xfId="1190" xr:uid="{00000000-0005-0000-0000-0000A6040000}"/>
    <cellStyle name="style1505694652728" xfId="1191" xr:uid="{00000000-0005-0000-0000-0000A7040000}"/>
    <cellStyle name="style1505694652791" xfId="1192" xr:uid="{00000000-0005-0000-0000-0000A8040000}"/>
    <cellStyle name="style1505694652869" xfId="1193" xr:uid="{00000000-0005-0000-0000-0000A9040000}"/>
    <cellStyle name="style1505694652931" xfId="1194" xr:uid="{00000000-0005-0000-0000-0000AA040000}"/>
    <cellStyle name="style1505694653056" xfId="1195" xr:uid="{00000000-0005-0000-0000-0000AB040000}"/>
    <cellStyle name="style1505694653118" xfId="1196" xr:uid="{00000000-0005-0000-0000-0000AC040000}"/>
    <cellStyle name="style1505694653181" xfId="1197" xr:uid="{00000000-0005-0000-0000-0000AD040000}"/>
    <cellStyle name="style1505694653243" xfId="1198" xr:uid="{00000000-0005-0000-0000-0000AE040000}"/>
    <cellStyle name="style1505694653290" xfId="1199" xr:uid="{00000000-0005-0000-0000-0000AF040000}"/>
    <cellStyle name="style1505694653493" xfId="1200" xr:uid="{00000000-0005-0000-0000-0000B0040000}"/>
    <cellStyle name="style1505694653555" xfId="1201" xr:uid="{00000000-0005-0000-0000-0000B1040000}"/>
    <cellStyle name="style1505694653618" xfId="1202" xr:uid="{00000000-0005-0000-0000-0000B2040000}"/>
    <cellStyle name="style1505694653664" xfId="1203" xr:uid="{00000000-0005-0000-0000-0000B3040000}"/>
    <cellStyle name="style1505694653727" xfId="1204" xr:uid="{00000000-0005-0000-0000-0000B4040000}"/>
    <cellStyle name="style1505694653774" xfId="1205" xr:uid="{00000000-0005-0000-0000-0000B5040000}"/>
    <cellStyle name="style1505694653836" xfId="1206" xr:uid="{00000000-0005-0000-0000-0000B6040000}"/>
    <cellStyle name="style1505694653898" xfId="1207" xr:uid="{00000000-0005-0000-0000-0000B7040000}"/>
    <cellStyle name="style1505694653976" xfId="1208" xr:uid="{00000000-0005-0000-0000-0000B8040000}"/>
    <cellStyle name="style1505694654039" xfId="1209" xr:uid="{00000000-0005-0000-0000-0000B9040000}"/>
    <cellStyle name="style1505694654117" xfId="1211" xr:uid="{00000000-0005-0000-0000-0000BA040000}"/>
    <cellStyle name="style1505694654179" xfId="1210" xr:uid="{00000000-0005-0000-0000-0000BB040000}"/>
    <cellStyle name="style1505694654242" xfId="1212" xr:uid="{00000000-0005-0000-0000-0000BC040000}"/>
    <cellStyle name="style1505694654288" xfId="1213" xr:uid="{00000000-0005-0000-0000-0000BD040000}"/>
    <cellStyle name="style1505694654491" xfId="1214" xr:uid="{00000000-0005-0000-0000-0000BE040000}"/>
    <cellStyle name="style1505694654554" xfId="1215" xr:uid="{00000000-0005-0000-0000-0000BF040000}"/>
    <cellStyle name="style1505694654616" xfId="1216" xr:uid="{00000000-0005-0000-0000-0000C0040000}"/>
    <cellStyle name="style1505694654678" xfId="1217" xr:uid="{00000000-0005-0000-0000-0000C1040000}"/>
    <cellStyle name="style1505694654725" xfId="1218" xr:uid="{00000000-0005-0000-0000-0000C2040000}"/>
    <cellStyle name="style1505694654788" xfId="1219" xr:uid="{00000000-0005-0000-0000-0000C3040000}"/>
    <cellStyle name="style1505694654975" xfId="1220" xr:uid="{00000000-0005-0000-0000-0000C4040000}"/>
    <cellStyle name="style1505694655037" xfId="1221" xr:uid="{00000000-0005-0000-0000-0000C5040000}"/>
    <cellStyle name="style1505694655100" xfId="1222" xr:uid="{00000000-0005-0000-0000-0000C6040000}"/>
    <cellStyle name="style1505694655162" xfId="1223" xr:uid="{00000000-0005-0000-0000-0000C7040000}"/>
    <cellStyle name="style1505694657018" xfId="1224" xr:uid="{00000000-0005-0000-0000-0000C8040000}"/>
    <cellStyle name="style1505694657081" xfId="1225" xr:uid="{00000000-0005-0000-0000-0000C9040000}"/>
    <cellStyle name="style1505694657143" xfId="1226" xr:uid="{00000000-0005-0000-0000-0000CA040000}"/>
    <cellStyle name="style1505694657845" xfId="1227" xr:uid="{00000000-0005-0000-0000-0000CB040000}"/>
    <cellStyle name="style1505694657908" xfId="1228" xr:uid="{00000000-0005-0000-0000-0000CC040000}"/>
    <cellStyle name="style1505694657970" xfId="1229" xr:uid="{00000000-0005-0000-0000-0000CD040000}"/>
    <cellStyle name="style1505694658017" xfId="1230" xr:uid="{00000000-0005-0000-0000-0000CE040000}"/>
    <cellStyle name="style1505694658064" xfId="1231" xr:uid="{00000000-0005-0000-0000-0000CF040000}"/>
    <cellStyle name="style1505694658110" xfId="1232" xr:uid="{00000000-0005-0000-0000-0000D0040000}"/>
    <cellStyle name="style1505694658157" xfId="1233" xr:uid="{00000000-0005-0000-0000-0000D1040000}"/>
    <cellStyle name="style1505694658204" xfId="1234" xr:uid="{00000000-0005-0000-0000-0000D2040000}"/>
    <cellStyle name="style1505694659530" xfId="1235" xr:uid="{00000000-0005-0000-0000-0000D3040000}"/>
    <cellStyle name="style1505694659592" xfId="1236" xr:uid="{00000000-0005-0000-0000-0000D4040000}"/>
    <cellStyle name="style1505694659639" xfId="1237" xr:uid="{00000000-0005-0000-0000-0000D5040000}"/>
    <cellStyle name="style1505694659686" xfId="1238" xr:uid="{00000000-0005-0000-0000-0000D6040000}"/>
    <cellStyle name="style1505694659733" xfId="1239" xr:uid="{00000000-0005-0000-0000-0000D7040000}"/>
    <cellStyle name="style1505694659780" xfId="1240" xr:uid="{00000000-0005-0000-0000-0000D8040000}"/>
    <cellStyle name="style1505694659826" xfId="1241" xr:uid="{00000000-0005-0000-0000-0000D9040000}"/>
    <cellStyle name="style1505694659858" xfId="1242" xr:uid="{00000000-0005-0000-0000-0000DA040000}"/>
    <cellStyle name="style1505694659936" xfId="1243" xr:uid="{00000000-0005-0000-0000-0000DB040000}"/>
    <cellStyle name="style1505694660014" xfId="1244" xr:uid="{00000000-0005-0000-0000-0000DC040000}"/>
    <cellStyle name="style1505694660045" xfId="1245" xr:uid="{00000000-0005-0000-0000-0000DD040000}"/>
    <cellStyle name="style1505694660232" xfId="1246" xr:uid="{00000000-0005-0000-0000-0000DE040000}"/>
    <cellStyle name="style1505694660294" xfId="1247" xr:uid="{00000000-0005-0000-0000-0000DF040000}"/>
    <cellStyle name="style1505694660528" xfId="1248" xr:uid="{00000000-0005-0000-0000-0000E0040000}"/>
    <cellStyle name="style1505694660575" xfId="1249" xr:uid="{00000000-0005-0000-0000-0000E1040000}"/>
    <cellStyle name="style1505694660638" xfId="1250" xr:uid="{00000000-0005-0000-0000-0000E2040000}"/>
    <cellStyle name="style1505694660684" xfId="1251" xr:uid="{00000000-0005-0000-0000-0000E3040000}"/>
    <cellStyle name="style1505695310332" xfId="1252" xr:uid="{00000000-0005-0000-0000-0000E4040000}"/>
    <cellStyle name="style1505695310395" xfId="1253" xr:uid="{00000000-0005-0000-0000-0000E5040000}"/>
    <cellStyle name="style1505695310442" xfId="1254" xr:uid="{00000000-0005-0000-0000-0000E6040000}"/>
    <cellStyle name="style1505695310488" xfId="1255" xr:uid="{00000000-0005-0000-0000-0000E7040000}"/>
    <cellStyle name="style1505695310551" xfId="1256" xr:uid="{00000000-0005-0000-0000-0000E8040000}"/>
    <cellStyle name="style1505695310598" xfId="1257" xr:uid="{00000000-0005-0000-0000-0000E9040000}"/>
    <cellStyle name="style1505695310644" xfId="1258" xr:uid="{00000000-0005-0000-0000-0000EA040000}"/>
    <cellStyle name="style1505695310707" xfId="1259" xr:uid="{00000000-0005-0000-0000-0000EB040000}"/>
    <cellStyle name="style1505695310754" xfId="1260" xr:uid="{00000000-0005-0000-0000-0000EC040000}"/>
    <cellStyle name="style1505695310816" xfId="1261" xr:uid="{00000000-0005-0000-0000-0000ED040000}"/>
    <cellStyle name="style1505695310863" xfId="1262" xr:uid="{00000000-0005-0000-0000-0000EE040000}"/>
    <cellStyle name="style1505695310925" xfId="1263" xr:uid="{00000000-0005-0000-0000-0000EF040000}"/>
    <cellStyle name="style1505695310988" xfId="1264" xr:uid="{00000000-0005-0000-0000-0000F0040000}"/>
    <cellStyle name="style1505695311050" xfId="1265" xr:uid="{00000000-0005-0000-0000-0000F1040000}"/>
    <cellStyle name="style1505695311097" xfId="1266" xr:uid="{00000000-0005-0000-0000-0000F2040000}"/>
    <cellStyle name="style1505695311159" xfId="1267" xr:uid="{00000000-0005-0000-0000-0000F3040000}"/>
    <cellStyle name="style1505695311206" xfId="1269" xr:uid="{00000000-0005-0000-0000-0000F4040000}"/>
    <cellStyle name="style1505695311268" xfId="1268" xr:uid="{00000000-0005-0000-0000-0000F5040000}"/>
    <cellStyle name="style1505695311315" xfId="1270" xr:uid="{00000000-0005-0000-0000-0000F6040000}"/>
    <cellStyle name="style1505695311378" xfId="1271" xr:uid="{00000000-0005-0000-0000-0000F7040000}"/>
    <cellStyle name="style1505695311440" xfId="1272" xr:uid="{00000000-0005-0000-0000-0000F8040000}"/>
    <cellStyle name="style1505695311612" xfId="1273" xr:uid="{00000000-0005-0000-0000-0000F9040000}"/>
    <cellStyle name="style1505695311674" xfId="1274" xr:uid="{00000000-0005-0000-0000-0000FA040000}"/>
    <cellStyle name="style1505695311736" xfId="1275" xr:uid="{00000000-0005-0000-0000-0000FB040000}"/>
    <cellStyle name="style1505695311783" xfId="1276" xr:uid="{00000000-0005-0000-0000-0000FC040000}"/>
    <cellStyle name="style1505695311846" xfId="1277" xr:uid="{00000000-0005-0000-0000-0000FD040000}"/>
    <cellStyle name="style1505695311892" xfId="1278" xr:uid="{00000000-0005-0000-0000-0000FE040000}"/>
    <cellStyle name="style1505695311955" xfId="1279" xr:uid="{00000000-0005-0000-0000-0000FF040000}"/>
    <cellStyle name="style1505695312001" xfId="1280" xr:uid="{00000000-0005-0000-0000-000000050000}"/>
    <cellStyle name="style1505695312079" xfId="1281" xr:uid="{00000000-0005-0000-0000-000001050000}"/>
    <cellStyle name="style1505695312142" xfId="1282" xr:uid="{00000000-0005-0000-0000-000002050000}"/>
    <cellStyle name="style1505695312189" xfId="1283" xr:uid="{00000000-0005-0000-0000-000003050000}"/>
    <cellStyle name="style1505695312251" xfId="1284" xr:uid="{00000000-0005-0000-0000-000004050000}"/>
    <cellStyle name="style1505695312454" xfId="1285" xr:uid="{00000000-0005-0000-0000-000005050000}"/>
    <cellStyle name="style1505695312501" xfId="1286" xr:uid="{00000000-0005-0000-0000-000006050000}"/>
    <cellStyle name="style1505695312547" xfId="1287" xr:uid="{00000000-0005-0000-0000-000007050000}"/>
    <cellStyle name="style1505695312610" xfId="1288" xr:uid="{00000000-0005-0000-0000-000008050000}"/>
    <cellStyle name="style1505695312688" xfId="1289" xr:uid="{00000000-0005-0000-0000-000009050000}"/>
    <cellStyle name="style1505695312735" xfId="1290" xr:uid="{00000000-0005-0000-0000-00000A050000}"/>
    <cellStyle name="style1505695312781" xfId="1291" xr:uid="{00000000-0005-0000-0000-00000B050000}"/>
    <cellStyle name="style1505695312844" xfId="1292" xr:uid="{00000000-0005-0000-0000-00000C050000}"/>
    <cellStyle name="style1505695312891" xfId="1293" xr:uid="{00000000-0005-0000-0000-00000D050000}"/>
    <cellStyle name="style1505695312937" xfId="1294" xr:uid="{00000000-0005-0000-0000-00000E050000}"/>
    <cellStyle name="style1505695313000" xfId="1295" xr:uid="{00000000-0005-0000-0000-00000F050000}"/>
    <cellStyle name="style1505695313047" xfId="1296" xr:uid="{00000000-0005-0000-0000-000010050000}"/>
    <cellStyle name="style1505695313109" xfId="1297" xr:uid="{00000000-0005-0000-0000-000011050000}"/>
    <cellStyle name="style1505695313171" xfId="1298" xr:uid="{00000000-0005-0000-0000-000012050000}"/>
    <cellStyle name="style1505695313359" xfId="1299" xr:uid="{00000000-0005-0000-0000-000013050000}"/>
    <cellStyle name="style1505695313421" xfId="1300" xr:uid="{00000000-0005-0000-0000-000014050000}"/>
    <cellStyle name="style1505695313468" xfId="1301" xr:uid="{00000000-0005-0000-0000-000015050000}"/>
    <cellStyle name="style1505695313530" xfId="1302" xr:uid="{00000000-0005-0000-0000-000016050000}"/>
    <cellStyle name="style1505695313593" xfId="1303" xr:uid="{00000000-0005-0000-0000-000017050000}"/>
    <cellStyle name="style1505695313639" xfId="1304" xr:uid="{00000000-0005-0000-0000-000018050000}"/>
    <cellStyle name="style1505695313686" xfId="1305" xr:uid="{00000000-0005-0000-0000-000019050000}"/>
    <cellStyle name="style1505695313749" xfId="1306" xr:uid="{00000000-0005-0000-0000-00001A050000}"/>
    <cellStyle name="style1505695313795" xfId="1307" xr:uid="{00000000-0005-0000-0000-00001B050000}"/>
    <cellStyle name="style1505695313827" xfId="1308" xr:uid="{00000000-0005-0000-0000-00001C050000}"/>
    <cellStyle name="style1505695313873" xfId="1309" xr:uid="{00000000-0005-0000-0000-00001D050000}"/>
    <cellStyle name="style1505695313920" xfId="1310" xr:uid="{00000000-0005-0000-0000-00001E050000}"/>
    <cellStyle name="style1505695313951" xfId="1311" xr:uid="{00000000-0005-0000-0000-00001F050000}"/>
    <cellStyle name="style1505695313998" xfId="1312" xr:uid="{00000000-0005-0000-0000-000020050000}"/>
    <cellStyle name="style1505695314107" xfId="1313" xr:uid="{00000000-0005-0000-0000-000021050000}"/>
    <cellStyle name="style1505695314185" xfId="1314" xr:uid="{00000000-0005-0000-0000-000022050000}"/>
    <cellStyle name="style1505695314248" xfId="1315" xr:uid="{00000000-0005-0000-0000-000023050000}"/>
    <cellStyle name="style1505695314310" xfId="1316" xr:uid="{00000000-0005-0000-0000-000024050000}"/>
    <cellStyle name="style1505695314373" xfId="1317" xr:uid="{00000000-0005-0000-0000-000025050000}"/>
    <cellStyle name="style1505695314435" xfId="1318" xr:uid="{00000000-0005-0000-0000-000026050000}"/>
    <cellStyle name="style1505695314497" xfId="1319" xr:uid="{00000000-0005-0000-0000-000027050000}"/>
    <cellStyle name="style1505700139679" xfId="1320" xr:uid="{00000000-0005-0000-0000-000028050000}"/>
    <cellStyle name="style1505700139798" xfId="1321" xr:uid="{00000000-0005-0000-0000-000029050000}"/>
    <cellStyle name="style1505700139854" xfId="1322" xr:uid="{00000000-0005-0000-0000-00002A050000}"/>
    <cellStyle name="style1505700139926" xfId="1323" xr:uid="{00000000-0005-0000-0000-00002B050000}"/>
    <cellStyle name="style1505700140033" xfId="1324" xr:uid="{00000000-0005-0000-0000-00002C050000}"/>
    <cellStyle name="style1505700140114" xfId="1325" xr:uid="{00000000-0005-0000-0000-00002D050000}"/>
    <cellStyle name="style1505700140181" xfId="1326" xr:uid="{00000000-0005-0000-0000-00002E050000}"/>
    <cellStyle name="style1505700140253" xfId="1327" xr:uid="{00000000-0005-0000-0000-00002F050000}"/>
    <cellStyle name="style1505700140318" xfId="1328" xr:uid="{00000000-0005-0000-0000-000030050000}"/>
    <cellStyle name="style1505700140392" xfId="1329" xr:uid="{00000000-0005-0000-0000-000031050000}"/>
    <cellStyle name="style1505700140466" xfId="1330" xr:uid="{00000000-0005-0000-0000-000032050000}"/>
    <cellStyle name="style1505700140575" xfId="1331" xr:uid="{00000000-0005-0000-0000-000033050000}"/>
    <cellStyle name="style1505700140641" xfId="1332" xr:uid="{00000000-0005-0000-0000-000034050000}"/>
    <cellStyle name="style1505700140705" xfId="1333" xr:uid="{00000000-0005-0000-0000-000035050000}"/>
    <cellStyle name="style1505700140775" xfId="1334" xr:uid="{00000000-0005-0000-0000-000036050000}"/>
    <cellStyle name="style1505700140850" xfId="1335" xr:uid="{00000000-0005-0000-0000-000037050000}"/>
    <cellStyle name="style1505700140915" xfId="1336" xr:uid="{00000000-0005-0000-0000-000038050000}"/>
    <cellStyle name="style1505700140982" xfId="1337" xr:uid="{00000000-0005-0000-0000-000039050000}"/>
    <cellStyle name="style1505700141104" xfId="1338" xr:uid="{00000000-0005-0000-0000-00003A050000}"/>
    <cellStyle name="style1505700141174" xfId="1339" xr:uid="{00000000-0005-0000-0000-00003B050000}"/>
    <cellStyle name="style1505700141241" xfId="1340" xr:uid="{00000000-0005-0000-0000-00003C050000}"/>
    <cellStyle name="style1505700141310" xfId="1341" xr:uid="{00000000-0005-0000-0000-00003D050000}"/>
    <cellStyle name="style1505700141376" xfId="1342" xr:uid="{00000000-0005-0000-0000-00003E050000}"/>
    <cellStyle name="style1505700141448" xfId="1343" xr:uid="{00000000-0005-0000-0000-00003F050000}"/>
    <cellStyle name="style1505700141516" xfId="1344" xr:uid="{00000000-0005-0000-0000-000040050000}"/>
    <cellStyle name="style1505700141582" xfId="1345" xr:uid="{00000000-0005-0000-0000-000041050000}"/>
    <cellStyle name="style1505700141652" xfId="1346" xr:uid="{00000000-0005-0000-0000-000042050000}"/>
    <cellStyle name="style1505700141718" xfId="1347" xr:uid="{00000000-0005-0000-0000-000043050000}"/>
    <cellStyle name="style1505700141785" xfId="1348" xr:uid="{00000000-0005-0000-0000-000044050000}"/>
    <cellStyle name="style1505700141910" xfId="1349" xr:uid="{00000000-0005-0000-0000-000045050000}"/>
    <cellStyle name="style1505700141975" xfId="1350" xr:uid="{00000000-0005-0000-0000-000046050000}"/>
    <cellStyle name="style1505700142042" xfId="1351" xr:uid="{00000000-0005-0000-0000-000047050000}"/>
    <cellStyle name="style1505700142131" xfId="1352" xr:uid="{00000000-0005-0000-0000-000048050000}"/>
    <cellStyle name="style1505700142229" xfId="1353" xr:uid="{00000000-0005-0000-0000-000049050000}"/>
    <cellStyle name="style1505700142428" xfId="1354" xr:uid="{00000000-0005-0000-0000-00004A050000}"/>
    <cellStyle name="style1505700142492" xfId="1355" xr:uid="{00000000-0005-0000-0000-00004B050000}"/>
    <cellStyle name="style1505700142554" xfId="1356" xr:uid="{00000000-0005-0000-0000-00004C050000}"/>
    <cellStyle name="style1505700142603" xfId="1357" xr:uid="{00000000-0005-0000-0000-00004D050000}"/>
    <cellStyle name="style1505700142701" xfId="1358" xr:uid="{00000000-0005-0000-0000-00004E050000}"/>
    <cellStyle name="style1505700142796" xfId="1359" xr:uid="{00000000-0005-0000-0000-00004F050000}"/>
    <cellStyle name="style1505700142866" xfId="1360" xr:uid="{00000000-0005-0000-0000-000050050000}"/>
    <cellStyle name="style1505700142925" xfId="1361" xr:uid="{00000000-0005-0000-0000-000051050000}"/>
    <cellStyle name="style1505700142989" xfId="1362" xr:uid="{00000000-0005-0000-0000-000052050000}"/>
    <cellStyle name="style1505700143057" xfId="1363" xr:uid="{00000000-0005-0000-0000-000053050000}"/>
    <cellStyle name="style1505700143147" xfId="1365" xr:uid="{00000000-0005-0000-0000-000054050000}"/>
    <cellStyle name="style1505700143248" xfId="1364" xr:uid="{00000000-0005-0000-0000-000055050000}"/>
    <cellStyle name="style1505700143337" xfId="1366" xr:uid="{00000000-0005-0000-0000-000056050000}"/>
    <cellStyle name="style1505700143399" xfId="1367" xr:uid="{00000000-0005-0000-0000-000057050000}"/>
    <cellStyle name="style1505700143585" xfId="1368" xr:uid="{00000000-0005-0000-0000-000058050000}"/>
    <cellStyle name="style1505700143665" xfId="1369" xr:uid="{00000000-0005-0000-0000-000059050000}"/>
    <cellStyle name="style1505700143724" xfId="1370" xr:uid="{00000000-0005-0000-0000-00005A050000}"/>
    <cellStyle name="style1505700143795" xfId="1371" xr:uid="{00000000-0005-0000-0000-00005B050000}"/>
    <cellStyle name="style1505700143872" xfId="1372" xr:uid="{00000000-0005-0000-0000-00005C050000}"/>
    <cellStyle name="style1505700143940" xfId="1373" xr:uid="{00000000-0005-0000-0000-00005D050000}"/>
    <cellStyle name="style1505700144121" xfId="1374" xr:uid="{00000000-0005-0000-0000-00005E050000}"/>
    <cellStyle name="style1505700144190" xfId="1375" xr:uid="{00000000-0005-0000-0000-00005F050000}"/>
    <cellStyle name="style1505700144257" xfId="1376" xr:uid="{00000000-0005-0000-0000-000060050000}"/>
    <cellStyle name="style1505700144340" xfId="1377" xr:uid="{00000000-0005-0000-0000-000061050000}"/>
    <cellStyle name="style1505700146376" xfId="1378" xr:uid="{00000000-0005-0000-0000-000062050000}"/>
    <cellStyle name="style1505700146438" xfId="1379" xr:uid="{00000000-0005-0000-0000-000063050000}"/>
    <cellStyle name="style1505700146514" xfId="1380" xr:uid="{00000000-0005-0000-0000-000064050000}"/>
    <cellStyle name="style1505700147222" xfId="1381" xr:uid="{00000000-0005-0000-0000-000065050000}"/>
    <cellStyle name="style1505700147282" xfId="1382" xr:uid="{00000000-0005-0000-0000-000066050000}"/>
    <cellStyle name="style1505700147361" xfId="1383" xr:uid="{00000000-0005-0000-0000-000067050000}"/>
    <cellStyle name="style1505700147407" xfId="1384" xr:uid="{00000000-0005-0000-0000-000068050000}"/>
    <cellStyle name="style1505700147454" xfId="1385" xr:uid="{00000000-0005-0000-0000-000069050000}"/>
    <cellStyle name="style1505700147500" xfId="1386" xr:uid="{00000000-0005-0000-0000-00006A050000}"/>
    <cellStyle name="style1505700147555" xfId="1387" xr:uid="{00000000-0005-0000-0000-00006B050000}"/>
    <cellStyle name="style1505700147624" xfId="1388" xr:uid="{00000000-0005-0000-0000-00006C050000}"/>
    <cellStyle name="style1505700148984" xfId="1389" xr:uid="{00000000-0005-0000-0000-00006D050000}"/>
    <cellStyle name="style1505700149046" xfId="1390" xr:uid="{00000000-0005-0000-0000-00006E050000}"/>
    <cellStyle name="style1505700149099" xfId="1391" xr:uid="{00000000-0005-0000-0000-00006F050000}"/>
    <cellStyle name="style1505700149145" xfId="1392" xr:uid="{00000000-0005-0000-0000-000070050000}"/>
    <cellStyle name="style1505700149212" xfId="1393" xr:uid="{00000000-0005-0000-0000-000071050000}"/>
    <cellStyle name="style1505700149275" xfId="1394" xr:uid="{00000000-0005-0000-0000-000072050000}"/>
    <cellStyle name="style1505700149331" xfId="1395" xr:uid="{00000000-0005-0000-0000-000073050000}"/>
    <cellStyle name="style1505700149386" xfId="1396" xr:uid="{00000000-0005-0000-0000-000074050000}"/>
    <cellStyle name="style1505700149458" xfId="1397" xr:uid="{00000000-0005-0000-0000-000075050000}"/>
    <cellStyle name="style1505700149515" xfId="1398" xr:uid="{00000000-0005-0000-0000-000076050000}"/>
    <cellStyle name="style1505700149558" xfId="1399" xr:uid="{00000000-0005-0000-0000-000077050000}"/>
    <cellStyle name="style1505700149761" xfId="1400" xr:uid="{00000000-0005-0000-0000-000078050000}"/>
    <cellStyle name="style1505700149833" xfId="1401" xr:uid="{00000000-0005-0000-0000-000079050000}"/>
    <cellStyle name="style1505700150049" xfId="1402" xr:uid="{00000000-0005-0000-0000-00007A050000}"/>
    <cellStyle name="style1505700150096" xfId="1403" xr:uid="{00000000-0005-0000-0000-00007B050000}"/>
    <cellStyle name="style1505700150158" xfId="1404" xr:uid="{00000000-0005-0000-0000-00007C050000}"/>
    <cellStyle name="style1505700150207" xfId="1405" xr:uid="{00000000-0005-0000-0000-00007D050000}"/>
    <cellStyle name="style1505700417279" xfId="1406" xr:uid="{00000000-0005-0000-0000-00007E050000}"/>
    <cellStyle name="style1505700417348" xfId="1407" xr:uid="{00000000-0005-0000-0000-00007F050000}"/>
    <cellStyle name="style1505700417392" xfId="1408" xr:uid="{00000000-0005-0000-0000-000080050000}"/>
    <cellStyle name="style1505700417448" xfId="1409" xr:uid="{00000000-0005-0000-0000-000081050000}"/>
    <cellStyle name="style1505700417546" xfId="1410" xr:uid="{00000000-0005-0000-0000-000082050000}"/>
    <cellStyle name="style1505700417608" xfId="1411" xr:uid="{00000000-0005-0000-0000-000083050000}"/>
    <cellStyle name="style1505700417652" xfId="1412" xr:uid="{00000000-0005-0000-0000-000084050000}"/>
    <cellStyle name="style1505700417717" xfId="1413" xr:uid="{00000000-0005-0000-0000-000085050000}"/>
    <cellStyle name="style1505700417782" xfId="1414" xr:uid="{00000000-0005-0000-0000-000086050000}"/>
    <cellStyle name="style1505700417838" xfId="1415" xr:uid="{00000000-0005-0000-0000-000087050000}"/>
    <cellStyle name="style1505700417907" xfId="1416" xr:uid="{00000000-0005-0000-0000-000088050000}"/>
    <cellStyle name="style1505700417963" xfId="1417" xr:uid="{00000000-0005-0000-0000-000089050000}"/>
    <cellStyle name="style1505700418020" xfId="1418" xr:uid="{00000000-0005-0000-0000-00008A050000}"/>
    <cellStyle name="style1505700418084" xfId="1419" xr:uid="{00000000-0005-0000-0000-00008B050000}"/>
    <cellStyle name="style1505700418148" xfId="1420" xr:uid="{00000000-0005-0000-0000-00008C050000}"/>
    <cellStyle name="style1505700418207" xfId="1421" xr:uid="{00000000-0005-0000-0000-00008D050000}"/>
    <cellStyle name="style1505700418272" xfId="1423" xr:uid="{00000000-0005-0000-0000-00008E050000}"/>
    <cellStyle name="style1505700418327" xfId="1422" xr:uid="{00000000-0005-0000-0000-00008F050000}"/>
    <cellStyle name="style1505700418385" xfId="1424" xr:uid="{00000000-0005-0000-0000-000090050000}"/>
    <cellStyle name="style1505700418441" xfId="1425" xr:uid="{00000000-0005-0000-0000-000091050000}"/>
    <cellStyle name="style1505700418500" xfId="1426" xr:uid="{00000000-0005-0000-0000-000092050000}"/>
    <cellStyle name="style1505700418676" xfId="1427" xr:uid="{00000000-0005-0000-0000-000093050000}"/>
    <cellStyle name="style1505700418734" xfId="1428" xr:uid="{00000000-0005-0000-0000-000094050000}"/>
    <cellStyle name="style1505700418797" xfId="1429" xr:uid="{00000000-0005-0000-0000-000095050000}"/>
    <cellStyle name="style1505700418853" xfId="1430" xr:uid="{00000000-0005-0000-0000-000096050000}"/>
    <cellStyle name="style1505700418910" xfId="1431" xr:uid="{00000000-0005-0000-0000-000097050000}"/>
    <cellStyle name="style1505700418967" xfId="1432" xr:uid="{00000000-0005-0000-0000-000098050000}"/>
    <cellStyle name="style1505700419027" xfId="1433" xr:uid="{00000000-0005-0000-0000-000099050000}"/>
    <cellStyle name="style1505700419088" xfId="1434" xr:uid="{00000000-0005-0000-0000-00009A050000}"/>
    <cellStyle name="style1505700419150" xfId="1435" xr:uid="{00000000-0005-0000-0000-00009B050000}"/>
    <cellStyle name="style1505700419231" xfId="1436" xr:uid="{00000000-0005-0000-0000-00009C050000}"/>
    <cellStyle name="style1505700419296" xfId="1437" xr:uid="{00000000-0005-0000-0000-00009D050000}"/>
    <cellStyle name="style1505700419353" xfId="1438" xr:uid="{00000000-0005-0000-0000-00009E050000}"/>
    <cellStyle name="style1505700419569" xfId="1439" xr:uid="{00000000-0005-0000-0000-00009F050000}"/>
    <cellStyle name="style1505700419630" xfId="1440" xr:uid="{00000000-0005-0000-0000-0000A0050000}"/>
    <cellStyle name="style1505700419700" xfId="1441" xr:uid="{00000000-0005-0000-0000-0000A1050000}"/>
    <cellStyle name="style1505700419771" xfId="1442" xr:uid="{00000000-0005-0000-0000-0000A2050000}"/>
    <cellStyle name="style1505700419851" xfId="1443" xr:uid="{00000000-0005-0000-0000-0000A3050000}"/>
    <cellStyle name="style1505700419910" xfId="1444" xr:uid="{00000000-0005-0000-0000-0000A4050000}"/>
    <cellStyle name="style1505700419981" xfId="1445" xr:uid="{00000000-0005-0000-0000-0000A5050000}"/>
    <cellStyle name="style1505700420053" xfId="1446" xr:uid="{00000000-0005-0000-0000-0000A6050000}"/>
    <cellStyle name="style1505700420130" xfId="1447" xr:uid="{00000000-0005-0000-0000-0000A7050000}"/>
    <cellStyle name="style1505700420185" xfId="1448" xr:uid="{00000000-0005-0000-0000-0000A8050000}"/>
    <cellStyle name="style1505700420249" xfId="1449" xr:uid="{00000000-0005-0000-0000-0000A9050000}"/>
    <cellStyle name="style1505700420333" xfId="1450" xr:uid="{00000000-0005-0000-0000-0000AA050000}"/>
    <cellStyle name="style1505700420390" xfId="1451" xr:uid="{00000000-0005-0000-0000-0000AB050000}"/>
    <cellStyle name="style1505700420448" xfId="1452" xr:uid="{00000000-0005-0000-0000-0000AC050000}"/>
    <cellStyle name="style1505700420650" xfId="1453" xr:uid="{00000000-0005-0000-0000-0000AD050000}"/>
    <cellStyle name="style1505700420730" xfId="1454" xr:uid="{00000000-0005-0000-0000-0000AE050000}"/>
    <cellStyle name="style1505700420846" xfId="1455" xr:uid="{00000000-0005-0000-0000-0000AF050000}"/>
    <cellStyle name="style1505700420911" xfId="1456" xr:uid="{00000000-0005-0000-0000-0000B0050000}"/>
    <cellStyle name="style1505700420976" xfId="1457" xr:uid="{00000000-0005-0000-0000-0000B1050000}"/>
    <cellStyle name="style1505700421033" xfId="1458" xr:uid="{00000000-0005-0000-0000-0000B2050000}"/>
    <cellStyle name="style1505700421088" xfId="1459" xr:uid="{00000000-0005-0000-0000-0000B3050000}"/>
    <cellStyle name="style1505700421143" xfId="1460" xr:uid="{00000000-0005-0000-0000-0000B4050000}"/>
    <cellStyle name="style1505700421189" xfId="1461" xr:uid="{00000000-0005-0000-0000-0000B5050000}"/>
    <cellStyle name="style1505700421235" xfId="1462" xr:uid="{00000000-0005-0000-0000-0000B6050000}"/>
    <cellStyle name="style1505700421279" xfId="1463" xr:uid="{00000000-0005-0000-0000-0000B7050000}"/>
    <cellStyle name="style1505700421350" xfId="1464" xr:uid="{00000000-0005-0000-0000-0000B8050000}"/>
    <cellStyle name="style1505700421410" xfId="1465" xr:uid="{00000000-0005-0000-0000-0000B9050000}"/>
    <cellStyle name="style1505700421465" xfId="1466" xr:uid="{00000000-0005-0000-0000-0000BA050000}"/>
    <cellStyle name="style1505700421589" xfId="1467" xr:uid="{00000000-0005-0000-0000-0000BB050000}"/>
    <cellStyle name="style1505700421657" xfId="1468" xr:uid="{00000000-0005-0000-0000-0000BC050000}"/>
    <cellStyle name="style1505700421722" xfId="1469" xr:uid="{00000000-0005-0000-0000-0000BD050000}"/>
    <cellStyle name="style1505700421788" xfId="1470" xr:uid="{00000000-0005-0000-0000-0000BE050000}"/>
    <cellStyle name="style1505700421855" xfId="1471" xr:uid="{00000000-0005-0000-0000-0000BF050000}"/>
    <cellStyle name="style1505700421919" xfId="1472" xr:uid="{00000000-0005-0000-0000-0000C0050000}"/>
    <cellStyle name="style1505700421986" xfId="1473" xr:uid="{00000000-0005-0000-0000-0000C1050000}"/>
    <cellStyle name="style1505701808047" xfId="1474" xr:uid="{00000000-0005-0000-0000-0000C2050000}"/>
    <cellStyle name="style1505701808156" xfId="1475" xr:uid="{00000000-0005-0000-0000-0000C3050000}"/>
    <cellStyle name="style1505701808203" xfId="1476" xr:uid="{00000000-0005-0000-0000-0000C4050000}"/>
    <cellStyle name="style1505701808281" xfId="1477" xr:uid="{00000000-0005-0000-0000-0000C5050000}"/>
    <cellStyle name="style1505701808343" xfId="1478" xr:uid="{00000000-0005-0000-0000-0000C6050000}"/>
    <cellStyle name="style1505701808421" xfId="1479" xr:uid="{00000000-0005-0000-0000-0000C7050000}"/>
    <cellStyle name="style1505701808468" xfId="1480" xr:uid="{00000000-0005-0000-0000-0000C8050000}"/>
    <cellStyle name="style1505701808530" xfId="1481" xr:uid="{00000000-0005-0000-0000-0000C9050000}"/>
    <cellStyle name="style1505701808593" xfId="1482" xr:uid="{00000000-0005-0000-0000-0000CA050000}"/>
    <cellStyle name="style1505701808655" xfId="1483" xr:uid="{00000000-0005-0000-0000-0000CB050000}"/>
    <cellStyle name="style1505701808733" xfId="1484" xr:uid="{00000000-0005-0000-0000-0000CC050000}"/>
    <cellStyle name="style1505701808811" xfId="1485" xr:uid="{00000000-0005-0000-0000-0000CD050000}"/>
    <cellStyle name="style1505701808874" xfId="1486" xr:uid="{00000000-0005-0000-0000-0000CE050000}"/>
    <cellStyle name="style1505701808920" xfId="1487" xr:uid="{00000000-0005-0000-0000-0000CF050000}"/>
    <cellStyle name="style1505701808983" xfId="1488" xr:uid="{00000000-0005-0000-0000-0000D0050000}"/>
    <cellStyle name="style1505701809045" xfId="1489" xr:uid="{00000000-0005-0000-0000-0000D1050000}"/>
    <cellStyle name="style1505701809123" xfId="1490" xr:uid="{00000000-0005-0000-0000-0000D2050000}"/>
    <cellStyle name="style1505701809170" xfId="1491" xr:uid="{00000000-0005-0000-0000-0000D3050000}"/>
    <cellStyle name="style1505701809264" xfId="1492" xr:uid="{00000000-0005-0000-0000-0000D4050000}"/>
    <cellStyle name="style1505701809326" xfId="1493" xr:uid="{00000000-0005-0000-0000-0000D5050000}"/>
    <cellStyle name="style1505701809404" xfId="1494" xr:uid="{00000000-0005-0000-0000-0000D6050000}"/>
    <cellStyle name="style1505701809466" xfId="1495" xr:uid="{00000000-0005-0000-0000-0000D7050000}"/>
    <cellStyle name="style1505701809513" xfId="1496" xr:uid="{00000000-0005-0000-0000-0000D8050000}"/>
    <cellStyle name="style1505701809576" xfId="1497" xr:uid="{00000000-0005-0000-0000-0000D9050000}"/>
    <cellStyle name="style1505701809638" xfId="1498" xr:uid="{00000000-0005-0000-0000-0000DA050000}"/>
    <cellStyle name="style1505701809701" xfId="1499" xr:uid="{00000000-0005-0000-0000-0000DB050000}"/>
    <cellStyle name="style1505701809763" xfId="1500" xr:uid="{00000000-0005-0000-0000-0000DC050000}"/>
    <cellStyle name="style1505701809825" xfId="1501" xr:uid="{00000000-0005-0000-0000-0000DD050000}"/>
    <cellStyle name="style1505701809888" xfId="1502" xr:uid="{00000000-0005-0000-0000-0000DE050000}"/>
    <cellStyle name="style1505701810013" xfId="1503" xr:uid="{00000000-0005-0000-0000-0000DF050000}"/>
    <cellStyle name="style1505701810075" xfId="1504" xr:uid="{00000000-0005-0000-0000-0000E0050000}"/>
    <cellStyle name="style1505701810122" xfId="1505" xr:uid="{00000000-0005-0000-0000-0000E1050000}"/>
    <cellStyle name="style1505701810184" xfId="1506" xr:uid="{00000000-0005-0000-0000-0000E2050000}"/>
    <cellStyle name="style1505701810247" xfId="1507" xr:uid="{00000000-0005-0000-0000-0000E3050000}"/>
    <cellStyle name="style1505701810434" xfId="1508" xr:uid="{00000000-0005-0000-0000-0000E4050000}"/>
    <cellStyle name="style1505701810496" xfId="1509" xr:uid="{00000000-0005-0000-0000-0000E5050000}"/>
    <cellStyle name="style1505701810559" xfId="1510" xr:uid="{00000000-0005-0000-0000-0000E6050000}"/>
    <cellStyle name="style1505701810590" xfId="1511" xr:uid="{00000000-0005-0000-0000-0000E7050000}"/>
    <cellStyle name="style1505701810652" xfId="1512" xr:uid="{00000000-0005-0000-0000-0000E8050000}"/>
    <cellStyle name="style1505701810715" xfId="1513" xr:uid="{00000000-0005-0000-0000-0000E9050000}"/>
    <cellStyle name="style1505701810777" xfId="1514" xr:uid="{00000000-0005-0000-0000-0000EA050000}"/>
    <cellStyle name="style1505701810824" xfId="1515" xr:uid="{00000000-0005-0000-0000-0000EB050000}"/>
    <cellStyle name="style1505701810902" xfId="1516" xr:uid="{00000000-0005-0000-0000-0000EC050000}"/>
    <cellStyle name="style1505701810964" xfId="1517" xr:uid="{00000000-0005-0000-0000-0000ED050000}"/>
    <cellStyle name="style1505701811027" xfId="1519" xr:uid="{00000000-0005-0000-0000-0000EE050000}"/>
    <cellStyle name="style1505701811089" xfId="1518" xr:uid="{00000000-0005-0000-0000-0000EF050000}"/>
    <cellStyle name="style1505701811151" xfId="1520" xr:uid="{00000000-0005-0000-0000-0000F0050000}"/>
    <cellStyle name="style1505701811198" xfId="1521" xr:uid="{00000000-0005-0000-0000-0000F1050000}"/>
    <cellStyle name="style1505701811370" xfId="1522" xr:uid="{00000000-0005-0000-0000-0000F2050000}"/>
    <cellStyle name="style1505701811432" xfId="1523" xr:uid="{00000000-0005-0000-0000-0000F3050000}"/>
    <cellStyle name="style1505701811495" xfId="1524" xr:uid="{00000000-0005-0000-0000-0000F4050000}"/>
    <cellStyle name="style1505701811557" xfId="1525" xr:uid="{00000000-0005-0000-0000-0000F5050000}"/>
    <cellStyle name="style1505701811619" xfId="1526" xr:uid="{00000000-0005-0000-0000-0000F6050000}"/>
    <cellStyle name="style1505701811682" xfId="1527" xr:uid="{00000000-0005-0000-0000-0000F7050000}"/>
    <cellStyle name="style1505701811854" xfId="1528" xr:uid="{00000000-0005-0000-0000-0000F8050000}"/>
    <cellStyle name="style1505701811916" xfId="1529" xr:uid="{00000000-0005-0000-0000-0000F9050000}"/>
    <cellStyle name="style1505701811963" xfId="1530" xr:uid="{00000000-0005-0000-0000-0000FA050000}"/>
    <cellStyle name="style1505701812025" xfId="1531" xr:uid="{00000000-0005-0000-0000-0000FB050000}"/>
    <cellStyle name="style1505701813928" xfId="1532" xr:uid="{00000000-0005-0000-0000-0000FC050000}"/>
    <cellStyle name="style1505701813991" xfId="1533" xr:uid="{00000000-0005-0000-0000-0000FD050000}"/>
    <cellStyle name="style1505701814053" xfId="1534" xr:uid="{00000000-0005-0000-0000-0000FE050000}"/>
    <cellStyle name="style1505701814724" xfId="1535" xr:uid="{00000000-0005-0000-0000-0000FF050000}"/>
    <cellStyle name="style1505701814802" xfId="1536" xr:uid="{00000000-0005-0000-0000-000000060000}"/>
    <cellStyle name="style1505701814865" xfId="1537" xr:uid="{00000000-0005-0000-0000-000001060000}"/>
    <cellStyle name="style1505701814911" xfId="1538" xr:uid="{00000000-0005-0000-0000-000002060000}"/>
    <cellStyle name="style1505701814958" xfId="1539" xr:uid="{00000000-0005-0000-0000-000003060000}"/>
    <cellStyle name="style1505701815005" xfId="1540" xr:uid="{00000000-0005-0000-0000-000004060000}"/>
    <cellStyle name="style1505701815052" xfId="1541" xr:uid="{00000000-0005-0000-0000-000005060000}"/>
    <cellStyle name="style1505701815099" xfId="1542" xr:uid="{00000000-0005-0000-0000-000006060000}"/>
    <cellStyle name="style1505701816394" xfId="1543" xr:uid="{00000000-0005-0000-0000-000007060000}"/>
    <cellStyle name="style1505701816456" xfId="1544" xr:uid="{00000000-0005-0000-0000-000008060000}"/>
    <cellStyle name="style1505701816503" xfId="1545" xr:uid="{00000000-0005-0000-0000-000009060000}"/>
    <cellStyle name="style1505701816550" xfId="1546" xr:uid="{00000000-0005-0000-0000-00000A060000}"/>
    <cellStyle name="style1505701816612" xfId="1547" xr:uid="{00000000-0005-0000-0000-00000B060000}"/>
    <cellStyle name="style1505701816643" xfId="1548" xr:uid="{00000000-0005-0000-0000-00000C060000}"/>
    <cellStyle name="style1505701816690" xfId="1549" xr:uid="{00000000-0005-0000-0000-00000D060000}"/>
    <cellStyle name="style1505701816737" xfId="1550" xr:uid="{00000000-0005-0000-0000-00000E060000}"/>
    <cellStyle name="style1505701816784" xfId="1551" xr:uid="{00000000-0005-0000-0000-00000F060000}"/>
    <cellStyle name="style1505701816846" xfId="1552" xr:uid="{00000000-0005-0000-0000-000010060000}"/>
    <cellStyle name="style1505701816893" xfId="1553" xr:uid="{00000000-0005-0000-0000-000011060000}"/>
    <cellStyle name="style1505701817080" xfId="1554" xr:uid="{00000000-0005-0000-0000-000012060000}"/>
    <cellStyle name="style1505701817142" xfId="1555" xr:uid="{00000000-0005-0000-0000-000013060000}"/>
    <cellStyle name="style1505701817345" xfId="1556" xr:uid="{00000000-0005-0000-0000-000014060000}"/>
    <cellStyle name="style1505701817392" xfId="1557" xr:uid="{00000000-0005-0000-0000-000015060000}"/>
    <cellStyle name="style1505701817454" xfId="1558" xr:uid="{00000000-0005-0000-0000-000016060000}"/>
    <cellStyle name="style1505701817501" xfId="1559" xr:uid="{00000000-0005-0000-0000-000017060000}"/>
    <cellStyle name="style1505704376880" xfId="1560" xr:uid="{00000000-0005-0000-0000-000018060000}"/>
    <cellStyle name="style1505704376943" xfId="1561" xr:uid="{00000000-0005-0000-0000-000019060000}"/>
    <cellStyle name="style1505704376989" xfId="1562" xr:uid="{00000000-0005-0000-0000-00001A060000}"/>
    <cellStyle name="style1505704377052" xfId="1563" xr:uid="{00000000-0005-0000-0000-00001B060000}"/>
    <cellStyle name="style1505704377099" xfId="1564" xr:uid="{00000000-0005-0000-0000-00001C060000}"/>
    <cellStyle name="style1505704377177" xfId="1565" xr:uid="{00000000-0005-0000-0000-00001D060000}"/>
    <cellStyle name="style1505704377239" xfId="1566" xr:uid="{00000000-0005-0000-0000-00001E060000}"/>
    <cellStyle name="style1505704377301" xfId="1567" xr:uid="{00000000-0005-0000-0000-00001F060000}"/>
    <cellStyle name="style1505704377348" xfId="1568" xr:uid="{00000000-0005-0000-0000-000020060000}"/>
    <cellStyle name="style1505704377411" xfId="1569" xr:uid="{00000000-0005-0000-0000-000021060000}"/>
    <cellStyle name="style1505704377473" xfId="1570" xr:uid="{00000000-0005-0000-0000-000022060000}"/>
    <cellStyle name="style1505704377535" xfId="1571" xr:uid="{00000000-0005-0000-0000-000023060000}"/>
    <cellStyle name="style1505704377598" xfId="1572" xr:uid="{00000000-0005-0000-0000-000024060000}"/>
    <cellStyle name="style1505704377645" xfId="1573" xr:uid="{00000000-0005-0000-0000-000025060000}"/>
    <cellStyle name="style1505704377707" xfId="1574" xr:uid="{00000000-0005-0000-0000-000026060000}"/>
    <cellStyle name="style1505704377754" xfId="1575" xr:uid="{00000000-0005-0000-0000-000027060000}"/>
    <cellStyle name="style1505704377816" xfId="1577" xr:uid="{00000000-0005-0000-0000-000028060000}"/>
    <cellStyle name="style1505704377863" xfId="1576" xr:uid="{00000000-0005-0000-0000-000029060000}"/>
    <cellStyle name="style1505704377925" xfId="1578" xr:uid="{00000000-0005-0000-0000-00002A060000}"/>
    <cellStyle name="style1505704377988" xfId="1579" xr:uid="{00000000-0005-0000-0000-00002B060000}"/>
    <cellStyle name="style1505704378050" xfId="1580" xr:uid="{00000000-0005-0000-0000-00002C060000}"/>
    <cellStyle name="style1505704378191" xfId="1581" xr:uid="{00000000-0005-0000-0000-00002D060000}"/>
    <cellStyle name="style1505704378253" xfId="1582" xr:uid="{00000000-0005-0000-0000-00002E060000}"/>
    <cellStyle name="style1505704378315" xfId="1583" xr:uid="{00000000-0005-0000-0000-00002F060000}"/>
    <cellStyle name="style1505704378378" xfId="1584" xr:uid="{00000000-0005-0000-0000-000030060000}"/>
    <cellStyle name="style1505704378425" xfId="1585" xr:uid="{00000000-0005-0000-0000-000031060000}"/>
    <cellStyle name="style1505704378487" xfId="1586" xr:uid="{00000000-0005-0000-0000-000032060000}"/>
    <cellStyle name="style1505704378565" xfId="1587" xr:uid="{00000000-0005-0000-0000-000033060000}"/>
    <cellStyle name="style1505704378643" xfId="1588" xr:uid="{00000000-0005-0000-0000-000034060000}"/>
    <cellStyle name="style1505704378690" xfId="1589" xr:uid="{00000000-0005-0000-0000-000035060000}"/>
    <cellStyle name="style1505704378752" xfId="1590" xr:uid="{00000000-0005-0000-0000-000036060000}"/>
    <cellStyle name="style1505704378815" xfId="1591" xr:uid="{00000000-0005-0000-0000-000037060000}"/>
    <cellStyle name="style1505704378861" xfId="1592" xr:uid="{00000000-0005-0000-0000-000038060000}"/>
    <cellStyle name="style1505704379064" xfId="1593" xr:uid="{00000000-0005-0000-0000-000039060000}"/>
    <cellStyle name="style1505704379158" xfId="1594" xr:uid="{00000000-0005-0000-0000-00003A060000}"/>
    <cellStyle name="style1505704379220" xfId="1595" xr:uid="{00000000-0005-0000-0000-00003B060000}"/>
    <cellStyle name="style1505704379267" xfId="1596" xr:uid="{00000000-0005-0000-0000-00003C060000}"/>
    <cellStyle name="style1505704379329" xfId="1597" xr:uid="{00000000-0005-0000-0000-00003D060000}"/>
    <cellStyle name="style1505704379376" xfId="1598" xr:uid="{00000000-0005-0000-0000-00003E060000}"/>
    <cellStyle name="style1505704379423" xfId="1599" xr:uid="{00000000-0005-0000-0000-00003F060000}"/>
    <cellStyle name="style1505704379485" xfId="1600" xr:uid="{00000000-0005-0000-0000-000040060000}"/>
    <cellStyle name="style1505704379532" xfId="1601" xr:uid="{00000000-0005-0000-0000-000041060000}"/>
    <cellStyle name="style1505704379579" xfId="1602" xr:uid="{00000000-0005-0000-0000-000042060000}"/>
    <cellStyle name="style1505704379641" xfId="1603" xr:uid="{00000000-0005-0000-0000-000043060000}"/>
    <cellStyle name="style1505704379704" xfId="1604" xr:uid="{00000000-0005-0000-0000-000044060000}"/>
    <cellStyle name="style1505704379751" xfId="1605" xr:uid="{00000000-0005-0000-0000-000045060000}"/>
    <cellStyle name="style1505704379813" xfId="1606" xr:uid="{00000000-0005-0000-0000-000046060000}"/>
    <cellStyle name="style1505704379985" xfId="1607" xr:uid="{00000000-0005-0000-0000-000047060000}"/>
    <cellStyle name="style1505704380047" xfId="1608" xr:uid="{00000000-0005-0000-0000-000048060000}"/>
    <cellStyle name="style1505704380109" xfId="1609" xr:uid="{00000000-0005-0000-0000-000049060000}"/>
    <cellStyle name="style1505704380156" xfId="1610" xr:uid="{00000000-0005-0000-0000-00004A060000}"/>
    <cellStyle name="style1505704380219" xfId="1611" xr:uid="{00000000-0005-0000-0000-00004B060000}"/>
    <cellStyle name="style1505704380281" xfId="1612" xr:uid="{00000000-0005-0000-0000-00004C060000}"/>
    <cellStyle name="style1505704380328" xfId="1613" xr:uid="{00000000-0005-0000-0000-00004D060000}"/>
    <cellStyle name="style1505704380359" xfId="1614" xr:uid="{00000000-0005-0000-0000-00004E060000}"/>
    <cellStyle name="style1505704380406" xfId="1615" xr:uid="{00000000-0005-0000-0000-00004F060000}"/>
    <cellStyle name="style1505704380437" xfId="1616" xr:uid="{00000000-0005-0000-0000-000050060000}"/>
    <cellStyle name="style1505704380484" xfId="1617" xr:uid="{00000000-0005-0000-0000-000051060000}"/>
    <cellStyle name="style1505704380531" xfId="1618" xr:uid="{00000000-0005-0000-0000-000052060000}"/>
    <cellStyle name="style1505704380577" xfId="1619" xr:uid="{00000000-0005-0000-0000-000053060000}"/>
    <cellStyle name="style1505704380609" xfId="1620" xr:uid="{00000000-0005-0000-0000-000054060000}"/>
    <cellStyle name="style1505704380718" xfId="1621" xr:uid="{00000000-0005-0000-0000-000055060000}"/>
    <cellStyle name="style1505704380796" xfId="1622" xr:uid="{00000000-0005-0000-0000-000056060000}"/>
    <cellStyle name="style1505704380858" xfId="1623" xr:uid="{00000000-0005-0000-0000-000057060000}"/>
    <cellStyle name="style1505704380921" xfId="1624" xr:uid="{00000000-0005-0000-0000-000058060000}"/>
    <cellStyle name="style1505704380967" xfId="1625" xr:uid="{00000000-0005-0000-0000-000059060000}"/>
    <cellStyle name="style1505704381014" xfId="1626" xr:uid="{00000000-0005-0000-0000-00005A060000}"/>
    <cellStyle name="style1505704381077" xfId="1627" xr:uid="{00000000-0005-0000-0000-00005B060000}"/>
    <cellStyle name="style1520652712152" xfId="1629" xr:uid="{00000000-0005-0000-0000-00005C060000}"/>
    <cellStyle name="style1520652712245" xfId="1630" xr:uid="{00000000-0005-0000-0000-00005D060000}"/>
    <cellStyle name="style1520652712355" xfId="1628" xr:uid="{00000000-0005-0000-0000-00005E060000}"/>
    <cellStyle name="style1520652712495" xfId="1631" xr:uid="{00000000-0005-0000-0000-00005F060000}"/>
    <cellStyle name="style1520652712589" xfId="1632" xr:uid="{00000000-0005-0000-0000-000060060000}"/>
    <cellStyle name="style1520652712682" xfId="1636" xr:uid="{00000000-0005-0000-0000-000061060000}"/>
    <cellStyle name="style1520652712760" xfId="1637" xr:uid="{00000000-0005-0000-0000-000062060000}"/>
    <cellStyle name="style1520652712838" xfId="1641" xr:uid="{00000000-0005-0000-0000-000063060000}"/>
    <cellStyle name="style1520652712916" xfId="1642" xr:uid="{00000000-0005-0000-0000-000064060000}"/>
    <cellStyle name="style1520652712994" xfId="1633" xr:uid="{00000000-0005-0000-0000-000065060000}"/>
    <cellStyle name="style1520652713072" xfId="1634" xr:uid="{00000000-0005-0000-0000-000066060000}"/>
    <cellStyle name="style1520652713166" xfId="1635" xr:uid="{00000000-0005-0000-0000-000067060000}"/>
    <cellStyle name="style1520652713259" xfId="1638" xr:uid="{00000000-0005-0000-0000-000068060000}"/>
    <cellStyle name="style1520652713353" xfId="1639" xr:uid="{00000000-0005-0000-0000-000069060000}"/>
    <cellStyle name="style1520652713447" xfId="1640" xr:uid="{00000000-0005-0000-0000-00006A060000}"/>
    <cellStyle name="style1520652713540" xfId="1643" xr:uid="{00000000-0005-0000-0000-00006B060000}"/>
    <cellStyle name="style1520652713603" xfId="1644" xr:uid="{00000000-0005-0000-0000-00006C060000}"/>
    <cellStyle name="style1520652713696" xfId="1645" xr:uid="{00000000-0005-0000-0000-00006D060000}"/>
    <cellStyle name="style1520652713805" xfId="1646" xr:uid="{00000000-0005-0000-0000-00006E060000}"/>
    <cellStyle name="style1520652713883" xfId="1651" xr:uid="{00000000-0005-0000-0000-00006F060000}"/>
    <cellStyle name="style1520652713961" xfId="1647" xr:uid="{00000000-0005-0000-0000-000070060000}"/>
    <cellStyle name="style1520652714024" xfId="1652" xr:uid="{00000000-0005-0000-0000-000071060000}"/>
    <cellStyle name="style1520652714180" xfId="1656" xr:uid="{00000000-0005-0000-0000-000072060000}"/>
    <cellStyle name="style1520652714289" xfId="1657" xr:uid="{00000000-0005-0000-0000-000073060000}"/>
    <cellStyle name="style1520652714383" xfId="1648" xr:uid="{00000000-0005-0000-0000-000074060000}"/>
    <cellStyle name="style1520652714445" xfId="1649" xr:uid="{00000000-0005-0000-0000-000075060000}"/>
    <cellStyle name="style1520652714523" xfId="1650" xr:uid="{00000000-0005-0000-0000-000076060000}"/>
    <cellStyle name="style1520652714601" xfId="1653" xr:uid="{00000000-0005-0000-0000-000077060000}"/>
    <cellStyle name="style1520652714663" xfId="1654" xr:uid="{00000000-0005-0000-0000-000078060000}"/>
    <cellStyle name="style1520652714741" xfId="1655" xr:uid="{00000000-0005-0000-0000-000079060000}"/>
    <cellStyle name="style1520652714897" xfId="1658" xr:uid="{00000000-0005-0000-0000-00007A060000}"/>
    <cellStyle name="style1520652714991" xfId="1659" xr:uid="{00000000-0005-0000-0000-00007B060000}"/>
    <cellStyle name="style1520652715085" xfId="1660" xr:uid="{00000000-0005-0000-0000-00007C060000}"/>
    <cellStyle name="style1520652715178" xfId="1661" xr:uid="{00000000-0005-0000-0000-00007D060000}"/>
    <cellStyle name="style1520652715241" xfId="1662" xr:uid="{00000000-0005-0000-0000-00007E060000}"/>
    <cellStyle name="style1520652715350" xfId="1663" xr:uid="{00000000-0005-0000-0000-00007F060000}"/>
    <cellStyle name="style1520652715428" xfId="1664" xr:uid="{00000000-0005-0000-0000-000080060000}"/>
    <cellStyle name="style1520652715506" xfId="1665" xr:uid="{00000000-0005-0000-0000-000081060000}"/>
    <cellStyle name="style1520652715584" xfId="1667" xr:uid="{00000000-0005-0000-0000-000082060000}"/>
    <cellStyle name="style1520652715662" xfId="1669" xr:uid="{00000000-0005-0000-0000-000083060000}"/>
    <cellStyle name="style1520652715755" xfId="1666" xr:uid="{00000000-0005-0000-0000-000084060000}"/>
    <cellStyle name="style1520652715818" xfId="1668" xr:uid="{00000000-0005-0000-0000-000085060000}"/>
    <cellStyle name="style1520652715896" xfId="1670" xr:uid="{00000000-0005-0000-0000-000086060000}"/>
    <cellStyle name="style1520652716005" xfId="1671" xr:uid="{00000000-0005-0000-0000-000087060000}"/>
    <cellStyle name="style1520652716067" xfId="1672" xr:uid="{00000000-0005-0000-0000-000088060000}"/>
    <cellStyle name="style1520652716145" xfId="1673" xr:uid="{00000000-0005-0000-0000-000089060000}"/>
    <cellStyle name="style1520652716223" xfId="1674" xr:uid="{00000000-0005-0000-0000-00008A060000}"/>
    <cellStyle name="style1520652716270" xfId="1676" xr:uid="{00000000-0005-0000-0000-00008B060000}"/>
    <cellStyle name="style1520652716317" xfId="1678" xr:uid="{00000000-0005-0000-0000-00008C060000}"/>
    <cellStyle name="style1520652716411" xfId="1675" xr:uid="{00000000-0005-0000-0000-00008D060000}"/>
    <cellStyle name="style1520652716489" xfId="1677" xr:uid="{00000000-0005-0000-0000-00008E060000}"/>
    <cellStyle name="style1520652716567" xfId="1679" xr:uid="{00000000-0005-0000-0000-00008F060000}"/>
    <cellStyle name="style1520652717674" xfId="1680" xr:uid="{00000000-0005-0000-0000-000090060000}"/>
    <cellStyle name="style1520652717752" xfId="1681" xr:uid="{00000000-0005-0000-0000-000091060000}"/>
    <cellStyle name="style1520652717846" xfId="1682" xr:uid="{00000000-0005-0000-0000-000092060000}"/>
    <cellStyle name="style1520652717908" xfId="1683" xr:uid="{00000000-0005-0000-0000-000093060000}"/>
    <cellStyle name="style1520652717955" xfId="1684" xr:uid="{00000000-0005-0000-0000-000094060000}"/>
    <cellStyle name="style1520652718033" xfId="1685" xr:uid="{00000000-0005-0000-0000-000095060000}"/>
    <cellStyle name="style1520652718111" xfId="1686" xr:uid="{00000000-0005-0000-0000-000096060000}"/>
    <cellStyle name="style1520652718173" xfId="1687" xr:uid="{00000000-0005-0000-0000-000097060000}"/>
    <cellStyle name="style1520652718626" xfId="1688" xr:uid="{00000000-0005-0000-0000-000098060000}"/>
    <cellStyle name="style1520652718735" xfId="1689" xr:uid="{00000000-0005-0000-0000-000099060000}"/>
    <cellStyle name="style1520652718797" xfId="1690" xr:uid="{00000000-0005-0000-0000-00009A060000}"/>
    <cellStyle name="style1520652718844" xfId="1691" xr:uid="{00000000-0005-0000-0000-00009B060000}"/>
    <cellStyle name="style1520652718922" xfId="1692" xr:uid="{00000000-0005-0000-0000-00009C060000}"/>
    <cellStyle name="style1520652718985" xfId="1693" xr:uid="{00000000-0005-0000-0000-00009D060000}"/>
    <cellStyle name="style1520652719031" xfId="1694" xr:uid="{00000000-0005-0000-0000-00009E060000}"/>
    <cellStyle name="style1520652719094" xfId="1695" xr:uid="{00000000-0005-0000-0000-00009F060000}"/>
    <cellStyle name="style1520652719172" xfId="1696" xr:uid="{00000000-0005-0000-0000-0000A0060000}"/>
    <cellStyle name="style1520652719281" xfId="1697" xr:uid="{00000000-0005-0000-0000-0000A1060000}"/>
    <cellStyle name="style1520652719328" xfId="1698" xr:uid="{00000000-0005-0000-0000-0000A2060000}"/>
    <cellStyle name="style1520652721325" xfId="1699" xr:uid="{00000000-0005-0000-0000-0000A3060000}"/>
    <cellStyle name="style1520652721371" xfId="1700" xr:uid="{00000000-0005-0000-0000-0000A4060000}"/>
    <cellStyle name="style1520652721481" xfId="1701" xr:uid="{00000000-0005-0000-0000-0000A5060000}"/>
    <cellStyle name="style1520652794364" xfId="1703" xr:uid="{00000000-0005-0000-0000-0000A6060000}"/>
    <cellStyle name="style1520652794473" xfId="1704" xr:uid="{00000000-0005-0000-0000-0000A7060000}"/>
    <cellStyle name="style1520652794535" xfId="1702" xr:uid="{00000000-0005-0000-0000-0000A8060000}"/>
    <cellStyle name="style1520652794598" xfId="1705" xr:uid="{00000000-0005-0000-0000-0000A9060000}"/>
    <cellStyle name="style1520652794691" xfId="1706" xr:uid="{00000000-0005-0000-0000-0000AA060000}"/>
    <cellStyle name="style1520652794801" xfId="1707" xr:uid="{00000000-0005-0000-0000-0000AB060000}"/>
    <cellStyle name="style1520652794847" xfId="1708" xr:uid="{00000000-0005-0000-0000-0000AC060000}"/>
    <cellStyle name="style1520652794910" xfId="1709" xr:uid="{00000000-0005-0000-0000-0000AD060000}"/>
    <cellStyle name="style1520652794972" xfId="1713" xr:uid="{00000000-0005-0000-0000-0000AE060000}"/>
    <cellStyle name="style1520652795035" xfId="1717" xr:uid="{00000000-0005-0000-0000-0000AF060000}"/>
    <cellStyle name="style1520652795097" xfId="1710" xr:uid="{00000000-0005-0000-0000-0000B0060000}"/>
    <cellStyle name="style1520652795144" xfId="1714" xr:uid="{00000000-0005-0000-0000-0000B1060000}"/>
    <cellStyle name="style1520652795206" xfId="1711" xr:uid="{00000000-0005-0000-0000-0000B2060000}"/>
    <cellStyle name="style1520652795269" xfId="1715" xr:uid="{00000000-0005-0000-0000-0000B3060000}"/>
    <cellStyle name="style1520652795347" xfId="1718" xr:uid="{00000000-0005-0000-0000-0000B4060000}"/>
    <cellStyle name="style1520652795409" xfId="1719" xr:uid="{00000000-0005-0000-0000-0000B5060000}"/>
    <cellStyle name="style1520652795456" xfId="1712" xr:uid="{00000000-0005-0000-0000-0000B6060000}"/>
    <cellStyle name="style1520652795518" xfId="1716" xr:uid="{00000000-0005-0000-0000-0000B7060000}"/>
    <cellStyle name="style1520652795565" xfId="1720" xr:uid="{00000000-0005-0000-0000-0000B8060000}"/>
    <cellStyle name="style1520652795643" xfId="1721" xr:uid="{00000000-0005-0000-0000-0000B9060000}"/>
    <cellStyle name="style1520652795705" xfId="1722" xr:uid="{00000000-0005-0000-0000-0000BA060000}"/>
    <cellStyle name="style1520652795768" xfId="1723" xr:uid="{00000000-0005-0000-0000-0000BB060000}"/>
    <cellStyle name="style1520652795830" xfId="1724" xr:uid="{00000000-0005-0000-0000-0000BC060000}"/>
    <cellStyle name="style1520652795893" xfId="1725" xr:uid="{00000000-0005-0000-0000-0000BD060000}"/>
    <cellStyle name="style1520652795955" xfId="1726" xr:uid="{00000000-0005-0000-0000-0000BE060000}"/>
    <cellStyle name="style1520652796002" xfId="1727" xr:uid="{00000000-0005-0000-0000-0000BF060000}"/>
    <cellStyle name="style1520652796064" xfId="1728" xr:uid="{00000000-0005-0000-0000-0000C0060000}"/>
    <cellStyle name="style1520652796127" xfId="1729" xr:uid="{00000000-0005-0000-0000-0000C1060000}"/>
    <cellStyle name="style1520652796189" xfId="1730" xr:uid="{00000000-0005-0000-0000-0000C2060000}"/>
    <cellStyle name="style1520652796236" xfId="1731" xr:uid="{00000000-0005-0000-0000-0000C3060000}"/>
    <cellStyle name="style1520652796298" xfId="1732" xr:uid="{00000000-0005-0000-0000-0000C4060000}"/>
    <cellStyle name="style1520652796392" xfId="1733" xr:uid="{00000000-0005-0000-0000-0000C5060000}"/>
    <cellStyle name="style1520652796439" xfId="1734" xr:uid="{00000000-0005-0000-0000-0000C6060000}"/>
    <cellStyle name="style1520652796485" xfId="1735" xr:uid="{00000000-0005-0000-0000-0000C7060000}"/>
    <cellStyle name="style1520652796517" xfId="1739" xr:uid="{00000000-0005-0000-0000-0000C8060000}"/>
    <cellStyle name="style1520652796579" xfId="1740" xr:uid="{00000000-0005-0000-0000-0000C9060000}"/>
    <cellStyle name="style1520652796626" xfId="1741" xr:uid="{00000000-0005-0000-0000-0000CA060000}"/>
    <cellStyle name="style1520652796688" xfId="1736" xr:uid="{00000000-0005-0000-0000-0000CB060000}"/>
    <cellStyle name="style1520652796751" xfId="1737" xr:uid="{00000000-0005-0000-0000-0000CC060000}"/>
    <cellStyle name="style1520652796797" xfId="1738" xr:uid="{00000000-0005-0000-0000-0000CD060000}"/>
    <cellStyle name="style1520652796860" xfId="1742" xr:uid="{00000000-0005-0000-0000-0000CE060000}"/>
    <cellStyle name="style1520652796922" xfId="1743" xr:uid="{00000000-0005-0000-0000-0000CF060000}"/>
    <cellStyle name="style1520652796985" xfId="1744" xr:uid="{00000000-0005-0000-0000-0000D0060000}"/>
    <cellStyle name="style1520652797047" xfId="1745" xr:uid="{00000000-0005-0000-0000-0000D1060000}"/>
    <cellStyle name="style1520652797109" xfId="1746" xr:uid="{00000000-0005-0000-0000-0000D2060000}"/>
    <cellStyle name="style1520652797156" xfId="1747" xr:uid="{00000000-0005-0000-0000-0000D3060000}"/>
    <cellStyle name="style1520652797219" xfId="1748" xr:uid="{00000000-0005-0000-0000-0000D4060000}"/>
    <cellStyle name="style1520652797250" xfId="1749" xr:uid="{00000000-0005-0000-0000-0000D5060000}"/>
    <cellStyle name="style1520652797312" xfId="1750" xr:uid="{00000000-0005-0000-0000-0000D6060000}"/>
    <cellStyle name="style1520652797375" xfId="1751" xr:uid="{00000000-0005-0000-0000-0000D7060000}"/>
    <cellStyle name="style1520652797421" xfId="1762" xr:uid="{00000000-0005-0000-0000-0000D8060000}"/>
    <cellStyle name="style1520652797499" xfId="1752" xr:uid="{00000000-0005-0000-0000-0000D9060000}"/>
    <cellStyle name="style1520652797546" xfId="1753" xr:uid="{00000000-0005-0000-0000-0000DA060000}"/>
    <cellStyle name="style1520652797577" xfId="1754" xr:uid="{00000000-0005-0000-0000-0000DB060000}"/>
    <cellStyle name="style1520652797624" xfId="1755" xr:uid="{00000000-0005-0000-0000-0000DC060000}"/>
    <cellStyle name="style1520652797671" xfId="1756" xr:uid="{00000000-0005-0000-0000-0000DD060000}"/>
    <cellStyle name="style1520652797702" xfId="1757" xr:uid="{00000000-0005-0000-0000-0000DE060000}"/>
    <cellStyle name="style1520652797749" xfId="1758" xr:uid="{00000000-0005-0000-0000-0000DF060000}"/>
    <cellStyle name="style1520652797796" xfId="1759" xr:uid="{00000000-0005-0000-0000-0000E0060000}"/>
    <cellStyle name="style1520652797843" xfId="1760" xr:uid="{00000000-0005-0000-0000-0000E1060000}"/>
    <cellStyle name="style1520652797889" xfId="1761" xr:uid="{00000000-0005-0000-0000-0000E2060000}"/>
    <cellStyle name="style1520652797952" xfId="1763" xr:uid="{00000000-0005-0000-0000-0000E3060000}"/>
    <cellStyle name="style1520652798030" xfId="1764" xr:uid="{00000000-0005-0000-0000-0000E4060000}"/>
    <cellStyle name="style1520652798092" xfId="1765" xr:uid="{00000000-0005-0000-0000-0000E5060000}"/>
    <cellStyle name="style1662938997923" xfId="1767" xr:uid="{9862485E-BAA1-4AA9-803C-B0301C1D69E3}"/>
    <cellStyle name="style1662938997969" xfId="1768" xr:uid="{86FE89EE-3683-41FF-8BC6-BBCBC8AD5B24}"/>
    <cellStyle name="style1662938998018" xfId="1766" xr:uid="{287CFB3D-1170-4D88-9E06-72A2267DD5F4}"/>
    <cellStyle name="style1662938998064" xfId="1769" xr:uid="{A96FE270-60C6-4C21-A249-F47D24182360}"/>
    <cellStyle name="style1662938998094" xfId="1770" xr:uid="{5EF1CDDA-2E21-4F64-9227-F26724FC566D}"/>
    <cellStyle name="style1662938998126" xfId="1774" xr:uid="{0F473965-5F97-4CFC-B3DB-8ABA08DB400A}"/>
    <cellStyle name="style1662938998171" xfId="1775" xr:uid="{293212C6-8FEC-4FD7-98A8-C0BAC9F6E00D}"/>
    <cellStyle name="style1662938998218" xfId="1779" xr:uid="{08AA7296-8F8E-453C-A1D9-BA4A0CECBE46}"/>
    <cellStyle name="style1662938998265" xfId="1780" xr:uid="{7EF44683-7C7F-4349-91FA-EF0FDE3A8E18}"/>
    <cellStyle name="style1662938998304" xfId="1771" xr:uid="{0E525FFB-B9AD-466D-80A6-7188AA6E22EA}"/>
    <cellStyle name="style1662938998343" xfId="1772" xr:uid="{EA0ACA7C-D93B-4130-B021-52FE439F4CD7}"/>
    <cellStyle name="style1662938998381" xfId="1773" xr:uid="{23C3DE75-A6D8-4C6E-A89E-4B9B5F64919B}"/>
    <cellStyle name="style1662938998418" xfId="1776" xr:uid="{52B6EC8D-251C-40CE-8039-3CB6DF386196}"/>
    <cellStyle name="style1662938998458" xfId="1777" xr:uid="{7A6537FA-0B03-4256-82D8-F98A3549A501}"/>
    <cellStyle name="style1662938998498" xfId="1778" xr:uid="{B67F7AB4-94E1-48DE-8F1F-EF0605CC3512}"/>
    <cellStyle name="style1662938998549" xfId="1781" xr:uid="{EF2A6BAF-FF92-4911-A100-5F2BA558CD29}"/>
    <cellStyle name="style1662938998601" xfId="1782" xr:uid="{E621EC23-3ACB-4F00-850D-A404BE272E03}"/>
    <cellStyle name="style1662938998642" xfId="1783" xr:uid="{D18640D3-4EAF-4394-A45B-D72584E3B53C}"/>
    <cellStyle name="style1662938998684" xfId="1784" xr:uid="{BA5B5934-8335-4E01-B4C8-5442747FC0A6}"/>
    <cellStyle name="style1662938998738" xfId="1789" xr:uid="{2898D9B2-DF7F-4E2E-BC7C-EA3BBFDB8690}"/>
    <cellStyle name="style1662938998780" xfId="1785" xr:uid="{3D2A7F2B-BADB-4302-BAAA-AECB449AA543}"/>
    <cellStyle name="style1662938998828" xfId="1790" xr:uid="{85C4C5A6-24BD-4619-932C-C24811966A83}"/>
    <cellStyle name="style1662938998917" xfId="1794" xr:uid="{3124ED88-DE12-45A3-B589-7F38F738BC65}"/>
    <cellStyle name="style1662938998967" xfId="1795" xr:uid="{CE682B60-E58F-4001-B21D-3E82D3187E85}"/>
    <cellStyle name="style1662938999022" xfId="1786" xr:uid="{A9411589-B088-4C87-A6C1-7E8F8E6B0195}"/>
    <cellStyle name="style1662938999072" xfId="1787" xr:uid="{24B43879-174B-4231-AD41-47FCF4C3C9BF}"/>
    <cellStyle name="style1662938999107" xfId="1788" xr:uid="{AB24042B-F77F-4EFA-9D2F-E7EBCA108801}"/>
    <cellStyle name="style1662938999142" xfId="1791" xr:uid="{BDB7A37A-05EE-4394-A436-BFAAD3C50722}"/>
    <cellStyle name="style1662938999178" xfId="1792" xr:uid="{9F880E98-85DB-4EB4-8087-E3C42080BB4B}"/>
    <cellStyle name="style1662938999217" xfId="1793" xr:uid="{9387D2DB-5F1B-4BE8-BBAA-823F75B73165}"/>
    <cellStyle name="style1662938999287" xfId="1796" xr:uid="{71C3D782-1E55-48A4-B682-56551A78B14F}"/>
    <cellStyle name="style1662938999340" xfId="1797" xr:uid="{912D7DCA-1770-4AFE-9697-4E8EAA54FFDF}"/>
    <cellStyle name="style1662938999386" xfId="1798" xr:uid="{3021F248-3712-4AC6-854D-15AD96A8EEDB}"/>
    <cellStyle name="style1662938999437" xfId="1799" xr:uid="{7F358F64-1A01-4166-A7EF-8FD719E1CE41}"/>
    <cellStyle name="style1662938999473" xfId="1800" xr:uid="{E531393F-55F0-48AF-B465-DA4F96287CBB}"/>
    <cellStyle name="style1662938999514" xfId="1801" xr:uid="{112DB9CF-21B7-4F72-AF57-2A7AF64DC72E}"/>
    <cellStyle name="style1662938999553" xfId="1802" xr:uid="{4A716432-A981-44BF-94D3-DF34D8948B56}"/>
    <cellStyle name="style1662938999589" xfId="1803" xr:uid="{0C1C2EA8-4F79-4C9F-AF08-47A6999C5173}"/>
    <cellStyle name="style1662938999625" xfId="1805" xr:uid="{F58C5231-F1A5-426D-AAEF-B6515A0EE0B0}"/>
    <cellStyle name="style1662938999661" xfId="1807" xr:uid="{F14C02DD-51FA-4E6D-B4B3-19318F553968}"/>
    <cellStyle name="style1662938999697" xfId="1804" xr:uid="{0B35E3B3-92A0-4732-90F5-FA5D78B29BB4}"/>
    <cellStyle name="style1662938999732" xfId="1806" xr:uid="{C2620C05-96A1-427E-B910-DA0537C699DC}"/>
    <cellStyle name="style1662938999767" xfId="1808" xr:uid="{EB38EE0D-3D5C-4C83-9FC6-4C141F1A3DF5}"/>
    <cellStyle name="style1662938999818" xfId="1809" xr:uid="{FFE3C42A-21F2-4C8F-A167-649349E125FD}"/>
    <cellStyle name="style1662938999864" xfId="1810" xr:uid="{F5DBE994-337B-42BF-8D6C-7DC5B7981BC6}"/>
    <cellStyle name="style1662938999910" xfId="1811" xr:uid="{B5D08A64-7597-4BFD-B351-5E8B57C0529A}"/>
    <cellStyle name="style1662938999962" xfId="1812" xr:uid="{13295B51-96D1-4B9A-A740-306DBF596CDF}"/>
    <cellStyle name="style1662938999987" xfId="1814" xr:uid="{7BFD4F19-9C1C-494A-A59B-FF60C86F824F}"/>
    <cellStyle name="style1662939000019" xfId="1816" xr:uid="{414FF9F5-3A9F-4C4B-9570-C15EEF732FEA}"/>
    <cellStyle name="style1662939000056" xfId="1813" xr:uid="{8A92D0F3-15D5-430B-91F8-3257AB41A53F}"/>
    <cellStyle name="style1662939000091" xfId="1815" xr:uid="{0F6D6A89-DCCA-4AE4-BEF6-618FBD8F51C6}"/>
    <cellStyle name="style1662939000123" xfId="1817" xr:uid="{FF72DB4C-0212-47E2-8A24-2EDA4D8F0E3D}"/>
    <cellStyle name="style1662939000687" xfId="1818" xr:uid="{F1634DE9-0C4A-487D-ACD4-C9443276366F}"/>
    <cellStyle name="style1662939000722" xfId="1819" xr:uid="{48D27E22-90A5-447C-91FA-200C0656CAE3}"/>
    <cellStyle name="style1662939000763" xfId="1820" xr:uid="{96ABD134-AB93-43C3-9148-85F745F105D8}"/>
    <cellStyle name="style1662939000786" xfId="1821" xr:uid="{2292D089-67A3-4FDF-889C-25D260A91648}"/>
    <cellStyle name="style1662939000810" xfId="1822" xr:uid="{7CA5CAE0-6F69-454D-8057-5E04E1BECBAF}"/>
    <cellStyle name="style1662939000834" xfId="1823" xr:uid="{EFBB8924-08D7-4C20-B1FA-1135ACB57631}"/>
    <cellStyle name="style1662939000862" xfId="1824" xr:uid="{9D79D47A-A605-407B-BE3D-99F873574D07}"/>
    <cellStyle name="style1662939000885" xfId="1825" xr:uid="{02C2841C-1D1F-4EB1-857A-1B906D438DCA}"/>
    <cellStyle name="style1662939001114" xfId="1826" xr:uid="{2135CE16-EED1-452C-9EDF-72E213773046}"/>
    <cellStyle name="style1662939001168" xfId="1827" xr:uid="{DEB5088D-EBC5-495B-9634-F8C718B92898}"/>
    <cellStyle name="style1662939001199" xfId="1828" xr:uid="{A35B4CC5-1D7E-4028-9D14-772123C8AE01}"/>
    <cellStyle name="style1662939001228" xfId="1829" xr:uid="{30BABE62-649E-4E3D-A0B7-308DB382E9A7}"/>
    <cellStyle name="style1662939001261" xfId="1830" xr:uid="{0C2D9D18-2ABB-47F4-B430-4B7C21465868}"/>
    <cellStyle name="style1662939001286" xfId="1831" xr:uid="{B1192647-D113-4CF4-A775-2C0BEE6FA612}"/>
    <cellStyle name="style1662939001311" xfId="1832" xr:uid="{457F70E2-0598-4725-AFF3-404875BE72BE}"/>
    <cellStyle name="style1662939001340" xfId="1833" xr:uid="{137D2171-9DE1-49F3-9A84-C8015EDBD522}"/>
    <cellStyle name="style1662939001367" xfId="1834" xr:uid="{21A2FAC8-943B-492B-82E1-9BF52781CCDA}"/>
    <cellStyle name="style1662939001418" xfId="1835" xr:uid="{7491A907-DFE1-4D0C-920C-90E0D28C73FF}"/>
    <cellStyle name="style1662939002637" xfId="1836" xr:uid="{9D62776E-7070-4762-887E-5EC38BCCCEBC}"/>
    <cellStyle name="style1662939002661" xfId="1837" xr:uid="{01C25809-42AA-4962-9CC2-D8BC57D190FE}"/>
    <cellStyle name="style1662939002697" xfId="1838" xr:uid="{8356B6E7-879F-4D07-8F4D-85781203A7E4}"/>
    <cellStyle name="style1662939056342" xfId="1840" xr:uid="{B776AB3F-E8D4-47BA-917D-F0DB5DCC783D}"/>
    <cellStyle name="style1662939056415" xfId="1841" xr:uid="{C7DB354F-FA46-4E34-9739-555455A18D68}"/>
    <cellStyle name="style1662939056475" xfId="1839" xr:uid="{2F66B280-3EC2-43F3-95B6-F93550996E15}"/>
    <cellStyle name="style1662939056512" xfId="1842" xr:uid="{82EA740A-F0E6-4336-8A35-D9022371552B}"/>
    <cellStyle name="style1662939056550" xfId="1843" xr:uid="{22A58DBE-2912-4A12-A41D-562C9632A0AA}"/>
    <cellStyle name="style1662939056587" xfId="1844" xr:uid="{7AD9A1D8-ABBE-41D7-B3E5-41A8372B8A16}"/>
    <cellStyle name="style1662939056624" xfId="1845" xr:uid="{C0147688-4247-4C6F-A1AC-D4DF94E8F568}"/>
    <cellStyle name="style1662939056657" xfId="1846" xr:uid="{C44F866E-2C6E-46E9-88A5-68C86E2CEEAA}"/>
    <cellStyle name="style1662939056696" xfId="1850" xr:uid="{F2075019-FAB0-489A-B3B8-9FAF84D63EAF}"/>
    <cellStyle name="style1662939056730" xfId="1854" xr:uid="{21A3CFBE-9273-4603-BE63-D06ED57F3467}"/>
    <cellStyle name="style1662939056763" xfId="1847" xr:uid="{FB330DEE-6324-4AE4-AB1C-19C23B493559}"/>
    <cellStyle name="style1662939056798" xfId="1851" xr:uid="{6C4DE5A6-709F-4BD4-B8F4-C918C6C2012C}"/>
    <cellStyle name="style1662939056838" xfId="1848" xr:uid="{B87FA4BD-F327-4F57-A4ED-87D4C097F411}"/>
    <cellStyle name="style1662939056871" xfId="1852" xr:uid="{679ECE5D-05C8-4D1F-BB37-BE7EFB51DFF6}"/>
    <cellStyle name="style1662939056907" xfId="1855" xr:uid="{6B9EB7AB-B799-465E-8223-88A9D04C60D8}"/>
    <cellStyle name="style1662939056942" xfId="1856" xr:uid="{F41D181E-239F-4F86-AAFB-7D1C9AB143A5}"/>
    <cellStyle name="style1662939056977" xfId="1849" xr:uid="{CDAE8A36-43E7-45D1-A374-F70FE518527C}"/>
    <cellStyle name="style1662939057020" xfId="1853" xr:uid="{82A42076-A2B8-4FE0-BA28-DE0227392EF8}"/>
    <cellStyle name="style1662939057057" xfId="1857" xr:uid="{00AA4BF8-C911-4333-A50D-791A5165E09E}"/>
    <cellStyle name="style1662939057106" xfId="1858" xr:uid="{B08720A8-69AD-4D10-890C-1EB6B29AE0AB}"/>
    <cellStyle name="style1662939057140" xfId="1859" xr:uid="{36BFAAB1-DFBF-4A22-84D6-D2C3F84C9644}"/>
    <cellStyle name="style1662939057175" xfId="1860" xr:uid="{E7EDFCDF-ACF0-4359-948E-D5B7D8E9ECA4}"/>
    <cellStyle name="style1662939057211" xfId="1861" xr:uid="{F3CEB204-2EF1-4214-AAEB-19A1A4B0204A}"/>
    <cellStyle name="style1662939057246" xfId="1862" xr:uid="{4BE5D34F-1FC0-4EC9-80CC-62B7686CFBDD}"/>
    <cellStyle name="style1662939057280" xfId="1863" xr:uid="{0B1E7DB8-709E-4B74-9C09-7D647DCD6D19}"/>
    <cellStyle name="style1662939057313" xfId="1864" xr:uid="{4FDBF93D-2102-4D14-A2B8-E3F835724EE8}"/>
    <cellStyle name="style1662939057351" xfId="1865" xr:uid="{CD3BD0C2-88BC-4A48-9798-9D3E7B6DF18A}"/>
    <cellStyle name="style1662939057388" xfId="1866" xr:uid="{4DCB2C80-CC04-4BE7-BD82-0139BD91B756}"/>
    <cellStyle name="style1662939057424" xfId="1867" xr:uid="{8FBE006B-FA69-4395-A31A-D26A92B9AB79}"/>
    <cellStyle name="style1662939057458" xfId="1868" xr:uid="{37A9FA92-2E4F-4DD6-A90B-FB5D236D73CE}"/>
    <cellStyle name="style1662939057494" xfId="1869" xr:uid="{5F61C4DF-F562-4878-A234-5D2320767F10}"/>
    <cellStyle name="style1662939057541" xfId="1870" xr:uid="{DE6A72A4-A924-4F24-A3A9-771D0CE46B40}"/>
    <cellStyle name="style1662939057565" xfId="1871" xr:uid="{096C8E72-3264-4173-B13F-00EE22B9B6E0}"/>
    <cellStyle name="style1662939057589" xfId="1872" xr:uid="{7E9973A8-86DD-420B-942E-63170B6F4C8B}"/>
    <cellStyle name="style1662939057613" xfId="1876" xr:uid="{28D3081B-691F-4D30-970C-595D59EAD66D}"/>
    <cellStyle name="style1662939057646" xfId="1877" xr:uid="{62126985-F769-42F4-A836-808727B9C439}"/>
    <cellStyle name="style1662939057683" xfId="1878" xr:uid="{67F4EF12-6BBD-4097-AABD-D9E6D092C763}"/>
    <cellStyle name="style1662939057720" xfId="1873" xr:uid="{87270682-9D47-415E-8B3F-D98C3CA78CD3}"/>
    <cellStyle name="style1662939057755" xfId="1874" xr:uid="{7FF40923-604E-44C8-A75E-71E0AF92AD70}"/>
    <cellStyle name="style1662939057795" xfId="1875" xr:uid="{F5A5BAC2-C5D4-4150-9BC7-AD0847AB04EB}"/>
    <cellStyle name="style1662939057828" xfId="1879" xr:uid="{D9D38CE9-8C81-41DB-86DF-5BBBA5C4072C}"/>
    <cellStyle name="style1662939057861" xfId="1880" xr:uid="{DACDACFB-895E-45C7-B865-9011AA49AA30}"/>
    <cellStyle name="style1662939057895" xfId="1881" xr:uid="{FC6FA99A-D141-4FBC-81E9-B23C5EE63482}"/>
    <cellStyle name="style1662939057949" xfId="1882" xr:uid="{EC5BB25D-91A9-4F15-B405-F7279C3EC364}"/>
    <cellStyle name="style1662939057984" xfId="1883" xr:uid="{E06C4299-4CCF-44CB-BDC2-9064384C5004}"/>
    <cellStyle name="style1662939058007" xfId="1884" xr:uid="{56836CCD-DE17-44C0-8F48-2DA5327836AE}"/>
    <cellStyle name="style1662939058041" xfId="1885" xr:uid="{E2A5B593-E972-4A5D-90D2-977D640B1BBC}"/>
    <cellStyle name="style1662939058074" xfId="1886" xr:uid="{B85B7F04-E513-4303-96D7-18E452473396}"/>
    <cellStyle name="style1662939058107" xfId="1897" xr:uid="{53A1B64A-9227-40D6-B8BA-D2D578530B1A}"/>
    <cellStyle name="style1662939058145" xfId="1887" xr:uid="{9E4EDE8A-DCB0-425E-8CBF-0F9C176828F5}"/>
    <cellStyle name="style1662939058172" xfId="1888" xr:uid="{34F29A15-7CD0-4D35-9C8E-F16A8DCA5A65}"/>
    <cellStyle name="style1662939058196" xfId="1889" xr:uid="{80BD175F-A3D2-4BAE-82AB-480FF974FA55}"/>
    <cellStyle name="style1662939058221" xfId="1890" xr:uid="{968C8557-C8C4-4EE9-9A04-095C3FA0F7D7}"/>
    <cellStyle name="style1662939058245" xfId="1891" xr:uid="{89A02361-9651-482A-8946-BCBAA26CEFDE}"/>
    <cellStyle name="style1662939058268" xfId="1892" xr:uid="{AA006185-734D-45D5-B328-40D50272AC9C}"/>
    <cellStyle name="style1662939058292" xfId="1893" xr:uid="{DAA66FD2-597C-41C0-9053-1795B92CB241}"/>
    <cellStyle name="style1662939058320" xfId="1894" xr:uid="{93FC0F52-91DF-4ED9-896A-475A0402B8BF}"/>
    <cellStyle name="style1662939058345" xfId="1895" xr:uid="{88CD9D3E-65EE-4D43-A9CF-B9352F1AF6F3}"/>
    <cellStyle name="style1662939058369" xfId="1896" xr:uid="{6640B08A-E292-4AD4-B4A0-9030B4595E95}"/>
    <cellStyle name="style1662939058404" xfId="1898" xr:uid="{DA889029-5216-458C-9CC3-280656CB4547}"/>
    <cellStyle name="style1662939058436" xfId="1899" xr:uid="{65644D78-B5D5-4237-A86D-E37B5AE79B40}"/>
    <cellStyle name="style1662939058469" xfId="1900" xr:uid="{0B902C1C-E6D4-4F8B-A022-EC202DEFF389}"/>
    <cellStyle name="style1662946374490" xfId="1902" xr:uid="{D081437F-6A89-4A16-B630-C7EB64234C68}"/>
    <cellStyle name="style1662946374542" xfId="1903" xr:uid="{C97FB4B5-581E-4A58-9BAC-924C563EF027}"/>
    <cellStyle name="style1662946374587" xfId="1901" xr:uid="{BBBB047C-9F5F-427E-84DA-E7E4BF5341BA}"/>
    <cellStyle name="style1662946374629" xfId="1904" xr:uid="{B893395B-FF3C-4153-B884-F322310364A9}"/>
    <cellStyle name="style1662946374660" xfId="1905" xr:uid="{4007C3ED-639F-4C86-837A-DE4C42F1D99C}"/>
    <cellStyle name="style1662946374689" xfId="1909" xr:uid="{E2E1A2BE-1B22-433D-B85D-2ADBCD2AC31A}"/>
    <cellStyle name="style1662946374728" xfId="1910" xr:uid="{6B2DB5DD-E5C8-4AC7-9541-8973D9EDE664}"/>
    <cellStyle name="style1662946374767" xfId="1914" xr:uid="{18D556C0-874E-4A22-817B-CBEFD045F975}"/>
    <cellStyle name="style1662946374804" xfId="1915" xr:uid="{B2051C99-CB94-46D3-8A69-A72A7EFEAE93}"/>
    <cellStyle name="style1662946374847" xfId="1906" xr:uid="{CF1D1676-B53E-4D9C-B878-7FAC28A416AC}"/>
    <cellStyle name="style1662946374885" xfId="1907" xr:uid="{3C075810-45C4-4FEC-A9F6-3FD2730D0928}"/>
    <cellStyle name="style1662946374925" xfId="1908" xr:uid="{04E026A9-BC9F-45B8-AAF4-035252B47079}"/>
    <cellStyle name="style1662946374964" xfId="1911" xr:uid="{24F9DD98-E7CA-4A05-899D-6631C6584EFF}"/>
    <cellStyle name="style1662946375000" xfId="1912" xr:uid="{A6637637-AED7-4C84-9B35-30BEFE690AAB}"/>
    <cellStyle name="style1662946375040" xfId="1913" xr:uid="{FB7736F5-02B0-4605-8EFC-8930D921171B}"/>
    <cellStyle name="style1662946375085" xfId="1916" xr:uid="{EA715442-FC12-409D-8635-090608274E6A}"/>
    <cellStyle name="style1662946375127" xfId="1917" xr:uid="{7EA37D61-ED3A-45EA-B15D-442359A88AD2}"/>
    <cellStyle name="style1662946375168" xfId="1918" xr:uid="{1C9870BD-67EA-4EF9-AF8F-FDF058D2A0F1}"/>
    <cellStyle name="style1662946375206" xfId="1919" xr:uid="{AD4C8496-7ED9-4865-9C08-5584D489D4E6}"/>
    <cellStyle name="style1662946375250" xfId="1924" xr:uid="{9F6CFA0E-1744-43A7-906F-F3583ACCF71B}"/>
    <cellStyle name="style1662946375288" xfId="1929" xr:uid="{03AE1A10-91E2-49F3-A06D-F2F2654C6773}"/>
    <cellStyle name="style1662946375326" xfId="1920" xr:uid="{CA8226E7-F8F4-4C57-8756-A305936640A3}"/>
    <cellStyle name="style1662946375363" xfId="1925" xr:uid="{301EB896-86E2-4F53-B10B-CDD1AB53EAD5}"/>
    <cellStyle name="style1662946375400" xfId="1930" xr:uid="{6A28D25D-4699-4C12-9FCB-25FD1591951C}"/>
    <cellStyle name="style1662946375440" xfId="1921" xr:uid="{D469287C-D1A8-432F-899F-5A034EE9EF38}"/>
    <cellStyle name="style1662946375482" xfId="1922" xr:uid="{E19854EF-1828-4C42-BCA5-B69A101F7C9B}"/>
    <cellStyle name="style1662946375528" xfId="1923" xr:uid="{0FC781CE-84BF-4116-B188-9086CD0468C8}"/>
    <cellStyle name="style1662946375568" xfId="1926" xr:uid="{03BC2AF6-D069-42B7-B9C1-057E88D3E123}"/>
    <cellStyle name="style1662946375609" xfId="1927" xr:uid="{EDE45D8C-D01E-4BCB-BCA7-1B9489DE6C8F}"/>
    <cellStyle name="style1662946375649" xfId="1928" xr:uid="{B0030FAA-EA28-4E68-8959-7CE998691F35}"/>
    <cellStyle name="style1662946375688" xfId="1931" xr:uid="{DC4826F2-2167-420F-95BF-283D1411D9F7}"/>
    <cellStyle name="style1662946375728" xfId="1932" xr:uid="{8E2A6D7F-33FD-4DB4-A834-8760B01F560C}"/>
    <cellStyle name="style1662946375764" xfId="1933" xr:uid="{F650D845-92EA-4099-BF67-3BEF10CA8B04}"/>
    <cellStyle name="style1662946375816" xfId="1934" xr:uid="{9238CA11-2579-4A81-8286-DC4F748EC268}"/>
    <cellStyle name="style1662946375852" xfId="1935" xr:uid="{CA3EA6B3-6196-4FDD-80F0-87B5B7B9AEB6}"/>
    <cellStyle name="style1662946375888" xfId="1936" xr:uid="{871181DC-F3A7-4E58-9585-BADC2201ACE6}"/>
    <cellStyle name="style1662946375942" xfId="1937" xr:uid="{3D2C4DAA-0D89-40DC-821A-168620096463}"/>
    <cellStyle name="style1662946375986" xfId="1938" xr:uid="{357955AB-2D63-4AE1-B528-3D23FE349F88}"/>
    <cellStyle name="style1662946376021" xfId="1939" xr:uid="{4AD356C3-24AF-4791-8904-C0FC077A91A6}"/>
    <cellStyle name="style1662946376073" xfId="1940" xr:uid="{3B52BC74-6DB0-4C41-818E-23A8629EF910}"/>
    <cellStyle name="style1662946376123" xfId="1941" xr:uid="{8858BDFC-4BC1-4D4D-8556-74451FD7D6A4}"/>
    <cellStyle name="style1662946376166" xfId="1942" xr:uid="{9740852D-E289-459A-AFC7-A1EB77F8FEA3}"/>
    <cellStyle name="style1662946376207" xfId="1943" xr:uid="{2662FE93-5564-49B4-AE55-3D1392589A29}"/>
    <cellStyle name="style1662946376243" xfId="1944" xr:uid="{A18AE877-B025-4D4A-B101-9A53C38CAA44}"/>
    <cellStyle name="style1662946376284" xfId="1945" xr:uid="{7FB7102C-75A1-4ECD-B256-BB776F7E9991}"/>
    <cellStyle name="style1662946376422" xfId="1946" xr:uid="{62107DE9-210E-4C7A-A314-35FBF1BE0FAA}"/>
    <cellStyle name="style1662946376469" xfId="1947" xr:uid="{D143B57A-B2C6-48F5-8F55-2D2D9576400C}"/>
    <cellStyle name="style1662946376514" xfId="1948" xr:uid="{3F0644DF-0B24-4D01-B34C-B5EEA858A31C}"/>
    <cellStyle name="style1662946376840" xfId="1949" xr:uid="{25855DAF-44D0-4E17-A107-BF63711BD826}"/>
    <cellStyle name="style1662946376902" xfId="1950" xr:uid="{3A5FDF49-00E9-4AA2-9064-9ADBFEC70D93}"/>
    <cellStyle name="style1662946376967" xfId="1951" xr:uid="{B8D7C768-FB94-4508-8374-52174E08520D}"/>
    <cellStyle name="style1662946377014" xfId="1952" xr:uid="{F2400AA5-A8DC-4191-A54A-71E1E85B695A}"/>
    <cellStyle name="style1662946377059" xfId="1953" xr:uid="{B46E99A1-4295-4C46-BDD1-F70F9193CAC2}"/>
    <cellStyle name="style1662946377099" xfId="1954" xr:uid="{214732E8-272B-4620-AA6C-0A2D072A2CF3}"/>
    <cellStyle name="style1662946377137" xfId="1955" xr:uid="{9CFAE37A-A5DD-4B48-AED9-108E19DE0356}"/>
    <cellStyle name="style1662946377176" xfId="1956" xr:uid="{0F638772-7AA2-4B43-9E3C-ABE49C1FC448}"/>
    <cellStyle name="style1678424497014" xfId="1958" xr:uid="{06AFEA7A-74CE-4638-B942-0117E8C2F920}"/>
    <cellStyle name="style1678424497061" xfId="1959" xr:uid="{AF9C364B-69A0-427B-8495-1AB77E5FB858}"/>
    <cellStyle name="style1678424497104" xfId="1957" xr:uid="{37E9CEF5-44F6-4821-9B5B-3C2B270F3077}"/>
    <cellStyle name="style1678424497150" xfId="1960" xr:uid="{721689B2-92FC-4247-A027-B0050B263F10}"/>
    <cellStyle name="style1678424497181" xfId="1961" xr:uid="{080167D4-127F-43F9-9366-451B0DB7BA5F}"/>
    <cellStyle name="style1678424497214" xfId="1965" xr:uid="{060B86C8-0C5E-44BF-A606-8BEC55B54AB2}"/>
    <cellStyle name="style1678424497265" xfId="1966" xr:uid="{CE9141BA-4E85-4782-9F40-F58A7842C550}"/>
    <cellStyle name="style1678424497304" xfId="1970" xr:uid="{89006113-C9A3-4F68-859F-CCC78DC9E5F9}"/>
    <cellStyle name="style1678424497348" xfId="1971" xr:uid="{904200D6-79E0-4440-92FE-BB94A681C012}"/>
    <cellStyle name="style1678424497387" xfId="1962" xr:uid="{D3116918-97F4-49C8-834A-8958F36B9691}"/>
    <cellStyle name="style1678424497425" xfId="1963" xr:uid="{CAFA55FD-5BE7-4241-8EBC-D0BE7CEFE5A0}"/>
    <cellStyle name="style1678424497463" xfId="1964" xr:uid="{E8AE7A32-BB25-441D-A4C6-A4303FC4D4BF}"/>
    <cellStyle name="style1678424497504" xfId="1967" xr:uid="{16B23557-6741-4DD3-BA02-4C05AC31FB48}"/>
    <cellStyle name="style1678424497544" xfId="1968" xr:uid="{A7BA1814-8C04-45F6-9AB8-AFC2FB99B061}"/>
    <cellStyle name="style1678424497588" xfId="1969" xr:uid="{52EB1EF5-4449-4628-98DF-747517962428}"/>
    <cellStyle name="style1678424497629" xfId="1972" xr:uid="{3FD0FD8E-0A05-4D57-9F8C-3648A6AC9052}"/>
    <cellStyle name="style1678424497669" xfId="1973" xr:uid="{4CD08506-EA53-4E8D-AB07-3CD50EB7652D}"/>
    <cellStyle name="style1678424497709" xfId="1974" xr:uid="{DD3C1468-8AE0-4557-B968-D8C14E8D9025}"/>
    <cellStyle name="style1678424497750" xfId="1975" xr:uid="{1544BE7A-73A8-4E82-AE1B-B331FB098C70}"/>
    <cellStyle name="style1678424497797" xfId="1980" xr:uid="{141261BC-C094-4B36-9AD0-14FF9BFA3C5E}"/>
    <cellStyle name="style1678424497841" xfId="1976" xr:uid="{216FF7A6-4055-42C4-A3D6-E50472B5C772}"/>
    <cellStyle name="style1678424497892" xfId="1981" xr:uid="{A8DC808A-0367-46A9-911F-CED66D7A9BB1}"/>
    <cellStyle name="style1678424497985" xfId="1985" xr:uid="{584DFF26-764C-4F3A-97EF-7FC3BF066596}"/>
    <cellStyle name="style1678424498034" xfId="1986" xr:uid="{C770B8F4-6C7A-4097-88AD-E88D47310633}"/>
    <cellStyle name="style1678424498081" xfId="1977" xr:uid="{E0ED4B29-B9F3-45E2-8BEC-0DFDAD2051D2}"/>
    <cellStyle name="style1678424498134" xfId="1978" xr:uid="{6B18A4A0-1EAB-43AD-96C4-D16769738339}"/>
    <cellStyle name="style1678424498169" xfId="1979" xr:uid="{C5A76D01-B5F9-4577-8228-53CC79FB4461}"/>
    <cellStyle name="style1678424498204" xfId="1982" xr:uid="{4FC6E658-52CE-4021-9D17-64A32E198AC8}"/>
    <cellStyle name="style1678424498241" xfId="1983" xr:uid="{A3586371-67D3-4A62-BA32-FBB58457929F}"/>
    <cellStyle name="style1678424498280" xfId="1984" xr:uid="{A15F6834-F0B5-4DCE-926B-B3EC3E10A387}"/>
    <cellStyle name="style1678424498350" xfId="1987" xr:uid="{3136D9AF-812F-421E-93EF-4ABD45967C83}"/>
    <cellStyle name="style1678424498424" xfId="1988" xr:uid="{A303E37A-6D98-4DCE-AB85-480DBC9B0809}"/>
    <cellStyle name="style1678424498479" xfId="1989" xr:uid="{8CD6EC44-9D91-49DC-82DA-10F816B3CBE8}"/>
    <cellStyle name="style1678424498524" xfId="1990" xr:uid="{4BC30A50-CC42-40B5-9A4F-A82EC86A3007}"/>
    <cellStyle name="style1678424498565" xfId="1991" xr:uid="{4DC15331-223D-4938-82E8-3C7DF67B2232}"/>
    <cellStyle name="style1678424498609" xfId="1992" xr:uid="{70FCA19A-733B-4989-9EA8-B1CB7ADDBA7A}"/>
    <cellStyle name="style1678424498649" xfId="1993" xr:uid="{BB536EEC-45B4-4639-9ED0-74563009A8B3}"/>
    <cellStyle name="style1678424498686" xfId="1994" xr:uid="{6BC8E64C-E747-4690-8903-4E1E5F750C78}"/>
    <cellStyle name="style1678424498720" xfId="1996" xr:uid="{FE0EEEF3-EC11-4949-BE63-0E2DD8C02427}"/>
    <cellStyle name="style1678424498758" xfId="1998" xr:uid="{5E8EC90C-4778-4343-BF1D-2CA69A0251E9}"/>
    <cellStyle name="style1678424498796" xfId="1995" xr:uid="{8675DA71-50D9-4997-B8C0-DCF246FD5623}"/>
    <cellStyle name="style1678424498833" xfId="1997" xr:uid="{4643152F-07E8-4AFD-A4D3-16056D41B98D}"/>
    <cellStyle name="style1678424498870" xfId="1999" xr:uid="{F8872A5E-3386-4DF1-B23B-10AC8AD8EB13}"/>
    <cellStyle name="style1678424498927" xfId="2000" xr:uid="{93728A88-C083-4618-A2C2-7A0AD9B7B5BE}"/>
    <cellStyle name="style1678424498970" xfId="2001" xr:uid="{49160917-AE7E-4FBD-AC16-C122502AD812}"/>
    <cellStyle name="style1678424499012" xfId="2002" xr:uid="{89C90057-1EBE-494C-93D4-BDA6A7E2DC79}"/>
    <cellStyle name="style1678424499061" xfId="2003" xr:uid="{907B27FC-901A-4E78-AE75-C668A9D541D2}"/>
    <cellStyle name="style1678424499086" xfId="2005" xr:uid="{DD2E23CF-3905-4F28-92F6-008BD2DDAE29}"/>
    <cellStyle name="style1678424499111" xfId="2007" xr:uid="{5F1B8BE9-5C8B-4A7A-9D89-AD48C09F5085}"/>
    <cellStyle name="style1678424499142" xfId="2004" xr:uid="{0F753E13-C1D3-4CF3-93CD-718080E0C4B1}"/>
    <cellStyle name="style1678424499176" xfId="2006" xr:uid="{B4B467AE-9179-490C-B4C5-791F1D3ED25D}"/>
    <cellStyle name="style1678424499208" xfId="2008" xr:uid="{0C8EFDCB-3DCA-4BAA-98B7-011FA8BC2022}"/>
    <cellStyle name="style1678424499748" xfId="2009" xr:uid="{F2C1A14A-9C72-428F-8BC0-C670620CC45F}"/>
    <cellStyle name="style1678424499781" xfId="2010" xr:uid="{BCD8174B-0F2C-4E16-98D9-4F37215595D3}"/>
    <cellStyle name="style1678424499820" xfId="2011" xr:uid="{9182E0F5-DCF5-4C7F-A8E5-9E4422504214}"/>
    <cellStyle name="style1678424499843" xfId="2012" xr:uid="{6295EDF4-42C5-4752-AEB0-7174E2BC1FEC}"/>
    <cellStyle name="style1678424499868" xfId="2013" xr:uid="{31945ACF-A886-471A-A559-BD57F2EF7460}"/>
    <cellStyle name="style1678424499894" xfId="2014" xr:uid="{95E2F095-C27D-4C05-B203-4D9A9111B56C}"/>
    <cellStyle name="style1678424499924" xfId="2015" xr:uid="{2F2D67C0-9A15-499F-86E1-A5510CE73D76}"/>
    <cellStyle name="style1678424499947" xfId="2016" xr:uid="{9684FF59-AF4F-4875-9811-52B17A76908A}"/>
    <cellStyle name="style1678424500173" xfId="2017" xr:uid="{8A26BE80-6515-4849-B1D5-A00151BFAEFF}"/>
    <cellStyle name="style1678424500225" xfId="2018" xr:uid="{B9DF161B-4934-4FC1-900F-A23C75EE701A}"/>
    <cellStyle name="style1678424500254" xfId="2019" xr:uid="{F4678485-45D3-40F8-8FD2-C97DE322A7D5}"/>
    <cellStyle name="style1678424500283" xfId="2020" xr:uid="{74F8EAD1-D681-4F8B-A2C1-0EF78E4EFB63}"/>
    <cellStyle name="style1678424500314" xfId="2021" xr:uid="{79B5A57E-BDBE-4FED-AB45-EEF57E7D9D34}"/>
    <cellStyle name="style1678424500338" xfId="2022" xr:uid="{D9D0ECCA-F483-4ACA-9E91-8953D140EAE0}"/>
    <cellStyle name="style1678424500361" xfId="2023" xr:uid="{1BCDEC53-33A3-4D60-BE7D-05F0FD72B4E9}"/>
    <cellStyle name="style1678424500390" xfId="2024" xr:uid="{3AE6866E-55C6-4F01-8799-9E3B70593E21}"/>
    <cellStyle name="style1678424500413" xfId="2025" xr:uid="{361070F8-9385-48EB-AE51-C873026109C3}"/>
    <cellStyle name="style1678424500452" xfId="2026" xr:uid="{834A2A86-B5C5-45E4-B289-AB146146323B}"/>
    <cellStyle name="style1678424501620" xfId="2027" xr:uid="{A583B484-7B2A-4AD8-8F76-A63E286D0CAE}"/>
    <cellStyle name="style1678424501643" xfId="2028" xr:uid="{4EE9BD2F-6591-4B6B-BCFE-3D71B7ED8626}"/>
    <cellStyle name="style1678424501679" xfId="2029" xr:uid="{C70B2BC9-B481-47ED-93F7-94673615C6F1}"/>
    <cellStyle name="style1678424553909" xfId="2031" xr:uid="{7AF85BF1-0E2C-461B-A55F-38CC18E8008F}"/>
    <cellStyle name="style1678424553985" xfId="2032" xr:uid="{923DBD09-867B-47EE-8B15-73D1DF5CEFFD}"/>
    <cellStyle name="style1678424554043" xfId="2030" xr:uid="{F740CAC5-8B4A-4CA2-9BC9-3FA1C6A58D78}"/>
    <cellStyle name="style1678424554084" xfId="2033" xr:uid="{863A16E3-908A-4982-9AA3-015A6724BC09}"/>
    <cellStyle name="style1678424554127" xfId="2034" xr:uid="{C90DE9C9-D841-458D-B0FB-A48A4159EF41}"/>
    <cellStyle name="style1678424554171" xfId="2035" xr:uid="{858EECDD-59EE-4985-89E3-1B49B898DB31}"/>
    <cellStyle name="style1678424554218" xfId="2036" xr:uid="{070E3D8F-9152-4943-8EA9-11303815C148}"/>
    <cellStyle name="style1678424554271" xfId="2037" xr:uid="{1260ACEA-18DE-4363-9782-4BFA60334D99}"/>
    <cellStyle name="style1678424554330" xfId="2041" xr:uid="{DAB13F3D-56F5-429F-996D-68C6A1AEB569}"/>
    <cellStyle name="style1678424554385" xfId="2045" xr:uid="{7EA46E20-B7DA-4DFE-A715-CAC5E7A53D5A}"/>
    <cellStyle name="style1678424554442" xfId="2038" xr:uid="{DAF94693-8074-4998-A89E-E41EAB054AC0}"/>
    <cellStyle name="style1678424554492" xfId="2042" xr:uid="{9AA88398-C85B-4C22-B1FB-926FEF6695A8}"/>
    <cellStyle name="style1678424554548" xfId="2039" xr:uid="{3D091343-92B0-4647-9215-3101F1EDEB31}"/>
    <cellStyle name="style1678424554598" xfId="2043" xr:uid="{CDFC2657-6CBE-40C3-A8A8-CBFA39360CA3}"/>
    <cellStyle name="style1678424554647" xfId="2046" xr:uid="{90227C68-FBF8-4289-825F-03B1E1ADD5C3}"/>
    <cellStyle name="style1678424554696" xfId="2047" xr:uid="{76391937-CFC4-4439-A12A-6D14CCC51753}"/>
    <cellStyle name="style1678424554748" xfId="2040" xr:uid="{766D89AB-F8CA-420A-B756-CDB77DFEFA88}"/>
    <cellStyle name="style1678424554807" xfId="2044" xr:uid="{F161F9FA-958B-45A1-8EA7-F9DAFE4CA522}"/>
    <cellStyle name="style1678424554864" xfId="2048" xr:uid="{B8CE5B22-7B77-4CE5-915D-1C6B5B5C7E26}"/>
    <cellStyle name="style1678424554941" xfId="2049" xr:uid="{82ABDD51-6DB3-4499-B2F4-61F772603AB8}"/>
    <cellStyle name="style1678424554996" xfId="2050" xr:uid="{B2A0EE19-DB96-43EE-817C-F3715C7C1240}"/>
    <cellStyle name="style1678424555042" xfId="2051" xr:uid="{7786A435-3E8C-48B9-A7B1-A968BBF8C386}"/>
    <cellStyle name="style1678424555087" xfId="2052" xr:uid="{096E8E03-522E-4649-8B57-DB51ECAB4A37}"/>
    <cellStyle name="style1678424555128" xfId="2053" xr:uid="{1C4F0B52-3CBB-4BE2-8B8D-A7D5CF081FA7}"/>
    <cellStyle name="style1678424555171" xfId="2054" xr:uid="{656AC38D-C6CE-4FE0-AB2D-FD4DB4FBB1FD}"/>
    <cellStyle name="style1678424555208" xfId="2055" xr:uid="{38F76803-B3E7-4411-A262-453D897840CC}"/>
    <cellStyle name="style1678424555247" xfId="2056" xr:uid="{A9343957-BBFD-4BBC-AC27-BF0A7FE4B2F5}"/>
    <cellStyle name="style1678424555283" xfId="2057" xr:uid="{AB325223-6E2E-4E68-ACF6-84AEB8A2C260}"/>
    <cellStyle name="style1678424555321" xfId="2058" xr:uid="{0D428CBE-EA93-4A00-A27E-4D5A853DB3D8}"/>
    <cellStyle name="style1678424555358" xfId="2059" xr:uid="{F834C413-614A-4E08-A8C8-65E5A9E57AF9}"/>
    <cellStyle name="style1678424555393" xfId="2060" xr:uid="{93DEDB51-7C90-4827-A829-477581B3F776}"/>
    <cellStyle name="style1678424555445" xfId="2061" xr:uid="{229FED8B-BF0D-4BB0-B2CD-5BA2F2068822}"/>
    <cellStyle name="style1678424555472" xfId="2062" xr:uid="{B64D43B1-3EE9-4450-8DF8-37C3690A26DB}"/>
    <cellStyle name="style1678424555498" xfId="2063" xr:uid="{553A1C45-31BB-4B29-AEF1-F7479BEA7124}"/>
    <cellStyle name="style1678424555526" xfId="2067" xr:uid="{9F663FDF-0A32-4055-B031-12964EC7ABA0}"/>
    <cellStyle name="style1678424555562" xfId="2068" xr:uid="{AADF8160-F630-4C61-A7D0-6AC7B4B4F7EC}"/>
    <cellStyle name="style1678424555597" xfId="2069" xr:uid="{C00D9BB4-899B-4047-B4C9-1E6357F30CFE}"/>
    <cellStyle name="style1678424555632" xfId="2064" xr:uid="{040B7F18-ADEF-4883-83A5-87ED36502DB5}"/>
    <cellStyle name="style1678424555669" xfId="2065" xr:uid="{AC878C76-431A-4100-8BF3-268605700DF8}"/>
    <cellStyle name="style1678424555710" xfId="2066" xr:uid="{72879451-C0CC-4C50-9997-BD57F79B5D6A}"/>
    <cellStyle name="style1678424555747" xfId="2070" xr:uid="{471DF260-87DB-4DC7-9404-80C02CD9A8E4}"/>
    <cellStyle name="style1678424555783" xfId="2071" xr:uid="{D6236B3B-E630-40E1-B956-DDD47CEFC568}"/>
    <cellStyle name="style1678424555819" xfId="2072" xr:uid="{F4DD58FA-3314-4905-BE49-B207AFFADF4A}"/>
    <cellStyle name="style1678424555857" xfId="2073" xr:uid="{F7207C4F-C332-4BEC-9458-EEE8EE60AD5D}"/>
    <cellStyle name="style1678424555903" xfId="2074" xr:uid="{7607DB5B-1DCD-4B3E-B5CB-8CCC0870C090}"/>
    <cellStyle name="style1678424555940" xfId="2075" xr:uid="{EC7200DF-EB33-4254-B993-C3CBFE90E2D0}"/>
    <cellStyle name="style1678424555965" xfId="2076" xr:uid="{2700866F-80B6-4D83-938E-C8E363488F2F}"/>
    <cellStyle name="style1678424556002" xfId="2077" xr:uid="{CCA152DF-22FB-4744-9CCD-CA2355258ACA}"/>
    <cellStyle name="style1678424556037" xfId="2078" xr:uid="{5FD4F2C9-0171-4794-9738-B7C2E16BAFAB}"/>
    <cellStyle name="style1678424556073" xfId="2089" xr:uid="{A2F95C75-A713-424F-9291-E20BCAF305FD}"/>
    <cellStyle name="style1678424556110" xfId="2079" xr:uid="{1EF35771-9F11-4CD3-AAD7-1E03BE499A45}"/>
    <cellStyle name="style1678424556139" xfId="2080" xr:uid="{B57369F7-FD0B-4406-A035-F7D23A5DC19E}"/>
    <cellStyle name="style1678424556167" xfId="2081" xr:uid="{1CDC5A12-DAB3-407F-8CD4-E92A4D82C900}"/>
    <cellStyle name="style1678424556192" xfId="2082" xr:uid="{EB93C8E3-BC41-448F-BCCF-682C21D93B87}"/>
    <cellStyle name="style1678424556218" xfId="2083" xr:uid="{05857F5C-FC4F-4DEB-A4F5-B51F85424533}"/>
    <cellStyle name="style1678424556243" xfId="2084" xr:uid="{1BB1EC88-431C-487F-A6EF-302DF5B10563}"/>
    <cellStyle name="style1678424556269" xfId="2085" xr:uid="{DF8E3285-7237-491D-95B4-CE8C9BD70986}"/>
    <cellStyle name="style1678424556297" xfId="2086" xr:uid="{68AC69EA-6535-4B4A-965B-A4BBC1C7ACC2}"/>
    <cellStyle name="style1678424556323" xfId="2087" xr:uid="{E51D5F70-A41B-45D4-975D-B89A23BCB9EB}"/>
    <cellStyle name="style1678424556351" xfId="2088" xr:uid="{3014FDC6-19AE-44F0-8306-8F4B83D7D575}"/>
    <cellStyle name="style1678424556385" xfId="2090" xr:uid="{53FE5312-8C23-455F-B74B-20E5C1DEB053}"/>
    <cellStyle name="style1678424556422" xfId="2091" xr:uid="{77BAF466-05A9-49BE-84B6-52868D2EB5C8}"/>
    <cellStyle name="style1678424556462" xfId="2092" xr:uid="{A64D756C-1A1A-4EAD-A02F-513BD1A22FDF}"/>
    <cellStyle name="style1678741860230" xfId="2094" xr:uid="{7BFA9219-6076-4DE3-8B9D-0405886A141A}"/>
    <cellStyle name="style1678741860290" xfId="2095" xr:uid="{FAEF8D71-2EE0-461E-8AAD-A16619673A12}"/>
    <cellStyle name="style1678741860341" xfId="2093" xr:uid="{8098EBE1-9472-46F0-A22C-E7CBAC8C23F0}"/>
    <cellStyle name="style1678741860384" xfId="2096" xr:uid="{422361BD-78DF-4682-83BB-69D3CF8F9338}"/>
    <cellStyle name="style1678741860415" xfId="2097" xr:uid="{4C646092-B4E4-4533-89BF-3CFEB5DC40D7}"/>
    <cellStyle name="style1678741860444" xfId="2101" xr:uid="{236F7C5D-D717-4439-81DA-BB6F1C6C77BC}"/>
    <cellStyle name="style1678741860482" xfId="2102" xr:uid="{F80F4846-5B0A-429C-8102-92813C5D4695}"/>
    <cellStyle name="style1678741860529" xfId="2106" xr:uid="{CB17E423-5EC9-4EFA-9592-728310E3330C}"/>
    <cellStyle name="style1678741860568" xfId="2107" xr:uid="{4546BCBB-6A78-49D9-8387-44D3316D0A79}"/>
    <cellStyle name="style1678741860607" xfId="2098" xr:uid="{D44BD035-2C85-4695-8872-48EF1753C09A}"/>
    <cellStyle name="style1678741860646" xfId="2099" xr:uid="{8A1270BB-8BCA-4A2D-AAC1-B11CA4E0816F}"/>
    <cellStyle name="style1678741860694" xfId="2100" xr:uid="{0B54620D-D92F-439C-B88C-E732FE2207C2}"/>
    <cellStyle name="style1678741860732" xfId="2103" xr:uid="{7648A467-32E8-422E-862C-DDF9BCD7A8E0}"/>
    <cellStyle name="style1678741860767" xfId="2104" xr:uid="{20B9D184-B9A1-444F-BF2C-233C9E6FCFC3}"/>
    <cellStyle name="style1678741860805" xfId="2105" xr:uid="{92882A73-71CD-4A57-BB32-884C9A1AB9D0}"/>
    <cellStyle name="style1678741860847" xfId="2108" xr:uid="{29540A1F-462E-4A7F-90C3-6CF901554566}"/>
    <cellStyle name="style1678741860884" xfId="2109" xr:uid="{57F6BB4B-D210-4491-BE93-72F2B1942A03}"/>
    <cellStyle name="style1678741860922" xfId="2110" xr:uid="{E8252156-7E4D-4C3A-A87A-1D1347BF0A0E}"/>
    <cellStyle name="style1678741860962" xfId="2111" xr:uid="{12BFF361-2F32-4F36-92A2-CF1B45B1C3FA}"/>
    <cellStyle name="style1678741861018" xfId="2116" xr:uid="{A3CB34B1-3379-4301-BA52-230DA0748F5B}"/>
    <cellStyle name="style1678741861056" xfId="2121" xr:uid="{13AD79F2-E74E-40AD-AAD5-0E1AAE8A378C}"/>
    <cellStyle name="style1678741861104" xfId="2112" xr:uid="{401E5D17-32DA-4D9F-ABCB-DC83178BEB41}"/>
    <cellStyle name="style1678741861147" xfId="2117" xr:uid="{85BF7BF7-CC09-4BA0-9EB9-8D5EA406C967}"/>
    <cellStyle name="style1678741861188" xfId="2122" xr:uid="{C595B043-B8AF-494B-9BAC-55E47DD00F9A}"/>
    <cellStyle name="style1678741861226" xfId="2113" xr:uid="{4B1A96D3-8C64-4B3F-9C74-E14FF68AC540}"/>
    <cellStyle name="style1678741861281" xfId="2114" xr:uid="{E9225F93-F4AF-4EA8-853B-01D8086892EF}"/>
    <cellStyle name="style1678741861327" xfId="2115" xr:uid="{7CEA6103-FDE6-4F33-A61A-5F45C41B571B}"/>
    <cellStyle name="style1678741861366" xfId="2118" xr:uid="{0866E92E-CBD7-409B-8FBE-30074246AC65}"/>
    <cellStyle name="style1678741861403" xfId="2119" xr:uid="{D1986A83-78B9-406D-B998-97D54D44CDAA}"/>
    <cellStyle name="style1678741861439" xfId="2120" xr:uid="{DC241F94-236F-46DC-8B1D-D7EEC5437F93}"/>
    <cellStyle name="style1678741861475" xfId="2123" xr:uid="{23A03DB0-5079-412B-BB4F-3D80878BA60C}"/>
    <cellStyle name="style1678741861512" xfId="2124" xr:uid="{1D71C152-F494-4222-95F1-EB151994DB69}"/>
    <cellStyle name="style1678741861548" xfId="2125" xr:uid="{4B42FCD6-CC4C-4E4B-891D-83F7AE2264E3}"/>
    <cellStyle name="style1678741861599" xfId="2126" xr:uid="{B7CEF6DC-7FC3-40D3-A865-76A421BA86B8}"/>
    <cellStyle name="style1678741861633" xfId="2127" xr:uid="{28EFF29B-26C0-4F3B-9036-F3E471FD1567}"/>
    <cellStyle name="style1678741861671" xfId="2128" xr:uid="{B3A6EC20-58A3-4BD5-89F8-448D696FF50B}"/>
    <cellStyle name="style1678741861719" xfId="2129" xr:uid="{365B82A7-5CD2-45DA-B806-85F31A3165B1}"/>
    <cellStyle name="style1678741861754" xfId="2130" xr:uid="{709390D5-57DD-4430-8B6A-A7CB0D972059}"/>
    <cellStyle name="style1678741861791" xfId="2131" xr:uid="{F91E1D16-6DAB-4072-A342-773DC91F5ED8}"/>
    <cellStyle name="style1678741861841" xfId="2132" xr:uid="{C68B0BB6-D320-458C-8A84-023E15D96FBE}"/>
    <cellStyle name="style1678741861892" xfId="2133" xr:uid="{B69D40AE-40B5-4934-807A-32C4179E3D36}"/>
    <cellStyle name="style1678741861928" xfId="2134" xr:uid="{0786F5AD-DF44-4617-9A7D-660075D99B6C}"/>
    <cellStyle name="style1678741861968" xfId="2135" xr:uid="{0DE421C9-2D05-42A7-AFD1-5044EFB0D1E1}"/>
    <cellStyle name="style1678741862004" xfId="2136" xr:uid="{A2DC3939-92FA-4486-8D65-3415E08B66EB}"/>
    <cellStyle name="style1678741862043" xfId="2137" xr:uid="{D7A7E948-D131-4E03-AC4D-589801C17AA8}"/>
    <cellStyle name="style1678741862154" xfId="2138" xr:uid="{86BEC696-6B15-48A0-9860-B51C425A6CC0}"/>
    <cellStyle name="style1678741862204" xfId="2139" xr:uid="{78FA4B36-59BC-433E-AF1E-6FFA11844B10}"/>
    <cellStyle name="style1678741862252" xfId="2140" xr:uid="{1D87E585-AD73-4F0B-A1EA-8B9B82D8141A}"/>
    <cellStyle name="style1678741862528" xfId="2141" xr:uid="{76B63DA2-AD3D-4829-9375-384A50BADEC7}"/>
    <cellStyle name="style1678741862586" xfId="2142" xr:uid="{3ED13116-4A13-4DE3-A331-CC3278A85EC0}"/>
    <cellStyle name="style1678741862620" xfId="2143" xr:uid="{7624F91D-B08B-4BEA-A587-049F2AF89AAD}"/>
    <cellStyle name="style1678741862656" xfId="2144" xr:uid="{EE74314B-EFA9-4746-B292-8A8AE0ACFC7B}"/>
    <cellStyle name="style1678741862695" xfId="2145" xr:uid="{0DA4334D-585D-403D-8FFB-CFDB79EB5B32}"/>
    <cellStyle name="style1678741862729" xfId="2146" xr:uid="{05EDD3B9-E22A-4A4A-9226-4EAE4FCE1F9A}"/>
    <cellStyle name="style1678741862761" xfId="2147" xr:uid="{F5EF9B8D-8FAD-41B6-B016-81381F30DA26}"/>
    <cellStyle name="style1678741862796" xfId="2148" xr:uid="{D12F2799-24B4-4D58-953A-646C3BE8C084}"/>
    <cellStyle name="style1678924242982" xfId="2150" xr:uid="{B53C06DD-4419-4E18-96EB-33C886817817}"/>
    <cellStyle name="style1678924243040" xfId="2151" xr:uid="{7EF9DBA5-BA95-44ED-8EA0-4D33DF69A407}"/>
    <cellStyle name="style1678924243094" xfId="2149" xr:uid="{2757D688-6BE4-4994-AA87-90EBE2CA38F8}"/>
    <cellStyle name="style1678924243145" xfId="2152" xr:uid="{67C69DB9-2E89-424D-B6D1-FCAC2348BAAC}"/>
    <cellStyle name="style1678924243184" xfId="2153" xr:uid="{C747A244-DD65-4773-94BC-B7CC76CF49B8}"/>
    <cellStyle name="style1678924243220" xfId="2157" xr:uid="{D87EED42-3711-4120-A587-EC4EABB37089}"/>
    <cellStyle name="style1678924243268" xfId="2158" xr:uid="{6C4D7D2C-948F-4A5C-B548-E79D365C3DA0}"/>
    <cellStyle name="style1678924243319" xfId="2162" xr:uid="{6C62C728-01FB-4DC9-9699-C86D04457FB8}"/>
    <cellStyle name="style1678924243369" xfId="2163" xr:uid="{07D455BB-BAA7-4353-82F6-8146751EA6FC}"/>
    <cellStyle name="style1678924243416" xfId="2154" xr:uid="{36E7CD6D-9D77-4C30-9C36-7E75AC1F69EE}"/>
    <cellStyle name="style1678924243463" xfId="2155" xr:uid="{52737D18-411C-4E10-AE0E-DD698DB47089}"/>
    <cellStyle name="style1678924243511" xfId="2156" xr:uid="{4A7E7BE7-2B20-43CA-87DC-E5E503898BE0}"/>
    <cellStyle name="style1678924243561" xfId="2159" xr:uid="{A4882902-A3B5-4E74-AD0D-F0EA770E43B2}"/>
    <cellStyle name="style1678924243609" xfId="2160" xr:uid="{05FEA198-199A-4DF8-AD52-408274B3DB8D}"/>
    <cellStyle name="style1678924243654" xfId="2161" xr:uid="{30BC9447-9D1E-459B-AB38-1186AD002AB6}"/>
    <cellStyle name="style1678924243714" xfId="2164" xr:uid="{3D2BD54E-0385-4A6A-BEE1-139D0D6F2EB9}"/>
    <cellStyle name="style1678924243764" xfId="2165" xr:uid="{55C7F389-83AE-408E-828B-163301FC3A5F}"/>
    <cellStyle name="style1678924243818" xfId="2166" xr:uid="{C49EE49A-D5B7-44BE-9BCD-62040524E7B1}"/>
    <cellStyle name="style1678924243872" xfId="2167" xr:uid="{877B6C5D-8BF2-4308-B3DF-79D110225698}"/>
    <cellStyle name="style1678924243928" xfId="2172" xr:uid="{5A66E231-2061-47AA-9980-0ED0C17E1C77}"/>
    <cellStyle name="style1678924243975" xfId="2177" xr:uid="{FA6EB593-765E-46E0-AECF-75CFD1A5AA67}"/>
    <cellStyle name="style1678924244025" xfId="2168" xr:uid="{602D57EE-23E1-4C43-A82F-D7F5AAEF88B9}"/>
    <cellStyle name="style1678924244078" xfId="2173" xr:uid="{D7BA6A08-7A0C-4AD4-8577-E97351CAC611}"/>
    <cellStyle name="style1678924244130" xfId="2178" xr:uid="{94FA7B2B-821D-429E-BD54-6D5385323335}"/>
    <cellStyle name="style1678924244181" xfId="2169" xr:uid="{185F44B5-3CAE-481B-AF51-F6B1AB6394D6}"/>
    <cellStyle name="style1678924244237" xfId="2170" xr:uid="{79A4816D-CBAC-4B48-8165-8EA116E5D119}"/>
    <cellStyle name="style1678924244288" xfId="2171" xr:uid="{88D5CA1E-694C-42A6-93E1-1CACFC082C6F}"/>
    <cellStyle name="style1678924244345" xfId="2174" xr:uid="{331AC5AC-1DC5-450D-8922-6780DFAE5FE9}"/>
    <cellStyle name="style1678924244399" xfId="2175" xr:uid="{91FE0BC8-435E-4CFE-AD65-98865B500748}"/>
    <cellStyle name="style1678924244457" xfId="2176" xr:uid="{93BA6064-8047-475C-8F3F-787018C49309}"/>
    <cellStyle name="style1678924244507" xfId="2179" xr:uid="{86F5C481-ED2C-48D1-AAA4-937554BC9B45}"/>
    <cellStyle name="style1678924244554" xfId="2180" xr:uid="{E09C84CA-1C92-4C9A-AF6D-9F110D0D2623}"/>
    <cellStyle name="style1678924244598" xfId="2181" xr:uid="{E0464A0D-8600-472C-A47F-588EE0D5A868}"/>
    <cellStyle name="style1678924244661" xfId="2182" xr:uid="{5E9833FB-4F17-494F-BF6F-2DCFF95772B3}"/>
    <cellStyle name="style1678924244701" xfId="2183" xr:uid="{66686181-D6F4-40EF-964B-0D853E84E1C9}"/>
    <cellStyle name="style1678924244754" xfId="2184" xr:uid="{DC0128FC-86CB-4AEA-B0C5-53590D8F888C}"/>
    <cellStyle name="style1678924244823" xfId="2185" xr:uid="{3F0D9732-15DA-4372-845B-7059042F4FE9}"/>
    <cellStyle name="style1678924244872" xfId="2186" xr:uid="{773D10C4-8652-4941-B811-351C089DBFC4}"/>
    <cellStyle name="style1678924244920" xfId="2187" xr:uid="{2B6BCFF4-5F80-41B7-8C74-85C201B6A3A7}"/>
    <cellStyle name="style1678924244985" xfId="2188" xr:uid="{9F8C85A0-1174-4503-9F29-0FB2C3C657DC}"/>
    <cellStyle name="style1678924245035" xfId="2189" xr:uid="{891B793C-4AEF-46CC-863A-F403E704778D}"/>
    <cellStyle name="style1678924245089" xfId="2190" xr:uid="{3DB86597-2F7F-4D24-8E40-7688B024B0D6}"/>
    <cellStyle name="style1678924245150" xfId="2191" xr:uid="{ED5EB56C-3EB3-4BC0-8852-C488F60E9C46}"/>
    <cellStyle name="style1678924245201" xfId="2192" xr:uid="{92E1FBDD-1D7C-47E8-8F72-292453B8F6D9}"/>
    <cellStyle name="style1678924245252" xfId="2193" xr:uid="{4CF68827-6988-4F92-AF5A-65249D4D9CE6}"/>
    <cellStyle name="style1678924245409" xfId="2194" xr:uid="{337A3055-2A16-489C-BBDC-C8623FFA93BD}"/>
    <cellStyle name="style1678924245482" xfId="2195" xr:uid="{E48D289A-E842-400F-B2CA-5ECAC2285D7D}"/>
    <cellStyle name="style1678924245556" xfId="2196" xr:uid="{20DCAC04-EDFC-4E6C-B9BD-F4C34D2B21AE}"/>
    <cellStyle name="style1678924245942" xfId="2197" xr:uid="{07BE0E68-D1E2-43E3-842A-559EC2EE6111}"/>
    <cellStyle name="style1678924246019" xfId="2198" xr:uid="{CE1D72AD-216E-40D7-AFCE-55AC93788481}"/>
    <cellStyle name="style1678924246099" xfId="2199" xr:uid="{D5729B63-544E-4F54-9734-A5B069BE6822}"/>
    <cellStyle name="style1678924246158" xfId="2200" xr:uid="{502B7C59-1714-48C9-9E8A-0AFD733A72B2}"/>
    <cellStyle name="style1678924246208" xfId="2201" xr:uid="{429B6526-A2D4-4055-AC8D-32A9779C94E2}"/>
    <cellStyle name="style1678924246256" xfId="2202" xr:uid="{CC2F688A-BDFD-4630-ACB8-816D9FAEFC7E}"/>
    <cellStyle name="style1678924246298" xfId="2203" xr:uid="{E8911C5B-9C62-4531-99FC-0A4F3AE1EF43}"/>
    <cellStyle name="style1678924246341" xfId="2204" xr:uid="{7059CA3C-F524-46B0-AE56-7D4D1E7C0E75}"/>
    <cellStyle name="style1690755419397" xfId="2206" xr:uid="{9BD6F44B-514A-4FBE-93B5-8814CF0812E7}"/>
    <cellStyle name="style1690755419458" xfId="2207" xr:uid="{8EDE6BC8-7136-469E-ABC7-2066A9F91574}"/>
    <cellStyle name="style1690755419528" xfId="2205" xr:uid="{21384863-63E8-4A5A-9348-6C539209CA54}"/>
    <cellStyle name="style1690755419609" xfId="2208" xr:uid="{AFE42931-234B-472C-9900-59D51CD2B589}"/>
    <cellStyle name="style1690755419649" xfId="2209" xr:uid="{0B117A52-7E1C-4F5E-97D6-61264CD405E2}"/>
    <cellStyle name="style1690755419689" xfId="2213" xr:uid="{F718EF93-A61E-42CF-9204-ED7635E1B3F7}"/>
    <cellStyle name="style1690755419760" xfId="2214" xr:uid="{BCB00E70-8EE7-43A8-A4DF-D6B4D2EDEF01}"/>
    <cellStyle name="style1690755419810" xfId="2218" xr:uid="{357BC181-0455-404D-954C-E2E0EE06E990}"/>
    <cellStyle name="style1690755419858" xfId="2219" xr:uid="{0F54EC46-629C-445B-9F3E-2771B037683B}"/>
    <cellStyle name="style1690755419899" xfId="2210" xr:uid="{8081C6E4-883F-4558-A01C-9F195067CBDF}"/>
    <cellStyle name="style1690755419939" xfId="2211" xr:uid="{FFB103FF-29F7-4E1E-BC02-7812F956F230}"/>
    <cellStyle name="style1690755419981" xfId="2212" xr:uid="{803BA28C-9325-46CB-B517-B6ED3AF89115}"/>
    <cellStyle name="style1690755420032" xfId="2215" xr:uid="{8C680873-A22D-4206-B329-AE6CB3085E35}"/>
    <cellStyle name="style1690755420082" xfId="2216" xr:uid="{2B6A4678-1C9E-4483-8718-963FD6D1513F}"/>
    <cellStyle name="style1690755420131" xfId="2217" xr:uid="{2EE14C95-5676-40FB-8D2F-90EE27ED2A53}"/>
    <cellStyle name="style1690755420173" xfId="2220" xr:uid="{EB54AC50-E6B8-4525-A716-4A537A4D43E7}"/>
    <cellStyle name="style1690755420224" xfId="2221" xr:uid="{BBC4E94E-72D8-4CF5-9E18-0200249479C2}"/>
    <cellStyle name="style1690755420274" xfId="2222" xr:uid="{824C7A8A-96AB-4DF5-9418-A01FB7A8D46E}"/>
    <cellStyle name="style1690755420325" xfId="2223" xr:uid="{5333C479-D146-4EBB-BCB9-7B6AF27136F4}"/>
    <cellStyle name="style1690755420378" xfId="2228" xr:uid="{4F134D26-DEBE-44BB-8F6F-40DBDD57E407}"/>
    <cellStyle name="style1690755420414" xfId="2224" xr:uid="{AF47F7DB-26E0-4573-8330-9AB3CF170025}"/>
    <cellStyle name="style1690755420447" xfId="2229" xr:uid="{1157CF50-2A49-43BC-94A8-BC562A6F3220}"/>
    <cellStyle name="style1690755420497" xfId="2233" xr:uid="{4499188A-2093-4A8B-8E60-4633DBF31639}"/>
    <cellStyle name="style1690755420545" xfId="2234" xr:uid="{8CF75995-BEF8-4642-86A2-760C9D35479D}"/>
    <cellStyle name="style1690755420588" xfId="2225" xr:uid="{542FBD8E-6665-4E5B-B8D4-137AF71E9A31}"/>
    <cellStyle name="style1690755420628" xfId="2226" xr:uid="{4B03BC89-131C-40AE-821B-E6C759D2F461}"/>
    <cellStyle name="style1690755420659" xfId="2227" xr:uid="{444A5EB0-BD5F-4458-B214-888F489D4CE3}"/>
    <cellStyle name="style1690755420699" xfId="2230" xr:uid="{D3682A8D-5952-433C-8D43-6E83E7643A69}"/>
    <cellStyle name="style1690755420729" xfId="2231" xr:uid="{1D9C3346-2CC7-4E86-AF0C-CB5F9FBB318C}"/>
    <cellStyle name="style1690755420770" xfId="2232" xr:uid="{D189F116-FB63-46C6-AC31-72E0C0E59FEC}"/>
    <cellStyle name="style1690755420818" xfId="2235" xr:uid="{679922FA-5701-408F-9846-7046F1803B00}"/>
    <cellStyle name="style1690755420868" xfId="2236" xr:uid="{566EB14B-B51F-40A7-84E5-067B9A7C6970}"/>
    <cellStyle name="style1690755420931" xfId="2237" xr:uid="{0521D780-AD57-4560-BE1E-E897D8DE5A33}"/>
    <cellStyle name="style1690755420992" xfId="2238" xr:uid="{7B3D9471-6F39-4734-AE79-8CDCA06C5A3F}"/>
    <cellStyle name="style1690755421030" xfId="2239" xr:uid="{4CA71AF9-2786-44C5-9A77-232070301E58}"/>
    <cellStyle name="style1690755421063" xfId="2240" xr:uid="{204796CC-61D6-4773-AF4B-EEBFB1934779}"/>
    <cellStyle name="style1690755421103" xfId="2241" xr:uid="{0F425C2D-366F-4001-AEA3-740ED8F14167}"/>
    <cellStyle name="style1690755421133" xfId="2242" xr:uid="{63846133-E8AC-477C-86C3-81F42B2D5088}"/>
    <cellStyle name="style1690755421174" xfId="2244" xr:uid="{07DB4668-F75B-4B7D-B583-4FC569D1C82F}"/>
    <cellStyle name="style1690755421214" xfId="2246" xr:uid="{3AA5D314-FAF2-46A9-BC4A-31E419235561}"/>
    <cellStyle name="style1690755421245" xfId="2243" xr:uid="{935D8FBC-21DB-440F-BC2F-1F4F4BE7A874}"/>
    <cellStyle name="style1690755421285" xfId="2245" xr:uid="{15546B65-5664-42B0-832A-C7E53AEB6E3A}"/>
    <cellStyle name="style1690755421324" xfId="2247" xr:uid="{24F39F78-21C3-4D92-A33E-AB7F3EC0E137}"/>
    <cellStyle name="style1690755421370" xfId="2248" xr:uid="{E144E7E6-B095-484B-886E-D8C50F10B007}"/>
    <cellStyle name="style1690755421415" xfId="2249" xr:uid="{D94AE0BB-EF65-436F-BA4B-D457A875B152}"/>
    <cellStyle name="style1690755421458" xfId="2250" xr:uid="{58F27D9B-21F6-4C7D-BB00-863835079F29}"/>
    <cellStyle name="style1690755421518" xfId="2251" xr:uid="{C7536911-8470-4B33-B586-8C9724D19C59}"/>
    <cellStyle name="style1690755421548" xfId="2253" xr:uid="{E53EC14F-AE73-4FF5-B0C2-BFE427D40805}"/>
    <cellStyle name="style1690755421577" xfId="2255" xr:uid="{6501BA72-A187-4532-AC98-534FBAE51D0D}"/>
    <cellStyle name="style1690755421609" xfId="2252" xr:uid="{28528B25-42EF-4FEC-8F48-EA028D85D574}"/>
    <cellStyle name="style1690755421640" xfId="2254" xr:uid="{9F9A8E40-D51B-41F6-ABA8-5BAD505D9058}"/>
    <cellStyle name="style1690755421680" xfId="2256" xr:uid="{35E69B55-17C9-4AC9-B5BB-357871AE78EA}"/>
    <cellStyle name="style1690755422061" xfId="2257" xr:uid="{D8EAA93A-2110-4844-B06D-0EDA5CBE94A9}"/>
    <cellStyle name="style1690755422133" xfId="2258" xr:uid="{10F5E8C4-0FFF-441F-A5A0-F9C724672CC4}"/>
    <cellStyle name="style1690755422202" xfId="2259" xr:uid="{26BE9BCC-40B0-473B-92B6-84C951384E14}"/>
    <cellStyle name="style1690755422232" xfId="2260" xr:uid="{495613A2-7513-4062-A003-6C32ACECFE7D}"/>
    <cellStyle name="style1690755422252" xfId="2261" xr:uid="{54C40A6E-8C86-44A2-9ECF-66211F4FBE0A}"/>
    <cellStyle name="style1690755422284" xfId="2262" xr:uid="{E414B52D-F559-4D33-9942-543D0009DF5B}"/>
    <cellStyle name="style1690755422304" xfId="2263" xr:uid="{630BB54C-123E-475B-8150-B1248D332420}"/>
    <cellStyle name="style1690755422332" xfId="2264" xr:uid="{08538F2B-F9EA-4892-850E-472B5E543D4D}"/>
    <cellStyle name="style1690755422543" xfId="2265" xr:uid="{05836DCB-00D0-48CB-ACC6-8AB6CAB2381C}"/>
    <cellStyle name="style1690755422574" xfId="2266" xr:uid="{29721174-F90D-4215-8016-FD1B94CE1D5E}"/>
    <cellStyle name="style1690755422605" xfId="2267" xr:uid="{31352461-1C69-42D8-AEBF-F01C0A6D6113}"/>
    <cellStyle name="style1690755422621" xfId="2268" xr:uid="{21DCB0A7-4018-4CD9-8B5D-9D3FF2B0949E}"/>
    <cellStyle name="style1690755422643" xfId="2269" xr:uid="{D7BD80F9-A8B0-469A-A552-3234941A4A1B}"/>
    <cellStyle name="style1690755422674" xfId="2270" xr:uid="{23025D6D-3B53-4E9A-A57A-3CC903AFF20E}"/>
    <cellStyle name="style1690755422690" xfId="2271" xr:uid="{D31BDB3F-CB4E-4DA6-9DEA-B035BF23C581}"/>
    <cellStyle name="style1690755422721" xfId="2272" xr:uid="{0CB797D0-AEF7-492C-9E9D-0488E59DDFC7}"/>
    <cellStyle name="style1690755422743" xfId="2273" xr:uid="{0BC71847-0D43-4555-B1F3-82CF7F5CBDA0}"/>
    <cellStyle name="style1690755422790" xfId="2274" xr:uid="{2EE39F96-FF03-4A34-90C9-583FABF53003}"/>
    <cellStyle name="style1690864794126" xfId="2276" xr:uid="{4DA8F793-3DA1-4F91-89CD-E441C247275E}"/>
    <cellStyle name="style1690864794166" xfId="2277" xr:uid="{1E6ACCE0-E2F3-467D-BE26-B8AC06E451B3}"/>
    <cellStyle name="style1690864794217" xfId="2275" xr:uid="{60C41F4B-FB4A-40F2-99C3-9F2AEDD56C26}"/>
    <cellStyle name="style1690864794258" xfId="2278" xr:uid="{E2C7B73D-4E34-4C75-885A-6D999C55CBCD}"/>
    <cellStyle name="style1690864794288" xfId="2279" xr:uid="{45749001-4498-418D-A679-D9BFECC0914F}"/>
    <cellStyle name="style1690864794329" xfId="2283" xr:uid="{623C47D1-4A0F-4350-B844-222ED9178AF5}"/>
    <cellStyle name="style1690864794370" xfId="2284" xr:uid="{3791CB51-9F16-481B-80E0-4A02BF3658AD}"/>
    <cellStyle name="style1690864794411" xfId="2288" xr:uid="{0D6D3BEE-D22C-4063-AF0F-09171C76EFAC}"/>
    <cellStyle name="style1690864794452" xfId="2289" xr:uid="{0F046379-35AD-4C6A-AC54-B4F2FD86D8CB}"/>
    <cellStyle name="style1690864794503" xfId="2280" xr:uid="{E4B282FC-A373-49E0-AFD1-569273B07910}"/>
    <cellStyle name="style1690864794541" xfId="2281" xr:uid="{4EFC4B8D-152A-4F6F-80B1-E0346796D927}"/>
    <cellStyle name="style1690864794594" xfId="2282" xr:uid="{C60979E6-608C-4C3E-B1C4-9D025294DCA3}"/>
    <cellStyle name="style1690864794644" xfId="2285" xr:uid="{8E1D4AAE-379B-4E90-BFAD-06FA2214C3C5}"/>
    <cellStyle name="style1690864794695" xfId="2286" xr:uid="{A4DF47A9-7C98-4143-8F5B-84693186D8F4}"/>
    <cellStyle name="style1690864794765" xfId="2287" xr:uid="{8310F444-5E6C-4D77-85D2-AF93BA069937}"/>
    <cellStyle name="style1690864794826" xfId="2290" xr:uid="{20B095F2-0793-4364-8E3D-D331A6360092}"/>
    <cellStyle name="style1690864794886" xfId="2291" xr:uid="{1D629678-AEF7-41F9-A85B-04318B3D6707}"/>
    <cellStyle name="style1690864794947" xfId="2292" xr:uid="{0DEB60C5-8CCF-4A26-BE0F-E37D96EA9C81}"/>
    <cellStyle name="style1690864794988" xfId="2293" xr:uid="{85668A7B-7604-4162-AAB6-10394901E618}"/>
    <cellStyle name="style1690864795048" xfId="2298" xr:uid="{32D88F7C-5A2F-43F1-8BA9-D36133012981}"/>
    <cellStyle name="style1690864795089" xfId="2294" xr:uid="{E039C0A9-673A-48C4-9DBC-32FA2FF534A5}"/>
    <cellStyle name="style1690864795130" xfId="2299" xr:uid="{A3ED5F4C-7720-4743-B0BD-1927F2A8CB0D}"/>
    <cellStyle name="style1690864795219" xfId="2303" xr:uid="{096B90F2-91CA-4EA9-9E98-FE0B1F94CFB0}"/>
    <cellStyle name="style1690864795271" xfId="2304" xr:uid="{95E9B9D0-4C60-4A7B-81FE-CAABD57757D2}"/>
    <cellStyle name="style1690864795332" xfId="2295" xr:uid="{1265E234-0075-4CAA-A02C-F34D4D1547E0}"/>
    <cellStyle name="style1690864795382" xfId="2296" xr:uid="{5EB90E46-4A8E-4879-867C-7E1A74641579}"/>
    <cellStyle name="style1690864795422" xfId="2297" xr:uid="{0031817D-14F2-4D1A-B457-7C9C59AB7346}"/>
    <cellStyle name="style1690864795461" xfId="2300" xr:uid="{57683E85-B204-4A27-950B-A3F10311035E}"/>
    <cellStyle name="style1690864795493" xfId="2301" xr:uid="{08E9C1C2-E6C5-46B0-9B03-74BEDBC4971A}"/>
    <cellStyle name="style1690864795534" xfId="2302" xr:uid="{A9D439FB-4CA6-4950-B9E9-56E29927A785}"/>
    <cellStyle name="style1690864795604" xfId="2305" xr:uid="{D3414E41-885A-4614-8870-467CA16BCA52}"/>
    <cellStyle name="style1690864795655" xfId="2306" xr:uid="{3A67ECD5-58A1-4AE4-831C-637CE4031420}"/>
    <cellStyle name="style1690864795705" xfId="2307" xr:uid="{19332AFB-FEA0-4E30-AA1D-78C719D789DE}"/>
    <cellStyle name="style1690864795756" xfId="2308" xr:uid="{5ADE33D3-3F76-4603-8A0F-96BCA76362F6}"/>
    <cellStyle name="style1690864795796" xfId="2309" xr:uid="{329D0652-5D27-4709-9A48-484E22C255CA}"/>
    <cellStyle name="style1690864795837" xfId="2310" xr:uid="{CF0C31D3-8FE1-4DC7-BF56-7EEBD1CC757D}"/>
    <cellStyle name="style1690864795878" xfId="2311" xr:uid="{5D3E9AC2-63D8-4FF0-B080-FEF0BECD7E53}"/>
    <cellStyle name="style1690864795909" xfId="2312" xr:uid="{BB633839-3089-40F5-8722-C324E504FA30}"/>
    <cellStyle name="style1690864795950" xfId="2314" xr:uid="{2C56FB2A-A876-47ED-A214-4CA880022F09}"/>
    <cellStyle name="style1690864795990" xfId="2316" xr:uid="{846D609D-1ADE-4E87-B29B-41B1D83DDD87}"/>
    <cellStyle name="style1690864796029" xfId="2313" xr:uid="{9A46785C-52EC-402E-B3D0-BC79EC8835A9}"/>
    <cellStyle name="style1690864796062" xfId="2315" xr:uid="{225ED6F4-E9BD-4076-BE4E-D7DCD1C08272}"/>
    <cellStyle name="style1690864796103" xfId="2317" xr:uid="{C73F22F2-1BCD-4F35-BC25-003171C23077}"/>
    <cellStyle name="style1690864796154" xfId="2318" xr:uid="{6C490E42-0703-49BA-93EF-63E2B4CD4F56}"/>
    <cellStyle name="style1690864796213" xfId="2319" xr:uid="{B8CC2C92-DE8E-4912-B1AF-784B6F075CB6}"/>
    <cellStyle name="style1690864796263" xfId="2320" xr:uid="{7AECA014-33F7-4FA8-B0BD-2BAE0948562E}"/>
    <cellStyle name="style1690864796309" xfId="2321" xr:uid="{440D4CA8-51DA-4079-884C-F838882638A4}"/>
    <cellStyle name="style1690864796337" xfId="2323" xr:uid="{86DA6DBC-AF3A-491C-B642-ECE0BA16AE46}"/>
    <cellStyle name="style1690864796367" xfId="2325" xr:uid="{202D140F-53FE-4EC7-8052-573C1AE93847}"/>
    <cellStyle name="style1690864796406" xfId="2322" xr:uid="{EB1FD816-BE6D-4200-9290-9DB7F8FD744A}"/>
    <cellStyle name="style1690864796439" xfId="2324" xr:uid="{3DC6262A-3CEE-4E6F-A94F-8FCF874EF4DE}"/>
    <cellStyle name="style1690864796477" xfId="2326" xr:uid="{3CFF0BD1-2856-4CC8-A2EE-63FC242F7F2B}"/>
    <cellStyle name="style1690864797003" xfId="2327" xr:uid="{90CBD77E-01B9-4E0C-9A03-82582B478BCB}"/>
    <cellStyle name="style1690864797052" xfId="2328" xr:uid="{5F23FEBD-97BF-4F99-ACA8-4ED70215923A}"/>
    <cellStyle name="style1690864797094" xfId="2329" xr:uid="{A784F0C3-49C5-4492-B701-E55DA6D502A6}"/>
    <cellStyle name="style1690864797135" xfId="2330" xr:uid="{9D5A371C-97E5-456B-AFFA-FC5AC36B7E71}"/>
    <cellStyle name="style1690864797165" xfId="2331" xr:uid="{FB625004-AED3-4808-A368-30734E9754EF}"/>
    <cellStyle name="style1690864797195" xfId="2332" xr:uid="{57BCB941-43F8-4B38-9AB3-68BCDD6C0654}"/>
    <cellStyle name="style1690864797226" xfId="2333" xr:uid="{4C38E81B-4D42-4BD8-920D-F2635FAB5410}"/>
    <cellStyle name="style1690864797256" xfId="2334" xr:uid="{CBD279C3-1773-47DE-8D77-DE449F317C15}"/>
    <cellStyle name="style1690864797489" xfId="2335" xr:uid="{2F1117A9-A944-4B9D-837D-DF6655005A42}"/>
    <cellStyle name="style1690864797550" xfId="2336" xr:uid="{4238EAA5-F539-43CF-8501-196BE8857247}"/>
    <cellStyle name="style1690864797580" xfId="2337" xr:uid="{6B37230D-10DA-4C9F-9E3C-A7211FA5FCB8}"/>
    <cellStyle name="style1690864797620" xfId="2338" xr:uid="{304538D4-1646-486E-A8E0-BCB99B663B3D}"/>
    <cellStyle name="style1690864797650" xfId="2339" xr:uid="{62957934-AAC9-4CC9-A751-5AFAE48D4DBD}"/>
    <cellStyle name="style1690864797681" xfId="2340" xr:uid="{A1655078-124B-4ABC-9ADA-09ECC796208B}"/>
    <cellStyle name="style1690864797709" xfId="2341" xr:uid="{C35CF60F-370D-4F60-83A2-976B431081CD}"/>
    <cellStyle name="style1690864797732" xfId="2342" xr:uid="{FCF21E75-B54E-4BF7-AB60-2D5AF9F7EF2D}"/>
    <cellStyle name="style1690864797762" xfId="2343" xr:uid="{0428F889-43EE-4E67-8E3B-9F58D529C005}"/>
    <cellStyle name="style1690864797811" xfId="2344" xr:uid="{381CDEC7-D856-42A8-BC71-C7328F93088B}"/>
    <cellStyle name="style1690864798952" xfId="2345" xr:uid="{023F9721-0111-4AEE-8E47-E8B0D8AA2531}"/>
    <cellStyle name="style1690864798983" xfId="2346" xr:uid="{239D004B-C489-4BC6-99F7-4C315FAA3FEF}"/>
    <cellStyle name="style1690864799014" xfId="2347" xr:uid="{815D2CE0-6F9F-45E7-A9FA-3D7258378004}"/>
    <cellStyle name="style1690864823977" xfId="2349" xr:uid="{113FFEDA-3A2F-4FC0-9AFD-37410DFA59E2}"/>
    <cellStyle name="style1690864824029" xfId="2350" xr:uid="{C78C7986-F6D4-4DB0-B0AC-F1781615B659}"/>
    <cellStyle name="style1690864824069" xfId="2348" xr:uid="{59BCEB64-D7DC-49F8-AB27-C0C3123E0FA3}"/>
    <cellStyle name="style1690864824118" xfId="2351" xr:uid="{61072829-FFEE-4208-B10E-7E36D222ED18}"/>
    <cellStyle name="style1690864824159" xfId="2352" xr:uid="{7BB61E13-4717-4716-80BA-CB84FF479D62}"/>
    <cellStyle name="style1690864824191" xfId="2353" xr:uid="{45F21A95-1AE6-4E6A-AA19-ECF8D4025023}"/>
    <cellStyle name="style1690864824239" xfId="2354" xr:uid="{F8CAD53B-77F3-49C7-81B7-D9037BC4E0E4}"/>
    <cellStyle name="style1690864824282" xfId="2355" xr:uid="{786181F8-1F21-4541-B5F1-992C0CC320E4}"/>
    <cellStyle name="style1690864824333" xfId="2359" xr:uid="{68C67168-A26E-4CED-910A-D74ED03E35E8}"/>
    <cellStyle name="style1690864824384" xfId="2363" xr:uid="{D81BEB5E-4466-4DD7-BC26-520241619A7B}"/>
    <cellStyle name="style1690864824434" xfId="2356" xr:uid="{358FD258-E875-4702-B415-51FD66D39AF7}"/>
    <cellStyle name="style1690864824485" xfId="2360" xr:uid="{5FE46171-F809-4ED1-93B1-904874554320}"/>
    <cellStyle name="style1690864824525" xfId="2357" xr:uid="{DAA54B9A-4FEB-49FC-B87E-D170DCCA45C1}"/>
    <cellStyle name="style1690864824575" xfId="2361" xr:uid="{030D57C4-22C9-44CF-B29D-831B6EFF1D69}"/>
    <cellStyle name="style1690864824616" xfId="2364" xr:uid="{8AB6EBF1-19A0-4BBA-B52F-567E9015A5E3}"/>
    <cellStyle name="style1690864824656" xfId="2365" xr:uid="{5D98DE9A-AC58-41D5-A2B5-34775377AF83}"/>
    <cellStyle name="style1690864824705" xfId="2358" xr:uid="{F8DEAC1A-C07E-46C1-9B77-990F6DECA9FF}"/>
    <cellStyle name="style1690864824747" xfId="2362" xr:uid="{20B29AA5-9DF0-4990-91CC-ADA2AEBF3100}"/>
    <cellStyle name="style1690864824798" xfId="2366" xr:uid="{A12A9096-3443-44E1-8E33-2A7E1E47A9FE}"/>
    <cellStyle name="style1690864824866" xfId="2367" xr:uid="{A8349662-96D8-4003-8960-33556A34E06F}"/>
    <cellStyle name="style1690864824909" xfId="2368" xr:uid="{1318AB87-05AE-430A-9E3B-3D3575D66082}"/>
    <cellStyle name="style1690864824947" xfId="2369" xr:uid="{E397FAB6-369C-4E42-96D0-6053C1356C06}"/>
    <cellStyle name="style1690864824997" xfId="2370" xr:uid="{29F8CB3A-7E08-4258-B30B-D319652E0ABC}"/>
    <cellStyle name="style1690864825029" xfId="2371" xr:uid="{E6C8B6F9-9DCD-4D9D-B7C1-D665F435AA99}"/>
    <cellStyle name="style1690864825078" xfId="2372" xr:uid="{A73BA231-9A4F-4082-B839-F05DE1238515}"/>
    <cellStyle name="style1690864825125" xfId="2373" xr:uid="{28B05EE6-6DB6-4346-9C9B-B7617157A972}"/>
    <cellStyle name="style1690864825163" xfId="2374" xr:uid="{38F79E2A-106E-43F1-A18E-0DFAC53B340D}"/>
    <cellStyle name="style1690864825194" xfId="2375" xr:uid="{0972727B-10E0-4249-B352-B2F5FEE1C3CB}"/>
    <cellStyle name="style1690864825241" xfId="2376" xr:uid="{2B8D0DB9-7730-4A45-BFBA-90B74FE8D349}"/>
    <cellStyle name="style1690864825279" xfId="2377" xr:uid="{D16792A0-1C13-4C19-B3C2-750FA2F76764}"/>
    <cellStyle name="style1690864825315" xfId="2378" xr:uid="{3ADD64DB-0F18-4D44-8B6C-43365182E4F0}"/>
    <cellStyle name="style1690864825363" xfId="2379" xr:uid="{D5A64406-A419-44AC-A137-434F473AA0AB}"/>
    <cellStyle name="style1690864825394" xfId="2380" xr:uid="{7FCE54AD-1DA2-419E-82AE-A4CA8F438AFD}"/>
    <cellStyle name="style1690864825410" xfId="2381" xr:uid="{65CDB3A8-A8D1-46F5-A83D-81642428E800}"/>
    <cellStyle name="style1690864825448" xfId="2385" xr:uid="{49EB7341-34B5-4E09-A83A-44CD6227E925}"/>
    <cellStyle name="style1690864825479" xfId="2386" xr:uid="{324692F1-491F-40A7-B5A0-08065409C94A}"/>
    <cellStyle name="style1690864825510" xfId="2387" xr:uid="{EB6C4395-EC8C-41AC-A3D0-F3E36813D54C}"/>
    <cellStyle name="style1690864825548" xfId="2382" xr:uid="{6F8DFCFB-C1B8-4A88-A597-84E675E60075}"/>
    <cellStyle name="style1690864825579" xfId="2383" xr:uid="{7A58C5E4-F72F-45AA-ADDD-7CF97F8D6FBD}"/>
    <cellStyle name="style1690864825626" xfId="2384" xr:uid="{D64F8518-917C-4C1A-97ED-1EF787E5A672}"/>
    <cellStyle name="style1690864825664" xfId="2388" xr:uid="{161D4A04-791B-45E4-884C-E3FE4A1860C7}"/>
    <cellStyle name="style1690864825695" xfId="2389" xr:uid="{5AB1B1BF-1D00-402D-94CD-B63A39127443}"/>
    <cellStyle name="style1690864825726" xfId="2390" xr:uid="{26F01E0F-2602-40B3-81C2-725F9B7281CA}"/>
    <cellStyle name="style1690864825764" xfId="2391" xr:uid="{EC5FE068-6BFE-4590-8C03-0BB9B4A6C7D8}"/>
    <cellStyle name="style1690864825815" xfId="2392" xr:uid="{AB5AC037-C623-472A-A16B-F1D2C2A70A2F}"/>
    <cellStyle name="style1690864825849" xfId="2393" xr:uid="{D2A41A9A-59CC-49E5-B74E-4C084F1768E9}"/>
    <cellStyle name="style1690864825864" xfId="2394" xr:uid="{6DDC6E37-651B-4977-B9AF-D8A2D6CEEBF2}"/>
    <cellStyle name="style1690864825911" xfId="2395" xr:uid="{14064D5E-E371-4783-A6C1-A3641A6D8831}"/>
    <cellStyle name="style1690864825949" xfId="2396" xr:uid="{4B548A01-EC1B-4CBE-9D98-F323A4D2DE43}"/>
    <cellStyle name="style1690864825980" xfId="2407" xr:uid="{54993F5D-1BB1-4631-8A7A-E3CFCDC95242}"/>
    <cellStyle name="style1690864826011" xfId="2397" xr:uid="{0DEB7AEF-0549-44AC-9CD5-2CBB12C80410}"/>
    <cellStyle name="style1690864826049" xfId="2398" xr:uid="{1515C2CF-0AF8-4414-AE71-F4C9B10283B8}"/>
    <cellStyle name="style1690864826080" xfId="2399" xr:uid="{AC70A8DF-9246-4D83-A192-AFC4546E7CD9}"/>
    <cellStyle name="style1690864826112" xfId="2400" xr:uid="{E1EA3BBD-F146-4DBA-AA24-E0825D1B8279}"/>
    <cellStyle name="style1690864826127" xfId="2401" xr:uid="{6C6104B9-63DA-4AEB-B3FF-255B648AA5F5}"/>
    <cellStyle name="style1690864826165" xfId="2402" xr:uid="{5B6C13C0-131F-434B-B7BA-060AE5235678}"/>
    <cellStyle name="style1690864826181" xfId="2403" xr:uid="{B9259085-733F-4450-A23C-1F1BFFC50FA6}"/>
    <cellStyle name="style1690864826212" xfId="2404" xr:uid="{BE3FEF02-E213-4946-91AC-5BE642429CF9}"/>
    <cellStyle name="style1690864826243" xfId="2405" xr:uid="{8EE4FFFF-65FD-4BC3-AAF7-8948AC0E148B}"/>
    <cellStyle name="style1690864826265" xfId="2406" xr:uid="{F345630D-8AC3-4304-991B-3F85A8DF61D3}"/>
    <cellStyle name="style1690864826296" xfId="2408" xr:uid="{E5E5DF5A-0E2E-4C89-91A6-62D690EFECDD}"/>
    <cellStyle name="style1690864826332" xfId="2409" xr:uid="{910841B5-18CE-44DF-8F3F-09D850EEF26E}"/>
    <cellStyle name="style1690864826365" xfId="2410" xr:uid="{F545297B-605A-4175-8BA5-C3311E58F07B}"/>
    <cellStyle name="style1690867275242" xfId="2412" xr:uid="{AD3B23A6-467B-4FB9-B943-15EDC8254910}"/>
    <cellStyle name="style1690867275273" xfId="2413" xr:uid="{593B0583-D469-493A-B6AF-CB8349435433}"/>
    <cellStyle name="style1690867275295" xfId="2411" xr:uid="{71B6EFE8-5A20-43EA-AE98-3E9574A4BF80}"/>
    <cellStyle name="style1690867275331" xfId="2414" xr:uid="{5753F758-95BB-4828-926C-2BDE208096A3}"/>
    <cellStyle name="style1690867275346" xfId="2415" xr:uid="{4D961C3C-EA43-4D88-B041-F3101009A470}"/>
    <cellStyle name="style1690867275384" xfId="2419" xr:uid="{3ADA6DDA-4513-436C-980D-7755AAEF7CAF}"/>
    <cellStyle name="style1690867275409" xfId="2420" xr:uid="{19D531A4-2D56-4068-8AC2-BC18F8C3331A}"/>
    <cellStyle name="style1690867275441" xfId="2424" xr:uid="{CF224299-FF72-4551-BE21-B229BF463A77}"/>
    <cellStyle name="style1690867275472" xfId="2425" xr:uid="{23B11F72-FAD4-4F9E-9299-FDD9FEB5E763}"/>
    <cellStyle name="style1690867275496" xfId="2416" xr:uid="{C4578D4C-9760-4079-BCD9-92972C249A95}"/>
    <cellStyle name="style1690867275527" xfId="2417" xr:uid="{23E9E92A-EC87-4BCA-9682-904A8937DAD4}"/>
    <cellStyle name="style1690867275558" xfId="2418" xr:uid="{2505B72D-3190-4FE5-8155-EAC239B1C03B}"/>
    <cellStyle name="style1690867275596" xfId="2421" xr:uid="{99DA2BFE-FD06-492D-8C27-F53EE822FB44}"/>
    <cellStyle name="style1690867275627" xfId="2422" xr:uid="{4F669376-0F43-44A1-B71E-BAFC0D01BA33}"/>
    <cellStyle name="style1690867275658" xfId="2423" xr:uid="{569EB9EF-5882-489C-9DAA-C22ADFC0A7A4}"/>
    <cellStyle name="style1690867275689" xfId="2426" xr:uid="{B1E30A14-1BE3-48A8-A1D7-D41A291D605E}"/>
    <cellStyle name="style1690867275712" xfId="2427" xr:uid="{9848B1E2-DCE0-4E1F-B340-11BF695E8BB4}"/>
    <cellStyle name="style1690867275743" xfId="2428" xr:uid="{E7AC7F84-09B8-4795-9CC1-21AC63330642}"/>
    <cellStyle name="style1690867275774" xfId="2429" xr:uid="{CE264437-1F98-41EE-8D18-961C38B5F1DB}"/>
    <cellStyle name="style1690867275814" xfId="2434" xr:uid="{47D45994-4DC4-41E8-8E7D-30AD5E7D1106}"/>
    <cellStyle name="style1690867275833" xfId="2439" xr:uid="{F769489A-C8C7-4A3B-B090-CD54AD954C15}"/>
    <cellStyle name="style1690867275864" xfId="2430" xr:uid="{DCCEAD22-481F-460D-98F8-3754FAE8FA4D}"/>
    <cellStyle name="style1690867275903" xfId="2435" xr:uid="{FAE8CBA7-D08B-4310-A91F-DC8B1FF954BF}"/>
    <cellStyle name="style1690867275932" xfId="2440" xr:uid="{B33F6831-7B26-4FCE-8585-537F2207F355}"/>
    <cellStyle name="style1690867275959" xfId="2431" xr:uid="{6CA83040-B529-40E5-9EB0-B64A8B23A5C7}"/>
    <cellStyle name="style1690867275990" xfId="2432" xr:uid="{4892508C-6FE2-4742-B52E-520FC8313AA5}"/>
    <cellStyle name="style1690867276028" xfId="2433" xr:uid="{7D1E7C0F-B44E-433F-A976-9C1CFC746150}"/>
    <cellStyle name="style1690867276059" xfId="2436" xr:uid="{B1EBE7F8-0A12-4F69-BA71-048A9098AF1F}"/>
    <cellStyle name="style1690867276074" xfId="2437" xr:uid="{2CF1E2CC-8BB4-41A8-B854-1DB3DFBD41F1}"/>
    <cellStyle name="style1690867276112" xfId="2438" xr:uid="{91A3463F-4045-44B9-90ED-1FCA9A98C068}"/>
    <cellStyle name="style1690867276144" xfId="2441" xr:uid="{EEE42414-F5A7-4E99-8F5B-A37BC4473386}"/>
    <cellStyle name="style1690867276159" xfId="2442" xr:uid="{CAC23BF3-8DE8-4F8A-8106-65A61E6BBC72}"/>
    <cellStyle name="style1690867276197" xfId="2443" xr:uid="{4E06CF18-2D7E-422B-A71F-E91EB1AC4C1C}"/>
    <cellStyle name="style1690867276228" xfId="2444" xr:uid="{3C32E364-DCDC-45EB-9160-4E2BEB55E0E8}"/>
    <cellStyle name="style1690867276244" xfId="2445" xr:uid="{11A76F21-ED9E-4E8A-B0FD-1A4D052C3EF6}"/>
    <cellStyle name="style1690867276275" xfId="2446" xr:uid="{58AD831C-0E6D-4EF8-9E39-8AD432B305C2}"/>
    <cellStyle name="style1690867276297" xfId="2447" xr:uid="{6BEB3A7C-FE4E-4271-BD1B-DC6777EEF334}"/>
    <cellStyle name="style1690867276333" xfId="2448" xr:uid="{E4ECC5C2-C2B5-4E5F-8821-A50025EDAC82}"/>
    <cellStyle name="style1690867276348" xfId="2449" xr:uid="{E64BD7E6-BB40-463A-B0DF-786E8DD4488D}"/>
    <cellStyle name="style1690867276395" xfId="2450" xr:uid="{AB8DA6FA-891F-46F9-B83F-2B18E2DBA1C4}"/>
    <cellStyle name="style1690867276429" xfId="2451" xr:uid="{B261B4D1-8A01-41EF-9B01-C7066742DD49}"/>
    <cellStyle name="style1690867276458" xfId="2452" xr:uid="{FB6BF72A-B5F7-46E2-AC21-5F6D2AE62966}"/>
    <cellStyle name="style1690867276476" xfId="2453" xr:uid="{853D2562-8172-4148-BE88-C9B7AF43D7C0}"/>
    <cellStyle name="style1690867276513" xfId="2454" xr:uid="{E030351F-91CE-45C8-97BA-9C140EC1BA4D}"/>
    <cellStyle name="style1690867276544" xfId="2455" xr:uid="{D606222B-C555-4559-8584-FD33E147FC81}"/>
    <cellStyle name="style1690867276591" xfId="2456" xr:uid="{54B8A18A-1D67-4653-A08C-09BEF640E265}"/>
    <cellStyle name="style1690867276613" xfId="2457" xr:uid="{139D0DC6-4278-4633-B567-F007497C5B6E}"/>
    <cellStyle name="style1690867276644" xfId="2458" xr:uid="{7A173AD3-D560-474A-9C4A-2067A879A1F6}"/>
    <cellStyle name="style1690867276745" xfId="2459" xr:uid="{09B8B567-4854-4D79-AC3F-C3A87FCAE733}"/>
    <cellStyle name="style1690867276776" xfId="2460" xr:uid="{4D3F4BF9-0921-47DD-A9D2-0294FD304F3E}"/>
    <cellStyle name="style1690867276798" xfId="2461" xr:uid="{B4103A3E-F4AF-4944-BEEA-C01FCC716A95}"/>
    <cellStyle name="style1690867276834" xfId="2462" xr:uid="{CD029C4E-A175-4A27-8676-82BBC603F527}"/>
    <cellStyle name="style1690867276865" xfId="2463" xr:uid="{1B87989F-2BA3-4865-9FF6-3DA701D224A3}"/>
    <cellStyle name="style1690867276898" xfId="2464" xr:uid="{C80C62E9-EF4D-46C0-BA57-7E32165D3C5A}"/>
    <cellStyle name="style1690867276929" xfId="2465" xr:uid="{8B0E8812-EE65-4061-BF98-7E42EFB327D0}"/>
    <cellStyle name="style1690867276945" xfId="2466" xr:uid="{324F55FD-750A-43D1-B97E-31745F3F518B}"/>
    <cellStyle name="style1729051477296" xfId="2469" xr:uid="{1DE9E2B0-6EF8-4582-ABC2-A8C9C24716B2}"/>
    <cellStyle name="style1729051477369" xfId="2470" xr:uid="{04410AA5-5BE5-43D2-9231-DEF8B7D07A97}"/>
    <cellStyle name="style1729051477445" xfId="2468" xr:uid="{A6CF0653-65E4-4CE6-9AF2-EC4DDFDF9CD3}"/>
    <cellStyle name="style1729051477514" xfId="2471" xr:uid="{4373CFF6-C391-47D3-8264-73256DBB1D77}"/>
    <cellStyle name="style1729051477565" xfId="2472" xr:uid="{D5BDB849-B484-44BC-B404-B6015BE5BAF1}"/>
    <cellStyle name="style1729051477609" xfId="2476" xr:uid="{3BFACA73-C105-4BDC-9CA8-1EA96D3B2464}"/>
    <cellStyle name="style1729051477676" xfId="2477" xr:uid="{E4B2907D-8013-4FF0-A9CE-337D20D8CAB4}"/>
    <cellStyle name="style1729051477754" xfId="2481" xr:uid="{F0CB91FF-87AE-413E-AC36-6ACE865D1221}"/>
    <cellStyle name="style1729051477824" xfId="2482" xr:uid="{952B888D-9ECF-4126-B49C-ED85DA642725}"/>
    <cellStyle name="style1729051477897" xfId="2473" xr:uid="{9D5EF091-C002-464D-BA12-124AE798F3ED}"/>
    <cellStyle name="style1729051477973" xfId="2474" xr:uid="{C38F90B1-4A5D-4B86-AD77-23EDE5D0501E}"/>
    <cellStyle name="style1729051478048" xfId="2475" xr:uid="{1D786024-81C7-4741-B2E4-A3B1E95BB138}"/>
    <cellStyle name="style1729051478124" xfId="2478" xr:uid="{8D951D1F-DDD1-476D-842B-0FA00AA8486A}"/>
    <cellStyle name="style1729051478202" xfId="2479" xr:uid="{51C00760-E3FD-49AA-9A71-752B923A8B60}"/>
    <cellStyle name="style1729051478273" xfId="2480" xr:uid="{63ADAD37-8479-4BD4-81C4-1BB832ACB220}"/>
    <cellStyle name="style1729051478367" xfId="2483" xr:uid="{A159030C-4117-4C2C-A7E3-1F3F0E06B8C3}"/>
    <cellStyle name="style1729051478445" xfId="2484" xr:uid="{F5815043-3141-421D-A44D-23A3C3362434}"/>
    <cellStyle name="style1729051478537" xfId="2485" xr:uid="{DF26C2E9-6DFC-4C89-AB58-E5ED08EA6E9A}"/>
    <cellStyle name="style1729051478623" xfId="2486" xr:uid="{2DE88696-E17D-4097-AD7C-8AD127DBC62D}"/>
    <cellStyle name="style1729051478714" xfId="2487" xr:uid="{62FFE76F-CCDD-4049-9EA1-697A373B1124}"/>
    <cellStyle name="style1729051478781" xfId="2492" xr:uid="{6B1B5AF8-C358-4016-9A68-0B9D80B56296}"/>
    <cellStyle name="style1729051478836" xfId="2493" xr:uid="{584AB7A1-54F6-4E98-9766-81F977C3F602}"/>
    <cellStyle name="style1729051478928" xfId="2498" xr:uid="{5C8B5A9C-B9A2-4315-ABC4-80BBCA73914B}"/>
    <cellStyle name="style1729051479014" xfId="2499" xr:uid="{FAA72380-8664-4CE0-A4D0-F11244A7D072}"/>
    <cellStyle name="style1729051479095" xfId="2488" xr:uid="{486FC309-CBC5-402D-8757-8EE12CA3AACA}"/>
    <cellStyle name="style1729051479169" xfId="2489" xr:uid="{3C7CF056-4436-44A8-AFAB-AF74328DF405}"/>
    <cellStyle name="style1729051479222" xfId="2490" xr:uid="{CAC7B53F-A026-4AAD-BB69-90EC7349A8E2}"/>
    <cellStyle name="style1729051479262" xfId="2491" xr:uid="{669AAAC8-1C74-4EED-9267-F5E92A89B1AB}"/>
    <cellStyle name="style1729051479315" xfId="2494" xr:uid="{31A5F87F-1978-421E-B571-831DA660D39E}"/>
    <cellStyle name="style1729051479368" xfId="2495" xr:uid="{DD92F091-372B-4A5F-B93E-668C34328B58}"/>
    <cellStyle name="style1729051479421" xfId="2496" xr:uid="{010720C6-1741-4785-A3D0-9326FD67EE32}"/>
    <cellStyle name="style1729051479466" xfId="2497" xr:uid="{C75D175E-38CF-4BF1-B7EE-9679388BF23A}"/>
    <cellStyle name="style1729051479651" xfId="2500" xr:uid="{95CFB1E8-11AA-438F-BFFB-911FA82913C0}"/>
    <cellStyle name="style1729051479737" xfId="2501" xr:uid="{A52BE0FA-8C7B-4553-90AA-A7C35B30BFAC}"/>
    <cellStyle name="style1729051479813" xfId="2502" xr:uid="{ED61FF06-EC88-4D19-B44E-0ED1B64505E9}"/>
    <cellStyle name="style1729051479881" xfId="2503" xr:uid="{55D0DE8B-7624-4DA4-8563-9E301015B06B}"/>
    <cellStyle name="style1729051480315" xfId="2504" xr:uid="{75504AF9-504D-4F82-8E2C-621124B5012E}"/>
    <cellStyle name="style1729051480358" xfId="2505" xr:uid="{925CE139-A1E3-412E-82D4-179DE90157D4}"/>
    <cellStyle name="style1729051480399" xfId="2506" xr:uid="{FEEF9732-EABB-44F2-8142-0EC986DAFCC7}"/>
    <cellStyle name="style1729051480455" xfId="2507" xr:uid="{8E10C11C-8C7A-4257-BED2-13728B572C11}"/>
    <cellStyle name="style1729051480499" xfId="2509" xr:uid="{BBA2B2DD-C51B-48DF-BFA9-BF2A0D797146}"/>
    <cellStyle name="style1729051480543" xfId="2511" xr:uid="{4460E97F-83F9-4E45-B1CC-3DA3AF52C62A}"/>
    <cellStyle name="style1729051480612" xfId="2508" xr:uid="{A95B61D2-22F9-4EAF-8958-70ECFEF79202}"/>
    <cellStyle name="style1729051480667" xfId="2510" xr:uid="{BBEB3A2B-3514-48A9-A892-15E4A47436E7}"/>
    <cellStyle name="style1729051480746" xfId="2512" xr:uid="{A781C07C-64C3-49CC-AAA2-A1737F19C891}"/>
    <cellStyle name="style1729051481246" xfId="2513" xr:uid="{E6D639B1-3301-4476-B6CF-8F239B295C9D}"/>
    <cellStyle name="style1729051481289" xfId="2514" xr:uid="{B206789F-9B45-4E4C-BF65-971AA0334719}"/>
    <cellStyle name="style1729051481348" xfId="2515" xr:uid="{0AC2A125-9CDD-4C3F-ABBE-4DC3BC9A490E}"/>
    <cellStyle name="style1729051481395" xfId="2516" xr:uid="{71E197E1-A0EA-430B-97A6-C382415369B1}"/>
    <cellStyle name="style1729051481448" xfId="2517" xr:uid="{F5F88D7B-C3B3-4782-BA53-12449E8BDF1E}"/>
    <cellStyle name="style1729051481497" xfId="2518" xr:uid="{596C3309-A205-4DBF-85DD-5E91CD25245C}"/>
    <cellStyle name="style1729051481555" xfId="2519" xr:uid="{81B8F567-701A-4666-A702-B799E900389A}"/>
    <cellStyle name="style1729051481603" xfId="2520" xr:uid="{C3FDD122-4673-4627-8A0E-377631B51011}"/>
    <cellStyle name="style1729051481652" xfId="2521" xr:uid="{F1D1DC67-FCC0-4EBC-A555-8AFDA53D0608}"/>
    <cellStyle name="style1729051481930" xfId="2522" xr:uid="{4B1AB49A-F1A1-48A3-86BC-79D49EEF80DC}"/>
    <cellStyle name="style1729051481985" xfId="2523" xr:uid="{96303603-6CE5-4F51-89AE-F54C9C2C7662}"/>
    <cellStyle name="style1729051482037" xfId="2524" xr:uid="{0A0BF7E1-49EE-4F9E-A5E0-8023B6668209}"/>
    <cellStyle name="style1729051482071" xfId="2525" xr:uid="{5A75EFA1-2514-456A-942A-549DD7DAA03B}"/>
    <cellStyle name="style1729051482322" xfId="2526" xr:uid="{C5D28BA4-23CF-4363-AB93-EF7927D83B75}"/>
    <cellStyle name="style1729051482364" xfId="2527" xr:uid="{BB805153-EC08-4BA6-B606-A8D5507B1A42}"/>
    <cellStyle name="style1729051485406" xfId="2528" xr:uid="{A9EF7EF7-5351-46EC-BB9C-5039525E565D}"/>
    <cellStyle name="style1729051485453" xfId="2529" xr:uid="{A9D1C835-D1E2-42EE-8601-A1841C2C4CCB}"/>
    <cellStyle name="style1729051485495" xfId="2530" xr:uid="{68FB4584-5BE2-4571-BCF0-6F3BE9DF10F1}"/>
    <cellStyle name="style1729051485533" xfId="2531" xr:uid="{7DDEE004-43F2-4074-A587-F3FF800DF32E}"/>
    <cellStyle name="style1729051485570" xfId="2532" xr:uid="{9C079399-B54D-46C3-841F-37801C7A84FC}"/>
    <cellStyle name="style1729051485607" xfId="2533" xr:uid="{9FEBF44E-82C9-4D57-97EB-A2A27F57394D}"/>
    <cellStyle name="style1729051485646" xfId="2534" xr:uid="{A8BB8575-BFF9-4529-8A90-39775A9F5D37}"/>
    <cellStyle name="style1729051485680" xfId="2535" xr:uid="{1324C074-477B-4AE1-8B5E-9AE313335D24}"/>
    <cellStyle name="style1729051485719" xfId="2536" xr:uid="{95511191-4237-44F7-B007-5EAA27409F2B}"/>
    <cellStyle name="style1729051485989" xfId="2537" xr:uid="{3702B7E4-FFAD-4056-8014-84B5CFEFFA5E}"/>
    <cellStyle name="style1729051486039" xfId="2538" xr:uid="{30803342-3C8F-4D4A-9AD8-A796C26DB7DF}"/>
    <cellStyle name="style1729051486086" xfId="2539" xr:uid="{683F13E8-AF7B-4DF2-87E8-31FD33FE97C5}"/>
    <cellStyle name="style1729051501659" xfId="2589" xr:uid="{97CA6365-BAC6-49D0-9DC7-DF81BBF215C1}"/>
    <cellStyle name="style1729051501713" xfId="2590" xr:uid="{BB9E2060-E184-44C7-9872-421CD9207EDC}"/>
    <cellStyle name="style1729051501781" xfId="2588" xr:uid="{7466971F-4471-4C61-8397-1C625F1D78A2}"/>
    <cellStyle name="style1729051501843" xfId="2591" xr:uid="{0723080C-A6D1-430F-B3CE-40F242AC19CC}"/>
    <cellStyle name="style1729051501906" xfId="2592" xr:uid="{AC082C99-2631-4D30-B0E6-F6C5313280C2}"/>
    <cellStyle name="style1729051501964" xfId="2593" xr:uid="{73B85504-54D1-4C67-B73D-6B28869C5B1D}"/>
    <cellStyle name="style1729051502042" xfId="2594" xr:uid="{3AF852EE-6105-427F-904C-4939F16C1D55}"/>
    <cellStyle name="style1729051502107" xfId="2595" xr:uid="{A2C0150E-0F78-465B-8CD0-9D07959D476F}"/>
    <cellStyle name="style1729051502162" xfId="2596" xr:uid="{20F65003-194D-4F43-BECA-5896B93CA041}"/>
    <cellStyle name="style1729051502220" xfId="2597" xr:uid="{7856C649-D598-4ABA-A4DF-7810953DC830}"/>
    <cellStyle name="style1729051502274" xfId="2598" xr:uid="{C9F9B260-C489-4413-966E-131E24537490}"/>
    <cellStyle name="style1729051502326" xfId="2599" xr:uid="{9BE59B96-FB8D-475E-9424-4A36AC93410C}"/>
    <cellStyle name="style1729051502379" xfId="2600" xr:uid="{8D7D5F6E-06AA-482F-90DA-82EF5E736563}"/>
    <cellStyle name="style1729051502438" xfId="2601" xr:uid="{40EC8DB5-1CD4-4F8A-A045-AD4499A418CE}"/>
    <cellStyle name="style1729051502485" xfId="2602" xr:uid="{5A9C40F3-CCC0-49C2-9F3E-BC9FCAF74CF5}"/>
    <cellStyle name="style1729051502519" xfId="2603" xr:uid="{8CC4E8CC-BC8F-4C8F-AD0C-332B95E91170}"/>
    <cellStyle name="style1729051502605" xfId="2604" xr:uid="{70AADC16-6E2B-4498-9FF0-50ABB4B63F4A}"/>
    <cellStyle name="style1729051502643" xfId="2605" xr:uid="{B24A5CF9-5E16-4D8C-9A49-5C1D276CB1CD}"/>
    <cellStyle name="style1729051502680" xfId="2606" xr:uid="{32D5FFD2-C1B8-410A-81CD-782532F2CE57}"/>
    <cellStyle name="style1729051502744" xfId="2607" xr:uid="{8DAF2CCA-455F-428C-94DB-00761130E74B}"/>
    <cellStyle name="style1729051502808" xfId="2608" xr:uid="{4DCA35D1-ED82-4354-854C-EBBFE3C1FFC0}"/>
    <cellStyle name="style1729051502864" xfId="2609" xr:uid="{4851E8DA-505C-4043-A32E-5B06C9D60270}"/>
    <cellStyle name="style1729051502917" xfId="2610" xr:uid="{4676674E-8FF4-43FC-B534-069CF23E6564}"/>
    <cellStyle name="style1729051502980" xfId="2611" xr:uid="{5C64DAAE-4EFB-482D-9216-A89AD4D9AD3F}"/>
    <cellStyle name="style1729051503037" xfId="2615" xr:uid="{39613156-2522-4B47-B111-8E0CE6564A24}"/>
    <cellStyle name="style1729051503093" xfId="2616" xr:uid="{769865B0-D754-411C-95E2-C97B283783EB}"/>
    <cellStyle name="style1729051503163" xfId="2620" xr:uid="{9779A098-CDF2-4D32-A181-17518072CFB0}"/>
    <cellStyle name="style1729051503219" xfId="2621" xr:uid="{5DE2398B-CDAB-4EE4-A355-F6E77341BF0D}"/>
    <cellStyle name="style1729051503279" xfId="2612" xr:uid="{5F86A426-491F-4F5A-969C-64FEE4C4D0A8}"/>
    <cellStyle name="style1729051503350" xfId="2613" xr:uid="{44962A65-8797-4972-B2FA-B74A5A88A854}"/>
    <cellStyle name="style1729051503424" xfId="2614" xr:uid="{8983A079-0034-43FD-8A4A-23B50C96C428}"/>
    <cellStyle name="style1729051503489" xfId="2617" xr:uid="{868DF2A4-CDE5-4A9B-AB31-A139281C24A6}"/>
    <cellStyle name="style1729051503549" xfId="2618" xr:uid="{B36852CD-8C36-4BAB-A120-D2A75F1611D6}"/>
    <cellStyle name="style1729051503609" xfId="2619" xr:uid="{24828508-E042-4470-A074-97E99E355843}"/>
    <cellStyle name="style1729051503701" xfId="2622" xr:uid="{7B64E592-3B43-4981-81F3-36EB671E227F}"/>
    <cellStyle name="style1729051503755" xfId="2623" xr:uid="{73D30C6B-0B90-4241-AB27-489A300D288E}"/>
    <cellStyle name="style1729051503813" xfId="2624" xr:uid="{C282E9FA-B179-439C-A526-655619AA16F8}"/>
    <cellStyle name="style1729051564697" xfId="2541" xr:uid="{48AAE4B9-B947-42E0-87C4-D5EF8B6E71F7}"/>
    <cellStyle name="style1729051564750" xfId="2542" xr:uid="{0EC49741-481B-4A28-8717-E1CC5AF7A105}"/>
    <cellStyle name="style1729051564809" xfId="2540" xr:uid="{E4D4978D-0F58-4AA2-841A-9C120CFE732E}"/>
    <cellStyle name="style1729051564865" xfId="2543" xr:uid="{DBEF3275-26BD-4A10-84CC-1B1AED727B4A}"/>
    <cellStyle name="style1729051564899" xfId="2544" xr:uid="{993AB0CA-A194-4FA2-85B3-196E366E15B3}"/>
    <cellStyle name="style1729051564935" xfId="2545" xr:uid="{6EDF335F-2CC6-45D6-AD92-CBE13220D28A}"/>
    <cellStyle name="style1729051564973" xfId="2549" xr:uid="{A4525083-DDB9-4DB4-B523-FB5B747DF0E0}"/>
    <cellStyle name="style1729051565021" xfId="2550" xr:uid="{67D634AC-C964-4331-8306-BB6D5A76ACF4}"/>
    <cellStyle name="style1729051565056" xfId="2551" xr:uid="{5D00D1DB-517F-4C91-8BE8-91830CDAC781}"/>
    <cellStyle name="style1729051565104" xfId="2555" xr:uid="{47E297BE-4A47-45D0-83B8-7D7A91C565AD}"/>
    <cellStyle name="style1729051565153" xfId="2556" xr:uid="{F435DA9A-371D-4D2C-8C97-FBFD551F71C8}"/>
    <cellStyle name="style1729051565200" xfId="2557" xr:uid="{82065EDA-FCB1-4DC7-AC83-16AFEACCBC99}"/>
    <cellStyle name="style1729051565252" xfId="2546" xr:uid="{73624641-CCFA-4303-AC54-AB5C9E71A999}"/>
    <cellStyle name="style1729051565304" xfId="2547" xr:uid="{057645A9-0CFF-482A-94C4-DC351F714F19}"/>
    <cellStyle name="style1729051565357" xfId="2548" xr:uid="{AC263DA9-23A7-4542-9B7A-7388CC05ADE9}"/>
    <cellStyle name="style1729051565409" xfId="2552" xr:uid="{4994D646-828A-470C-9DDE-11F7F1519E95}"/>
    <cellStyle name="style1729051565458" xfId="2553" xr:uid="{A75C0508-6DFE-459A-8637-1C00FFAB2F87}"/>
    <cellStyle name="style1729051565500" xfId="2554" xr:uid="{28DC2F07-A619-4159-ABE2-47941523AFB8}"/>
    <cellStyle name="style1729051565552" xfId="2558" xr:uid="{07B5AB7F-0F77-454B-8E76-510F39D4950A}"/>
    <cellStyle name="style1729051565597" xfId="2559" xr:uid="{A94BBD0A-2211-4018-BE37-7BB93F7778F6}"/>
    <cellStyle name="style1729051565641" xfId="2560" xr:uid="{FFC7C2D4-8A4D-4B68-BF8F-3C205417B9A5}"/>
    <cellStyle name="style1729051565671" xfId="2561" xr:uid="{B88CCE8B-4DAC-4845-9AE2-535DAA675A8D}"/>
    <cellStyle name="style1729051565724" xfId="2567" xr:uid="{DCD114BF-08E3-49DA-B7AB-F708724F27E4}"/>
    <cellStyle name="style1729051565764" xfId="2573" xr:uid="{C9F17F65-7985-42FF-9D6F-5378AB503964}"/>
    <cellStyle name="style1729051565805" xfId="2562" xr:uid="{7337392D-49D3-4B04-A696-847356DC7447}"/>
    <cellStyle name="style1729051565846" xfId="2568" xr:uid="{2F718B4C-F248-486F-9637-963CA104BAC8}"/>
    <cellStyle name="style1729051565886" xfId="2574" xr:uid="{52E8C0ED-594F-44E8-A9A9-FA94DE80288A}"/>
    <cellStyle name="style1729051565927" xfId="2563" xr:uid="{0B904D15-9700-47A7-9A7D-587CD51D3C5A}"/>
    <cellStyle name="style1729051565973" xfId="2569" xr:uid="{C1A7705A-05CC-44E2-A305-90457EB64560}"/>
    <cellStyle name="style1729051566022" xfId="2575" xr:uid="{40D2837F-7F9A-4F27-BD18-2DD7E6835377}"/>
    <cellStyle name="style1729051566066" xfId="2564" xr:uid="{948D1D3B-D1DA-4A84-8269-CF3898D29FDF}"/>
    <cellStyle name="style1729051566116" xfId="2565" xr:uid="{A0C37EF1-E2DC-48DF-8900-6A8B09C60B3D}"/>
    <cellStyle name="style1729051566161" xfId="2566" xr:uid="{F359ECDB-0C7D-4FEF-888C-0B3E376FCE64}"/>
    <cellStyle name="style1729051566205" xfId="2570" xr:uid="{7B3B6AFE-0BF1-400C-91F7-A92E790EF1DE}"/>
    <cellStyle name="style1729051566245" xfId="2571" xr:uid="{3AFB018B-51D9-4424-AB1E-E9DA7FEA5797}"/>
    <cellStyle name="style1729051566286" xfId="2572" xr:uid="{1153ACF5-E013-4B37-8488-9E56BB9D0BD3}"/>
    <cellStyle name="style1729051566316" xfId="2576" xr:uid="{5348E9A3-336D-4D01-AA91-30814619E178}"/>
    <cellStyle name="style1729051566361" xfId="2577" xr:uid="{E76958D6-3260-4927-BCAD-D23A2C725EFA}"/>
    <cellStyle name="style1729051566399" xfId="2578" xr:uid="{0A81CFB3-C00D-4085-8DA0-E2EC380AE9FC}"/>
    <cellStyle name="style1729051566442" xfId="2579" xr:uid="{866DD85E-16C9-40F0-8348-845637B4D3CA}"/>
    <cellStyle name="style1729051566473" xfId="2580" xr:uid="{52EA18D7-44F2-41D1-9234-6393F686A8CC}"/>
    <cellStyle name="style1729051566499" xfId="2581" xr:uid="{566E96F7-5F21-46A5-A3DE-117D4501A790}"/>
    <cellStyle name="style1729051566526" xfId="2582" xr:uid="{E17B91D8-17E9-4040-9353-641B05B2C116}"/>
    <cellStyle name="style1729051566550" xfId="2583" xr:uid="{C32D37AF-074B-43C3-BC94-D3221839F3FF}"/>
    <cellStyle name="style1729051566576" xfId="2584" xr:uid="{4215B1A3-EAEB-4588-8143-B9C1B5482527}"/>
    <cellStyle name="style1729051566593" xfId="2585" xr:uid="{DFC86F66-3E7A-4A86-ABE9-33088C61B486}"/>
    <cellStyle name="style1729051566613" xfId="2586" xr:uid="{6BE316B2-0C48-45CF-88D4-77592A0CCCA8}"/>
    <cellStyle name="style1729051566644" xfId="2587" xr:uid="{D7765DC4-9BE9-468A-9D70-14279FC979F8}"/>
    <cellStyle name="style1729052435358" xfId="2626" xr:uid="{DEB00E20-E827-4BEC-BB59-3BEBA26D6A45}"/>
    <cellStyle name="style1729052435387" xfId="2627" xr:uid="{9EDA5530-C503-4DDF-B16E-5B1E09539DCD}"/>
    <cellStyle name="style1729052435418" xfId="2625" xr:uid="{856D9A50-2DC7-42B5-9B3B-2F4FC3310ECB}"/>
    <cellStyle name="style1729052435454" xfId="2628" xr:uid="{8C271885-039F-4F86-9937-23225329C785}"/>
    <cellStyle name="style1729052435483" xfId="2629" xr:uid="{2F6A89A2-CD4A-4A97-B973-6A83752DF796}"/>
    <cellStyle name="style1729052435509" xfId="2630" xr:uid="{BE9422EE-7E24-4C57-A8D1-9AC33E89D15D}"/>
    <cellStyle name="style1729052435540" xfId="2631" xr:uid="{D1146118-DDF1-4E91-B55B-C938F46A17F6}"/>
    <cellStyle name="style1729052435570" xfId="2632" xr:uid="{A420CC8E-63C3-4668-A792-37FE010488F6}"/>
    <cellStyle name="style1729052435590" xfId="2633" xr:uid="{3BCB7543-C8AB-4D06-B6E3-6A1A5940AAC6}"/>
    <cellStyle name="style1729052435622" xfId="2634" xr:uid="{D3DA2850-9F66-46FD-98CC-72E801BBA23F}"/>
    <cellStyle name="style1729052435651" xfId="2635" xr:uid="{AB21B836-79CD-415F-9883-28DF737D17A9}"/>
    <cellStyle name="style1729052435684" xfId="2636" xr:uid="{42B6DF5E-B82E-4822-98BC-F6F6462762E2}"/>
    <cellStyle name="style1729052435708" xfId="2637" xr:uid="{AE855986-97CD-409A-B7D8-3D1F3C38AA56}"/>
    <cellStyle name="style1729052435756" xfId="2638" xr:uid="{8EB4250C-7FE6-4A75-AABA-375EB4DDA7DE}"/>
    <cellStyle name="style1729052435783" xfId="2639" xr:uid="{1754BFF4-FE14-434D-B287-8CBD0F112802}"/>
    <cellStyle name="style1729052435802" xfId="2640" xr:uid="{9E510D65-D048-4BBB-8911-A63E68C93E64}"/>
    <cellStyle name="style1729052435858" xfId="2641" xr:uid="{46669CC1-5C82-44BF-90B2-789EB48DBD7D}"/>
    <cellStyle name="style1729052435874" xfId="2642" xr:uid="{A59427E9-0342-4F82-A775-9FDA4DB2209B}"/>
    <cellStyle name="style1729052435901" xfId="2643" xr:uid="{4EB4DD18-DF6D-4BD3-AB12-8F09EADA44F3}"/>
    <cellStyle name="style1729052435917" xfId="2644" xr:uid="{DD18AE2E-1DC6-43BC-A559-0B891F1EB4FE}"/>
    <cellStyle name="style1729052435965" xfId="2645" xr:uid="{CCB3D872-260C-4BB8-AE34-682DCE3FA186}"/>
    <cellStyle name="style1729052435989" xfId="2646" xr:uid="{F11C7D96-39D8-43D6-BF76-5101EEC54A34}"/>
    <cellStyle name="style1729052436014" xfId="2647" xr:uid="{E01F6F20-1F38-4EFD-BDB2-4A151C847F5A}"/>
    <cellStyle name="style1729052436045" xfId="2648" xr:uid="{477DF834-C768-4E03-B17C-07CADC70D698}"/>
    <cellStyle name="style1729052436087" xfId="2652" xr:uid="{AADFA34F-8E14-4D99-8904-82BC241EFA5F}"/>
    <cellStyle name="style1729052436121" xfId="2653" xr:uid="{2A39FA7F-2A16-4999-B71A-BB45991E1B63}"/>
    <cellStyle name="style1729052436147" xfId="2657" xr:uid="{5130F9EF-9F6A-42D9-8B17-BDC738F7B2F3}"/>
    <cellStyle name="style1729052436191" xfId="2658" xr:uid="{F511DD02-CAB9-4092-8026-D5DFD8ED304F}"/>
    <cellStyle name="style1729052436229" xfId="2649" xr:uid="{D97B4F9B-3CCA-42A8-BE11-008D9CECF892}"/>
    <cellStyle name="style1729052436260" xfId="2650" xr:uid="{67529A3D-B101-414E-978A-A82CBAEB19BC}"/>
    <cellStyle name="style1729052436300" xfId="2651" xr:uid="{632E3FAE-C239-4BCA-BF3B-52C95C514FCE}"/>
    <cellStyle name="style1729052436328" xfId="2654" xr:uid="{F0CC4456-D804-4F1E-A055-1B25B0AE38DC}"/>
    <cellStyle name="style1729052436359" xfId="2655" xr:uid="{4CB86D6F-286F-4C8F-92EE-2AF49B98A88B}"/>
    <cellStyle name="style1729052436391" xfId="2656" xr:uid="{6B588FA3-822D-4751-983D-5A077AB102AC}"/>
    <cellStyle name="style1729052436441" xfId="2659" xr:uid="{0F11662E-39CC-4CB9-A5CB-3222EABBD60E}"/>
    <cellStyle name="style1729052436469" xfId="2660" xr:uid="{8E25BFFA-BBD4-4790-9C07-A050F550BF52}"/>
    <cellStyle name="style1729052436489" xfId="2661" xr:uid="{B41AE81B-B8AC-4C49-BACD-5C810C7D6572}"/>
  </cellStyles>
  <dxfs count="136">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73" formatCode="\*&quot;$&quot;###,##0"/>
    </dxf>
    <dxf>
      <font>
        <color rgb="FFFF0000"/>
      </font>
      <numFmt numFmtId="174" formatCode="\*\*&quot;$&quot;###,##0"/>
    </dxf>
    <dxf>
      <font>
        <color rgb="FF00B050"/>
      </font>
      <numFmt numFmtId="173" formatCode="\*&quot;$&quot;###,##0"/>
    </dxf>
    <dxf>
      <font>
        <color rgb="FFFF0000"/>
      </font>
      <numFmt numFmtId="174" formatCode="\*\*&quot;$&quot;###,##0"/>
    </dxf>
    <dxf>
      <font>
        <color rgb="FF00B050"/>
      </font>
      <numFmt numFmtId="171" formatCode="\*0.0%"/>
    </dxf>
    <dxf>
      <font>
        <color rgb="FFFF0000"/>
      </font>
      <numFmt numFmtId="172" formatCode="\*\*0.0%"/>
    </dxf>
    <dxf>
      <font>
        <color rgb="FF00B050"/>
      </font>
      <numFmt numFmtId="173" formatCode="\*&quot;$&quot;###,##0"/>
    </dxf>
    <dxf>
      <font>
        <color rgb="FFFF0000"/>
      </font>
      <numFmt numFmtId="174" formatCode="\*\*&quot;$&quot;###,##0"/>
    </dxf>
    <dxf>
      <font>
        <color rgb="FF00B050"/>
      </font>
      <numFmt numFmtId="173" formatCode="\*&quot;$&quot;###,##0"/>
    </dxf>
    <dxf>
      <font>
        <color rgb="FFFF0000"/>
      </font>
      <numFmt numFmtId="174" formatCode="\*\*&quot;$&quot;###,##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
      <font>
        <color rgb="FF00B050"/>
      </font>
      <numFmt numFmtId="169" formatCode="\*#,###,###,##0"/>
    </dxf>
    <dxf>
      <font>
        <color rgb="FFFF0000"/>
      </font>
      <numFmt numFmtId="170" formatCode="\*\*#,###,###,##0"/>
    </dxf>
    <dxf>
      <font>
        <color rgb="FF00B050"/>
      </font>
      <numFmt numFmtId="171" formatCode="\*0.0%"/>
    </dxf>
    <dxf>
      <font>
        <color rgb="FFFF0000"/>
      </font>
      <numFmt numFmtId="172" formatCode="\*\*0.0%"/>
    </dxf>
  </dxfs>
  <tableStyles count="0" defaultTableStyle="TableStyleMedium2" defaultPivotStyle="PivotStyleLight16"/>
  <colors>
    <mruColors>
      <color rgb="FFFFDA00"/>
      <color rgb="FF349839"/>
      <color rgb="FF0F0A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56E47F-EA81-488E-B042-87836CAF5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57150</xdr:colOff>
      <xdr:row>1</xdr:row>
      <xdr:rowOff>9525</xdr:rowOff>
    </xdr:from>
    <xdr:to>
      <xdr:col>1</xdr:col>
      <xdr:colOff>1253025</xdr:colOff>
      <xdr:row>5</xdr:row>
      <xdr:rowOff>100154</xdr:rowOff>
    </xdr:to>
    <xdr:pic>
      <xdr:nvPicPr>
        <xdr:cNvPr id="5" name="Picture 4">
          <a:extLst>
            <a:ext uri="{FF2B5EF4-FFF2-40B4-BE49-F238E27FC236}">
              <a16:creationId xmlns:a16="http://schemas.microsoft.com/office/drawing/2014/main" id="{F5DE9533-322B-4086-8666-D579312C1D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200025"/>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54144</xdr:colOff>
      <xdr:row>1</xdr:row>
      <xdr:rowOff>9630</xdr:rowOff>
    </xdr:from>
    <xdr:to>
      <xdr:col>1</xdr:col>
      <xdr:colOff>1250019</xdr:colOff>
      <xdr:row>5</xdr:row>
      <xdr:rowOff>100259</xdr:rowOff>
    </xdr:to>
    <xdr:pic>
      <xdr:nvPicPr>
        <xdr:cNvPr id="7" name="Picture 6">
          <a:extLst>
            <a:ext uri="{FF2B5EF4-FFF2-40B4-BE49-F238E27FC236}">
              <a16:creationId xmlns:a16="http://schemas.microsoft.com/office/drawing/2014/main" id="{2E2A1D5B-AA8E-FA17-0C70-265EB6BB89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44" y="20013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238124</xdr:colOff>
      <xdr:row>0</xdr:row>
      <xdr:rowOff>76200</xdr:rowOff>
    </xdr:from>
    <xdr:to>
      <xdr:col>14</xdr:col>
      <xdr:colOff>152400</xdr:colOff>
      <xdr:row>10</xdr:row>
      <xdr:rowOff>47625</xdr:rowOff>
    </xdr:to>
    <xdr:sp macro="" textlink="">
      <xdr:nvSpPr>
        <xdr:cNvPr id="3" name="TextBox 2">
          <a:extLst>
            <a:ext uri="{FF2B5EF4-FFF2-40B4-BE49-F238E27FC236}">
              <a16:creationId xmlns:a16="http://schemas.microsoft.com/office/drawing/2014/main" id="{BB5286F4-FE41-4622-8CFF-66576DDA006D}"/>
            </a:ext>
          </a:extLst>
        </xdr:cNvPr>
        <xdr:cNvSpPr txBox="1"/>
      </xdr:nvSpPr>
      <xdr:spPr>
        <a:xfrm>
          <a:off x="10372724" y="762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57150</xdr:colOff>
      <xdr:row>1</xdr:row>
      <xdr:rowOff>0</xdr:rowOff>
    </xdr:from>
    <xdr:to>
      <xdr:col>2</xdr:col>
      <xdr:colOff>157650</xdr:colOff>
      <xdr:row>5</xdr:row>
      <xdr:rowOff>90629</xdr:rowOff>
    </xdr:to>
    <xdr:pic>
      <xdr:nvPicPr>
        <xdr:cNvPr id="9" name="Picture 8">
          <a:extLst>
            <a:ext uri="{FF2B5EF4-FFF2-40B4-BE49-F238E27FC236}">
              <a16:creationId xmlns:a16="http://schemas.microsoft.com/office/drawing/2014/main" id="{4A51C569-FB43-4E4B-891F-56A04A2635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D62B4DB2-4BCB-482B-9057-3EF8114AB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5535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157650</xdr:colOff>
      <xdr:row>5</xdr:row>
      <xdr:rowOff>90629</xdr:rowOff>
    </xdr:to>
    <xdr:pic>
      <xdr:nvPicPr>
        <xdr:cNvPr id="5" name="Picture 4">
          <a:extLst>
            <a:ext uri="{FF2B5EF4-FFF2-40B4-BE49-F238E27FC236}">
              <a16:creationId xmlns:a16="http://schemas.microsoft.com/office/drawing/2014/main" id="{624B9933-0D35-4721-A0A7-4B293DA195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21</xdr:col>
      <xdr:colOff>1</xdr:colOff>
      <xdr:row>1</xdr:row>
      <xdr:rowOff>0</xdr:rowOff>
    </xdr:from>
    <xdr:to>
      <xdr:col>28</xdr:col>
      <xdr:colOff>514351</xdr:colOff>
      <xdr:row>10</xdr:row>
      <xdr:rowOff>0</xdr:rowOff>
    </xdr:to>
    <xdr:sp macro="" textlink="">
      <xdr:nvSpPr>
        <xdr:cNvPr id="6" name="TextBox 5">
          <a:extLst>
            <a:ext uri="{FF2B5EF4-FFF2-40B4-BE49-F238E27FC236}">
              <a16:creationId xmlns:a16="http://schemas.microsoft.com/office/drawing/2014/main" id="{8F9CFD56-3AB1-417B-9C4F-6EE25A0EBE51}"/>
            </a:ext>
          </a:extLst>
        </xdr:cNvPr>
        <xdr:cNvSpPr txBox="1"/>
      </xdr:nvSpPr>
      <xdr:spPr>
        <a:xfrm>
          <a:off x="20574001" y="190500"/>
          <a:ext cx="4648200" cy="171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0</xdr:colOff>
      <xdr:row>48</xdr:row>
      <xdr:rowOff>0</xdr:rowOff>
    </xdr:from>
    <xdr:to>
      <xdr:col>32</xdr:col>
      <xdr:colOff>542925</xdr:colOff>
      <xdr:row>63</xdr:row>
      <xdr:rowOff>104775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7B7818DC-8043-45B1-B86A-18CB494050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542925</xdr:colOff>
      <xdr:row>54</xdr:row>
      <xdr:rowOff>104775</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AA885634-0255-4BAB-8BAF-17AEA578AA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E271C99A-CADC-47B0-AF9B-546BEBB073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5" name="Picture 4">
          <a:extLst>
            <a:ext uri="{FF2B5EF4-FFF2-40B4-BE49-F238E27FC236}">
              <a16:creationId xmlns:a16="http://schemas.microsoft.com/office/drawing/2014/main" id="{B767F55A-4083-46F4-8684-B4A66570F1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5AAB4C79-524D-41EF-AF92-45BD8808A4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48E17553-B2A6-40CF-B39D-D46C34D8C5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1A795EB3-CB2A-4C0C-BFF6-920288333F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AA6A96C0-E137-4FC8-8B89-4187D88162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E4AC71C2-9A72-4896-89BE-C383DD4C88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6" name="Picture 5">
          <a:extLst>
            <a:ext uri="{FF2B5EF4-FFF2-40B4-BE49-F238E27FC236}">
              <a16:creationId xmlns:a16="http://schemas.microsoft.com/office/drawing/2014/main" id="{C6F08711-1E60-4EE7-B03E-89F541AD8C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06D0BA4F-8EFE-4087-8244-28C32D25C5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7</xdr:col>
      <xdr:colOff>1</xdr:colOff>
      <xdr:row>1</xdr:row>
      <xdr:rowOff>0</xdr:rowOff>
    </xdr:from>
    <xdr:to>
      <xdr:col>17</xdr:col>
      <xdr:colOff>38101</xdr:colOff>
      <xdr:row>10</xdr:row>
      <xdr:rowOff>152400</xdr:rowOff>
    </xdr:to>
    <xdr:sp macro="" textlink="">
      <xdr:nvSpPr>
        <xdr:cNvPr id="3" name="TextBox 2">
          <a:extLst>
            <a:ext uri="{FF2B5EF4-FFF2-40B4-BE49-F238E27FC236}">
              <a16:creationId xmlns:a16="http://schemas.microsoft.com/office/drawing/2014/main" id="{F0801A9D-F661-48D2-85EB-B275855ED144}"/>
            </a:ext>
          </a:extLst>
        </xdr:cNvPr>
        <xdr:cNvSpPr txBox="1"/>
      </xdr:nvSpPr>
      <xdr:spPr>
        <a:xfrm>
          <a:off x="7915276"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8659DBB2-1C7A-48E4-9C61-A12D5DF856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7</xdr:col>
      <xdr:colOff>0</xdr:colOff>
      <xdr:row>1</xdr:row>
      <xdr:rowOff>0</xdr:rowOff>
    </xdr:from>
    <xdr:to>
      <xdr:col>17</xdr:col>
      <xdr:colOff>38100</xdr:colOff>
      <xdr:row>10</xdr:row>
      <xdr:rowOff>152400</xdr:rowOff>
    </xdr:to>
    <xdr:sp macro="" textlink="">
      <xdr:nvSpPr>
        <xdr:cNvPr id="4" name="TextBox 3">
          <a:extLst>
            <a:ext uri="{FF2B5EF4-FFF2-40B4-BE49-F238E27FC236}">
              <a16:creationId xmlns:a16="http://schemas.microsoft.com/office/drawing/2014/main" id="{3B4B62FB-474D-4253-8F66-6CCFEE79ED99}"/>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D1F23EA7-A399-4C18-A94E-2D88E19306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BA9EE600-4F2B-4E2A-A972-F6E3FF8033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32B8AC9D-93A0-4B35-B266-9D9A7FA33F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13</xdr:col>
      <xdr:colOff>561975</xdr:colOff>
      <xdr:row>1</xdr:row>
      <xdr:rowOff>0</xdr:rowOff>
    </xdr:from>
    <xdr:to>
      <xdr:col>21</xdr:col>
      <xdr:colOff>276226</xdr:colOff>
      <xdr:row>8</xdr:row>
      <xdr:rowOff>66675</xdr:rowOff>
    </xdr:to>
    <xdr:sp macro="" textlink="">
      <xdr:nvSpPr>
        <xdr:cNvPr id="4" name="TextBox 3">
          <a:extLst>
            <a:ext uri="{FF2B5EF4-FFF2-40B4-BE49-F238E27FC236}">
              <a16:creationId xmlns:a16="http://schemas.microsoft.com/office/drawing/2014/main" id="{130DA05F-4C7D-4ADE-8725-9649906A5662}"/>
            </a:ext>
          </a:extLst>
        </xdr:cNvPr>
        <xdr:cNvSpPr txBox="1"/>
      </xdr:nvSpPr>
      <xdr:spPr>
        <a:xfrm>
          <a:off x="12115800"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8F833BA8-AE39-4D45-AED4-196560C3F3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5EA1A195-DEF8-4D70-A4DF-28C139359E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89F859D2-801F-40CD-8B86-DD003EA501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2" name="Picture 1">
          <a:extLst>
            <a:ext uri="{FF2B5EF4-FFF2-40B4-BE49-F238E27FC236}">
              <a16:creationId xmlns:a16="http://schemas.microsoft.com/office/drawing/2014/main" id="{348AC757-3DE9-46C7-950F-4D542411D8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A0957901-BA49-4C92-92B3-12B4792573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4A574AF4-6F8B-4AF4-A70B-EED3CAE033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2" name="Picture 1">
          <a:extLst>
            <a:ext uri="{FF2B5EF4-FFF2-40B4-BE49-F238E27FC236}">
              <a16:creationId xmlns:a16="http://schemas.microsoft.com/office/drawing/2014/main" id="{20027438-363C-468E-A646-56C07FAB3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205275</xdr:colOff>
      <xdr:row>5</xdr:row>
      <xdr:rowOff>90629</xdr:rowOff>
    </xdr:to>
    <xdr:pic>
      <xdr:nvPicPr>
        <xdr:cNvPr id="3" name="Picture 2">
          <a:extLst>
            <a:ext uri="{FF2B5EF4-FFF2-40B4-BE49-F238E27FC236}">
              <a16:creationId xmlns:a16="http://schemas.microsoft.com/office/drawing/2014/main" id="{22D4FD6D-8EE5-457B-9F02-BD3E397B08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6E438100-7794-49E9-921B-40EC920E3A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157650</xdr:colOff>
      <xdr:row>5</xdr:row>
      <xdr:rowOff>90629</xdr:rowOff>
    </xdr:to>
    <xdr:pic>
      <xdr:nvPicPr>
        <xdr:cNvPr id="3" name="Picture 2">
          <a:extLst>
            <a:ext uri="{FF2B5EF4-FFF2-40B4-BE49-F238E27FC236}">
              <a16:creationId xmlns:a16="http://schemas.microsoft.com/office/drawing/2014/main" id="{CDD77903-602B-4CB8-B579-301FBDA0A1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2AFFDA7B-16D2-46B4-8293-12C70DC478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1</xdr:col>
      <xdr:colOff>1253025</xdr:colOff>
      <xdr:row>5</xdr:row>
      <xdr:rowOff>90629</xdr:rowOff>
    </xdr:to>
    <xdr:pic>
      <xdr:nvPicPr>
        <xdr:cNvPr id="3" name="Picture 2">
          <a:extLst>
            <a:ext uri="{FF2B5EF4-FFF2-40B4-BE49-F238E27FC236}">
              <a16:creationId xmlns:a16="http://schemas.microsoft.com/office/drawing/2014/main" id="{601EB1DA-805D-4CD9-A570-E5663AC880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652950</xdr:colOff>
      <xdr:row>5</xdr:row>
      <xdr:rowOff>90629</xdr:rowOff>
    </xdr:to>
    <xdr:pic>
      <xdr:nvPicPr>
        <xdr:cNvPr id="3" name="Picture 2">
          <a:extLst>
            <a:ext uri="{FF2B5EF4-FFF2-40B4-BE49-F238E27FC236}">
              <a16:creationId xmlns:a16="http://schemas.microsoft.com/office/drawing/2014/main" id="{EFAE6C4F-2439-445C-A49E-3B17AAC710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2</xdr:col>
      <xdr:colOff>652950</xdr:colOff>
      <xdr:row>5</xdr:row>
      <xdr:rowOff>90629</xdr:rowOff>
    </xdr:to>
    <xdr:pic>
      <xdr:nvPicPr>
        <xdr:cNvPr id="3" name="Picture 2">
          <a:extLst>
            <a:ext uri="{FF2B5EF4-FFF2-40B4-BE49-F238E27FC236}">
              <a16:creationId xmlns:a16="http://schemas.microsoft.com/office/drawing/2014/main" id="{3716038E-FD03-440E-955A-C68AE2DF01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3</xdr:col>
      <xdr:colOff>167175</xdr:colOff>
      <xdr:row>5</xdr:row>
      <xdr:rowOff>90629</xdr:rowOff>
    </xdr:to>
    <xdr:pic>
      <xdr:nvPicPr>
        <xdr:cNvPr id="2" name="Picture 1">
          <a:extLst>
            <a:ext uri="{FF2B5EF4-FFF2-40B4-BE49-F238E27FC236}">
              <a16:creationId xmlns:a16="http://schemas.microsoft.com/office/drawing/2014/main" id="{5DD37A3C-8C81-485C-82A5-34FC99AF15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90500"/>
          <a:ext cx="2196000" cy="852629"/>
        </a:xfrm>
        <a:prstGeom prst="rect">
          <a:avLst/>
        </a:prstGeom>
      </xdr:spPr>
    </xdr:pic>
    <xdr:clientData/>
  </xdr:twoCellAnchor>
  <xdr:twoCellAnchor>
    <xdr:from>
      <xdr:col>12</xdr:col>
      <xdr:colOff>47625</xdr:colOff>
      <xdr:row>13</xdr:row>
      <xdr:rowOff>85725</xdr:rowOff>
    </xdr:from>
    <xdr:to>
      <xdr:col>18</xdr:col>
      <xdr:colOff>133350</xdr:colOff>
      <xdr:row>22</xdr:row>
      <xdr:rowOff>38100</xdr:rowOff>
    </xdr:to>
    <xdr:sp macro="" textlink="">
      <xdr:nvSpPr>
        <xdr:cNvPr id="3" name="TextBox 2">
          <a:extLst>
            <a:ext uri="{FF2B5EF4-FFF2-40B4-BE49-F238E27FC236}">
              <a16:creationId xmlns:a16="http://schemas.microsoft.com/office/drawing/2014/main" id="{75BDF06B-DD88-843B-6295-DDE927E9FD57}"/>
            </a:ext>
          </a:extLst>
        </xdr:cNvPr>
        <xdr:cNvSpPr txBox="1"/>
      </xdr:nvSpPr>
      <xdr:spPr>
        <a:xfrm>
          <a:off x="9582150" y="2562225"/>
          <a:ext cx="4105275" cy="1666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66675</xdr:colOff>
      <xdr:row>1</xdr:row>
      <xdr:rowOff>9525</xdr:rowOff>
    </xdr:from>
    <xdr:to>
      <xdr:col>0</xdr:col>
      <xdr:colOff>2262675</xdr:colOff>
      <xdr:row>5</xdr:row>
      <xdr:rowOff>100154</xdr:rowOff>
    </xdr:to>
    <xdr:pic>
      <xdr:nvPicPr>
        <xdr:cNvPr id="2" name="Picture 1">
          <a:extLst>
            <a:ext uri="{FF2B5EF4-FFF2-40B4-BE49-F238E27FC236}">
              <a16:creationId xmlns:a16="http://schemas.microsoft.com/office/drawing/2014/main" id="{786D9F82-9151-4478-B676-33C1F49656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200025"/>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
  <sheetViews>
    <sheetView tabSelected="1" zoomScaleNormal="100" workbookViewId="0">
      <pane ySplit="12" topLeftCell="A13" activePane="bottomLeft" state="frozen"/>
      <selection pane="bottomLeft"/>
      <selection activeCell="J84" sqref="J84"/>
    </sheetView>
  </sheetViews>
  <sheetFormatPr defaultColWidth="8.85546875" defaultRowHeight="15"/>
  <cols>
    <col min="1" max="1" width="30.7109375" style="1" customWidth="1"/>
    <col min="2" max="2" width="13.28515625" style="1" customWidth="1"/>
    <col min="3" max="3" width="3.28515625" style="1" customWidth="1"/>
    <col min="4" max="4" width="81" style="1" customWidth="1"/>
    <col min="5" max="16384" width="8.85546875" style="1"/>
  </cols>
  <sheetData>
    <row r="1" spans="1:5">
      <c r="A1" s="34"/>
      <c r="B1" s="34"/>
      <c r="C1" s="34"/>
      <c r="D1" s="34"/>
    </row>
    <row r="2" spans="1:5">
      <c r="A2" s="34"/>
      <c r="B2" s="34"/>
      <c r="C2" s="34"/>
      <c r="D2" s="34"/>
    </row>
    <row r="3" spans="1:5">
      <c r="A3" s="34"/>
      <c r="B3" s="34"/>
      <c r="C3" s="34"/>
      <c r="D3" s="34"/>
    </row>
    <row r="4" spans="1:5">
      <c r="A4" s="34"/>
      <c r="B4" s="34"/>
      <c r="C4" s="34"/>
      <c r="D4" s="34"/>
    </row>
    <row r="5" spans="1:5">
      <c r="A5" s="34"/>
      <c r="B5" s="34"/>
      <c r="C5" s="34"/>
      <c r="D5" s="34"/>
    </row>
    <row r="6" spans="1:5">
      <c r="A6" s="34"/>
      <c r="B6" s="34"/>
      <c r="C6" s="34"/>
      <c r="D6" s="34"/>
    </row>
    <row r="7" spans="1:5">
      <c r="A7" s="34"/>
      <c r="B7" s="34"/>
      <c r="C7" s="34"/>
      <c r="D7" s="34"/>
    </row>
    <row r="8" spans="1:5">
      <c r="A8" s="35" t="s">
        <v>0</v>
      </c>
      <c r="B8" s="34"/>
      <c r="C8" s="34"/>
      <c r="D8" s="34"/>
    </row>
    <row r="9" spans="1:5">
      <c r="A9" s="34" t="s">
        <v>1</v>
      </c>
      <c r="B9" s="34"/>
      <c r="C9" s="34"/>
      <c r="D9" s="61" t="s">
        <v>2</v>
      </c>
    </row>
    <row r="10" spans="1:5">
      <c r="A10" s="130" t="s">
        <v>3</v>
      </c>
      <c r="B10" s="130"/>
      <c r="C10" s="130"/>
      <c r="D10" s="131" t="s">
        <v>4</v>
      </c>
    </row>
    <row r="11" spans="1:5">
      <c r="A11" s="37"/>
      <c r="B11" s="37"/>
      <c r="C11" s="37"/>
      <c r="D11" s="37"/>
    </row>
    <row r="12" spans="1:5">
      <c r="A12" s="37"/>
      <c r="B12" s="38" t="s">
        <v>5</v>
      </c>
      <c r="C12" s="38"/>
      <c r="D12" s="38" t="s">
        <v>6</v>
      </c>
    </row>
    <row r="13" spans="1:5">
      <c r="A13" s="40" t="s">
        <v>7</v>
      </c>
      <c r="B13" s="1">
        <v>1</v>
      </c>
      <c r="D13" s="1" t="s">
        <v>8</v>
      </c>
      <c r="E13" s="113"/>
    </row>
    <row r="14" spans="1:5">
      <c r="A14" s="40"/>
      <c r="B14" s="1">
        <v>2</v>
      </c>
      <c r="D14" s="1" t="s">
        <v>9</v>
      </c>
    </row>
    <row r="15" spans="1:5">
      <c r="A15" s="40"/>
    </row>
    <row r="16" spans="1:5">
      <c r="A16" s="40" t="s">
        <v>10</v>
      </c>
      <c r="B16" s="1">
        <v>3</v>
      </c>
      <c r="D16" s="1" t="s">
        <v>11</v>
      </c>
    </row>
    <row r="17" spans="1:4">
      <c r="A17" s="40"/>
      <c r="B17" s="1">
        <v>4</v>
      </c>
      <c r="D17" s="1" t="s">
        <v>12</v>
      </c>
    </row>
    <row r="18" spans="1:4">
      <c r="A18" s="40"/>
      <c r="B18" s="1">
        <v>5</v>
      </c>
      <c r="D18" s="1" t="s">
        <v>13</v>
      </c>
    </row>
    <row r="19" spans="1:4">
      <c r="A19" s="40"/>
      <c r="B19" s="1">
        <v>6</v>
      </c>
      <c r="D19" s="1" t="s">
        <v>14</v>
      </c>
    </row>
    <row r="20" spans="1:4">
      <c r="A20" s="40"/>
      <c r="B20" s="1">
        <v>7</v>
      </c>
      <c r="D20" s="1" t="s">
        <v>15</v>
      </c>
    </row>
    <row r="21" spans="1:4">
      <c r="A21" s="40"/>
      <c r="B21" s="1">
        <v>8</v>
      </c>
      <c r="D21" s="1" t="s">
        <v>16</v>
      </c>
    </row>
    <row r="22" spans="1:4">
      <c r="A22" s="40"/>
      <c r="B22" s="1">
        <v>9</v>
      </c>
      <c r="D22" s="1" t="s">
        <v>17</v>
      </c>
    </row>
    <row r="23" spans="1:4">
      <c r="A23" s="40"/>
      <c r="B23" s="1">
        <v>10</v>
      </c>
      <c r="D23" s="1" t="s">
        <v>18</v>
      </c>
    </row>
    <row r="24" spans="1:4">
      <c r="A24" s="40"/>
      <c r="B24" s="1">
        <v>11</v>
      </c>
      <c r="D24" s="9" t="s">
        <v>19</v>
      </c>
    </row>
    <row r="25" spans="1:4">
      <c r="A25" s="40"/>
      <c r="B25" s="1">
        <v>12</v>
      </c>
      <c r="D25" s="9" t="s">
        <v>20</v>
      </c>
    </row>
    <row r="26" spans="1:4">
      <c r="A26" s="40"/>
      <c r="B26" s="1">
        <v>13</v>
      </c>
      <c r="D26" s="9" t="s">
        <v>21</v>
      </c>
    </row>
    <row r="27" spans="1:4">
      <c r="A27" s="40"/>
      <c r="B27" s="1">
        <v>14</v>
      </c>
      <c r="D27" s="9" t="s">
        <v>22</v>
      </c>
    </row>
    <row r="28" spans="1:4">
      <c r="A28" s="40"/>
      <c r="B28" s="1">
        <v>15</v>
      </c>
      <c r="D28" s="1" t="s">
        <v>23</v>
      </c>
    </row>
    <row r="29" spans="1:4">
      <c r="A29" s="40"/>
      <c r="B29" s="1">
        <v>16</v>
      </c>
      <c r="D29" s="1" t="s">
        <v>24</v>
      </c>
    </row>
    <row r="30" spans="1:4">
      <c r="A30" s="40"/>
      <c r="B30" s="1">
        <v>17</v>
      </c>
      <c r="D30" s="1" t="s">
        <v>25</v>
      </c>
    </row>
    <row r="31" spans="1:4">
      <c r="A31" s="40"/>
      <c r="B31" s="1">
        <v>18</v>
      </c>
      <c r="D31" s="1" t="s">
        <v>26</v>
      </c>
    </row>
    <row r="32" spans="1:4">
      <c r="A32" s="40"/>
      <c r="B32" s="1">
        <v>19</v>
      </c>
      <c r="D32" s="1" t="s">
        <v>27</v>
      </c>
    </row>
    <row r="33" spans="1:4">
      <c r="A33" s="40"/>
      <c r="B33" s="1">
        <v>20</v>
      </c>
      <c r="D33" s="1" t="s">
        <v>28</v>
      </c>
    </row>
    <row r="34" spans="1:4">
      <c r="A34" s="40"/>
      <c r="B34" s="1">
        <v>21</v>
      </c>
      <c r="D34" s="1" t="s">
        <v>29</v>
      </c>
    </row>
    <row r="35" spans="1:4">
      <c r="A35" s="40"/>
      <c r="B35" s="1">
        <v>22</v>
      </c>
      <c r="D35" s="1" t="s">
        <v>30</v>
      </c>
    </row>
    <row r="36" spans="1:4">
      <c r="A36" s="40"/>
      <c r="B36" s="1">
        <v>23</v>
      </c>
      <c r="D36" s="1" t="s">
        <v>31</v>
      </c>
    </row>
    <row r="37" spans="1:4">
      <c r="A37" s="40"/>
      <c r="B37" s="1">
        <v>24</v>
      </c>
      <c r="D37" s="1" t="s">
        <v>32</v>
      </c>
    </row>
    <row r="38" spans="1:4">
      <c r="A38" s="40"/>
      <c r="B38" s="1">
        <v>25</v>
      </c>
      <c r="D38" s="1" t="s">
        <v>33</v>
      </c>
    </row>
    <row r="39" spans="1:4">
      <c r="A39" s="40"/>
      <c r="B39" s="1">
        <v>26</v>
      </c>
      <c r="D39" s="1" t="s">
        <v>34</v>
      </c>
    </row>
    <row r="40" spans="1:4">
      <c r="A40" s="40"/>
      <c r="B40" s="1">
        <v>27</v>
      </c>
      <c r="D40" s="1" t="s">
        <v>35</v>
      </c>
    </row>
    <row r="41" spans="1:4">
      <c r="A41" s="40"/>
      <c r="B41" s="1">
        <v>28</v>
      </c>
      <c r="D41" s="1" t="s">
        <v>36</v>
      </c>
    </row>
    <row r="42" spans="1:4">
      <c r="A42" s="40"/>
      <c r="B42" s="1">
        <v>29</v>
      </c>
      <c r="D42" s="1" t="s">
        <v>37</v>
      </c>
    </row>
    <row r="43" spans="1:4">
      <c r="A43" s="40"/>
    </row>
    <row r="44" spans="1:4">
      <c r="A44" s="40" t="s">
        <v>38</v>
      </c>
      <c r="B44" s="1">
        <v>30</v>
      </c>
      <c r="D44" s="1" t="s">
        <v>39</v>
      </c>
    </row>
    <row r="45" spans="1:4">
      <c r="A45" s="40"/>
      <c r="B45" s="1">
        <v>31</v>
      </c>
      <c r="D45" s="1" t="s">
        <v>40</v>
      </c>
    </row>
    <row r="46" spans="1:4">
      <c r="A46" s="40"/>
    </row>
    <row r="47" spans="1:4">
      <c r="A47" s="40" t="s">
        <v>41</v>
      </c>
      <c r="B47" s="1">
        <v>32</v>
      </c>
      <c r="D47" s="9" t="s">
        <v>42</v>
      </c>
    </row>
    <row r="48" spans="1:4">
      <c r="A48" s="40"/>
      <c r="B48" s="1">
        <v>33</v>
      </c>
      <c r="D48" s="9" t="s">
        <v>43</v>
      </c>
    </row>
    <row r="49" spans="1:4">
      <c r="A49" s="40"/>
    </row>
    <row r="50" spans="1:4">
      <c r="A50" s="40" t="s">
        <v>44</v>
      </c>
      <c r="B50" s="1">
        <v>34</v>
      </c>
      <c r="D50" s="1" t="s">
        <v>45</v>
      </c>
    </row>
    <row r="51" spans="1:4">
      <c r="A51" s="40"/>
    </row>
    <row r="52" spans="1:4">
      <c r="A52" s="40" t="s">
        <v>46</v>
      </c>
      <c r="B52" s="1">
        <v>35</v>
      </c>
      <c r="D52" s="1" t="s">
        <v>46</v>
      </c>
    </row>
    <row r="53" spans="1:4">
      <c r="A53" s="132"/>
      <c r="B53" s="133"/>
      <c r="C53" s="133"/>
      <c r="D53" s="133"/>
    </row>
  </sheetData>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5"/>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c r="A1" s="34"/>
      <c r="B1" s="34"/>
      <c r="C1" s="35"/>
      <c r="D1" s="34"/>
      <c r="E1" s="34"/>
      <c r="F1" s="34"/>
      <c r="G1" s="35"/>
      <c r="H1" s="34"/>
      <c r="I1" s="34"/>
      <c r="J1" s="34"/>
      <c r="K1" s="35"/>
      <c r="L1" s="34"/>
      <c r="M1" s="34"/>
      <c r="N1" s="34"/>
      <c r="O1" s="35"/>
      <c r="P1" s="34"/>
      <c r="Q1" s="34"/>
      <c r="R1" s="34"/>
      <c r="S1" s="35"/>
      <c r="T1" s="34"/>
      <c r="U1" s="34"/>
      <c r="V1" s="34"/>
      <c r="W1" s="35"/>
      <c r="X1" s="34"/>
      <c r="Y1" s="34"/>
    </row>
    <row r="2" spans="1:26">
      <c r="A2" s="34"/>
      <c r="B2" s="34"/>
      <c r="C2" s="35"/>
      <c r="D2" s="34"/>
      <c r="E2" s="34"/>
      <c r="F2" s="34"/>
      <c r="G2" s="35"/>
      <c r="H2" s="34"/>
      <c r="I2" s="34"/>
      <c r="J2" s="34"/>
      <c r="K2" s="35"/>
      <c r="L2" s="34"/>
      <c r="M2" s="34"/>
      <c r="N2" s="34"/>
      <c r="O2" s="35"/>
      <c r="P2" s="34"/>
      <c r="Q2" s="34"/>
      <c r="R2" s="34"/>
      <c r="S2" s="35"/>
      <c r="T2" s="34"/>
      <c r="U2" s="34"/>
      <c r="V2" s="34"/>
      <c r="W2" s="35"/>
      <c r="X2" s="34"/>
      <c r="Y2" s="34"/>
    </row>
    <row r="3" spans="1:26">
      <c r="A3" s="34"/>
      <c r="B3" s="34"/>
      <c r="C3" s="35"/>
      <c r="D3" s="34"/>
      <c r="E3" s="34"/>
      <c r="F3" s="34"/>
      <c r="G3" s="35"/>
      <c r="H3" s="34"/>
      <c r="I3" s="34"/>
      <c r="J3" s="34"/>
      <c r="K3" s="35"/>
      <c r="L3" s="34"/>
      <c r="M3" s="34"/>
      <c r="N3" s="34"/>
      <c r="O3" s="35"/>
      <c r="P3" s="34"/>
      <c r="Q3" s="34"/>
      <c r="R3" s="34"/>
      <c r="S3" s="35"/>
      <c r="T3" s="34"/>
      <c r="U3" s="34"/>
      <c r="V3" s="34"/>
      <c r="W3" s="35"/>
      <c r="X3" s="34"/>
      <c r="Y3" s="34"/>
    </row>
    <row r="4" spans="1:26">
      <c r="A4" s="34"/>
      <c r="B4" s="34"/>
      <c r="C4" s="35"/>
      <c r="D4" s="34"/>
      <c r="E4" s="34"/>
      <c r="F4" s="34"/>
      <c r="G4" s="35"/>
      <c r="H4" s="34"/>
      <c r="I4" s="34"/>
      <c r="J4" s="34"/>
      <c r="K4" s="35"/>
      <c r="L4" s="34"/>
      <c r="M4" s="34"/>
      <c r="N4" s="34"/>
      <c r="O4" s="35"/>
      <c r="P4" s="34"/>
      <c r="Q4" s="34"/>
      <c r="R4" s="34"/>
      <c r="S4" s="35"/>
      <c r="T4" s="34"/>
      <c r="U4" s="34"/>
      <c r="V4" s="34"/>
      <c r="W4" s="35"/>
      <c r="X4" s="34"/>
      <c r="Y4" s="34"/>
    </row>
    <row r="5" spans="1:26">
      <c r="A5" s="34"/>
      <c r="B5" s="34"/>
      <c r="C5" s="35"/>
      <c r="D5" s="34"/>
      <c r="E5" s="34"/>
      <c r="F5" s="34"/>
      <c r="G5" s="35"/>
      <c r="H5" s="34"/>
      <c r="I5" s="34"/>
      <c r="J5" s="34"/>
      <c r="K5" s="35"/>
      <c r="L5" s="34"/>
      <c r="M5" s="34"/>
      <c r="N5" s="34"/>
      <c r="O5" s="35"/>
      <c r="P5" s="34"/>
      <c r="Q5" s="34"/>
      <c r="R5" s="34"/>
      <c r="S5" s="35"/>
      <c r="T5" s="34"/>
      <c r="U5" s="34"/>
      <c r="V5" s="34"/>
      <c r="W5" s="35"/>
      <c r="X5" s="34"/>
      <c r="Y5" s="34"/>
    </row>
    <row r="6" spans="1:26">
      <c r="A6" s="34"/>
      <c r="B6" s="34"/>
      <c r="C6" s="35"/>
      <c r="D6" s="34"/>
      <c r="E6" s="34"/>
      <c r="F6" s="34"/>
      <c r="G6" s="35"/>
      <c r="H6" s="34"/>
      <c r="I6" s="34"/>
      <c r="J6" s="34"/>
      <c r="K6" s="35"/>
      <c r="L6" s="34"/>
      <c r="M6" s="34"/>
      <c r="N6" s="34"/>
      <c r="O6" s="35"/>
      <c r="P6" s="34"/>
      <c r="Q6" s="34"/>
      <c r="R6" s="34"/>
      <c r="S6" s="35"/>
      <c r="T6" s="34"/>
      <c r="U6" s="34"/>
      <c r="V6" s="34"/>
      <c r="W6" s="35"/>
      <c r="X6" s="34"/>
      <c r="Y6" s="34"/>
    </row>
    <row r="7" spans="1:26">
      <c r="A7" s="34"/>
      <c r="B7" s="34"/>
      <c r="C7" s="35"/>
      <c r="D7" s="34"/>
      <c r="E7" s="34"/>
      <c r="F7" s="34"/>
      <c r="G7" s="35"/>
      <c r="H7" s="34"/>
      <c r="I7" s="34"/>
      <c r="J7" s="34"/>
      <c r="K7" s="35"/>
      <c r="L7" s="34"/>
      <c r="M7" s="34"/>
      <c r="N7" s="34"/>
      <c r="O7" s="35"/>
      <c r="P7" s="34"/>
      <c r="Q7" s="34"/>
      <c r="R7" s="34"/>
      <c r="S7" s="35"/>
      <c r="T7" s="34"/>
      <c r="U7" s="34"/>
      <c r="V7" s="34"/>
      <c r="W7" s="35"/>
      <c r="X7" s="34"/>
      <c r="Y7" s="34"/>
    </row>
    <row r="8" spans="1:26">
      <c r="A8" s="35" t="s">
        <v>0</v>
      </c>
      <c r="B8" s="34"/>
      <c r="C8" s="35"/>
      <c r="D8" s="34"/>
      <c r="E8" s="34"/>
      <c r="F8" s="34"/>
      <c r="G8" s="35"/>
      <c r="H8" s="34"/>
      <c r="I8" s="34"/>
      <c r="J8" s="34"/>
      <c r="K8" s="35"/>
      <c r="L8" s="34"/>
      <c r="M8" s="34"/>
      <c r="N8" s="34"/>
      <c r="O8" s="35"/>
      <c r="P8" s="34"/>
      <c r="Q8" s="34"/>
      <c r="R8" s="34"/>
      <c r="S8" s="35"/>
      <c r="T8" s="34"/>
      <c r="U8" s="34"/>
      <c r="V8" s="34"/>
      <c r="W8" s="35"/>
      <c r="X8" s="34"/>
      <c r="Y8" s="34"/>
    </row>
    <row r="9" spans="1:26">
      <c r="A9" s="34" t="s">
        <v>1</v>
      </c>
      <c r="B9" s="35" t="s">
        <v>2</v>
      </c>
      <c r="C9" s="35"/>
      <c r="D9" s="34"/>
      <c r="E9" s="34"/>
      <c r="F9" s="34"/>
      <c r="G9" s="35"/>
      <c r="H9" s="34"/>
      <c r="I9" s="34"/>
      <c r="J9" s="34"/>
      <c r="K9" s="35"/>
      <c r="L9" s="34"/>
      <c r="M9" s="34"/>
      <c r="N9" s="34"/>
      <c r="O9" s="35"/>
      <c r="P9" s="34"/>
      <c r="Q9" s="34"/>
      <c r="R9" s="34"/>
      <c r="S9" s="35"/>
      <c r="T9" s="34"/>
      <c r="U9" s="34"/>
      <c r="V9" s="34"/>
      <c r="W9" s="35"/>
      <c r="X9" s="34"/>
      <c r="Y9" s="34"/>
    </row>
    <row r="10" spans="1:26">
      <c r="A10" s="34" t="s">
        <v>47</v>
      </c>
      <c r="B10" s="36">
        <v>1</v>
      </c>
      <c r="C10" s="35"/>
      <c r="D10" s="34"/>
      <c r="E10" s="34"/>
      <c r="F10" s="34"/>
      <c r="G10" s="35"/>
      <c r="H10" s="34"/>
      <c r="I10" s="34"/>
      <c r="J10" s="34"/>
      <c r="K10" s="35"/>
      <c r="L10" s="34"/>
      <c r="M10" s="34"/>
      <c r="N10" s="34"/>
      <c r="O10" s="35"/>
      <c r="P10" s="34"/>
      <c r="Q10" s="34"/>
      <c r="R10" s="34"/>
      <c r="S10" s="35"/>
      <c r="T10" s="34"/>
      <c r="U10" s="34"/>
      <c r="V10" s="34"/>
      <c r="W10" s="35"/>
      <c r="X10" s="34"/>
      <c r="Y10" s="34"/>
    </row>
    <row r="11" spans="1:26">
      <c r="A11" s="34" t="s">
        <v>3</v>
      </c>
      <c r="B11" s="35" t="s">
        <v>8</v>
      </c>
      <c r="C11" s="35"/>
      <c r="D11" s="34"/>
      <c r="E11" s="34"/>
      <c r="F11" s="34"/>
      <c r="G11" s="35"/>
      <c r="H11" s="34"/>
      <c r="I11" s="34"/>
      <c r="J11" s="34"/>
      <c r="K11" s="35"/>
      <c r="L11" s="34"/>
      <c r="M11" s="34"/>
      <c r="N11" s="34"/>
      <c r="O11" s="35"/>
      <c r="P11" s="34"/>
      <c r="Q11" s="34"/>
      <c r="R11" s="34"/>
      <c r="S11" s="35"/>
      <c r="T11" s="34"/>
      <c r="U11" s="34"/>
      <c r="V11" s="34"/>
      <c r="W11" s="35"/>
      <c r="X11" s="34"/>
      <c r="Y11" s="34"/>
    </row>
    <row r="12" spans="1:26">
      <c r="A12" s="130" t="s">
        <v>48</v>
      </c>
      <c r="B12" s="131" t="s">
        <v>49</v>
      </c>
      <c r="C12" s="131"/>
      <c r="D12" s="130"/>
      <c r="E12" s="130"/>
      <c r="F12" s="130"/>
      <c r="G12" s="131"/>
      <c r="H12" s="130"/>
      <c r="I12" s="130"/>
      <c r="J12" s="130"/>
      <c r="K12" s="131"/>
      <c r="L12" s="130"/>
      <c r="M12" s="130"/>
      <c r="N12" s="130"/>
      <c r="O12" s="131"/>
      <c r="P12" s="130"/>
      <c r="Q12" s="130"/>
      <c r="R12" s="130"/>
      <c r="S12" s="131"/>
      <c r="T12" s="130"/>
      <c r="U12" s="130"/>
      <c r="V12" s="130"/>
      <c r="W12" s="131"/>
      <c r="X12" s="130"/>
      <c r="Y12" s="130"/>
    </row>
    <row r="13" spans="1:26" s="100" customFormat="1" ht="24.95" customHeight="1">
      <c r="A13" s="98"/>
      <c r="B13" s="98"/>
      <c r="C13" s="155" t="s">
        <v>50</v>
      </c>
      <c r="D13" s="155"/>
      <c r="E13" s="155"/>
      <c r="F13" s="155"/>
      <c r="G13" s="155"/>
      <c r="H13" s="155"/>
      <c r="I13" s="155"/>
      <c r="J13" s="99"/>
      <c r="K13" s="155" t="s">
        <v>51</v>
      </c>
      <c r="L13" s="155"/>
      <c r="M13" s="155"/>
      <c r="N13" s="155"/>
      <c r="O13" s="155"/>
      <c r="P13" s="155"/>
      <c r="Q13" s="155"/>
      <c r="R13" s="99"/>
      <c r="S13" s="155" t="s">
        <v>52</v>
      </c>
      <c r="T13" s="155"/>
      <c r="U13" s="155"/>
      <c r="V13" s="155"/>
      <c r="W13" s="155"/>
      <c r="X13" s="155"/>
      <c r="Y13" s="155"/>
    </row>
    <row r="14" spans="1:26" s="2" customFormat="1">
      <c r="A14" s="38"/>
      <c r="B14" s="38"/>
      <c r="C14" s="154" t="s">
        <v>53</v>
      </c>
      <c r="D14" s="154"/>
      <c r="E14" s="154"/>
      <c r="F14" s="62"/>
      <c r="G14" s="154" t="s">
        <v>54</v>
      </c>
      <c r="H14" s="154"/>
      <c r="I14" s="154"/>
      <c r="J14" s="70"/>
      <c r="K14" s="154" t="s">
        <v>53</v>
      </c>
      <c r="L14" s="154"/>
      <c r="M14" s="154"/>
      <c r="N14" s="62"/>
      <c r="O14" s="154" t="s">
        <v>54</v>
      </c>
      <c r="P14" s="154"/>
      <c r="Q14" s="154"/>
      <c r="R14" s="70"/>
      <c r="S14" s="154" t="s">
        <v>53</v>
      </c>
      <c r="T14" s="154"/>
      <c r="U14" s="154"/>
      <c r="V14" s="62"/>
      <c r="W14" s="154" t="s">
        <v>54</v>
      </c>
      <c r="X14" s="154"/>
      <c r="Y14" s="154"/>
    </row>
    <row r="15" spans="1:26" s="2" customFormat="1" ht="17.25">
      <c r="A15" s="38"/>
      <c r="B15" s="38"/>
      <c r="C15" s="42" t="s">
        <v>55</v>
      </c>
      <c r="D15" s="42" t="s">
        <v>56</v>
      </c>
      <c r="E15" s="42" t="s">
        <v>57</v>
      </c>
      <c r="F15" s="42"/>
      <c r="G15" s="42" t="s">
        <v>58</v>
      </c>
      <c r="H15" s="42" t="s">
        <v>56</v>
      </c>
      <c r="I15" s="42" t="s">
        <v>57</v>
      </c>
      <c r="J15" s="42"/>
      <c r="K15" s="42" t="s">
        <v>55</v>
      </c>
      <c r="L15" s="42" t="s">
        <v>56</v>
      </c>
      <c r="M15" s="42" t="s">
        <v>57</v>
      </c>
      <c r="N15" s="42"/>
      <c r="O15" s="42" t="s">
        <v>58</v>
      </c>
      <c r="P15" s="42" t="s">
        <v>56</v>
      </c>
      <c r="Q15" s="42" t="s">
        <v>57</v>
      </c>
      <c r="R15" s="42"/>
      <c r="S15" s="42" t="s">
        <v>55</v>
      </c>
      <c r="T15" s="42" t="s">
        <v>56</v>
      </c>
      <c r="U15" s="42" t="s">
        <v>57</v>
      </c>
      <c r="V15" s="42"/>
      <c r="W15" s="42" t="s">
        <v>58</v>
      </c>
      <c r="X15" s="42" t="s">
        <v>56</v>
      </c>
      <c r="Y15" s="42" t="s">
        <v>57</v>
      </c>
    </row>
    <row r="16" spans="1:26">
      <c r="A16" s="153" t="s">
        <v>55</v>
      </c>
      <c r="B16" s="153"/>
      <c r="C16" s="33">
        <v>0.84147262887965713</v>
      </c>
      <c r="D16" s="33">
        <v>0.85311692490977376</v>
      </c>
      <c r="E16" s="33">
        <v>0.83112653099287792</v>
      </c>
      <c r="F16" s="33"/>
      <c r="G16" s="107">
        <v>18427272.1147011</v>
      </c>
      <c r="H16" s="107">
        <v>9148365.7838083506</v>
      </c>
      <c r="I16" s="107">
        <v>9174378.5255314577</v>
      </c>
      <c r="J16" s="52"/>
      <c r="K16" s="33">
        <v>0.65960373750650081</v>
      </c>
      <c r="L16" s="33">
        <v>0.66525879261641419</v>
      </c>
      <c r="M16" s="33">
        <v>0.65476106021976965</v>
      </c>
      <c r="N16" s="33"/>
      <c r="O16" s="107">
        <v>14444554.869347349</v>
      </c>
      <c r="P16" s="107">
        <v>7133876.4922443908</v>
      </c>
      <c r="Q16" s="107">
        <v>7227570.7563544735</v>
      </c>
      <c r="R16" s="52"/>
      <c r="S16" s="33">
        <v>0.4762795164869969</v>
      </c>
      <c r="T16" s="33">
        <v>0.47605991787775886</v>
      </c>
      <c r="U16" s="33">
        <v>0.47716941313264039</v>
      </c>
      <c r="V16" s="33"/>
      <c r="W16" s="107">
        <v>10429967.596984468</v>
      </c>
      <c r="X16" s="107">
        <v>5105009.8018112909</v>
      </c>
      <c r="Y16" s="107">
        <v>5267227.8571769688</v>
      </c>
      <c r="Z16" s="2"/>
    </row>
    <row r="17" spans="1:26">
      <c r="A17" s="39" t="s">
        <v>59</v>
      </c>
      <c r="B17" s="39"/>
      <c r="C17" s="33"/>
      <c r="D17" s="108"/>
      <c r="E17" s="108"/>
      <c r="F17" s="2"/>
      <c r="G17" s="107"/>
      <c r="H17" s="109"/>
      <c r="I17" s="109"/>
      <c r="J17" s="54"/>
      <c r="K17" s="33"/>
      <c r="L17" s="108"/>
      <c r="M17" s="108"/>
      <c r="N17" s="2"/>
      <c r="O17" s="107"/>
      <c r="P17" s="109"/>
      <c r="Q17" s="109"/>
      <c r="R17" s="54"/>
      <c r="S17" s="33"/>
      <c r="T17" s="108"/>
      <c r="U17" s="108"/>
      <c r="V17" s="2"/>
      <c r="W17" s="107"/>
      <c r="X17" s="109"/>
      <c r="Y17" s="109"/>
      <c r="Z17" s="2"/>
    </row>
    <row r="18" spans="1:26">
      <c r="A18" s="39"/>
      <c r="B18" s="39" t="s">
        <v>60</v>
      </c>
      <c r="C18" s="33">
        <v>0.84234942949248359</v>
      </c>
      <c r="D18" s="108">
        <v>0.83813572079397214</v>
      </c>
      <c r="E18" s="108">
        <v>0.84559527897279751</v>
      </c>
      <c r="F18" s="4"/>
      <c r="G18" s="107">
        <v>816985.03464597429</v>
      </c>
      <c r="H18" s="109">
        <v>415858.97218223219</v>
      </c>
      <c r="I18" s="109">
        <v>388264.23315110971</v>
      </c>
      <c r="J18" s="53"/>
      <c r="K18" s="33">
        <v>0.66107823688365164</v>
      </c>
      <c r="L18" s="108">
        <v>0.69655549900500535</v>
      </c>
      <c r="M18" s="108">
        <v>0.61568718800873212</v>
      </c>
      <c r="N18" s="4"/>
      <c r="O18" s="107">
        <v>641172.1874014861</v>
      </c>
      <c r="P18" s="109">
        <v>345610.91562795808</v>
      </c>
      <c r="Q18" s="109">
        <v>282699.44246089342</v>
      </c>
      <c r="R18" s="53"/>
      <c r="S18" s="33">
        <v>0.46773729057075897</v>
      </c>
      <c r="T18" s="108">
        <v>0.52082570788797378</v>
      </c>
      <c r="U18" s="108">
        <v>0.40530045974736212</v>
      </c>
      <c r="V18" s="4"/>
      <c r="W18" s="107">
        <v>453653.02469831548</v>
      </c>
      <c r="X18" s="109">
        <v>258418.819523882</v>
      </c>
      <c r="Y18" s="109">
        <v>186098.096941556</v>
      </c>
    </row>
    <row r="19" spans="1:26">
      <c r="A19" s="39"/>
      <c r="B19" s="39" t="s">
        <v>61</v>
      </c>
      <c r="C19" s="33">
        <v>0.87443737480058781</v>
      </c>
      <c r="D19" s="108">
        <v>0.87791681682474287</v>
      </c>
      <c r="E19" s="108">
        <v>0.87214698863044571</v>
      </c>
      <c r="F19" s="4"/>
      <c r="G19" s="107">
        <v>2060811.5649451402</v>
      </c>
      <c r="H19" s="109">
        <v>1051968.609146964</v>
      </c>
      <c r="I19" s="109">
        <v>973924.79941210535</v>
      </c>
      <c r="J19" s="53"/>
      <c r="K19" s="33">
        <v>0.67284752122081826</v>
      </c>
      <c r="L19" s="108">
        <v>0.66845161918658003</v>
      </c>
      <c r="M19" s="108">
        <v>0.67835414528629767</v>
      </c>
      <c r="N19" s="4"/>
      <c r="O19" s="107">
        <v>1585718.9927326064</v>
      </c>
      <c r="P19" s="109">
        <v>800975.7947923207</v>
      </c>
      <c r="Q19" s="109">
        <v>757516.71850153129</v>
      </c>
      <c r="R19" s="53"/>
      <c r="S19" s="33">
        <v>0.480874032654868</v>
      </c>
      <c r="T19" s="108">
        <v>0.47146259082840275</v>
      </c>
      <c r="U19" s="108">
        <v>0.49121721005230284</v>
      </c>
      <c r="V19" s="4"/>
      <c r="W19" s="107">
        <v>1133289.5829194752</v>
      </c>
      <c r="X19" s="109">
        <v>564932.61825463758</v>
      </c>
      <c r="Y19" s="109">
        <v>548541.27687721548</v>
      </c>
    </row>
    <row r="20" spans="1:26">
      <c r="A20" s="39"/>
      <c r="B20" s="39" t="s">
        <v>62</v>
      </c>
      <c r="C20" s="33">
        <v>0.89238386935949676</v>
      </c>
      <c r="D20" s="108">
        <v>0.89744953439539799</v>
      </c>
      <c r="E20" s="108">
        <v>0.88889939730042178</v>
      </c>
      <c r="F20" s="4"/>
      <c r="G20" s="107">
        <v>3481225.7254564241</v>
      </c>
      <c r="H20" s="109">
        <v>1741925.8338943871</v>
      </c>
      <c r="I20" s="109">
        <v>1718079.0714358373</v>
      </c>
      <c r="J20" s="53"/>
      <c r="K20" s="33">
        <v>0.67268500451015056</v>
      </c>
      <c r="L20" s="108">
        <v>0.66484927458013532</v>
      </c>
      <c r="M20" s="108">
        <v>0.68219452145815918</v>
      </c>
      <c r="N20" s="4"/>
      <c r="O20" s="107">
        <v>2624171.5289075063</v>
      </c>
      <c r="P20" s="109">
        <v>1290454.875345489</v>
      </c>
      <c r="Q20" s="109">
        <v>1318556.558284319</v>
      </c>
      <c r="R20" s="53"/>
      <c r="S20" s="33">
        <v>0.4726698012656364</v>
      </c>
      <c r="T20" s="108">
        <v>0.45947177759696844</v>
      </c>
      <c r="U20" s="108">
        <v>0.48628410960853136</v>
      </c>
      <c r="V20" s="4"/>
      <c r="W20" s="107">
        <v>1843904.0958834623</v>
      </c>
      <c r="X20" s="109">
        <v>891822.58017519978</v>
      </c>
      <c r="Y20" s="109">
        <v>939897.7589900007</v>
      </c>
    </row>
    <row r="21" spans="1:26">
      <c r="A21" s="39"/>
      <c r="B21" s="39" t="s">
        <v>63</v>
      </c>
      <c r="C21" s="33">
        <v>0.87558279183213306</v>
      </c>
      <c r="D21" s="108">
        <v>0.88306439261355951</v>
      </c>
      <c r="E21" s="108">
        <v>0.87027737737879074</v>
      </c>
      <c r="F21" s="4"/>
      <c r="G21" s="107">
        <v>3258521.5604865877</v>
      </c>
      <c r="H21" s="109">
        <v>1619636.4799032484</v>
      </c>
      <c r="I21" s="109">
        <v>1625475.6533374176</v>
      </c>
      <c r="J21" s="53"/>
      <c r="K21" s="33">
        <v>0.65869622372121284</v>
      </c>
      <c r="L21" s="108">
        <v>0.64658634060583042</v>
      </c>
      <c r="M21" s="108">
        <v>0.67224115748849789</v>
      </c>
      <c r="N21" s="4"/>
      <c r="O21" s="107">
        <v>2451368.2393362666</v>
      </c>
      <c r="P21" s="109">
        <v>1185909.9216455822</v>
      </c>
      <c r="Q21" s="109">
        <v>1255590.0717080364</v>
      </c>
      <c r="R21" s="53"/>
      <c r="S21" s="33">
        <v>0.44894601861043404</v>
      </c>
      <c r="T21" s="108">
        <v>0.42602891025078887</v>
      </c>
      <c r="U21" s="108">
        <v>0.47374757739179929</v>
      </c>
      <c r="V21" s="4"/>
      <c r="W21" s="107">
        <v>1670773.2207432189</v>
      </c>
      <c r="X21" s="109">
        <v>781383.52118741011</v>
      </c>
      <c r="Y21" s="109">
        <v>884850.24762717762</v>
      </c>
    </row>
    <row r="22" spans="1:26">
      <c r="A22" s="39"/>
      <c r="B22" s="39" t="s">
        <v>64</v>
      </c>
      <c r="C22" s="33">
        <v>0.86410524269851319</v>
      </c>
      <c r="D22" s="108">
        <v>0.87099814003256382</v>
      </c>
      <c r="E22" s="108">
        <v>0.85683427533450784</v>
      </c>
      <c r="F22" s="4"/>
      <c r="G22" s="107">
        <v>2868387.6268386291</v>
      </c>
      <c r="H22" s="109">
        <v>1420356.8970498072</v>
      </c>
      <c r="I22" s="109">
        <v>1434991.4475618792</v>
      </c>
      <c r="J22" s="53"/>
      <c r="K22" s="33">
        <v>0.68147249891776451</v>
      </c>
      <c r="L22" s="108">
        <v>0.68144592783665814</v>
      </c>
      <c r="M22" s="108">
        <v>0.68109574466477296</v>
      </c>
      <c r="N22" s="4"/>
      <c r="O22" s="107">
        <v>2262140.2895579031</v>
      </c>
      <c r="P22" s="109">
        <v>1111249.7020178665</v>
      </c>
      <c r="Q22" s="109">
        <v>1140671.6522669159</v>
      </c>
      <c r="R22" s="53"/>
      <c r="S22" s="33">
        <v>0.49813335859962654</v>
      </c>
      <c r="T22" s="108">
        <v>0.48761053922688613</v>
      </c>
      <c r="U22" s="108">
        <v>0.50798944395769097</v>
      </c>
      <c r="V22" s="4"/>
      <c r="W22" s="107">
        <v>1653548.076922456</v>
      </c>
      <c r="X22" s="109">
        <v>795157.83172532357</v>
      </c>
      <c r="Y22" s="109">
        <v>850760.2094307153</v>
      </c>
    </row>
    <row r="23" spans="1:26">
      <c r="A23" s="39"/>
      <c r="B23" s="39" t="s">
        <v>65</v>
      </c>
      <c r="C23" s="33">
        <v>0.8422083538696401</v>
      </c>
      <c r="D23" s="108">
        <v>0.85751832002221695</v>
      </c>
      <c r="E23" s="108">
        <v>0.82775037809031193</v>
      </c>
      <c r="F23" s="4"/>
      <c r="G23" s="107">
        <v>2580498.3474595565</v>
      </c>
      <c r="H23" s="109">
        <v>1279916.6573854003</v>
      </c>
      <c r="I23" s="109">
        <v>1295038.6184354541</v>
      </c>
      <c r="J23" s="53"/>
      <c r="K23" s="33">
        <v>0.69457048278814981</v>
      </c>
      <c r="L23" s="108">
        <v>0.70406200056731694</v>
      </c>
      <c r="M23" s="108">
        <v>0.68585129724664595</v>
      </c>
      <c r="N23" s="4"/>
      <c r="O23" s="107">
        <v>2128140.8273782465</v>
      </c>
      <c r="P23" s="109">
        <v>1050870.4727554403</v>
      </c>
      <c r="Q23" s="109">
        <v>1073033.537583661</v>
      </c>
      <c r="R23" s="53"/>
      <c r="S23" s="33">
        <v>0.53315421092034032</v>
      </c>
      <c r="T23" s="108">
        <v>0.53261825185147249</v>
      </c>
      <c r="U23" s="108">
        <v>0.53435997445589556</v>
      </c>
      <c r="V23" s="4"/>
      <c r="W23" s="107">
        <v>1633566.7461617147</v>
      </c>
      <c r="X23" s="109">
        <v>794976.56977699324</v>
      </c>
      <c r="Y23" s="109">
        <v>836021.12591371697</v>
      </c>
    </row>
    <row r="24" spans="1:26">
      <c r="A24" s="39"/>
      <c r="B24" s="39" t="s">
        <v>66</v>
      </c>
      <c r="C24" s="33">
        <v>0.73602959898406828</v>
      </c>
      <c r="D24" s="108">
        <v>0.75972388555934045</v>
      </c>
      <c r="E24" s="108">
        <v>0.7176144225793385</v>
      </c>
      <c r="F24" s="4"/>
      <c r="G24" s="107">
        <v>3360842.2548689311</v>
      </c>
      <c r="H24" s="109">
        <v>1618702.3342462354</v>
      </c>
      <c r="I24" s="109">
        <v>1738604.7021976614</v>
      </c>
      <c r="J24" s="53"/>
      <c r="K24" s="33">
        <v>0.60265778692399985</v>
      </c>
      <c r="L24" s="108">
        <v>0.63304982607358784</v>
      </c>
      <c r="M24" s="108">
        <v>0.5776490624374524</v>
      </c>
      <c r="N24" s="4"/>
      <c r="O24" s="107">
        <v>2751842.8040335062</v>
      </c>
      <c r="P24" s="109">
        <v>1348804.8100594454</v>
      </c>
      <c r="Q24" s="109">
        <v>1399502.775549067</v>
      </c>
      <c r="R24" s="53"/>
      <c r="S24" s="33">
        <v>0.44703311903102888</v>
      </c>
      <c r="T24" s="108">
        <v>0.4779386461940634</v>
      </c>
      <c r="U24" s="108">
        <v>0.42144529187484081</v>
      </c>
      <c r="V24" s="4"/>
      <c r="W24" s="107">
        <v>2041232.8496558936</v>
      </c>
      <c r="X24" s="109">
        <v>1018317.8611677187</v>
      </c>
      <c r="Y24" s="109">
        <v>1021059.1413965831</v>
      </c>
    </row>
    <row r="25" spans="1:26">
      <c r="A25" s="39" t="s">
        <v>67</v>
      </c>
      <c r="B25" s="39"/>
      <c r="C25" s="33"/>
      <c r="D25" s="108"/>
      <c r="E25" s="108"/>
      <c r="F25" s="4"/>
      <c r="G25" s="107"/>
      <c r="H25" s="109"/>
      <c r="I25" s="109"/>
      <c r="J25" s="53"/>
      <c r="K25" s="33"/>
      <c r="L25" s="108"/>
      <c r="M25" s="108"/>
      <c r="N25" s="4"/>
      <c r="O25" s="107"/>
      <c r="P25" s="109"/>
      <c r="Q25" s="109"/>
      <c r="R25" s="53"/>
      <c r="S25" s="33"/>
      <c r="T25" s="108"/>
      <c r="U25" s="108"/>
      <c r="V25" s="4"/>
      <c r="W25" s="107"/>
      <c r="X25" s="109"/>
      <c r="Y25" s="109"/>
    </row>
    <row r="26" spans="1:26">
      <c r="A26" s="39"/>
      <c r="B26" s="39" t="s">
        <v>68</v>
      </c>
      <c r="C26" s="33">
        <v>0.85110218950924255</v>
      </c>
      <c r="D26" s="108">
        <v>0.8629966362312439</v>
      </c>
      <c r="E26" s="108">
        <v>0.84009442174425342</v>
      </c>
      <c r="F26" s="4"/>
      <c r="G26" s="107">
        <v>13443001.766434576</v>
      </c>
      <c r="H26" s="109">
        <v>6719478.3536906336</v>
      </c>
      <c r="I26" s="109">
        <v>6651223.8545312667</v>
      </c>
      <c r="J26" s="53"/>
      <c r="K26" s="33">
        <v>0.67002824487809931</v>
      </c>
      <c r="L26" s="108">
        <v>0.6780554412331512</v>
      </c>
      <c r="M26" s="108">
        <v>0.66259823151171271</v>
      </c>
      <c r="N26" s="4"/>
      <c r="O26" s="107">
        <v>10582972.280509606</v>
      </c>
      <c r="P26" s="109">
        <v>5279486.232837948</v>
      </c>
      <c r="Q26" s="109">
        <v>5245945.0382382944</v>
      </c>
      <c r="R26" s="53"/>
      <c r="S26" s="33">
        <v>0.48428230162673586</v>
      </c>
      <c r="T26" s="108">
        <v>0.4863070070469715</v>
      </c>
      <c r="U26" s="108">
        <v>0.48279499717125146</v>
      </c>
      <c r="V26" s="4"/>
      <c r="W26" s="107">
        <v>7649149.439945736</v>
      </c>
      <c r="X26" s="109">
        <v>3786491.4762247116</v>
      </c>
      <c r="Y26" s="109">
        <v>3822400.8146209889</v>
      </c>
    </row>
    <row r="27" spans="1:26">
      <c r="A27" s="39"/>
      <c r="B27" s="39" t="s">
        <v>69</v>
      </c>
      <c r="C27" s="33">
        <v>0.81427965774028321</v>
      </c>
      <c r="D27" s="108">
        <v>0.83046275456299379</v>
      </c>
      <c r="E27" s="108">
        <v>0.80029836440815005</v>
      </c>
      <c r="F27" s="4"/>
      <c r="G27" s="107">
        <v>3195065.3280883431</v>
      </c>
      <c r="H27" s="109">
        <v>1579373.3287700685</v>
      </c>
      <c r="I27" s="109">
        <v>1596563.6176119295</v>
      </c>
      <c r="J27" s="53"/>
      <c r="K27" s="33">
        <v>0.63162668235011799</v>
      </c>
      <c r="L27" s="108">
        <v>0.63093221523525</v>
      </c>
      <c r="M27" s="108">
        <v>0.63245684711532013</v>
      </c>
      <c r="N27" s="4"/>
      <c r="O27" s="107">
        <v>2478372.7480958472</v>
      </c>
      <c r="P27" s="109">
        <v>1199906.3263574494</v>
      </c>
      <c r="Q27" s="109">
        <v>1261726.4219459242</v>
      </c>
      <c r="R27" s="53"/>
      <c r="S27" s="33">
        <v>0.46121336194157014</v>
      </c>
      <c r="T27" s="108">
        <v>0.45547472218761231</v>
      </c>
      <c r="U27" s="108">
        <v>0.46689188371684331</v>
      </c>
      <c r="V27" s="4"/>
      <c r="W27" s="107">
        <v>1809706.0482635584</v>
      </c>
      <c r="X27" s="109">
        <v>866221.42197167594</v>
      </c>
      <c r="Y27" s="109">
        <v>931430.86135366408</v>
      </c>
    </row>
    <row r="28" spans="1:26">
      <c r="A28" s="39"/>
      <c r="B28" s="39" t="s">
        <v>70</v>
      </c>
      <c r="C28" s="33">
        <v>0.81986670169605413</v>
      </c>
      <c r="D28" s="108">
        <v>0.81840976482249472</v>
      </c>
      <c r="E28" s="108">
        <v>0.82308516006298538</v>
      </c>
      <c r="F28" s="4"/>
      <c r="G28" s="107">
        <v>1602552.1304414195</v>
      </c>
      <c r="H28" s="109">
        <v>763775.33235059585</v>
      </c>
      <c r="I28" s="109">
        <v>826814.09945768595</v>
      </c>
      <c r="J28" s="53"/>
      <c r="K28" s="33">
        <v>0.6340070886132253</v>
      </c>
      <c r="L28" s="108">
        <v>0.62862880834588064</v>
      </c>
      <c r="M28" s="108">
        <v>0.64200017189121505</v>
      </c>
      <c r="N28" s="4"/>
      <c r="O28" s="107">
        <v>1239261.7098245742</v>
      </c>
      <c r="P28" s="109">
        <v>586663.54881978943</v>
      </c>
      <c r="Q28" s="109">
        <v>644908.7162904198</v>
      </c>
      <c r="R28" s="53"/>
      <c r="S28" s="33">
        <v>0.44545707497990661</v>
      </c>
      <c r="T28" s="108">
        <v>0.43385459752952749</v>
      </c>
      <c r="U28" s="108">
        <v>0.45909693151672248</v>
      </c>
      <c r="V28" s="4"/>
      <c r="W28" s="107">
        <v>870712.49881532812</v>
      </c>
      <c r="X28" s="109">
        <v>404891.84472501901</v>
      </c>
      <c r="Y28" s="109">
        <v>461176.84343469201</v>
      </c>
    </row>
    <row r="29" spans="1:26">
      <c r="A29" s="39"/>
      <c r="B29" s="39" t="s">
        <v>71</v>
      </c>
      <c r="C29" s="33">
        <v>0.82743981139011324</v>
      </c>
      <c r="D29" s="108">
        <v>0.83891305981220332</v>
      </c>
      <c r="E29" s="108">
        <v>0.81944703783233663</v>
      </c>
      <c r="F29" s="4"/>
      <c r="G29" s="107">
        <v>186652.88973661693</v>
      </c>
      <c r="H29" s="109">
        <v>85738.768997293271</v>
      </c>
      <c r="I29" s="109">
        <v>99776.953930713644</v>
      </c>
      <c r="J29" s="53"/>
      <c r="K29" s="33">
        <v>0.6381278878908393</v>
      </c>
      <c r="L29" s="108">
        <v>0.66359019049011858</v>
      </c>
      <c r="M29" s="108">
        <v>0.615881785592301</v>
      </c>
      <c r="N29" s="4"/>
      <c r="O29" s="107">
        <v>143948.13091751636</v>
      </c>
      <c r="P29" s="109">
        <v>67820.384229134012</v>
      </c>
      <c r="Q29" s="109">
        <v>74990.579879772355</v>
      </c>
      <c r="R29" s="53"/>
      <c r="S29" s="33">
        <v>0.44507553269785732</v>
      </c>
      <c r="T29" s="108">
        <v>0.46383594573167281</v>
      </c>
      <c r="U29" s="108">
        <v>0.4288663861288981</v>
      </c>
      <c r="V29" s="4"/>
      <c r="W29" s="107">
        <v>100399.60996021255</v>
      </c>
      <c r="X29" s="109">
        <v>47405.058889691696</v>
      </c>
      <c r="Y29" s="109">
        <v>52219.337767586134</v>
      </c>
    </row>
    <row r="30" spans="1:26">
      <c r="A30" s="39" t="s">
        <v>72</v>
      </c>
      <c r="B30" s="39"/>
      <c r="C30" s="33"/>
      <c r="D30" s="108"/>
      <c r="E30" s="108"/>
      <c r="G30" s="107"/>
      <c r="H30" s="109"/>
      <c r="I30" s="109"/>
      <c r="J30" s="53"/>
      <c r="K30" s="33"/>
      <c r="L30" s="108"/>
      <c r="M30" s="108"/>
      <c r="O30" s="107"/>
      <c r="P30" s="109"/>
      <c r="Q30" s="109"/>
      <c r="R30" s="53"/>
      <c r="S30" s="33"/>
      <c r="T30" s="108"/>
      <c r="U30" s="108"/>
      <c r="W30" s="107"/>
      <c r="X30" s="109"/>
      <c r="Y30" s="109"/>
    </row>
    <row r="31" spans="1:26">
      <c r="A31" s="39"/>
      <c r="B31" s="39" t="s">
        <v>73</v>
      </c>
      <c r="C31" s="33">
        <v>0.89798458061154862</v>
      </c>
      <c r="D31" s="108">
        <v>0.89663252710864361</v>
      </c>
      <c r="E31" s="108">
        <v>0.90044745634446044</v>
      </c>
      <c r="G31" s="107">
        <v>8610204.7983147092</v>
      </c>
      <c r="H31" s="109">
        <v>5121854.7868842501</v>
      </c>
      <c r="I31" s="109">
        <v>3457252.6490276214</v>
      </c>
      <c r="J31" s="53"/>
      <c r="K31" s="33">
        <v>0.69693349897407331</v>
      </c>
      <c r="L31" s="108">
        <v>0.67822429786237626</v>
      </c>
      <c r="M31" s="108">
        <v>0.72539740396548713</v>
      </c>
      <c r="O31" s="107">
        <v>6682453.4480159786</v>
      </c>
      <c r="P31" s="109">
        <v>3874236.3917907584</v>
      </c>
      <c r="Q31" s="109">
        <v>2785150.9588784552</v>
      </c>
      <c r="R31" s="53"/>
      <c r="S31" s="33">
        <v>0.49772414938883208</v>
      </c>
      <c r="T31" s="108">
        <v>0.47104947866788682</v>
      </c>
      <c r="U31" s="108">
        <v>0.53826669220694179</v>
      </c>
      <c r="W31" s="107">
        <v>4772361.2986609396</v>
      </c>
      <c r="X31" s="109">
        <v>2690786.8655562503</v>
      </c>
      <c r="Y31" s="109">
        <v>2066665.783110281</v>
      </c>
    </row>
    <row r="32" spans="1:26">
      <c r="A32" s="39"/>
      <c r="B32" s="39" t="s">
        <v>74</v>
      </c>
      <c r="C32" s="33">
        <v>0.87038101429821457</v>
      </c>
      <c r="D32" s="108">
        <v>0.86393542480834939</v>
      </c>
      <c r="E32" s="108">
        <v>0.87359570543548404</v>
      </c>
      <c r="F32" s="4"/>
      <c r="G32" s="107">
        <v>2641698.5572048118</v>
      </c>
      <c r="H32" s="109">
        <v>904652.43704456487</v>
      </c>
      <c r="I32" s="109">
        <v>1720246.9115456149</v>
      </c>
      <c r="J32" s="53"/>
      <c r="K32" s="33">
        <v>0.68261543139377712</v>
      </c>
      <c r="L32" s="108">
        <v>0.67648340887796499</v>
      </c>
      <c r="M32" s="108">
        <v>0.68612277429516111</v>
      </c>
      <c r="N32" s="4"/>
      <c r="O32" s="107">
        <v>2071810.127536671</v>
      </c>
      <c r="P32" s="109">
        <v>708365.86495735426</v>
      </c>
      <c r="Q32" s="109">
        <v>1351083.3170064462</v>
      </c>
      <c r="R32" s="53"/>
      <c r="S32" s="33">
        <v>0.48205428007455436</v>
      </c>
      <c r="T32" s="108">
        <v>0.48394956023906471</v>
      </c>
      <c r="U32" s="108">
        <v>0.48194728040533474</v>
      </c>
      <c r="V32" s="4"/>
      <c r="W32" s="107">
        <v>1463085.7925986894</v>
      </c>
      <c r="X32" s="109">
        <v>506757.95494094462</v>
      </c>
      <c r="Y32" s="109">
        <v>949029.75768613501</v>
      </c>
    </row>
    <row r="33" spans="1:25">
      <c r="A33" s="39"/>
      <c r="B33" s="39" t="s">
        <v>75</v>
      </c>
      <c r="C33" s="33">
        <v>0.8737838008949006</v>
      </c>
      <c r="D33" s="108">
        <v>0.88819105241508256</v>
      </c>
      <c r="E33" s="108">
        <v>0.86498788775604252</v>
      </c>
      <c r="F33" s="4"/>
      <c r="G33" s="107">
        <v>1111251.408330217</v>
      </c>
      <c r="H33" s="109">
        <v>464095.05939637008</v>
      </c>
      <c r="I33" s="109">
        <v>637110.81355667475</v>
      </c>
      <c r="J33" s="53"/>
      <c r="K33" s="33">
        <v>0.69461448894180278</v>
      </c>
      <c r="L33" s="108">
        <v>0.70451520491213071</v>
      </c>
      <c r="M33" s="108">
        <v>0.68848954825679332</v>
      </c>
      <c r="N33" s="4"/>
      <c r="O33" s="107">
        <v>883389.37880584039</v>
      </c>
      <c r="P33" s="109">
        <v>368121.2786148857</v>
      </c>
      <c r="Q33" s="109">
        <v>507110.14850518503</v>
      </c>
      <c r="R33" s="53"/>
      <c r="S33" s="33">
        <v>0.519217433499087</v>
      </c>
      <c r="T33" s="108">
        <v>0.52000457384193866</v>
      </c>
      <c r="U33" s="108">
        <v>0.52006678596041245</v>
      </c>
      <c r="V33" s="4"/>
      <c r="W33" s="107">
        <v>660324.78928372927</v>
      </c>
      <c r="X33" s="109">
        <v>271711.3091010694</v>
      </c>
      <c r="Y33" s="109">
        <v>383057.58704507217</v>
      </c>
    </row>
    <row r="34" spans="1:25">
      <c r="A34" s="39"/>
      <c r="B34" s="40" t="s">
        <v>76</v>
      </c>
      <c r="C34" s="33">
        <v>0.88974020728546388</v>
      </c>
      <c r="D34" s="108">
        <v>0.89132504550721758</v>
      </c>
      <c r="E34" s="108">
        <v>0.88837856853560193</v>
      </c>
      <c r="F34" s="4"/>
      <c r="G34" s="107">
        <v>12363154.763849154</v>
      </c>
      <c r="H34" s="109">
        <v>6490602.2833252354</v>
      </c>
      <c r="I34" s="109">
        <v>5814610.3741299845</v>
      </c>
      <c r="J34" s="53"/>
      <c r="K34" s="33">
        <v>0.69359378743927191</v>
      </c>
      <c r="L34" s="108">
        <v>0.67986046407245726</v>
      </c>
      <c r="M34" s="108">
        <v>0.70942804548183791</v>
      </c>
      <c r="N34" s="4"/>
      <c r="O34" s="107">
        <v>9637652.954358181</v>
      </c>
      <c r="P34" s="109">
        <v>4950723.5353631862</v>
      </c>
      <c r="Q34" s="109">
        <v>4643344.4243901083</v>
      </c>
      <c r="R34" s="53"/>
      <c r="S34" s="33">
        <v>0.49626859968853099</v>
      </c>
      <c r="T34" s="108">
        <v>0.47641724798552526</v>
      </c>
      <c r="U34" s="108">
        <v>0.51927459352243655</v>
      </c>
      <c r="V34" s="4"/>
      <c r="W34" s="107">
        <v>6895771.8805434583</v>
      </c>
      <c r="X34" s="109">
        <v>3469256.1295982739</v>
      </c>
      <c r="Y34" s="109">
        <v>3398753.1278414535</v>
      </c>
    </row>
    <row r="35" spans="1:25">
      <c r="A35" s="39"/>
      <c r="B35" s="39" t="s">
        <v>77</v>
      </c>
      <c r="C35" s="33">
        <v>0.91862447811298054</v>
      </c>
      <c r="D35" s="108">
        <v>0.92366302121275834</v>
      </c>
      <c r="E35" s="108">
        <v>0.91521411684476006</v>
      </c>
      <c r="F35" s="4"/>
      <c r="G35" s="107">
        <v>979416.82644558791</v>
      </c>
      <c r="H35" s="109">
        <v>455767.72143781243</v>
      </c>
      <c r="I35" s="109">
        <v>505845.66814505012</v>
      </c>
      <c r="J35" s="53"/>
      <c r="K35" s="33">
        <v>0.72439373205790536</v>
      </c>
      <c r="L35" s="108">
        <v>0.7450278243839743</v>
      </c>
      <c r="M35" s="108">
        <v>0.70534020220279103</v>
      </c>
      <c r="N35" s="4"/>
      <c r="O35" s="107">
        <v>772332.35892715957</v>
      </c>
      <c r="P35" s="109">
        <v>367622.85176407406</v>
      </c>
      <c r="Q35" s="109">
        <v>389846.79026028985</v>
      </c>
      <c r="R35" s="53"/>
      <c r="S35" s="33">
        <v>0.50744545436897415</v>
      </c>
      <c r="T35" s="108">
        <v>0.54241831229484161</v>
      </c>
      <c r="U35" s="108">
        <v>0.4747436970504792</v>
      </c>
      <c r="V35" s="4"/>
      <c r="W35" s="107">
        <v>541026.96842264477</v>
      </c>
      <c r="X35" s="109">
        <v>267648.21431973221</v>
      </c>
      <c r="Y35" s="109">
        <v>262394.38204916258</v>
      </c>
    </row>
    <row r="36" spans="1:25">
      <c r="A36" s="39"/>
      <c r="B36" s="39" t="s">
        <v>78</v>
      </c>
      <c r="C36" s="33">
        <v>0.78266121023940205</v>
      </c>
      <c r="D36" s="108">
        <v>0.77376286455945487</v>
      </c>
      <c r="E36" s="108">
        <v>0.78293567013340781</v>
      </c>
      <c r="F36" s="4"/>
      <c r="G36" s="107">
        <v>665453.0472118312</v>
      </c>
      <c r="H36" s="109">
        <v>72841.137808592321</v>
      </c>
      <c r="I36" s="109">
        <v>587816.65894576441</v>
      </c>
      <c r="J36" s="53"/>
      <c r="K36" s="33">
        <v>0.56288849710803346</v>
      </c>
      <c r="L36" s="108">
        <v>0.57933877416224611</v>
      </c>
      <c r="M36" s="108">
        <v>0.55904312011626478</v>
      </c>
      <c r="N36" s="4"/>
      <c r="O36" s="107">
        <v>478592.60270028305</v>
      </c>
      <c r="P36" s="109">
        <v>54538.279645456598</v>
      </c>
      <c r="Q36" s="109">
        <v>419721.40446400188</v>
      </c>
      <c r="R36" s="53"/>
      <c r="S36" s="33">
        <v>0.39553821209149442</v>
      </c>
      <c r="T36" s="108">
        <v>0.45787046686937261</v>
      </c>
      <c r="U36" s="108">
        <v>0.38541471158122692</v>
      </c>
      <c r="V36" s="4"/>
      <c r="W36" s="107">
        <v>336304.01645239664</v>
      </c>
      <c r="X36" s="109">
        <v>43103.394209420301</v>
      </c>
      <c r="Y36" s="109">
        <v>289363.73282318178</v>
      </c>
    </row>
    <row r="37" spans="1:25">
      <c r="A37" s="39"/>
      <c r="B37" s="39" t="s">
        <v>79</v>
      </c>
      <c r="C37" s="33">
        <v>0.700357191879035</v>
      </c>
      <c r="D37" s="108">
        <v>0.6977439570869941</v>
      </c>
      <c r="E37" s="108">
        <v>0.71043805206100119</v>
      </c>
      <c r="F37" s="4"/>
      <c r="G37" s="107">
        <v>698946.75087193353</v>
      </c>
      <c r="H37" s="109">
        <v>341864.20096645743</v>
      </c>
      <c r="I37" s="109">
        <v>346507.23383746378</v>
      </c>
      <c r="J37" s="53"/>
      <c r="K37" s="33">
        <v>0.51313081059022569</v>
      </c>
      <c r="L37" s="108">
        <v>0.54386557865709029</v>
      </c>
      <c r="M37" s="108">
        <v>0.48540412588379039</v>
      </c>
      <c r="N37" s="4"/>
      <c r="O37" s="107">
        <v>512097.42256243672</v>
      </c>
      <c r="P37" s="109">
        <v>266470.48618951318</v>
      </c>
      <c r="Q37" s="109">
        <v>236749.76370612852</v>
      </c>
      <c r="R37" s="53"/>
      <c r="S37" s="33">
        <v>0.37420392364965516</v>
      </c>
      <c r="T37" s="108">
        <v>0.38841086291897015</v>
      </c>
      <c r="U37" s="108">
        <v>0.36159794187986355</v>
      </c>
      <c r="V37" s="4"/>
      <c r="W37" s="107">
        <v>373450.31882478332</v>
      </c>
      <c r="X37" s="109">
        <v>190304.43467091263</v>
      </c>
      <c r="Y37" s="109">
        <v>176364.85297855784</v>
      </c>
    </row>
    <row r="38" spans="1:25">
      <c r="A38" s="39"/>
      <c r="B38" s="39" t="s">
        <v>80</v>
      </c>
      <c r="C38" s="33">
        <v>0.73659241861147284</v>
      </c>
      <c r="D38" s="108">
        <v>0.76570763837635658</v>
      </c>
      <c r="E38" s="108">
        <v>0.71147004783519174</v>
      </c>
      <c r="F38" s="4"/>
      <c r="G38" s="107">
        <v>3494066.2393270247</v>
      </c>
      <c r="H38" s="109">
        <v>1698056.9462235412</v>
      </c>
      <c r="I38" s="109">
        <v>1787242.2816981741</v>
      </c>
      <c r="J38" s="53"/>
      <c r="K38" s="33">
        <v>0.60778791744379912</v>
      </c>
      <c r="L38" s="108">
        <v>0.64450082839830358</v>
      </c>
      <c r="M38" s="108">
        <v>0.5756174180929865</v>
      </c>
      <c r="N38" s="4"/>
      <c r="O38" s="107">
        <v>2883075.075649689</v>
      </c>
      <c r="P38" s="109">
        <v>1429264.9748527815</v>
      </c>
      <c r="Q38" s="109">
        <v>1445974.8387553054</v>
      </c>
      <c r="R38" s="53"/>
      <c r="S38" s="33">
        <v>0.45525584137262542</v>
      </c>
      <c r="T38" s="108">
        <v>0.49054891531028461</v>
      </c>
      <c r="U38" s="108">
        <v>0.42472385713293709</v>
      </c>
      <c r="V38" s="4"/>
      <c r="W38" s="107">
        <v>2159530.8686384219</v>
      </c>
      <c r="X38" s="109">
        <v>1087856.4498472856</v>
      </c>
      <c r="Y38" s="109">
        <v>1066923.9524890829</v>
      </c>
    </row>
    <row r="39" spans="1:25">
      <c r="A39" s="39" t="s">
        <v>81</v>
      </c>
      <c r="B39" s="39"/>
      <c r="C39" s="33"/>
      <c r="D39" s="108"/>
      <c r="E39" s="108"/>
      <c r="G39" s="107"/>
      <c r="H39" s="109"/>
      <c r="I39" s="109"/>
      <c r="J39" s="53"/>
      <c r="K39" s="33"/>
      <c r="L39" s="108"/>
      <c r="M39" s="108"/>
      <c r="O39" s="107"/>
      <c r="P39" s="109"/>
      <c r="Q39" s="109"/>
      <c r="R39" s="53"/>
      <c r="S39" s="33"/>
      <c r="T39" s="108"/>
      <c r="U39" s="108"/>
      <c r="W39" s="107"/>
      <c r="X39" s="109"/>
      <c r="Y39" s="109"/>
    </row>
    <row r="40" spans="1:25">
      <c r="A40" s="39"/>
      <c r="B40" s="39" t="s">
        <v>82</v>
      </c>
      <c r="C40" s="33">
        <v>0.91102183556503102</v>
      </c>
      <c r="D40" s="108">
        <v>0.91723123050223332</v>
      </c>
      <c r="E40" s="108">
        <v>0.90567986364002251</v>
      </c>
      <c r="F40" s="4"/>
      <c r="G40" s="107">
        <v>7595611.0010957038</v>
      </c>
      <c r="H40" s="109">
        <v>3973753.1580226421</v>
      </c>
      <c r="I40" s="109">
        <v>3588550.3338178541</v>
      </c>
      <c r="J40" s="53"/>
      <c r="K40" s="33">
        <v>0.74363287516384546</v>
      </c>
      <c r="L40" s="108">
        <v>0.73856168275528644</v>
      </c>
      <c r="M40" s="108">
        <v>0.75045851541370434</v>
      </c>
      <c r="N40" s="4"/>
      <c r="O40" s="107">
        <v>6200011.7086850433</v>
      </c>
      <c r="P40" s="109">
        <v>3199696.7848950606</v>
      </c>
      <c r="Q40" s="109">
        <v>2973521.068670575</v>
      </c>
      <c r="R40" s="53"/>
      <c r="S40" s="33">
        <v>0.54547853683773484</v>
      </c>
      <c r="T40" s="108">
        <v>0.53366599594415542</v>
      </c>
      <c r="U40" s="108">
        <v>0.55967990463991324</v>
      </c>
      <c r="V40" s="4"/>
      <c r="W40" s="107">
        <v>4547907.2109139711</v>
      </c>
      <c r="X40" s="109">
        <v>2312019.9860085584</v>
      </c>
      <c r="Y40" s="109">
        <v>2217604.2432417301</v>
      </c>
    </row>
    <row r="41" spans="1:25">
      <c r="A41" s="39"/>
      <c r="B41" s="39" t="s">
        <v>83</v>
      </c>
      <c r="C41" s="33">
        <v>0.8773412722332935</v>
      </c>
      <c r="D41" s="108">
        <v>0.88658090380466603</v>
      </c>
      <c r="E41" s="108">
        <v>0.86861635666721004</v>
      </c>
      <c r="F41" s="4"/>
      <c r="G41" s="107">
        <v>2478492.6484799185</v>
      </c>
      <c r="H41" s="109">
        <v>1248175.2221741488</v>
      </c>
      <c r="I41" s="109">
        <v>1223372.5722560927</v>
      </c>
      <c r="J41" s="53"/>
      <c r="K41" s="33">
        <v>0.68043676031974243</v>
      </c>
      <c r="L41" s="108">
        <v>0.67231142312591985</v>
      </c>
      <c r="M41" s="108">
        <v>0.6882684258229459</v>
      </c>
      <c r="N41" s="4"/>
      <c r="O41" s="107">
        <v>1922236.604594077</v>
      </c>
      <c r="P41" s="109">
        <v>946515.37871979666</v>
      </c>
      <c r="Q41" s="109">
        <v>969367.78594910214</v>
      </c>
      <c r="R41" s="53"/>
      <c r="S41" s="33">
        <v>0.47611023021268301</v>
      </c>
      <c r="T41" s="108">
        <v>0.46517335016585087</v>
      </c>
      <c r="U41" s="108">
        <v>0.48698477578618077</v>
      </c>
      <c r="V41" s="4"/>
      <c r="W41" s="107">
        <v>1345013.3292423447</v>
      </c>
      <c r="X41" s="109">
        <v>654895.50609661825</v>
      </c>
      <c r="Y41" s="109">
        <v>685876.81227760878</v>
      </c>
    </row>
    <row r="42" spans="1:25">
      <c r="A42" s="39"/>
      <c r="B42" s="39" t="s">
        <v>84</v>
      </c>
      <c r="C42" s="33">
        <v>0.80259373595079697</v>
      </c>
      <c r="D42" s="108">
        <v>0.80128861033856136</v>
      </c>
      <c r="E42" s="108">
        <v>0.80315171711279998</v>
      </c>
      <c r="F42" s="4"/>
      <c r="G42" s="107">
        <v>3418305.2206260548</v>
      </c>
      <c r="H42" s="109">
        <v>1638211.2831235868</v>
      </c>
      <c r="I42" s="109">
        <v>1762354.6637537216</v>
      </c>
      <c r="J42" s="53"/>
      <c r="K42" s="33">
        <v>0.61429518272306305</v>
      </c>
      <c r="L42" s="108">
        <v>0.60771061856852582</v>
      </c>
      <c r="M42" s="108">
        <v>0.6207725402037142</v>
      </c>
      <c r="N42" s="4"/>
      <c r="O42" s="107">
        <v>2616327.9577806401</v>
      </c>
      <c r="P42" s="109">
        <v>1242446.7031826759</v>
      </c>
      <c r="Q42" s="109">
        <v>1362160.2968005717</v>
      </c>
      <c r="R42" s="53"/>
      <c r="S42" s="33">
        <v>0.44194347640883985</v>
      </c>
      <c r="T42" s="108">
        <v>0.43632339760738748</v>
      </c>
      <c r="U42" s="108">
        <v>0.44768904133878284</v>
      </c>
      <c r="V42" s="4"/>
      <c r="W42" s="107">
        <v>1882269.4782688639</v>
      </c>
      <c r="X42" s="109">
        <v>892050.50942784199</v>
      </c>
      <c r="Y42" s="109">
        <v>982363.42287994665</v>
      </c>
    </row>
    <row r="43" spans="1:25">
      <c r="A43" s="39"/>
      <c r="B43" s="39" t="s">
        <v>85</v>
      </c>
      <c r="C43" s="33">
        <v>0.79840469816726189</v>
      </c>
      <c r="D43" s="108">
        <v>0.82325124229627344</v>
      </c>
      <c r="E43" s="108">
        <v>0.7764203535866101</v>
      </c>
      <c r="F43" s="4"/>
      <c r="G43" s="107">
        <v>3099644.7738602157</v>
      </c>
      <c r="H43" s="109">
        <v>1485219.329452435</v>
      </c>
      <c r="I43" s="109">
        <v>1592410.7070240637</v>
      </c>
      <c r="J43" s="53"/>
      <c r="K43" s="33">
        <v>0.60179964253759799</v>
      </c>
      <c r="L43" s="108">
        <v>0.61625703311926761</v>
      </c>
      <c r="M43" s="108">
        <v>0.58795535931507259</v>
      </c>
      <c r="N43" s="4"/>
      <c r="O43" s="107">
        <v>2336365.4061462283</v>
      </c>
      <c r="P43" s="109">
        <v>1111783.1476898687</v>
      </c>
      <c r="Q43" s="109">
        <v>1205875.6640014607</v>
      </c>
      <c r="R43" s="53"/>
      <c r="S43" s="33">
        <v>0.43679549622494351</v>
      </c>
      <c r="T43" s="108">
        <v>0.44646253469971092</v>
      </c>
      <c r="U43" s="108">
        <v>0.42736925170621265</v>
      </c>
      <c r="V43" s="4"/>
      <c r="W43" s="107">
        <v>1695770.1779902203</v>
      </c>
      <c r="X43" s="109">
        <v>805458.59191513143</v>
      </c>
      <c r="Y43" s="109">
        <v>876519.23230258259</v>
      </c>
    </row>
    <row r="44" spans="1:25">
      <c r="A44" s="39"/>
      <c r="B44" s="39" t="s">
        <v>86</v>
      </c>
      <c r="C44" s="33">
        <v>0.65911313182963194</v>
      </c>
      <c r="D44" s="108">
        <v>0.65126091977244516</v>
      </c>
      <c r="E44" s="108">
        <v>0.66274850119483797</v>
      </c>
      <c r="F44" s="4"/>
      <c r="G44" s="107">
        <v>1010410.113336965</v>
      </c>
      <c r="H44" s="109">
        <v>378771.59231845773</v>
      </c>
      <c r="I44" s="109">
        <v>623976.67428002844</v>
      </c>
      <c r="J44" s="53"/>
      <c r="K44" s="33">
        <v>0.47481010199487267</v>
      </c>
      <c r="L44" s="108">
        <v>0.49809882212781637</v>
      </c>
      <c r="M44" s="108">
        <v>0.46051876235816069</v>
      </c>
      <c r="N44" s="4"/>
      <c r="O44" s="107">
        <v>727876.45368015836</v>
      </c>
      <c r="P44" s="109">
        <v>289692.92991697136</v>
      </c>
      <c r="Q44" s="109">
        <v>433577.69238518795</v>
      </c>
      <c r="R44" s="53"/>
      <c r="S44" s="33">
        <v>0.33326777508527256</v>
      </c>
      <c r="T44" s="108">
        <v>0.33845187183837</v>
      </c>
      <c r="U44" s="108">
        <v>0.33106243449289152</v>
      </c>
      <c r="V44" s="4"/>
      <c r="W44" s="107">
        <v>510894.28223151906</v>
      </c>
      <c r="X44" s="109">
        <v>196842.6947285191</v>
      </c>
      <c r="Y44" s="109">
        <v>311694.76276671991</v>
      </c>
    </row>
    <row r="45" spans="1:25">
      <c r="A45" s="39"/>
      <c r="B45" s="39" t="s">
        <v>87</v>
      </c>
      <c r="C45" s="33">
        <v>0.88012531799186478</v>
      </c>
      <c r="D45" s="108">
        <v>0.87899944481302528</v>
      </c>
      <c r="E45" s="108">
        <v>0.88153309362330001</v>
      </c>
      <c r="F45" s="4"/>
      <c r="G45" s="107">
        <v>643966.4977201334</v>
      </c>
      <c r="H45" s="109">
        <v>346389.72736713797</v>
      </c>
      <c r="I45" s="109">
        <v>286749.19277255185</v>
      </c>
      <c r="J45" s="53"/>
      <c r="K45" s="33">
        <v>0.71285615908128319</v>
      </c>
      <c r="L45" s="108">
        <v>0.7394527171000701</v>
      </c>
      <c r="M45" s="108">
        <v>0.6743445580010301</v>
      </c>
      <c r="N45" s="4"/>
      <c r="O45" s="107">
        <v>521579.68275381823</v>
      </c>
      <c r="P45" s="109">
        <v>291398.16479823459</v>
      </c>
      <c r="Q45" s="109">
        <v>219353.94037514064</v>
      </c>
      <c r="R45" s="53"/>
      <c r="S45" s="33">
        <v>0.49526512306536541</v>
      </c>
      <c r="T45" s="108">
        <v>0.53688777558918122</v>
      </c>
      <c r="U45" s="108">
        <v>0.4417634210797366</v>
      </c>
      <c r="V45" s="4"/>
      <c r="W45" s="107">
        <v>362373.56229113974</v>
      </c>
      <c r="X45" s="109">
        <v>211572.84149666829</v>
      </c>
      <c r="Y45" s="109">
        <v>143698.86429378536</v>
      </c>
    </row>
    <row r="46" spans="1:25">
      <c r="A46" s="39"/>
      <c r="B46" s="39" t="s">
        <v>88</v>
      </c>
      <c r="C46" s="33">
        <v>0.9301684600322444</v>
      </c>
      <c r="D46" s="108">
        <v>1</v>
      </c>
      <c r="E46" s="108">
        <v>0.90660153679326716</v>
      </c>
      <c r="F46" s="4"/>
      <c r="G46" s="107">
        <v>4383.1651169234037</v>
      </c>
      <c r="H46" s="109">
        <v>1189.0205991430576</v>
      </c>
      <c r="I46" s="109">
        <v>3194.1445177803462</v>
      </c>
      <c r="J46" s="53"/>
      <c r="K46" s="33">
        <v>0.46292383351123995</v>
      </c>
      <c r="L46" s="108">
        <v>0.75684631755327725</v>
      </c>
      <c r="M46" s="108">
        <v>0.36373013646794644</v>
      </c>
      <c r="N46" s="4"/>
      <c r="O46" s="107">
        <v>2181.4022792909859</v>
      </c>
      <c r="P46" s="109">
        <v>899.9058619564147</v>
      </c>
      <c r="Q46" s="109">
        <v>1281.4964173345713</v>
      </c>
      <c r="R46" s="53"/>
      <c r="S46" s="33">
        <v>0.23197920973199415</v>
      </c>
      <c r="T46" s="108">
        <v>0.38096467650440929</v>
      </c>
      <c r="U46" s="108">
        <v>0.18169922076468878</v>
      </c>
      <c r="V46" s="4"/>
      <c r="W46" s="107">
        <v>1093.1387416785635</v>
      </c>
      <c r="X46" s="109">
        <v>452.97484790961386</v>
      </c>
      <c r="Y46" s="109">
        <v>640.16389376894961</v>
      </c>
    </row>
    <row r="47" spans="1:25">
      <c r="A47" s="39" t="s">
        <v>89</v>
      </c>
      <c r="B47" s="39"/>
      <c r="C47" s="33"/>
      <c r="D47" s="108"/>
      <c r="E47" s="108"/>
      <c r="F47" s="4"/>
      <c r="G47" s="107"/>
      <c r="H47" s="109"/>
      <c r="I47" s="109"/>
      <c r="J47" s="53"/>
      <c r="K47" s="33"/>
      <c r="L47" s="108"/>
      <c r="M47" s="108"/>
      <c r="N47" s="4"/>
      <c r="O47" s="107"/>
      <c r="P47" s="109"/>
      <c r="Q47" s="109"/>
      <c r="R47" s="53"/>
      <c r="S47" s="33"/>
      <c r="T47" s="108"/>
      <c r="U47" s="108"/>
      <c r="V47" s="4"/>
      <c r="W47" s="107"/>
      <c r="X47" s="109"/>
      <c r="Y47" s="109"/>
    </row>
    <row r="48" spans="1:25">
      <c r="A48" s="39"/>
      <c r="B48" s="39" t="s">
        <v>90</v>
      </c>
      <c r="C48" s="33">
        <v>0.89382951821241907</v>
      </c>
      <c r="D48" s="108">
        <v>0.90327133941675786</v>
      </c>
      <c r="E48" s="108">
        <v>0.88362589333817199</v>
      </c>
      <c r="G48" s="107">
        <v>3650544.9544289694</v>
      </c>
      <c r="H48" s="109">
        <v>1876508.5921586691</v>
      </c>
      <c r="I48" s="109">
        <v>1762522.5529090983</v>
      </c>
      <c r="J48" s="53"/>
      <c r="K48" s="33">
        <v>0.64035974057783496</v>
      </c>
      <c r="L48" s="108">
        <v>0.63957905376186663</v>
      </c>
      <c r="M48" s="108">
        <v>0.64004348216453977</v>
      </c>
      <c r="O48" s="107">
        <v>2615333.2065615584</v>
      </c>
      <c r="P48" s="109">
        <v>1328698.8498094131</v>
      </c>
      <c r="Q48" s="109">
        <v>1276661.4023676447</v>
      </c>
      <c r="R48" s="53"/>
      <c r="S48" s="33">
        <v>0.41881559668145024</v>
      </c>
      <c r="T48" s="108">
        <v>0.40768602104794077</v>
      </c>
      <c r="U48" s="108">
        <v>0.4307886273489776</v>
      </c>
      <c r="W48" s="107">
        <v>1710510.933180304</v>
      </c>
      <c r="X48" s="109">
        <v>846950.73120931559</v>
      </c>
      <c r="Y48" s="109">
        <v>859271.64081954374</v>
      </c>
    </row>
    <row r="49" spans="1:25">
      <c r="A49" s="39"/>
      <c r="B49" s="39" t="s">
        <v>91</v>
      </c>
      <c r="C49" s="33">
        <v>0.85808117124245087</v>
      </c>
      <c r="D49" s="108">
        <v>0.86883172385164698</v>
      </c>
      <c r="E49" s="108">
        <v>0.84809747112162992</v>
      </c>
      <c r="F49" s="4"/>
      <c r="G49" s="107">
        <v>4400868.3997653536</v>
      </c>
      <c r="H49" s="109">
        <v>2187911.8593720915</v>
      </c>
      <c r="I49" s="109">
        <v>2182896.4752167165</v>
      </c>
      <c r="J49" s="53"/>
      <c r="K49" s="33">
        <v>0.68421331526933604</v>
      </c>
      <c r="L49" s="108">
        <v>0.69754372662672937</v>
      </c>
      <c r="M49" s="108">
        <v>0.67059850481552286</v>
      </c>
      <c r="N49" s="4"/>
      <c r="O49" s="107">
        <v>3509146.755321024</v>
      </c>
      <c r="P49" s="109">
        <v>1756570.5188014267</v>
      </c>
      <c r="Q49" s="109">
        <v>1726036.4077155318</v>
      </c>
      <c r="R49" s="53"/>
      <c r="S49" s="33">
        <v>0.50155798730631351</v>
      </c>
      <c r="T49" s="108">
        <v>0.51301568298482236</v>
      </c>
      <c r="U49" s="108">
        <v>0.4904913178485758</v>
      </c>
      <c r="V49" s="4"/>
      <c r="W49" s="107">
        <v>2572356.5216915798</v>
      </c>
      <c r="X49" s="109">
        <v>1291887.7914246391</v>
      </c>
      <c r="Y49" s="109">
        <v>1262463.1075011247</v>
      </c>
    </row>
    <row r="50" spans="1:25">
      <c r="A50" s="39"/>
      <c r="B50" s="39" t="s">
        <v>92</v>
      </c>
      <c r="C50" s="33">
        <v>0.88336480431643749</v>
      </c>
      <c r="D50" s="108">
        <v>0.91793541322684258</v>
      </c>
      <c r="E50" s="108">
        <v>0.84979723673037266</v>
      </c>
      <c r="F50" s="4"/>
      <c r="G50" s="107">
        <v>755617.17329356133</v>
      </c>
      <c r="H50" s="109">
        <v>383188.07670696947</v>
      </c>
      <c r="I50" s="109">
        <v>367195.58092992549</v>
      </c>
      <c r="J50" s="53"/>
      <c r="K50" s="33">
        <v>0.6761477358353285</v>
      </c>
      <c r="L50" s="108">
        <v>0.7066285170400759</v>
      </c>
      <c r="M50" s="108">
        <v>0.64493353409640808</v>
      </c>
      <c r="N50" s="4"/>
      <c r="O50" s="107">
        <v>578366.76125678606</v>
      </c>
      <c r="P50" s="109">
        <v>294978.9478532417</v>
      </c>
      <c r="Q50" s="109">
        <v>278674.41017445747</v>
      </c>
      <c r="R50" s="53"/>
      <c r="S50" s="33">
        <v>0.46493944872022264</v>
      </c>
      <c r="T50" s="108">
        <v>0.48678566672925522</v>
      </c>
      <c r="U50" s="108">
        <v>0.44158938087800004</v>
      </c>
      <c r="V50" s="4"/>
      <c r="W50" s="107">
        <v>397702.31989998254</v>
      </c>
      <c r="X50" s="109">
        <v>203206.52271905239</v>
      </c>
      <c r="Y50" s="109">
        <v>190809.83349376422</v>
      </c>
    </row>
    <row r="51" spans="1:25">
      <c r="A51" s="39"/>
      <c r="B51" s="39" t="s">
        <v>93</v>
      </c>
      <c r="C51" s="33">
        <v>0.82430862331269039</v>
      </c>
      <c r="D51" s="108">
        <v>0.82796804145259995</v>
      </c>
      <c r="E51" s="108">
        <v>0.82296029648078639</v>
      </c>
      <c r="F51" s="4"/>
      <c r="G51" s="107">
        <v>2193499.3339799414</v>
      </c>
      <c r="H51" s="109">
        <v>1136607.2385666876</v>
      </c>
      <c r="I51" s="109">
        <v>1029208.563146558</v>
      </c>
      <c r="J51" s="53"/>
      <c r="K51" s="33">
        <v>0.65112641172743491</v>
      </c>
      <c r="L51" s="108">
        <v>0.65242836362206036</v>
      </c>
      <c r="M51" s="108">
        <v>0.65389134634533397</v>
      </c>
      <c r="N51" s="4"/>
      <c r="O51" s="107">
        <v>1732658.5092863841</v>
      </c>
      <c r="P51" s="109">
        <v>895632.15439820301</v>
      </c>
      <c r="Q51" s="109">
        <v>817767.97240881436</v>
      </c>
      <c r="R51" s="53"/>
      <c r="S51" s="33">
        <v>0.4701342273611539</v>
      </c>
      <c r="T51" s="108">
        <v>0.46120902461120628</v>
      </c>
      <c r="U51" s="108">
        <v>0.48289948156531781</v>
      </c>
      <c r="V51" s="4"/>
      <c r="W51" s="107">
        <v>1251035.2135509308</v>
      </c>
      <c r="X51" s="109">
        <v>633132.54814242618</v>
      </c>
      <c r="Y51" s="109">
        <v>603922.55093154672</v>
      </c>
    </row>
    <row r="52" spans="1:25">
      <c r="A52" s="39"/>
      <c r="B52" s="39" t="s">
        <v>94</v>
      </c>
      <c r="C52" s="33">
        <v>0.8169772872489286</v>
      </c>
      <c r="D52" s="108">
        <v>0.82966659898416883</v>
      </c>
      <c r="E52" s="108">
        <v>0.80597881115191072</v>
      </c>
      <c r="F52" s="4"/>
      <c r="G52" s="107">
        <v>7285111.6805809978</v>
      </c>
      <c r="H52" s="109">
        <v>3494771.9515796369</v>
      </c>
      <c r="I52" s="109">
        <v>3762114.9886174966</v>
      </c>
      <c r="J52" s="53"/>
      <c r="K52" s="33">
        <v>0.66188301551886408</v>
      </c>
      <c r="L52" s="108">
        <v>0.66544200157639177</v>
      </c>
      <c r="M52" s="108">
        <v>0.65936933098658412</v>
      </c>
      <c r="N52" s="4"/>
      <c r="O52" s="107">
        <v>5902112.2897697473</v>
      </c>
      <c r="P52" s="109">
        <v>2803015.1453120774</v>
      </c>
      <c r="Q52" s="109">
        <v>3077777.2427962399</v>
      </c>
      <c r="R52" s="53"/>
      <c r="S52" s="33">
        <v>0.4963093177836882</v>
      </c>
      <c r="T52" s="108">
        <v>0.49688807593569884</v>
      </c>
      <c r="U52" s="108">
        <v>0.49613066801682265</v>
      </c>
      <c r="V52" s="4"/>
      <c r="W52" s="107">
        <v>4425666.2511909688</v>
      </c>
      <c r="X52" s="109">
        <v>2093022.0801712521</v>
      </c>
      <c r="Y52" s="109">
        <v>2315818.4764079386</v>
      </c>
    </row>
    <row r="53" spans="1:25">
      <c r="A53" s="39" t="s">
        <v>95</v>
      </c>
      <c r="B53" s="39"/>
      <c r="C53" s="33"/>
      <c r="D53" s="108"/>
      <c r="E53" s="108"/>
      <c r="G53" s="107"/>
      <c r="H53" s="109"/>
      <c r="I53" s="109"/>
      <c r="J53" s="53"/>
      <c r="K53" s="33"/>
      <c r="L53" s="108"/>
      <c r="M53" s="108"/>
      <c r="O53" s="107"/>
      <c r="P53" s="109"/>
      <c r="Q53" s="109"/>
      <c r="R53" s="53"/>
      <c r="S53" s="33"/>
      <c r="T53" s="108"/>
      <c r="U53" s="108"/>
      <c r="W53" s="107"/>
      <c r="X53" s="109"/>
      <c r="Y53" s="109"/>
    </row>
    <row r="54" spans="1:25">
      <c r="A54" s="39"/>
      <c r="B54" s="39" t="s">
        <v>96</v>
      </c>
      <c r="C54" s="33">
        <v>0.80512583690925998</v>
      </c>
      <c r="D54" s="108">
        <v>0.82344435671943383</v>
      </c>
      <c r="E54" s="108">
        <v>0.77909104752927816</v>
      </c>
      <c r="F54" s="4"/>
      <c r="G54" s="107">
        <v>846615.11382595287</v>
      </c>
      <c r="H54" s="109">
        <v>502744.40858610201</v>
      </c>
      <c r="I54" s="109">
        <v>335683.5538920387</v>
      </c>
      <c r="J54" s="53"/>
      <c r="K54" s="33">
        <v>0.47590917719235082</v>
      </c>
      <c r="L54" s="108">
        <v>0.45049245651644798</v>
      </c>
      <c r="M54" s="108">
        <v>0.50767167184550177</v>
      </c>
      <c r="N54" s="4"/>
      <c r="O54" s="107">
        <v>500433.45244791469</v>
      </c>
      <c r="P54" s="109">
        <v>275042.948288769</v>
      </c>
      <c r="Q54" s="109">
        <v>218738.27398717045</v>
      </c>
      <c r="R54" s="53"/>
      <c r="S54" s="33">
        <v>0.29461749093197498</v>
      </c>
      <c r="T54" s="108">
        <v>0.26047457577812416</v>
      </c>
      <c r="U54" s="108">
        <v>0.34103439809982899</v>
      </c>
      <c r="V54" s="4"/>
      <c r="W54" s="107">
        <v>309799.5483265082</v>
      </c>
      <c r="X54" s="109">
        <v>159029.73343942317</v>
      </c>
      <c r="Y54" s="109">
        <v>146940.00029474194</v>
      </c>
    </row>
    <row r="55" spans="1:25">
      <c r="A55" s="39"/>
      <c r="B55" s="39" t="s">
        <v>97</v>
      </c>
      <c r="C55" s="33">
        <v>0.84678454121331437</v>
      </c>
      <c r="D55" s="108">
        <v>0.8595843969593111</v>
      </c>
      <c r="E55" s="108">
        <v>0.83557560976135303</v>
      </c>
      <c r="F55" s="4"/>
      <c r="G55" s="107">
        <v>16414373.947880773</v>
      </c>
      <c r="H55" s="109">
        <v>8026612.2290945649</v>
      </c>
      <c r="I55" s="109">
        <v>8314884.4978895914</v>
      </c>
      <c r="J55" s="53"/>
      <c r="K55" s="33">
        <v>0.67430574186242032</v>
      </c>
      <c r="L55" s="108">
        <v>0.68313550394564659</v>
      </c>
      <c r="M55" s="108">
        <v>0.6669298030029851</v>
      </c>
      <c r="N55" s="4"/>
      <c r="O55" s="107">
        <v>13070983.306182843</v>
      </c>
      <c r="P55" s="109">
        <v>6378970.8253142703</v>
      </c>
      <c r="Q55" s="109">
        <v>6636675.6226332439</v>
      </c>
      <c r="R55" s="53"/>
      <c r="S55" s="33">
        <v>0.49075522060927113</v>
      </c>
      <c r="T55" s="108">
        <v>0.49271239927060573</v>
      </c>
      <c r="U55" s="108">
        <v>0.48973081647342115</v>
      </c>
      <c r="V55" s="4"/>
      <c r="W55" s="107">
        <v>9512974.4532334898</v>
      </c>
      <c r="X55" s="109">
        <v>4600841.2709696628</v>
      </c>
      <c r="Y55" s="109">
        <v>4873353.3225038396</v>
      </c>
    </row>
    <row r="56" spans="1:25">
      <c r="A56" s="39"/>
      <c r="B56" s="39" t="s">
        <v>98</v>
      </c>
      <c r="C56" s="33">
        <v>0.70842880165193578</v>
      </c>
      <c r="D56" s="108">
        <v>0.72821969886528326</v>
      </c>
      <c r="E56" s="108">
        <v>0.68674896948133646</v>
      </c>
      <c r="F56" s="4"/>
      <c r="G56" s="107">
        <v>349298.01834824542</v>
      </c>
      <c r="H56" s="109">
        <v>203150.17394564545</v>
      </c>
      <c r="I56" s="109">
        <v>135546.24059893767</v>
      </c>
      <c r="J56" s="53"/>
      <c r="K56" s="33">
        <v>0.47046170446482655</v>
      </c>
      <c r="L56" s="108">
        <v>0.4812440258540015</v>
      </c>
      <c r="M56" s="108">
        <v>0.4532386059054862</v>
      </c>
      <c r="N56" s="4"/>
      <c r="O56" s="107">
        <v>231965.92331524211</v>
      </c>
      <c r="P56" s="109">
        <v>134251.80301340498</v>
      </c>
      <c r="Q56" s="109">
        <v>89457.417273141909</v>
      </c>
      <c r="R56" s="53"/>
      <c r="S56" s="33">
        <v>0.31140331983247888</v>
      </c>
      <c r="T56" s="108">
        <v>0.31085967070353304</v>
      </c>
      <c r="U56" s="108">
        <v>0.30822957930848865</v>
      </c>
      <c r="V56" s="4"/>
      <c r="W56" s="107">
        <v>153540.57072624742</v>
      </c>
      <c r="X56" s="109">
        <v>86719.977878257632</v>
      </c>
      <c r="Y56" s="109">
        <v>60836.437436828448</v>
      </c>
    </row>
    <row r="57" spans="1:25">
      <c r="A57" s="39" t="s">
        <v>99</v>
      </c>
      <c r="B57" s="39"/>
      <c r="C57" s="33"/>
      <c r="D57" s="108"/>
      <c r="E57" s="108"/>
      <c r="G57" s="107"/>
      <c r="H57" s="109"/>
      <c r="I57" s="109"/>
      <c r="J57" s="53"/>
      <c r="K57" s="33"/>
      <c r="L57" s="108"/>
      <c r="M57" s="108"/>
      <c r="O57" s="107"/>
      <c r="P57" s="109"/>
      <c r="Q57" s="109"/>
      <c r="R57" s="53"/>
      <c r="S57" s="33"/>
      <c r="T57" s="108"/>
      <c r="U57" s="108"/>
      <c r="W57" s="107"/>
      <c r="X57" s="109"/>
      <c r="Y57" s="109"/>
    </row>
    <row r="58" spans="1:25">
      <c r="A58" s="39"/>
      <c r="B58" s="39" t="s">
        <v>100</v>
      </c>
      <c r="C58" s="33">
        <v>0.8408882456026322</v>
      </c>
      <c r="D58" s="108">
        <v>0.85334075217850591</v>
      </c>
      <c r="E58" s="108">
        <v>0.82980936796322846</v>
      </c>
      <c r="F58" s="4"/>
      <c r="G58" s="107">
        <v>14737218.398238266</v>
      </c>
      <c r="H58" s="109">
        <v>7206186.6879005488</v>
      </c>
      <c r="I58" s="109">
        <v>7460006.4223596035</v>
      </c>
      <c r="J58" s="53"/>
      <c r="K58" s="33">
        <v>0.66444565176494097</v>
      </c>
      <c r="L58" s="108">
        <v>0.66631580312572791</v>
      </c>
      <c r="M58" s="108">
        <v>0.66323784881747327</v>
      </c>
      <c r="N58" s="4"/>
      <c r="O58" s="107">
        <v>11644925.155068729</v>
      </c>
      <c r="P58" s="109">
        <v>5626821.4756699707</v>
      </c>
      <c r="Q58" s="109">
        <v>5962524.4095214512</v>
      </c>
      <c r="R58" s="53"/>
      <c r="S58" s="33">
        <v>0.48352504943466451</v>
      </c>
      <c r="T58" s="108">
        <v>0.478707882454661</v>
      </c>
      <c r="U58" s="108">
        <v>0.48872615367666922</v>
      </c>
      <c r="V58" s="4"/>
      <c r="W58" s="107">
        <v>8474151.3415148389</v>
      </c>
      <c r="X58" s="109">
        <v>4042533.256651761</v>
      </c>
      <c r="Y58" s="109">
        <v>4393660.0211587632</v>
      </c>
    </row>
    <row r="59" spans="1:25">
      <c r="A59" s="39"/>
      <c r="B59" s="39" t="s">
        <v>101</v>
      </c>
      <c r="C59" s="33">
        <v>0.85596466736879295</v>
      </c>
      <c r="D59" s="108">
        <v>0.86861259434885341</v>
      </c>
      <c r="E59" s="108">
        <v>0.84286605573128948</v>
      </c>
      <c r="F59" s="4"/>
      <c r="G59" s="107">
        <v>2703531.1674685315</v>
      </c>
      <c r="H59" s="109">
        <v>1426188.3258058783</v>
      </c>
      <c r="I59" s="109">
        <v>1262384.8010743551</v>
      </c>
      <c r="J59" s="53"/>
      <c r="K59" s="33">
        <v>0.64486951968944761</v>
      </c>
      <c r="L59" s="108">
        <v>0.66277141562041508</v>
      </c>
      <c r="M59" s="108">
        <v>0.62666002716259983</v>
      </c>
      <c r="N59" s="4"/>
      <c r="O59" s="107">
        <v>2036795.3396839541</v>
      </c>
      <c r="P59" s="109">
        <v>1088214.5409649038</v>
      </c>
      <c r="Q59" s="109">
        <v>938566.79641054547</v>
      </c>
      <c r="R59" s="53"/>
      <c r="S59" s="33">
        <v>0.44963291065963595</v>
      </c>
      <c r="T59" s="108">
        <v>0.46054437814041937</v>
      </c>
      <c r="U59" s="108">
        <v>0.43899397964451076</v>
      </c>
      <c r="V59" s="4"/>
      <c r="W59" s="107">
        <v>1420148.0904867523</v>
      </c>
      <c r="X59" s="109">
        <v>756174.87000838935</v>
      </c>
      <c r="Y59" s="109">
        <v>657493.94449816446</v>
      </c>
    </row>
    <row r="60" spans="1:25">
      <c r="A60" s="39" t="s">
        <v>102</v>
      </c>
      <c r="B60" s="39"/>
      <c r="C60" s="33"/>
      <c r="D60" s="108"/>
      <c r="E60" s="108"/>
      <c r="F60" s="4"/>
      <c r="G60" s="107"/>
      <c r="H60" s="109"/>
      <c r="I60" s="109"/>
      <c r="J60" s="53"/>
      <c r="K60" s="33"/>
      <c r="L60" s="108"/>
      <c r="M60" s="108"/>
      <c r="N60" s="4"/>
      <c r="O60" s="107"/>
      <c r="P60" s="109"/>
      <c r="Q60" s="109"/>
      <c r="R60" s="53"/>
      <c r="S60" s="33"/>
      <c r="T60" s="108"/>
      <c r="U60" s="108"/>
      <c r="V60" s="4"/>
      <c r="W60" s="107"/>
      <c r="X60" s="109"/>
      <c r="Y60" s="109"/>
    </row>
    <row r="61" spans="1:25">
      <c r="A61" s="39"/>
      <c r="B61" s="39" t="s">
        <v>96</v>
      </c>
      <c r="C61" s="33">
        <v>0.67524417599507092</v>
      </c>
      <c r="D61" s="108">
        <v>0.6925248387497388</v>
      </c>
      <c r="E61" s="108">
        <v>0.65982334902327866</v>
      </c>
      <c r="G61" s="107">
        <v>2480055.6807956412</v>
      </c>
      <c r="H61" s="109">
        <v>1066565.4444150773</v>
      </c>
      <c r="I61" s="109">
        <v>1377902.5491072254</v>
      </c>
      <c r="J61" s="53"/>
      <c r="K61" s="33">
        <v>0.49844446226881117</v>
      </c>
      <c r="L61" s="108">
        <v>0.50735767584665636</v>
      </c>
      <c r="M61" s="108">
        <v>0.48960428298569403</v>
      </c>
      <c r="O61" s="107">
        <v>1830700.7511604475</v>
      </c>
      <c r="P61" s="109">
        <v>781387.37376370234</v>
      </c>
      <c r="Q61" s="109">
        <v>1022435.7634182512</v>
      </c>
      <c r="R61" s="53"/>
      <c r="S61" s="33">
        <v>0.35055004789095817</v>
      </c>
      <c r="T61" s="108">
        <v>0.35562161699545941</v>
      </c>
      <c r="U61" s="108">
        <v>0.3450621629736399</v>
      </c>
      <c r="W61" s="107">
        <v>1287510.012794988</v>
      </c>
      <c r="X61" s="109">
        <v>547696.92977241764</v>
      </c>
      <c r="Y61" s="109">
        <v>720589.88919632311</v>
      </c>
    </row>
    <row r="62" spans="1:25">
      <c r="A62" s="39"/>
      <c r="B62" s="39" t="s">
        <v>97</v>
      </c>
      <c r="C62" s="33">
        <v>0.88352500594827665</v>
      </c>
      <c r="D62" s="108">
        <v>0.8887563024490549</v>
      </c>
      <c r="E62" s="108">
        <v>0.87889962309315095</v>
      </c>
      <c r="G62" s="107">
        <v>14779874.254951436</v>
      </c>
      <c r="H62" s="109">
        <v>7496768.6481792415</v>
      </c>
      <c r="I62" s="109">
        <v>7237731.1492477776</v>
      </c>
      <c r="J62" s="53"/>
      <c r="K62" s="33">
        <v>0.70052556403112576</v>
      </c>
      <c r="L62" s="108">
        <v>0.69765109108411294</v>
      </c>
      <c r="M62" s="108">
        <v>0.70382574903732287</v>
      </c>
      <c r="O62" s="107">
        <v>11718604.090493729</v>
      </c>
      <c r="P62" s="109">
        <v>5884772.7015777957</v>
      </c>
      <c r="Q62" s="109">
        <v>5795999.2399611929</v>
      </c>
      <c r="R62" s="53"/>
      <c r="S62" s="33">
        <v>0.50925461745758627</v>
      </c>
      <c r="T62" s="108">
        <v>0.50020110480623015</v>
      </c>
      <c r="U62" s="108">
        <v>0.51905994910808995</v>
      </c>
      <c r="W62" s="107">
        <v>8518965.6875621602</v>
      </c>
      <c r="X62" s="109">
        <v>4219257.7987495223</v>
      </c>
      <c r="Y62" s="109">
        <v>4274454.4010214228</v>
      </c>
    </row>
    <row r="63" spans="1:25">
      <c r="A63" s="39"/>
      <c r="B63" s="39" t="s">
        <v>98</v>
      </c>
      <c r="C63" s="33">
        <v>0.66378466995640584</v>
      </c>
      <c r="D63" s="108">
        <v>0.67117412589366265</v>
      </c>
      <c r="E63" s="108">
        <v>0.66582725828982481</v>
      </c>
      <c r="G63" s="107">
        <v>350357.14430795936</v>
      </c>
      <c r="H63" s="109">
        <v>169172.71903198538</v>
      </c>
      <c r="I63" s="109">
        <v>170480.59402550259</v>
      </c>
      <c r="J63" s="53"/>
      <c r="K63" s="33">
        <v>0.48137444348262226</v>
      </c>
      <c r="L63" s="108">
        <v>0.48444012458946051</v>
      </c>
      <c r="M63" s="108">
        <v>0.49380835665835199</v>
      </c>
      <c r="O63" s="107">
        <v>254077.84029191433</v>
      </c>
      <c r="P63" s="109">
        <v>122105.50127490638</v>
      </c>
      <c r="Q63" s="109">
        <v>126436.31051408341</v>
      </c>
      <c r="R63" s="53"/>
      <c r="S63" s="33">
        <v>0.32177576904299882</v>
      </c>
      <c r="T63" s="108">
        <v>0.31594806370795936</v>
      </c>
      <c r="U63" s="108">
        <v>0.3362145281582325</v>
      </c>
      <c r="W63" s="107">
        <v>169838.87192936608</v>
      </c>
      <c r="X63" s="109">
        <v>79636.253765293004</v>
      </c>
      <c r="Y63" s="109">
        <v>86085.470017615065</v>
      </c>
    </row>
    <row r="64" spans="1:25">
      <c r="A64" s="39" t="s">
        <v>103</v>
      </c>
      <c r="B64" s="39"/>
      <c r="C64" s="33"/>
      <c r="D64" s="108"/>
      <c r="E64" s="108"/>
      <c r="F64" s="4"/>
      <c r="G64" s="107"/>
      <c r="H64" s="109"/>
      <c r="I64" s="109"/>
      <c r="J64" s="53"/>
      <c r="K64" s="33"/>
      <c r="L64" s="108"/>
      <c r="M64" s="108"/>
      <c r="N64" s="4"/>
      <c r="O64" s="107"/>
      <c r="P64" s="109"/>
      <c r="Q64" s="109"/>
      <c r="R64" s="53"/>
      <c r="S64" s="33"/>
      <c r="T64" s="108"/>
      <c r="U64" s="108"/>
      <c r="V64" s="4"/>
      <c r="W64" s="107"/>
      <c r="X64" s="109"/>
      <c r="Y64" s="109"/>
    </row>
    <row r="65" spans="1:25">
      <c r="A65" s="39"/>
      <c r="B65" s="41" t="s">
        <v>104</v>
      </c>
      <c r="C65" s="33">
        <v>0.68814311211300061</v>
      </c>
      <c r="D65" s="108">
        <v>0.704869381363323</v>
      </c>
      <c r="E65" s="108">
        <v>0.67640314836378712</v>
      </c>
      <c r="G65" s="107">
        <v>2197536.7271044771</v>
      </c>
      <c r="H65" s="109">
        <v>854918.8236169389</v>
      </c>
      <c r="I65" s="109">
        <v>1318358.2554977038</v>
      </c>
      <c r="J65" s="53"/>
      <c r="K65" s="33">
        <v>0.50637039522958294</v>
      </c>
      <c r="L65" s="108">
        <v>0.52689099594782507</v>
      </c>
      <c r="M65" s="108">
        <v>0.49165731714075833</v>
      </c>
      <c r="O65" s="107">
        <v>1617058.3145395045</v>
      </c>
      <c r="P65" s="109">
        <v>639053.19530100178</v>
      </c>
      <c r="Q65" s="109">
        <v>958275.37836911902</v>
      </c>
      <c r="R65" s="53"/>
      <c r="S65" s="33">
        <v>0.35859474689744397</v>
      </c>
      <c r="T65" s="108">
        <v>0.37895270477153598</v>
      </c>
      <c r="U65" s="108">
        <v>0.34421370804933465</v>
      </c>
      <c r="W65" s="107">
        <v>1145147.1541060267</v>
      </c>
      <c r="X65" s="109">
        <v>459622.46216898342</v>
      </c>
      <c r="Y65" s="109">
        <v>670897.20791520178</v>
      </c>
    </row>
    <row r="66" spans="1:25">
      <c r="A66" s="39"/>
      <c r="B66" s="39" t="s">
        <v>105</v>
      </c>
      <c r="C66" s="33">
        <v>0.79112772848873802</v>
      </c>
      <c r="D66" s="108">
        <v>0.79304879038378462</v>
      </c>
      <c r="E66" s="108">
        <v>0.78809676216729641</v>
      </c>
      <c r="F66" s="4"/>
      <c r="G66" s="107">
        <v>2685139.3014890007</v>
      </c>
      <c r="H66" s="109">
        <v>1275125.3861620652</v>
      </c>
      <c r="I66" s="109">
        <v>1397274.8563986709</v>
      </c>
      <c r="J66" s="53"/>
      <c r="K66" s="33">
        <v>0.59557768612457207</v>
      </c>
      <c r="L66" s="108">
        <v>0.59455184424694074</v>
      </c>
      <c r="M66" s="108">
        <v>0.5961372880389626</v>
      </c>
      <c r="N66" s="4"/>
      <c r="O66" s="107">
        <v>2021429.6560656249</v>
      </c>
      <c r="P66" s="109">
        <v>955966.59270088933</v>
      </c>
      <c r="Q66" s="109">
        <v>1056935.7514524504</v>
      </c>
      <c r="R66" s="53"/>
      <c r="S66" s="33">
        <v>0.42226638064182159</v>
      </c>
      <c r="T66" s="108">
        <v>0.4178711950739068</v>
      </c>
      <c r="U66" s="108">
        <v>0.42564070786989683</v>
      </c>
      <c r="V66" s="4"/>
      <c r="W66" s="107">
        <v>1433199.7394716649</v>
      </c>
      <c r="X66" s="109">
        <v>671885.73445368931</v>
      </c>
      <c r="Y66" s="109">
        <v>754649.79367608228</v>
      </c>
    </row>
    <row r="67" spans="1:25">
      <c r="A67" s="39"/>
      <c r="B67" s="39" t="s">
        <v>106</v>
      </c>
      <c r="C67" s="33">
        <v>0.86510968873823335</v>
      </c>
      <c r="D67" s="108">
        <v>0.86733374139179475</v>
      </c>
      <c r="E67" s="108">
        <v>0.86372336326011079</v>
      </c>
      <c r="F67" s="4"/>
      <c r="G67" s="107">
        <v>2695871.0177838514</v>
      </c>
      <c r="H67" s="109">
        <v>1432583.2165038215</v>
      </c>
      <c r="I67" s="109">
        <v>1252847.247996409</v>
      </c>
      <c r="J67" s="53"/>
      <c r="K67" s="33">
        <v>0.65326742617960787</v>
      </c>
      <c r="L67" s="108">
        <v>0.63800942412154016</v>
      </c>
      <c r="M67" s="108">
        <v>0.6711725305483951</v>
      </c>
      <c r="N67" s="4"/>
      <c r="O67" s="107">
        <v>2035724.1908462099</v>
      </c>
      <c r="P67" s="109">
        <v>1053806.1064027154</v>
      </c>
      <c r="Q67" s="109">
        <v>973548.58464690158</v>
      </c>
      <c r="R67" s="53"/>
      <c r="S67" s="33">
        <v>0.45713965011239777</v>
      </c>
      <c r="T67" s="108">
        <v>0.43918968632303163</v>
      </c>
      <c r="U67" s="108">
        <v>0.47900337476579014</v>
      </c>
      <c r="V67" s="4"/>
      <c r="W67" s="107">
        <v>1424547.1410860161</v>
      </c>
      <c r="X67" s="109">
        <v>725413.69424683764</v>
      </c>
      <c r="Y67" s="109">
        <v>694803.55097860983</v>
      </c>
    </row>
    <row r="68" spans="1:25">
      <c r="A68" s="39"/>
      <c r="B68" s="39" t="s">
        <v>107</v>
      </c>
      <c r="C68" s="33">
        <v>0.89701957448495628</v>
      </c>
      <c r="D68" s="108">
        <v>0.90027646970359465</v>
      </c>
      <c r="E68" s="108">
        <v>0.89350749965528375</v>
      </c>
      <c r="F68" s="4"/>
      <c r="G68" s="107">
        <v>3517950.5208767815</v>
      </c>
      <c r="H68" s="109">
        <v>1848755.6769124165</v>
      </c>
      <c r="I68" s="109">
        <v>1658221.549067853</v>
      </c>
      <c r="J68" s="53"/>
      <c r="K68" s="33">
        <v>0.69897790247306391</v>
      </c>
      <c r="L68" s="108">
        <v>0.688094512779445</v>
      </c>
      <c r="M68" s="108">
        <v>0.71064665642308977</v>
      </c>
      <c r="N68" s="4"/>
      <c r="O68" s="107">
        <v>2741266.4628844331</v>
      </c>
      <c r="P68" s="109">
        <v>1413031.0849645021</v>
      </c>
      <c r="Q68" s="109">
        <v>1318858.0956605491</v>
      </c>
      <c r="R68" s="53"/>
      <c r="S68" s="33">
        <v>0.49735662528621438</v>
      </c>
      <c r="T68" s="108">
        <v>0.48162454327625787</v>
      </c>
      <c r="U68" s="108">
        <v>0.51448039080866192</v>
      </c>
      <c r="V68" s="4"/>
      <c r="W68" s="107">
        <v>1950543.8328832136</v>
      </c>
      <c r="X68" s="109">
        <v>989036.29994404619</v>
      </c>
      <c r="Y68" s="109">
        <v>954801.68990289327</v>
      </c>
    </row>
    <row r="69" spans="1:25">
      <c r="A69" s="39"/>
      <c r="B69" s="39" t="s">
        <v>108</v>
      </c>
      <c r="C69" s="33">
        <v>0.92630238287314071</v>
      </c>
      <c r="D69" s="108">
        <v>0.91996759003153694</v>
      </c>
      <c r="E69" s="108">
        <v>0.93434036846899249</v>
      </c>
      <c r="G69" s="107">
        <v>2007767.4943988747</v>
      </c>
      <c r="H69" s="109">
        <v>1084082.1406509127</v>
      </c>
      <c r="I69" s="109">
        <v>917105.19537043001</v>
      </c>
      <c r="J69" s="53"/>
      <c r="K69" s="33">
        <v>0.75866134013617659</v>
      </c>
      <c r="L69" s="108">
        <v>0.74932676770443019</v>
      </c>
      <c r="M69" s="108">
        <v>0.77181988999064455</v>
      </c>
      <c r="O69" s="107">
        <v>1644404.253023617</v>
      </c>
      <c r="P69" s="109">
        <v>883000.41782145901</v>
      </c>
      <c r="Q69" s="109">
        <v>757582.6271538696</v>
      </c>
      <c r="R69" s="53"/>
      <c r="S69" s="33">
        <v>0.56005269662254509</v>
      </c>
      <c r="T69" s="108">
        <v>0.54421579536951215</v>
      </c>
      <c r="U69" s="108">
        <v>0.58000544051752545</v>
      </c>
      <c r="W69" s="107">
        <v>1213918.5002865067</v>
      </c>
      <c r="X69" s="109">
        <v>641299.35751323064</v>
      </c>
      <c r="Y69" s="109">
        <v>569306.45489860396</v>
      </c>
    </row>
    <row r="70" spans="1:25">
      <c r="A70" s="39"/>
      <c r="B70" s="39" t="s">
        <v>109</v>
      </c>
      <c r="C70" s="33">
        <v>0.94422932261718784</v>
      </c>
      <c r="D70" s="108">
        <v>0.94331081106500048</v>
      </c>
      <c r="E70" s="108">
        <v>0.94590930724974276</v>
      </c>
      <c r="G70" s="107">
        <v>2082342.6905727857</v>
      </c>
      <c r="H70" s="109">
        <v>1264245.1002445389</v>
      </c>
      <c r="I70" s="109">
        <v>813574.25666126492</v>
      </c>
      <c r="J70" s="53"/>
      <c r="K70" s="33">
        <v>0.80221061371470015</v>
      </c>
      <c r="L70" s="108">
        <v>0.78894856268314273</v>
      </c>
      <c r="M70" s="108">
        <v>0.82288791552024387</v>
      </c>
      <c r="O70" s="107">
        <v>1769143.7532765165</v>
      </c>
      <c r="P70" s="109">
        <v>1057365.5501637259</v>
      </c>
      <c r="Q70" s="109">
        <v>707763.86177175154</v>
      </c>
      <c r="R70" s="53"/>
      <c r="S70" s="33">
        <v>0.60757745233872718</v>
      </c>
      <c r="T70" s="108">
        <v>0.58667385015746887</v>
      </c>
      <c r="U70" s="108">
        <v>0.64142571177344632</v>
      </c>
      <c r="W70" s="107">
        <v>1339912.2824607708</v>
      </c>
      <c r="X70" s="109">
        <v>786272.7022769918</v>
      </c>
      <c r="Y70" s="109">
        <v>551688.66894521855</v>
      </c>
    </row>
    <row r="71" spans="1:25">
      <c r="A71" s="39"/>
      <c r="B71" s="39" t="s">
        <v>110</v>
      </c>
      <c r="C71" s="33">
        <v>0.82703343786147177</v>
      </c>
      <c r="D71" s="108">
        <v>0.8225413171274647</v>
      </c>
      <c r="E71" s="108">
        <v>0.83588147019580716</v>
      </c>
      <c r="G71" s="107">
        <v>2423679.3278295421</v>
      </c>
      <c r="H71" s="109">
        <v>972796.46753532696</v>
      </c>
      <c r="I71" s="109">
        <v>1428732.9313880785</v>
      </c>
      <c r="J71" s="53"/>
      <c r="K71" s="33">
        <v>0.67371060764048496</v>
      </c>
      <c r="L71" s="108">
        <v>0.66463290232692185</v>
      </c>
      <c r="M71" s="108">
        <v>0.68562523966223954</v>
      </c>
      <c r="O71" s="107">
        <v>1974356.0513102582</v>
      </c>
      <c r="P71" s="109">
        <v>786042.62926185492</v>
      </c>
      <c r="Q71" s="109">
        <v>1171907.0148388592</v>
      </c>
      <c r="R71" s="53"/>
      <c r="S71" s="33">
        <v>0.50128335266591428</v>
      </c>
      <c r="T71" s="108">
        <v>0.48454753359377412</v>
      </c>
      <c r="U71" s="108">
        <v>0.51775973540944042</v>
      </c>
      <c r="W71" s="107">
        <v>1469045.9219920523</v>
      </c>
      <c r="X71" s="109">
        <v>573060.73168350477</v>
      </c>
      <c r="Y71" s="109">
        <v>884982.39391879318</v>
      </c>
    </row>
    <row r="72" spans="1:25">
      <c r="A72" s="39" t="s">
        <v>111</v>
      </c>
      <c r="B72" s="39"/>
      <c r="C72" s="33"/>
      <c r="D72" s="108"/>
      <c r="E72" s="108"/>
      <c r="F72" s="4"/>
      <c r="G72" s="107"/>
      <c r="H72" s="109"/>
      <c r="I72" s="109"/>
      <c r="J72" s="53"/>
      <c r="K72" s="33"/>
      <c r="L72" s="108"/>
      <c r="M72" s="108"/>
      <c r="N72" s="4"/>
      <c r="O72" s="107"/>
      <c r="P72" s="109"/>
      <c r="Q72" s="109"/>
      <c r="R72" s="53"/>
      <c r="S72" s="33"/>
      <c r="T72" s="108"/>
      <c r="U72" s="108"/>
      <c r="V72" s="4"/>
      <c r="W72" s="107"/>
      <c r="X72" s="109"/>
      <c r="Y72" s="109"/>
    </row>
    <row r="73" spans="1:25">
      <c r="A73" s="39"/>
      <c r="B73" s="39" t="s">
        <v>112</v>
      </c>
      <c r="C73" s="33">
        <v>0.84322555680326905</v>
      </c>
      <c r="D73" s="108">
        <v>0.85853736456510721</v>
      </c>
      <c r="E73" s="108">
        <v>0.82923349429298399</v>
      </c>
      <c r="F73" s="4"/>
      <c r="G73" s="107">
        <v>15556912.437724266</v>
      </c>
      <c r="H73" s="109">
        <v>7641145.9041210944</v>
      </c>
      <c r="I73" s="109">
        <v>7898186.4393180944</v>
      </c>
      <c r="J73" s="53"/>
      <c r="K73" s="33">
        <v>0.66080360949430983</v>
      </c>
      <c r="L73" s="108">
        <v>0.66554806133937916</v>
      </c>
      <c r="M73" s="108">
        <v>0.65674390607942068</v>
      </c>
      <c r="N73" s="4"/>
      <c r="O73" s="107">
        <v>12191357.114942776</v>
      </c>
      <c r="P73" s="109">
        <v>5923504.3840814335</v>
      </c>
      <c r="Q73" s="109">
        <v>6255277.7339558126</v>
      </c>
      <c r="R73" s="53"/>
      <c r="S73" s="33">
        <v>0.47617798819256785</v>
      </c>
      <c r="T73" s="108">
        <v>0.47247252265766954</v>
      </c>
      <c r="U73" s="108">
        <v>0.48018777138924251</v>
      </c>
      <c r="V73" s="4"/>
      <c r="W73" s="107">
        <v>8785145.5726356599</v>
      </c>
      <c r="X73" s="109">
        <v>4205095.3520749547</v>
      </c>
      <c r="Y73" s="109">
        <v>4573636.4611592619</v>
      </c>
    </row>
    <row r="74" spans="1:25">
      <c r="A74" s="39"/>
      <c r="B74" s="39" t="s">
        <v>113</v>
      </c>
      <c r="C74" s="33">
        <v>0.85530850287500504</v>
      </c>
      <c r="D74" s="108">
        <v>0.85322335289337703</v>
      </c>
      <c r="E74" s="108">
        <v>0.88243713206302588</v>
      </c>
      <c r="G74" s="107">
        <v>777757.79873849929</v>
      </c>
      <c r="H74" s="109">
        <v>592573.52521434112</v>
      </c>
      <c r="I74" s="109">
        <v>169536.05416709336</v>
      </c>
      <c r="J74" s="53"/>
      <c r="K74" s="33">
        <v>0.70233468919481912</v>
      </c>
      <c r="L74" s="108">
        <v>0.70715126353134494</v>
      </c>
      <c r="M74" s="108">
        <v>0.70657377871995275</v>
      </c>
      <c r="O74" s="107">
        <v>638654.09967247711</v>
      </c>
      <c r="P74" s="109">
        <v>491124.76313445414</v>
      </c>
      <c r="Q74" s="109">
        <v>135748.74183054897</v>
      </c>
      <c r="R74" s="53"/>
      <c r="S74" s="33">
        <v>0.54330591436946463</v>
      </c>
      <c r="T74" s="108">
        <v>0.55315985849045668</v>
      </c>
      <c r="U74" s="108">
        <v>0.52333555856161862</v>
      </c>
      <c r="W74" s="107">
        <v>494044.44195424474</v>
      </c>
      <c r="X74" s="109">
        <v>384175.94436578668</v>
      </c>
      <c r="Y74" s="109">
        <v>100544.55142480532</v>
      </c>
    </row>
    <row r="75" spans="1:25">
      <c r="A75" s="39"/>
      <c r="B75" s="39" t="s">
        <v>114</v>
      </c>
      <c r="C75" s="33">
        <v>0.85412600107931202</v>
      </c>
      <c r="D75" s="108">
        <v>0.8503580015105916</v>
      </c>
      <c r="E75" s="108">
        <v>0.8536323829924054</v>
      </c>
      <c r="G75" s="107">
        <v>620881.07532183512</v>
      </c>
      <c r="H75" s="109">
        <v>203665.91741240458</v>
      </c>
      <c r="I75" s="109">
        <v>390277.82792008534</v>
      </c>
      <c r="J75" s="53"/>
      <c r="K75" s="33">
        <v>0.65851135767771807</v>
      </c>
      <c r="L75" s="108">
        <v>0.6482908899722406</v>
      </c>
      <c r="M75" s="108">
        <v>0.66022529505103422</v>
      </c>
      <c r="O75" s="107">
        <v>478684.92394556873</v>
      </c>
      <c r="P75" s="109">
        <v>155269.61423512409</v>
      </c>
      <c r="Q75" s="109">
        <v>301852.76381754549</v>
      </c>
      <c r="R75" s="53"/>
      <c r="S75" s="33">
        <v>0.46880465855620668</v>
      </c>
      <c r="T75" s="108">
        <v>0.42920341432618658</v>
      </c>
      <c r="U75" s="108">
        <v>0.48682579455017172</v>
      </c>
      <c r="W75" s="107">
        <v>340783.37406009401</v>
      </c>
      <c r="X75" s="109">
        <v>102796.83025266435</v>
      </c>
      <c r="Y75" s="109">
        <v>222575.10077871667</v>
      </c>
    </row>
    <row r="76" spans="1:25">
      <c r="A76" s="39"/>
      <c r="B76" s="39" t="s">
        <v>88</v>
      </c>
      <c r="C76" s="33">
        <v>0.83741971125876258</v>
      </c>
      <c r="D76" s="108">
        <v>0.86897891782963543</v>
      </c>
      <c r="E76" s="108">
        <v>0.83979767407468087</v>
      </c>
      <c r="F76" s="4"/>
      <c r="G76" s="107">
        <v>98159.789109811536</v>
      </c>
      <c r="H76" s="109">
        <v>34944.041084310942</v>
      </c>
      <c r="I76" s="109">
        <v>48622.460695098918</v>
      </c>
      <c r="J76" s="53"/>
      <c r="K76" s="33">
        <v>0.6744306614084874</v>
      </c>
      <c r="L76" s="108">
        <v>0.71355637302487362</v>
      </c>
      <c r="M76" s="108">
        <v>0.65811806423550112</v>
      </c>
      <c r="N76" s="4"/>
      <c r="O76" s="107">
        <v>79054.70889088187</v>
      </c>
      <c r="P76" s="109">
        <v>28694.071516981894</v>
      </c>
      <c r="Q76" s="109">
        <v>38103.606021870961</v>
      </c>
      <c r="R76" s="53"/>
      <c r="S76" s="33">
        <v>0.50434830020594124</v>
      </c>
      <c r="T76" s="108">
        <v>0.51043153321656753</v>
      </c>
      <c r="U76" s="108">
        <v>0.48969332657722942</v>
      </c>
      <c r="V76" s="4"/>
      <c r="W76" s="107">
        <v>59118.172310144648</v>
      </c>
      <c r="X76" s="109">
        <v>20525.860986358752</v>
      </c>
      <c r="Y76" s="109">
        <v>28352.179648971272</v>
      </c>
    </row>
    <row r="77" spans="1:25">
      <c r="A77" s="132"/>
      <c r="B77" s="132"/>
      <c r="C77" s="171"/>
      <c r="D77" s="133"/>
      <c r="E77" s="133"/>
      <c r="F77" s="133"/>
      <c r="G77" s="172"/>
      <c r="H77" s="173"/>
      <c r="I77" s="173"/>
      <c r="J77" s="133"/>
      <c r="K77" s="171"/>
      <c r="L77" s="133"/>
      <c r="M77" s="133"/>
      <c r="N77" s="133"/>
      <c r="O77" s="172"/>
      <c r="P77" s="173"/>
      <c r="Q77" s="173"/>
      <c r="R77" s="133"/>
      <c r="S77" s="171"/>
      <c r="T77" s="133"/>
      <c r="U77" s="133"/>
      <c r="V77" s="133"/>
      <c r="W77" s="172"/>
      <c r="X77" s="173"/>
      <c r="Y77" s="173"/>
    </row>
    <row r="78" spans="1:25">
      <c r="A78" s="148" t="s">
        <v>115</v>
      </c>
    </row>
    <row r="79" spans="1:25" ht="15" customHeight="1">
      <c r="A79" s="29" t="s">
        <v>116</v>
      </c>
      <c r="B79" s="147"/>
    </row>
    <row r="80" spans="1:25">
      <c r="A80" s="16" t="s">
        <v>117</v>
      </c>
      <c r="B80" s="16"/>
    </row>
    <row r="81" spans="1:22" ht="15" customHeight="1">
      <c r="A81" s="29" t="s">
        <v>118</v>
      </c>
      <c r="B81" s="29"/>
    </row>
    <row r="82" spans="1:22">
      <c r="A82" s="16" t="s">
        <v>119</v>
      </c>
      <c r="B82" s="16"/>
    </row>
    <row r="83" spans="1:22">
      <c r="A83" s="16" t="s">
        <v>120</v>
      </c>
      <c r="B83" s="16"/>
      <c r="D83" s="2"/>
      <c r="E83" s="2"/>
      <c r="F83" s="2"/>
      <c r="L83" s="2"/>
      <c r="M83" s="2"/>
      <c r="N83" s="2"/>
      <c r="T83" s="2"/>
      <c r="U83" s="2"/>
      <c r="V83" s="2"/>
    </row>
    <row r="84" spans="1:22">
      <c r="A84" s="152"/>
    </row>
    <row r="85" spans="1:22">
      <c r="A85" s="152"/>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G16&lt;'34'!$C$104</xm:f>
            <x14:dxf>
              <font>
                <color rgb="FFFF0000"/>
              </font>
              <numFmt numFmtId="172" formatCode="\*\*0.0%"/>
            </x14:dxf>
          </x14:cfRule>
          <x14:cfRule type="expression" priority="12" id="{CBF5BCDA-1D02-4223-AF26-D1579BA49BDB}">
            <xm:f>G16&lt;'34'!$C$103</xm:f>
            <x14:dxf>
              <font>
                <color rgb="FF00B050"/>
              </font>
              <numFmt numFmtId="171" formatCode="\*0.0%"/>
            </x14:dxf>
          </x14:cfRule>
          <xm:sqref>C16:E76</xm:sqref>
        </x14:conditionalFormatting>
        <x14:conditionalFormatting xmlns:xm="http://schemas.microsoft.com/office/excel/2006/main">
          <x14:cfRule type="expression" priority="9" id="{4097F712-85D1-4637-BA35-5BB214BDD29D}">
            <xm:f>G16&lt;'34'!$C$104</xm:f>
            <x14:dxf>
              <font>
                <color rgb="FFFF0000"/>
              </font>
              <numFmt numFmtId="170" formatCode="\*\*#,###,###,##0"/>
            </x14:dxf>
          </x14:cfRule>
          <x14:cfRule type="expression" priority="10" id="{679B6B3F-9DCA-484C-AF0F-279E5F4CD65D}">
            <xm:f>G16&lt;'34'!$C$103</xm:f>
            <x14:dxf>
              <font>
                <color rgb="FF00B050"/>
              </font>
              <numFmt numFmtId="169" formatCode="\*#,###,###,##0"/>
            </x14:dxf>
          </x14:cfRule>
          <xm:sqref>G16:I76</xm:sqref>
        </x14:conditionalFormatting>
        <x14:conditionalFormatting xmlns:xm="http://schemas.microsoft.com/office/excel/2006/main">
          <x14:cfRule type="expression" priority="7" id="{34A98352-4672-4162-B956-762C7485A3EB}">
            <xm:f>O16&lt;'34'!$C$104</xm:f>
            <x14:dxf>
              <font>
                <color rgb="FFFF0000"/>
              </font>
              <numFmt numFmtId="172" formatCode="\*\*0.0%"/>
            </x14:dxf>
          </x14:cfRule>
          <x14:cfRule type="expression" priority="8" id="{EB6C383F-E720-4ADA-BAED-66F14FC3E7F9}">
            <xm:f>O16&lt;'34'!$C$103</xm:f>
            <x14:dxf>
              <font>
                <color rgb="FF00B050"/>
              </font>
              <numFmt numFmtId="171" formatCode="\*0.0%"/>
            </x14:dxf>
          </x14:cfRule>
          <xm:sqref>K16:M76</xm:sqref>
        </x14:conditionalFormatting>
        <x14:conditionalFormatting xmlns:xm="http://schemas.microsoft.com/office/excel/2006/main">
          <x14:cfRule type="expression" priority="5" id="{F3F34CF2-6546-49A2-A194-5F2460E1C4EE}">
            <xm:f>O16&lt;'34'!$C$104</xm:f>
            <x14:dxf>
              <font>
                <color rgb="FFFF0000"/>
              </font>
              <numFmt numFmtId="170" formatCode="\*\*#,###,###,##0"/>
            </x14:dxf>
          </x14:cfRule>
          <x14:cfRule type="expression" priority="6" id="{C8712AFA-6CF4-4AD7-994B-BADD42F90564}">
            <xm:f>O16&lt;'34'!$C$103</xm:f>
            <x14:dxf>
              <font>
                <color rgb="FF00B050"/>
              </font>
              <numFmt numFmtId="169" formatCode="\*#,###,###,##0"/>
            </x14:dxf>
          </x14:cfRule>
          <xm:sqref>O16:Q76</xm:sqref>
        </x14:conditionalFormatting>
        <x14:conditionalFormatting xmlns:xm="http://schemas.microsoft.com/office/excel/2006/main">
          <x14:cfRule type="expression" priority="3" id="{1E1DB2E6-BAEB-4014-86EB-EC82BACDA9C2}">
            <xm:f>W16&lt;'34'!$C$104</xm:f>
            <x14:dxf>
              <font>
                <color rgb="FFFF0000"/>
              </font>
              <numFmt numFmtId="172" formatCode="\*\*0.0%"/>
            </x14:dxf>
          </x14:cfRule>
          <x14:cfRule type="expression" priority="4" id="{9E260C39-FD4D-459C-BA1E-4606BDD8EF0E}">
            <xm:f>W16&lt;'34'!$C$103</xm:f>
            <x14:dxf>
              <font>
                <color rgb="FF00B050"/>
              </font>
              <numFmt numFmtId="171" formatCode="\*0.0%"/>
            </x14:dxf>
          </x14:cfRule>
          <xm:sqref>S16:U76</xm:sqref>
        </x14:conditionalFormatting>
        <x14:conditionalFormatting xmlns:xm="http://schemas.microsoft.com/office/excel/2006/main">
          <x14:cfRule type="expression" priority="1" id="{3998E210-908C-4B3A-B90B-CF526248F3C0}">
            <xm:f>W16&lt;'34'!$C$104</xm:f>
            <x14:dxf>
              <font>
                <color rgb="FFFF0000"/>
              </font>
              <numFmt numFmtId="170" formatCode="\*\*#,###,###,##0"/>
            </x14:dxf>
          </x14:cfRule>
          <x14:cfRule type="expression" priority="2" id="{57B8E1BE-98C3-40D3-977E-A0A4ADC51F99}">
            <xm:f>W16&lt;'34'!$C$103</xm:f>
            <x14:dxf>
              <font>
                <color rgb="FF00B050"/>
              </font>
              <numFmt numFmtId="169" formatCode="\*#,###,###,##0"/>
            </x14:dxf>
          </x14:cfRule>
          <xm:sqref>W16:Y76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8"/>
  <sheetViews>
    <sheetView zoomScaleNormal="100" workbookViewId="0">
      <pane xSplit="2" ySplit="15" topLeftCell="C16"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c r="A1" s="34"/>
      <c r="B1" s="34"/>
      <c r="C1" s="35"/>
      <c r="D1" s="34"/>
      <c r="E1" s="34"/>
      <c r="F1" s="34"/>
      <c r="G1" s="35"/>
      <c r="H1" s="34"/>
      <c r="I1" s="34"/>
    </row>
    <row r="2" spans="1:9">
      <c r="A2" s="34"/>
      <c r="B2" s="34"/>
      <c r="C2" s="35"/>
      <c r="D2" s="34"/>
      <c r="E2" s="34"/>
      <c r="F2" s="34"/>
      <c r="G2" s="35"/>
      <c r="H2" s="34"/>
      <c r="I2" s="34"/>
    </row>
    <row r="3" spans="1:9">
      <c r="A3" s="34"/>
      <c r="B3" s="34"/>
      <c r="C3" s="35"/>
      <c r="D3" s="34"/>
      <c r="E3" s="34"/>
      <c r="F3" s="34"/>
      <c r="G3" s="35"/>
      <c r="H3" s="34"/>
      <c r="I3" s="34"/>
    </row>
    <row r="4" spans="1:9">
      <c r="A4" s="34"/>
      <c r="B4" s="34"/>
      <c r="C4" s="35"/>
      <c r="D4" s="34"/>
      <c r="E4" s="34"/>
      <c r="F4" s="34"/>
      <c r="G4" s="35"/>
      <c r="H4" s="34"/>
      <c r="I4" s="34"/>
    </row>
    <row r="5" spans="1:9">
      <c r="A5" s="34"/>
      <c r="B5" s="34"/>
      <c r="C5" s="35"/>
      <c r="D5" s="34"/>
      <c r="E5" s="34"/>
      <c r="F5" s="34"/>
      <c r="G5" s="35"/>
      <c r="H5" s="34"/>
      <c r="I5" s="34"/>
    </row>
    <row r="6" spans="1:9">
      <c r="A6" s="34"/>
      <c r="B6" s="34"/>
      <c r="C6" s="35"/>
      <c r="D6" s="34"/>
      <c r="E6" s="34"/>
      <c r="F6" s="34"/>
      <c r="G6" s="35"/>
      <c r="H6" s="34"/>
      <c r="I6" s="34"/>
    </row>
    <row r="7" spans="1:9">
      <c r="A7" s="34"/>
      <c r="B7" s="34"/>
      <c r="C7" s="35"/>
      <c r="D7" s="34"/>
      <c r="E7" s="34"/>
      <c r="F7" s="34"/>
      <c r="G7" s="35"/>
      <c r="H7" s="34"/>
      <c r="I7" s="34"/>
    </row>
    <row r="8" spans="1:9">
      <c r="A8" s="35" t="s">
        <v>0</v>
      </c>
      <c r="B8" s="34"/>
      <c r="C8" s="35"/>
      <c r="D8" s="34"/>
      <c r="E8" s="34"/>
      <c r="F8" s="34"/>
      <c r="G8" s="35"/>
      <c r="H8" s="34"/>
      <c r="I8" s="34"/>
    </row>
    <row r="9" spans="1:9">
      <c r="A9" s="34" t="s">
        <v>1</v>
      </c>
      <c r="B9" s="35" t="s">
        <v>2</v>
      </c>
      <c r="C9" s="35"/>
      <c r="D9" s="34"/>
      <c r="E9" s="34"/>
      <c r="F9" s="34"/>
      <c r="G9" s="35"/>
      <c r="H9" s="34"/>
      <c r="I9" s="34"/>
    </row>
    <row r="10" spans="1:9">
      <c r="A10" s="34" t="s">
        <v>47</v>
      </c>
      <c r="B10" s="36">
        <v>2</v>
      </c>
      <c r="C10" s="35"/>
      <c r="D10" s="34"/>
      <c r="E10" s="34"/>
      <c r="F10" s="34"/>
      <c r="G10" s="35"/>
      <c r="H10" s="34"/>
      <c r="I10" s="34"/>
    </row>
    <row r="11" spans="1:9">
      <c r="A11" s="34" t="s">
        <v>3</v>
      </c>
      <c r="B11" s="35" t="s">
        <v>9</v>
      </c>
      <c r="C11" s="35"/>
      <c r="D11" s="34"/>
      <c r="E11" s="34"/>
      <c r="F11" s="34"/>
      <c r="G11" s="35"/>
      <c r="H11" s="34"/>
      <c r="I11" s="34"/>
    </row>
    <row r="12" spans="1:9">
      <c r="A12" s="130" t="s">
        <v>48</v>
      </c>
      <c r="B12" s="131" t="s">
        <v>121</v>
      </c>
      <c r="C12" s="131"/>
      <c r="D12" s="130"/>
      <c r="E12" s="130"/>
      <c r="F12" s="130"/>
      <c r="G12" s="131"/>
      <c r="H12" s="130"/>
      <c r="I12" s="130"/>
    </row>
    <row r="13" spans="1:9" s="97" customFormat="1" ht="24.95" customHeight="1">
      <c r="A13" s="96"/>
      <c r="B13" s="96"/>
      <c r="C13" s="155" t="s">
        <v>50</v>
      </c>
      <c r="D13" s="155"/>
      <c r="E13" s="155"/>
      <c r="F13" s="155"/>
      <c r="G13" s="155"/>
      <c r="H13" s="155"/>
      <c r="I13" s="155"/>
    </row>
    <row r="14" spans="1:9">
      <c r="A14" s="37"/>
      <c r="B14" s="37"/>
      <c r="C14" s="154" t="s">
        <v>53</v>
      </c>
      <c r="D14" s="154"/>
      <c r="E14" s="154"/>
      <c r="F14" s="62"/>
      <c r="G14" s="154" t="s">
        <v>54</v>
      </c>
      <c r="H14" s="154"/>
      <c r="I14" s="154"/>
    </row>
    <row r="15" spans="1:9" ht="17.25">
      <c r="A15" s="37"/>
      <c r="B15" s="37"/>
      <c r="C15" s="42" t="s">
        <v>55</v>
      </c>
      <c r="D15" s="42" t="s">
        <v>56</v>
      </c>
      <c r="E15" s="42" t="s">
        <v>57</v>
      </c>
      <c r="F15" s="42"/>
      <c r="G15" s="42" t="s">
        <v>58</v>
      </c>
      <c r="H15" s="42" t="s">
        <v>56</v>
      </c>
      <c r="I15" s="42" t="s">
        <v>57</v>
      </c>
    </row>
    <row r="16" spans="1:9">
      <c r="A16" s="40" t="s">
        <v>55</v>
      </c>
      <c r="B16" s="39"/>
      <c r="C16" s="33">
        <v>0.71152375922434896</v>
      </c>
      <c r="D16" s="33">
        <v>0.71082158563903131</v>
      </c>
      <c r="E16" s="33">
        <v>0.71304205108199825</v>
      </c>
      <c r="F16" s="33"/>
      <c r="G16" s="107">
        <v>3430378.276170664</v>
      </c>
      <c r="H16" s="107">
        <v>1754374.0355136513</v>
      </c>
      <c r="I16" s="107">
        <v>1662869.4684283806</v>
      </c>
    </row>
    <row r="17" spans="1:9">
      <c r="A17" s="39" t="s">
        <v>59</v>
      </c>
      <c r="B17" s="39"/>
      <c r="C17" s="33"/>
      <c r="D17" s="108"/>
      <c r="E17" s="108"/>
      <c r="F17" s="2"/>
      <c r="G17" s="107"/>
      <c r="H17" s="109"/>
      <c r="I17" s="109"/>
    </row>
    <row r="18" spans="1:9">
      <c r="A18" s="39"/>
      <c r="B18" s="39" t="s">
        <v>122</v>
      </c>
      <c r="C18" s="33">
        <v>0.4720973972288327</v>
      </c>
      <c r="D18" s="108">
        <v>0.45461837501989039</v>
      </c>
      <c r="E18" s="108">
        <v>0.48996087982049569</v>
      </c>
      <c r="F18" s="4"/>
      <c r="G18" s="107">
        <v>721802.72795137402</v>
      </c>
      <c r="H18" s="109">
        <v>355505.22110536601</v>
      </c>
      <c r="I18" s="109">
        <v>363121.58158865251</v>
      </c>
    </row>
    <row r="19" spans="1:9">
      <c r="A19" s="39"/>
      <c r="B19" s="39" t="s">
        <v>123</v>
      </c>
      <c r="C19" s="33">
        <v>0.8053396458491171</v>
      </c>
      <c r="D19" s="108">
        <v>0.80364895955407678</v>
      </c>
      <c r="E19" s="108">
        <v>0.80873647092811329</v>
      </c>
      <c r="F19" s="4"/>
      <c r="G19" s="107">
        <v>1041492.6880653528</v>
      </c>
      <c r="H19" s="109">
        <v>532718.54709692753</v>
      </c>
      <c r="I19" s="109">
        <v>505159.55992311856</v>
      </c>
    </row>
    <row r="20" spans="1:9">
      <c r="A20" s="39"/>
      <c r="B20" s="39" t="s">
        <v>124</v>
      </c>
      <c r="C20" s="33">
        <v>0.85644547798166171</v>
      </c>
      <c r="D20" s="108">
        <v>0.86439206801653157</v>
      </c>
      <c r="E20" s="108">
        <v>0.84881921720132281</v>
      </c>
      <c r="F20" s="4"/>
      <c r="G20" s="107">
        <v>856018.9304503958</v>
      </c>
      <c r="H20" s="109">
        <v>441846.86743157386</v>
      </c>
      <c r="I20" s="109">
        <v>410792.51910032734</v>
      </c>
    </row>
    <row r="21" spans="1:9">
      <c r="A21" s="39"/>
      <c r="B21" s="39" t="s">
        <v>125</v>
      </c>
      <c r="C21" s="33">
        <v>0.81146303480973514</v>
      </c>
      <c r="D21" s="108">
        <v>0.82860791100018805</v>
      </c>
      <c r="E21" s="108">
        <v>0.79564885304872479</v>
      </c>
      <c r="F21" s="4"/>
      <c r="G21" s="107">
        <v>811063.9297035716</v>
      </c>
      <c r="H21" s="109">
        <v>424303.39987978607</v>
      </c>
      <c r="I21" s="109">
        <v>383795.80781626259</v>
      </c>
    </row>
    <row r="22" spans="1:9">
      <c r="A22" s="39" t="s">
        <v>67</v>
      </c>
      <c r="B22" s="39"/>
      <c r="C22" s="33"/>
      <c r="D22" s="108"/>
      <c r="E22" s="108"/>
      <c r="F22" s="4"/>
      <c r="G22" s="107"/>
      <c r="H22" s="109"/>
      <c r="I22" s="109"/>
    </row>
    <row r="23" spans="1:9">
      <c r="A23" s="39"/>
      <c r="B23" s="39" t="s">
        <v>68</v>
      </c>
      <c r="C23" s="33">
        <v>0.71941363101138744</v>
      </c>
      <c r="D23" s="108">
        <v>0.71492103340628987</v>
      </c>
      <c r="E23" s="108">
        <v>0.7254336820742977</v>
      </c>
      <c r="F23" s="4"/>
      <c r="G23" s="107">
        <v>2513829.0791062065</v>
      </c>
      <c r="H23" s="109">
        <v>1295461.4626279979</v>
      </c>
      <c r="I23" s="109">
        <v>1209412.1126034637</v>
      </c>
    </row>
    <row r="24" spans="1:9">
      <c r="A24" s="39"/>
      <c r="B24" s="39" t="s">
        <v>69</v>
      </c>
      <c r="C24" s="33">
        <v>0.69188231186480886</v>
      </c>
      <c r="D24" s="108">
        <v>0.70081593139415688</v>
      </c>
      <c r="E24" s="108">
        <v>0.68211717075116074</v>
      </c>
      <c r="F24" s="4"/>
      <c r="G24" s="107">
        <v>580437.44280382525</v>
      </c>
      <c r="H24" s="109">
        <v>285487.46389021329</v>
      </c>
      <c r="I24" s="109">
        <v>291662.79436056007</v>
      </c>
    </row>
    <row r="25" spans="1:9">
      <c r="A25" s="39"/>
      <c r="B25" s="39" t="s">
        <v>70</v>
      </c>
      <c r="C25" s="33">
        <v>0.67896042254252298</v>
      </c>
      <c r="D25" s="108">
        <v>0.67882581272664566</v>
      </c>
      <c r="E25" s="108">
        <v>0.68105056842641931</v>
      </c>
      <c r="F25" s="4"/>
      <c r="G25" s="107">
        <v>296265.44940504053</v>
      </c>
      <c r="H25" s="109">
        <v>147066.32871018612</v>
      </c>
      <c r="I25" s="109">
        <v>148307.03689396201</v>
      </c>
    </row>
    <row r="26" spans="1:9">
      <c r="A26" s="39"/>
      <c r="B26" s="39" t="s">
        <v>71</v>
      </c>
      <c r="C26" s="33">
        <v>0.7719146788662492</v>
      </c>
      <c r="D26" s="108">
        <v>0.82251646956135493</v>
      </c>
      <c r="E26" s="108">
        <v>0.68906777469894009</v>
      </c>
      <c r="F26" s="4"/>
      <c r="G26" s="107">
        <v>39846.304855638205</v>
      </c>
      <c r="H26" s="109">
        <v>26358.780285245342</v>
      </c>
      <c r="I26" s="109">
        <v>13487.524570392847</v>
      </c>
    </row>
    <row r="27" spans="1:9">
      <c r="A27" s="39" t="s">
        <v>89</v>
      </c>
      <c r="B27" s="39"/>
      <c r="C27" s="33"/>
      <c r="D27" s="108"/>
      <c r="E27" s="108"/>
      <c r="F27" s="4"/>
      <c r="G27" s="107"/>
      <c r="H27" s="109"/>
      <c r="I27" s="109"/>
    </row>
    <row r="28" spans="1:9">
      <c r="A28" s="39"/>
      <c r="B28" s="39" t="s">
        <v>90</v>
      </c>
      <c r="C28" s="33">
        <v>0.70258720997739332</v>
      </c>
      <c r="D28" s="108">
        <v>0.70483946716712897</v>
      </c>
      <c r="E28" s="108">
        <v>0.70101224643275051</v>
      </c>
      <c r="F28" s="4"/>
      <c r="G28" s="107">
        <v>2823775.1245665597</v>
      </c>
      <c r="H28" s="109">
        <v>1460490.6001312369</v>
      </c>
      <c r="I28" s="109">
        <v>1354090.2252150415</v>
      </c>
    </row>
    <row r="29" spans="1:9">
      <c r="A29" s="39"/>
      <c r="B29" s="39" t="s">
        <v>91</v>
      </c>
      <c r="C29" s="33">
        <v>0.75627007839063154</v>
      </c>
      <c r="D29" s="108">
        <v>0.75912690199061927</v>
      </c>
      <c r="E29" s="108">
        <v>0.75719999317595266</v>
      </c>
      <c r="F29" s="4"/>
      <c r="G29" s="107">
        <v>246891.27892943486</v>
      </c>
      <c r="H29" s="109">
        <v>123142.53528343495</v>
      </c>
      <c r="I29" s="109">
        <v>123194.61586151121</v>
      </c>
    </row>
    <row r="30" spans="1:9">
      <c r="A30" s="39"/>
      <c r="B30" s="39" t="s">
        <v>92</v>
      </c>
      <c r="C30" s="33">
        <v>0.75632821426603158</v>
      </c>
      <c r="D30" s="108">
        <v>0.73032471365102236</v>
      </c>
      <c r="E30" s="108">
        <v>0.78055854131208458</v>
      </c>
      <c r="G30" s="107">
        <v>359711.87267472263</v>
      </c>
      <c r="H30" s="109">
        <v>170740.90009897028</v>
      </c>
      <c r="I30" s="109">
        <v>185584.62735182312</v>
      </c>
    </row>
    <row r="31" spans="1:9">
      <c r="A31" s="39"/>
      <c r="B31" s="39" t="s">
        <v>88</v>
      </c>
      <c r="C31" s="33">
        <v>0</v>
      </c>
      <c r="D31" s="108">
        <v>0</v>
      </c>
      <c r="E31" s="108">
        <v>0</v>
      </c>
      <c r="G31" s="107">
        <v>0</v>
      </c>
      <c r="H31" s="109">
        <v>0</v>
      </c>
      <c r="I31" s="109">
        <v>0</v>
      </c>
    </row>
    <row r="32" spans="1:9">
      <c r="A32" s="39" t="s">
        <v>126</v>
      </c>
      <c r="B32" s="39"/>
      <c r="C32" s="33"/>
      <c r="D32" s="108"/>
      <c r="E32" s="108"/>
      <c r="F32" s="4"/>
      <c r="G32" s="107"/>
      <c r="H32" s="109"/>
      <c r="I32" s="109"/>
    </row>
    <row r="33" spans="1:9">
      <c r="A33" s="39"/>
      <c r="B33" s="39" t="s">
        <v>96</v>
      </c>
      <c r="C33" s="33">
        <v>0.73825475264421125</v>
      </c>
      <c r="D33" s="108">
        <v>0.74773815066137461</v>
      </c>
      <c r="E33" s="108">
        <v>0.71988573392615818</v>
      </c>
      <c r="F33" s="4"/>
      <c r="G33" s="107">
        <v>366641.67726408422</v>
      </c>
      <c r="H33" s="109">
        <v>229447.81293291319</v>
      </c>
      <c r="I33" s="109">
        <v>133615.26493878735</v>
      </c>
    </row>
    <row r="34" spans="1:9">
      <c r="A34" s="39"/>
      <c r="B34" s="39" t="s">
        <v>97</v>
      </c>
      <c r="C34" s="33">
        <v>0.70900774086175555</v>
      </c>
      <c r="D34" s="108">
        <v>0.7047659300540271</v>
      </c>
      <c r="E34" s="108">
        <v>0.71442478880518256</v>
      </c>
      <c r="F34" s="4"/>
      <c r="G34" s="107">
        <v>2985749.8025204921</v>
      </c>
      <c r="H34" s="109">
        <v>1482237.304973698</v>
      </c>
      <c r="I34" s="109">
        <v>1495932.5687417781</v>
      </c>
    </row>
    <row r="35" spans="1:9">
      <c r="A35" s="39"/>
      <c r="B35" s="39" t="s">
        <v>98</v>
      </c>
      <c r="C35" s="33">
        <v>0.68788371304816753</v>
      </c>
      <c r="D35" s="108">
        <v>0.73506549530380416</v>
      </c>
      <c r="E35" s="108">
        <v>0.63380945301925695</v>
      </c>
      <c r="F35" s="4"/>
      <c r="G35" s="107">
        <v>77986.796386118003</v>
      </c>
      <c r="H35" s="109">
        <v>42688.917607034251</v>
      </c>
      <c r="I35" s="109">
        <v>33321.634747815086</v>
      </c>
    </row>
    <row r="36" spans="1:9">
      <c r="A36" s="39" t="s">
        <v>127</v>
      </c>
      <c r="B36" s="39"/>
      <c r="C36" s="33"/>
      <c r="D36" s="108"/>
      <c r="E36" s="108"/>
      <c r="F36" s="4"/>
      <c r="G36" s="107"/>
      <c r="H36" s="109"/>
      <c r="I36" s="109"/>
    </row>
    <row r="37" spans="1:9">
      <c r="A37" s="39"/>
      <c r="B37" s="39" t="s">
        <v>100</v>
      </c>
      <c r="C37" s="33">
        <v>0.70242313813364055</v>
      </c>
      <c r="D37" s="108">
        <v>0.70401742214903751</v>
      </c>
      <c r="E37" s="108">
        <v>0.70204781657990323</v>
      </c>
      <c r="F37" s="4"/>
      <c r="G37" s="107">
        <v>2720800.7976302463</v>
      </c>
      <c r="H37" s="109">
        <v>1402520.533288863</v>
      </c>
      <c r="I37" s="109">
        <v>1312008.1973120761</v>
      </c>
    </row>
    <row r="38" spans="1:9">
      <c r="A38" s="39"/>
      <c r="B38" s="39" t="s">
        <v>101</v>
      </c>
      <c r="C38" s="33">
        <v>0.75161782057828463</v>
      </c>
      <c r="D38" s="108">
        <v>0.74227764049684031</v>
      </c>
      <c r="E38" s="108">
        <v>0.76076027843141514</v>
      </c>
      <c r="F38" s="4"/>
      <c r="G38" s="107">
        <v>673089.96482155088</v>
      </c>
      <c r="H38" s="109">
        <v>337886.84606872924</v>
      </c>
      <c r="I38" s="109">
        <v>331601.54228061473</v>
      </c>
    </row>
    <row r="39" spans="1:9">
      <c r="A39" s="39" t="s">
        <v>103</v>
      </c>
      <c r="B39" s="39"/>
      <c r="C39" s="33"/>
      <c r="D39" s="108"/>
      <c r="E39" s="108"/>
      <c r="G39" s="107"/>
      <c r="H39" s="109"/>
      <c r="I39" s="109"/>
    </row>
    <row r="40" spans="1:9">
      <c r="A40" s="39"/>
      <c r="B40" s="41" t="s">
        <v>104</v>
      </c>
      <c r="C40" s="33">
        <v>0.62201141885113753</v>
      </c>
      <c r="D40" s="108">
        <v>0.57910455143358475</v>
      </c>
      <c r="E40" s="108">
        <v>0.66187012128832978</v>
      </c>
      <c r="F40" s="4"/>
      <c r="G40" s="107">
        <v>162249.92946207873</v>
      </c>
      <c r="H40" s="109">
        <v>67446.407890507864</v>
      </c>
      <c r="I40" s="109">
        <v>92171.592868645137</v>
      </c>
    </row>
    <row r="41" spans="1:9">
      <c r="A41" s="39"/>
      <c r="B41" s="39" t="s">
        <v>105</v>
      </c>
      <c r="C41" s="33">
        <v>0.64836898601919668</v>
      </c>
      <c r="D41" s="108">
        <v>0.63252571198605012</v>
      </c>
      <c r="E41" s="108">
        <v>0.66186532214501481</v>
      </c>
      <c r="F41" s="4"/>
      <c r="G41" s="107">
        <v>331182.84527014196</v>
      </c>
      <c r="H41" s="109">
        <v>146062.56981996083</v>
      </c>
      <c r="I41" s="109">
        <v>183896.3650302515</v>
      </c>
    </row>
    <row r="42" spans="1:9">
      <c r="A42" s="39"/>
      <c r="B42" s="39" t="s">
        <v>106</v>
      </c>
      <c r="C42" s="33">
        <v>0.66771438407100869</v>
      </c>
      <c r="D42" s="108">
        <v>0.68288936102672881</v>
      </c>
      <c r="E42" s="108">
        <v>0.64677345778660145</v>
      </c>
      <c r="F42" s="4"/>
      <c r="G42" s="107">
        <v>540969.25774918427</v>
      </c>
      <c r="H42" s="109">
        <v>319302.25479433977</v>
      </c>
      <c r="I42" s="109">
        <v>219379.63493554207</v>
      </c>
    </row>
    <row r="43" spans="1:9">
      <c r="A43" s="39"/>
      <c r="B43" s="39" t="s">
        <v>107</v>
      </c>
      <c r="C43" s="33">
        <v>0.71285343887028607</v>
      </c>
      <c r="D43" s="108">
        <v>0.70938246227098956</v>
      </c>
      <c r="E43" s="108">
        <v>0.71767175288292617</v>
      </c>
      <c r="F43" s="4"/>
      <c r="G43" s="107">
        <v>921577.22061174607</v>
      </c>
      <c r="H43" s="109">
        <v>475337.30082129873</v>
      </c>
      <c r="I43" s="109">
        <v>443911.75880291901</v>
      </c>
    </row>
    <row r="44" spans="1:9">
      <c r="A44" s="39"/>
      <c r="B44" s="39" t="s">
        <v>108</v>
      </c>
      <c r="C44" s="33">
        <v>0.75316026886362442</v>
      </c>
      <c r="D44" s="108">
        <v>0.74915142169920301</v>
      </c>
      <c r="E44" s="108">
        <v>0.75614452005148136</v>
      </c>
      <c r="F44" s="4"/>
      <c r="G44" s="107">
        <v>582937.27870500146</v>
      </c>
      <c r="H44" s="109">
        <v>294150.48507966404</v>
      </c>
      <c r="I44" s="109">
        <v>286998.73156850506</v>
      </c>
    </row>
    <row r="45" spans="1:9">
      <c r="A45" s="39"/>
      <c r="B45" s="39" t="s">
        <v>109</v>
      </c>
      <c r="C45" s="33">
        <v>0.78439874707191526</v>
      </c>
      <c r="D45" s="108">
        <v>0.79344272486901601</v>
      </c>
      <c r="E45" s="108">
        <v>0.7762594236953424</v>
      </c>
      <c r="F45" s="4"/>
      <c r="G45" s="107">
        <v>586162.11847576138</v>
      </c>
      <c r="H45" s="109">
        <v>306005.59381605696</v>
      </c>
      <c r="I45" s="109">
        <v>278645.87073708454</v>
      </c>
    </row>
    <row r="46" spans="1:9">
      <c r="A46" s="39"/>
      <c r="B46" s="39" t="s">
        <v>110</v>
      </c>
      <c r="C46" s="33">
        <v>0.71786943033312678</v>
      </c>
      <c r="D46" s="108">
        <v>0.71341542866798191</v>
      </c>
      <c r="E46" s="108">
        <v>0.72176157715037548</v>
      </c>
      <c r="F46" s="4"/>
      <c r="G46" s="107">
        <v>305299.62589678867</v>
      </c>
      <c r="H46" s="109">
        <v>146069.42329182659</v>
      </c>
      <c r="I46" s="109">
        <v>157865.51448541705</v>
      </c>
    </row>
    <row r="47" spans="1:9">
      <c r="A47" s="132"/>
      <c r="B47" s="132"/>
      <c r="C47" s="174"/>
      <c r="D47" s="138"/>
      <c r="E47" s="138"/>
      <c r="F47" s="137"/>
      <c r="G47" s="175"/>
      <c r="H47" s="176"/>
      <c r="I47" s="176"/>
    </row>
    <row r="48" spans="1:9" ht="16.5" customHeight="1">
      <c r="A48" s="19" t="s">
        <v>128</v>
      </c>
      <c r="B48" s="18"/>
      <c r="C48" s="33"/>
      <c r="D48" s="108"/>
      <c r="E48" s="108"/>
      <c r="G48" s="145"/>
      <c r="H48" s="146"/>
      <c r="I48" s="146"/>
    </row>
    <row r="49" spans="1:23" ht="16.5" customHeight="1">
      <c r="A49" s="148" t="s">
        <v>129</v>
      </c>
      <c r="B49" s="17"/>
      <c r="C49" s="33"/>
      <c r="D49" s="108"/>
      <c r="E49" s="108"/>
      <c r="G49" s="145"/>
      <c r="H49" s="146"/>
      <c r="I49" s="146"/>
    </row>
    <row r="50" spans="1:23" ht="15" customHeight="1">
      <c r="A50" s="29" t="s">
        <v>118</v>
      </c>
      <c r="B50" s="29"/>
      <c r="K50" s="2"/>
      <c r="O50" s="2"/>
      <c r="S50" s="2"/>
      <c r="W50" s="2"/>
    </row>
    <row r="51" spans="1:23">
      <c r="A51" s="16" t="s">
        <v>116</v>
      </c>
      <c r="B51" s="17"/>
      <c r="C51" s="33"/>
      <c r="D51" s="108"/>
      <c r="E51" s="108"/>
      <c r="F51" s="4"/>
      <c r="G51" s="145"/>
      <c r="H51" s="146"/>
      <c r="I51" s="146"/>
    </row>
    <row r="52" spans="1:23">
      <c r="A52" s="16" t="s">
        <v>117</v>
      </c>
      <c r="C52" s="33"/>
      <c r="D52" s="108"/>
      <c r="E52" s="108"/>
      <c r="F52" s="4"/>
      <c r="G52" s="145"/>
      <c r="H52" s="146"/>
      <c r="I52" s="146"/>
    </row>
    <row r="53" spans="1:23">
      <c r="A53" s="16" t="s">
        <v>119</v>
      </c>
      <c r="C53" s="33"/>
      <c r="D53" s="108"/>
      <c r="E53" s="108"/>
      <c r="F53" s="4"/>
      <c r="G53" s="145"/>
      <c r="H53" s="146"/>
      <c r="I53" s="146"/>
    </row>
    <row r="54" spans="1:23">
      <c r="A54" s="16" t="s">
        <v>120</v>
      </c>
      <c r="C54" s="33"/>
      <c r="D54" s="108"/>
      <c r="E54" s="108"/>
      <c r="F54" s="4"/>
      <c r="G54" s="145"/>
      <c r="H54" s="146"/>
      <c r="I54" s="146"/>
    </row>
    <row r="55" spans="1:23">
      <c r="C55" s="33"/>
      <c r="D55" s="108"/>
      <c r="E55" s="108"/>
      <c r="G55" s="145"/>
      <c r="H55" s="146"/>
      <c r="I55" s="146"/>
    </row>
    <row r="56" spans="1:23">
      <c r="C56" s="33"/>
      <c r="D56" s="108"/>
      <c r="E56" s="108"/>
      <c r="F56" s="4"/>
      <c r="G56" s="145"/>
      <c r="H56" s="146"/>
      <c r="I56" s="146"/>
    </row>
    <row r="57" spans="1:23">
      <c r="C57" s="33"/>
      <c r="D57" s="108"/>
      <c r="E57" s="108"/>
      <c r="F57" s="4"/>
      <c r="G57" s="145"/>
      <c r="H57" s="146"/>
      <c r="I57" s="146"/>
    </row>
    <row r="58" spans="1:23">
      <c r="C58" s="33"/>
      <c r="D58" s="108"/>
      <c r="E58" s="108"/>
      <c r="F58" s="4"/>
      <c r="G58" s="145"/>
      <c r="H58" s="146"/>
      <c r="I58" s="146"/>
    </row>
    <row r="59" spans="1:23">
      <c r="C59" s="33"/>
      <c r="D59" s="108"/>
      <c r="E59" s="108"/>
      <c r="G59" s="145"/>
      <c r="H59" s="146"/>
      <c r="I59" s="146"/>
    </row>
    <row r="60" spans="1:23">
      <c r="C60" s="33"/>
      <c r="D60" s="108"/>
      <c r="E60" s="108"/>
      <c r="F60" s="4"/>
      <c r="G60" s="145"/>
      <c r="H60" s="146"/>
      <c r="I60" s="146"/>
    </row>
    <row r="61" spans="1:23">
      <c r="C61" s="33"/>
      <c r="D61" s="108"/>
      <c r="E61" s="108"/>
      <c r="F61" s="4"/>
      <c r="G61" s="145"/>
      <c r="H61" s="146"/>
      <c r="I61" s="146"/>
    </row>
    <row r="62" spans="1:23">
      <c r="C62" s="33"/>
      <c r="D62" s="108"/>
      <c r="E62" s="108"/>
      <c r="F62" s="4"/>
      <c r="G62" s="145"/>
      <c r="H62" s="146"/>
      <c r="I62" s="146"/>
    </row>
    <row r="63" spans="1:23">
      <c r="C63" s="33"/>
      <c r="D63" s="108"/>
      <c r="E63" s="108"/>
      <c r="G63" s="145"/>
      <c r="H63" s="146"/>
      <c r="I63" s="146"/>
    </row>
    <row r="64" spans="1:23">
      <c r="C64" s="33"/>
      <c r="D64" s="108"/>
      <c r="E64" s="108"/>
      <c r="G64" s="145"/>
      <c r="H64" s="146"/>
      <c r="I64" s="146"/>
    </row>
    <row r="65" spans="3:9">
      <c r="C65" s="33"/>
      <c r="D65" s="108"/>
      <c r="E65" s="108"/>
      <c r="G65" s="145"/>
      <c r="H65" s="146"/>
      <c r="I65" s="146"/>
    </row>
    <row r="66" spans="3:9">
      <c r="C66" s="33"/>
      <c r="D66" s="108"/>
      <c r="E66" s="108"/>
      <c r="F66" s="4"/>
      <c r="G66" s="145"/>
      <c r="H66" s="146"/>
      <c r="I66" s="146"/>
    </row>
    <row r="67" spans="3:9">
      <c r="C67" s="33"/>
      <c r="D67" s="108"/>
      <c r="E67" s="108"/>
      <c r="G67" s="145"/>
      <c r="H67" s="146"/>
      <c r="I67" s="146"/>
    </row>
    <row r="68" spans="3:9">
      <c r="C68" s="33"/>
      <c r="D68" s="108"/>
      <c r="E68" s="108"/>
      <c r="F68" s="4"/>
      <c r="G68" s="145"/>
      <c r="H68" s="146"/>
      <c r="I68" s="146"/>
    </row>
    <row r="69" spans="3:9">
      <c r="C69" s="33"/>
      <c r="D69" s="108"/>
      <c r="E69" s="108"/>
      <c r="F69" s="4"/>
      <c r="G69" s="145"/>
      <c r="H69" s="146"/>
      <c r="I69" s="146"/>
    </row>
    <row r="70" spans="3:9">
      <c r="C70" s="33"/>
      <c r="D70" s="108"/>
      <c r="E70" s="108"/>
      <c r="F70" s="4"/>
      <c r="G70" s="145"/>
      <c r="H70" s="146"/>
      <c r="I70" s="146"/>
    </row>
    <row r="71" spans="3:9">
      <c r="C71" s="33"/>
      <c r="D71" s="108"/>
      <c r="E71" s="108"/>
      <c r="G71" s="145"/>
      <c r="H71" s="146"/>
      <c r="I71" s="146"/>
    </row>
    <row r="72" spans="3:9">
      <c r="C72" s="33"/>
      <c r="D72" s="108"/>
      <c r="E72" s="108"/>
      <c r="G72" s="145"/>
      <c r="H72" s="146"/>
      <c r="I72" s="146"/>
    </row>
    <row r="73" spans="3:9">
      <c r="C73" s="33"/>
      <c r="D73" s="108"/>
      <c r="E73" s="108"/>
      <c r="G73" s="145"/>
      <c r="H73" s="146"/>
      <c r="I73" s="146"/>
    </row>
    <row r="74" spans="3:9">
      <c r="C74" s="33"/>
      <c r="D74" s="108"/>
      <c r="E74" s="108"/>
      <c r="F74" s="4"/>
      <c r="G74" s="145"/>
      <c r="H74" s="146"/>
      <c r="I74" s="146"/>
    </row>
    <row r="75" spans="3:9">
      <c r="C75" s="33"/>
      <c r="D75" s="108"/>
      <c r="E75" s="108"/>
      <c r="F75" s="4"/>
      <c r="G75" s="145"/>
      <c r="H75" s="146"/>
      <c r="I75" s="146"/>
    </row>
    <row r="76" spans="3:9">
      <c r="C76" s="33"/>
      <c r="D76" s="108"/>
      <c r="E76" s="108"/>
      <c r="G76" s="145"/>
      <c r="H76" s="146"/>
      <c r="I76" s="146"/>
    </row>
    <row r="77" spans="3:9">
      <c r="C77" s="33"/>
      <c r="D77" s="108"/>
      <c r="E77" s="108"/>
      <c r="G77" s="145"/>
      <c r="H77" s="146"/>
      <c r="I77" s="146"/>
    </row>
    <row r="78" spans="3:9">
      <c r="C78" s="33"/>
      <c r="D78" s="108"/>
      <c r="E78" s="108"/>
      <c r="F78" s="4"/>
      <c r="G78" s="145"/>
      <c r="H78" s="146"/>
      <c r="I78" s="146"/>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G16&lt;'34'!$D$104</xm:f>
            <x14:dxf>
              <font>
                <color rgb="FFFF0000"/>
              </font>
              <numFmt numFmtId="172" formatCode="\*\*0.0%"/>
            </x14:dxf>
          </x14:cfRule>
          <x14:cfRule type="expression" priority="4" id="{960CF273-368D-4DB7-8B1A-07A8DECF66FC}">
            <xm:f>G16&lt;'34'!$D$103</xm:f>
            <x14:dxf>
              <font>
                <color rgb="FF00B050"/>
              </font>
              <numFmt numFmtId="171" formatCode="\*0.0%"/>
            </x14:dxf>
          </x14:cfRule>
          <xm:sqref>C16:E49 C51:E78</xm:sqref>
        </x14:conditionalFormatting>
        <x14:conditionalFormatting xmlns:xm="http://schemas.microsoft.com/office/excel/2006/main">
          <x14:cfRule type="expression" priority="1" id="{9349AE94-C2B0-4927-AD26-049668A9489F}">
            <xm:f>G16&lt;'34'!$D$104</xm:f>
            <x14:dxf>
              <font>
                <color rgb="FFFF0000"/>
              </font>
              <numFmt numFmtId="170" formatCode="\*\*#,###,###,##0"/>
            </x14:dxf>
          </x14:cfRule>
          <x14:cfRule type="expression" priority="2" id="{970DE5FB-C1A7-4AFD-B4DC-18E10C799A06}">
            <xm:f>G16&lt;'34'!$D$103</xm:f>
            <x14:dxf>
              <font>
                <color rgb="FF00B050"/>
              </font>
              <numFmt numFmtId="169" formatCode="\*#,###,###,##0"/>
            </x14:dxf>
          </x14:cfRule>
          <xm:sqref>G16:I49 G51:I78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W75"/>
  <sheetViews>
    <sheetView zoomScaleNormal="100" workbookViewId="0">
      <pane xSplit="2" ySplit="16" topLeftCell="C17" activePane="bottomRight" state="frozen"/>
      <selection pane="bottomRight"/>
      <selection pane="bottomLeft" activeCell="A17" sqref="A17"/>
      <selection pane="topRight" activeCell="C4" sqref="C4"/>
    </sheetView>
  </sheetViews>
  <sheetFormatPr defaultColWidth="8.85546875" defaultRowHeight="1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7" customFormat="1">
      <c r="A1" s="34"/>
      <c r="B1" s="34"/>
      <c r="C1" s="34"/>
      <c r="D1" s="34"/>
      <c r="E1" s="34"/>
      <c r="F1" s="34"/>
      <c r="G1" s="34"/>
      <c r="H1" s="34"/>
      <c r="I1" s="34"/>
      <c r="J1" s="34"/>
    </row>
    <row r="2" spans="1:18" s="77" customFormat="1">
      <c r="A2" s="34"/>
      <c r="B2" s="34"/>
      <c r="C2" s="34"/>
      <c r="D2" s="34"/>
      <c r="E2" s="34"/>
      <c r="F2" s="34"/>
      <c r="G2" s="34"/>
      <c r="H2" s="34"/>
      <c r="I2" s="34"/>
      <c r="J2" s="34"/>
    </row>
    <row r="3" spans="1:18" s="77" customFormat="1">
      <c r="A3" s="34"/>
      <c r="B3" s="34"/>
      <c r="C3" s="34"/>
      <c r="D3" s="34"/>
      <c r="E3" s="177"/>
      <c r="F3" s="177"/>
      <c r="G3" s="177"/>
      <c r="H3" s="177"/>
      <c r="I3" s="177"/>
      <c r="J3" s="177"/>
      <c r="L3" s="78"/>
      <c r="M3" s="79"/>
      <c r="N3" s="79"/>
    </row>
    <row r="4" spans="1:18" s="77" customFormat="1" ht="15" customHeight="1">
      <c r="A4" s="34"/>
      <c r="B4" s="34"/>
      <c r="C4" s="34"/>
      <c r="D4" s="34"/>
      <c r="E4" s="157"/>
      <c r="F4" s="158"/>
      <c r="G4" s="158"/>
      <c r="H4" s="158"/>
      <c r="I4" s="158"/>
      <c r="J4" s="158"/>
      <c r="L4" s="159"/>
      <c r="M4" s="159"/>
      <c r="N4" s="159"/>
    </row>
    <row r="5" spans="1:18" s="77" customFormat="1">
      <c r="A5" s="34"/>
      <c r="B5" s="34"/>
      <c r="C5" s="34"/>
      <c r="D5" s="34"/>
      <c r="E5" s="157"/>
      <c r="F5" s="158"/>
      <c r="G5" s="158"/>
      <c r="H5" s="158"/>
      <c r="I5" s="158"/>
      <c r="J5" s="158"/>
      <c r="L5" s="159"/>
      <c r="M5" s="159"/>
      <c r="N5" s="159"/>
    </row>
    <row r="6" spans="1:18" s="77" customFormat="1" ht="15" customHeight="1">
      <c r="A6" s="34"/>
      <c r="B6" s="34"/>
      <c r="C6" s="34"/>
      <c r="D6" s="34"/>
      <c r="E6" s="157"/>
      <c r="F6" s="158"/>
      <c r="G6" s="158"/>
      <c r="H6" s="158"/>
      <c r="I6" s="158"/>
      <c r="J6" s="158"/>
      <c r="L6" s="160"/>
      <c r="M6" s="160"/>
      <c r="N6" s="160"/>
    </row>
    <row r="7" spans="1:18" s="77" customFormat="1">
      <c r="A7" s="34"/>
      <c r="B7" s="34"/>
      <c r="C7" s="34"/>
      <c r="D7" s="34"/>
      <c r="E7" s="157"/>
      <c r="F7" s="158"/>
      <c r="G7" s="158"/>
      <c r="H7" s="158"/>
      <c r="I7" s="158"/>
      <c r="J7" s="158"/>
      <c r="L7" s="160"/>
      <c r="M7" s="160"/>
      <c r="N7" s="160"/>
    </row>
    <row r="8" spans="1:18" s="77" customFormat="1">
      <c r="A8" s="35" t="s">
        <v>0</v>
      </c>
      <c r="B8" s="34"/>
      <c r="C8" s="34"/>
      <c r="D8" s="34"/>
      <c r="E8" s="157"/>
      <c r="F8" s="158"/>
      <c r="G8" s="158"/>
      <c r="H8" s="158"/>
      <c r="I8" s="158"/>
      <c r="J8" s="158"/>
      <c r="L8" s="160"/>
      <c r="M8" s="160"/>
      <c r="N8" s="160"/>
    </row>
    <row r="9" spans="1:18" s="77" customFormat="1">
      <c r="A9" s="34" t="s">
        <v>1</v>
      </c>
      <c r="B9" s="34"/>
      <c r="C9" s="35" t="s">
        <v>2</v>
      </c>
      <c r="D9" s="35"/>
      <c r="E9" s="157"/>
      <c r="F9" s="158"/>
      <c r="G9" s="158"/>
      <c r="H9" s="158"/>
      <c r="I9" s="158"/>
      <c r="J9" s="158"/>
      <c r="L9" s="160"/>
      <c r="M9" s="160"/>
      <c r="N9" s="160"/>
    </row>
    <row r="10" spans="1:18" s="77" customFormat="1">
      <c r="A10" s="34" t="s">
        <v>47</v>
      </c>
      <c r="B10" s="34"/>
      <c r="C10" s="36">
        <v>3</v>
      </c>
      <c r="D10" s="36"/>
      <c r="E10" s="34"/>
      <c r="F10" s="34"/>
      <c r="G10" s="34"/>
      <c r="H10" s="34"/>
      <c r="I10" s="34"/>
      <c r="J10" s="34"/>
      <c r="L10" s="80"/>
      <c r="M10" s="81"/>
    </row>
    <row r="11" spans="1:18" s="77" customFormat="1">
      <c r="A11" s="34" t="s">
        <v>3</v>
      </c>
      <c r="B11" s="34"/>
      <c r="C11" s="35" t="s">
        <v>11</v>
      </c>
      <c r="D11" s="35"/>
      <c r="E11" s="34"/>
      <c r="F11" s="34"/>
      <c r="G11" s="34"/>
      <c r="H11" s="34"/>
      <c r="I11" s="34"/>
      <c r="J11" s="34"/>
      <c r="R11" s="82"/>
    </row>
    <row r="12" spans="1:18" s="77" customFormat="1">
      <c r="A12" s="130" t="s">
        <v>48</v>
      </c>
      <c r="B12" s="130"/>
      <c r="C12" s="131" t="s">
        <v>49</v>
      </c>
      <c r="D12" s="131"/>
      <c r="E12" s="130"/>
      <c r="F12" s="130"/>
      <c r="G12" s="130"/>
      <c r="H12" s="130"/>
      <c r="I12" s="130"/>
      <c r="J12" s="130"/>
      <c r="R12" s="82"/>
    </row>
    <row r="13" spans="1:18" ht="24.95" customHeight="1">
      <c r="A13" s="37"/>
      <c r="B13" s="37"/>
      <c r="C13" s="38"/>
      <c r="D13" s="38"/>
      <c r="E13" s="155" t="s">
        <v>130</v>
      </c>
      <c r="F13" s="155"/>
      <c r="G13" s="155"/>
      <c r="H13" s="155"/>
      <c r="I13" s="155"/>
      <c r="J13" s="155"/>
      <c r="Q13" s="83"/>
      <c r="R13" s="5"/>
    </row>
    <row r="14" spans="1:18" s="5" customFormat="1" ht="34.5" customHeight="1">
      <c r="A14" s="84"/>
      <c r="B14" s="84"/>
      <c r="C14" s="42" t="s">
        <v>58</v>
      </c>
      <c r="D14" s="69"/>
      <c r="E14" s="69" t="s">
        <v>131</v>
      </c>
      <c r="F14" s="69" t="s">
        <v>132</v>
      </c>
      <c r="G14" s="69" t="s">
        <v>133</v>
      </c>
      <c r="H14" s="69" t="s">
        <v>134</v>
      </c>
      <c r="I14" s="69" t="s">
        <v>135</v>
      </c>
      <c r="J14" s="69" t="s">
        <v>136</v>
      </c>
      <c r="Q14" s="83"/>
      <c r="R14" s="1"/>
    </row>
    <row r="15" spans="1:18">
      <c r="A15" s="37"/>
      <c r="B15" s="37"/>
      <c r="C15" s="43"/>
      <c r="D15" s="43"/>
      <c r="E15" s="43" t="s">
        <v>137</v>
      </c>
      <c r="F15" s="43" t="s">
        <v>138</v>
      </c>
      <c r="G15" s="43" t="s">
        <v>139</v>
      </c>
      <c r="H15" s="43" t="s">
        <v>140</v>
      </c>
      <c r="I15" s="43" t="s">
        <v>141</v>
      </c>
      <c r="J15" s="43" t="s">
        <v>142</v>
      </c>
    </row>
    <row r="16" spans="1:18">
      <c r="A16" s="72"/>
      <c r="B16" s="72"/>
      <c r="C16" s="156" t="s">
        <v>143</v>
      </c>
      <c r="D16" s="156"/>
      <c r="E16" s="156"/>
      <c r="F16" s="156"/>
      <c r="G16" s="156"/>
      <c r="H16" s="156"/>
      <c r="I16" s="156"/>
      <c r="J16" s="156"/>
    </row>
    <row r="17" spans="1:13">
      <c r="A17" s="40" t="s">
        <v>144</v>
      </c>
      <c r="B17" s="40" t="s">
        <v>55</v>
      </c>
      <c r="C17" s="33">
        <v>0.84147262887967855</v>
      </c>
      <c r="D17" s="33"/>
      <c r="E17" s="33">
        <v>0.43504312424311847</v>
      </c>
      <c r="F17" s="33">
        <v>0.33647065536357185</v>
      </c>
      <c r="G17" s="33">
        <v>6.36051985267682E-2</v>
      </c>
      <c r="H17" s="33">
        <v>6.3536507462199701E-3</v>
      </c>
      <c r="I17" s="33">
        <v>0.77151377960669032</v>
      </c>
      <c r="J17" s="33">
        <v>0.40007585389034001</v>
      </c>
      <c r="K17" s="111" t="s">
        <v>145</v>
      </c>
      <c r="L17" s="111"/>
      <c r="M17" s="111"/>
    </row>
    <row r="18" spans="1:13">
      <c r="A18" s="39" t="s">
        <v>59</v>
      </c>
      <c r="B18" s="39" t="s">
        <v>60</v>
      </c>
      <c r="C18" s="4">
        <v>0.84234942949248381</v>
      </c>
      <c r="D18" s="4"/>
      <c r="E18" s="4">
        <v>0.24126263546468057</v>
      </c>
      <c r="F18" s="4">
        <v>0.52386203241350671</v>
      </c>
      <c r="G18" s="4">
        <v>7.2311559532754865E-2</v>
      </c>
      <c r="H18" s="4">
        <v>4.9132020815415792E-3</v>
      </c>
      <c r="I18" s="4">
        <v>0.76512466787818734</v>
      </c>
      <c r="J18" s="4">
        <v>0.59617359194626163</v>
      </c>
    </row>
    <row r="19" spans="1:13">
      <c r="A19" s="40"/>
      <c r="B19" s="39" t="s">
        <v>61</v>
      </c>
      <c r="C19" s="4">
        <v>0.87443737480058181</v>
      </c>
      <c r="D19" s="4"/>
      <c r="E19" s="4">
        <v>0.35037378193999297</v>
      </c>
      <c r="F19" s="4">
        <v>0.45179583812722868</v>
      </c>
      <c r="G19" s="4">
        <v>6.6000670141546244E-2</v>
      </c>
      <c r="H19" s="4">
        <v>6.2670845918139624E-3</v>
      </c>
      <c r="I19" s="4">
        <v>0.8021696200672217</v>
      </c>
      <c r="J19" s="4">
        <v>0.51779650826877488</v>
      </c>
    </row>
    <row r="20" spans="1:13">
      <c r="A20" s="40"/>
      <c r="B20" s="39" t="s">
        <v>62</v>
      </c>
      <c r="C20" s="4">
        <v>0.89238386935952851</v>
      </c>
      <c r="D20" s="4"/>
      <c r="E20" s="4">
        <v>0.38637633589966403</v>
      </c>
      <c r="F20" s="4">
        <v>0.43249145690864904</v>
      </c>
      <c r="G20" s="4">
        <v>6.8083975400752006E-2</v>
      </c>
      <c r="H20" s="4">
        <v>5.4321011504634099E-3</v>
      </c>
      <c r="I20" s="4">
        <v>0.81886779280831312</v>
      </c>
      <c r="J20" s="4">
        <v>0.50057543230940105</v>
      </c>
    </row>
    <row r="21" spans="1:13">
      <c r="A21" s="40"/>
      <c r="B21" s="39" t="s">
        <v>63</v>
      </c>
      <c r="C21" s="4">
        <v>0.87558279183215593</v>
      </c>
      <c r="D21" s="4"/>
      <c r="E21" s="4">
        <v>0.4433804445336087</v>
      </c>
      <c r="F21" s="4">
        <v>0.35579049171431487</v>
      </c>
      <c r="G21" s="4">
        <v>7.2662717441316457E-2</v>
      </c>
      <c r="H21" s="4">
        <v>3.7491381429158319E-3</v>
      </c>
      <c r="I21" s="4">
        <v>0.79917093624792357</v>
      </c>
      <c r="J21" s="4">
        <v>0.42845320915563134</v>
      </c>
    </row>
    <row r="22" spans="1:13">
      <c r="A22" s="40"/>
      <c r="B22" s="39" t="s">
        <v>64</v>
      </c>
      <c r="C22" s="4">
        <v>0.8641052426985113</v>
      </c>
      <c r="D22" s="4"/>
      <c r="E22" s="4">
        <v>0.50996039401338022</v>
      </c>
      <c r="F22" s="4">
        <v>0.29959223307470323</v>
      </c>
      <c r="G22" s="4">
        <v>4.9606447302583151E-2</v>
      </c>
      <c r="H22" s="4">
        <v>4.9461683078447947E-3</v>
      </c>
      <c r="I22" s="4">
        <v>0.80955262708808351</v>
      </c>
      <c r="J22" s="4">
        <v>0.34919868037728641</v>
      </c>
    </row>
    <row r="23" spans="1:13">
      <c r="A23" s="40"/>
      <c r="B23" s="39" t="s">
        <v>65</v>
      </c>
      <c r="C23" s="4">
        <v>0.84220835386964665</v>
      </c>
      <c r="D23" s="4"/>
      <c r="E23" s="4">
        <v>0.52837964146555383</v>
      </c>
      <c r="F23" s="4">
        <v>0.26531143865007267</v>
      </c>
      <c r="G23" s="4">
        <v>4.0951542748949778E-2</v>
      </c>
      <c r="H23" s="4">
        <v>7.5657310050702177E-3</v>
      </c>
      <c r="I23" s="4">
        <v>0.7936910801156265</v>
      </c>
      <c r="J23" s="4">
        <v>0.30626298139902247</v>
      </c>
    </row>
    <row r="24" spans="1:13">
      <c r="A24" s="40"/>
      <c r="B24" s="39" t="s">
        <v>66</v>
      </c>
      <c r="C24" s="4">
        <v>0.73602959898407105</v>
      </c>
      <c r="D24" s="4"/>
      <c r="E24" s="4">
        <v>0.43759329062546498</v>
      </c>
      <c r="F24" s="4">
        <v>0.21392339332350285</v>
      </c>
      <c r="G24" s="4">
        <v>7.4688691894389272E-2</v>
      </c>
      <c r="H24" s="4">
        <v>9.8242231407139821E-3</v>
      </c>
      <c r="I24" s="4">
        <v>0.65151668394896778</v>
      </c>
      <c r="J24" s="4">
        <v>0.28861208521789211</v>
      </c>
    </row>
    <row r="25" spans="1:13">
      <c r="A25" s="40"/>
      <c r="B25" s="40"/>
      <c r="C25" s="4"/>
      <c r="D25" s="4"/>
      <c r="E25" s="4"/>
      <c r="F25" s="4"/>
      <c r="G25" s="4"/>
      <c r="H25" s="4"/>
    </row>
    <row r="26" spans="1:13">
      <c r="A26" s="40" t="s">
        <v>56</v>
      </c>
      <c r="B26" s="40" t="s">
        <v>55</v>
      </c>
      <c r="C26" s="33">
        <v>0.85311692490976854</v>
      </c>
      <c r="D26" s="33"/>
      <c r="E26" s="33">
        <v>0.44374126915111578</v>
      </c>
      <c r="F26" s="33">
        <v>0.33940115368492219</v>
      </c>
      <c r="G26" s="33">
        <v>6.3887575801847743E-2</v>
      </c>
      <c r="H26" s="33">
        <v>6.0869262718829097E-3</v>
      </c>
      <c r="I26" s="33">
        <v>0.78314242283603808</v>
      </c>
      <c r="J26" s="33">
        <v>0.40328872948676997</v>
      </c>
    </row>
    <row r="27" spans="1:13">
      <c r="A27" s="39" t="s">
        <v>59</v>
      </c>
      <c r="B27" s="39" t="s">
        <v>60</v>
      </c>
      <c r="C27" s="4">
        <v>0.83813572079397169</v>
      </c>
      <c r="D27" s="4"/>
      <c r="E27" s="4">
        <v>0.23209138137254318</v>
      </c>
      <c r="F27" s="4">
        <v>0.52674535005420997</v>
      </c>
      <c r="G27" s="4">
        <v>7.3334807996141199E-2</v>
      </c>
      <c r="H27" s="4">
        <v>5.96418137107737E-3</v>
      </c>
      <c r="I27" s="4">
        <v>0.75883673142675301</v>
      </c>
      <c r="J27" s="4">
        <v>0.6000801580503512</v>
      </c>
    </row>
    <row r="28" spans="1:13">
      <c r="A28" s="40"/>
      <c r="B28" s="39" t="s">
        <v>61</v>
      </c>
      <c r="C28" s="4">
        <v>0.87791681682474398</v>
      </c>
      <c r="D28" s="4"/>
      <c r="E28" s="4">
        <v>0.34834124558434193</v>
      </c>
      <c r="F28" s="4">
        <v>0.44219543913691794</v>
      </c>
      <c r="G28" s="4">
        <v>7.8744232656124083E-2</v>
      </c>
      <c r="H28" s="4">
        <v>8.6358994473599762E-3</v>
      </c>
      <c r="I28" s="4">
        <v>0.79053668472125993</v>
      </c>
      <c r="J28" s="4">
        <v>0.52093967179304201</v>
      </c>
    </row>
    <row r="29" spans="1:13">
      <c r="A29" s="40"/>
      <c r="B29" s="39" t="s">
        <v>62</v>
      </c>
      <c r="C29" s="4">
        <v>0.8974495343953921</v>
      </c>
      <c r="D29" s="4"/>
      <c r="E29" s="4">
        <v>0.3807968551939151</v>
      </c>
      <c r="F29" s="4">
        <v>0.43733900159449551</v>
      </c>
      <c r="G29" s="4">
        <v>7.3361957862763685E-2</v>
      </c>
      <c r="H29" s="4">
        <v>5.9517197442178083E-3</v>
      </c>
      <c r="I29" s="4">
        <v>0.81813585678841061</v>
      </c>
      <c r="J29" s="4">
        <v>0.51070095945725924</v>
      </c>
    </row>
    <row r="30" spans="1:13">
      <c r="A30" s="40"/>
      <c r="B30" s="39" t="s">
        <v>63</v>
      </c>
      <c r="C30" s="4">
        <v>0.88306439261354752</v>
      </c>
      <c r="D30" s="4"/>
      <c r="E30" s="4">
        <v>0.45307477170311805</v>
      </c>
      <c r="F30" s="4">
        <v>0.34893854563404902</v>
      </c>
      <c r="G30" s="4">
        <v>7.7347117603149648E-2</v>
      </c>
      <c r="H30" s="4">
        <v>3.7039576732307783E-3</v>
      </c>
      <c r="I30" s="4">
        <v>0.80201331733716708</v>
      </c>
      <c r="J30" s="4">
        <v>0.42628566323719869</v>
      </c>
    </row>
    <row r="31" spans="1:13">
      <c r="A31" s="40"/>
      <c r="B31" s="39" t="s">
        <v>64</v>
      </c>
      <c r="C31" s="4">
        <v>0.87099814003255327</v>
      </c>
      <c r="D31" s="4"/>
      <c r="E31" s="4">
        <v>0.50433401689895641</v>
      </c>
      <c r="F31" s="4">
        <v>0.31175026129152061</v>
      </c>
      <c r="G31" s="4">
        <v>4.9861326803685976E-2</v>
      </c>
      <c r="H31" s="4">
        <v>5.0525350383903234E-3</v>
      </c>
      <c r="I31" s="4">
        <v>0.81608427819047702</v>
      </c>
      <c r="J31" s="4">
        <v>0.3616115880952066</v>
      </c>
    </row>
    <row r="32" spans="1:13">
      <c r="A32" s="40"/>
      <c r="B32" s="39" t="s">
        <v>65</v>
      </c>
      <c r="C32" s="4">
        <v>0.85751832002221329</v>
      </c>
      <c r="D32" s="4"/>
      <c r="E32" s="4">
        <v>0.54991963804057631</v>
      </c>
      <c r="F32" s="4">
        <v>0.26477103489558468</v>
      </c>
      <c r="G32" s="4">
        <v>3.7105914728742244E-2</v>
      </c>
      <c r="H32" s="4">
        <v>5.7217323573099804E-3</v>
      </c>
      <c r="I32" s="4">
        <v>0.81469067293616104</v>
      </c>
      <c r="J32" s="4">
        <v>0.30187694962432693</v>
      </c>
    </row>
    <row r="33" spans="1:13">
      <c r="A33" s="40"/>
      <c r="B33" s="39" t="s">
        <v>66</v>
      </c>
      <c r="C33" s="4">
        <v>0.7597238855593561</v>
      </c>
      <c r="D33" s="4"/>
      <c r="E33" s="4">
        <v>0.47523080803351481</v>
      </c>
      <c r="F33" s="4">
        <v>0.21397743490743981</v>
      </c>
      <c r="G33" s="4">
        <v>6.2611649190539478E-2</v>
      </c>
      <c r="H33" s="4">
        <v>7.9039934278620199E-3</v>
      </c>
      <c r="I33" s="4">
        <v>0.68920824294095462</v>
      </c>
      <c r="J33" s="4">
        <v>0.27658908409797933</v>
      </c>
    </row>
    <row r="34" spans="1:13">
      <c r="A34" s="40"/>
      <c r="B34" s="39"/>
      <c r="C34" s="4"/>
      <c r="D34" s="4"/>
      <c r="E34" s="4"/>
      <c r="F34" s="4"/>
      <c r="G34" s="4"/>
      <c r="H34" s="4"/>
    </row>
    <row r="35" spans="1:13">
      <c r="A35" s="40" t="s">
        <v>57</v>
      </c>
      <c r="B35" s="40" t="s">
        <v>55</v>
      </c>
      <c r="C35" s="33">
        <v>0.83112653099287948</v>
      </c>
      <c r="D35" s="33"/>
      <c r="E35" s="33">
        <v>0.42661252737683752</v>
      </c>
      <c r="F35" s="33">
        <v>0.33422940655461586</v>
      </c>
      <c r="G35" s="33">
        <v>6.3593040868572551E-2</v>
      </c>
      <c r="H35" s="33">
        <v>6.6915561928533023E-3</v>
      </c>
      <c r="I35" s="33">
        <v>0.7608419339314535</v>
      </c>
      <c r="J35" s="33">
        <v>0.3978224474231884</v>
      </c>
    </row>
    <row r="36" spans="1:13">
      <c r="A36" s="39" t="s">
        <v>59</v>
      </c>
      <c r="B36" s="39" t="s">
        <v>60</v>
      </c>
      <c r="C36" s="4">
        <v>0.84559527897279696</v>
      </c>
      <c r="D36" s="4"/>
      <c r="E36" s="4">
        <v>0.24734570475023193</v>
      </c>
      <c r="F36" s="4">
        <v>0.52081805977360329</v>
      </c>
      <c r="G36" s="4">
        <v>7.3498247681856907E-2</v>
      </c>
      <c r="H36" s="4">
        <v>3.9332667671046918E-3</v>
      </c>
      <c r="I36" s="4">
        <v>0.76816376452383528</v>
      </c>
      <c r="J36" s="4">
        <v>0.59431630745546027</v>
      </c>
    </row>
    <row r="37" spans="1:13">
      <c r="A37" s="39"/>
      <c r="B37" s="39" t="s">
        <v>61</v>
      </c>
      <c r="C37" s="4">
        <v>0.87214698863045892</v>
      </c>
      <c r="D37" s="4"/>
      <c r="E37" s="4">
        <v>0.34738547620541049</v>
      </c>
      <c r="F37" s="4">
        <v>0.46860038080394212</v>
      </c>
      <c r="G37" s="4">
        <v>5.2201418353675685E-2</v>
      </c>
      <c r="H37" s="4">
        <v>3.9597132674305457E-3</v>
      </c>
      <c r="I37" s="4">
        <v>0.81598585700935267</v>
      </c>
      <c r="J37" s="4">
        <v>0.52080179915761771</v>
      </c>
    </row>
    <row r="38" spans="1:13">
      <c r="A38" s="39"/>
      <c r="B38" s="39" t="s">
        <v>62</v>
      </c>
      <c r="C38" s="4">
        <v>0.88889939730042755</v>
      </c>
      <c r="D38" s="4"/>
      <c r="E38" s="4">
        <v>0.39138858266745236</v>
      </c>
      <c r="F38" s="4">
        <v>0.42927923198250117</v>
      </c>
      <c r="G38" s="4">
        <v>6.3244705492837991E-2</v>
      </c>
      <c r="H38" s="4">
        <v>4.9868771576359926E-3</v>
      </c>
      <c r="I38" s="4">
        <v>0.82066781464995353</v>
      </c>
      <c r="J38" s="4">
        <v>0.49252393747533918</v>
      </c>
    </row>
    <row r="39" spans="1:13">
      <c r="A39" s="39"/>
      <c r="B39" s="39" t="s">
        <v>63</v>
      </c>
      <c r="C39" s="4">
        <v>0.87027737737878574</v>
      </c>
      <c r="D39" s="4"/>
      <c r="E39" s="4">
        <v>0.43373161677999178</v>
      </c>
      <c r="F39" s="4">
        <v>0.36388483107485003</v>
      </c>
      <c r="G39" s="4">
        <v>6.882794295738888E-2</v>
      </c>
      <c r="H39" s="4">
        <v>3.8329865665550594E-3</v>
      </c>
      <c r="I39" s="4">
        <v>0.79761644785484198</v>
      </c>
      <c r="J39" s="4">
        <v>0.43271277403223896</v>
      </c>
    </row>
    <row r="40" spans="1:13">
      <c r="A40" s="39"/>
      <c r="B40" s="39" t="s">
        <v>64</v>
      </c>
      <c r="C40" s="4">
        <v>0.85683427533451895</v>
      </c>
      <c r="D40" s="4"/>
      <c r="E40" s="4">
        <v>0.51524663696555106</v>
      </c>
      <c r="F40" s="4">
        <v>0.28763254778230518</v>
      </c>
      <c r="G40" s="4">
        <v>4.907112773312694E-2</v>
      </c>
      <c r="H40" s="4">
        <v>4.8839628535357676E-3</v>
      </c>
      <c r="I40" s="4">
        <v>0.80287918474785624</v>
      </c>
      <c r="J40" s="4">
        <v>0.33670367551543212</v>
      </c>
    </row>
    <row r="41" spans="1:13">
      <c r="A41" s="39"/>
      <c r="B41" s="39" t="s">
        <v>65</v>
      </c>
      <c r="C41" s="4">
        <v>0.82775037809031482</v>
      </c>
      <c r="D41" s="4"/>
      <c r="E41" s="4">
        <v>0.50760785283244214</v>
      </c>
      <c r="F41" s="4">
        <v>0.26598464181320569</v>
      </c>
      <c r="G41" s="4">
        <v>4.4799794785732171E-2</v>
      </c>
      <c r="H41" s="4">
        <v>9.3580886589347823E-3</v>
      </c>
      <c r="I41" s="4">
        <v>0.77359249464564783</v>
      </c>
      <c r="J41" s="4">
        <v>0.31078443659893784</v>
      </c>
    </row>
    <row r="42" spans="1:13">
      <c r="A42" s="132"/>
      <c r="B42" s="132" t="s">
        <v>66</v>
      </c>
      <c r="C42" s="137">
        <v>0.71761442257933861</v>
      </c>
      <c r="D42" s="137"/>
      <c r="E42" s="137">
        <v>0.40614382149155709</v>
      </c>
      <c r="F42" s="137">
        <v>0.21452280935519832</v>
      </c>
      <c r="G42" s="137">
        <v>8.5383051692325573E-2</v>
      </c>
      <c r="H42" s="137">
        <v>1.156474004025765E-2</v>
      </c>
      <c r="I42" s="137">
        <v>0.62066663084675544</v>
      </c>
      <c r="J42" s="137">
        <v>0.29990586104752393</v>
      </c>
    </row>
    <row r="43" spans="1:13">
      <c r="A43" s="72"/>
      <c r="B43" s="72"/>
      <c r="C43" s="156" t="s">
        <v>146</v>
      </c>
      <c r="D43" s="156"/>
      <c r="E43" s="156"/>
      <c r="F43" s="156"/>
      <c r="G43" s="156"/>
      <c r="H43" s="156"/>
      <c r="I43" s="156"/>
      <c r="J43" s="156"/>
    </row>
    <row r="44" spans="1:13">
      <c r="A44" s="40" t="s">
        <v>144</v>
      </c>
      <c r="B44" s="40" t="s">
        <v>55</v>
      </c>
      <c r="C44" s="85">
        <v>18427272.114701569</v>
      </c>
      <c r="D44" s="85"/>
      <c r="E44" s="85">
        <v>9526938.556196535</v>
      </c>
      <c r="F44" s="85">
        <v>7368316.107027025</v>
      </c>
      <c r="G44" s="85">
        <v>1392879.8881109729</v>
      </c>
      <c r="H44" s="85">
        <v>139137.56336703533</v>
      </c>
      <c r="I44" s="85">
        <v>16895254.663223561</v>
      </c>
      <c r="J44" s="85">
        <v>8761195.995137997</v>
      </c>
    </row>
    <row r="45" spans="1:13">
      <c r="A45" s="39" t="s">
        <v>59</v>
      </c>
      <c r="B45" s="39" t="s">
        <v>60</v>
      </c>
      <c r="C45" s="86">
        <v>816985.0346459744</v>
      </c>
      <c r="D45" s="50"/>
      <c r="E45" s="86">
        <v>233997.85848094994</v>
      </c>
      <c r="F45" s="86">
        <v>508087.76704333036</v>
      </c>
      <c r="G45" s="86">
        <v>70134.150866305441</v>
      </c>
      <c r="H45" s="86">
        <v>4765.2582553885813</v>
      </c>
      <c r="I45" s="86">
        <v>742085.62552428036</v>
      </c>
      <c r="J45" s="86">
        <v>578221.91790963581</v>
      </c>
      <c r="L45" s="83"/>
      <c r="M45" s="83"/>
    </row>
    <row r="46" spans="1:13">
      <c r="A46" s="40"/>
      <c r="B46" s="39" t="s">
        <v>61</v>
      </c>
      <c r="C46" s="86">
        <v>2060811.564945126</v>
      </c>
      <c r="D46" s="50"/>
      <c r="E46" s="86">
        <v>825735.91052208398</v>
      </c>
      <c r="F46" s="86">
        <v>1064760.1704112904</v>
      </c>
      <c r="G46" s="86">
        <v>155545.66655255968</v>
      </c>
      <c r="H46" s="86">
        <v>14769.81745919196</v>
      </c>
      <c r="I46" s="86">
        <v>1890496.0809333744</v>
      </c>
      <c r="J46" s="86">
        <v>1220305.8369638501</v>
      </c>
      <c r="L46" s="83"/>
      <c r="M46" s="87"/>
    </row>
    <row r="47" spans="1:13">
      <c r="A47" s="40"/>
      <c r="B47" s="39" t="s">
        <v>62</v>
      </c>
      <c r="C47" s="86">
        <v>3481225.7254565479</v>
      </c>
      <c r="D47" s="50"/>
      <c r="E47" s="86">
        <v>1507269.7820131085</v>
      </c>
      <c r="F47" s="86">
        <v>1687166.7423920978</v>
      </c>
      <c r="G47" s="86">
        <v>265598.35379650781</v>
      </c>
      <c r="H47" s="86">
        <v>21190.847254833803</v>
      </c>
      <c r="I47" s="86">
        <v>3194436.5244052066</v>
      </c>
      <c r="J47" s="86">
        <v>1952765.0961886058</v>
      </c>
      <c r="L47" s="83"/>
      <c r="M47" s="87"/>
    </row>
    <row r="48" spans="1:13">
      <c r="A48" s="40"/>
      <c r="B48" s="39" t="s">
        <v>63</v>
      </c>
      <c r="C48" s="86">
        <v>3258521.5604866729</v>
      </c>
      <c r="D48" s="50"/>
      <c r="E48" s="86">
        <v>1650060.6812837892</v>
      </c>
      <c r="F48" s="86">
        <v>1324090.6503442232</v>
      </c>
      <c r="G48" s="86">
        <v>270417.6391254029</v>
      </c>
      <c r="H48" s="86">
        <v>13952.589733257415</v>
      </c>
      <c r="I48" s="86">
        <v>2974151.3316280125</v>
      </c>
      <c r="J48" s="86">
        <v>1594508.2894696263</v>
      </c>
      <c r="L48" s="83"/>
      <c r="M48" s="5"/>
    </row>
    <row r="49" spans="1:12">
      <c r="A49" s="40"/>
      <c r="B49" s="39" t="s">
        <v>64</v>
      </c>
      <c r="C49" s="86">
        <v>2868387.6268386231</v>
      </c>
      <c r="D49" s="50"/>
      <c r="E49" s="86">
        <v>1692807.7878542524</v>
      </c>
      <c r="F49" s="86">
        <v>994493.04550540727</v>
      </c>
      <c r="G49" s="86">
        <v>164668.04345474529</v>
      </c>
      <c r="H49" s="86">
        <v>16418.750024218294</v>
      </c>
      <c r="I49" s="86">
        <v>2687300.8333596596</v>
      </c>
      <c r="J49" s="86">
        <v>1159161.0889601526</v>
      </c>
      <c r="L49" s="83"/>
    </row>
    <row r="50" spans="1:12">
      <c r="A50" s="40"/>
      <c r="B50" s="39" t="s">
        <v>65</v>
      </c>
      <c r="C50" s="86">
        <v>2580498.3474595766</v>
      </c>
      <c r="D50" s="50"/>
      <c r="E50" s="86">
        <v>1618937.6243638864</v>
      </c>
      <c r="F50" s="86">
        <v>812905.41212632088</v>
      </c>
      <c r="G50" s="86">
        <v>125474.16313795088</v>
      </c>
      <c r="H50" s="86">
        <v>23181.147831417875</v>
      </c>
      <c r="I50" s="86">
        <v>2431843.0364902075</v>
      </c>
      <c r="J50" s="86">
        <v>938379.57526427181</v>
      </c>
      <c r="L50" s="83"/>
    </row>
    <row r="51" spans="1:12">
      <c r="A51" s="40"/>
      <c r="B51" s="39" t="s">
        <v>66</v>
      </c>
      <c r="C51" s="86">
        <v>3360842.2548689442</v>
      </c>
      <c r="D51" s="50"/>
      <c r="E51" s="86">
        <v>1998128.9116785056</v>
      </c>
      <c r="F51" s="86">
        <v>976812.31920421298</v>
      </c>
      <c r="G51" s="86">
        <v>341041.87117749796</v>
      </c>
      <c r="H51" s="86">
        <v>44859.152808727464</v>
      </c>
      <c r="I51" s="86">
        <v>2974941.2308827187</v>
      </c>
      <c r="J51" s="86">
        <v>1317854.1903817109</v>
      </c>
      <c r="L51" s="83"/>
    </row>
    <row r="52" spans="1:12">
      <c r="A52" s="40"/>
      <c r="B52" s="40"/>
      <c r="C52" s="50"/>
      <c r="D52" s="50"/>
      <c r="E52" s="26"/>
      <c r="F52" s="26"/>
      <c r="G52" s="26"/>
      <c r="H52" s="26"/>
    </row>
    <row r="53" spans="1:12">
      <c r="A53" s="40" t="s">
        <v>56</v>
      </c>
      <c r="B53" s="40" t="s">
        <v>55</v>
      </c>
      <c r="C53" s="51">
        <v>9148365.7838082947</v>
      </c>
      <c r="D53" s="51"/>
      <c r="E53" s="85">
        <v>4758442.0435628984</v>
      </c>
      <c r="F53" s="85">
        <v>3639554.9199596583</v>
      </c>
      <c r="G53" s="85">
        <v>685095.90586061799</v>
      </c>
      <c r="H53" s="85">
        <v>65272.914425120638</v>
      </c>
      <c r="I53" s="85">
        <v>8397996.9635225572</v>
      </c>
      <c r="J53" s="85">
        <v>4324650.8258202765</v>
      </c>
    </row>
    <row r="54" spans="1:12">
      <c r="A54" s="39" t="s">
        <v>59</v>
      </c>
      <c r="B54" s="39" t="s">
        <v>60</v>
      </c>
      <c r="C54" s="110">
        <v>415858.9721822319</v>
      </c>
      <c r="D54" s="50"/>
      <c r="E54" s="86">
        <v>115157.10512673142</v>
      </c>
      <c r="F54" s="86">
        <v>261355.97665233078</v>
      </c>
      <c r="G54" s="86">
        <v>36386.634195195315</v>
      </c>
      <c r="H54" s="86">
        <v>2959.2562079743889</v>
      </c>
      <c r="I54" s="86">
        <v>376513.08177906217</v>
      </c>
      <c r="J54" s="86">
        <v>297742.61084752611</v>
      </c>
    </row>
    <row r="55" spans="1:12">
      <c r="A55" s="40"/>
      <c r="B55" s="39" t="s">
        <v>61</v>
      </c>
      <c r="C55" s="110">
        <v>1051968.6091469654</v>
      </c>
      <c r="D55" s="50"/>
      <c r="E55" s="86">
        <v>417401.79548130679</v>
      </c>
      <c r="F55" s="86">
        <v>529863.09427634173</v>
      </c>
      <c r="G55" s="86">
        <v>94355.705823259457</v>
      </c>
      <c r="H55" s="86">
        <v>10348.013566057332</v>
      </c>
      <c r="I55" s="86">
        <v>947264.88975764858</v>
      </c>
      <c r="J55" s="86">
        <v>624218.80009960115</v>
      </c>
    </row>
    <row r="56" spans="1:12">
      <c r="A56" s="40"/>
      <c r="B56" s="39" t="s">
        <v>62</v>
      </c>
      <c r="C56" s="110">
        <v>1741925.8338943757</v>
      </c>
      <c r="D56" s="50"/>
      <c r="E56" s="86">
        <v>739116.6345357704</v>
      </c>
      <c r="F56" s="86">
        <v>848863.44674550951</v>
      </c>
      <c r="G56" s="86">
        <v>142393.62184561274</v>
      </c>
      <c r="H56" s="86">
        <v>11552.130767482915</v>
      </c>
      <c r="I56" s="86">
        <v>1587980.0812812799</v>
      </c>
      <c r="J56" s="86">
        <v>991257.06859112228</v>
      </c>
    </row>
    <row r="57" spans="1:12">
      <c r="A57" s="40"/>
      <c r="B57" s="39" t="s">
        <v>63</v>
      </c>
      <c r="C57" s="110">
        <v>1619636.4799032265</v>
      </c>
      <c r="D57" s="50"/>
      <c r="E57" s="86">
        <v>830988.58306625625</v>
      </c>
      <c r="F57" s="86">
        <v>639991.37829647353</v>
      </c>
      <c r="G57" s="86">
        <v>141863.05589183632</v>
      </c>
      <c r="H57" s="86">
        <v>6793.4626486603147</v>
      </c>
      <c r="I57" s="86">
        <v>1470979.9613627298</v>
      </c>
      <c r="J57" s="86">
        <v>781854.43418830982</v>
      </c>
    </row>
    <row r="58" spans="1:12">
      <c r="A58" s="40"/>
      <c r="B58" s="39" t="s">
        <v>64</v>
      </c>
      <c r="C58" s="110">
        <v>1420356.89704979</v>
      </c>
      <c r="D58" s="50"/>
      <c r="E58" s="86">
        <v>822429.19519034249</v>
      </c>
      <c r="F58" s="86">
        <v>508378.39190556266</v>
      </c>
      <c r="G58" s="86">
        <v>81310.023714886498</v>
      </c>
      <c r="H58" s="86">
        <v>8239.2862389984039</v>
      </c>
      <c r="I58" s="86">
        <v>1330807.5870959051</v>
      </c>
      <c r="J58" s="86">
        <v>589688.41562044912</v>
      </c>
    </row>
    <row r="59" spans="1:12">
      <c r="A59" s="40"/>
      <c r="B59" s="39" t="s">
        <v>65</v>
      </c>
      <c r="C59" s="110">
        <v>1279916.6573853949</v>
      </c>
      <c r="D59" s="50"/>
      <c r="E59" s="86">
        <v>820800.31238661811</v>
      </c>
      <c r="F59" s="86">
        <v>395192.55745725636</v>
      </c>
      <c r="G59" s="86">
        <v>55383.631159750628</v>
      </c>
      <c r="H59" s="86">
        <v>8540.1563817695933</v>
      </c>
      <c r="I59" s="86">
        <v>1215992.8698438746</v>
      </c>
      <c r="J59" s="86">
        <v>450576.18861700699</v>
      </c>
    </row>
    <row r="60" spans="1:12">
      <c r="A60" s="40"/>
      <c r="B60" s="39" t="s">
        <v>66</v>
      </c>
      <c r="C60" s="110">
        <v>1618702.334246269</v>
      </c>
      <c r="D60" s="50"/>
      <c r="E60" s="86">
        <v>1012548.4177757762</v>
      </c>
      <c r="F60" s="86">
        <v>455910.07462623843</v>
      </c>
      <c r="G60" s="86">
        <v>133403.23323007656</v>
      </c>
      <c r="H60" s="86">
        <v>16840.608614177665</v>
      </c>
      <c r="I60" s="86">
        <v>1468458.4924020148</v>
      </c>
      <c r="J60" s="86">
        <v>589313.30785631505</v>
      </c>
    </row>
    <row r="61" spans="1:12">
      <c r="A61" s="40"/>
      <c r="B61" s="39"/>
      <c r="C61" s="50"/>
      <c r="D61" s="50"/>
      <c r="E61" s="26"/>
      <c r="F61" s="26"/>
      <c r="G61" s="26"/>
      <c r="H61" s="26"/>
    </row>
    <row r="62" spans="1:12">
      <c r="A62" s="40" t="s">
        <v>57</v>
      </c>
      <c r="B62" s="40" t="s">
        <v>55</v>
      </c>
      <c r="C62" s="51">
        <v>9174378.5255314745</v>
      </c>
      <c r="D62" s="51"/>
      <c r="E62" s="85">
        <v>4709156.3846640075</v>
      </c>
      <c r="F62" s="85">
        <v>3689386.604507355</v>
      </c>
      <c r="G62" s="85">
        <v>701970.88741819479</v>
      </c>
      <c r="H62" s="85">
        <v>73864.648941914769</v>
      </c>
      <c r="I62" s="85">
        <v>8398542.9891713634</v>
      </c>
      <c r="J62" s="85">
        <v>4391357.4919255497</v>
      </c>
    </row>
    <row r="63" spans="1:12">
      <c r="A63" s="39" t="s">
        <v>59</v>
      </c>
      <c r="B63" s="39" t="s">
        <v>60</v>
      </c>
      <c r="C63" s="110">
        <v>388264.23315110942</v>
      </c>
      <c r="D63" s="50"/>
      <c r="E63" s="86">
        <v>113571.45997164327</v>
      </c>
      <c r="F63" s="86">
        <v>239139.25446094183</v>
      </c>
      <c r="G63" s="86">
        <v>33747.516671110119</v>
      </c>
      <c r="H63" s="86">
        <v>1806.0020474141922</v>
      </c>
      <c r="I63" s="86">
        <v>352710.71443258511</v>
      </c>
      <c r="J63" s="86">
        <v>272886.77113205194</v>
      </c>
    </row>
    <row r="64" spans="1:12">
      <c r="A64" s="39"/>
      <c r="B64" s="39" t="s">
        <v>61</v>
      </c>
      <c r="C64" s="110">
        <v>973924.79941212002</v>
      </c>
      <c r="D64" s="50"/>
      <c r="E64" s="86">
        <v>387924.6671060769</v>
      </c>
      <c r="F64" s="86">
        <v>523285.10885026713</v>
      </c>
      <c r="G64" s="86">
        <v>58293.219562641287</v>
      </c>
      <c r="H64" s="86">
        <v>4421.8038931346273</v>
      </c>
      <c r="I64" s="86">
        <v>911209.77595634409</v>
      </c>
      <c r="J64" s="86">
        <v>581578.32841290836</v>
      </c>
    </row>
    <row r="65" spans="1:23">
      <c r="A65" s="39"/>
      <c r="B65" s="39" t="s">
        <v>62</v>
      </c>
      <c r="C65" s="110">
        <v>1718079.0714358487</v>
      </c>
      <c r="D65" s="50"/>
      <c r="E65" s="86">
        <v>756482.15616082971</v>
      </c>
      <c r="F65" s="86">
        <v>829717.81341181381</v>
      </c>
      <c r="G65" s="86">
        <v>122240.38537585422</v>
      </c>
      <c r="H65" s="86">
        <v>9638.7164873508791</v>
      </c>
      <c r="I65" s="86">
        <v>1586199.9695726435</v>
      </c>
      <c r="J65" s="86">
        <v>951958.19878766802</v>
      </c>
    </row>
    <row r="66" spans="1:23">
      <c r="A66" s="39"/>
      <c r="B66" s="39" t="s">
        <v>63</v>
      </c>
      <c r="C66" s="110">
        <v>1625475.6533374083</v>
      </c>
      <c r="D66" s="50"/>
      <c r="E66" s="86">
        <v>810109.74372563697</v>
      </c>
      <c r="F66" s="86">
        <v>679652.19929360726</v>
      </c>
      <c r="G66" s="86">
        <v>128554.58323356704</v>
      </c>
      <c r="H66" s="86">
        <v>7159.1270845970976</v>
      </c>
      <c r="I66" s="86">
        <v>1489761.9430192444</v>
      </c>
      <c r="J66" s="86">
        <v>808206.78252717433</v>
      </c>
    </row>
    <row r="67" spans="1:23">
      <c r="A67" s="39"/>
      <c r="B67" s="39" t="s">
        <v>64</v>
      </c>
      <c r="C67" s="110">
        <v>1434991.4475618978</v>
      </c>
      <c r="D67" s="50"/>
      <c r="E67" s="86">
        <v>862914.26325345645</v>
      </c>
      <c r="F67" s="86">
        <v>481715.37716194172</v>
      </c>
      <c r="G67" s="86">
        <v>82182.343361279593</v>
      </c>
      <c r="H67" s="86">
        <v>8179.463785219893</v>
      </c>
      <c r="I67" s="86">
        <v>1344629.6404153982</v>
      </c>
      <c r="J67" s="86">
        <v>563897.7205232213</v>
      </c>
    </row>
    <row r="68" spans="1:23">
      <c r="A68" s="39"/>
      <c r="B68" s="39" t="s">
        <v>65</v>
      </c>
      <c r="C68" s="110">
        <v>1295038.6184354585</v>
      </c>
      <c r="D68" s="50"/>
      <c r="E68" s="86">
        <v>794166.68338554399</v>
      </c>
      <c r="F68" s="86">
        <v>416140.41162206576</v>
      </c>
      <c r="G68" s="86">
        <v>70090.531978200364</v>
      </c>
      <c r="H68" s="86">
        <v>14640.991449648285</v>
      </c>
      <c r="I68" s="86">
        <v>1210307.0950076098</v>
      </c>
      <c r="J68" s="86">
        <v>486230.94360026612</v>
      </c>
    </row>
    <row r="69" spans="1:23">
      <c r="A69" s="39"/>
      <c r="B69" s="39" t="s">
        <v>66</v>
      </c>
      <c r="C69" s="110">
        <v>1738604.7021976619</v>
      </c>
      <c r="D69" s="50"/>
      <c r="E69" s="86">
        <v>983987.41106082033</v>
      </c>
      <c r="F69" s="86">
        <v>519736.43970674963</v>
      </c>
      <c r="G69" s="86">
        <v>206862.30723554207</v>
      </c>
      <c r="H69" s="86">
        <v>28018.544194549788</v>
      </c>
      <c r="I69" s="86">
        <v>1503723.8507675701</v>
      </c>
      <c r="J69" s="86">
        <v>726598.74694229173</v>
      </c>
    </row>
    <row r="70" spans="1:23">
      <c r="A70" s="132"/>
      <c r="B70" s="132"/>
      <c r="C70" s="178"/>
      <c r="D70" s="178"/>
      <c r="E70" s="179"/>
      <c r="F70" s="179"/>
      <c r="G70" s="179"/>
      <c r="H70" s="179"/>
      <c r="I70" s="179"/>
      <c r="J70" s="179"/>
    </row>
    <row r="71" spans="1:23">
      <c r="A71" s="29" t="s">
        <v>147</v>
      </c>
    </row>
    <row r="72" spans="1:23">
      <c r="A72" s="16" t="s">
        <v>119</v>
      </c>
    </row>
    <row r="73" spans="1:23">
      <c r="A73" s="16" t="s">
        <v>120</v>
      </c>
    </row>
    <row r="74" spans="1:23" ht="15" customHeight="1">
      <c r="A74" s="29" t="s">
        <v>118</v>
      </c>
      <c r="B74" s="29"/>
      <c r="C74" s="2"/>
      <c r="G74" s="2"/>
      <c r="K74" s="2"/>
      <c r="O74" s="2"/>
      <c r="S74" s="2"/>
      <c r="W74" s="2"/>
    </row>
    <row r="75" spans="1:23">
      <c r="A75" s="29"/>
    </row>
  </sheetData>
  <mergeCells count="10">
    <mergeCell ref="L4:N5"/>
    <mergeCell ref="E6:E9"/>
    <mergeCell ref="F6:J9"/>
    <mergeCell ref="L6:N9"/>
    <mergeCell ref="E13:J13"/>
    <mergeCell ref="C43:J43"/>
    <mergeCell ref="C16:J16"/>
    <mergeCell ref="E3:J3"/>
    <mergeCell ref="E4:E5"/>
    <mergeCell ref="F4:J5"/>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C44&lt;'34'!$C$104</xm:f>
            <x14:dxf>
              <font>
                <color rgb="FFFF0000"/>
              </font>
              <numFmt numFmtId="172" formatCode="\*\*0.0%"/>
            </x14:dxf>
          </x14:cfRule>
          <x14:cfRule type="expression" priority="4" id="{EFA72807-B0EB-465A-855A-CBBE8E448C34}">
            <xm:f>C44&lt;'34'!$C$103</xm:f>
            <x14:dxf>
              <font>
                <color rgb="FF00B050"/>
              </font>
              <numFmt numFmtId="171" formatCode="\*0.0%"/>
            </x14:dxf>
          </x14:cfRule>
          <xm:sqref>C17:J42</xm:sqref>
        </x14:conditionalFormatting>
        <x14:conditionalFormatting xmlns:xm="http://schemas.microsoft.com/office/excel/2006/main">
          <x14:cfRule type="expression" priority="1" id="{F59254B0-D41C-4009-906C-C5D0ECD200B8}">
            <xm:f>C44&lt;'34'!$C$104</xm:f>
            <x14:dxf>
              <font>
                <color rgb="FFFF0000"/>
              </font>
              <numFmt numFmtId="170" formatCode="\*\*#,###,###,##0"/>
            </x14:dxf>
          </x14:cfRule>
          <x14:cfRule type="expression" priority="2" id="{6781CF44-E2AF-448A-A2EB-B08F0E69E821}">
            <xm:f>C44&lt;'34'!$C$103</xm:f>
            <x14:dxf>
              <font>
                <color rgb="FF00B050"/>
              </font>
              <numFmt numFmtId="169"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B9F96-C9C6-407B-AD27-FCFEEB6177FF}">
  <dimension ref="A1:Z73"/>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c r="A1" s="34"/>
      <c r="B1" s="34"/>
      <c r="C1" s="34"/>
      <c r="D1" s="34"/>
      <c r="E1" s="34"/>
      <c r="F1" s="34"/>
      <c r="G1" s="34"/>
      <c r="H1" s="34"/>
      <c r="I1" s="34"/>
      <c r="J1" s="34"/>
      <c r="K1" s="34"/>
      <c r="L1" s="34"/>
      <c r="M1" s="34"/>
      <c r="N1" s="34"/>
      <c r="O1" s="34"/>
      <c r="P1" s="34"/>
      <c r="Q1" s="34"/>
      <c r="R1" s="34"/>
      <c r="S1" s="34"/>
      <c r="T1" s="34"/>
    </row>
    <row r="2" spans="1:20">
      <c r="A2" s="34"/>
      <c r="B2" s="34"/>
      <c r="C2" s="34"/>
      <c r="D2" s="34"/>
      <c r="E2" s="34"/>
      <c r="F2" s="34"/>
      <c r="G2" s="34"/>
      <c r="H2" s="34"/>
      <c r="I2" s="34"/>
      <c r="J2" s="34"/>
      <c r="K2" s="34"/>
      <c r="L2" s="34"/>
      <c r="M2" s="34"/>
      <c r="N2" s="34"/>
      <c r="O2" s="34"/>
      <c r="P2" s="34"/>
      <c r="Q2" s="34"/>
      <c r="R2" s="34"/>
      <c r="S2" s="34"/>
      <c r="T2" s="34"/>
    </row>
    <row r="3" spans="1:20">
      <c r="A3" s="34"/>
      <c r="B3" s="34"/>
      <c r="C3" s="34"/>
      <c r="D3" s="34"/>
      <c r="E3" s="34"/>
      <c r="F3" s="34"/>
      <c r="G3" s="34"/>
      <c r="H3" s="34"/>
      <c r="I3" s="34"/>
      <c r="J3" s="34"/>
      <c r="K3" s="34"/>
      <c r="L3" s="34"/>
      <c r="M3" s="34"/>
      <c r="N3" s="34"/>
      <c r="O3" s="34"/>
      <c r="P3" s="34"/>
      <c r="Q3" s="34"/>
      <c r="R3" s="34"/>
      <c r="S3" s="34"/>
      <c r="T3" s="34"/>
    </row>
    <row r="4" spans="1:20">
      <c r="A4" s="34"/>
      <c r="B4" s="34"/>
      <c r="C4" s="34"/>
      <c r="D4" s="34"/>
      <c r="E4" s="34"/>
      <c r="F4" s="34"/>
      <c r="G4" s="34"/>
      <c r="H4" s="34"/>
      <c r="I4" s="34"/>
      <c r="J4" s="34"/>
      <c r="K4" s="34"/>
      <c r="L4" s="34"/>
      <c r="M4" s="34"/>
      <c r="N4" s="34"/>
      <c r="O4" s="34"/>
      <c r="P4" s="34"/>
      <c r="Q4" s="34"/>
      <c r="R4" s="34"/>
      <c r="S4" s="34"/>
      <c r="T4" s="34"/>
    </row>
    <row r="5" spans="1:20">
      <c r="A5" s="34"/>
      <c r="B5" s="34"/>
      <c r="C5" s="34"/>
      <c r="D5" s="34"/>
      <c r="E5" s="34"/>
      <c r="F5" s="34"/>
      <c r="G5" s="34"/>
      <c r="H5" s="34"/>
      <c r="I5" s="34"/>
      <c r="J5" s="34"/>
      <c r="K5" s="34"/>
      <c r="L5" s="34"/>
      <c r="M5" s="34"/>
      <c r="N5" s="34"/>
      <c r="O5" s="34"/>
      <c r="P5" s="34"/>
      <c r="Q5" s="34"/>
      <c r="R5" s="34"/>
      <c r="S5" s="34"/>
      <c r="T5" s="34"/>
    </row>
    <row r="6" spans="1:20">
      <c r="A6" s="34"/>
      <c r="B6" s="34"/>
      <c r="C6" s="34"/>
      <c r="D6" s="34"/>
      <c r="E6" s="34"/>
      <c r="F6" s="34"/>
      <c r="G6" s="34"/>
      <c r="H6" s="34"/>
      <c r="I6" s="34"/>
      <c r="J6" s="34"/>
      <c r="K6" s="34"/>
      <c r="L6" s="34"/>
      <c r="M6" s="34"/>
      <c r="N6" s="34"/>
      <c r="O6" s="34"/>
      <c r="P6" s="34"/>
      <c r="Q6" s="34"/>
      <c r="R6" s="34"/>
      <c r="S6" s="34"/>
      <c r="T6" s="34"/>
    </row>
    <row r="7" spans="1:20">
      <c r="A7" s="34"/>
      <c r="B7" s="34"/>
      <c r="C7" s="34"/>
      <c r="D7" s="34"/>
      <c r="E7" s="34"/>
      <c r="F7" s="34"/>
      <c r="G7" s="34"/>
      <c r="H7" s="34"/>
      <c r="I7" s="34"/>
      <c r="J7" s="34"/>
      <c r="K7" s="34"/>
      <c r="L7" s="34"/>
      <c r="M7" s="34"/>
      <c r="N7" s="34"/>
      <c r="O7" s="34"/>
      <c r="P7" s="34"/>
      <c r="Q7" s="34"/>
      <c r="R7" s="34"/>
      <c r="S7" s="34"/>
      <c r="T7" s="34"/>
    </row>
    <row r="8" spans="1:20">
      <c r="A8" s="35" t="s">
        <v>0</v>
      </c>
      <c r="B8" s="34"/>
      <c r="C8" s="34"/>
      <c r="D8" s="34"/>
      <c r="E8" s="34"/>
      <c r="F8" s="34"/>
      <c r="G8" s="34"/>
      <c r="H8" s="34"/>
      <c r="I8" s="34"/>
      <c r="J8" s="34"/>
      <c r="K8" s="34"/>
      <c r="L8" s="34"/>
      <c r="M8" s="34"/>
      <c r="N8" s="34"/>
      <c r="O8" s="34"/>
      <c r="P8" s="34"/>
      <c r="Q8" s="34"/>
      <c r="R8" s="34"/>
      <c r="S8" s="34"/>
      <c r="T8" s="34"/>
    </row>
    <row r="9" spans="1:20">
      <c r="A9" s="34" t="s">
        <v>1</v>
      </c>
      <c r="B9" s="34"/>
      <c r="C9" s="35" t="s">
        <v>2</v>
      </c>
      <c r="D9" s="35"/>
      <c r="E9" s="35"/>
      <c r="F9" s="35"/>
      <c r="G9" s="35"/>
      <c r="H9" s="34"/>
      <c r="I9" s="34"/>
      <c r="J9" s="34"/>
      <c r="K9" s="34"/>
      <c r="L9" s="34"/>
      <c r="M9" s="34"/>
      <c r="N9" s="34"/>
      <c r="O9" s="34"/>
      <c r="P9" s="34"/>
      <c r="Q9" s="34"/>
      <c r="R9" s="34"/>
      <c r="S9" s="34"/>
      <c r="T9" s="34"/>
    </row>
    <row r="10" spans="1:20">
      <c r="A10" s="34" t="s">
        <v>47</v>
      </c>
      <c r="B10" s="34"/>
      <c r="C10" s="36">
        <v>4</v>
      </c>
      <c r="D10" s="36"/>
      <c r="E10" s="36"/>
      <c r="F10" s="36"/>
      <c r="G10" s="36"/>
      <c r="H10" s="34"/>
      <c r="I10" s="34"/>
      <c r="J10" s="34"/>
      <c r="K10" s="34"/>
      <c r="L10" s="34"/>
      <c r="M10" s="34"/>
      <c r="N10" s="34"/>
      <c r="O10" s="34"/>
      <c r="P10" s="34"/>
      <c r="Q10" s="34"/>
      <c r="R10" s="34"/>
      <c r="S10" s="34"/>
      <c r="T10" s="34"/>
    </row>
    <row r="11" spans="1:20">
      <c r="A11" s="34" t="s">
        <v>3</v>
      </c>
      <c r="B11" s="34"/>
      <c r="C11" s="35" t="s">
        <v>12</v>
      </c>
      <c r="D11" s="35"/>
      <c r="E11" s="35"/>
      <c r="F11" s="35"/>
      <c r="G11" s="35"/>
      <c r="H11" s="34"/>
      <c r="I11" s="34"/>
      <c r="J11" s="34"/>
      <c r="K11" s="34"/>
      <c r="L11" s="34"/>
      <c r="M11" s="34"/>
      <c r="N11" s="34"/>
      <c r="O11" s="34"/>
      <c r="P11" s="34"/>
      <c r="Q11" s="34"/>
      <c r="R11" s="34"/>
      <c r="S11" s="34"/>
      <c r="T11" s="34"/>
    </row>
    <row r="12" spans="1:20">
      <c r="A12" s="130" t="s">
        <v>48</v>
      </c>
      <c r="B12" s="130"/>
      <c r="C12" s="131" t="s">
        <v>49</v>
      </c>
      <c r="D12" s="131"/>
      <c r="E12" s="131"/>
      <c r="F12" s="131"/>
      <c r="G12" s="131"/>
      <c r="H12" s="130"/>
      <c r="I12" s="130"/>
      <c r="J12" s="130"/>
      <c r="K12" s="130"/>
      <c r="L12" s="130"/>
      <c r="M12" s="130"/>
      <c r="N12" s="130"/>
      <c r="O12" s="130"/>
      <c r="P12" s="130"/>
      <c r="Q12" s="130"/>
      <c r="R12" s="130"/>
      <c r="S12" s="130"/>
      <c r="T12" s="130"/>
    </row>
    <row r="13" spans="1:20" ht="24.95" customHeight="1">
      <c r="A13" s="37"/>
      <c r="B13" s="37"/>
      <c r="C13" s="37"/>
      <c r="D13" s="37"/>
      <c r="E13" s="161" t="s">
        <v>148</v>
      </c>
      <c r="F13" s="161"/>
      <c r="G13" s="37"/>
      <c r="H13" s="155" t="s">
        <v>149</v>
      </c>
      <c r="I13" s="155"/>
      <c r="J13" s="155"/>
      <c r="K13" s="155"/>
      <c r="L13" s="155"/>
      <c r="M13" s="155"/>
      <c r="N13" s="155"/>
      <c r="O13" s="155"/>
      <c r="P13" s="155"/>
      <c r="Q13" s="155"/>
      <c r="R13" s="134"/>
      <c r="S13" s="161" t="s">
        <v>88</v>
      </c>
      <c r="T13" s="161"/>
    </row>
    <row r="14" spans="1:20" s="8" customFormat="1" ht="50.25" customHeight="1">
      <c r="A14" s="88"/>
      <c r="B14" s="88"/>
      <c r="C14" s="42" t="s">
        <v>58</v>
      </c>
      <c r="D14" s="69"/>
      <c r="E14" s="69" t="s">
        <v>150</v>
      </c>
      <c r="F14" s="69" t="s">
        <v>151</v>
      </c>
      <c r="G14" s="69"/>
      <c r="H14" s="69" t="s">
        <v>152</v>
      </c>
      <c r="I14" s="69" t="s">
        <v>153</v>
      </c>
      <c r="J14" s="69" t="s">
        <v>154</v>
      </c>
      <c r="K14" s="69" t="s">
        <v>155</v>
      </c>
      <c r="L14" s="69" t="s">
        <v>156</v>
      </c>
      <c r="M14" s="69" t="s">
        <v>157</v>
      </c>
      <c r="N14" s="69" t="s">
        <v>158</v>
      </c>
      <c r="O14" s="69" t="s">
        <v>159</v>
      </c>
      <c r="P14" s="69" t="s">
        <v>160</v>
      </c>
      <c r="Q14" s="69" t="s">
        <v>161</v>
      </c>
      <c r="R14" s="69"/>
      <c r="S14" s="69" t="s">
        <v>88</v>
      </c>
      <c r="T14" s="69" t="s">
        <v>134</v>
      </c>
    </row>
    <row r="15" spans="1:20">
      <c r="A15" s="72"/>
      <c r="B15" s="72"/>
      <c r="C15" s="162" t="s">
        <v>143</v>
      </c>
      <c r="D15" s="162"/>
      <c r="E15" s="162"/>
      <c r="F15" s="162"/>
      <c r="G15" s="162"/>
      <c r="H15" s="162"/>
      <c r="I15" s="162"/>
      <c r="J15" s="162"/>
      <c r="K15" s="162"/>
      <c r="L15" s="162"/>
      <c r="M15" s="162"/>
      <c r="N15" s="162"/>
      <c r="O15" s="162"/>
      <c r="P15" s="162"/>
      <c r="Q15" s="162"/>
      <c r="R15" s="162"/>
      <c r="S15" s="162"/>
      <c r="T15" s="162"/>
    </row>
    <row r="16" spans="1:20">
      <c r="A16" s="40" t="s">
        <v>144</v>
      </c>
      <c r="B16" s="40" t="s">
        <v>55</v>
      </c>
      <c r="C16" s="33">
        <v>0.84147262887965713</v>
      </c>
      <c r="D16" s="33"/>
      <c r="E16" s="33">
        <v>0.66342747602871666</v>
      </c>
      <c r="F16" s="33">
        <v>0.50225965361382363</v>
      </c>
      <c r="G16" s="33"/>
      <c r="H16" s="33">
        <v>0.12977038453428713</v>
      </c>
      <c r="I16" s="33">
        <v>0.10901158522993738</v>
      </c>
      <c r="J16" s="33">
        <v>9.4396406480987044E-2</v>
      </c>
      <c r="K16" s="33">
        <v>7.1013955370351517E-2</v>
      </c>
      <c r="L16" s="33">
        <v>6.688246279644787E-2</v>
      </c>
      <c r="M16" s="33">
        <v>6.4526790277579682E-2</v>
      </c>
      <c r="N16" s="33">
        <v>6.3140061573888281E-2</v>
      </c>
      <c r="O16" s="33">
        <v>4.7694834464612278E-2</v>
      </c>
      <c r="P16" s="33">
        <v>4.3059377588842561E-2</v>
      </c>
      <c r="Q16" s="33">
        <v>4.2326259315871452E-2</v>
      </c>
      <c r="R16" s="33"/>
      <c r="S16" s="33">
        <v>1.5088357861817179E-2</v>
      </c>
      <c r="T16" s="33">
        <v>1.2174703446637326E-2</v>
      </c>
    </row>
    <row r="17" spans="1:20">
      <c r="A17" s="39" t="s">
        <v>59</v>
      </c>
      <c r="B17" s="39" t="s">
        <v>60</v>
      </c>
      <c r="C17" s="108">
        <v>0.8423494294924837</v>
      </c>
      <c r="D17" s="108"/>
      <c r="E17" s="108">
        <v>0.65724134644140286</v>
      </c>
      <c r="F17" s="108">
        <v>0.6137307989056372</v>
      </c>
      <c r="G17" s="108"/>
      <c r="H17" s="108">
        <v>0.26829787152060808</v>
      </c>
      <c r="I17" s="108">
        <v>0.1127400505435719</v>
      </c>
      <c r="J17" s="108">
        <v>0.10257439632845024</v>
      </c>
      <c r="K17" s="108">
        <v>0.12127770264965124</v>
      </c>
      <c r="L17" s="108">
        <v>0.11617964700050917</v>
      </c>
      <c r="M17" s="108">
        <v>0.10908213839793839</v>
      </c>
      <c r="N17" s="108">
        <v>0.11947407591994612</v>
      </c>
      <c r="O17" s="108">
        <v>8.0398559716323814E-2</v>
      </c>
      <c r="P17" s="108">
        <v>3.2187579357035048E-2</v>
      </c>
      <c r="Q17" s="108">
        <v>0.28813785787456619</v>
      </c>
      <c r="R17" s="108"/>
      <c r="S17" s="108">
        <v>7.1852227411362563E-3</v>
      </c>
      <c r="T17" s="108">
        <v>2.9329853120335665E-2</v>
      </c>
    </row>
    <row r="18" spans="1:20">
      <c r="A18" s="40"/>
      <c r="B18" s="39" t="s">
        <v>61</v>
      </c>
      <c r="C18" s="108">
        <v>0.87443737480058792</v>
      </c>
      <c r="D18" s="108"/>
      <c r="E18" s="108">
        <v>0.70279458208291246</v>
      </c>
      <c r="F18" s="108">
        <v>0.58089230822509896</v>
      </c>
      <c r="G18" s="108"/>
      <c r="H18" s="108">
        <v>0.21281584539305393</v>
      </c>
      <c r="I18" s="108">
        <v>0.14407536419168135</v>
      </c>
      <c r="J18" s="108">
        <v>0.11972551038597402</v>
      </c>
      <c r="K18" s="108">
        <v>0.11462993043942635</v>
      </c>
      <c r="L18" s="108">
        <v>0.10233197672919189</v>
      </c>
      <c r="M18" s="108">
        <v>0.1001313852106374</v>
      </c>
      <c r="N18" s="108">
        <v>0.10469709252536183</v>
      </c>
      <c r="O18" s="108">
        <v>6.1000802171828183E-2</v>
      </c>
      <c r="P18" s="108">
        <v>8.0730749233838578E-2</v>
      </c>
      <c r="Q18" s="108">
        <v>0.11524962615561608</v>
      </c>
      <c r="R18" s="108"/>
      <c r="S18" s="108">
        <v>5.2736639221082817E-3</v>
      </c>
      <c r="T18" s="108">
        <v>2.3271263135850838E-2</v>
      </c>
    </row>
    <row r="19" spans="1:20">
      <c r="A19" s="40"/>
      <c r="B19" s="39" t="s">
        <v>62</v>
      </c>
      <c r="C19" s="108">
        <v>0.89238386935949676</v>
      </c>
      <c r="D19" s="108"/>
      <c r="E19" s="108">
        <v>0.7127496123002437</v>
      </c>
      <c r="F19" s="108">
        <v>0.57866950360196467</v>
      </c>
      <c r="G19" s="108"/>
      <c r="H19" s="108">
        <v>0.16325077613678912</v>
      </c>
      <c r="I19" s="108">
        <v>0.15673218375094436</v>
      </c>
      <c r="J19" s="108">
        <v>0.14255178920349154</v>
      </c>
      <c r="K19" s="108">
        <v>9.7441062538628123E-2</v>
      </c>
      <c r="L19" s="108">
        <v>8.9245116831595389E-2</v>
      </c>
      <c r="M19" s="108">
        <v>9.9252820134271599E-2</v>
      </c>
      <c r="N19" s="108">
        <v>8.4099382553730201E-2</v>
      </c>
      <c r="O19" s="108">
        <v>5.3748708747702365E-2</v>
      </c>
      <c r="P19" s="108">
        <v>8.1415111859847872E-2</v>
      </c>
      <c r="Q19" s="108">
        <v>5.207242534063812E-2</v>
      </c>
      <c r="R19" s="108"/>
      <c r="S19" s="108">
        <v>6.8656193701290462E-3</v>
      </c>
      <c r="T19" s="108">
        <v>1.850995490906655E-2</v>
      </c>
    </row>
    <row r="20" spans="1:20">
      <c r="A20" s="40"/>
      <c r="B20" s="39" t="s">
        <v>63</v>
      </c>
      <c r="C20" s="108">
        <v>0.87558279183213306</v>
      </c>
      <c r="D20" s="108"/>
      <c r="E20" s="108">
        <v>0.68789230176882243</v>
      </c>
      <c r="F20" s="108">
        <v>0.52560168295580123</v>
      </c>
      <c r="G20" s="108"/>
      <c r="H20" s="108">
        <v>0.13236399891163159</v>
      </c>
      <c r="I20" s="108">
        <v>0.12803693461507654</v>
      </c>
      <c r="J20" s="108">
        <v>0.11275203830545302</v>
      </c>
      <c r="K20" s="108">
        <v>6.9008967501750729E-2</v>
      </c>
      <c r="L20" s="108">
        <v>7.2120737592869549E-2</v>
      </c>
      <c r="M20" s="108">
        <v>7.4136594580030482E-2</v>
      </c>
      <c r="N20" s="108">
        <v>5.7650134416726083E-2</v>
      </c>
      <c r="O20" s="108">
        <v>4.3341554975972932E-2</v>
      </c>
      <c r="P20" s="108">
        <v>5.6310663511723119E-2</v>
      </c>
      <c r="Q20" s="108">
        <v>2.7059829481085446E-2</v>
      </c>
      <c r="R20" s="108"/>
      <c r="S20" s="108">
        <v>9.1065574117925995E-3</v>
      </c>
      <c r="T20" s="108">
        <v>1.1270161965900565E-2</v>
      </c>
    </row>
    <row r="21" spans="1:20">
      <c r="A21" s="40"/>
      <c r="B21" s="39" t="s">
        <v>64</v>
      </c>
      <c r="C21" s="108">
        <v>0.86410524269851319</v>
      </c>
      <c r="D21" s="108"/>
      <c r="E21" s="108">
        <v>0.70352625295440563</v>
      </c>
      <c r="F21" s="108">
        <v>0.50942627750761649</v>
      </c>
      <c r="G21" s="108"/>
      <c r="H21" s="108">
        <v>9.8889656035429346E-2</v>
      </c>
      <c r="I21" s="108">
        <v>8.7778281641522723E-2</v>
      </c>
      <c r="J21" s="108">
        <v>8.3962510489267284E-2</v>
      </c>
      <c r="K21" s="108">
        <v>4.631535201900111E-2</v>
      </c>
      <c r="L21" s="108">
        <v>5.5990088267047711E-2</v>
      </c>
      <c r="M21" s="108">
        <v>5.9655491009854129E-2</v>
      </c>
      <c r="N21" s="108">
        <v>4.2440681650775157E-2</v>
      </c>
      <c r="O21" s="108">
        <v>3.8698349416766725E-2</v>
      </c>
      <c r="P21" s="108">
        <v>3.5408938526486827E-2</v>
      </c>
      <c r="Q21" s="108">
        <v>1.26486033428122E-2</v>
      </c>
      <c r="R21" s="108"/>
      <c r="S21" s="108">
        <v>1.4681053383428256E-2</v>
      </c>
      <c r="T21" s="108">
        <v>7.3422784114284042E-3</v>
      </c>
    </row>
    <row r="22" spans="1:20">
      <c r="A22" s="40"/>
      <c r="B22" s="39" t="s">
        <v>65</v>
      </c>
      <c r="C22" s="108">
        <v>0.8422083538696401</v>
      </c>
      <c r="D22" s="108"/>
      <c r="E22" s="108">
        <v>0.68847119755739916</v>
      </c>
      <c r="F22" s="108">
        <v>0.49437057786167221</v>
      </c>
      <c r="G22" s="108"/>
      <c r="H22" s="108">
        <v>8.5459599819017518E-2</v>
      </c>
      <c r="I22" s="108">
        <v>7.7463633873212312E-2</v>
      </c>
      <c r="J22" s="108">
        <v>7.6523026330481345E-2</v>
      </c>
      <c r="K22" s="108">
        <v>4.0756017421213035E-2</v>
      </c>
      <c r="L22" s="108">
        <v>4.3229733733716739E-2</v>
      </c>
      <c r="M22" s="108">
        <v>4.0690219606429802E-2</v>
      </c>
      <c r="N22" s="108">
        <v>3.7187145071908428E-2</v>
      </c>
      <c r="O22" s="108">
        <v>4.1155604074334627E-2</v>
      </c>
      <c r="P22" s="108">
        <v>1.9104791977271128E-2</v>
      </c>
      <c r="Q22" s="108">
        <v>3.926785301403302E-3</v>
      </c>
      <c r="R22" s="108"/>
      <c r="S22" s="108">
        <v>2.5649587205137662E-2</v>
      </c>
      <c r="T22" s="108">
        <v>6.6325905109995498E-3</v>
      </c>
    </row>
    <row r="23" spans="1:20">
      <c r="A23" s="40"/>
      <c r="B23" s="39" t="s">
        <v>66</v>
      </c>
      <c r="C23" s="108">
        <v>0.73602959898406828</v>
      </c>
      <c r="D23" s="108"/>
      <c r="E23" s="108">
        <v>0.53639061734609539</v>
      </c>
      <c r="F23" s="108">
        <v>0.35377783473809615</v>
      </c>
      <c r="G23" s="108"/>
      <c r="H23" s="108">
        <v>7.8949446889904601E-2</v>
      </c>
      <c r="I23" s="108">
        <v>7.0451958034220247E-2</v>
      </c>
      <c r="J23" s="108">
        <v>4.306368481512772E-2</v>
      </c>
      <c r="K23" s="108">
        <v>5.5141433785565297E-2</v>
      </c>
      <c r="L23" s="108">
        <v>3.8530202896119747E-2</v>
      </c>
      <c r="M23" s="108">
        <v>1.8722535434770503E-2</v>
      </c>
      <c r="N23" s="108">
        <v>4.8756419333062642E-2</v>
      </c>
      <c r="O23" s="108">
        <v>4.3184873082371004E-2</v>
      </c>
      <c r="P23" s="108">
        <v>3.9921951012874424E-3</v>
      </c>
      <c r="Q23" s="108">
        <v>3.933857608891967E-3</v>
      </c>
      <c r="R23" s="108"/>
      <c r="S23" s="108">
        <v>2.6942319287881284E-2</v>
      </c>
      <c r="T23" s="108">
        <v>5.3602709095220032E-3</v>
      </c>
    </row>
    <row r="24" spans="1:20">
      <c r="A24" s="40"/>
      <c r="B24" s="40"/>
      <c r="C24" s="4"/>
      <c r="D24" s="4"/>
      <c r="E24" s="4"/>
      <c r="F24" s="4"/>
      <c r="G24" s="4"/>
      <c r="J24" s="31"/>
      <c r="K24" s="31"/>
      <c r="L24" s="31"/>
      <c r="M24" s="31"/>
      <c r="N24" s="31"/>
      <c r="O24" s="31"/>
      <c r="P24" s="31"/>
      <c r="Q24" s="31"/>
      <c r="R24" s="31"/>
      <c r="S24" s="31"/>
      <c r="T24" s="31"/>
    </row>
    <row r="25" spans="1:20">
      <c r="A25" s="40" t="s">
        <v>56</v>
      </c>
      <c r="B25" s="40" t="s">
        <v>55</v>
      </c>
      <c r="C25" s="33">
        <v>0.85311692490977376</v>
      </c>
      <c r="D25" s="33"/>
      <c r="E25" s="33">
        <v>0.67285316453208521</v>
      </c>
      <c r="F25" s="33">
        <v>0.49622709987406649</v>
      </c>
      <c r="G25" s="33"/>
      <c r="H25" s="33">
        <v>0.17054992759683971</v>
      </c>
      <c r="I25" s="33">
        <v>9.0420983011166231E-2</v>
      </c>
      <c r="J25" s="33">
        <v>6.9263721140719839E-2</v>
      </c>
      <c r="K25" s="33">
        <v>7.4478675188857882E-2</v>
      </c>
      <c r="L25" s="33">
        <v>6.750571076718484E-2</v>
      </c>
      <c r="M25" s="33">
        <v>7.37795903207807E-2</v>
      </c>
      <c r="N25" s="33">
        <v>7.9239902189589193E-2</v>
      </c>
      <c r="O25" s="33">
        <v>4.7630772094052497E-2</v>
      </c>
      <c r="P25" s="33">
        <v>5.2043460987553906E-2</v>
      </c>
      <c r="Q25" s="33">
        <v>5.0468323070815481E-2</v>
      </c>
      <c r="R25" s="33"/>
      <c r="S25" s="33">
        <v>1.1184068244332393E-2</v>
      </c>
      <c r="T25" s="33">
        <v>1.4235576508431937E-2</v>
      </c>
    </row>
    <row r="26" spans="1:20">
      <c r="A26" s="39" t="s">
        <v>59</v>
      </c>
      <c r="B26" s="39" t="s">
        <v>60</v>
      </c>
      <c r="C26" s="108">
        <v>0.83813572079397225</v>
      </c>
      <c r="D26" s="108"/>
      <c r="E26" s="108">
        <v>0.65072912216010736</v>
      </c>
      <c r="F26" s="108">
        <v>0.62948537917320213</v>
      </c>
      <c r="G26" s="108"/>
      <c r="H26" s="108">
        <v>0.26226875954352541</v>
      </c>
      <c r="I26" s="108">
        <v>0.10476209941503745</v>
      </c>
      <c r="J26" s="108">
        <v>8.9669674068201186E-2</v>
      </c>
      <c r="K26" s="108">
        <v>0.12572486195575724</v>
      </c>
      <c r="L26" s="108">
        <v>0.12827959700092709</v>
      </c>
      <c r="M26" s="108">
        <v>0.12127990692445514</v>
      </c>
      <c r="N26" s="108">
        <v>0.13658258649507629</v>
      </c>
      <c r="O26" s="108">
        <v>7.3662605013318394E-2</v>
      </c>
      <c r="P26" s="108">
        <v>4.525351097256311E-2</v>
      </c>
      <c r="Q26" s="108">
        <v>0.30828600489075159</v>
      </c>
      <c r="R26" s="108"/>
      <c r="S26" s="108">
        <v>6.3015612317460102E-3</v>
      </c>
      <c r="T26" s="108">
        <v>2.8443857810139157E-2</v>
      </c>
    </row>
    <row r="27" spans="1:20">
      <c r="A27" s="40"/>
      <c r="B27" s="39" t="s">
        <v>61</v>
      </c>
      <c r="C27" s="108">
        <v>0.87791681682474287</v>
      </c>
      <c r="D27" s="108"/>
      <c r="E27" s="108">
        <v>0.68127931366266858</v>
      </c>
      <c r="F27" s="108">
        <v>0.55916687015611266</v>
      </c>
      <c r="G27" s="108"/>
      <c r="H27" s="108">
        <v>0.25252462494644107</v>
      </c>
      <c r="I27" s="108">
        <v>0.13200867082051088</v>
      </c>
      <c r="J27" s="108">
        <v>9.1662783043941695E-2</v>
      </c>
      <c r="K27" s="108">
        <v>0.12578658248572389</v>
      </c>
      <c r="L27" s="108">
        <v>0.11141929345775489</v>
      </c>
      <c r="M27" s="108">
        <v>0.11117364172235648</v>
      </c>
      <c r="N27" s="108">
        <v>0.12575078650725674</v>
      </c>
      <c r="O27" s="108">
        <v>6.4161650982389351E-2</v>
      </c>
      <c r="P27" s="108">
        <v>9.0394086150574149E-2</v>
      </c>
      <c r="Q27" s="108">
        <v>0.13386842894814865</v>
      </c>
      <c r="R27" s="108"/>
      <c r="S27" s="108">
        <v>3.1246865422552427E-3</v>
      </c>
      <c r="T27" s="108">
        <v>3.2133106031112892E-2</v>
      </c>
    </row>
    <row r="28" spans="1:20">
      <c r="A28" s="40"/>
      <c r="B28" s="39" t="s">
        <v>62</v>
      </c>
      <c r="C28" s="108">
        <v>0.89744953439539799</v>
      </c>
      <c r="D28" s="108"/>
      <c r="E28" s="108">
        <v>0.70322448582525154</v>
      </c>
      <c r="F28" s="108">
        <v>0.55621414917058931</v>
      </c>
      <c r="G28" s="108"/>
      <c r="H28" s="108">
        <v>0.20682284277338256</v>
      </c>
      <c r="I28" s="108">
        <v>0.13433473969924489</v>
      </c>
      <c r="J28" s="108">
        <v>0.10834759123079805</v>
      </c>
      <c r="K28" s="108">
        <v>0.11543320163503133</v>
      </c>
      <c r="L28" s="108">
        <v>9.6472330064776415E-2</v>
      </c>
      <c r="M28" s="108">
        <v>0.11144180558133336</v>
      </c>
      <c r="N28" s="108">
        <v>0.11208947533930642</v>
      </c>
      <c r="O28" s="108">
        <v>5.6861606115631166E-2</v>
      </c>
      <c r="P28" s="108">
        <v>0.10072042142816033</v>
      </c>
      <c r="Q28" s="108">
        <v>6.4694770070331503E-2</v>
      </c>
      <c r="R28" s="108"/>
      <c r="S28" s="108">
        <v>4.4046130893771584E-3</v>
      </c>
      <c r="T28" s="108">
        <v>2.1347728277207732E-2</v>
      </c>
    </row>
    <row r="29" spans="1:20">
      <c r="A29" s="40"/>
      <c r="B29" s="39" t="s">
        <v>63</v>
      </c>
      <c r="C29" s="108">
        <v>0.88306439261355951</v>
      </c>
      <c r="D29" s="108"/>
      <c r="E29" s="108">
        <v>0.69026587055833821</v>
      </c>
      <c r="F29" s="108">
        <v>0.50789334119772578</v>
      </c>
      <c r="G29" s="108"/>
      <c r="H29" s="108">
        <v>0.1673394689587317</v>
      </c>
      <c r="I29" s="108">
        <v>0.10910003902746937</v>
      </c>
      <c r="J29" s="108">
        <v>8.1827359934424457E-2</v>
      </c>
      <c r="K29" s="108">
        <v>8.2234704996922425E-2</v>
      </c>
      <c r="L29" s="108">
        <v>7.1733898507439942E-2</v>
      </c>
      <c r="M29" s="108">
        <v>8.5364547397653104E-2</v>
      </c>
      <c r="N29" s="108">
        <v>7.758392781107204E-2</v>
      </c>
      <c r="O29" s="108">
        <v>4.6908428868307137E-2</v>
      </c>
      <c r="P29" s="108">
        <v>6.7046069796399654E-2</v>
      </c>
      <c r="Q29" s="108">
        <v>3.2999623496646209E-2</v>
      </c>
      <c r="R29" s="108"/>
      <c r="S29" s="108">
        <v>7.238634192128471E-3</v>
      </c>
      <c r="T29" s="108">
        <v>1.3854037812843889E-2</v>
      </c>
    </row>
    <row r="30" spans="1:20">
      <c r="A30" s="40"/>
      <c r="B30" s="39" t="s">
        <v>64</v>
      </c>
      <c r="C30" s="108">
        <v>0.87099814003256382</v>
      </c>
      <c r="D30" s="108"/>
      <c r="E30" s="108">
        <v>0.71024556810468964</v>
      </c>
      <c r="F30" s="108">
        <v>0.49505629168302956</v>
      </c>
      <c r="G30" s="108"/>
      <c r="H30" s="108">
        <v>0.14504118541737832</v>
      </c>
      <c r="I30" s="108">
        <v>7.067736773585459E-2</v>
      </c>
      <c r="J30" s="108">
        <v>5.259272138344722E-2</v>
      </c>
      <c r="K30" s="108">
        <v>4.7697204134535418E-2</v>
      </c>
      <c r="L30" s="108">
        <v>4.6588793774502313E-2</v>
      </c>
      <c r="M30" s="108">
        <v>6.7148981540263927E-2</v>
      </c>
      <c r="N30" s="108">
        <v>5.7822576959050798E-2</v>
      </c>
      <c r="O30" s="108">
        <v>3.7055997224197952E-2</v>
      </c>
      <c r="P30" s="108">
        <v>4.1340074817281254E-2</v>
      </c>
      <c r="Q30" s="108">
        <v>1.5143524474235835E-2</v>
      </c>
      <c r="R30" s="108"/>
      <c r="S30" s="108">
        <v>1.2530494622963106E-2</v>
      </c>
      <c r="T30" s="108">
        <v>6.8066895365335835E-3</v>
      </c>
    </row>
    <row r="31" spans="1:20">
      <c r="A31" s="40"/>
      <c r="B31" s="39" t="s">
        <v>65</v>
      </c>
      <c r="C31" s="108">
        <v>0.85751832002221695</v>
      </c>
      <c r="D31" s="108"/>
      <c r="E31" s="108">
        <v>0.70659028795483592</v>
      </c>
      <c r="F31" s="108">
        <v>0.50380885839218359</v>
      </c>
      <c r="G31" s="108"/>
      <c r="H31" s="108">
        <v>0.12450550217480073</v>
      </c>
      <c r="I31" s="108">
        <v>5.3173013665740058E-2</v>
      </c>
      <c r="J31" s="108">
        <v>5.1350574315497909E-2</v>
      </c>
      <c r="K31" s="108">
        <v>3.2922195023594732E-2</v>
      </c>
      <c r="L31" s="108">
        <v>3.8976074827828978E-2</v>
      </c>
      <c r="M31" s="108">
        <v>4.419224037327367E-2</v>
      </c>
      <c r="N31" s="108">
        <v>4.8612362990588742E-2</v>
      </c>
      <c r="O31" s="108">
        <v>4.1696582998679829E-2</v>
      </c>
      <c r="P31" s="108">
        <v>2.0311398496256322E-2</v>
      </c>
      <c r="Q31" s="108">
        <v>4.7663050374844671E-3</v>
      </c>
      <c r="R31" s="108"/>
      <c r="S31" s="108">
        <v>1.7998127673369325E-2</v>
      </c>
      <c r="T31" s="108">
        <v>6.523474888257854E-3</v>
      </c>
    </row>
    <row r="32" spans="1:20">
      <c r="A32" s="40"/>
      <c r="B32" s="39" t="s">
        <v>66</v>
      </c>
      <c r="C32" s="108">
        <v>0.75972388555934045</v>
      </c>
      <c r="D32" s="108"/>
      <c r="E32" s="108">
        <v>0.57835683252694914</v>
      </c>
      <c r="F32" s="108">
        <v>0.36069332320156267</v>
      </c>
      <c r="G32" s="108"/>
      <c r="H32" s="108">
        <v>0.12458802002524241</v>
      </c>
      <c r="I32" s="108">
        <v>4.8813329471688621E-2</v>
      </c>
      <c r="J32" s="108">
        <v>3.0803143300238298E-2</v>
      </c>
      <c r="K32" s="108">
        <v>3.9313606785991544E-2</v>
      </c>
      <c r="L32" s="108">
        <v>3.4623741337542015E-2</v>
      </c>
      <c r="M32" s="108">
        <v>2.3207536562180765E-2</v>
      </c>
      <c r="N32" s="108">
        <v>4.9076845197035472E-2</v>
      </c>
      <c r="O32" s="108">
        <v>3.6735192373661803E-2</v>
      </c>
      <c r="P32" s="108">
        <v>5.2196208369962565E-3</v>
      </c>
      <c r="Q32" s="108">
        <v>4.6554221069582897E-3</v>
      </c>
      <c r="R32" s="108"/>
      <c r="S32" s="108">
        <v>2.0621895648921355E-2</v>
      </c>
      <c r="T32" s="108">
        <v>5.7992295575597244E-3</v>
      </c>
    </row>
    <row r="33" spans="1:22">
      <c r="A33" s="40"/>
      <c r="B33" s="39"/>
      <c r="C33" s="4"/>
      <c r="D33" s="4"/>
      <c r="E33" s="4"/>
      <c r="F33" s="4"/>
      <c r="G33" s="4"/>
      <c r="J33" s="31"/>
      <c r="K33" s="31"/>
      <c r="L33" s="31"/>
      <c r="M33" s="31"/>
      <c r="N33" s="31"/>
      <c r="O33" s="31"/>
      <c r="P33" s="31"/>
      <c r="Q33" s="31"/>
      <c r="R33" s="31"/>
      <c r="S33" s="31"/>
      <c r="T33" s="31"/>
    </row>
    <row r="34" spans="1:22">
      <c r="A34" s="40" t="s">
        <v>57</v>
      </c>
      <c r="B34" s="40" t="s">
        <v>55</v>
      </c>
      <c r="C34" s="33">
        <v>0.83112653099287792</v>
      </c>
      <c r="D34" s="33"/>
      <c r="E34" s="33">
        <v>0.65424399936574362</v>
      </c>
      <c r="F34" s="33">
        <v>0.50865791490467249</v>
      </c>
      <c r="G34" s="33"/>
      <c r="H34" s="33">
        <v>9.0373223486667528E-2</v>
      </c>
      <c r="I34" s="33">
        <v>0.12759930465693378</v>
      </c>
      <c r="J34" s="33">
        <v>0.11887033877168184</v>
      </c>
      <c r="K34" s="33">
        <v>6.7395868722299468E-2</v>
      </c>
      <c r="L34" s="33">
        <v>6.6221148527431231E-2</v>
      </c>
      <c r="M34" s="33">
        <v>5.5386785376908838E-2</v>
      </c>
      <c r="N34" s="33">
        <v>4.765944670053629E-2</v>
      </c>
      <c r="O34" s="33">
        <v>4.7517963070872402E-2</v>
      </c>
      <c r="P34" s="33">
        <v>3.4318781817444043E-2</v>
      </c>
      <c r="Q34" s="33">
        <v>3.3869016127496127E-2</v>
      </c>
      <c r="R34" s="33"/>
      <c r="S34" s="33">
        <v>1.8912004797860635E-2</v>
      </c>
      <c r="T34" s="33">
        <v>1.0106740266670293E-2</v>
      </c>
    </row>
    <row r="35" spans="1:22">
      <c r="A35" s="39" t="s">
        <v>59</v>
      </c>
      <c r="B35" s="39" t="s">
        <v>60</v>
      </c>
      <c r="C35" s="108">
        <v>0.84559527897279751</v>
      </c>
      <c r="D35" s="108"/>
      <c r="E35" s="108">
        <v>0.65710270106350588</v>
      </c>
      <c r="F35" s="108">
        <v>0.59808283171142895</v>
      </c>
      <c r="G35" s="108"/>
      <c r="H35" s="108">
        <v>0.2771612643822981</v>
      </c>
      <c r="I35" s="108">
        <v>0.12112664997632447</v>
      </c>
      <c r="J35" s="108">
        <v>0.11596261749762386</v>
      </c>
      <c r="K35" s="108">
        <v>0.11796805374184192</v>
      </c>
      <c r="L35" s="108">
        <v>0.1006302486545058</v>
      </c>
      <c r="M35" s="108">
        <v>9.555079561207834E-2</v>
      </c>
      <c r="N35" s="108">
        <v>0.10250986510602179</v>
      </c>
      <c r="O35" s="108">
        <v>8.2665423922654732E-2</v>
      </c>
      <c r="P35" s="108">
        <v>1.9088879114515366E-2</v>
      </c>
      <c r="Q35" s="108">
        <v>0.26122874868370055</v>
      </c>
      <c r="R35" s="108"/>
      <c r="S35" s="108">
        <v>8.3678969675755541E-3</v>
      </c>
      <c r="T35" s="108">
        <v>2.7408587613737063E-2</v>
      </c>
    </row>
    <row r="36" spans="1:22">
      <c r="A36" s="39"/>
      <c r="B36" s="39" t="s">
        <v>61</v>
      </c>
      <c r="C36" s="108">
        <v>0.87214698863044571</v>
      </c>
      <c r="D36" s="108"/>
      <c r="E36" s="108">
        <v>0.72595006820911623</v>
      </c>
      <c r="F36" s="108">
        <v>0.60580715892247894</v>
      </c>
      <c r="G36" s="108"/>
      <c r="H36" s="108">
        <v>0.17427838416596189</v>
      </c>
      <c r="I36" s="108">
        <v>0.16018839441678018</v>
      </c>
      <c r="J36" s="108">
        <v>0.15097080359875684</v>
      </c>
      <c r="K36" s="108">
        <v>0.10203591638987912</v>
      </c>
      <c r="L36" s="108">
        <v>9.3164844979483255E-2</v>
      </c>
      <c r="M36" s="108">
        <v>8.8279192373130505E-2</v>
      </c>
      <c r="N36" s="108">
        <v>8.5114900113501354E-2</v>
      </c>
      <c r="O36" s="108">
        <v>5.8644271497450981E-2</v>
      </c>
      <c r="P36" s="108">
        <v>7.1595948072992341E-2</v>
      </c>
      <c r="Q36" s="108">
        <v>9.783415135805118E-2</v>
      </c>
      <c r="R36" s="108"/>
      <c r="S36" s="108">
        <v>7.7768759979971033E-3</v>
      </c>
      <c r="T36" s="108">
        <v>1.4054826806237639E-2</v>
      </c>
    </row>
    <row r="37" spans="1:22">
      <c r="A37" s="39"/>
      <c r="B37" s="39" t="s">
        <v>62</v>
      </c>
      <c r="C37" s="108">
        <v>0.88889939730042167</v>
      </c>
      <c r="D37" s="108"/>
      <c r="E37" s="108">
        <v>0.72262906115543724</v>
      </c>
      <c r="F37" s="108">
        <v>0.60326336537950387</v>
      </c>
      <c r="G37" s="108"/>
      <c r="H37" s="108">
        <v>0.12007971251877902</v>
      </c>
      <c r="I37" s="108">
        <v>0.18098136917184646</v>
      </c>
      <c r="J37" s="108">
        <v>0.17767605886265367</v>
      </c>
      <c r="K37" s="108">
        <v>7.9085207696491702E-2</v>
      </c>
      <c r="L37" s="108">
        <v>8.2267467985503537E-2</v>
      </c>
      <c r="M37" s="108">
        <v>8.6811260904015641E-2</v>
      </c>
      <c r="N37" s="108">
        <v>5.6213692578952874E-2</v>
      </c>
      <c r="O37" s="108">
        <v>5.0228903782015354E-2</v>
      </c>
      <c r="P37" s="108">
        <v>6.2169062543220022E-2</v>
      </c>
      <c r="Q37" s="108">
        <v>3.896762740793451E-2</v>
      </c>
      <c r="R37" s="108"/>
      <c r="S37" s="108">
        <v>8.8979277017704247E-3</v>
      </c>
      <c r="T37" s="108">
        <v>1.5921178118057624E-2</v>
      </c>
    </row>
    <row r="38" spans="1:22">
      <c r="A38" s="39"/>
      <c r="B38" s="39" t="s">
        <v>63</v>
      </c>
      <c r="C38" s="108">
        <v>0.87027737737879074</v>
      </c>
      <c r="D38" s="108"/>
      <c r="E38" s="108">
        <v>0.68619517767420868</v>
      </c>
      <c r="F38" s="108">
        <v>0.54368348091720098</v>
      </c>
      <c r="G38" s="108"/>
      <c r="H38" s="108">
        <v>9.8618698491864734E-2</v>
      </c>
      <c r="I38" s="108">
        <v>0.14749125289256215</v>
      </c>
      <c r="J38" s="108">
        <v>0.14293236783252397</v>
      </c>
      <c r="K38" s="108">
        <v>5.6450843881716582E-2</v>
      </c>
      <c r="L38" s="108">
        <v>7.3260108284212686E-2</v>
      </c>
      <c r="M38" s="108">
        <v>6.3891707200045292E-2</v>
      </c>
      <c r="N38" s="108">
        <v>3.8119510794227596E-2</v>
      </c>
      <c r="O38" s="108">
        <v>3.9997933759609833E-2</v>
      </c>
      <c r="P38" s="108">
        <v>4.5522602324416302E-2</v>
      </c>
      <c r="Q38" s="108">
        <v>2.1214586788690634E-2</v>
      </c>
      <c r="R38" s="108"/>
      <c r="S38" s="108">
        <v>1.1036720690624448E-2</v>
      </c>
      <c r="T38" s="108">
        <v>8.8515349123635279E-3</v>
      </c>
    </row>
    <row r="39" spans="1:22">
      <c r="A39" s="39"/>
      <c r="B39" s="39" t="s">
        <v>64</v>
      </c>
      <c r="C39" s="108">
        <v>0.85683427533450784</v>
      </c>
      <c r="D39" s="108"/>
      <c r="E39" s="108">
        <v>0.69698638604481478</v>
      </c>
      <c r="F39" s="108">
        <v>0.52372366088445832</v>
      </c>
      <c r="G39" s="108"/>
      <c r="H39" s="108">
        <v>5.3552551470893058E-2</v>
      </c>
      <c r="I39" s="108">
        <v>0.10429931654576322</v>
      </c>
      <c r="J39" s="108">
        <v>0.11437691652537245</v>
      </c>
      <c r="K39" s="108">
        <v>4.4734923583695088E-2</v>
      </c>
      <c r="L39" s="108">
        <v>6.5010209525204282E-2</v>
      </c>
      <c r="M39" s="108">
        <v>5.2243047636511782E-2</v>
      </c>
      <c r="N39" s="108">
        <v>2.7147802105049267E-2</v>
      </c>
      <c r="O39" s="108">
        <v>4.0387371387269812E-2</v>
      </c>
      <c r="P39" s="108">
        <v>2.9614132510566965E-2</v>
      </c>
      <c r="Q39" s="108">
        <v>1.0009317039201512E-2</v>
      </c>
      <c r="R39" s="108"/>
      <c r="S39" s="108">
        <v>1.6897841610823472E-2</v>
      </c>
      <c r="T39" s="108">
        <v>7.9251873773902581E-3</v>
      </c>
    </row>
    <row r="40" spans="1:22">
      <c r="A40" s="39"/>
      <c r="B40" s="39" t="s">
        <v>65</v>
      </c>
      <c r="C40" s="108">
        <v>0.82775037809031193</v>
      </c>
      <c r="D40" s="108"/>
      <c r="E40" s="108">
        <v>0.67088024193604745</v>
      </c>
      <c r="F40" s="108">
        <v>0.4858269312336525</v>
      </c>
      <c r="G40" s="108"/>
      <c r="H40" s="108">
        <v>4.8013061728906632E-2</v>
      </c>
      <c r="I40" s="108">
        <v>0.10018957916260388</v>
      </c>
      <c r="J40" s="108">
        <v>0.10058944798438858</v>
      </c>
      <c r="K40" s="108">
        <v>4.8124389414840922E-2</v>
      </c>
      <c r="L40" s="108">
        <v>4.7477237147587018E-2</v>
      </c>
      <c r="M40" s="108">
        <v>3.7243745071085028E-2</v>
      </c>
      <c r="N40" s="108">
        <v>2.616647398375711E-2</v>
      </c>
      <c r="O40" s="108">
        <v>4.0318123130435785E-2</v>
      </c>
      <c r="P40" s="108">
        <v>1.8037397369241256E-2</v>
      </c>
      <c r="Q40" s="108">
        <v>3.1430802110015989E-3</v>
      </c>
      <c r="R40" s="108"/>
      <c r="S40" s="108">
        <v>3.306159772089106E-2</v>
      </c>
      <c r="T40" s="108">
        <v>6.7657552665804834E-3</v>
      </c>
    </row>
    <row r="41" spans="1:22">
      <c r="A41" s="132"/>
      <c r="B41" s="132" t="s">
        <v>66</v>
      </c>
      <c r="C41" s="138">
        <v>0.7176144225793385</v>
      </c>
      <c r="D41" s="138"/>
      <c r="E41" s="138">
        <v>0.50117418049693196</v>
      </c>
      <c r="F41" s="138">
        <v>0.34878498064253749</v>
      </c>
      <c r="G41" s="138"/>
      <c r="H41" s="138">
        <v>3.9051154493522949E-2</v>
      </c>
      <c r="I41" s="138">
        <v>8.9689476903558316E-2</v>
      </c>
      <c r="J41" s="138">
        <v>5.4073076528840101E-2</v>
      </c>
      <c r="K41" s="138">
        <v>6.9066933717317772E-2</v>
      </c>
      <c r="L41" s="138">
        <v>4.1994359016930376E-2</v>
      </c>
      <c r="M41" s="138">
        <v>1.4877022522694324E-2</v>
      </c>
      <c r="N41" s="138">
        <v>4.8588732872942804E-2</v>
      </c>
      <c r="O41" s="138">
        <v>4.8941643079518746E-2</v>
      </c>
      <c r="P41" s="138">
        <v>2.9338124390740038E-3</v>
      </c>
      <c r="Q41" s="138">
        <v>3.3200371006396122E-3</v>
      </c>
      <c r="R41" s="138"/>
      <c r="S41" s="138">
        <v>3.235800990905232E-2</v>
      </c>
      <c r="T41" s="138">
        <v>5.0025048367753544E-3</v>
      </c>
    </row>
    <row r="42" spans="1:22">
      <c r="A42" s="72"/>
      <c r="B42" s="72"/>
      <c r="C42" s="156" t="s">
        <v>146</v>
      </c>
      <c r="D42" s="156"/>
      <c r="E42" s="156"/>
      <c r="F42" s="156"/>
      <c r="G42" s="156"/>
      <c r="H42" s="156"/>
      <c r="I42" s="156"/>
      <c r="J42" s="156"/>
      <c r="K42" s="156"/>
      <c r="L42" s="156"/>
      <c r="M42" s="156"/>
      <c r="N42" s="156"/>
      <c r="O42" s="156"/>
      <c r="P42" s="156"/>
      <c r="Q42" s="156"/>
      <c r="R42" s="156"/>
      <c r="S42" s="156"/>
      <c r="T42" s="156"/>
    </row>
    <row r="43" spans="1:22">
      <c r="A43" s="40" t="s">
        <v>144</v>
      </c>
      <c r="B43" s="40" t="s">
        <v>55</v>
      </c>
      <c r="C43" s="85">
        <v>18427272.1147011</v>
      </c>
      <c r="D43" s="85"/>
      <c r="E43" s="85">
        <v>14528290.296770757</v>
      </c>
      <c r="F43" s="85">
        <v>10998902.390562588</v>
      </c>
      <c r="G43" s="85"/>
      <c r="H43" s="85">
        <v>2841820.5253170524</v>
      </c>
      <c r="I43" s="85">
        <v>2387226.9587205709</v>
      </c>
      <c r="J43" s="85">
        <v>2067171.5385336108</v>
      </c>
      <c r="K43" s="85">
        <v>1555123.0481411831</v>
      </c>
      <c r="L43" s="85">
        <v>1464648.1648398067</v>
      </c>
      <c r="M43" s="85">
        <v>1413061.6758340956</v>
      </c>
      <c r="N43" s="85">
        <v>1382693.929700498</v>
      </c>
      <c r="O43" s="85">
        <v>1044461.4155961196</v>
      </c>
      <c r="P43" s="85">
        <v>942950.30008960806</v>
      </c>
      <c r="Q43" s="85">
        <v>926895.86237571016</v>
      </c>
      <c r="R43" s="85"/>
      <c r="S43" s="85">
        <v>330417.49254978821</v>
      </c>
      <c r="T43" s="85">
        <v>266611.84883181768</v>
      </c>
      <c r="U43" s="49"/>
      <c r="V43" s="49"/>
    </row>
    <row r="44" spans="1:22">
      <c r="A44" s="39" t="s">
        <v>59</v>
      </c>
      <c r="B44" s="39" t="s">
        <v>60</v>
      </c>
      <c r="C44" s="86">
        <v>816985.03464597429</v>
      </c>
      <c r="D44" s="86"/>
      <c r="E44" s="86">
        <v>637450.83144024084</v>
      </c>
      <c r="F44" s="86">
        <v>595250.45124007831</v>
      </c>
      <c r="G44" s="86"/>
      <c r="H44" s="86">
        <v>260219.02334731861</v>
      </c>
      <c r="I44" s="86">
        <v>109345.27984998279</v>
      </c>
      <c r="J44" s="86">
        <v>99485.728611081795</v>
      </c>
      <c r="K44" s="86">
        <v>117625.85054602164</v>
      </c>
      <c r="L44" s="86">
        <v>112681.30493903895</v>
      </c>
      <c r="M44" s="86">
        <v>105797.51288249891</v>
      </c>
      <c r="N44" s="86">
        <v>115876.53370117692</v>
      </c>
      <c r="O44" s="86">
        <v>77977.639439848805</v>
      </c>
      <c r="P44" s="86">
        <v>31218.363443329155</v>
      </c>
      <c r="Q44" s="86">
        <v>279461.59818770294</v>
      </c>
      <c r="R44" s="86"/>
      <c r="S44" s="86">
        <v>6968.8649918633637</v>
      </c>
      <c r="T44" s="86">
        <v>28446.687596281659</v>
      </c>
      <c r="U44" s="49"/>
      <c r="V44" s="49"/>
    </row>
    <row r="45" spans="1:22">
      <c r="A45" s="40"/>
      <c r="B45" s="39" t="s">
        <v>61</v>
      </c>
      <c r="C45" s="86">
        <v>2060811.5649451402</v>
      </c>
      <c r="D45" s="86"/>
      <c r="E45" s="86">
        <v>1656296.0873756546</v>
      </c>
      <c r="F45" s="86">
        <v>1369005.5128887387</v>
      </c>
      <c r="G45" s="86"/>
      <c r="H45" s="86">
        <v>501549.18811607</v>
      </c>
      <c r="I45" s="86">
        <v>339546.53049637721</v>
      </c>
      <c r="J45" s="86">
        <v>282160.53377023252</v>
      </c>
      <c r="K45" s="86">
        <v>270151.63480666443</v>
      </c>
      <c r="L45" s="86">
        <v>241168.69564879654</v>
      </c>
      <c r="M45" s="86">
        <v>235982.49869307806</v>
      </c>
      <c r="N45" s="86">
        <v>246742.63167399555</v>
      </c>
      <c r="O45" s="86">
        <v>143762.33474158408</v>
      </c>
      <c r="P45" s="86">
        <v>190260.4651427677</v>
      </c>
      <c r="Q45" s="86">
        <v>271612.08942065208</v>
      </c>
      <c r="R45" s="86"/>
      <c r="S45" s="86">
        <v>12428.594560923366</v>
      </c>
      <c r="T45" s="86">
        <v>54844.051253160906</v>
      </c>
      <c r="U45" s="49"/>
      <c r="V45" s="49"/>
    </row>
    <row r="46" spans="1:22">
      <c r="A46" s="40"/>
      <c r="B46" s="39" t="s">
        <v>62</v>
      </c>
      <c r="C46" s="86">
        <v>3481225.7254564241</v>
      </c>
      <c r="D46" s="86"/>
      <c r="E46" s="86">
        <v>2780465.1914311247</v>
      </c>
      <c r="F46" s="86">
        <v>2257413.2406966733</v>
      </c>
      <c r="G46" s="86"/>
      <c r="H46" s="86">
        <v>636847.90940475103</v>
      </c>
      <c r="I46" s="86">
        <v>611418.61570443492</v>
      </c>
      <c r="J46" s="86">
        <v>556100.3205282276</v>
      </c>
      <c r="K46" s="86">
        <v>380121.54328691482</v>
      </c>
      <c r="L46" s="86">
        <v>348148.82614194322</v>
      </c>
      <c r="M46" s="86">
        <v>387189.28326609224</v>
      </c>
      <c r="N46" s="86">
        <v>328075.10769012437</v>
      </c>
      <c r="O46" s="86">
        <v>209675.89624503668</v>
      </c>
      <c r="P46" s="86">
        <v>317603.65867083747</v>
      </c>
      <c r="Q46" s="86">
        <v>203136.64657884068</v>
      </c>
      <c r="R46" s="86"/>
      <c r="S46" s="86">
        <v>26783.060063198816</v>
      </c>
      <c r="T46" s="86">
        <v>72208.086025502023</v>
      </c>
      <c r="U46" s="49"/>
      <c r="V46" s="49"/>
    </row>
    <row r="47" spans="1:22">
      <c r="A47" s="40"/>
      <c r="B47" s="39" t="s">
        <v>63</v>
      </c>
      <c r="C47" s="86">
        <v>3258521.5604865877</v>
      </c>
      <c r="D47" s="86"/>
      <c r="E47" s="86">
        <v>2560022.784271664</v>
      </c>
      <c r="F47" s="86">
        <v>1956050.7951004484</v>
      </c>
      <c r="G47" s="86"/>
      <c r="H47" s="86">
        <v>492598.69918556581</v>
      </c>
      <c r="I47" s="86">
        <v>476495.33073718316</v>
      </c>
      <c r="J47" s="86">
        <v>419611.88734459196</v>
      </c>
      <c r="K47" s="86">
        <v>256820.04097047698</v>
      </c>
      <c r="L47" s="86">
        <v>268400.63623545563</v>
      </c>
      <c r="M47" s="86">
        <v>275902.74056733336</v>
      </c>
      <c r="N47" s="86">
        <v>214547.62212579811</v>
      </c>
      <c r="O47" s="86">
        <v>161297.58678640076</v>
      </c>
      <c r="P47" s="86">
        <v>209562.71965362452</v>
      </c>
      <c r="Q47" s="86">
        <v>100704.39781337373</v>
      </c>
      <c r="R47" s="86"/>
      <c r="S47" s="86">
        <v>33890.471517882703</v>
      </c>
      <c r="T47" s="86">
        <v>41942.425203696381</v>
      </c>
      <c r="U47" s="49"/>
      <c r="V47" s="49"/>
    </row>
    <row r="48" spans="1:22">
      <c r="A48" s="40"/>
      <c r="B48" s="39" t="s">
        <v>64</v>
      </c>
      <c r="C48" s="86">
        <v>2868387.6268386291</v>
      </c>
      <c r="D48" s="86"/>
      <c r="E48" s="86">
        <v>2335347.4778472525</v>
      </c>
      <c r="F48" s="86">
        <v>1691034.794125342</v>
      </c>
      <c r="G48" s="86"/>
      <c r="H48" s="86">
        <v>328263.10011559608</v>
      </c>
      <c r="I48" s="86">
        <v>291379.01788375922</v>
      </c>
      <c r="J48" s="86">
        <v>278712.60849386035</v>
      </c>
      <c r="K48" s="86">
        <v>153743.28970519843</v>
      </c>
      <c r="L48" s="86">
        <v>185858.46778253635</v>
      </c>
      <c r="M48" s="86">
        <v>198025.73092980389</v>
      </c>
      <c r="N48" s="86">
        <v>140881.36503085028</v>
      </c>
      <c r="O48" s="86">
        <v>128458.73530344979</v>
      </c>
      <c r="P48" s="86">
        <v>117539.57287850999</v>
      </c>
      <c r="Q48" s="86">
        <v>41986.896424803585</v>
      </c>
      <c r="R48" s="86"/>
      <c r="S48" s="86">
        <v>48733.591457534458</v>
      </c>
      <c r="T48" s="86">
        <v>24372.610542641552</v>
      </c>
      <c r="U48" s="49"/>
      <c r="V48" s="49"/>
    </row>
    <row r="49" spans="1:26">
      <c r="A49" s="40"/>
      <c r="B49" s="39" t="s">
        <v>65</v>
      </c>
      <c r="C49" s="86">
        <v>2580498.3474595565</v>
      </c>
      <c r="D49" s="86"/>
      <c r="E49" s="86">
        <v>2109452.8205610253</v>
      </c>
      <c r="F49" s="86">
        <v>1514734.9861150058</v>
      </c>
      <c r="G49" s="86"/>
      <c r="H49" s="86">
        <v>261845.36771011876</v>
      </c>
      <c r="I49" s="86">
        <v>237345.99434877714</v>
      </c>
      <c r="J49" s="86">
        <v>234464.00416372021</v>
      </c>
      <c r="K49" s="86">
        <v>124875.08004551548</v>
      </c>
      <c r="L49" s="86">
        <v>132454.46444270184</v>
      </c>
      <c r="M49" s="86">
        <v>124673.47773234149</v>
      </c>
      <c r="N49" s="86">
        <v>113940.17402450477</v>
      </c>
      <c r="O49" s="86">
        <v>126099.40024289832</v>
      </c>
      <c r="P49" s="86">
        <v>58536.44635486191</v>
      </c>
      <c r="Q49" s="86">
        <v>12031.539386354898</v>
      </c>
      <c r="R49" s="86"/>
      <c r="S49" s="86">
        <v>78589.480966039482</v>
      </c>
      <c r="T49" s="86">
        <v>20322.036434774491</v>
      </c>
      <c r="U49" s="49"/>
      <c r="V49" s="49"/>
      <c r="Z49"/>
    </row>
    <row r="50" spans="1:26">
      <c r="A50" s="40"/>
      <c r="B50" s="39" t="s">
        <v>66</v>
      </c>
      <c r="C50" s="86">
        <v>3360842.2548689311</v>
      </c>
      <c r="D50" s="86"/>
      <c r="E50" s="86">
        <v>2449255.1038440103</v>
      </c>
      <c r="F50" s="86">
        <v>1615412.6103963484</v>
      </c>
      <c r="G50" s="86"/>
      <c r="H50" s="86">
        <v>360497.23743768252</v>
      </c>
      <c r="I50" s="86">
        <v>321696.18970009015</v>
      </c>
      <c r="J50" s="86">
        <v>196636.45562190437</v>
      </c>
      <c r="K50" s="86">
        <v>251785.60878038348</v>
      </c>
      <c r="L50" s="86">
        <v>175935.76964933373</v>
      </c>
      <c r="M50" s="86">
        <v>85490.431762948123</v>
      </c>
      <c r="N50" s="86">
        <v>222630.4954540453</v>
      </c>
      <c r="O50" s="86">
        <v>197189.82283690191</v>
      </c>
      <c r="P50" s="86">
        <v>18229.073945677028</v>
      </c>
      <c r="Q50" s="86">
        <v>17962.694563983096</v>
      </c>
      <c r="R50" s="86"/>
      <c r="S50" s="86">
        <v>123023.42899234628</v>
      </c>
      <c r="T50" s="86">
        <v>24475.951775760324</v>
      </c>
      <c r="U50" s="49"/>
      <c r="V50" s="49"/>
    </row>
    <row r="51" spans="1:26">
      <c r="A51" s="40"/>
      <c r="B51" s="40"/>
      <c r="C51" s="50"/>
      <c r="D51" s="50"/>
      <c r="E51" s="26"/>
      <c r="F51" s="26"/>
      <c r="G51" s="26"/>
      <c r="J51" s="92"/>
      <c r="K51" s="92"/>
      <c r="L51" s="92"/>
      <c r="M51" s="92"/>
      <c r="N51" s="92"/>
      <c r="O51" s="92"/>
      <c r="P51" s="92"/>
      <c r="Q51" s="92"/>
      <c r="R51" s="92"/>
      <c r="S51" s="92"/>
      <c r="T51" s="92"/>
      <c r="U51" s="49"/>
    </row>
    <row r="52" spans="1:26">
      <c r="A52" s="40" t="s">
        <v>56</v>
      </c>
      <c r="B52" s="40" t="s">
        <v>55</v>
      </c>
      <c r="C52" s="85">
        <v>9148365.7838083506</v>
      </c>
      <c r="D52" s="85"/>
      <c r="E52" s="85">
        <v>7215314.440729809</v>
      </c>
      <c r="F52" s="85">
        <v>5321271.7845991356</v>
      </c>
      <c r="G52" s="85"/>
      <c r="H52" s="85">
        <v>1828885.4393821026</v>
      </c>
      <c r="I52" s="85">
        <v>969625.85428152769</v>
      </c>
      <c r="J52" s="85">
        <v>742746.78891175403</v>
      </c>
      <c r="K52" s="85">
        <v>798669.14349775005</v>
      </c>
      <c r="L52" s="85">
        <v>723894.83382889279</v>
      </c>
      <c r="M52" s="85">
        <v>791172.53441597405</v>
      </c>
      <c r="N52" s="85">
        <v>849725.97393988608</v>
      </c>
      <c r="O52" s="85">
        <v>510766.71082066273</v>
      </c>
      <c r="P52" s="85">
        <v>558086.00658093486</v>
      </c>
      <c r="Q52" s="85">
        <v>541195.07709457749</v>
      </c>
      <c r="R52" s="85"/>
      <c r="S52" s="85">
        <v>119931.91585203751</v>
      </c>
      <c r="T52" s="85">
        <v>152654.64467991667</v>
      </c>
      <c r="U52" s="49"/>
      <c r="V52" s="49"/>
    </row>
    <row r="53" spans="1:26">
      <c r="A53" s="39" t="s">
        <v>59</v>
      </c>
      <c r="B53" s="39" t="s">
        <v>60</v>
      </c>
      <c r="C53" s="86">
        <v>415858.97218223219</v>
      </c>
      <c r="D53" s="86"/>
      <c r="E53" s="86">
        <v>322873.17816999392</v>
      </c>
      <c r="F53" s="86">
        <v>312332.64051641553</v>
      </c>
      <c r="G53" s="86"/>
      <c r="H53" s="86">
        <v>130130.2570375591</v>
      </c>
      <c r="I53" s="86">
        <v>51979.95730944346</v>
      </c>
      <c r="J53" s="86">
        <v>44491.527528015227</v>
      </c>
      <c r="K53" s="86">
        <v>62381.08050226685</v>
      </c>
      <c r="L53" s="86">
        <v>63648.666960789138</v>
      </c>
      <c r="M53" s="86">
        <v>60175.620950963559</v>
      </c>
      <c r="N53" s="86">
        <v>67768.372864512974</v>
      </c>
      <c r="O53" s="86">
        <v>36549.277699422259</v>
      </c>
      <c r="P53" s="86">
        <v>22453.497797301858</v>
      </c>
      <c r="Q53" s="86">
        <v>152962.69798713078</v>
      </c>
      <c r="R53" s="86"/>
      <c r="S53" s="86">
        <v>3126.6544450519541</v>
      </c>
      <c r="T53" s="86">
        <v>14113.028690170459</v>
      </c>
      <c r="U53" s="49"/>
      <c r="V53" s="49"/>
    </row>
    <row r="54" spans="1:26">
      <c r="A54" s="40"/>
      <c r="B54" s="39" t="s">
        <v>61</v>
      </c>
      <c r="C54" s="86">
        <v>1051968.609146964</v>
      </c>
      <c r="D54" s="86"/>
      <c r="E54" s="86">
        <v>816346.64959081914</v>
      </c>
      <c r="F54" s="86">
        <v>670024.74882152025</v>
      </c>
      <c r="G54" s="86"/>
      <c r="H54" s="86">
        <v>302589.00773887016</v>
      </c>
      <c r="I54" s="86">
        <v>158180.10906848186</v>
      </c>
      <c r="J54" s="86">
        <v>109835.42921302156</v>
      </c>
      <c r="K54" s="86">
        <v>150724.45781987152</v>
      </c>
      <c r="L54" s="86">
        <v>133508.77546100158</v>
      </c>
      <c r="M54" s="86">
        <v>133214.42193061102</v>
      </c>
      <c r="N54" s="86">
        <v>150681.56509363654</v>
      </c>
      <c r="O54" s="86">
        <v>76882.047878564772</v>
      </c>
      <c r="P54" s="86">
        <v>108315.20624796661</v>
      </c>
      <c r="Q54" s="86">
        <v>160408.5743779366</v>
      </c>
      <c r="R54" s="86"/>
      <c r="S54" s="86">
        <v>3744.1726743146291</v>
      </c>
      <c r="T54" s="86">
        <v>38503.669381093307</v>
      </c>
      <c r="U54" s="49"/>
      <c r="V54" s="49"/>
    </row>
    <row r="55" spans="1:26">
      <c r="A55" s="40"/>
      <c r="B55" s="39" t="s">
        <v>62</v>
      </c>
      <c r="C55" s="86">
        <v>1741925.8338943871</v>
      </c>
      <c r="D55" s="86"/>
      <c r="E55" s="86">
        <v>1364940.1464243317</v>
      </c>
      <c r="F55" s="86">
        <v>1079596.9672774551</v>
      </c>
      <c r="G55" s="86"/>
      <c r="H55" s="86">
        <v>401437.67316024308</v>
      </c>
      <c r="I55" s="86">
        <v>260740.18037040561</v>
      </c>
      <c r="J55" s="86">
        <v>210299.81182429803</v>
      </c>
      <c r="K55" s="86">
        <v>224052.7944032682</v>
      </c>
      <c r="L55" s="86">
        <v>187250.24366861148</v>
      </c>
      <c r="M55" s="86">
        <v>216305.60012350898</v>
      </c>
      <c r="N55" s="86">
        <v>217562.71001103648</v>
      </c>
      <c r="O55" s="86">
        <v>110366.87507590388</v>
      </c>
      <c r="P55" s="86">
        <v>195495.6767620804</v>
      </c>
      <c r="Q55" s="86">
        <v>125570.8393445078</v>
      </c>
      <c r="R55" s="86"/>
      <c r="S55" s="86">
        <v>8549.2376280125045</v>
      </c>
      <c r="T55" s="86">
        <v>41435.376537442608</v>
      </c>
      <c r="U55" s="49"/>
      <c r="V55" s="49"/>
    </row>
    <row r="56" spans="1:26">
      <c r="A56" s="40"/>
      <c r="B56" s="39" t="s">
        <v>63</v>
      </c>
      <c r="C56" s="86">
        <v>1619636.4799032484</v>
      </c>
      <c r="D56" s="86"/>
      <c r="E56" s="86">
        <v>1266022.947069162</v>
      </c>
      <c r="F56" s="86">
        <v>931531.82280305773</v>
      </c>
      <c r="G56" s="86"/>
      <c r="H56" s="86">
        <v>306918.85067525873</v>
      </c>
      <c r="I56" s="86">
        <v>200101.37952089842</v>
      </c>
      <c r="J56" s="86">
        <v>150080.30933250918</v>
      </c>
      <c r="K56" s="86">
        <v>150827.42463763154</v>
      </c>
      <c r="L56" s="86">
        <v>131567.79940414836</v>
      </c>
      <c r="M56" s="86">
        <v>156567.89721355354</v>
      </c>
      <c r="N56" s="86">
        <v>142297.39166029531</v>
      </c>
      <c r="O56" s="86">
        <v>86035.178459861607</v>
      </c>
      <c r="P56" s="86">
        <v>122969.80988555016</v>
      </c>
      <c r="Q56" s="86">
        <v>60524.911303529225</v>
      </c>
      <c r="R56" s="86"/>
      <c r="S56" s="86">
        <v>13276.445183739626</v>
      </c>
      <c r="T56" s="86">
        <v>25409.817475745913</v>
      </c>
      <c r="U56" s="49"/>
      <c r="V56" s="49"/>
    </row>
    <row r="57" spans="1:26">
      <c r="A57" s="40"/>
      <c r="B57" s="39" t="s">
        <v>64</v>
      </c>
      <c r="C57" s="86">
        <v>1420356.8970498072</v>
      </c>
      <c r="D57" s="86"/>
      <c r="E57" s="86">
        <v>1158213.9443131746</v>
      </c>
      <c r="F57" s="86">
        <v>807299.79319313285</v>
      </c>
      <c r="G57" s="86"/>
      <c r="H57" s="86">
        <v>236522.0298359663</v>
      </c>
      <c r="I57" s="86">
        <v>115255.22514341239</v>
      </c>
      <c r="J57" s="86">
        <v>85764.172296401608</v>
      </c>
      <c r="K57" s="86">
        <v>77780.938613654347</v>
      </c>
      <c r="L57" s="86">
        <v>75973.428095232783</v>
      </c>
      <c r="M57" s="86">
        <v>109501.40382276622</v>
      </c>
      <c r="N57" s="86">
        <v>94292.619253940706</v>
      </c>
      <c r="O57" s="86">
        <v>60428.075348680199</v>
      </c>
      <c r="P57" s="86">
        <v>67414.220183162746</v>
      </c>
      <c r="Q57" s="86">
        <v>24694.897088780537</v>
      </c>
      <c r="R57" s="86"/>
      <c r="S57" s="86">
        <v>20433.768619191047</v>
      </c>
      <c r="T57" s="86">
        <v>11099.826721708932</v>
      </c>
      <c r="U57" s="49"/>
      <c r="V57" s="49"/>
    </row>
    <row r="58" spans="1:26">
      <c r="A58" s="40"/>
      <c r="B58" s="39" t="s">
        <v>65</v>
      </c>
      <c r="C58" s="86">
        <v>1279916.6573854003</v>
      </c>
      <c r="D58" s="86"/>
      <c r="E58" s="86">
        <v>1054644.1497328128</v>
      </c>
      <c r="F58" s="86">
        <v>751976.17932847375</v>
      </c>
      <c r="G58" s="86"/>
      <c r="H58" s="86">
        <v>185834.70749118569</v>
      </c>
      <c r="I58" s="86">
        <v>79365.09847672873</v>
      </c>
      <c r="J58" s="86">
        <v>76644.957778872704</v>
      </c>
      <c r="K58" s="86">
        <v>49139.085223622875</v>
      </c>
      <c r="L58" s="86">
        <v>58174.999002173659</v>
      </c>
      <c r="M58" s="86">
        <v>65960.555314395067</v>
      </c>
      <c r="N58" s="86">
        <v>72557.95205040992</v>
      </c>
      <c r="O58" s="86">
        <v>62235.58131642075</v>
      </c>
      <c r="P58" s="86">
        <v>30316.433670452308</v>
      </c>
      <c r="Q58" s="86">
        <v>7114.1024852953115</v>
      </c>
      <c r="R58" s="86"/>
      <c r="S58" s="86">
        <v>26863.686609398279</v>
      </c>
      <c r="T58" s="86">
        <v>9736.8230841998429</v>
      </c>
      <c r="U58" s="49"/>
      <c r="V58" s="49"/>
    </row>
    <row r="59" spans="1:26">
      <c r="A59" s="40"/>
      <c r="B59" s="39" t="s">
        <v>66</v>
      </c>
      <c r="C59" s="86">
        <v>1618702.3342462354</v>
      </c>
      <c r="D59" s="86"/>
      <c r="E59" s="86">
        <v>1232273.4254292548</v>
      </c>
      <c r="F59" s="86">
        <v>768509.63265890058</v>
      </c>
      <c r="G59" s="86"/>
      <c r="H59" s="86">
        <v>265452.91344301763</v>
      </c>
      <c r="I59" s="86">
        <v>104003.90439215866</v>
      </c>
      <c r="J59" s="86">
        <v>65630.580938635598</v>
      </c>
      <c r="K59" s="86">
        <v>83763.362297436412</v>
      </c>
      <c r="L59" s="86">
        <v>73770.921236936061</v>
      </c>
      <c r="M59" s="86">
        <v>49447.035060177332</v>
      </c>
      <c r="N59" s="86">
        <v>104565.36300605428</v>
      </c>
      <c r="O59" s="86">
        <v>78269.675041810056</v>
      </c>
      <c r="P59" s="86">
        <v>11121.162034422037</v>
      </c>
      <c r="Q59" s="86">
        <v>9919.0545073974899</v>
      </c>
      <c r="R59" s="86"/>
      <c r="S59" s="86">
        <v>43937.950692329505</v>
      </c>
      <c r="T59" s="86">
        <v>12356.102789555473</v>
      </c>
      <c r="U59" s="49"/>
      <c r="V59" s="49"/>
    </row>
    <row r="60" spans="1:26">
      <c r="A60" s="40"/>
      <c r="B60" s="39"/>
      <c r="C60" s="50"/>
      <c r="D60" s="50"/>
      <c r="E60" s="26"/>
      <c r="F60" s="26"/>
      <c r="G60" s="26"/>
      <c r="J60" s="92"/>
      <c r="K60" s="92"/>
      <c r="L60" s="92"/>
      <c r="M60" s="92"/>
      <c r="N60" s="92"/>
      <c r="O60" s="92"/>
      <c r="P60" s="92"/>
      <c r="Q60" s="92"/>
      <c r="R60" s="92"/>
      <c r="S60" s="92"/>
      <c r="T60" s="92"/>
      <c r="U60" s="49"/>
    </row>
    <row r="61" spans="1:26">
      <c r="A61" s="40" t="s">
        <v>57</v>
      </c>
      <c r="B61" s="40" t="s">
        <v>55</v>
      </c>
      <c r="C61" s="85">
        <v>9174378.5255314577</v>
      </c>
      <c r="D61" s="85"/>
      <c r="E61" s="85">
        <v>7221863.1873879256</v>
      </c>
      <c r="F61" s="85">
        <v>5614813.2412139587</v>
      </c>
      <c r="G61" s="85"/>
      <c r="H61" s="85">
        <v>997583.55668018328</v>
      </c>
      <c r="I61" s="85">
        <v>1408503.130225969</v>
      </c>
      <c r="J61" s="85">
        <v>1312148.56304342</v>
      </c>
      <c r="K61" s="85">
        <v>743948.34920833481</v>
      </c>
      <c r="L61" s="85">
        <v>730981.21685553598</v>
      </c>
      <c r="M61" s="85">
        <v>611386.25156521029</v>
      </c>
      <c r="N61" s="85">
        <v>526088.13224355853</v>
      </c>
      <c r="O61" s="85">
        <v>524526.36718697683</v>
      </c>
      <c r="P61" s="85">
        <v>378827.39052046469</v>
      </c>
      <c r="Q61" s="85">
        <v>373862.65827632655</v>
      </c>
      <c r="R61" s="85"/>
      <c r="S61" s="85">
        <v>208759.89903121899</v>
      </c>
      <c r="T61" s="85">
        <v>111563.11031834764</v>
      </c>
      <c r="U61" s="49"/>
      <c r="V61" s="49"/>
    </row>
    <row r="62" spans="1:26">
      <c r="A62" s="39" t="s">
        <v>59</v>
      </c>
      <c r="B62" s="39" t="s">
        <v>60</v>
      </c>
      <c r="C62" s="86">
        <v>388264.23315110971</v>
      </c>
      <c r="D62" s="86"/>
      <c r="E62" s="86">
        <v>301715.82395761274</v>
      </c>
      <c r="F62" s="86">
        <v>274616.21154906234</v>
      </c>
      <c r="G62" s="86"/>
      <c r="H62" s="86">
        <v>127261.59718548614</v>
      </c>
      <c r="I62" s="86">
        <v>55616.61356996934</v>
      </c>
      <c r="J62" s="86">
        <v>53245.492112496519</v>
      </c>
      <c r="K62" s="86">
        <v>54166.309890051562</v>
      </c>
      <c r="L62" s="86">
        <v>46205.468853976519</v>
      </c>
      <c r="M62" s="86">
        <v>43873.18296096527</v>
      </c>
      <c r="N62" s="86">
        <v>47068.515110635606</v>
      </c>
      <c r="O62" s="86">
        <v>37956.724955264865</v>
      </c>
      <c r="P62" s="86">
        <v>8764.8656460272978</v>
      </c>
      <c r="Q62" s="86">
        <v>119946.00999654325</v>
      </c>
      <c r="R62" s="86"/>
      <c r="S62" s="86">
        <v>3842.2105468114096</v>
      </c>
      <c r="T62" s="86">
        <v>12584.949935541168</v>
      </c>
      <c r="U62" s="49"/>
      <c r="V62" s="49"/>
    </row>
    <row r="63" spans="1:26">
      <c r="A63" s="39"/>
      <c r="B63" s="39" t="s">
        <v>61</v>
      </c>
      <c r="C63" s="86">
        <v>973924.79941210535</v>
      </c>
      <c r="D63" s="86"/>
      <c r="E63" s="86">
        <v>810666.99051959137</v>
      </c>
      <c r="F63" s="86">
        <v>676503.64379804966</v>
      </c>
      <c r="G63" s="86"/>
      <c r="H63" s="86">
        <v>194616.32334159393</v>
      </c>
      <c r="I63" s="86">
        <v>178882.05994438913</v>
      </c>
      <c r="J63" s="86">
        <v>168588.79469720478</v>
      </c>
      <c r="K63" s="86">
        <v>113943.3039365244</v>
      </c>
      <c r="L63" s="86">
        <v>104036.99621939581</v>
      </c>
      <c r="M63" s="86">
        <v>98581.197716770301</v>
      </c>
      <c r="N63" s="86">
        <v>95047.63887357575</v>
      </c>
      <c r="O63" s="86">
        <v>65487.940793688089</v>
      </c>
      <c r="P63" s="86">
        <v>79951.052144554065</v>
      </c>
      <c r="Q63" s="86">
        <v>109251.20132177375</v>
      </c>
      <c r="R63" s="86"/>
      <c r="S63" s="86">
        <v>8684.4218866087376</v>
      </c>
      <c r="T63" s="86">
        <v>15694.997009084471</v>
      </c>
      <c r="U63" s="49"/>
      <c r="V63" s="49"/>
    </row>
    <row r="64" spans="1:26">
      <c r="A64" s="39"/>
      <c r="B64" s="39" t="s">
        <v>62</v>
      </c>
      <c r="C64" s="86">
        <v>1718079.0714358373</v>
      </c>
      <c r="D64" s="86"/>
      <c r="E64" s="86">
        <v>1396709.0878371727</v>
      </c>
      <c r="F64" s="86">
        <v>1165997.1485751672</v>
      </c>
      <c r="G64" s="86"/>
      <c r="H64" s="86">
        <v>232092.0023223063</v>
      </c>
      <c r="I64" s="86">
        <v>349803.70516424574</v>
      </c>
      <c r="J64" s="86">
        <v>343415.14816435165</v>
      </c>
      <c r="K64" s="86">
        <v>152857.16315721293</v>
      </c>
      <c r="L64" s="86">
        <v>159007.88709629641</v>
      </c>
      <c r="M64" s="86">
        <v>167790.20323009352</v>
      </c>
      <c r="N64" s="86">
        <v>108650.7303766187</v>
      </c>
      <c r="O64" s="86">
        <v>97083.23420077542</v>
      </c>
      <c r="P64" s="86">
        <v>120161.36535886621</v>
      </c>
      <c r="Q64" s="86">
        <v>75317.257854383352</v>
      </c>
      <c r="R64" s="86"/>
      <c r="S64" s="86">
        <v>17198.05796920152</v>
      </c>
      <c r="T64" s="86">
        <v>30772.709488059452</v>
      </c>
      <c r="U64" s="49"/>
      <c r="V64" s="49"/>
    </row>
    <row r="65" spans="1:23">
      <c r="A65" s="39"/>
      <c r="B65" s="39" t="s">
        <v>63</v>
      </c>
      <c r="C65" s="86">
        <v>1625475.6533374176</v>
      </c>
      <c r="D65" s="86"/>
      <c r="E65" s="86">
        <v>1281652.9347303617</v>
      </c>
      <c r="F65" s="86">
        <v>1015474.2434123924</v>
      </c>
      <c r="G65" s="86"/>
      <c r="H65" s="86">
        <v>184196.78315110056</v>
      </c>
      <c r="I65" s="86">
        <v>275479.34358489333</v>
      </c>
      <c r="J65" s="86">
        <v>266964.407009413</v>
      </c>
      <c r="K65" s="86">
        <v>105437.04194225337</v>
      </c>
      <c r="L65" s="86">
        <v>136832.83683130782</v>
      </c>
      <c r="M65" s="86">
        <v>119334.84335378015</v>
      </c>
      <c r="N65" s="86">
        <v>71198.376889648323</v>
      </c>
      <c r="O65" s="86">
        <v>74706.833935946706</v>
      </c>
      <c r="P65" s="86">
        <v>85025.629389298847</v>
      </c>
      <c r="Q65" s="86">
        <v>39623.912119251938</v>
      </c>
      <c r="R65" s="86"/>
      <c r="S65" s="86">
        <v>20614.026334143084</v>
      </c>
      <c r="T65" s="86">
        <v>16532.607727950475</v>
      </c>
      <c r="U65" s="49"/>
      <c r="V65" s="49"/>
    </row>
    <row r="66" spans="1:23">
      <c r="A66" s="39"/>
      <c r="B66" s="39" t="s">
        <v>64</v>
      </c>
      <c r="C66" s="86">
        <v>1434991.4475618792</v>
      </c>
      <c r="D66" s="86"/>
      <c r="E66" s="86">
        <v>1167284.6568269057</v>
      </c>
      <c r="F66" s="86">
        <v>877111.24063237885</v>
      </c>
      <c r="G66" s="86"/>
      <c r="H66" s="86">
        <v>89687.650888904565</v>
      </c>
      <c r="I66" s="86">
        <v>174676.28401220156</v>
      </c>
      <c r="J66" s="86">
        <v>191553.84155043538</v>
      </c>
      <c r="K66" s="86">
        <v>74920.243736602686</v>
      </c>
      <c r="L66" s="86">
        <v>108876.47396744711</v>
      </c>
      <c r="M66" s="86">
        <v>87494.546741485843</v>
      </c>
      <c r="N66" s="86">
        <v>45466.042806981932</v>
      </c>
      <c r="O66" s="86">
        <v>67639.138861026193</v>
      </c>
      <c r="P66" s="86">
        <v>49596.553386052816</v>
      </c>
      <c r="Q66" s="86">
        <v>16763.200026728784</v>
      </c>
      <c r="R66" s="86"/>
      <c r="S66" s="86">
        <v>28299.822838343407</v>
      </c>
      <c r="T66" s="86">
        <v>13272.783820932618</v>
      </c>
      <c r="U66" s="49"/>
      <c r="V66" s="49"/>
    </row>
    <row r="67" spans="1:23">
      <c r="A67" s="39"/>
      <c r="B67" s="39" t="s">
        <v>65</v>
      </c>
      <c r="C67" s="86">
        <v>1295038.6184354541</v>
      </c>
      <c r="D67" s="86"/>
      <c r="E67" s="86">
        <v>1049610.9028146039</v>
      </c>
      <c r="F67" s="86">
        <v>760089.82233883138</v>
      </c>
      <c r="G67" s="86"/>
      <c r="H67" s="86">
        <v>75117.777984844826</v>
      </c>
      <c r="I67" s="86">
        <v>156749.39887035816</v>
      </c>
      <c r="J67" s="86">
        <v>157375.0048262433</v>
      </c>
      <c r="K67" s="86">
        <v>75291.953263288771</v>
      </c>
      <c r="L67" s="86">
        <v>74279.465440528234</v>
      </c>
      <c r="M67" s="86">
        <v>58268.880859342637</v>
      </c>
      <c r="N67" s="86">
        <v>40938.180415490977</v>
      </c>
      <c r="O67" s="86">
        <v>63078.831322567283</v>
      </c>
      <c r="P67" s="86">
        <v>28220.012684409652</v>
      </c>
      <c r="Q67" s="86">
        <v>4917.4369010595883</v>
      </c>
      <c r="R67" s="86"/>
      <c r="S67" s="86">
        <v>51725.79435664125</v>
      </c>
      <c r="T67" s="86">
        <v>10585.213350574653</v>
      </c>
      <c r="U67" s="49"/>
      <c r="V67" s="49"/>
    </row>
    <row r="68" spans="1:23">
      <c r="A68" s="39"/>
      <c r="B68" s="39" t="s">
        <v>66</v>
      </c>
      <c r="C68" s="86">
        <v>1738604.7021976614</v>
      </c>
      <c r="D68" s="86"/>
      <c r="E68" s="86">
        <v>1214222.7907016331</v>
      </c>
      <c r="F68" s="86">
        <v>845020.93090805085</v>
      </c>
      <c r="G68" s="86"/>
      <c r="H68" s="86">
        <v>94611.421805949009</v>
      </c>
      <c r="I68" s="86">
        <v>217295.72507990547</v>
      </c>
      <c r="J68" s="86">
        <v>131005.8746832692</v>
      </c>
      <c r="K68" s="86">
        <v>167332.33328239998</v>
      </c>
      <c r="L68" s="86">
        <v>101742.08844658478</v>
      </c>
      <c r="M68" s="86">
        <v>36043.396702770755</v>
      </c>
      <c r="N68" s="86">
        <v>117718.64777060668</v>
      </c>
      <c r="O68" s="86">
        <v>118573.66311770785</v>
      </c>
      <c r="P68" s="86">
        <v>7107.9119112549915</v>
      </c>
      <c r="Q68" s="86">
        <v>8043.6400565856102</v>
      </c>
      <c r="R68" s="86"/>
      <c r="S68" s="86">
        <v>78395.565099469692</v>
      </c>
      <c r="T68" s="86">
        <v>12119.848986204852</v>
      </c>
      <c r="U68" s="49"/>
      <c r="V68" s="49"/>
    </row>
    <row r="69" spans="1:23">
      <c r="A69" s="132"/>
      <c r="B69" s="132"/>
      <c r="C69" s="133"/>
      <c r="D69" s="133"/>
      <c r="E69" s="133"/>
      <c r="F69" s="133"/>
      <c r="G69" s="133"/>
      <c r="H69" s="133"/>
      <c r="I69" s="133"/>
      <c r="J69" s="133"/>
      <c r="K69" s="133"/>
      <c r="L69" s="133"/>
      <c r="M69" s="133"/>
      <c r="N69" s="133"/>
      <c r="O69" s="133"/>
      <c r="P69" s="133"/>
      <c r="Q69" s="133"/>
      <c r="R69" s="133"/>
      <c r="S69" s="133"/>
      <c r="T69" s="133"/>
    </row>
    <row r="70" spans="1:23">
      <c r="A70" s="29" t="s">
        <v>147</v>
      </c>
    </row>
    <row r="71" spans="1:23">
      <c r="A71" s="16" t="s">
        <v>119</v>
      </c>
    </row>
    <row r="72" spans="1:23" ht="15" customHeight="1">
      <c r="A72" s="16" t="s">
        <v>120</v>
      </c>
      <c r="B72" s="29"/>
      <c r="C72" s="2"/>
      <c r="G72" s="2"/>
      <c r="K72" s="2"/>
      <c r="O72" s="2"/>
      <c r="S72" s="2"/>
      <c r="W72" s="2"/>
    </row>
    <row r="73" spans="1:23">
      <c r="A73" s="29" t="s">
        <v>118</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F4D24F2-A99B-4AF2-8F80-3781BF9B4097}">
            <xm:f>C43&lt;'34'!$C$104</xm:f>
            <x14:dxf>
              <font>
                <color rgb="FFFF0000"/>
              </font>
              <numFmt numFmtId="172" formatCode="\*\*0.0%"/>
            </x14:dxf>
          </x14:cfRule>
          <x14:cfRule type="expression" priority="4" id="{5B528426-00C5-4431-B0A0-3255B0C2C3CC}">
            <xm:f>C43&lt;'34'!$C$103</xm:f>
            <x14:dxf>
              <font>
                <color rgb="FF00B050"/>
              </font>
              <numFmt numFmtId="171" formatCode="\*0.0%"/>
            </x14:dxf>
          </x14:cfRule>
          <xm:sqref>C16:T41</xm:sqref>
        </x14:conditionalFormatting>
        <x14:conditionalFormatting xmlns:xm="http://schemas.microsoft.com/office/excel/2006/main">
          <x14:cfRule type="expression" priority="1" id="{4C3D6742-DA05-4932-8430-03B9F3E97622}">
            <xm:f>C43&lt;'34'!$C$104</xm:f>
            <x14:dxf>
              <font>
                <color rgb="FFFF0000"/>
              </font>
              <numFmt numFmtId="170" formatCode="\*\*#,###,###,##0"/>
            </x14:dxf>
          </x14:cfRule>
          <x14:cfRule type="expression" priority="2" id="{4099D477-CE5D-42B1-B403-D5BB460192D2}">
            <xm:f>C43&lt;'34'!$C$103</xm:f>
            <x14:dxf>
              <font>
                <color rgb="FF00B050"/>
              </font>
              <numFmt numFmtId="169"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W73"/>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4" width="16.7109375" style="1" customWidth="1"/>
    <col min="15" max="16384" width="8.85546875" style="1"/>
  </cols>
  <sheetData>
    <row r="1" spans="1:15">
      <c r="A1" s="34"/>
      <c r="B1" s="34"/>
      <c r="C1" s="34"/>
      <c r="D1" s="34"/>
      <c r="E1" s="34"/>
      <c r="F1" s="34"/>
      <c r="G1" s="34"/>
      <c r="H1" s="34"/>
      <c r="I1" s="34"/>
      <c r="J1" s="34"/>
      <c r="K1" s="34"/>
      <c r="L1" s="34"/>
      <c r="M1" s="34"/>
      <c r="N1" s="34"/>
    </row>
    <row r="2" spans="1:15">
      <c r="A2" s="34"/>
      <c r="B2" s="34"/>
      <c r="C2" s="34"/>
      <c r="D2" s="34"/>
      <c r="E2" s="34"/>
      <c r="F2" s="34"/>
      <c r="G2" s="34"/>
      <c r="H2" s="34"/>
      <c r="I2" s="34"/>
      <c r="J2" s="34"/>
      <c r="K2" s="34"/>
      <c r="L2" s="34"/>
      <c r="M2" s="34"/>
      <c r="N2" s="34"/>
    </row>
    <row r="3" spans="1:15">
      <c r="A3" s="34"/>
      <c r="B3" s="34"/>
      <c r="C3" s="34"/>
      <c r="D3" s="34"/>
      <c r="E3" s="34"/>
      <c r="F3" s="34"/>
      <c r="G3" s="34"/>
      <c r="H3" s="34"/>
      <c r="I3" s="34"/>
      <c r="J3" s="34"/>
      <c r="K3" s="34"/>
      <c r="L3" s="34"/>
      <c r="M3" s="34"/>
      <c r="N3" s="34"/>
    </row>
    <row r="4" spans="1:15">
      <c r="A4" s="34"/>
      <c r="B4" s="34"/>
      <c r="C4" s="34"/>
      <c r="D4" s="34"/>
      <c r="E4" s="34"/>
      <c r="F4" s="34"/>
      <c r="G4" s="34"/>
      <c r="H4" s="34"/>
      <c r="I4" s="34"/>
      <c r="J4" s="34"/>
      <c r="K4" s="34"/>
      <c r="L4" s="34"/>
      <c r="M4" s="34"/>
      <c r="N4" s="34"/>
    </row>
    <row r="5" spans="1:15">
      <c r="A5" s="34"/>
      <c r="B5" s="34"/>
      <c r="C5" s="34"/>
      <c r="D5" s="34"/>
      <c r="E5" s="34"/>
      <c r="F5" s="34"/>
      <c r="G5" s="34"/>
      <c r="H5" s="34"/>
      <c r="I5" s="34"/>
      <c r="J5" s="34"/>
      <c r="K5" s="34"/>
      <c r="L5" s="34"/>
      <c r="M5" s="34"/>
      <c r="N5" s="34"/>
    </row>
    <row r="6" spans="1:15">
      <c r="A6" s="34"/>
      <c r="B6" s="34"/>
      <c r="C6" s="34"/>
      <c r="D6" s="34"/>
      <c r="E6" s="34"/>
      <c r="F6" s="34"/>
      <c r="G6" s="34"/>
      <c r="H6" s="34"/>
      <c r="I6" s="34"/>
      <c r="J6" s="34"/>
      <c r="K6" s="34"/>
      <c r="L6" s="34"/>
      <c r="M6" s="34"/>
      <c r="N6" s="34"/>
    </row>
    <row r="7" spans="1:15">
      <c r="A7" s="34"/>
      <c r="B7" s="34"/>
      <c r="C7" s="34"/>
      <c r="D7" s="34"/>
      <c r="E7" s="34"/>
      <c r="F7" s="34"/>
      <c r="G7" s="34"/>
      <c r="H7" s="34"/>
      <c r="I7" s="34"/>
      <c r="J7" s="34"/>
      <c r="K7" s="34"/>
      <c r="L7" s="34"/>
      <c r="M7" s="34"/>
      <c r="N7" s="34"/>
    </row>
    <row r="8" spans="1:15">
      <c r="A8" s="35" t="s">
        <v>0</v>
      </c>
      <c r="B8" s="34"/>
      <c r="C8" s="34"/>
      <c r="D8" s="34"/>
      <c r="E8" s="34"/>
      <c r="F8" s="34"/>
      <c r="G8" s="34"/>
      <c r="H8" s="34"/>
      <c r="I8" s="34"/>
      <c r="J8" s="34"/>
      <c r="K8" s="34"/>
      <c r="L8" s="34"/>
      <c r="M8" s="34"/>
      <c r="N8" s="34"/>
    </row>
    <row r="9" spans="1:15">
      <c r="A9" s="34" t="s">
        <v>1</v>
      </c>
      <c r="B9" s="34"/>
      <c r="C9" s="35" t="s">
        <v>2</v>
      </c>
      <c r="D9" s="35"/>
      <c r="E9" s="34"/>
      <c r="F9" s="34"/>
      <c r="G9" s="34"/>
      <c r="H9" s="34"/>
      <c r="I9" s="34"/>
      <c r="J9" s="34"/>
      <c r="K9" s="34"/>
      <c r="L9" s="34"/>
      <c r="M9" s="34"/>
      <c r="N9" s="34"/>
    </row>
    <row r="10" spans="1:15">
      <c r="A10" s="34" t="s">
        <v>47</v>
      </c>
      <c r="B10" s="34"/>
      <c r="C10" s="36">
        <v>5</v>
      </c>
      <c r="D10" s="36"/>
      <c r="E10" s="34"/>
      <c r="F10" s="34"/>
      <c r="G10" s="34"/>
      <c r="H10" s="34"/>
      <c r="I10" s="34"/>
      <c r="J10" s="34"/>
      <c r="K10" s="34"/>
      <c r="L10" s="34"/>
      <c r="M10" s="34"/>
      <c r="N10" s="34"/>
    </row>
    <row r="11" spans="1:15">
      <c r="A11" s="34" t="s">
        <v>3</v>
      </c>
      <c r="B11" s="34"/>
      <c r="C11" s="35" t="s">
        <v>13</v>
      </c>
      <c r="D11" s="35"/>
      <c r="E11" s="34"/>
      <c r="F11" s="34"/>
      <c r="G11" s="34"/>
      <c r="H11" s="34"/>
      <c r="I11" s="34"/>
      <c r="J11" s="34"/>
      <c r="K11" s="34"/>
      <c r="L11" s="34"/>
      <c r="M11" s="34"/>
      <c r="N11" s="34"/>
    </row>
    <row r="12" spans="1:15">
      <c r="A12" s="130" t="s">
        <v>48</v>
      </c>
      <c r="B12" s="130"/>
      <c r="C12" s="131" t="s">
        <v>49</v>
      </c>
      <c r="D12" s="131"/>
      <c r="E12" s="130"/>
      <c r="F12" s="130"/>
      <c r="G12" s="130"/>
      <c r="H12" s="130"/>
      <c r="I12" s="130"/>
      <c r="J12" s="130"/>
      <c r="K12" s="130"/>
      <c r="L12" s="130"/>
      <c r="M12" s="130"/>
      <c r="N12" s="130"/>
    </row>
    <row r="13" spans="1:15" ht="24.95" customHeight="1">
      <c r="A13" s="37"/>
      <c r="B13" s="37"/>
      <c r="C13" s="37"/>
      <c r="D13" s="37"/>
      <c r="E13" s="155" t="s">
        <v>162</v>
      </c>
      <c r="F13" s="155"/>
      <c r="G13" s="155"/>
      <c r="H13" s="155"/>
      <c r="I13" s="155"/>
      <c r="J13" s="155"/>
      <c r="K13" s="155"/>
      <c r="L13" s="155"/>
      <c r="M13" s="155"/>
      <c r="N13" s="155"/>
    </row>
    <row r="14" spans="1:15" s="8" customFormat="1" ht="50.25" customHeight="1">
      <c r="A14" s="88"/>
      <c r="B14" s="88"/>
      <c r="C14" s="69" t="s">
        <v>163</v>
      </c>
      <c r="D14" s="69"/>
      <c r="E14" s="69" t="s">
        <v>152</v>
      </c>
      <c r="F14" s="69" t="s">
        <v>153</v>
      </c>
      <c r="G14" s="69" t="s">
        <v>154</v>
      </c>
      <c r="H14" s="69" t="s">
        <v>155</v>
      </c>
      <c r="I14" s="69" t="s">
        <v>156</v>
      </c>
      <c r="J14" s="69" t="s">
        <v>157</v>
      </c>
      <c r="K14" s="69" t="s">
        <v>164</v>
      </c>
      <c r="L14" s="69" t="s">
        <v>159</v>
      </c>
      <c r="M14" s="69" t="s">
        <v>160</v>
      </c>
      <c r="N14" s="69" t="s">
        <v>161</v>
      </c>
    </row>
    <row r="15" spans="1:15">
      <c r="A15" s="72"/>
      <c r="B15" s="72"/>
      <c r="C15" s="162" t="s">
        <v>143</v>
      </c>
      <c r="D15" s="162"/>
      <c r="E15" s="162"/>
      <c r="F15" s="162"/>
      <c r="G15" s="162"/>
      <c r="H15" s="162"/>
      <c r="I15" s="162"/>
      <c r="J15" s="162"/>
      <c r="K15" s="162"/>
      <c r="L15" s="162"/>
      <c r="M15" s="162"/>
      <c r="N15" s="162"/>
    </row>
    <row r="16" spans="1:15">
      <c r="A16" s="40" t="s">
        <v>144</v>
      </c>
      <c r="B16" s="40" t="s">
        <v>55</v>
      </c>
      <c r="C16" s="33">
        <v>0.4000758538903379</v>
      </c>
      <c r="D16" s="33"/>
      <c r="E16" s="33">
        <v>0.12977038453428713</v>
      </c>
      <c r="F16" s="33">
        <v>0.10901158522993738</v>
      </c>
      <c r="G16" s="33">
        <v>9.4396406480987044E-2</v>
      </c>
      <c r="H16" s="33">
        <v>7.1013955370351517E-2</v>
      </c>
      <c r="I16" s="33">
        <v>6.688246279644787E-2</v>
      </c>
      <c r="J16" s="94">
        <v>6.4526790277579682E-2</v>
      </c>
      <c r="K16" s="94">
        <v>6.3140061573888281E-2</v>
      </c>
      <c r="L16" s="94">
        <v>4.7694834464612278E-2</v>
      </c>
      <c r="M16" s="94">
        <v>4.3059377588842561E-2</v>
      </c>
      <c r="N16" s="94">
        <v>4.2326259315871452E-2</v>
      </c>
      <c r="O16" s="31"/>
    </row>
    <row r="17" spans="1:15">
      <c r="A17" s="39" t="s">
        <v>59</v>
      </c>
      <c r="B17" s="39" t="s">
        <v>60</v>
      </c>
      <c r="C17" s="4">
        <v>0.59617359194626218</v>
      </c>
      <c r="D17" s="4"/>
      <c r="E17" s="4">
        <v>0.26829787152060808</v>
      </c>
      <c r="F17" s="4">
        <v>0.1127400505435719</v>
      </c>
      <c r="G17" s="4">
        <v>0.10257439632845024</v>
      </c>
      <c r="H17" s="4">
        <v>0.12127770264965124</v>
      </c>
      <c r="I17" s="4">
        <v>0.11617964700050917</v>
      </c>
      <c r="J17" s="31">
        <v>0.10908213839793839</v>
      </c>
      <c r="K17" s="31">
        <v>0.11947407591994612</v>
      </c>
      <c r="L17" s="31">
        <v>8.0398559716323814E-2</v>
      </c>
      <c r="M17" s="31">
        <v>3.2187579357035048E-2</v>
      </c>
      <c r="N17" s="31">
        <v>0.28813785787456619</v>
      </c>
      <c r="O17" s="31"/>
    </row>
    <row r="18" spans="1:15">
      <c r="A18" s="40"/>
      <c r="B18" s="39" t="s">
        <v>61</v>
      </c>
      <c r="C18" s="4">
        <v>0.51779650826877399</v>
      </c>
      <c r="D18" s="4"/>
      <c r="E18" s="4">
        <v>0.21281584539305393</v>
      </c>
      <c r="F18" s="4">
        <v>0.14407536419168135</v>
      </c>
      <c r="G18" s="4">
        <v>0.11972551038597402</v>
      </c>
      <c r="H18" s="4">
        <v>0.11462993043942635</v>
      </c>
      <c r="I18" s="4">
        <v>0.10233197672919189</v>
      </c>
      <c r="J18" s="31">
        <v>0.1001313852106374</v>
      </c>
      <c r="K18" s="31">
        <v>0.10469709252536183</v>
      </c>
      <c r="L18" s="31">
        <v>6.1000802171828183E-2</v>
      </c>
      <c r="M18" s="31">
        <v>8.0730749233838578E-2</v>
      </c>
      <c r="N18" s="31">
        <v>0.11524962615561608</v>
      </c>
      <c r="O18" s="31"/>
    </row>
    <row r="19" spans="1:15">
      <c r="A19" s="40"/>
      <c r="B19" s="39" t="s">
        <v>62</v>
      </c>
      <c r="C19" s="4">
        <v>0.5005754323093996</v>
      </c>
      <c r="D19" s="4"/>
      <c r="E19" s="4">
        <v>0.16325077613678912</v>
      </c>
      <c r="F19" s="4">
        <v>0.15673218375094436</v>
      </c>
      <c r="G19" s="4">
        <v>0.14255178920349154</v>
      </c>
      <c r="H19" s="4">
        <v>9.7441062538628123E-2</v>
      </c>
      <c r="I19" s="4">
        <v>8.9245116831595389E-2</v>
      </c>
      <c r="J19" s="31">
        <v>9.9252820134271599E-2</v>
      </c>
      <c r="K19" s="31">
        <v>8.4099382553730201E-2</v>
      </c>
      <c r="L19" s="31">
        <v>5.3748708747702365E-2</v>
      </c>
      <c r="M19" s="31">
        <v>8.1415111859847872E-2</v>
      </c>
      <c r="N19" s="31">
        <v>5.207242534063812E-2</v>
      </c>
      <c r="O19" s="31"/>
    </row>
    <row r="20" spans="1:15">
      <c r="A20" s="40"/>
      <c r="B20" s="39" t="s">
        <v>63</v>
      </c>
      <c r="C20" s="4">
        <v>0.42845320915563356</v>
      </c>
      <c r="D20" s="4"/>
      <c r="E20" s="4">
        <v>0.13236399891163159</v>
      </c>
      <c r="F20" s="4">
        <v>0.12803693461507654</v>
      </c>
      <c r="G20" s="4">
        <v>0.11275203830545302</v>
      </c>
      <c r="H20" s="4">
        <v>6.9008967501750729E-2</v>
      </c>
      <c r="I20" s="4">
        <v>7.2120737592869549E-2</v>
      </c>
      <c r="J20" s="31">
        <v>7.4136594580030482E-2</v>
      </c>
      <c r="K20" s="31">
        <v>5.7650134416726083E-2</v>
      </c>
      <c r="L20" s="31">
        <v>4.3341554975972932E-2</v>
      </c>
      <c r="M20" s="31">
        <v>5.6310663511723119E-2</v>
      </c>
      <c r="N20" s="31">
        <v>2.7059829481085446E-2</v>
      </c>
      <c r="O20" s="31"/>
    </row>
    <row r="21" spans="1:15">
      <c r="A21" s="40"/>
      <c r="B21" s="39" t="s">
        <v>64</v>
      </c>
      <c r="C21" s="4">
        <v>0.34919868037728624</v>
      </c>
      <c r="D21" s="4"/>
      <c r="E21" s="4">
        <v>9.8889656035429346E-2</v>
      </c>
      <c r="F21" s="4">
        <v>8.7778281641522723E-2</v>
      </c>
      <c r="G21" s="4">
        <v>8.3962510489267284E-2</v>
      </c>
      <c r="H21" s="4">
        <v>4.631535201900111E-2</v>
      </c>
      <c r="I21" s="4">
        <v>5.5990088267047711E-2</v>
      </c>
      <c r="J21" s="31">
        <v>5.9655491009854129E-2</v>
      </c>
      <c r="K21" s="31">
        <v>4.2440681650775157E-2</v>
      </c>
      <c r="L21" s="31">
        <v>3.8698349416766725E-2</v>
      </c>
      <c r="M21" s="31">
        <v>3.5408938526486827E-2</v>
      </c>
      <c r="N21" s="31">
        <v>1.26486033428122E-2</v>
      </c>
      <c r="O21" s="31"/>
    </row>
    <row r="22" spans="1:15">
      <c r="A22" s="40"/>
      <c r="B22" s="39" t="s">
        <v>65</v>
      </c>
      <c r="C22" s="4">
        <v>0.30626298139902342</v>
      </c>
      <c r="D22" s="4"/>
      <c r="E22" s="4">
        <v>8.5459599819017518E-2</v>
      </c>
      <c r="F22" s="4">
        <v>7.7463633873212312E-2</v>
      </c>
      <c r="G22" s="4">
        <v>7.6523026330481345E-2</v>
      </c>
      <c r="H22" s="4">
        <v>4.0756017421213035E-2</v>
      </c>
      <c r="I22" s="4">
        <v>4.3229733733716739E-2</v>
      </c>
      <c r="J22" s="31">
        <v>4.0690219606429802E-2</v>
      </c>
      <c r="K22" s="31">
        <v>3.7187145071908428E-2</v>
      </c>
      <c r="L22" s="31">
        <v>4.1155604074334627E-2</v>
      </c>
      <c r="M22" s="31">
        <v>1.9104791977271128E-2</v>
      </c>
      <c r="N22" s="31">
        <v>3.926785301403302E-3</v>
      </c>
      <c r="O22" s="31"/>
    </row>
    <row r="23" spans="1:15">
      <c r="A23" s="40"/>
      <c r="B23" s="39" t="s">
        <v>66</v>
      </c>
      <c r="C23" s="4">
        <v>0.28861208521789211</v>
      </c>
      <c r="D23" s="4"/>
      <c r="E23" s="4">
        <v>7.8949446889904601E-2</v>
      </c>
      <c r="F23" s="4">
        <v>7.0451958034220247E-2</v>
      </c>
      <c r="G23" s="4">
        <v>4.306368481512772E-2</v>
      </c>
      <c r="H23" s="4">
        <v>5.5141433785565297E-2</v>
      </c>
      <c r="I23" s="4">
        <v>3.8530202896119747E-2</v>
      </c>
      <c r="J23" s="31">
        <v>1.8722535434770503E-2</v>
      </c>
      <c r="K23" s="31">
        <v>4.8756419333062642E-2</v>
      </c>
      <c r="L23" s="31">
        <v>4.3184873082371004E-2</v>
      </c>
      <c r="M23" s="31">
        <v>3.9921951012874424E-3</v>
      </c>
      <c r="N23" s="31">
        <v>3.933857608891967E-3</v>
      </c>
      <c r="O23" s="31"/>
    </row>
    <row r="24" spans="1:15">
      <c r="A24" s="40"/>
      <c r="B24" s="40"/>
      <c r="C24" s="4"/>
      <c r="D24" s="4"/>
      <c r="E24" s="4"/>
      <c r="F24" s="4"/>
      <c r="G24" s="4"/>
      <c r="J24" s="31"/>
      <c r="K24" s="31"/>
      <c r="L24" s="31"/>
      <c r="M24" s="31"/>
      <c r="N24" s="31"/>
    </row>
    <row r="25" spans="1:15">
      <c r="A25" s="40" t="s">
        <v>56</v>
      </c>
      <c r="B25" s="40" t="s">
        <v>55</v>
      </c>
      <c r="C25" s="33">
        <v>0.40328872948677358</v>
      </c>
      <c r="D25" s="33"/>
      <c r="E25" s="33">
        <v>0.17054992759683971</v>
      </c>
      <c r="F25" s="33">
        <v>9.0420983011166231E-2</v>
      </c>
      <c r="G25" s="33">
        <v>6.9263721140719839E-2</v>
      </c>
      <c r="H25" s="33">
        <v>7.4478675188857882E-2</v>
      </c>
      <c r="I25" s="33">
        <v>6.750571076718484E-2</v>
      </c>
      <c r="J25" s="94">
        <v>7.37795903207807E-2</v>
      </c>
      <c r="K25" s="94">
        <v>7.9239902189589193E-2</v>
      </c>
      <c r="L25" s="94">
        <v>4.7630772094052497E-2</v>
      </c>
      <c r="M25" s="94">
        <v>5.2043460987553906E-2</v>
      </c>
      <c r="N25" s="94">
        <v>5.0468323070815481E-2</v>
      </c>
      <c r="O25" s="31"/>
    </row>
    <row r="26" spans="1:15">
      <c r="A26" s="39" t="s">
        <v>59</v>
      </c>
      <c r="B26" s="39" t="s">
        <v>60</v>
      </c>
      <c r="C26" s="4">
        <v>0.60008015805035042</v>
      </c>
      <c r="D26" s="4"/>
      <c r="E26" s="4">
        <v>0.26226875954352541</v>
      </c>
      <c r="F26" s="4">
        <v>0.10476209941503745</v>
      </c>
      <c r="G26" s="4">
        <v>8.9669674068201186E-2</v>
      </c>
      <c r="H26" s="4">
        <v>0.12572486195575724</v>
      </c>
      <c r="I26" s="4">
        <v>0.12827959700092709</v>
      </c>
      <c r="J26" s="31">
        <v>0.12127990692445514</v>
      </c>
      <c r="K26" s="31">
        <v>0.13658258649507629</v>
      </c>
      <c r="L26" s="31">
        <v>7.3662605013318394E-2</v>
      </c>
      <c r="M26" s="31">
        <v>4.525351097256311E-2</v>
      </c>
      <c r="N26" s="31">
        <v>0.30828600489075159</v>
      </c>
      <c r="O26" s="31"/>
    </row>
    <row r="27" spans="1:15">
      <c r="A27" s="40"/>
      <c r="B27" s="39" t="s">
        <v>61</v>
      </c>
      <c r="C27" s="4">
        <v>0.52093967179304335</v>
      </c>
      <c r="D27" s="4"/>
      <c r="E27" s="4">
        <v>0.25252462494644107</v>
      </c>
      <c r="F27" s="4">
        <v>0.13200867082051088</v>
      </c>
      <c r="G27" s="4">
        <v>9.1662783043941695E-2</v>
      </c>
      <c r="H27" s="4">
        <v>0.12578658248572389</v>
      </c>
      <c r="I27" s="4">
        <v>0.11141929345775489</v>
      </c>
      <c r="J27" s="31">
        <v>0.11117364172235648</v>
      </c>
      <c r="K27" s="31">
        <v>0.12575078650725674</v>
      </c>
      <c r="L27" s="31">
        <v>6.4161650982389351E-2</v>
      </c>
      <c r="M27" s="31">
        <v>9.0394086150574149E-2</v>
      </c>
      <c r="N27" s="31">
        <v>0.13386842894814865</v>
      </c>
      <c r="O27" s="31"/>
    </row>
    <row r="28" spans="1:15">
      <c r="A28" s="40"/>
      <c r="B28" s="39" t="s">
        <v>62</v>
      </c>
      <c r="C28" s="4">
        <v>0.51070095945725869</v>
      </c>
      <c r="D28" s="4"/>
      <c r="E28" s="4">
        <v>0.20682284277338256</v>
      </c>
      <c r="F28" s="4">
        <v>0.13433473969924489</v>
      </c>
      <c r="G28" s="4">
        <v>0.10834759123079805</v>
      </c>
      <c r="H28" s="4">
        <v>0.11543320163503133</v>
      </c>
      <c r="I28" s="4">
        <v>9.6472330064776415E-2</v>
      </c>
      <c r="J28" s="31">
        <v>0.11144180558133336</v>
      </c>
      <c r="K28" s="31">
        <v>0.11208947533930642</v>
      </c>
      <c r="L28" s="31">
        <v>5.6861606115631166E-2</v>
      </c>
      <c r="M28" s="31">
        <v>0.10072042142816033</v>
      </c>
      <c r="N28" s="31">
        <v>6.4694770070331503E-2</v>
      </c>
      <c r="O28" s="31"/>
    </row>
    <row r="29" spans="1:15">
      <c r="A29" s="40"/>
      <c r="B29" s="39" t="s">
        <v>63</v>
      </c>
      <c r="C29" s="4">
        <v>0.42628566323719774</v>
      </c>
      <c r="D29" s="4"/>
      <c r="E29" s="4">
        <v>0.1673394689587317</v>
      </c>
      <c r="F29" s="4">
        <v>0.10910003902746937</v>
      </c>
      <c r="G29" s="4">
        <v>8.1827359934424457E-2</v>
      </c>
      <c r="H29" s="4">
        <v>8.2234704996922425E-2</v>
      </c>
      <c r="I29" s="4">
        <v>7.1733898507439942E-2</v>
      </c>
      <c r="J29" s="31">
        <v>8.5364547397653104E-2</v>
      </c>
      <c r="K29" s="31">
        <v>7.758392781107204E-2</v>
      </c>
      <c r="L29" s="31">
        <v>4.6908428868307137E-2</v>
      </c>
      <c r="M29" s="31">
        <v>6.7046069796399654E-2</v>
      </c>
      <c r="N29" s="31">
        <v>3.2999623496646209E-2</v>
      </c>
      <c r="O29" s="31"/>
    </row>
    <row r="30" spans="1:15">
      <c r="A30" s="40"/>
      <c r="B30" s="39" t="s">
        <v>64</v>
      </c>
      <c r="C30" s="4">
        <v>0.36161158809520716</v>
      </c>
      <c r="D30" s="4"/>
      <c r="E30" s="4">
        <v>0.14504118541737832</v>
      </c>
      <c r="F30" s="4">
        <v>7.067736773585459E-2</v>
      </c>
      <c r="G30" s="4">
        <v>5.259272138344722E-2</v>
      </c>
      <c r="H30" s="4">
        <v>4.7697204134535418E-2</v>
      </c>
      <c r="I30" s="4">
        <v>4.6588793774502313E-2</v>
      </c>
      <c r="J30" s="31">
        <v>6.7148981540263927E-2</v>
      </c>
      <c r="K30" s="31">
        <v>5.7822576959050798E-2</v>
      </c>
      <c r="L30" s="31">
        <v>3.7055997224197952E-2</v>
      </c>
      <c r="M30" s="31">
        <v>4.1340074817281254E-2</v>
      </c>
      <c r="N30" s="31">
        <v>1.5143524474235835E-2</v>
      </c>
      <c r="O30" s="31"/>
    </row>
    <row r="31" spans="1:15">
      <c r="A31" s="40"/>
      <c r="B31" s="39" t="s">
        <v>65</v>
      </c>
      <c r="C31" s="4">
        <v>0.30187694962432687</v>
      </c>
      <c r="D31" s="4"/>
      <c r="E31" s="4">
        <v>0.12450550217480073</v>
      </c>
      <c r="F31" s="4">
        <v>5.3173013665740058E-2</v>
      </c>
      <c r="G31" s="4">
        <v>5.1350574315497909E-2</v>
      </c>
      <c r="H31" s="4">
        <v>3.2922195023594732E-2</v>
      </c>
      <c r="I31" s="4">
        <v>3.8976074827828978E-2</v>
      </c>
      <c r="J31" s="31">
        <v>4.419224037327367E-2</v>
      </c>
      <c r="K31" s="31">
        <v>4.8612362990588742E-2</v>
      </c>
      <c r="L31" s="31">
        <v>4.1696582998679829E-2</v>
      </c>
      <c r="M31" s="31">
        <v>2.0311398496256322E-2</v>
      </c>
      <c r="N31" s="31">
        <v>4.7663050374844671E-3</v>
      </c>
      <c r="O31" s="31"/>
    </row>
    <row r="32" spans="1:15">
      <c r="A32" s="40"/>
      <c r="B32" s="39" t="s">
        <v>66</v>
      </c>
      <c r="C32" s="4">
        <v>0.2765890840979795</v>
      </c>
      <c r="D32" s="4"/>
      <c r="E32" s="4">
        <v>0.12458802002524241</v>
      </c>
      <c r="F32" s="4">
        <v>4.8813329471688621E-2</v>
      </c>
      <c r="G32" s="4">
        <v>3.0803143300238298E-2</v>
      </c>
      <c r="H32" s="4">
        <v>3.9313606785991544E-2</v>
      </c>
      <c r="I32" s="4">
        <v>3.4623741337542015E-2</v>
      </c>
      <c r="J32" s="31">
        <v>2.3207536562180765E-2</v>
      </c>
      <c r="K32" s="31">
        <v>4.9076845197035472E-2</v>
      </c>
      <c r="L32" s="31">
        <v>3.6735192373661803E-2</v>
      </c>
      <c r="M32" s="31">
        <v>5.2196208369962565E-3</v>
      </c>
      <c r="N32" s="31">
        <v>4.6554221069582897E-3</v>
      </c>
      <c r="O32" s="31"/>
    </row>
    <row r="33" spans="1:17">
      <c r="A33" s="40"/>
      <c r="B33" s="39"/>
      <c r="C33" s="4"/>
      <c r="D33" s="4"/>
      <c r="E33" s="4"/>
      <c r="F33" s="4"/>
      <c r="G33" s="4"/>
      <c r="J33" s="31"/>
      <c r="K33" s="31"/>
      <c r="L33" s="31"/>
      <c r="M33" s="31"/>
      <c r="N33" s="31"/>
    </row>
    <row r="34" spans="1:17">
      <c r="A34" s="40" t="s">
        <v>57</v>
      </c>
      <c r="B34" s="40" t="s">
        <v>55</v>
      </c>
      <c r="C34" s="33">
        <v>0.39782244742318806</v>
      </c>
      <c r="D34" s="33"/>
      <c r="E34" s="33">
        <v>9.0373223486667528E-2</v>
      </c>
      <c r="F34" s="33">
        <v>0.12759930465693378</v>
      </c>
      <c r="G34" s="33">
        <v>0.11887033877168184</v>
      </c>
      <c r="H34" s="33">
        <v>6.7395868722299468E-2</v>
      </c>
      <c r="I34" s="33">
        <v>6.6221148527431231E-2</v>
      </c>
      <c r="J34" s="94">
        <v>5.5386785376908838E-2</v>
      </c>
      <c r="K34" s="94">
        <v>4.765944670053629E-2</v>
      </c>
      <c r="L34" s="94">
        <v>4.7517963070872402E-2</v>
      </c>
      <c r="M34" s="94">
        <v>3.4318781817444043E-2</v>
      </c>
      <c r="N34" s="94">
        <v>3.3869016127496127E-2</v>
      </c>
      <c r="O34" s="31"/>
    </row>
    <row r="35" spans="1:17">
      <c r="A35" s="39" t="s">
        <v>59</v>
      </c>
      <c r="B35" s="39" t="s">
        <v>60</v>
      </c>
      <c r="C35" s="4">
        <v>0.59431630745546038</v>
      </c>
      <c r="D35" s="4"/>
      <c r="E35" s="4">
        <v>0.2771612643822981</v>
      </c>
      <c r="F35" s="4">
        <v>0.12112664997632447</v>
      </c>
      <c r="G35" s="4">
        <v>0.11596261749762386</v>
      </c>
      <c r="H35" s="4">
        <v>0.11796805374184192</v>
      </c>
      <c r="I35" s="4">
        <v>0.1006302486545058</v>
      </c>
      <c r="J35" s="31">
        <v>9.555079561207834E-2</v>
      </c>
      <c r="K35" s="31">
        <v>0.10250986510602179</v>
      </c>
      <c r="L35" s="31">
        <v>8.2665423922654732E-2</v>
      </c>
      <c r="M35" s="31">
        <v>1.9088879114515366E-2</v>
      </c>
      <c r="N35" s="31">
        <v>0.26122874868370055</v>
      </c>
      <c r="O35" s="31"/>
    </row>
    <row r="36" spans="1:17">
      <c r="A36" s="39"/>
      <c r="B36" s="39" t="s">
        <v>61</v>
      </c>
      <c r="C36" s="4">
        <v>0.52080179915761649</v>
      </c>
      <c r="D36" s="4"/>
      <c r="E36" s="4">
        <v>0.17427838416596189</v>
      </c>
      <c r="F36" s="4">
        <v>0.16018839441678018</v>
      </c>
      <c r="G36" s="4">
        <v>0.15097080359875684</v>
      </c>
      <c r="H36" s="4">
        <v>0.10203591638987912</v>
      </c>
      <c r="I36" s="4">
        <v>9.3164844979483255E-2</v>
      </c>
      <c r="J36" s="31">
        <v>8.8279192373130505E-2</v>
      </c>
      <c r="K36" s="31">
        <v>8.5114900113501354E-2</v>
      </c>
      <c r="L36" s="31">
        <v>5.8644271497450981E-2</v>
      </c>
      <c r="M36" s="31">
        <v>7.1595948072992341E-2</v>
      </c>
      <c r="N36" s="31">
        <v>9.783415135805118E-2</v>
      </c>
      <c r="O36" s="31"/>
    </row>
    <row r="37" spans="1:17">
      <c r="A37" s="39"/>
      <c r="B37" s="39" t="s">
        <v>62</v>
      </c>
      <c r="C37" s="4">
        <v>0.49252393747533835</v>
      </c>
      <c r="D37" s="4"/>
      <c r="E37" s="4">
        <v>0.12007971251877902</v>
      </c>
      <c r="F37" s="4">
        <v>0.18098136917184646</v>
      </c>
      <c r="G37" s="4">
        <v>0.17767605886265367</v>
      </c>
      <c r="H37" s="4">
        <v>7.9085207696491702E-2</v>
      </c>
      <c r="I37" s="4">
        <v>8.2267467985503537E-2</v>
      </c>
      <c r="J37" s="31">
        <v>8.6811260904015641E-2</v>
      </c>
      <c r="K37" s="31">
        <v>5.6213692578952874E-2</v>
      </c>
      <c r="L37" s="31">
        <v>5.0228903782015354E-2</v>
      </c>
      <c r="M37" s="31">
        <v>6.2169062543220022E-2</v>
      </c>
      <c r="N37" s="31">
        <v>3.896762740793451E-2</v>
      </c>
      <c r="O37" s="31"/>
    </row>
    <row r="38" spans="1:17">
      <c r="A38" s="39"/>
      <c r="B38" s="39" t="s">
        <v>63</v>
      </c>
      <c r="C38" s="4">
        <v>0.43271277403223807</v>
      </c>
      <c r="D38" s="4"/>
      <c r="E38" s="4">
        <v>9.8618698491864734E-2</v>
      </c>
      <c r="F38" s="4">
        <v>0.14749125289256215</v>
      </c>
      <c r="G38" s="4">
        <v>0.14293236783252397</v>
      </c>
      <c r="H38" s="4">
        <v>5.6450843881716582E-2</v>
      </c>
      <c r="I38" s="4">
        <v>7.3260108284212686E-2</v>
      </c>
      <c r="J38" s="31">
        <v>6.3891707200045292E-2</v>
      </c>
      <c r="K38" s="31">
        <v>3.8119510794227596E-2</v>
      </c>
      <c r="L38" s="31">
        <v>3.9997933759609833E-2</v>
      </c>
      <c r="M38" s="31">
        <v>4.5522602324416302E-2</v>
      </c>
      <c r="N38" s="31">
        <v>2.1214586788690634E-2</v>
      </c>
      <c r="O38" s="31"/>
    </row>
    <row r="39" spans="1:17">
      <c r="A39" s="39"/>
      <c r="B39" s="39" t="s">
        <v>64</v>
      </c>
      <c r="C39" s="4">
        <v>0.33670367551543168</v>
      </c>
      <c r="D39" s="4"/>
      <c r="E39" s="4">
        <v>5.3552551470893058E-2</v>
      </c>
      <c r="F39" s="4">
        <v>0.10429931654576322</v>
      </c>
      <c r="G39" s="4">
        <v>0.11437691652537245</v>
      </c>
      <c r="H39" s="4">
        <v>4.4734923583695088E-2</v>
      </c>
      <c r="I39" s="4">
        <v>6.5010209525204282E-2</v>
      </c>
      <c r="J39" s="31">
        <v>5.2243047636511782E-2</v>
      </c>
      <c r="K39" s="31">
        <v>2.7147802105049267E-2</v>
      </c>
      <c r="L39" s="31">
        <v>4.0387371387269812E-2</v>
      </c>
      <c r="M39" s="31">
        <v>2.9614132510566965E-2</v>
      </c>
      <c r="N39" s="31">
        <v>1.0009317039201512E-2</v>
      </c>
      <c r="O39" s="31"/>
    </row>
    <row r="40" spans="1:17">
      <c r="A40" s="39"/>
      <c r="B40" s="39" t="s">
        <v>65</v>
      </c>
      <c r="C40" s="4">
        <v>0.31078443659893723</v>
      </c>
      <c r="D40" s="4"/>
      <c r="E40" s="4">
        <v>4.8013061728906632E-2</v>
      </c>
      <c r="F40" s="4">
        <v>0.10018957916260388</v>
      </c>
      <c r="G40" s="4">
        <v>0.10058944798438858</v>
      </c>
      <c r="H40" s="4">
        <v>4.8124389414840922E-2</v>
      </c>
      <c r="I40" s="4">
        <v>4.7477237147587018E-2</v>
      </c>
      <c r="J40" s="31">
        <v>3.7243745071085028E-2</v>
      </c>
      <c r="K40" s="31">
        <v>2.616647398375711E-2</v>
      </c>
      <c r="L40" s="31">
        <v>4.0318123130435785E-2</v>
      </c>
      <c r="M40" s="31">
        <v>1.8037397369241256E-2</v>
      </c>
      <c r="N40" s="31">
        <v>3.1430802110015989E-3</v>
      </c>
      <c r="O40" s="31"/>
    </row>
    <row r="41" spans="1:17">
      <c r="A41" s="132"/>
      <c r="B41" s="132" t="s">
        <v>66</v>
      </c>
      <c r="C41" s="137">
        <v>0.29990586104752343</v>
      </c>
      <c r="D41" s="137"/>
      <c r="E41" s="137">
        <v>3.9051154493522949E-2</v>
      </c>
      <c r="F41" s="137">
        <v>8.9689476903558316E-2</v>
      </c>
      <c r="G41" s="137">
        <v>5.4073076528840101E-2</v>
      </c>
      <c r="H41" s="137">
        <v>6.9066933717317772E-2</v>
      </c>
      <c r="I41" s="137">
        <v>4.1994359016930376E-2</v>
      </c>
      <c r="J41" s="139">
        <v>1.4877022522694324E-2</v>
      </c>
      <c r="K41" s="139">
        <v>4.8588732872942804E-2</v>
      </c>
      <c r="L41" s="139">
        <v>4.8941643079518746E-2</v>
      </c>
      <c r="M41" s="139">
        <v>2.9338124390740038E-3</v>
      </c>
      <c r="N41" s="139">
        <v>3.3200371006396122E-3</v>
      </c>
      <c r="O41" s="135"/>
    </row>
    <row r="42" spans="1:17">
      <c r="A42" s="72"/>
      <c r="B42" s="72"/>
      <c r="C42" s="156" t="s">
        <v>146</v>
      </c>
      <c r="D42" s="156"/>
      <c r="E42" s="156"/>
      <c r="F42" s="156"/>
      <c r="G42" s="156"/>
      <c r="H42" s="156"/>
      <c r="I42" s="156"/>
      <c r="J42" s="156"/>
      <c r="K42" s="156"/>
      <c r="L42" s="156"/>
      <c r="M42" s="156"/>
      <c r="N42" s="156"/>
    </row>
    <row r="43" spans="1:17">
      <c r="A43" s="40" t="s">
        <v>144</v>
      </c>
      <c r="B43" s="40" t="s">
        <v>55</v>
      </c>
      <c r="C43" s="85">
        <v>8761195.9951379504</v>
      </c>
      <c r="D43" s="85"/>
      <c r="E43" s="85">
        <v>2841820.5253170524</v>
      </c>
      <c r="F43" s="85">
        <v>2387226.9587205709</v>
      </c>
      <c r="G43" s="85">
        <v>2067171.5385336108</v>
      </c>
      <c r="H43" s="85">
        <v>1555123.0481411831</v>
      </c>
      <c r="I43" s="85">
        <v>1464648.1648398067</v>
      </c>
      <c r="J43" s="89">
        <v>1413061.6758340956</v>
      </c>
      <c r="K43" s="89">
        <v>1382693.929700498</v>
      </c>
      <c r="L43" s="89">
        <v>1044461.4155961196</v>
      </c>
      <c r="M43" s="89">
        <v>942950.30008960806</v>
      </c>
      <c r="N43" s="89">
        <v>926895.86237571016</v>
      </c>
      <c r="O43" s="89"/>
      <c r="P43" s="49"/>
      <c r="Q43" s="49"/>
    </row>
    <row r="44" spans="1:17">
      <c r="A44" s="39" t="s">
        <v>59</v>
      </c>
      <c r="B44" s="39" t="s">
        <v>60</v>
      </c>
      <c r="C44" s="86">
        <v>578221.9179096364</v>
      </c>
      <c r="D44" s="50"/>
      <c r="E44" s="86">
        <v>260219.02334731861</v>
      </c>
      <c r="F44" s="86">
        <v>109345.27984998279</v>
      </c>
      <c r="G44" s="86">
        <v>99485.728611081795</v>
      </c>
      <c r="H44" s="86">
        <v>117625.85054602164</v>
      </c>
      <c r="I44" s="86">
        <v>112681.30493903895</v>
      </c>
      <c r="J44" s="91">
        <v>105797.51288249891</v>
      </c>
      <c r="K44" s="91">
        <v>115876.53370117692</v>
      </c>
      <c r="L44" s="91">
        <v>77977.639439848805</v>
      </c>
      <c r="M44" s="91">
        <v>31218.363443329155</v>
      </c>
      <c r="N44" s="91">
        <v>279461.59818770294</v>
      </c>
      <c r="O44" s="91"/>
      <c r="P44" s="49"/>
      <c r="Q44" s="49"/>
    </row>
    <row r="45" spans="1:17">
      <c r="A45" s="40"/>
      <c r="B45" s="39" t="s">
        <v>61</v>
      </c>
      <c r="C45" s="86">
        <v>1220305.836963848</v>
      </c>
      <c r="D45" s="50"/>
      <c r="E45" s="86">
        <v>501549.18811607</v>
      </c>
      <c r="F45" s="86">
        <v>339546.53049637721</v>
      </c>
      <c r="G45" s="86">
        <v>282160.53377023252</v>
      </c>
      <c r="H45" s="86">
        <v>270151.63480666443</v>
      </c>
      <c r="I45" s="86">
        <v>241168.69564879654</v>
      </c>
      <c r="J45" s="91">
        <v>235982.49869307806</v>
      </c>
      <c r="K45" s="91">
        <v>246742.63167399555</v>
      </c>
      <c r="L45" s="91">
        <v>143762.33474158408</v>
      </c>
      <c r="M45" s="91">
        <v>190260.4651427677</v>
      </c>
      <c r="N45" s="91">
        <v>271612.08942065208</v>
      </c>
      <c r="O45" s="91"/>
      <c r="P45" s="49"/>
      <c r="Q45" s="49"/>
    </row>
    <row r="46" spans="1:17">
      <c r="A46" s="40"/>
      <c r="B46" s="39" t="s">
        <v>62</v>
      </c>
      <c r="C46" s="86">
        <v>1952765.0961885999</v>
      </c>
      <c r="D46" s="50"/>
      <c r="E46" s="86">
        <v>636847.90940475103</v>
      </c>
      <c r="F46" s="86">
        <v>611418.61570443492</v>
      </c>
      <c r="G46" s="86">
        <v>556100.3205282276</v>
      </c>
      <c r="H46" s="86">
        <v>380121.54328691482</v>
      </c>
      <c r="I46" s="86">
        <v>348148.82614194322</v>
      </c>
      <c r="J46" s="91">
        <v>387189.28326609224</v>
      </c>
      <c r="K46" s="91">
        <v>328075.10769012437</v>
      </c>
      <c r="L46" s="91">
        <v>209675.89624503668</v>
      </c>
      <c r="M46" s="91">
        <v>317603.65867083747</v>
      </c>
      <c r="N46" s="91">
        <v>203136.64657884068</v>
      </c>
      <c r="O46" s="91"/>
      <c r="P46" s="49"/>
      <c r="Q46" s="49"/>
    </row>
    <row r="47" spans="1:17">
      <c r="A47" s="40"/>
      <c r="B47" s="39" t="s">
        <v>63</v>
      </c>
      <c r="C47" s="86">
        <v>1594508.2894696344</v>
      </c>
      <c r="D47" s="50"/>
      <c r="E47" s="86">
        <v>492598.69918556581</v>
      </c>
      <c r="F47" s="86">
        <v>476495.33073718316</v>
      </c>
      <c r="G47" s="86">
        <v>419611.88734459196</v>
      </c>
      <c r="H47" s="86">
        <v>256820.04097047698</v>
      </c>
      <c r="I47" s="86">
        <v>268400.63623545563</v>
      </c>
      <c r="J47" s="91">
        <v>275902.74056733336</v>
      </c>
      <c r="K47" s="91">
        <v>214547.62212579811</v>
      </c>
      <c r="L47" s="91">
        <v>161297.58678640076</v>
      </c>
      <c r="M47" s="91">
        <v>209562.71965362452</v>
      </c>
      <c r="N47" s="91">
        <v>100704.39781337373</v>
      </c>
      <c r="O47" s="91"/>
      <c r="P47" s="49"/>
      <c r="Q47" s="49"/>
    </row>
    <row r="48" spans="1:17">
      <c r="A48" s="40"/>
      <c r="B48" s="39" t="s">
        <v>64</v>
      </c>
      <c r="C48" s="86">
        <v>1159161.0889601521</v>
      </c>
      <c r="D48" s="50"/>
      <c r="E48" s="86">
        <v>328263.10011559608</v>
      </c>
      <c r="F48" s="86">
        <v>291379.01788375922</v>
      </c>
      <c r="G48" s="86">
        <v>278712.60849386035</v>
      </c>
      <c r="H48" s="86">
        <v>153743.28970519843</v>
      </c>
      <c r="I48" s="86">
        <v>185858.46778253635</v>
      </c>
      <c r="J48" s="91">
        <v>198025.73092980389</v>
      </c>
      <c r="K48" s="91">
        <v>140881.36503085028</v>
      </c>
      <c r="L48" s="91">
        <v>128458.73530344979</v>
      </c>
      <c r="M48" s="91">
        <v>117539.57287850999</v>
      </c>
      <c r="N48" s="91">
        <v>41986.896424803585</v>
      </c>
      <c r="O48" s="91"/>
      <c r="P48" s="49"/>
      <c r="Q48" s="49"/>
    </row>
    <row r="49" spans="1:21">
      <c r="A49" s="40"/>
      <c r="B49" s="39" t="s">
        <v>65</v>
      </c>
      <c r="C49" s="86">
        <v>938379.57526427472</v>
      </c>
      <c r="D49" s="50"/>
      <c r="E49" s="86">
        <v>261845.36771011876</v>
      </c>
      <c r="F49" s="86">
        <v>237345.99434877714</v>
      </c>
      <c r="G49" s="86">
        <v>234464.00416372021</v>
      </c>
      <c r="H49" s="86">
        <v>124875.08004551548</v>
      </c>
      <c r="I49" s="86">
        <v>132454.46444270184</v>
      </c>
      <c r="J49" s="91">
        <v>124673.47773234149</v>
      </c>
      <c r="K49" s="91">
        <v>113940.17402450477</v>
      </c>
      <c r="L49" s="91">
        <v>126099.40024289832</v>
      </c>
      <c r="M49" s="91">
        <v>58536.44635486191</v>
      </c>
      <c r="N49" s="91">
        <v>12031.539386354898</v>
      </c>
      <c r="O49" s="91"/>
      <c r="P49" s="49"/>
      <c r="Q49" s="49"/>
      <c r="U49"/>
    </row>
    <row r="50" spans="1:21">
      <c r="A50" s="40"/>
      <c r="B50" s="39" t="s">
        <v>66</v>
      </c>
      <c r="C50" s="86">
        <v>1317854.1903817109</v>
      </c>
      <c r="D50" s="50"/>
      <c r="E50" s="86">
        <v>360497.23743768252</v>
      </c>
      <c r="F50" s="86">
        <v>321696.18970009015</v>
      </c>
      <c r="G50" s="86">
        <v>196636.45562190437</v>
      </c>
      <c r="H50" s="86">
        <v>251785.60878038348</v>
      </c>
      <c r="I50" s="86">
        <v>175935.76964933373</v>
      </c>
      <c r="J50" s="91">
        <v>85490.431762948123</v>
      </c>
      <c r="K50" s="91">
        <v>222630.4954540453</v>
      </c>
      <c r="L50" s="91">
        <v>197189.82283690191</v>
      </c>
      <c r="M50" s="91">
        <v>18229.073945677028</v>
      </c>
      <c r="N50" s="91">
        <v>17962.694563983096</v>
      </c>
      <c r="O50" s="91"/>
      <c r="P50" s="49"/>
      <c r="Q50" s="49"/>
    </row>
    <row r="51" spans="1:21">
      <c r="A51" s="40"/>
      <c r="B51" s="40"/>
      <c r="C51" s="50"/>
      <c r="D51" s="50"/>
      <c r="E51" s="26"/>
      <c r="F51" s="26"/>
      <c r="G51" s="26"/>
      <c r="J51" s="92"/>
      <c r="K51" s="92"/>
      <c r="L51" s="92"/>
      <c r="M51" s="92"/>
      <c r="N51" s="92"/>
      <c r="O51" s="49"/>
      <c r="P51" s="49"/>
    </row>
    <row r="52" spans="1:21">
      <c r="A52" s="40" t="s">
        <v>56</v>
      </c>
      <c r="B52" s="40" t="s">
        <v>55</v>
      </c>
      <c r="C52" s="51">
        <v>4324650.8258203156</v>
      </c>
      <c r="D52" s="51"/>
      <c r="E52" s="85">
        <v>1828885.4393821026</v>
      </c>
      <c r="F52" s="85">
        <v>969625.85428152769</v>
      </c>
      <c r="G52" s="85">
        <v>742746.78891175403</v>
      </c>
      <c r="H52" s="85">
        <v>798669.14349775005</v>
      </c>
      <c r="I52" s="85">
        <v>723894.83382889279</v>
      </c>
      <c r="J52" s="93">
        <v>791172.53441597405</v>
      </c>
      <c r="K52" s="93">
        <v>849725.97393988608</v>
      </c>
      <c r="L52" s="93">
        <v>510766.71082066273</v>
      </c>
      <c r="M52" s="93">
        <v>558086.00658093486</v>
      </c>
      <c r="N52" s="93">
        <v>541195.07709457749</v>
      </c>
      <c r="O52" s="89"/>
      <c r="P52" s="49"/>
      <c r="Q52" s="49"/>
    </row>
    <row r="53" spans="1:21">
      <c r="A53" s="39" t="s">
        <v>59</v>
      </c>
      <c r="B53" s="39" t="s">
        <v>60</v>
      </c>
      <c r="C53" s="110">
        <v>297742.61084752576</v>
      </c>
      <c r="D53" s="50"/>
      <c r="E53" s="86">
        <v>130130.2570375591</v>
      </c>
      <c r="F53" s="86">
        <v>51979.95730944346</v>
      </c>
      <c r="G53" s="86">
        <v>44491.527528015227</v>
      </c>
      <c r="H53" s="86">
        <v>62381.08050226685</v>
      </c>
      <c r="I53" s="86">
        <v>63648.666960789138</v>
      </c>
      <c r="J53" s="90">
        <v>60175.620950963559</v>
      </c>
      <c r="K53" s="90">
        <v>67768.372864512974</v>
      </c>
      <c r="L53" s="90">
        <v>36549.277699422259</v>
      </c>
      <c r="M53" s="90">
        <v>22453.497797301858</v>
      </c>
      <c r="N53" s="90">
        <v>152962.69798713078</v>
      </c>
      <c r="O53" s="91"/>
      <c r="P53" s="49"/>
      <c r="Q53" s="49"/>
    </row>
    <row r="54" spans="1:21">
      <c r="A54" s="40"/>
      <c r="B54" s="39" t="s">
        <v>61</v>
      </c>
      <c r="C54" s="110">
        <v>624218.80009960278</v>
      </c>
      <c r="D54" s="50"/>
      <c r="E54" s="86">
        <v>302589.00773887016</v>
      </c>
      <c r="F54" s="86">
        <v>158180.10906848186</v>
      </c>
      <c r="G54" s="86">
        <v>109835.42921302156</v>
      </c>
      <c r="H54" s="86">
        <v>150724.45781987152</v>
      </c>
      <c r="I54" s="86">
        <v>133508.77546100158</v>
      </c>
      <c r="J54" s="90">
        <v>133214.42193061102</v>
      </c>
      <c r="K54" s="90">
        <v>150681.56509363654</v>
      </c>
      <c r="L54" s="90">
        <v>76882.047878564772</v>
      </c>
      <c r="M54" s="90">
        <v>108315.20624796661</v>
      </c>
      <c r="N54" s="90">
        <v>160408.5743779366</v>
      </c>
      <c r="O54" s="91"/>
      <c r="P54" s="49"/>
      <c r="Q54" s="49"/>
    </row>
    <row r="55" spans="1:21">
      <c r="A55" s="40"/>
      <c r="B55" s="39" t="s">
        <v>62</v>
      </c>
      <c r="C55" s="110">
        <v>991257.06859112123</v>
      </c>
      <c r="D55" s="50"/>
      <c r="E55" s="86">
        <v>401437.67316024308</v>
      </c>
      <c r="F55" s="86">
        <v>260740.18037040561</v>
      </c>
      <c r="G55" s="86">
        <v>210299.81182429803</v>
      </c>
      <c r="H55" s="86">
        <v>224052.7944032682</v>
      </c>
      <c r="I55" s="86">
        <v>187250.24366861148</v>
      </c>
      <c r="J55" s="90">
        <v>216305.60012350898</v>
      </c>
      <c r="K55" s="90">
        <v>217562.71001103648</v>
      </c>
      <c r="L55" s="90">
        <v>110366.87507590388</v>
      </c>
      <c r="M55" s="90">
        <v>195495.6767620804</v>
      </c>
      <c r="N55" s="90">
        <v>125570.8393445078</v>
      </c>
      <c r="O55" s="91"/>
      <c r="P55" s="49"/>
      <c r="Q55" s="49"/>
    </row>
    <row r="56" spans="1:21">
      <c r="A56" s="40"/>
      <c r="B56" s="39" t="s">
        <v>63</v>
      </c>
      <c r="C56" s="110">
        <v>781854.43418830808</v>
      </c>
      <c r="D56" s="50"/>
      <c r="E56" s="86">
        <v>306918.85067525873</v>
      </c>
      <c r="F56" s="86">
        <v>200101.37952089842</v>
      </c>
      <c r="G56" s="86">
        <v>150080.30933250918</v>
      </c>
      <c r="H56" s="86">
        <v>150827.42463763154</v>
      </c>
      <c r="I56" s="86">
        <v>131567.79940414836</v>
      </c>
      <c r="J56" s="90">
        <v>156567.89721355354</v>
      </c>
      <c r="K56" s="90">
        <v>142297.39166029531</v>
      </c>
      <c r="L56" s="90">
        <v>86035.178459861607</v>
      </c>
      <c r="M56" s="90">
        <v>122969.80988555016</v>
      </c>
      <c r="N56" s="90">
        <v>60524.911303529225</v>
      </c>
      <c r="O56" s="91"/>
      <c r="P56" s="49"/>
      <c r="Q56" s="49"/>
    </row>
    <row r="57" spans="1:21">
      <c r="A57" s="40"/>
      <c r="B57" s="39" t="s">
        <v>64</v>
      </c>
      <c r="C57" s="110">
        <v>589688.41562045005</v>
      </c>
      <c r="D57" s="50"/>
      <c r="E57" s="86">
        <v>236522.0298359663</v>
      </c>
      <c r="F57" s="86">
        <v>115255.22514341239</v>
      </c>
      <c r="G57" s="86">
        <v>85764.172296401608</v>
      </c>
      <c r="H57" s="86">
        <v>77780.938613654347</v>
      </c>
      <c r="I57" s="86">
        <v>75973.428095232783</v>
      </c>
      <c r="J57" s="90">
        <v>109501.40382276622</v>
      </c>
      <c r="K57" s="90">
        <v>94292.619253940706</v>
      </c>
      <c r="L57" s="90">
        <v>60428.075348680199</v>
      </c>
      <c r="M57" s="90">
        <v>67414.220183162746</v>
      </c>
      <c r="N57" s="90">
        <v>24694.897088780537</v>
      </c>
      <c r="O57" s="91"/>
      <c r="P57" s="49"/>
      <c r="Q57" s="49"/>
    </row>
    <row r="58" spans="1:21">
      <c r="A58" s="40"/>
      <c r="B58" s="39" t="s">
        <v>65</v>
      </c>
      <c r="C58" s="110">
        <v>450576.18861700693</v>
      </c>
      <c r="D58" s="50"/>
      <c r="E58" s="86">
        <v>185834.70749118569</v>
      </c>
      <c r="F58" s="86">
        <v>79365.09847672873</v>
      </c>
      <c r="G58" s="86">
        <v>76644.957778872704</v>
      </c>
      <c r="H58" s="86">
        <v>49139.085223622875</v>
      </c>
      <c r="I58" s="86">
        <v>58174.999002173659</v>
      </c>
      <c r="J58" s="90">
        <v>65960.555314395067</v>
      </c>
      <c r="K58" s="90">
        <v>72557.95205040992</v>
      </c>
      <c r="L58" s="90">
        <v>62235.58131642075</v>
      </c>
      <c r="M58" s="90">
        <v>30316.433670452308</v>
      </c>
      <c r="N58" s="90">
        <v>7114.1024852953115</v>
      </c>
      <c r="O58" s="91"/>
      <c r="P58" s="49"/>
      <c r="Q58" s="49"/>
    </row>
    <row r="59" spans="1:21">
      <c r="A59" s="40"/>
      <c r="B59" s="39" t="s">
        <v>66</v>
      </c>
      <c r="C59" s="110">
        <v>589313.3078563154</v>
      </c>
      <c r="D59" s="50"/>
      <c r="E59" s="86">
        <v>265452.91344301763</v>
      </c>
      <c r="F59" s="86">
        <v>104003.90439215866</v>
      </c>
      <c r="G59" s="86">
        <v>65630.580938635598</v>
      </c>
      <c r="H59" s="86">
        <v>83763.362297436412</v>
      </c>
      <c r="I59" s="86">
        <v>73770.921236936061</v>
      </c>
      <c r="J59" s="90">
        <v>49447.035060177332</v>
      </c>
      <c r="K59" s="90">
        <v>104565.36300605428</v>
      </c>
      <c r="L59" s="90">
        <v>78269.675041810056</v>
      </c>
      <c r="M59" s="90">
        <v>11121.162034422037</v>
      </c>
      <c r="N59" s="90">
        <v>9919.0545073974899</v>
      </c>
      <c r="O59" s="91"/>
      <c r="P59" s="49"/>
      <c r="Q59" s="49"/>
    </row>
    <row r="60" spans="1:21">
      <c r="A60" s="40"/>
      <c r="B60" s="39"/>
      <c r="C60" s="50"/>
      <c r="D60" s="50"/>
      <c r="E60" s="26"/>
      <c r="F60" s="26"/>
      <c r="G60" s="26"/>
      <c r="J60" s="92"/>
      <c r="K60" s="92"/>
      <c r="L60" s="92"/>
      <c r="M60" s="92"/>
      <c r="N60" s="92"/>
      <c r="O60" s="49"/>
      <c r="P60" s="49"/>
    </row>
    <row r="61" spans="1:21">
      <c r="A61" s="40" t="s">
        <v>57</v>
      </c>
      <c r="B61" s="40" t="s">
        <v>55</v>
      </c>
      <c r="C61" s="51">
        <v>4391357.491925546</v>
      </c>
      <c r="D61" s="51"/>
      <c r="E61" s="85">
        <v>997583.55668018328</v>
      </c>
      <c r="F61" s="85">
        <v>1408503.130225969</v>
      </c>
      <c r="G61" s="85">
        <v>1312148.56304342</v>
      </c>
      <c r="H61" s="85">
        <v>743948.34920833481</v>
      </c>
      <c r="I61" s="85">
        <v>730981.21685553598</v>
      </c>
      <c r="J61" s="93">
        <v>611386.25156521029</v>
      </c>
      <c r="K61" s="93">
        <v>526088.13224355853</v>
      </c>
      <c r="L61" s="93">
        <v>524526.36718697683</v>
      </c>
      <c r="M61" s="93">
        <v>378827.39052046469</v>
      </c>
      <c r="N61" s="93">
        <v>373862.65827632655</v>
      </c>
      <c r="O61" s="89"/>
      <c r="P61" s="49"/>
      <c r="Q61" s="49"/>
    </row>
    <row r="62" spans="1:21">
      <c r="A62" s="39" t="s">
        <v>59</v>
      </c>
      <c r="B62" s="39" t="s">
        <v>60</v>
      </c>
      <c r="C62" s="110">
        <v>272886.771132052</v>
      </c>
      <c r="D62" s="50"/>
      <c r="E62" s="86">
        <v>127261.59718548614</v>
      </c>
      <c r="F62" s="86">
        <v>55616.61356996934</v>
      </c>
      <c r="G62" s="86">
        <v>53245.492112496519</v>
      </c>
      <c r="H62" s="86">
        <v>54166.309890051562</v>
      </c>
      <c r="I62" s="86">
        <v>46205.468853976519</v>
      </c>
      <c r="J62" s="90">
        <v>43873.18296096527</v>
      </c>
      <c r="K62" s="90">
        <v>47068.515110635606</v>
      </c>
      <c r="L62" s="90">
        <v>37956.724955264865</v>
      </c>
      <c r="M62" s="90">
        <v>8764.8656460272978</v>
      </c>
      <c r="N62" s="90">
        <v>119946.00999654325</v>
      </c>
      <c r="O62" s="91"/>
      <c r="P62" s="49"/>
      <c r="Q62" s="49"/>
    </row>
    <row r="63" spans="1:21">
      <c r="A63" s="39"/>
      <c r="B63" s="39" t="s">
        <v>61</v>
      </c>
      <c r="C63" s="110">
        <v>581578.32841290697</v>
      </c>
      <c r="D63" s="50"/>
      <c r="E63" s="86">
        <v>194616.32334159393</v>
      </c>
      <c r="F63" s="86">
        <v>178882.05994438913</v>
      </c>
      <c r="G63" s="86">
        <v>168588.79469720478</v>
      </c>
      <c r="H63" s="86">
        <v>113943.3039365244</v>
      </c>
      <c r="I63" s="86">
        <v>104036.99621939581</v>
      </c>
      <c r="J63" s="90">
        <v>98581.197716770301</v>
      </c>
      <c r="K63" s="90">
        <v>95047.63887357575</v>
      </c>
      <c r="L63" s="90">
        <v>65487.940793688089</v>
      </c>
      <c r="M63" s="90">
        <v>79951.052144554065</v>
      </c>
      <c r="N63" s="90">
        <v>109251.20132177375</v>
      </c>
      <c r="O63" s="91"/>
      <c r="P63" s="49"/>
      <c r="Q63" s="49"/>
    </row>
    <row r="64" spans="1:21">
      <c r="A64" s="39"/>
      <c r="B64" s="39" t="s">
        <v>62</v>
      </c>
      <c r="C64" s="110">
        <v>951958.19878766639</v>
      </c>
      <c r="D64" s="50"/>
      <c r="E64" s="86">
        <v>232092.0023223063</v>
      </c>
      <c r="F64" s="86">
        <v>349803.70516424574</v>
      </c>
      <c r="G64" s="86">
        <v>343415.14816435165</v>
      </c>
      <c r="H64" s="86">
        <v>152857.16315721293</v>
      </c>
      <c r="I64" s="86">
        <v>159007.88709629641</v>
      </c>
      <c r="J64" s="90">
        <v>167790.20323009352</v>
      </c>
      <c r="K64" s="90">
        <v>108650.7303766187</v>
      </c>
      <c r="L64" s="90">
        <v>97083.23420077542</v>
      </c>
      <c r="M64" s="90">
        <v>120161.36535886621</v>
      </c>
      <c r="N64" s="90">
        <v>75317.257854383352</v>
      </c>
      <c r="O64" s="91"/>
      <c r="P64" s="49"/>
      <c r="Q64" s="49"/>
    </row>
    <row r="65" spans="1:23">
      <c r="A65" s="39"/>
      <c r="B65" s="39" t="s">
        <v>63</v>
      </c>
      <c r="C65" s="110">
        <v>808206.78252717271</v>
      </c>
      <c r="D65" s="50"/>
      <c r="E65" s="86">
        <v>184196.78315110056</v>
      </c>
      <c r="F65" s="86">
        <v>275479.34358489333</v>
      </c>
      <c r="G65" s="86">
        <v>266964.407009413</v>
      </c>
      <c r="H65" s="86">
        <v>105437.04194225337</v>
      </c>
      <c r="I65" s="86">
        <v>136832.83683130782</v>
      </c>
      <c r="J65" s="90">
        <v>119334.84335378015</v>
      </c>
      <c r="K65" s="90">
        <v>71198.376889648323</v>
      </c>
      <c r="L65" s="90">
        <v>74706.833935946706</v>
      </c>
      <c r="M65" s="90">
        <v>85025.629389298847</v>
      </c>
      <c r="N65" s="90">
        <v>39623.912119251938</v>
      </c>
      <c r="O65" s="91"/>
      <c r="P65" s="49"/>
      <c r="Q65" s="49"/>
    </row>
    <row r="66" spans="1:23">
      <c r="A66" s="39"/>
      <c r="B66" s="39" t="s">
        <v>64</v>
      </c>
      <c r="C66" s="110">
        <v>563897.7205232206</v>
      </c>
      <c r="D66" s="50"/>
      <c r="E66" s="86">
        <v>89687.650888904565</v>
      </c>
      <c r="F66" s="86">
        <v>174676.28401220156</v>
      </c>
      <c r="G66" s="86">
        <v>191553.84155043538</v>
      </c>
      <c r="H66" s="86">
        <v>74920.243736602686</v>
      </c>
      <c r="I66" s="86">
        <v>108876.47396744711</v>
      </c>
      <c r="J66" s="90">
        <v>87494.546741485843</v>
      </c>
      <c r="K66" s="90">
        <v>45466.042806981932</v>
      </c>
      <c r="L66" s="90">
        <v>67639.138861026193</v>
      </c>
      <c r="M66" s="90">
        <v>49596.553386052816</v>
      </c>
      <c r="N66" s="90">
        <v>16763.200026728784</v>
      </c>
      <c r="O66" s="91"/>
      <c r="P66" s="49"/>
      <c r="Q66" s="49"/>
    </row>
    <row r="67" spans="1:23">
      <c r="A67" s="39"/>
      <c r="B67" s="39" t="s">
        <v>65</v>
      </c>
      <c r="C67" s="110">
        <v>486230.94360026519</v>
      </c>
      <c r="D67" s="50"/>
      <c r="E67" s="86">
        <v>75117.777984844826</v>
      </c>
      <c r="F67" s="86">
        <v>156749.39887035816</v>
      </c>
      <c r="G67" s="86">
        <v>157375.0048262433</v>
      </c>
      <c r="H67" s="86">
        <v>75291.953263288771</v>
      </c>
      <c r="I67" s="86">
        <v>74279.465440528234</v>
      </c>
      <c r="J67" s="90">
        <v>58268.880859342637</v>
      </c>
      <c r="K67" s="90">
        <v>40938.180415490977</v>
      </c>
      <c r="L67" s="90">
        <v>63078.831322567283</v>
      </c>
      <c r="M67" s="90">
        <v>28220.012684409652</v>
      </c>
      <c r="N67" s="90">
        <v>4917.4369010595883</v>
      </c>
      <c r="O67" s="91"/>
      <c r="P67" s="49"/>
      <c r="Q67" s="49"/>
    </row>
    <row r="68" spans="1:23">
      <c r="A68" s="39"/>
      <c r="B68" s="39" t="s">
        <v>66</v>
      </c>
      <c r="C68" s="110">
        <v>726598.74694229057</v>
      </c>
      <c r="D68" s="50"/>
      <c r="E68" s="86">
        <v>94611.421805949009</v>
      </c>
      <c r="F68" s="86">
        <v>217295.72507990547</v>
      </c>
      <c r="G68" s="86">
        <v>131005.8746832692</v>
      </c>
      <c r="H68" s="86">
        <v>167332.33328239998</v>
      </c>
      <c r="I68" s="86">
        <v>101742.08844658478</v>
      </c>
      <c r="J68" s="90">
        <v>36043.396702770755</v>
      </c>
      <c r="K68" s="90">
        <v>117718.64777060668</v>
      </c>
      <c r="L68" s="90">
        <v>118573.66311770785</v>
      </c>
      <c r="M68" s="90">
        <v>7107.9119112549915</v>
      </c>
      <c r="N68" s="90">
        <v>8043.6400565856102</v>
      </c>
      <c r="O68" s="91"/>
      <c r="P68" s="49"/>
      <c r="Q68" s="49"/>
    </row>
    <row r="69" spans="1:23">
      <c r="A69" s="132"/>
      <c r="B69" s="132"/>
      <c r="C69" s="133"/>
      <c r="D69" s="133"/>
      <c r="E69" s="133"/>
      <c r="F69" s="133"/>
      <c r="G69" s="133"/>
      <c r="H69" s="133"/>
      <c r="I69" s="133"/>
      <c r="J69" s="133"/>
      <c r="K69" s="133"/>
      <c r="L69" s="133"/>
      <c r="M69" s="133"/>
      <c r="N69" s="133"/>
    </row>
    <row r="70" spans="1:23">
      <c r="A70" s="29" t="s">
        <v>147</v>
      </c>
    </row>
    <row r="71" spans="1:23">
      <c r="A71" s="16" t="s">
        <v>119</v>
      </c>
    </row>
    <row r="72" spans="1:23" ht="15" customHeight="1">
      <c r="A72" s="16" t="s">
        <v>120</v>
      </c>
      <c r="B72" s="29"/>
      <c r="C72" s="2"/>
      <c r="G72" s="2"/>
      <c r="K72" s="2"/>
      <c r="O72" s="2"/>
      <c r="S72" s="2"/>
      <c r="W72" s="2"/>
    </row>
    <row r="73" spans="1:23">
      <c r="A73" s="29" t="s">
        <v>118</v>
      </c>
    </row>
  </sheetData>
  <mergeCells count="3">
    <mergeCell ref="E13:N13"/>
    <mergeCell ref="C42:N42"/>
    <mergeCell ref="C15:N15"/>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C43&lt;'34'!$C$104</xm:f>
            <x14:dxf>
              <font>
                <color rgb="FFFF0000"/>
              </font>
              <numFmt numFmtId="172" formatCode="\*\*0.0%"/>
            </x14:dxf>
          </x14:cfRule>
          <x14:cfRule type="expression" priority="4" id="{EDCE512B-7B5B-4E1B-9C0A-6E5ECA220EFC}">
            <xm:f>C43&lt;'34'!$C$103</xm:f>
            <x14:dxf>
              <font>
                <color rgb="FF00B050"/>
              </font>
              <numFmt numFmtId="171" formatCode="\*0.0%"/>
            </x14:dxf>
          </x14:cfRule>
          <xm:sqref>C16:N41</xm:sqref>
        </x14:conditionalFormatting>
        <x14:conditionalFormatting xmlns:xm="http://schemas.microsoft.com/office/excel/2006/main">
          <x14:cfRule type="expression" priority="1" id="{812C1C3B-921C-4D88-B52E-460AEBC03269}">
            <xm:f>C43&lt;'34'!$C$104</xm:f>
            <x14:dxf>
              <font>
                <color rgb="FFFF0000"/>
              </font>
              <numFmt numFmtId="170" formatCode="\*\*#,###,###,##0"/>
            </x14:dxf>
          </x14:cfRule>
          <x14:cfRule type="expression" priority="2" id="{9DE07595-3FD4-4042-9FB6-73689C82AD15}">
            <xm:f>C43&lt;'34'!$C$103</xm:f>
            <x14:dxf>
              <font>
                <color rgb="FF00B050"/>
              </font>
              <numFmt numFmtId="169" formatCode="\*#,###,###,##0"/>
            </x14:dxf>
          </x14:cfRule>
          <xm:sqref>C43:N68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W56"/>
  <sheetViews>
    <sheetView zoomScaleNormal="100" workbookViewId="0">
      <pane xSplit="2" ySplit="15" topLeftCell="C16" activePane="bottomRight" state="frozen"/>
      <selection pane="bottomRight"/>
      <selection pane="bottomLeft" activeCell="A16" sqref="A16"/>
      <selection pane="topRight" activeCell="C1" sqref="C1"/>
    </sheetView>
  </sheetViews>
  <sheetFormatPr defaultColWidth="8.85546875" defaultRowHeight="15"/>
  <cols>
    <col min="1" max="2" width="15.7109375" style="1" customWidth="1"/>
    <col min="3" max="3" width="14.85546875" style="1" customWidth="1"/>
    <col min="4" max="4" width="7.42578125" style="1" customWidth="1"/>
    <col min="5" max="13" width="16.7109375" style="1" customWidth="1"/>
    <col min="14" max="14" width="8.85546875" style="1" customWidth="1"/>
    <col min="15" max="16384" width="8.85546875" style="1"/>
  </cols>
  <sheetData>
    <row r="1" spans="1:15">
      <c r="A1" s="34"/>
      <c r="B1" s="34"/>
      <c r="C1" s="34"/>
      <c r="D1" s="34"/>
      <c r="E1" s="34"/>
      <c r="F1" s="34"/>
      <c r="G1" s="34"/>
      <c r="H1" s="34"/>
      <c r="I1" s="34"/>
      <c r="J1" s="34"/>
      <c r="K1" s="34"/>
      <c r="L1" s="34"/>
      <c r="M1" s="34"/>
    </row>
    <row r="2" spans="1:15">
      <c r="A2" s="34"/>
      <c r="B2" s="34"/>
      <c r="C2" s="34"/>
      <c r="D2" s="34"/>
      <c r="E2" s="34"/>
      <c r="F2" s="34"/>
      <c r="G2" s="34"/>
      <c r="H2" s="34"/>
      <c r="I2" s="34"/>
      <c r="J2" s="34"/>
      <c r="K2" s="34"/>
      <c r="L2" s="34"/>
      <c r="M2" s="34"/>
    </row>
    <row r="3" spans="1:15">
      <c r="A3" s="34"/>
      <c r="B3" s="34"/>
      <c r="C3" s="34"/>
      <c r="D3" s="34"/>
      <c r="E3" s="34"/>
      <c r="F3" s="34"/>
      <c r="G3" s="34"/>
      <c r="H3" s="34"/>
      <c r="I3" s="34"/>
      <c r="J3" s="34"/>
      <c r="K3" s="34"/>
      <c r="L3" s="34"/>
      <c r="M3" s="34"/>
    </row>
    <row r="4" spans="1:15">
      <c r="A4" s="34"/>
      <c r="B4" s="34"/>
      <c r="C4" s="34"/>
      <c r="D4" s="34"/>
      <c r="E4" s="34"/>
      <c r="F4" s="34"/>
      <c r="G4" s="34"/>
      <c r="H4" s="34"/>
      <c r="I4" s="34"/>
      <c r="J4" s="34"/>
      <c r="K4" s="34"/>
      <c r="L4" s="34"/>
      <c r="M4" s="34"/>
    </row>
    <row r="5" spans="1:15">
      <c r="A5" s="34"/>
      <c r="B5" s="34"/>
      <c r="C5" s="34"/>
      <c r="D5" s="34"/>
      <c r="E5" s="34"/>
      <c r="F5" s="34"/>
      <c r="G5" s="34"/>
      <c r="H5" s="34"/>
      <c r="I5" s="34"/>
      <c r="J5" s="34"/>
      <c r="K5" s="34"/>
      <c r="L5" s="34"/>
      <c r="M5" s="34"/>
    </row>
    <row r="6" spans="1:15">
      <c r="A6" s="34"/>
      <c r="B6" s="34"/>
      <c r="C6" s="34"/>
      <c r="D6" s="34"/>
      <c r="E6" s="34"/>
      <c r="F6" s="34"/>
      <c r="G6" s="34"/>
      <c r="H6" s="34"/>
      <c r="I6" s="34"/>
      <c r="J6" s="34"/>
      <c r="K6" s="34"/>
      <c r="L6" s="34"/>
      <c r="M6" s="34"/>
    </row>
    <row r="7" spans="1:15">
      <c r="A7" s="34"/>
      <c r="B7" s="34"/>
      <c r="C7" s="34"/>
      <c r="D7" s="34"/>
      <c r="E7" s="34"/>
      <c r="F7" s="34"/>
      <c r="G7" s="34"/>
      <c r="H7" s="34"/>
      <c r="I7" s="34"/>
      <c r="J7" s="34"/>
      <c r="K7" s="34"/>
      <c r="L7" s="34"/>
      <c r="M7" s="34"/>
    </row>
    <row r="8" spans="1:15">
      <c r="A8" s="35" t="s">
        <v>0</v>
      </c>
      <c r="B8" s="34"/>
      <c r="C8" s="34"/>
      <c r="D8" s="34"/>
      <c r="E8" s="34"/>
      <c r="F8" s="34"/>
      <c r="G8" s="34"/>
      <c r="H8" s="34"/>
      <c r="I8" s="34"/>
      <c r="J8" s="34"/>
      <c r="K8" s="34"/>
      <c r="L8" s="34"/>
      <c r="M8" s="34"/>
    </row>
    <row r="9" spans="1:15">
      <c r="A9" s="34" t="s">
        <v>1</v>
      </c>
      <c r="B9" s="34"/>
      <c r="C9" s="35" t="s">
        <v>2</v>
      </c>
      <c r="D9" s="35"/>
      <c r="E9" s="34"/>
      <c r="F9" s="34"/>
      <c r="G9" s="34"/>
      <c r="H9" s="34"/>
      <c r="I9" s="34"/>
      <c r="J9" s="34"/>
      <c r="K9" s="34"/>
      <c r="L9" s="34"/>
      <c r="M9" s="34"/>
    </row>
    <row r="10" spans="1:15">
      <c r="A10" s="34" t="s">
        <v>47</v>
      </c>
      <c r="B10" s="34"/>
      <c r="C10" s="36">
        <v>6</v>
      </c>
      <c r="D10" s="36"/>
      <c r="E10" s="34"/>
      <c r="F10" s="34"/>
      <c r="G10" s="34"/>
      <c r="H10" s="34"/>
      <c r="I10" s="34"/>
      <c r="J10" s="34"/>
      <c r="K10" s="34"/>
      <c r="L10" s="34"/>
      <c r="M10" s="34"/>
    </row>
    <row r="11" spans="1:15">
      <c r="A11" s="34" t="s">
        <v>3</v>
      </c>
      <c r="B11" s="34"/>
      <c r="C11" s="35" t="s">
        <v>14</v>
      </c>
      <c r="D11" s="35"/>
      <c r="E11" s="34"/>
      <c r="F11" s="34"/>
      <c r="G11" s="34"/>
      <c r="H11" s="34"/>
      <c r="I11" s="34"/>
      <c r="J11" s="34"/>
      <c r="K11" s="34"/>
      <c r="L11" s="34"/>
      <c r="M11" s="34"/>
    </row>
    <row r="12" spans="1:15">
      <c r="A12" s="130" t="s">
        <v>48</v>
      </c>
      <c r="B12" s="130"/>
      <c r="C12" s="131" t="s">
        <v>121</v>
      </c>
      <c r="D12" s="131"/>
      <c r="E12" s="130"/>
      <c r="F12" s="130"/>
      <c r="G12" s="130"/>
      <c r="H12" s="130"/>
      <c r="I12" s="130"/>
      <c r="J12" s="130"/>
      <c r="K12" s="130"/>
      <c r="L12" s="130"/>
      <c r="M12" s="130"/>
    </row>
    <row r="13" spans="1:15" ht="24.95" customHeight="1">
      <c r="A13" s="37"/>
      <c r="B13" s="37"/>
      <c r="C13" s="37"/>
      <c r="D13" s="37"/>
      <c r="E13" s="155" t="s">
        <v>162</v>
      </c>
      <c r="F13" s="155"/>
      <c r="G13" s="155"/>
      <c r="H13" s="155"/>
      <c r="I13" s="155"/>
      <c r="J13" s="155"/>
      <c r="K13" s="155"/>
      <c r="L13" s="155"/>
      <c r="M13" s="155"/>
    </row>
    <row r="14" spans="1:15" s="8" customFormat="1" ht="50.25" customHeight="1">
      <c r="A14" s="88"/>
      <c r="B14" s="88"/>
      <c r="C14" s="69" t="s">
        <v>58</v>
      </c>
      <c r="D14" s="69"/>
      <c r="E14" s="69" t="s">
        <v>152</v>
      </c>
      <c r="F14" s="69" t="s">
        <v>154</v>
      </c>
      <c r="G14" s="69" t="s">
        <v>153</v>
      </c>
      <c r="H14" s="69" t="s">
        <v>161</v>
      </c>
      <c r="I14" s="69" t="s">
        <v>164</v>
      </c>
      <c r="J14" s="69" t="s">
        <v>156</v>
      </c>
      <c r="K14" s="69" t="s">
        <v>155</v>
      </c>
      <c r="L14" s="69" t="s">
        <v>157</v>
      </c>
      <c r="M14" s="69" t="s">
        <v>159</v>
      </c>
      <c r="N14" s="136" t="s">
        <v>145</v>
      </c>
    </row>
    <row r="15" spans="1:15">
      <c r="A15" s="72"/>
      <c r="B15" s="72"/>
      <c r="C15" s="162" t="s">
        <v>143</v>
      </c>
      <c r="D15" s="162"/>
      <c r="E15" s="162"/>
      <c r="F15" s="162"/>
      <c r="G15" s="162"/>
      <c r="H15" s="162"/>
      <c r="I15" s="162"/>
      <c r="J15" s="162"/>
      <c r="K15" s="162"/>
      <c r="L15" s="162"/>
      <c r="M15" s="162"/>
    </row>
    <row r="16" spans="1:15">
      <c r="A16" s="40" t="s">
        <v>144</v>
      </c>
      <c r="B16" s="40" t="s">
        <v>55</v>
      </c>
      <c r="C16" s="94">
        <v>0.71152375922434896</v>
      </c>
      <c r="D16" s="94"/>
      <c r="E16" s="94">
        <v>0.25984920434215142</v>
      </c>
      <c r="F16" s="94">
        <v>0.17865778732252724</v>
      </c>
      <c r="G16" s="94">
        <v>0.14160921953309952</v>
      </c>
      <c r="H16" s="94">
        <v>0.13639138853174074</v>
      </c>
      <c r="I16" s="94">
        <v>0.11001040292043548</v>
      </c>
      <c r="J16" s="94">
        <v>9.3507653366238938E-2</v>
      </c>
      <c r="K16" s="94">
        <v>0.11038131847017195</v>
      </c>
      <c r="L16" s="94">
        <v>4.7364212140788786E-2</v>
      </c>
      <c r="M16" s="94">
        <v>8.8847837769856997E-2</v>
      </c>
      <c r="N16" s="94"/>
      <c r="O16" s="94"/>
    </row>
    <row r="17" spans="1:15">
      <c r="A17" s="39" t="s">
        <v>59</v>
      </c>
      <c r="B17" s="39" t="s">
        <v>122</v>
      </c>
      <c r="C17" s="31">
        <v>0.4720973972288327</v>
      </c>
      <c r="D17" s="31"/>
      <c r="E17" s="31">
        <v>7.4382160315103224E-2</v>
      </c>
      <c r="F17" s="31">
        <v>0.13515472697690847</v>
      </c>
      <c r="G17" s="31">
        <v>0.12667492434708619</v>
      </c>
      <c r="H17" s="31">
        <v>4.8168277268629447E-2</v>
      </c>
      <c r="I17" s="31">
        <v>5.2164258349322978E-2</v>
      </c>
      <c r="J17" s="31">
        <v>5.9064506374227367E-2</v>
      </c>
      <c r="K17" s="31">
        <v>6.6484167412847253E-2</v>
      </c>
      <c r="L17" s="31">
        <v>2.5394436775036992E-2</v>
      </c>
      <c r="M17" s="31">
        <v>7.132062888794849E-2</v>
      </c>
      <c r="N17" s="31"/>
      <c r="O17" s="31"/>
    </row>
    <row r="18" spans="1:15">
      <c r="A18" s="39"/>
      <c r="B18" s="39" t="s">
        <v>123</v>
      </c>
      <c r="C18" s="31">
        <v>0.8053396458491171</v>
      </c>
      <c r="D18" s="31"/>
      <c r="E18" s="31">
        <v>0.29386626120568254</v>
      </c>
      <c r="F18" s="31">
        <v>0.23381240473633139</v>
      </c>
      <c r="G18" s="31">
        <v>0.18314590104987616</v>
      </c>
      <c r="H18" s="31">
        <v>0.14758004977214206</v>
      </c>
      <c r="I18" s="31">
        <v>0.12832688508913864</v>
      </c>
      <c r="J18" s="31">
        <v>0.11901047191132169</v>
      </c>
      <c r="K18" s="31">
        <v>0.12959082422510004</v>
      </c>
      <c r="L18" s="31">
        <v>5.0382969389494159E-2</v>
      </c>
      <c r="M18" s="31">
        <v>8.6541721216737671E-2</v>
      </c>
      <c r="N18" s="31"/>
      <c r="O18" s="31"/>
    </row>
    <row r="19" spans="1:15">
      <c r="A19" s="39"/>
      <c r="B19" s="39" t="s">
        <v>124</v>
      </c>
      <c r="C19" s="31">
        <v>0.85644547798166171</v>
      </c>
      <c r="D19" s="31"/>
      <c r="E19" s="31">
        <v>0.37143894581013137</v>
      </c>
      <c r="F19" s="31">
        <v>0.20423228580695607</v>
      </c>
      <c r="G19" s="31">
        <v>0.15361218507484198</v>
      </c>
      <c r="H19" s="31">
        <v>0.18713748274164221</v>
      </c>
      <c r="I19" s="31">
        <v>0.14181198561312486</v>
      </c>
      <c r="J19" s="31">
        <v>0.10571274272597457</v>
      </c>
      <c r="K19" s="31">
        <v>0.13917160565348974</v>
      </c>
      <c r="L19" s="31">
        <v>6.1672186733486477E-2</v>
      </c>
      <c r="M19" s="31">
        <v>0.10200851012659527</v>
      </c>
      <c r="N19" s="31"/>
      <c r="O19" s="31"/>
    </row>
    <row r="20" spans="1:15">
      <c r="A20" s="39"/>
      <c r="B20" s="39" t="s">
        <v>125</v>
      </c>
      <c r="C20" s="31">
        <v>0.81146303480973514</v>
      </c>
      <c r="D20" s="31"/>
      <c r="E20" s="31">
        <v>0.38795170446140231</v>
      </c>
      <c r="F20" s="31">
        <v>0.14826627523822192</v>
      </c>
      <c r="G20" s="31">
        <v>9.8707934654555754E-2</v>
      </c>
      <c r="H20" s="31">
        <v>0.20612205324839145</v>
      </c>
      <c r="I20" s="31">
        <v>0.14299594843621258</v>
      </c>
      <c r="J20" s="31">
        <v>0.10099228656462447</v>
      </c>
      <c r="K20" s="31">
        <v>0.12388518863375704</v>
      </c>
      <c r="L20" s="31">
        <v>6.2757169868327148E-2</v>
      </c>
      <c r="M20" s="31">
        <v>0.10548208279193559</v>
      </c>
      <c r="N20" s="31"/>
      <c r="O20" s="31"/>
    </row>
    <row r="21" spans="1:15">
      <c r="A21" s="39"/>
      <c r="B21" s="39"/>
      <c r="C21" s="31"/>
      <c r="D21" s="31"/>
      <c r="E21" s="31"/>
      <c r="F21" s="31"/>
      <c r="G21" s="31"/>
      <c r="H21" s="31"/>
      <c r="I21" s="31"/>
      <c r="J21" s="31"/>
      <c r="K21" s="31"/>
      <c r="L21" s="31"/>
      <c r="M21" s="31"/>
      <c r="N21" s="31"/>
    </row>
    <row r="22" spans="1:15">
      <c r="A22" s="40" t="s">
        <v>56</v>
      </c>
      <c r="B22" s="40" t="s">
        <v>55</v>
      </c>
      <c r="C22" s="94">
        <v>0.71082158563903142</v>
      </c>
      <c r="D22" s="94"/>
      <c r="E22" s="94">
        <v>0.29025356460731444</v>
      </c>
      <c r="F22" s="94">
        <v>0.14370306383376455</v>
      </c>
      <c r="G22" s="94">
        <v>0.13733110094463999</v>
      </c>
      <c r="H22" s="94">
        <v>0.14354472370885424</v>
      </c>
      <c r="I22" s="94">
        <v>0.11679825370476013</v>
      </c>
      <c r="J22" s="94">
        <v>9.8251938586555496E-2</v>
      </c>
      <c r="K22" s="94">
        <v>0.11804055524361312</v>
      </c>
      <c r="L22" s="94">
        <v>5.0371965346419315E-2</v>
      </c>
      <c r="M22" s="94">
        <v>9.292210201130599E-2</v>
      </c>
      <c r="N22" s="94"/>
      <c r="O22" s="94"/>
    </row>
    <row r="23" spans="1:15">
      <c r="A23" s="39" t="s">
        <v>59</v>
      </c>
      <c r="B23" s="39" t="s">
        <v>122</v>
      </c>
      <c r="C23" s="31">
        <v>0.45461837501989039</v>
      </c>
      <c r="D23" s="31"/>
      <c r="E23" s="31">
        <v>7.5923026952456341E-2</v>
      </c>
      <c r="F23" s="31">
        <v>0.10630906857308875</v>
      </c>
      <c r="G23" s="31">
        <v>0.11400799497640002</v>
      </c>
      <c r="H23" s="31">
        <v>4.6495822938025379E-2</v>
      </c>
      <c r="I23" s="31">
        <v>5.6458712090323597E-2</v>
      </c>
      <c r="J23" s="31">
        <v>6.1618945307685968E-2</v>
      </c>
      <c r="K23" s="31">
        <v>6.9029174953970041E-2</v>
      </c>
      <c r="L23" s="31">
        <v>2.7228790856328268E-2</v>
      </c>
      <c r="M23" s="31">
        <v>7.3516897781271018E-2</v>
      </c>
      <c r="N23" s="31"/>
      <c r="O23" s="31"/>
    </row>
    <row r="24" spans="1:15">
      <c r="A24" s="39"/>
      <c r="B24" s="39" t="s">
        <v>123</v>
      </c>
      <c r="C24" s="31">
        <v>0.80364895955407678</v>
      </c>
      <c r="D24" s="31"/>
      <c r="E24" s="31">
        <v>0.34743842996912561</v>
      </c>
      <c r="F24" s="31">
        <v>0.1870300803398055</v>
      </c>
      <c r="G24" s="31">
        <v>0.17276214479978472</v>
      </c>
      <c r="H24" s="31">
        <v>0.15733298809065174</v>
      </c>
      <c r="I24" s="31">
        <v>0.13848764537264943</v>
      </c>
      <c r="J24" s="31">
        <v>0.12011948252790945</v>
      </c>
      <c r="K24" s="31">
        <v>0.13900555834621045</v>
      </c>
      <c r="L24" s="31">
        <v>5.4910021506634557E-2</v>
      </c>
      <c r="M24" s="31">
        <v>8.1693613571281132E-2</v>
      </c>
      <c r="N24" s="31"/>
      <c r="O24" s="31"/>
    </row>
    <row r="25" spans="1:15">
      <c r="A25" s="39"/>
      <c r="B25" s="39" t="s">
        <v>124</v>
      </c>
      <c r="C25" s="31">
        <v>0.86439206801653157</v>
      </c>
      <c r="D25" s="31"/>
      <c r="E25" s="31">
        <v>0.40623579572684332</v>
      </c>
      <c r="F25" s="31">
        <v>0.16589367343587735</v>
      </c>
      <c r="G25" s="31">
        <v>0.15290563148979797</v>
      </c>
      <c r="H25" s="31">
        <v>0.2040828520634633</v>
      </c>
      <c r="I25" s="31">
        <v>0.14643833451293858</v>
      </c>
      <c r="J25" s="31">
        <v>0.10951221444803358</v>
      </c>
      <c r="K25" s="31">
        <v>0.14902831985922466</v>
      </c>
      <c r="L25" s="31">
        <v>7.3788425298629154E-2</v>
      </c>
      <c r="M25" s="31">
        <v>0.10764708798130376</v>
      </c>
      <c r="N25" s="31"/>
      <c r="O25" s="31"/>
    </row>
    <row r="26" spans="1:15">
      <c r="A26" s="39"/>
      <c r="B26" s="39" t="s">
        <v>125</v>
      </c>
      <c r="C26" s="31">
        <v>0.82860791100018805</v>
      </c>
      <c r="D26" s="31"/>
      <c r="E26" s="31">
        <v>0.42775693827606809</v>
      </c>
      <c r="F26" s="31">
        <v>0.12256941486355452</v>
      </c>
      <c r="G26" s="31">
        <v>0.11153539059632599</v>
      </c>
      <c r="H26" s="31">
        <v>0.21346911916370731</v>
      </c>
      <c r="I26" s="31">
        <v>0.15127877235415108</v>
      </c>
      <c r="J26" s="31">
        <v>0.11464662510018188</v>
      </c>
      <c r="K26" s="31">
        <v>0.13481409366469391</v>
      </c>
      <c r="L26" s="31">
        <v>5.6464527793474655E-2</v>
      </c>
      <c r="M26" s="31">
        <v>0.12239238859271831</v>
      </c>
      <c r="N26" s="31"/>
      <c r="O26" s="31"/>
    </row>
    <row r="27" spans="1:15">
      <c r="A27" s="39"/>
      <c r="B27" s="39"/>
      <c r="C27" s="31"/>
      <c r="D27" s="31"/>
      <c r="E27" s="31"/>
      <c r="F27" s="31"/>
      <c r="G27" s="31"/>
      <c r="H27" s="31"/>
      <c r="I27" s="31"/>
      <c r="J27" s="31"/>
      <c r="K27" s="31"/>
      <c r="L27" s="31"/>
      <c r="M27" s="31"/>
      <c r="N27" s="31"/>
    </row>
    <row r="28" spans="1:15">
      <c r="A28" s="40" t="s">
        <v>57</v>
      </c>
      <c r="B28" s="40" t="s">
        <v>55</v>
      </c>
      <c r="C28" s="94">
        <v>0.71304205108199825</v>
      </c>
      <c r="D28" s="94"/>
      <c r="E28" s="94">
        <v>0.22822912260857756</v>
      </c>
      <c r="F28" s="94">
        <v>0.21675467426472922</v>
      </c>
      <c r="G28" s="94">
        <v>0.14671711872547899</v>
      </c>
      <c r="H28" s="94">
        <v>0.12920173944834326</v>
      </c>
      <c r="I28" s="94">
        <v>0.10357970866072778</v>
      </c>
      <c r="J28" s="94">
        <v>8.8914766671045059E-2</v>
      </c>
      <c r="K28" s="94">
        <v>0.10189472188194894</v>
      </c>
      <c r="L28" s="94">
        <v>4.460755751626052E-2</v>
      </c>
      <c r="M28" s="94">
        <v>8.4683064654516541E-2</v>
      </c>
      <c r="N28" s="94"/>
      <c r="O28" s="94"/>
    </row>
    <row r="29" spans="1:15">
      <c r="A29" s="39" t="s">
        <v>59</v>
      </c>
      <c r="B29" s="39" t="s">
        <v>122</v>
      </c>
      <c r="C29" s="31">
        <v>0.48996087982049563</v>
      </c>
      <c r="D29" s="31"/>
      <c r="E29" s="31">
        <v>7.3340246345840188E-2</v>
      </c>
      <c r="F29" s="31">
        <v>0.16665179469561156</v>
      </c>
      <c r="G29" s="31">
        <v>0.14103466895341804</v>
      </c>
      <c r="H29" s="31">
        <v>4.9523438404714092E-2</v>
      </c>
      <c r="I29" s="31">
        <v>4.7294836730038578E-2</v>
      </c>
      <c r="J29" s="31">
        <v>5.6832890475882018E-2</v>
      </c>
      <c r="K29" s="31">
        <v>6.2717984692561748E-2</v>
      </c>
      <c r="L29" s="31">
        <v>2.3658293779423582E-2</v>
      </c>
      <c r="M29" s="31">
        <v>6.9563143145165554E-2</v>
      </c>
      <c r="N29" s="31"/>
      <c r="O29" s="31"/>
    </row>
    <row r="30" spans="1:15">
      <c r="A30" s="39"/>
      <c r="B30" s="39" t="s">
        <v>123</v>
      </c>
      <c r="C30" s="31">
        <v>0.80873647092811318</v>
      </c>
      <c r="D30" s="31"/>
      <c r="E30" s="31">
        <v>0.236841402332443</v>
      </c>
      <c r="F30" s="31">
        <v>0.28560459685795025</v>
      </c>
      <c r="G30" s="31">
        <v>0.19584591808092655</v>
      </c>
      <c r="H30" s="31">
        <v>0.13743913174708097</v>
      </c>
      <c r="I30" s="31">
        <v>0.1187214349871875</v>
      </c>
      <c r="J30" s="31">
        <v>0.11816284228219788</v>
      </c>
      <c r="K30" s="31">
        <v>0.11825291672990276</v>
      </c>
      <c r="L30" s="31">
        <v>4.6041010480219663E-2</v>
      </c>
      <c r="M30" s="31">
        <v>9.2480745865129901E-2</v>
      </c>
      <c r="N30" s="31"/>
      <c r="O30" s="31"/>
    </row>
    <row r="31" spans="1:15">
      <c r="A31" s="39"/>
      <c r="B31" s="39" t="s">
        <v>124</v>
      </c>
      <c r="C31" s="31">
        <v>0.84881921720132281</v>
      </c>
      <c r="D31" s="31"/>
      <c r="E31" s="31">
        <v>0.33544294229757154</v>
      </c>
      <c r="F31" s="31">
        <v>0.24568692045146692</v>
      </c>
      <c r="G31" s="31">
        <v>0.15456328199967667</v>
      </c>
      <c r="H31" s="31">
        <v>0.17093293282634972</v>
      </c>
      <c r="I31" s="31">
        <v>0.13820884738041223</v>
      </c>
      <c r="J31" s="31">
        <v>0.10164596093889793</v>
      </c>
      <c r="K31" s="31">
        <v>0.13002016637653155</v>
      </c>
      <c r="L31" s="31">
        <v>4.9432882698435841E-2</v>
      </c>
      <c r="M31" s="31">
        <v>9.5038580024294855E-2</v>
      </c>
      <c r="N31" s="31"/>
      <c r="O31" s="31"/>
    </row>
    <row r="32" spans="1:15">
      <c r="A32" s="132"/>
      <c r="B32" s="132" t="s">
        <v>125</v>
      </c>
      <c r="C32" s="139">
        <v>0.79564885304872479</v>
      </c>
      <c r="D32" s="139"/>
      <c r="E32" s="139">
        <v>0.34748527037322141</v>
      </c>
      <c r="F32" s="139">
        <v>0.17555140440603223</v>
      </c>
      <c r="G32" s="139">
        <v>8.3957933383129402E-2</v>
      </c>
      <c r="H32" s="139">
        <v>0.1990861687207543</v>
      </c>
      <c r="I32" s="139">
        <v>0.13570674436278768</v>
      </c>
      <c r="J32" s="139">
        <v>8.7559177616523029E-2</v>
      </c>
      <c r="K32" s="139">
        <v>0.11268625457166383</v>
      </c>
      <c r="L32" s="139">
        <v>7.0097137908242652E-2</v>
      </c>
      <c r="M32" s="139">
        <v>8.7426713665189199E-2</v>
      </c>
      <c r="N32" s="31"/>
      <c r="O32" s="135"/>
    </row>
    <row r="33" spans="1:21">
      <c r="A33" s="72"/>
      <c r="B33" s="72"/>
      <c r="C33" s="156" t="s">
        <v>146</v>
      </c>
      <c r="D33" s="156"/>
      <c r="E33" s="156"/>
      <c r="F33" s="156"/>
      <c r="G33" s="156"/>
      <c r="H33" s="156"/>
      <c r="I33" s="156"/>
      <c r="J33" s="156"/>
      <c r="K33" s="156"/>
      <c r="L33" s="156"/>
      <c r="M33" s="156"/>
    </row>
    <row r="34" spans="1:21">
      <c r="A34" s="40" t="s">
        <v>144</v>
      </c>
      <c r="B34" s="40" t="s">
        <v>55</v>
      </c>
      <c r="C34" s="89">
        <v>3430378.276170664</v>
      </c>
      <c r="D34" s="89"/>
      <c r="E34" s="89">
        <v>1252777.6537318532</v>
      </c>
      <c r="F34" s="89">
        <v>861339.88437436766</v>
      </c>
      <c r="G34" s="89">
        <v>682722.37447331531</v>
      </c>
      <c r="H34" s="89">
        <v>657566.31484249805</v>
      </c>
      <c r="I34" s="89">
        <v>530379.05121036677</v>
      </c>
      <c r="J34" s="89">
        <v>450816.46059566439</v>
      </c>
      <c r="K34" s="89">
        <v>532167.29879537632</v>
      </c>
      <c r="L34" s="89">
        <v>228351.00344761694</v>
      </c>
      <c r="M34" s="89">
        <v>428350.68909392925</v>
      </c>
      <c r="N34" s="89"/>
      <c r="O34" s="89"/>
      <c r="P34" s="49"/>
      <c r="Q34" s="49"/>
    </row>
    <row r="35" spans="1:21">
      <c r="A35" s="39" t="s">
        <v>59</v>
      </c>
      <c r="B35" s="39" t="s">
        <v>122</v>
      </c>
      <c r="C35" s="91">
        <v>721802.72795137402</v>
      </c>
      <c r="D35" s="91"/>
      <c r="E35" s="91">
        <v>113724.93587448007</v>
      </c>
      <c r="F35" s="91">
        <v>206641.7887497255</v>
      </c>
      <c r="G35" s="91">
        <v>193676.78469203922</v>
      </c>
      <c r="H35" s="91">
        <v>73645.807278963504</v>
      </c>
      <c r="I35" s="91">
        <v>79755.372936002284</v>
      </c>
      <c r="J35" s="91">
        <v>90305.352404545905</v>
      </c>
      <c r="K35" s="91">
        <v>101649.47675173957</v>
      </c>
      <c r="L35" s="91">
        <v>38826.254596200786</v>
      </c>
      <c r="M35" s="91">
        <v>109044.07605868655</v>
      </c>
      <c r="N35" s="91"/>
      <c r="O35" s="91"/>
      <c r="P35" s="49"/>
      <c r="Q35" s="49"/>
    </row>
    <row r="36" spans="1:21">
      <c r="A36" s="39"/>
      <c r="B36" s="39" t="s">
        <v>123</v>
      </c>
      <c r="C36" s="91">
        <v>1041492.6880653528</v>
      </c>
      <c r="D36" s="91"/>
      <c r="E36" s="91">
        <v>380037.8683606527</v>
      </c>
      <c r="F36" s="91">
        <v>302374.1736383969</v>
      </c>
      <c r="G36" s="91">
        <v>236850.52359675252</v>
      </c>
      <c r="H36" s="91">
        <v>190855.55210677363</v>
      </c>
      <c r="I36" s="91">
        <v>165956.70310211039</v>
      </c>
      <c r="J36" s="91">
        <v>153908.39993747277</v>
      </c>
      <c r="K36" s="91">
        <v>167591.27228673745</v>
      </c>
      <c r="L36" s="91">
        <v>65156.973821713145</v>
      </c>
      <c r="M36" s="91">
        <v>111918.70451726043</v>
      </c>
      <c r="N36" s="91"/>
      <c r="O36" s="91"/>
      <c r="P36" s="49"/>
      <c r="Q36" s="49"/>
    </row>
    <row r="37" spans="1:21">
      <c r="A37" s="39"/>
      <c r="B37" s="39" t="s">
        <v>124</v>
      </c>
      <c r="C37" s="91">
        <v>856018.9304503958</v>
      </c>
      <c r="D37" s="91"/>
      <c r="E37" s="91">
        <v>371253.95287196478</v>
      </c>
      <c r="F37" s="91">
        <v>204130.56914249188</v>
      </c>
      <c r="G37" s="91">
        <v>153535.67944780493</v>
      </c>
      <c r="H37" s="91">
        <v>187044.28004126847</v>
      </c>
      <c r="I37" s="91">
        <v>141741.35700462342</v>
      </c>
      <c r="J37" s="91">
        <v>105660.09312878203</v>
      </c>
      <c r="K37" s="91">
        <v>139102.29207038379</v>
      </c>
      <c r="L37" s="91">
        <v>61641.471270943628</v>
      </c>
      <c r="M37" s="91">
        <v>101957.70540022185</v>
      </c>
      <c r="N37" s="91"/>
      <c r="O37" s="91"/>
      <c r="P37" s="49"/>
      <c r="Q37" s="49"/>
    </row>
    <row r="38" spans="1:21">
      <c r="A38" s="39"/>
      <c r="B38" s="39" t="s">
        <v>125</v>
      </c>
      <c r="C38" s="91">
        <v>811063.9297035716</v>
      </c>
      <c r="D38" s="91"/>
      <c r="E38" s="91">
        <v>387760.89662474999</v>
      </c>
      <c r="F38" s="91">
        <v>148193.35284375536</v>
      </c>
      <c r="G38" s="91">
        <v>98659.386736721484</v>
      </c>
      <c r="H38" s="91">
        <v>206020.67541549529</v>
      </c>
      <c r="I38" s="91">
        <v>142925.61816763174</v>
      </c>
      <c r="J38" s="91">
        <v>100942.6151248644</v>
      </c>
      <c r="K38" s="91">
        <v>123824.25768651634</v>
      </c>
      <c r="L38" s="91">
        <v>62726.303758759146</v>
      </c>
      <c r="M38" s="91">
        <v>105430.20311776054</v>
      </c>
      <c r="N38" s="91"/>
      <c r="O38" s="91"/>
      <c r="P38" s="49"/>
      <c r="Q38" s="49"/>
    </row>
    <row r="39" spans="1:21">
      <c r="A39" s="39"/>
      <c r="B39" s="39"/>
      <c r="C39" s="90"/>
      <c r="D39" s="91"/>
      <c r="E39" s="91"/>
      <c r="F39" s="91"/>
      <c r="G39" s="91"/>
      <c r="H39" s="91"/>
      <c r="I39" s="91"/>
      <c r="J39" s="92"/>
      <c r="K39" s="91"/>
      <c r="L39" s="91"/>
      <c r="M39" s="91"/>
      <c r="N39" s="91"/>
      <c r="O39" s="49"/>
      <c r="P39" s="49"/>
    </row>
    <row r="40" spans="1:21">
      <c r="A40" s="40" t="s">
        <v>56</v>
      </c>
      <c r="B40" s="40" t="s">
        <v>55</v>
      </c>
      <c r="C40" s="93">
        <v>1754374.0355136513</v>
      </c>
      <c r="D40" s="93"/>
      <c r="E40" s="93">
        <v>716372.89546373545</v>
      </c>
      <c r="F40" s="93">
        <v>354672.57763011014</v>
      </c>
      <c r="G40" s="93">
        <v>338945.97833461058</v>
      </c>
      <c r="H40" s="93">
        <v>354281.77941923012</v>
      </c>
      <c r="I40" s="93">
        <v>288268.99440420675</v>
      </c>
      <c r="J40" s="93">
        <v>242494.95721232623</v>
      </c>
      <c r="K40" s="93">
        <v>291335.11058311118</v>
      </c>
      <c r="L40" s="93">
        <v>124322.71319125085</v>
      </c>
      <c r="M40" s="93">
        <v>229340.42295216786</v>
      </c>
      <c r="N40" s="93"/>
      <c r="O40" s="89"/>
      <c r="P40" s="49"/>
      <c r="Q40" s="49"/>
      <c r="U40"/>
    </row>
    <row r="41" spans="1:21">
      <c r="A41" s="39" t="s">
        <v>59</v>
      </c>
      <c r="B41" s="39" t="s">
        <v>122</v>
      </c>
      <c r="C41" s="90">
        <v>355505.22110536601</v>
      </c>
      <c r="D41" s="90"/>
      <c r="E41" s="90">
        <v>59370.746909516689</v>
      </c>
      <c r="F41" s="90">
        <v>83132.207154908552</v>
      </c>
      <c r="G41" s="90">
        <v>89152.660096704771</v>
      </c>
      <c r="H41" s="90">
        <v>36359.084283241886</v>
      </c>
      <c r="I41" s="90">
        <v>44149.92448142144</v>
      </c>
      <c r="J41" s="90">
        <v>48185.154801386845</v>
      </c>
      <c r="K41" s="90">
        <v>53979.850910466244</v>
      </c>
      <c r="L41" s="90">
        <v>21292.534234647319</v>
      </c>
      <c r="M41" s="90">
        <v>57489.187496145227</v>
      </c>
      <c r="N41" s="90"/>
      <c r="O41" s="91"/>
      <c r="P41" s="49"/>
      <c r="Q41" s="49"/>
    </row>
    <row r="42" spans="1:21">
      <c r="A42" s="39"/>
      <c r="B42" s="39" t="s">
        <v>123</v>
      </c>
      <c r="C42" s="90">
        <v>532718.54709692753</v>
      </c>
      <c r="D42" s="90"/>
      <c r="E42" s="90">
        <v>230308.13817203214</v>
      </c>
      <c r="F42" s="90">
        <v>123977.50470221136</v>
      </c>
      <c r="G42" s="90">
        <v>114519.65149330535</v>
      </c>
      <c r="H42" s="90">
        <v>104292.05417322564</v>
      </c>
      <c r="I42" s="90">
        <v>91799.953644845227</v>
      </c>
      <c r="J42" s="90">
        <v>79624.163572374877</v>
      </c>
      <c r="K42" s="90">
        <v>92143.265041591352</v>
      </c>
      <c r="L42" s="90">
        <v>36398.462948681379</v>
      </c>
      <c r="M42" s="90">
        <v>54152.627974456205</v>
      </c>
      <c r="N42" s="90"/>
      <c r="O42" s="91"/>
      <c r="P42" s="49"/>
      <c r="Q42" s="49"/>
    </row>
    <row r="43" spans="1:21">
      <c r="A43" s="39"/>
      <c r="B43" s="39" t="s">
        <v>124</v>
      </c>
      <c r="C43" s="90">
        <v>441846.86743157386</v>
      </c>
      <c r="D43" s="90"/>
      <c r="E43" s="90">
        <v>207653.47163857319</v>
      </c>
      <c r="F43" s="90">
        <v>84799.019619135433</v>
      </c>
      <c r="G43" s="90">
        <v>78159.98872067593</v>
      </c>
      <c r="H43" s="90">
        <v>104319.9865168337</v>
      </c>
      <c r="I43" s="90">
        <v>74854.133639737876</v>
      </c>
      <c r="J43" s="90">
        <v>55978.797920243022</v>
      </c>
      <c r="K43" s="90">
        <v>76178.04318760788</v>
      </c>
      <c r="L43" s="90">
        <v>37718.05153848826</v>
      </c>
      <c r="M43" s="90">
        <v>55025.41077431594</v>
      </c>
      <c r="N43" s="90"/>
      <c r="O43" s="91"/>
      <c r="P43" s="49"/>
      <c r="Q43" s="49"/>
    </row>
    <row r="44" spans="1:21">
      <c r="A44" s="39"/>
      <c r="B44" s="39" t="s">
        <v>125</v>
      </c>
      <c r="C44" s="90">
        <v>424303.39987978607</v>
      </c>
      <c r="D44" s="90"/>
      <c r="E44" s="90">
        <v>219040.53874361611</v>
      </c>
      <c r="F44" s="90">
        <v>62763.846153854029</v>
      </c>
      <c r="G44" s="90">
        <v>57113.678023924032</v>
      </c>
      <c r="H44" s="90">
        <v>109310.65444592848</v>
      </c>
      <c r="I44" s="90">
        <v>77464.982638202113</v>
      </c>
      <c r="J44" s="90">
        <v>58706.840918321082</v>
      </c>
      <c r="K44" s="90">
        <v>69033.951443445214</v>
      </c>
      <c r="L44" s="90">
        <v>28913.664469433887</v>
      </c>
      <c r="M44" s="90">
        <v>62673.196707250048</v>
      </c>
      <c r="N44" s="90"/>
      <c r="O44" s="91"/>
      <c r="P44" s="49"/>
      <c r="Q44" s="49"/>
    </row>
    <row r="45" spans="1:21">
      <c r="A45" s="39"/>
      <c r="B45" s="39"/>
      <c r="C45" s="90"/>
      <c r="D45" s="91"/>
      <c r="E45" s="91"/>
      <c r="F45" s="91"/>
      <c r="G45" s="91"/>
      <c r="H45" s="91"/>
      <c r="I45" s="91"/>
      <c r="J45" s="92"/>
      <c r="K45" s="91"/>
      <c r="L45" s="91"/>
      <c r="M45" s="91"/>
      <c r="N45" s="91"/>
      <c r="O45" s="49"/>
      <c r="P45" s="49"/>
    </row>
    <row r="46" spans="1:21">
      <c r="A46" s="40" t="s">
        <v>57</v>
      </c>
      <c r="B46" s="40" t="s">
        <v>55</v>
      </c>
      <c r="C46" s="93">
        <v>1662869.4684283806</v>
      </c>
      <c r="D46" s="93"/>
      <c r="E46" s="93">
        <v>532248.04794627416</v>
      </c>
      <c r="F46" s="93">
        <v>505488.74281260004</v>
      </c>
      <c r="G46" s="93">
        <v>342155.72118666628</v>
      </c>
      <c r="H46" s="93">
        <v>301308.49571981543</v>
      </c>
      <c r="I46" s="93">
        <v>241555.92902167249</v>
      </c>
      <c r="J46" s="93">
        <v>207356.14479588575</v>
      </c>
      <c r="K46" s="93">
        <v>237626.40892550832</v>
      </c>
      <c r="L46" s="93">
        <v>104028.29025636583</v>
      </c>
      <c r="M46" s="93">
        <v>197487.48687859433</v>
      </c>
      <c r="N46" s="93"/>
      <c r="O46" s="89"/>
      <c r="P46" s="49"/>
      <c r="Q46" s="49"/>
    </row>
    <row r="47" spans="1:21">
      <c r="A47" s="39" t="s">
        <v>59</v>
      </c>
      <c r="B47" s="39" t="s">
        <v>122</v>
      </c>
      <c r="C47" s="90">
        <v>363121.58158865251</v>
      </c>
      <c r="D47" s="90"/>
      <c r="E47" s="90">
        <v>54354.188964963272</v>
      </c>
      <c r="F47" s="90">
        <v>123509.58159481709</v>
      </c>
      <c r="G47" s="90">
        <v>104524.12459533446</v>
      </c>
      <c r="H47" s="90">
        <v>36702.990013848335</v>
      </c>
      <c r="I47" s="90">
        <v>35051.320670092209</v>
      </c>
      <c r="J47" s="90">
        <v>42120.19760315906</v>
      </c>
      <c r="K47" s="90">
        <v>46481.779941205925</v>
      </c>
      <c r="L47" s="90">
        <v>17533.720361553456</v>
      </c>
      <c r="M47" s="90">
        <v>51554.88856254131</v>
      </c>
      <c r="N47" s="90"/>
      <c r="O47" s="91"/>
      <c r="P47" s="49"/>
      <c r="Q47" s="49"/>
    </row>
    <row r="48" spans="1:21">
      <c r="A48" s="39"/>
      <c r="B48" s="39" t="s">
        <v>123</v>
      </c>
      <c r="C48" s="90">
        <v>505159.55992311856</v>
      </c>
      <c r="D48" s="90"/>
      <c r="E48" s="90">
        <v>147937.80529834167</v>
      </c>
      <c r="F48" s="90">
        <v>178396.66893618577</v>
      </c>
      <c r="G48" s="90">
        <v>122330.87210344686</v>
      </c>
      <c r="H48" s="90">
        <v>85848.34962357262</v>
      </c>
      <c r="I48" s="90">
        <v>74156.749457265003</v>
      </c>
      <c r="J48" s="90">
        <v>73807.836733315518</v>
      </c>
      <c r="K48" s="90">
        <v>73864.099768307249</v>
      </c>
      <c r="L48" s="90">
        <v>28758.510873031733</v>
      </c>
      <c r="M48" s="90">
        <v>57766.076542804272</v>
      </c>
      <c r="N48" s="90"/>
      <c r="O48" s="91"/>
      <c r="P48" s="49"/>
      <c r="Q48" s="49"/>
    </row>
    <row r="49" spans="1:23">
      <c r="A49" s="39"/>
      <c r="B49" s="39" t="s">
        <v>124</v>
      </c>
      <c r="C49" s="90">
        <v>410792.51910032734</v>
      </c>
      <c r="D49" s="90"/>
      <c r="E49" s="90">
        <v>162340.1644170862</v>
      </c>
      <c r="F49" s="90">
        <v>118902.05466250905</v>
      </c>
      <c r="G49" s="90">
        <v>74802.076444980034</v>
      </c>
      <c r="H49" s="90">
        <v>82724.293524434834</v>
      </c>
      <c r="I49" s="90">
        <v>66887.223364885591</v>
      </c>
      <c r="J49" s="90">
        <v>49192.336252867623</v>
      </c>
      <c r="K49" s="90">
        <v>62924.248882775923</v>
      </c>
      <c r="L49" s="90">
        <v>23923.419732455368</v>
      </c>
      <c r="M49" s="90">
        <v>45994.643981579837</v>
      </c>
      <c r="N49" s="90"/>
      <c r="O49" s="91"/>
      <c r="P49" s="49"/>
      <c r="Q49" s="49"/>
    </row>
    <row r="50" spans="1:23">
      <c r="A50" s="39"/>
      <c r="B50" s="39" t="s">
        <v>125</v>
      </c>
      <c r="C50" s="90">
        <v>383795.80781626259</v>
      </c>
      <c r="D50" s="90"/>
      <c r="E50" s="90">
        <v>167615.88926588433</v>
      </c>
      <c r="F50" s="90">
        <v>84680.437619089353</v>
      </c>
      <c r="G50" s="90">
        <v>40498.648042905959</v>
      </c>
      <c r="H50" s="90">
        <v>96032.862557959917</v>
      </c>
      <c r="I50" s="90">
        <v>65460.635529429434</v>
      </c>
      <c r="J50" s="90">
        <v>42235.774206543276</v>
      </c>
      <c r="K50" s="90">
        <v>54356.280333219096</v>
      </c>
      <c r="L50" s="90">
        <v>33812.639289325336</v>
      </c>
      <c r="M50" s="90">
        <v>42171.877791668929</v>
      </c>
      <c r="N50" s="90"/>
      <c r="O50" s="91"/>
      <c r="P50" s="49"/>
      <c r="Q50" s="49"/>
    </row>
    <row r="51" spans="1:23">
      <c r="A51" s="132"/>
      <c r="B51" s="132"/>
      <c r="C51" s="133"/>
      <c r="D51" s="133"/>
      <c r="E51" s="133"/>
      <c r="F51" s="133"/>
      <c r="G51" s="133"/>
      <c r="H51" s="133"/>
      <c r="I51" s="133"/>
      <c r="J51" s="133"/>
      <c r="K51" s="133"/>
      <c r="L51" s="133"/>
      <c r="M51" s="133"/>
    </row>
    <row r="52" spans="1:23">
      <c r="A52" s="19" t="s">
        <v>128</v>
      </c>
    </row>
    <row r="53" spans="1:23">
      <c r="A53" s="29" t="s">
        <v>147</v>
      </c>
    </row>
    <row r="54" spans="1:23" ht="15" customHeight="1">
      <c r="A54" s="16" t="s">
        <v>119</v>
      </c>
      <c r="B54" s="29"/>
      <c r="C54" s="2"/>
      <c r="G54" s="2"/>
      <c r="K54" s="2"/>
      <c r="O54" s="2"/>
      <c r="S54" s="2"/>
      <c r="W54" s="2"/>
    </row>
    <row r="55" spans="1:23">
      <c r="A55" s="16" t="s">
        <v>120</v>
      </c>
    </row>
    <row r="56" spans="1:23">
      <c r="A56" s="29" t="s">
        <v>118</v>
      </c>
    </row>
  </sheetData>
  <mergeCells count="3">
    <mergeCell ref="C15:M15"/>
    <mergeCell ref="C33:M33"/>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C34&lt;'34'!$D$104</xm:f>
            <x14:dxf>
              <font>
                <color rgb="FFFF0000"/>
              </font>
              <numFmt numFmtId="172" formatCode="\*\*0.0%"/>
            </x14:dxf>
          </x14:cfRule>
          <x14:cfRule type="expression" priority="4" id="{631786B4-464F-4B04-81C1-7994D274B302}">
            <xm:f>C34&lt;'34'!$D$103</xm:f>
            <x14:dxf>
              <font>
                <color rgb="FF00B050"/>
              </font>
              <numFmt numFmtId="171" formatCode="\*0.0%"/>
            </x14:dxf>
          </x14:cfRule>
          <xm:sqref>C16:N32</xm:sqref>
        </x14:conditionalFormatting>
        <x14:conditionalFormatting xmlns:xm="http://schemas.microsoft.com/office/excel/2006/main">
          <x14:cfRule type="expression" priority="1" id="{9C9083FA-6CB3-46B9-88D5-1705E3D89979}">
            <xm:f>C34&lt;'34'!$D$104</xm:f>
            <x14:dxf>
              <font>
                <color rgb="FFFF0000"/>
              </font>
              <numFmt numFmtId="170" formatCode="\*\*#,###,###,##0"/>
            </x14:dxf>
          </x14:cfRule>
          <x14:cfRule type="expression" priority="2" id="{1E197729-0375-47A7-8316-BADF5A695DD1}">
            <xm:f>C34&lt;'34'!$D$103</xm:f>
            <x14:dxf>
              <font>
                <color rgb="FF00B050"/>
              </font>
              <numFmt numFmtId="169"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sheetPr>
    <tabColor theme="0" tint="-4.9989318521683403E-2"/>
  </sheetPr>
  <dimension ref="A1:W72"/>
  <sheetViews>
    <sheetView zoomScaleNormal="100" workbookViewId="0">
      <pane xSplit="2" ySplit="13" topLeftCell="C14" activePane="bottomRight" state="frozen"/>
      <selection pane="bottomRight"/>
      <selection pane="bottomLeft"/>
      <selection pane="topRight"/>
    </sheetView>
  </sheetViews>
  <sheetFormatPr defaultColWidth="8.85546875" defaultRowHeight="15"/>
  <cols>
    <col min="1" max="2" width="15.7109375" style="1" customWidth="1"/>
    <col min="3" max="3" width="14.85546875" style="9" customWidth="1"/>
    <col min="4" max="4" width="7.42578125" style="1" customWidth="1"/>
    <col min="5" max="11" width="16.7109375" style="1" customWidth="1"/>
    <col min="12" max="16384" width="8.85546875" style="1"/>
  </cols>
  <sheetData>
    <row r="1" spans="1:12" s="77" customFormat="1">
      <c r="A1" s="34"/>
      <c r="B1" s="34"/>
      <c r="C1" s="125"/>
      <c r="D1" s="34"/>
      <c r="E1" s="34"/>
      <c r="F1" s="34"/>
      <c r="G1" s="34"/>
      <c r="H1" s="34"/>
      <c r="I1" s="34"/>
      <c r="J1" s="34"/>
      <c r="K1" s="34"/>
    </row>
    <row r="2" spans="1:12" s="77" customFormat="1">
      <c r="A2" s="34"/>
      <c r="B2" s="34"/>
      <c r="C2" s="125"/>
      <c r="D2" s="34"/>
      <c r="E2" s="34"/>
      <c r="F2" s="34"/>
      <c r="G2" s="34"/>
      <c r="H2" s="34"/>
      <c r="I2" s="34"/>
      <c r="J2" s="34"/>
      <c r="K2" s="34"/>
    </row>
    <row r="3" spans="1:12" s="77" customFormat="1">
      <c r="A3" s="34"/>
      <c r="B3" s="34"/>
      <c r="C3" s="125"/>
      <c r="D3" s="34"/>
      <c r="E3" s="34"/>
      <c r="F3" s="34"/>
      <c r="G3" s="34"/>
      <c r="H3" s="34"/>
      <c r="I3" s="34"/>
      <c r="J3" s="34"/>
      <c r="K3" s="34"/>
    </row>
    <row r="4" spans="1:12" s="77" customFormat="1">
      <c r="A4" s="34"/>
      <c r="B4" s="34"/>
      <c r="C4" s="125"/>
      <c r="D4" s="34"/>
      <c r="E4" s="34"/>
      <c r="F4" s="34"/>
      <c r="G4" s="34"/>
      <c r="H4" s="34"/>
      <c r="I4" s="34"/>
      <c r="J4" s="34"/>
      <c r="K4" s="34"/>
    </row>
    <row r="5" spans="1:12" s="77" customFormat="1">
      <c r="A5" s="34"/>
      <c r="B5" s="34"/>
      <c r="C5" s="125"/>
      <c r="D5" s="34"/>
      <c r="E5" s="34"/>
      <c r="F5" s="34"/>
      <c r="G5" s="34"/>
      <c r="H5" s="34"/>
      <c r="I5" s="34"/>
      <c r="J5" s="34"/>
      <c r="K5" s="34"/>
    </row>
    <row r="6" spans="1:12" s="77" customFormat="1">
      <c r="A6" s="34"/>
      <c r="B6" s="34"/>
      <c r="C6" s="125"/>
      <c r="D6" s="34"/>
      <c r="E6" s="34"/>
      <c r="F6" s="34"/>
      <c r="G6" s="34"/>
      <c r="H6" s="34"/>
      <c r="I6" s="34"/>
      <c r="J6" s="34"/>
      <c r="K6" s="34"/>
    </row>
    <row r="7" spans="1:12" s="77" customFormat="1">
      <c r="A7" s="34"/>
      <c r="B7" s="34"/>
      <c r="C7" s="125"/>
      <c r="D7" s="34"/>
      <c r="E7" s="34"/>
      <c r="F7" s="34"/>
      <c r="G7" s="34"/>
      <c r="H7" s="34"/>
      <c r="I7" s="34"/>
      <c r="J7" s="34"/>
      <c r="K7" s="34"/>
    </row>
    <row r="8" spans="1:12" s="77" customFormat="1">
      <c r="A8" s="35" t="s">
        <v>0</v>
      </c>
      <c r="B8" s="34"/>
      <c r="C8" s="34"/>
      <c r="D8" s="34"/>
      <c r="E8" s="34"/>
      <c r="F8" s="34"/>
      <c r="G8" s="34"/>
      <c r="H8" s="34"/>
      <c r="I8" s="34"/>
      <c r="J8" s="34"/>
      <c r="K8" s="34"/>
    </row>
    <row r="9" spans="1:12" s="77" customFormat="1">
      <c r="A9" s="34" t="s">
        <v>1</v>
      </c>
      <c r="B9" s="34"/>
      <c r="C9" s="35" t="s">
        <v>2</v>
      </c>
      <c r="D9" s="35"/>
      <c r="E9" s="34"/>
      <c r="F9" s="34"/>
      <c r="G9" s="34"/>
      <c r="H9" s="34"/>
      <c r="I9" s="34"/>
      <c r="J9" s="34"/>
      <c r="K9" s="34"/>
    </row>
    <row r="10" spans="1:12" s="77" customFormat="1">
      <c r="A10" s="34" t="s">
        <v>47</v>
      </c>
      <c r="B10" s="34"/>
      <c r="C10" s="36">
        <v>7</v>
      </c>
      <c r="D10" s="36"/>
      <c r="E10" s="34"/>
      <c r="F10" s="114" t="s">
        <v>145</v>
      </c>
      <c r="G10" s="34"/>
      <c r="H10" s="34"/>
      <c r="I10" s="34"/>
      <c r="J10" s="34"/>
      <c r="K10" s="34"/>
    </row>
    <row r="11" spans="1:12" s="77" customFormat="1">
      <c r="A11" s="34" t="s">
        <v>3</v>
      </c>
      <c r="B11" s="34"/>
      <c r="C11" s="35" t="s">
        <v>15</v>
      </c>
      <c r="D11" s="35"/>
      <c r="E11" s="34"/>
      <c r="F11" s="34"/>
      <c r="G11" s="34"/>
      <c r="H11" s="34"/>
      <c r="I11" s="34"/>
      <c r="J11" s="34"/>
      <c r="K11" s="34"/>
    </row>
    <row r="12" spans="1:12" s="77" customFormat="1">
      <c r="A12" s="130" t="s">
        <v>48</v>
      </c>
      <c r="B12" s="130"/>
      <c r="C12" s="131" t="s">
        <v>49</v>
      </c>
      <c r="D12" s="131"/>
      <c r="E12" s="130"/>
      <c r="F12" s="130"/>
      <c r="G12" s="130"/>
      <c r="H12" s="130"/>
      <c r="I12" s="130"/>
      <c r="J12" s="130"/>
      <c r="K12" s="130"/>
    </row>
    <row r="13" spans="1:12" s="8" customFormat="1" ht="50.1" customHeight="1">
      <c r="A13" s="105"/>
      <c r="B13" s="105"/>
      <c r="C13" s="42" t="s">
        <v>58</v>
      </c>
      <c r="D13" s="69"/>
      <c r="E13" s="69" t="s">
        <v>165</v>
      </c>
      <c r="F13" s="69" t="s">
        <v>166</v>
      </c>
      <c r="G13" s="69" t="s">
        <v>153</v>
      </c>
      <c r="H13" s="69" t="s">
        <v>167</v>
      </c>
      <c r="I13" s="69" t="s">
        <v>168</v>
      </c>
      <c r="J13" s="69" t="s">
        <v>169</v>
      </c>
      <c r="K13" s="69" t="s">
        <v>170</v>
      </c>
      <c r="L13" s="112" t="s">
        <v>145</v>
      </c>
    </row>
    <row r="14" spans="1:12">
      <c r="A14" s="72"/>
      <c r="B14" s="72"/>
      <c r="C14" s="156" t="s">
        <v>143</v>
      </c>
      <c r="D14" s="156"/>
      <c r="E14" s="156"/>
      <c r="F14" s="156"/>
      <c r="G14" s="156"/>
      <c r="H14" s="156"/>
      <c r="I14" s="156"/>
      <c r="J14" s="156"/>
      <c r="K14" s="156"/>
    </row>
    <row r="15" spans="1:12">
      <c r="A15" s="40" t="s">
        <v>144</v>
      </c>
      <c r="B15" s="40" t="s">
        <v>55</v>
      </c>
      <c r="C15" s="94">
        <v>0.84147262887965713</v>
      </c>
      <c r="D15" s="33"/>
      <c r="E15" s="33">
        <v>0.61114160848822807</v>
      </c>
      <c r="F15" s="33">
        <v>0.29358562576002661</v>
      </c>
      <c r="G15" s="33">
        <v>0.27438942646030967</v>
      </c>
      <c r="H15" s="33">
        <v>0.21114860994091036</v>
      </c>
      <c r="I15" s="33">
        <v>0.18001833202776096</v>
      </c>
      <c r="J15" s="94">
        <v>0.1423222009157401</v>
      </c>
      <c r="K15" s="33">
        <v>8.9943884128938875E-2</v>
      </c>
    </row>
    <row r="16" spans="1:12">
      <c r="A16" s="39" t="s">
        <v>59</v>
      </c>
      <c r="B16" s="39" t="s">
        <v>60</v>
      </c>
      <c r="C16" s="31">
        <v>0.8423494294924837</v>
      </c>
      <c r="D16" s="4"/>
      <c r="E16" s="4">
        <v>0.55637544041784659</v>
      </c>
      <c r="F16" s="4">
        <v>0.42025911138977656</v>
      </c>
      <c r="G16" s="4">
        <v>0.30930226480726192</v>
      </c>
      <c r="H16" s="4">
        <v>0.32210288610704746</v>
      </c>
      <c r="I16" s="4">
        <v>0.33039598109136126</v>
      </c>
      <c r="J16" s="31">
        <v>0.17004699052213099</v>
      </c>
      <c r="K16" s="108">
        <v>0.12215847985932692</v>
      </c>
    </row>
    <row r="17" spans="1:13">
      <c r="A17" s="40"/>
      <c r="B17" s="39" t="s">
        <v>61</v>
      </c>
      <c r="C17" s="31">
        <v>0.87443737480058792</v>
      </c>
      <c r="D17" s="4"/>
      <c r="E17" s="4">
        <v>0.56867851684554505</v>
      </c>
      <c r="F17" s="4">
        <v>0.35978184056598539</v>
      </c>
      <c r="G17" s="4">
        <v>0.41241015328846004</v>
      </c>
      <c r="H17" s="4">
        <v>0.3274383432060019</v>
      </c>
      <c r="I17" s="4">
        <v>0.27979050312216175</v>
      </c>
      <c r="J17" s="31">
        <v>0.19911801382647651</v>
      </c>
      <c r="K17" s="108">
        <v>0.14686885563589819</v>
      </c>
      <c r="M17" s="1" t="s">
        <v>145</v>
      </c>
    </row>
    <row r="18" spans="1:13">
      <c r="A18" s="40"/>
      <c r="B18" s="39" t="s">
        <v>62</v>
      </c>
      <c r="C18" s="31">
        <v>0.89238386935949676</v>
      </c>
      <c r="D18" s="4"/>
      <c r="E18" s="4">
        <v>0.60697479176469293</v>
      </c>
      <c r="F18" s="4">
        <v>0.32996775963729419</v>
      </c>
      <c r="G18" s="4">
        <v>0.39971255536726719</v>
      </c>
      <c r="H18" s="4">
        <v>0.29189974872718277</v>
      </c>
      <c r="I18" s="4">
        <v>0.23767170793180895</v>
      </c>
      <c r="J18" s="31">
        <v>0.21296333955781346</v>
      </c>
      <c r="K18" s="108">
        <v>0.12690654876814755</v>
      </c>
    </row>
    <row r="19" spans="1:13">
      <c r="A19" s="40"/>
      <c r="B19" s="39" t="s">
        <v>63</v>
      </c>
      <c r="C19" s="31">
        <v>0.87558279183213306</v>
      </c>
      <c r="D19" s="4"/>
      <c r="E19" s="4">
        <v>0.61139018451248706</v>
      </c>
      <c r="F19" s="4">
        <v>0.32715667852554325</v>
      </c>
      <c r="G19" s="4">
        <v>0.31195324148605535</v>
      </c>
      <c r="H19" s="4">
        <v>0.24311070111109395</v>
      </c>
      <c r="I19" s="4">
        <v>0.18221850039383392</v>
      </c>
      <c r="J19" s="31">
        <v>0.15943048708596141</v>
      </c>
      <c r="K19" s="108">
        <v>9.3881725955703307E-2</v>
      </c>
    </row>
    <row r="20" spans="1:13">
      <c r="A20" s="40"/>
      <c r="B20" s="39" t="s">
        <v>64</v>
      </c>
      <c r="C20" s="31">
        <v>0.86410524269851319</v>
      </c>
      <c r="D20" s="4"/>
      <c r="E20" s="4">
        <v>0.66861699491961957</v>
      </c>
      <c r="F20" s="4">
        <v>0.29789522486671943</v>
      </c>
      <c r="G20" s="4">
        <v>0.23360790474713394</v>
      </c>
      <c r="H20" s="4">
        <v>0.19290276617692351</v>
      </c>
      <c r="I20" s="4">
        <v>0.14897455504060778</v>
      </c>
      <c r="J20" s="31">
        <v>0.12848177801718344</v>
      </c>
      <c r="K20" s="108">
        <v>6.1799500456624815E-2</v>
      </c>
    </row>
    <row r="21" spans="1:13">
      <c r="A21" s="40"/>
      <c r="B21" s="39" t="s">
        <v>65</v>
      </c>
      <c r="C21" s="31">
        <v>0.8422083538696401</v>
      </c>
      <c r="D21" s="4"/>
      <c r="E21" s="4">
        <v>0.6878688653053926</v>
      </c>
      <c r="F21" s="4">
        <v>0.25879474402152219</v>
      </c>
      <c r="G21" s="4">
        <v>0.18927660739548346</v>
      </c>
      <c r="H21" s="4">
        <v>0.14392174943722044</v>
      </c>
      <c r="I21" s="4">
        <v>0.12296587294203475</v>
      </c>
      <c r="J21" s="31">
        <v>0.10170010977334813</v>
      </c>
      <c r="K21" s="108">
        <v>5.1243944273959757E-2</v>
      </c>
    </row>
    <row r="22" spans="1:13">
      <c r="A22" s="40"/>
      <c r="B22" s="39" t="s">
        <v>66</v>
      </c>
      <c r="C22" s="31">
        <v>0.73602959898406828</v>
      </c>
      <c r="D22" s="4"/>
      <c r="E22" s="4">
        <v>0.55477986414494174</v>
      </c>
      <c r="F22" s="4">
        <v>0.1942820906391087</v>
      </c>
      <c r="G22" s="4">
        <v>0.14481314366590492</v>
      </c>
      <c r="H22" s="4">
        <v>9.0896896126038157E-2</v>
      </c>
      <c r="I22" s="4">
        <v>0.10638446149260934</v>
      </c>
      <c r="J22" s="31">
        <v>7.0144194779256888E-2</v>
      </c>
      <c r="K22" s="108">
        <v>6.536124738977471E-2</v>
      </c>
    </row>
    <row r="23" spans="1:13">
      <c r="A23" s="40"/>
      <c r="B23" s="40"/>
      <c r="C23" s="31"/>
      <c r="D23" s="4"/>
      <c r="E23" s="4"/>
      <c r="F23" s="4"/>
      <c r="G23" s="4"/>
      <c r="J23" s="31"/>
    </row>
    <row r="24" spans="1:13">
      <c r="A24" s="40" t="s">
        <v>56</v>
      </c>
      <c r="B24" s="40" t="s">
        <v>55</v>
      </c>
      <c r="C24" s="94">
        <v>0.85311692490977376</v>
      </c>
      <c r="D24" s="33"/>
      <c r="E24" s="33">
        <v>0.60013127506287844</v>
      </c>
      <c r="F24" s="33">
        <v>0.27741502105513299</v>
      </c>
      <c r="G24" s="33">
        <v>0.27040198380806163</v>
      </c>
      <c r="H24" s="33">
        <v>0.22067978405304675</v>
      </c>
      <c r="I24" s="33">
        <v>0.23761848509850042</v>
      </c>
      <c r="J24" s="94">
        <v>0.12797045288257788</v>
      </c>
      <c r="K24" s="33">
        <v>0.10590120523894454</v>
      </c>
    </row>
    <row r="25" spans="1:13">
      <c r="A25" s="39" t="s">
        <v>59</v>
      </c>
      <c r="B25" s="39" t="s">
        <v>60</v>
      </c>
      <c r="C25" s="31">
        <v>0.83813572079397225</v>
      </c>
      <c r="D25" s="4"/>
      <c r="E25" s="4">
        <v>0.5542652879625708</v>
      </c>
      <c r="F25" s="4">
        <v>0.41448187586583207</v>
      </c>
      <c r="G25" s="4">
        <v>0.28953874854825878</v>
      </c>
      <c r="H25" s="4">
        <v>0.34482418594311398</v>
      </c>
      <c r="I25" s="4">
        <v>0.31280492325497533</v>
      </c>
      <c r="J25" s="31">
        <v>0.16400557849237166</v>
      </c>
      <c r="K25" s="108">
        <v>0.15030592126802853</v>
      </c>
    </row>
    <row r="26" spans="1:13">
      <c r="A26" s="40"/>
      <c r="B26" s="39" t="s">
        <v>61</v>
      </c>
      <c r="C26" s="31">
        <v>0.87791681682474287</v>
      </c>
      <c r="D26" s="4"/>
      <c r="E26" s="4">
        <v>0.52787562754300366</v>
      </c>
      <c r="F26" s="4">
        <v>0.34235177627578445</v>
      </c>
      <c r="G26" s="4">
        <v>0.39965473970102333</v>
      </c>
      <c r="H26" s="4">
        <v>0.34225853152759705</v>
      </c>
      <c r="I26" s="4">
        <v>0.34000807076603035</v>
      </c>
      <c r="J26" s="31">
        <v>0.17841369633889045</v>
      </c>
      <c r="K26" s="108">
        <v>0.17866800875192362</v>
      </c>
    </row>
    <row r="27" spans="1:13">
      <c r="A27" s="40"/>
      <c r="B27" s="39" t="s">
        <v>62</v>
      </c>
      <c r="C27" s="31">
        <v>0.89744953439539799</v>
      </c>
      <c r="D27" s="4"/>
      <c r="E27" s="4">
        <v>0.57278159143703156</v>
      </c>
      <c r="F27" s="4">
        <v>0.31115689447078265</v>
      </c>
      <c r="G27" s="4">
        <v>0.3981075817014974</v>
      </c>
      <c r="H27" s="4">
        <v>0.30666025244373729</v>
      </c>
      <c r="I27" s="4">
        <v>0.30735540827558888</v>
      </c>
      <c r="J27" s="31">
        <v>0.1898338947333604</v>
      </c>
      <c r="K27" s="108">
        <v>0.16689136979968697</v>
      </c>
    </row>
    <row r="28" spans="1:13">
      <c r="A28" s="40"/>
      <c r="B28" s="39" t="s">
        <v>63</v>
      </c>
      <c r="C28" s="31">
        <v>0.88306439261355951</v>
      </c>
      <c r="D28" s="4"/>
      <c r="E28" s="4">
        <v>0.5784301308858858</v>
      </c>
      <c r="F28" s="4">
        <v>0.3050262639667593</v>
      </c>
      <c r="G28" s="4">
        <v>0.31110926646797027</v>
      </c>
      <c r="H28" s="4">
        <v>0.25784327470847362</v>
      </c>
      <c r="I28" s="4">
        <v>0.23582538833079134</v>
      </c>
      <c r="J28" s="31">
        <v>0.14947571807459159</v>
      </c>
      <c r="K28" s="108">
        <v>0.11906808841645128</v>
      </c>
    </row>
    <row r="29" spans="1:13">
      <c r="A29" s="40"/>
      <c r="B29" s="39" t="s">
        <v>64</v>
      </c>
      <c r="C29" s="31">
        <v>0.87099814003256382</v>
      </c>
      <c r="D29" s="4"/>
      <c r="E29" s="4">
        <v>0.65932699389268057</v>
      </c>
      <c r="F29" s="4">
        <v>0.26422004985841696</v>
      </c>
      <c r="G29" s="4">
        <v>0.23102970280606067</v>
      </c>
      <c r="H29" s="4">
        <v>0.19510270567962895</v>
      </c>
      <c r="I29" s="4">
        <v>0.20996726811599614</v>
      </c>
      <c r="J29" s="31">
        <v>0.11383947527236715</v>
      </c>
      <c r="K29" s="108">
        <v>7.6492642176560974E-2</v>
      </c>
    </row>
    <row r="30" spans="1:13">
      <c r="A30" s="40"/>
      <c r="B30" s="39" t="s">
        <v>65</v>
      </c>
      <c r="C30" s="31">
        <v>0.85751832002221695</v>
      </c>
      <c r="D30" s="4"/>
      <c r="E30" s="4">
        <v>0.69809575941352819</v>
      </c>
      <c r="F30" s="4">
        <v>0.23260714340381694</v>
      </c>
      <c r="G30" s="4">
        <v>0.18414686470460429</v>
      </c>
      <c r="H30" s="4">
        <v>0.15152565518262306</v>
      </c>
      <c r="I30" s="4">
        <v>0.17366222580979468</v>
      </c>
      <c r="J30" s="31">
        <v>8.0826267824183215E-2</v>
      </c>
      <c r="K30" s="108">
        <v>5.5392665388151852E-2</v>
      </c>
    </row>
    <row r="31" spans="1:13">
      <c r="A31" s="40"/>
      <c r="B31" s="39" t="s">
        <v>66</v>
      </c>
      <c r="C31" s="31">
        <v>0.75972388555934045</v>
      </c>
      <c r="D31" s="4"/>
      <c r="E31" s="4">
        <v>0.58111051729536312</v>
      </c>
      <c r="F31" s="4">
        <v>0.19595764345662961</v>
      </c>
      <c r="G31" s="4">
        <v>0.13243461260972036</v>
      </c>
      <c r="H31" s="4">
        <v>8.1097840722222841E-2</v>
      </c>
      <c r="I31" s="4">
        <v>0.16650784647277281</v>
      </c>
      <c r="J31" s="31">
        <v>6.0182777481187402E-2</v>
      </c>
      <c r="K31" s="108">
        <v>4.5633092000617062E-2</v>
      </c>
    </row>
    <row r="32" spans="1:13">
      <c r="A32" s="40"/>
      <c r="B32" s="39"/>
      <c r="C32" s="31"/>
      <c r="D32" s="4"/>
      <c r="E32" s="4"/>
      <c r="F32" s="4"/>
      <c r="G32" s="4"/>
      <c r="J32" s="31"/>
    </row>
    <row r="33" spans="1:13">
      <c r="A33" s="40" t="s">
        <v>57</v>
      </c>
      <c r="B33" s="40" t="s">
        <v>55</v>
      </c>
      <c r="C33" s="94">
        <v>0.83112653099287792</v>
      </c>
      <c r="D33" s="33"/>
      <c r="E33" s="33">
        <v>0.62213106256930828</v>
      </c>
      <c r="F33" s="33">
        <v>0.3083346575613079</v>
      </c>
      <c r="G33" s="33">
        <v>0.27818794733493235</v>
      </c>
      <c r="H33" s="33">
        <v>0.20154229215634978</v>
      </c>
      <c r="I33" s="33">
        <v>0.12475982390441677</v>
      </c>
      <c r="J33" s="94">
        <v>0.15633039260709108</v>
      </c>
      <c r="K33" s="33">
        <v>7.4466460357223943E-2</v>
      </c>
    </row>
    <row r="34" spans="1:13">
      <c r="A34" s="39" t="s">
        <v>59</v>
      </c>
      <c r="B34" s="39" t="s">
        <v>60</v>
      </c>
      <c r="C34" s="31">
        <v>0.84559527897279751</v>
      </c>
      <c r="D34" s="4"/>
      <c r="E34" s="4">
        <v>0.55209074111431289</v>
      </c>
      <c r="F34" s="4">
        <v>0.41948087343304791</v>
      </c>
      <c r="G34" s="4">
        <v>0.32473311704818131</v>
      </c>
      <c r="H34" s="4">
        <v>0.29018439603286023</v>
      </c>
      <c r="I34" s="4">
        <v>0.34996955688480236</v>
      </c>
      <c r="J34" s="31">
        <v>0.17961742218838989</v>
      </c>
      <c r="K34" s="108">
        <v>8.9542159259006604E-2</v>
      </c>
    </row>
    <row r="35" spans="1:13">
      <c r="A35" s="39"/>
      <c r="B35" s="39" t="s">
        <v>61</v>
      </c>
      <c r="C35" s="31">
        <v>0.87214698863044571</v>
      </c>
      <c r="D35" s="4"/>
      <c r="E35" s="4">
        <v>0.61013201185334776</v>
      </c>
      <c r="F35" s="4">
        <v>0.37629717981242272</v>
      </c>
      <c r="G35" s="4">
        <v>0.42993619944686001</v>
      </c>
      <c r="H35" s="4">
        <v>0.31534590726231865</v>
      </c>
      <c r="I35" s="4">
        <v>0.22165103582244791</v>
      </c>
      <c r="J35" s="31">
        <v>0.22099265831403456</v>
      </c>
      <c r="K35" s="108">
        <v>0.11545119782350451</v>
      </c>
    </row>
    <row r="36" spans="1:13">
      <c r="A36" s="39"/>
      <c r="B36" s="39" t="s">
        <v>62</v>
      </c>
      <c r="C36" s="31">
        <v>0.88889939730042167</v>
      </c>
      <c r="D36" s="4"/>
      <c r="E36" s="4">
        <v>0.6420381240871833</v>
      </c>
      <c r="F36" s="4">
        <v>0.34748844471451995</v>
      </c>
      <c r="G36" s="4">
        <v>0.40326366360223936</v>
      </c>
      <c r="H36" s="4">
        <v>0.27901707329986208</v>
      </c>
      <c r="I36" s="4">
        <v>0.16978688465312161</v>
      </c>
      <c r="J36" s="31">
        <v>0.23686100484877823</v>
      </c>
      <c r="K36" s="108">
        <v>8.7833850516578299E-2</v>
      </c>
    </row>
    <row r="37" spans="1:13">
      <c r="A37" s="39"/>
      <c r="B37" s="39" t="s">
        <v>63</v>
      </c>
      <c r="C37" s="31">
        <v>0.87027737737879074</v>
      </c>
      <c r="D37" s="4"/>
      <c r="E37" s="4">
        <v>0.64521120624560746</v>
      </c>
      <c r="F37" s="4">
        <v>0.34876286347873969</v>
      </c>
      <c r="G37" s="4">
        <v>0.31343943140036773</v>
      </c>
      <c r="H37" s="4">
        <v>0.22813764265607461</v>
      </c>
      <c r="I37" s="4">
        <v>0.13070605688265657</v>
      </c>
      <c r="J37" s="31">
        <v>0.1694799460753888</v>
      </c>
      <c r="K37" s="108">
        <v>6.927087771435167E-2</v>
      </c>
    </row>
    <row r="38" spans="1:13">
      <c r="A38" s="39"/>
      <c r="B38" s="39" t="s">
        <v>64</v>
      </c>
      <c r="C38" s="31">
        <v>0.85683427533450784</v>
      </c>
      <c r="D38" s="4"/>
      <c r="E38" s="4">
        <v>0.67643638624241675</v>
      </c>
      <c r="F38" s="4">
        <v>0.33153695546437151</v>
      </c>
      <c r="G38" s="4">
        <v>0.2358278365313185</v>
      </c>
      <c r="H38" s="4">
        <v>0.19062971195859491</v>
      </c>
      <c r="I38" s="4">
        <v>8.8692920109945089E-2</v>
      </c>
      <c r="J38" s="31">
        <v>0.14297756496293779</v>
      </c>
      <c r="K38" s="108">
        <v>4.6806247140147306E-2</v>
      </c>
    </row>
    <row r="39" spans="1:13">
      <c r="A39" s="39"/>
      <c r="B39" s="39" t="s">
        <v>65</v>
      </c>
      <c r="C39" s="31">
        <v>0.82775037809031193</v>
      </c>
      <c r="D39" s="4"/>
      <c r="E39" s="4">
        <v>0.67810750382511331</v>
      </c>
      <c r="F39" s="4">
        <v>0.28354461098121519</v>
      </c>
      <c r="G39" s="4">
        <v>0.19421281139007482</v>
      </c>
      <c r="H39" s="4">
        <v>0.13672753680713975</v>
      </c>
      <c r="I39" s="4">
        <v>7.4855891085053222E-2</v>
      </c>
      <c r="J39" s="31">
        <v>0.12177593216062561</v>
      </c>
      <c r="K39" s="108">
        <v>4.7226759240258979E-2</v>
      </c>
    </row>
    <row r="40" spans="1:13">
      <c r="A40" s="132"/>
      <c r="B40" s="132" t="s">
        <v>66</v>
      </c>
      <c r="C40" s="139">
        <v>0.7176144225793385</v>
      </c>
      <c r="D40" s="137"/>
      <c r="E40" s="137">
        <v>0.53357447503773403</v>
      </c>
      <c r="F40" s="137">
        <v>0.1935114164666123</v>
      </c>
      <c r="G40" s="137">
        <v>0.15597417237709235</v>
      </c>
      <c r="H40" s="137">
        <v>9.9376316941858514E-2</v>
      </c>
      <c r="I40" s="137">
        <v>5.4071144922407353E-2</v>
      </c>
      <c r="J40" s="139">
        <v>7.9274476421246187E-2</v>
      </c>
      <c r="K40" s="138">
        <v>8.2770709537971512E-2</v>
      </c>
    </row>
    <row r="41" spans="1:13">
      <c r="A41" s="72"/>
      <c r="B41" s="72"/>
      <c r="C41" s="156" t="s">
        <v>146</v>
      </c>
      <c r="D41" s="156"/>
      <c r="E41" s="156"/>
      <c r="F41" s="156"/>
      <c r="G41" s="156"/>
      <c r="H41" s="156"/>
      <c r="I41" s="156"/>
      <c r="J41" s="156"/>
      <c r="K41" s="156"/>
    </row>
    <row r="42" spans="1:13">
      <c r="A42" s="40" t="s">
        <v>144</v>
      </c>
      <c r="B42" s="40" t="s">
        <v>55</v>
      </c>
      <c r="C42" s="89">
        <v>18427272.1147011</v>
      </c>
      <c r="D42" s="85"/>
      <c r="E42" s="85">
        <v>13383290.595230147</v>
      </c>
      <c r="F42" s="85">
        <v>6429183.8250849601</v>
      </c>
      <c r="G42" s="85">
        <v>6008809.3816109253</v>
      </c>
      <c r="H42" s="85">
        <v>4623909.0357607957</v>
      </c>
      <c r="I42" s="85">
        <v>3942192.1475054636</v>
      </c>
      <c r="J42" s="89">
        <v>3116690.7089173743</v>
      </c>
      <c r="K42" s="89">
        <v>1969666.4763817736</v>
      </c>
      <c r="L42" s="49"/>
      <c r="M42" s="49"/>
    </row>
    <row r="43" spans="1:13">
      <c r="A43" s="39" t="s">
        <v>59</v>
      </c>
      <c r="B43" s="39" t="s">
        <v>60</v>
      </c>
      <c r="C43" s="91">
        <v>816985.03464597429</v>
      </c>
      <c r="D43" s="50"/>
      <c r="E43" s="86">
        <v>539622.14794851898</v>
      </c>
      <c r="F43" s="86">
        <v>407604.48414612078</v>
      </c>
      <c r="G43" s="86">
        <v>299988.71333229053</v>
      </c>
      <c r="H43" s="86">
        <v>312403.88887576567</v>
      </c>
      <c r="I43" s="86">
        <v>320447.26642890781</v>
      </c>
      <c r="J43" s="91">
        <v>164926.62258567658</v>
      </c>
      <c r="K43" s="91">
        <v>118480.10624320401</v>
      </c>
      <c r="L43" s="49"/>
      <c r="M43" s="49"/>
    </row>
    <row r="44" spans="1:13">
      <c r="A44" s="40"/>
      <c r="B44" s="39" t="s">
        <v>61</v>
      </c>
      <c r="C44" s="91">
        <v>2060811.5649451402</v>
      </c>
      <c r="D44" s="50"/>
      <c r="E44" s="86">
        <v>1340220.9215021317</v>
      </c>
      <c r="F44" s="86">
        <v>847908.1513009601</v>
      </c>
      <c r="G44" s="86">
        <v>971938.80075342488</v>
      </c>
      <c r="H44" s="86">
        <v>771683.30623938353</v>
      </c>
      <c r="I44" s="86">
        <v>659390.27906653774</v>
      </c>
      <c r="J44" s="91">
        <v>469267.11678590666</v>
      </c>
      <c r="K44" s="91">
        <v>346130.03166034591</v>
      </c>
      <c r="L44" s="49"/>
      <c r="M44" s="49"/>
    </row>
    <row r="45" spans="1:13">
      <c r="A45" s="40"/>
      <c r="B45" s="39" t="s">
        <v>62</v>
      </c>
      <c r="C45" s="91">
        <v>3481225.7254564241</v>
      </c>
      <c r="D45" s="50"/>
      <c r="E45" s="86">
        <v>2367833.3196580638</v>
      </c>
      <c r="F45" s="86">
        <v>1287217.6345422263</v>
      </c>
      <c r="G45" s="86">
        <v>1559294.9159101108</v>
      </c>
      <c r="H45" s="86">
        <v>1138712.7775546683</v>
      </c>
      <c r="I45" s="86">
        <v>927166.98751988017</v>
      </c>
      <c r="J45" s="91">
        <v>830778.63877110241</v>
      </c>
      <c r="K45" s="91">
        <v>495067.60203729133</v>
      </c>
      <c r="L45" s="49"/>
      <c r="M45" s="49"/>
    </row>
    <row r="46" spans="1:13">
      <c r="A46" s="40"/>
      <c r="B46" s="39" t="s">
        <v>63</v>
      </c>
      <c r="C46" s="91">
        <v>3258521.5604865877</v>
      </c>
      <c r="D46" s="50"/>
      <c r="E46" s="86">
        <v>2275316.6424560826</v>
      </c>
      <c r="F46" s="86">
        <v>1217528.5998962906</v>
      </c>
      <c r="G46" s="86">
        <v>1160948.3109175533</v>
      </c>
      <c r="H46" s="86">
        <v>904747.63614060101</v>
      </c>
      <c r="I46" s="86">
        <v>678134.51542418846</v>
      </c>
      <c r="J46" s="91">
        <v>593327.8776315694</v>
      </c>
      <c r="K46" s="91">
        <v>349385.15354125731</v>
      </c>
      <c r="L46" s="49"/>
      <c r="M46" s="49"/>
    </row>
    <row r="47" spans="1:13">
      <c r="A47" s="40"/>
      <c r="B47" s="39" t="s">
        <v>64</v>
      </c>
      <c r="C47" s="91">
        <v>2868387.6268386291</v>
      </c>
      <c r="D47" s="50"/>
      <c r="E47" s="86">
        <v>2219466.5887365798</v>
      </c>
      <c r="F47" s="86">
        <v>988859.8458603929</v>
      </c>
      <c r="G47" s="86">
        <v>775458.81033633149</v>
      </c>
      <c r="H47" s="86">
        <v>640338.56102628261</v>
      </c>
      <c r="I47" s="86">
        <v>494519.35861169256</v>
      </c>
      <c r="J47" s="91">
        <v>426493.81594748475</v>
      </c>
      <c r="K47" s="91">
        <v>205142.74615556136</v>
      </c>
      <c r="L47" s="49"/>
      <c r="M47" s="49"/>
    </row>
    <row r="48" spans="1:13">
      <c r="A48" s="40"/>
      <c r="B48" s="39" t="s">
        <v>65</v>
      </c>
      <c r="C48" s="91">
        <v>2580498.3474595565</v>
      </c>
      <c r="D48" s="50"/>
      <c r="E48" s="86">
        <v>2107607.2946008719</v>
      </c>
      <c r="F48" s="86">
        <v>792938.47681558901</v>
      </c>
      <c r="G48" s="86">
        <v>579937.22141634906</v>
      </c>
      <c r="H48" s="86">
        <v>440971.44712449709</v>
      </c>
      <c r="I48" s="86">
        <v>376763.33945502195</v>
      </c>
      <c r="J48" s="91">
        <v>311605.74933836533</v>
      </c>
      <c r="K48" s="91">
        <v>157009.73863378531</v>
      </c>
      <c r="L48" s="49"/>
      <c r="M48" s="49"/>
    </row>
    <row r="49" spans="1:13">
      <c r="A49" s="40"/>
      <c r="B49" s="39" t="s">
        <v>66</v>
      </c>
      <c r="C49" s="91">
        <v>3360842.2548689311</v>
      </c>
      <c r="D49" s="50"/>
      <c r="E49" s="86">
        <v>2533223.6803280027</v>
      </c>
      <c r="F49" s="86">
        <v>887126.63252327393</v>
      </c>
      <c r="G49" s="86">
        <v>661242.60894474317</v>
      </c>
      <c r="H49" s="86">
        <v>415051.41879957682</v>
      </c>
      <c r="I49" s="86">
        <v>485770.40099929099</v>
      </c>
      <c r="J49" s="91">
        <v>320290.88785733195</v>
      </c>
      <c r="K49" s="91">
        <v>298451.09811032383</v>
      </c>
      <c r="L49" s="49"/>
      <c r="M49" s="49"/>
    </row>
    <row r="50" spans="1:13">
      <c r="A50" s="40"/>
      <c r="B50" s="40"/>
      <c r="C50" s="90"/>
      <c r="D50" s="50"/>
      <c r="E50" s="26"/>
      <c r="F50" s="26"/>
      <c r="G50" s="26"/>
      <c r="J50" s="92"/>
      <c r="K50" s="92"/>
      <c r="L50" s="49"/>
      <c r="M50" s="49"/>
    </row>
    <row r="51" spans="1:13">
      <c r="A51" s="40" t="s">
        <v>56</v>
      </c>
      <c r="B51" s="40" t="s">
        <v>55</v>
      </c>
      <c r="C51" s="93">
        <v>9148365.7838083506</v>
      </c>
      <c r="D51" s="51"/>
      <c r="E51" s="85">
        <v>6435484.1197871724</v>
      </c>
      <c r="F51" s="85">
        <v>2974849.0651544174</v>
      </c>
      <c r="G51" s="85">
        <v>2899645.0361188119</v>
      </c>
      <c r="H51" s="85">
        <v>2366450.9830497438</v>
      </c>
      <c r="I51" s="85">
        <v>2548092.4773651636</v>
      </c>
      <c r="J51" s="93">
        <v>1372286.1173024441</v>
      </c>
      <c r="K51" s="93">
        <v>1135627.4083701824</v>
      </c>
      <c r="L51" s="49"/>
      <c r="M51" s="49"/>
    </row>
    <row r="52" spans="1:13">
      <c r="A52" s="39" t="s">
        <v>59</v>
      </c>
      <c r="B52" s="39" t="s">
        <v>60</v>
      </c>
      <c r="C52" s="90">
        <v>415858.97218223219</v>
      </c>
      <c r="D52" s="50"/>
      <c r="E52" s="86">
        <v>275010.5827133258</v>
      </c>
      <c r="F52" s="86">
        <v>205654.05173573186</v>
      </c>
      <c r="G52" s="86">
        <v>143660.84560164783</v>
      </c>
      <c r="H52" s="86">
        <v>171091.89835512091</v>
      </c>
      <c r="I52" s="86">
        <v>155204.85602872015</v>
      </c>
      <c r="J52" s="90">
        <v>81374.877137297866</v>
      </c>
      <c r="K52" s="90">
        <v>74577.499062101051</v>
      </c>
      <c r="L52" s="49"/>
      <c r="M52" s="49"/>
    </row>
    <row r="53" spans="1:13">
      <c r="A53" s="40"/>
      <c r="B53" s="39" t="s">
        <v>61</v>
      </c>
      <c r="C53" s="90">
        <v>1051968.609146964</v>
      </c>
      <c r="D53" s="50"/>
      <c r="E53" s="86">
        <v>632529.84686799743</v>
      </c>
      <c r="F53" s="86">
        <v>410224.88124831585</v>
      </c>
      <c r="G53" s="86">
        <v>478888.46939152107</v>
      </c>
      <c r="H53" s="86">
        <v>410113.15022075025</v>
      </c>
      <c r="I53" s="86">
        <v>407416.52335142146</v>
      </c>
      <c r="J53" s="90">
        <v>213785.18373667146</v>
      </c>
      <c r="K53" s="90">
        <v>214089.91497122613</v>
      </c>
      <c r="L53" s="49"/>
      <c r="M53" s="49"/>
    </row>
    <row r="54" spans="1:13">
      <c r="A54" s="40"/>
      <c r="B54" s="39" t="s">
        <v>62</v>
      </c>
      <c r="C54" s="90">
        <v>1741925.8338943871</v>
      </c>
      <c r="D54" s="50"/>
      <c r="E54" s="86">
        <v>1111753.9349724818</v>
      </c>
      <c r="F54" s="86">
        <v>603947.31079575815</v>
      </c>
      <c r="G54" s="86">
        <v>772716.29730383062</v>
      </c>
      <c r="H54" s="86">
        <v>595219.44743131567</v>
      </c>
      <c r="I54" s="86">
        <v>596568.72653356672</v>
      </c>
      <c r="J54" s="90">
        <v>368462.57389570249</v>
      </c>
      <c r="K54" s="90">
        <v>323931.7391856981</v>
      </c>
      <c r="L54" s="49"/>
      <c r="M54" s="49"/>
    </row>
    <row r="55" spans="1:13">
      <c r="A55" s="40"/>
      <c r="B55" s="39" t="s">
        <v>63</v>
      </c>
      <c r="C55" s="90">
        <v>1619636.4799032484</v>
      </c>
      <c r="D55" s="50"/>
      <c r="E55" s="86">
        <v>1060903.9939717823</v>
      </c>
      <c r="F55" s="86">
        <v>559451.46082382672</v>
      </c>
      <c r="G55" s="86">
        <v>570608.35135266429</v>
      </c>
      <c r="H55" s="86">
        <v>472912.70864129515</v>
      </c>
      <c r="I55" s="86">
        <v>432529.50183786469</v>
      </c>
      <c r="J55" s="90">
        <v>274154.78177850886</v>
      </c>
      <c r="K55" s="90">
        <v>218383.87008321178</v>
      </c>
      <c r="L55" s="49"/>
      <c r="M55" s="49"/>
    </row>
    <row r="56" spans="1:13">
      <c r="A56" s="40"/>
      <c r="B56" s="39" t="s">
        <v>64</v>
      </c>
      <c r="C56" s="90">
        <v>1420356.8970498072</v>
      </c>
      <c r="D56" s="50"/>
      <c r="E56" s="86">
        <v>1075179.8426935482</v>
      </c>
      <c r="F56" s="86">
        <v>430869.77216876223</v>
      </c>
      <c r="G56" s="86">
        <v>376745.50234020845</v>
      </c>
      <c r="H56" s="86">
        <v>318158.51367349544</v>
      </c>
      <c r="I56" s="86">
        <v>342398.50088785653</v>
      </c>
      <c r="J56" s="90">
        <v>185640.67640097658</v>
      </c>
      <c r="K56" s="90">
        <v>124738.32824141208</v>
      </c>
      <c r="L56" s="49"/>
      <c r="M56" s="49"/>
    </row>
    <row r="57" spans="1:13">
      <c r="A57" s="40"/>
      <c r="B57" s="39" t="s">
        <v>65</v>
      </c>
      <c r="C57" s="90">
        <v>1279916.6573854003</v>
      </c>
      <c r="D57" s="50"/>
      <c r="E57" s="86">
        <v>1041965.36687442</v>
      </c>
      <c r="F57" s="86">
        <v>347185.3026553024</v>
      </c>
      <c r="G57" s="86">
        <v>274854.34892471129</v>
      </c>
      <c r="H57" s="86">
        <v>226164.50933019249</v>
      </c>
      <c r="I57" s="86">
        <v>259205.16259853463</v>
      </c>
      <c r="J57" s="90">
        <v>120639.85588061309</v>
      </c>
      <c r="K57" s="90">
        <v>82678.111326454717</v>
      </c>
      <c r="L57" s="49"/>
      <c r="M57" s="49"/>
    </row>
    <row r="58" spans="1:13">
      <c r="A58" s="40"/>
      <c r="B58" s="39" t="s">
        <v>66</v>
      </c>
      <c r="C58" s="90">
        <v>1618702.3342462354</v>
      </c>
      <c r="D58" s="50"/>
      <c r="E58" s="86">
        <v>1238140.5516933294</v>
      </c>
      <c r="F58" s="86">
        <v>417516.28572675999</v>
      </c>
      <c r="G58" s="86">
        <v>282171.22120429383</v>
      </c>
      <c r="H58" s="86">
        <v>172790.75539759116</v>
      </c>
      <c r="I58" s="86">
        <v>354769.20612724236</v>
      </c>
      <c r="J58" s="90">
        <v>128228.16847267692</v>
      </c>
      <c r="K58" s="90">
        <v>97227.945500079324</v>
      </c>
      <c r="L58" s="49"/>
      <c r="M58" s="49"/>
    </row>
    <row r="59" spans="1:13">
      <c r="A59" s="40"/>
      <c r="B59" s="39"/>
      <c r="C59" s="90"/>
      <c r="D59" s="50"/>
      <c r="E59" s="26"/>
      <c r="F59" s="26"/>
      <c r="G59" s="26"/>
      <c r="J59" s="92"/>
      <c r="K59" s="92"/>
      <c r="L59" s="49"/>
      <c r="M59" s="49"/>
    </row>
    <row r="60" spans="1:13">
      <c r="A60" s="40" t="s">
        <v>57</v>
      </c>
      <c r="B60" s="40" t="s">
        <v>55</v>
      </c>
      <c r="C60" s="93">
        <v>9174378.5255314577</v>
      </c>
      <c r="D60" s="51"/>
      <c r="E60" s="85">
        <v>6867384.9861145141</v>
      </c>
      <c r="F60" s="85">
        <v>3403547.781862109</v>
      </c>
      <c r="G60" s="85">
        <v>3070773.7449343316</v>
      </c>
      <c r="H60" s="85">
        <v>2224721.7579936059</v>
      </c>
      <c r="I60" s="85">
        <v>1377159.5618664899</v>
      </c>
      <c r="J60" s="93">
        <v>1725650.8405633948</v>
      </c>
      <c r="K60" s="93">
        <v>821996.97554776922</v>
      </c>
      <c r="L60" s="49"/>
      <c r="M60" s="49"/>
    </row>
    <row r="61" spans="1:13">
      <c r="A61" s="39" t="s">
        <v>59</v>
      </c>
      <c r="B61" s="39" t="s">
        <v>60</v>
      </c>
      <c r="C61" s="90">
        <v>388264.23315110971</v>
      </c>
      <c r="D61" s="50"/>
      <c r="E61" s="86">
        <v>253498.4448931299</v>
      </c>
      <c r="F61" s="86">
        <v>192609.18750976081</v>
      </c>
      <c r="G61" s="86">
        <v>149104.72870974682</v>
      </c>
      <c r="H61" s="86">
        <v>133241.3091697747</v>
      </c>
      <c r="I61" s="86">
        <v>160692.31346132277</v>
      </c>
      <c r="J61" s="90">
        <v>82473.285294675574</v>
      </c>
      <c r="K61" s="90">
        <v>41114.252484504643</v>
      </c>
      <c r="L61" s="49"/>
      <c r="M61" s="49"/>
    </row>
    <row r="62" spans="1:13">
      <c r="A62" s="39"/>
      <c r="B62" s="39" t="s">
        <v>61</v>
      </c>
      <c r="C62" s="90">
        <v>973924.79941210535</v>
      </c>
      <c r="D62" s="50"/>
      <c r="E62" s="86">
        <v>681333.19842369552</v>
      </c>
      <c r="F62" s="86">
        <v>420210.30875042698</v>
      </c>
      <c r="G62" s="86">
        <v>480108.89479056874</v>
      </c>
      <c r="H62" s="86">
        <v>352146.14449126896</v>
      </c>
      <c r="I62" s="86">
        <v>247517.26878269829</v>
      </c>
      <c r="J62" s="90">
        <v>246782.05993467392</v>
      </c>
      <c r="K62" s="90">
        <v>128924.12190600176</v>
      </c>
      <c r="L62" s="49"/>
      <c r="M62" s="49"/>
    </row>
    <row r="63" spans="1:13">
      <c r="A63" s="39"/>
      <c r="B63" s="39" t="s">
        <v>62</v>
      </c>
      <c r="C63" s="90">
        <v>1718079.0714358373</v>
      </c>
      <c r="D63" s="50"/>
      <c r="E63" s="86">
        <v>1240941.6266994148</v>
      </c>
      <c r="F63" s="86">
        <v>671631.26248361391</v>
      </c>
      <c r="G63" s="86">
        <v>779434.50384789752</v>
      </c>
      <c r="H63" s="86">
        <v>539288.6930350319</v>
      </c>
      <c r="I63" s="86">
        <v>328166.82519161428</v>
      </c>
      <c r="J63" s="90">
        <v>457808.76498042286</v>
      </c>
      <c r="K63" s="90">
        <v>169766.68090276068</v>
      </c>
      <c r="L63" s="49"/>
      <c r="M63" s="49"/>
    </row>
    <row r="64" spans="1:13">
      <c r="A64" s="39"/>
      <c r="B64" s="39" t="s">
        <v>63</v>
      </c>
      <c r="C64" s="90">
        <v>1625475.6533374176</v>
      </c>
      <c r="D64" s="50"/>
      <c r="E64" s="86">
        <v>1205104.4118503148</v>
      </c>
      <c r="F64" s="86">
        <v>651407.88225520623</v>
      </c>
      <c r="G64" s="86">
        <v>585431.9298425992</v>
      </c>
      <c r="H64" s="86">
        <v>426108.03565198893</v>
      </c>
      <c r="I64" s="86">
        <v>244128.50285320039</v>
      </c>
      <c r="J64" s="90">
        <v>316549.10633690649</v>
      </c>
      <c r="K64" s="90">
        <v>129381.88230185775</v>
      </c>
      <c r="L64" s="49"/>
      <c r="M64" s="49"/>
    </row>
    <row r="65" spans="1:23">
      <c r="A65" s="39"/>
      <c r="B65" s="39" t="s">
        <v>64</v>
      </c>
      <c r="C65" s="90">
        <v>1434991.4475618792</v>
      </c>
      <c r="D65" s="50"/>
      <c r="E65" s="86">
        <v>1132868.3469140851</v>
      </c>
      <c r="F65" s="86">
        <v>555244.70640059654</v>
      </c>
      <c r="G65" s="86">
        <v>394954.93850003538</v>
      </c>
      <c r="H65" s="86">
        <v>319258.94444987457</v>
      </c>
      <c r="I65" s="86">
        <v>148539.32140771637</v>
      </c>
      <c r="J65" s="90">
        <v>239453.05273291009</v>
      </c>
      <c r="K65" s="90">
        <v>78389.212794221196</v>
      </c>
      <c r="L65" s="49"/>
      <c r="M65" s="49"/>
    </row>
    <row r="66" spans="1:23">
      <c r="A66" s="39"/>
      <c r="B66" s="39" t="s">
        <v>65</v>
      </c>
      <c r="C66" s="90">
        <v>1295038.6184354541</v>
      </c>
      <c r="D66" s="50"/>
      <c r="E66" s="86">
        <v>1060918.1561842496</v>
      </c>
      <c r="F66" s="86">
        <v>443613.47453213437</v>
      </c>
      <c r="G66" s="86">
        <v>303851.37548995053</v>
      </c>
      <c r="H66" s="86">
        <v>213914.05556021622</v>
      </c>
      <c r="I66" s="86">
        <v>117114.13529788246</v>
      </c>
      <c r="J66" s="90">
        <v>190521.85189914799</v>
      </c>
      <c r="K66" s="90">
        <v>73887.585748726618</v>
      </c>
      <c r="L66" s="49"/>
      <c r="M66" s="49"/>
    </row>
    <row r="67" spans="1:23">
      <c r="A67" s="39"/>
      <c r="B67" s="39" t="s">
        <v>66</v>
      </c>
      <c r="C67" s="90">
        <v>1738604.7021976614</v>
      </c>
      <c r="D67" s="50"/>
      <c r="E67" s="86">
        <v>1292720.8011495764</v>
      </c>
      <c r="F67" s="86">
        <v>468830.95993041556</v>
      </c>
      <c r="G67" s="86">
        <v>377887.37375358475</v>
      </c>
      <c r="H67" s="86">
        <v>240764.57563546035</v>
      </c>
      <c r="I67" s="86">
        <v>131001.19487204871</v>
      </c>
      <c r="J67" s="90">
        <v>192062.71938465437</v>
      </c>
      <c r="K67" s="90">
        <v>200533.23940969721</v>
      </c>
      <c r="L67" s="49"/>
      <c r="M67" s="49"/>
    </row>
    <row r="68" spans="1:23">
      <c r="A68" s="132"/>
      <c r="B68" s="132"/>
      <c r="C68" s="180"/>
      <c r="D68" s="133"/>
      <c r="E68" s="133"/>
      <c r="F68" s="133"/>
      <c r="G68" s="133"/>
      <c r="H68" s="133"/>
      <c r="I68" s="133"/>
      <c r="J68" s="133"/>
      <c r="K68" s="133"/>
    </row>
    <row r="69" spans="1:23">
      <c r="A69" s="29" t="s">
        <v>147</v>
      </c>
    </row>
    <row r="70" spans="1:23">
      <c r="A70" s="16" t="s">
        <v>119</v>
      </c>
    </row>
    <row r="71" spans="1:23" ht="15" customHeight="1">
      <c r="A71" s="16" t="s">
        <v>120</v>
      </c>
      <c r="B71" s="29"/>
      <c r="C71" s="2"/>
      <c r="G71" s="2"/>
      <c r="K71" s="2"/>
      <c r="O71" s="2"/>
      <c r="S71" s="2"/>
      <c r="W71" s="2"/>
    </row>
    <row r="72" spans="1:23">
      <c r="A72" s="29" t="s">
        <v>118</v>
      </c>
    </row>
  </sheetData>
  <mergeCells count="2">
    <mergeCell ref="C41:K41"/>
    <mergeCell ref="C14:K14"/>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C42&lt;'34'!$C$104</xm:f>
            <x14:dxf>
              <font>
                <color rgb="FFFF0000"/>
              </font>
              <numFmt numFmtId="172" formatCode="\*\*0.0%"/>
            </x14:dxf>
          </x14:cfRule>
          <x14:cfRule type="expression" priority="4" id="{A8E4BA90-86F7-4D16-A1FA-E53F96B7178D}">
            <xm:f>C42&lt;'34'!$C$103</xm:f>
            <x14:dxf>
              <font>
                <color rgb="FF00B050"/>
              </font>
              <numFmt numFmtId="171" formatCode="\*0.0%"/>
            </x14:dxf>
          </x14:cfRule>
          <xm:sqref>C15:K40</xm:sqref>
        </x14:conditionalFormatting>
        <x14:conditionalFormatting xmlns:xm="http://schemas.microsoft.com/office/excel/2006/main">
          <x14:cfRule type="expression" priority="1" id="{154F2D5D-B890-4BA6-8460-FF49161BF3A3}">
            <xm:f>C42&lt;'34'!$C$104</xm:f>
            <x14:dxf>
              <font>
                <color rgb="FFFF0000"/>
              </font>
              <numFmt numFmtId="170" formatCode="\*\*#,###,###,##0"/>
            </x14:dxf>
          </x14:cfRule>
          <x14:cfRule type="expression" priority="2" id="{2ECF344A-5978-490F-9B33-C99F11969352}">
            <xm:f>C42&lt;'34'!$C$103</xm:f>
            <x14:dxf>
              <font>
                <color rgb="FF00B050"/>
              </font>
              <numFmt numFmtId="169" formatCode="\*#,###,###,##0"/>
            </x14:dxf>
          </x14:cfRule>
          <xm:sqref>C42:K67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sheetPr>
    <tabColor theme="0" tint="-4.9989318521683403E-2"/>
  </sheetPr>
  <dimension ref="A1:W55"/>
  <sheetViews>
    <sheetView zoomScaleNormal="100" workbookViewId="0">
      <pane xSplit="2" ySplit="13" topLeftCell="C14" activePane="bottomRight" state="frozen"/>
      <selection pane="bottomRight"/>
      <selection pane="bottomLeft"/>
      <selection pane="topRight"/>
    </sheetView>
  </sheetViews>
  <sheetFormatPr defaultColWidth="8.85546875" defaultRowHeight="15"/>
  <cols>
    <col min="1" max="2" width="15.7109375" style="1" customWidth="1"/>
    <col min="3" max="3" width="14.85546875" style="9" customWidth="1"/>
    <col min="4" max="4" width="7.42578125" style="1" customWidth="1"/>
    <col min="5" max="11" width="16.7109375" style="1" customWidth="1"/>
    <col min="12" max="16384" width="8.85546875" style="1"/>
  </cols>
  <sheetData>
    <row r="1" spans="1:12" s="77" customFormat="1">
      <c r="A1" s="34"/>
      <c r="B1" s="34"/>
      <c r="C1" s="125"/>
      <c r="D1" s="34"/>
      <c r="E1" s="34"/>
      <c r="F1" s="34"/>
      <c r="G1" s="34"/>
      <c r="H1" s="34"/>
      <c r="I1" s="34"/>
      <c r="J1" s="34"/>
      <c r="K1" s="34"/>
    </row>
    <row r="2" spans="1:12" s="77" customFormat="1">
      <c r="A2" s="34"/>
      <c r="B2" s="34"/>
      <c r="C2" s="125"/>
      <c r="D2" s="34"/>
      <c r="E2" s="34"/>
      <c r="F2" s="34"/>
      <c r="G2" s="34"/>
      <c r="H2" s="34"/>
      <c r="I2" s="34"/>
      <c r="J2" s="34"/>
      <c r="K2" s="34"/>
    </row>
    <row r="3" spans="1:12" s="77" customFormat="1">
      <c r="A3" s="34"/>
      <c r="B3" s="34"/>
      <c r="C3" s="125"/>
      <c r="D3" s="34"/>
      <c r="E3" s="34"/>
      <c r="F3" s="34"/>
      <c r="G3" s="34"/>
      <c r="H3" s="34"/>
      <c r="I3" s="34"/>
      <c r="J3" s="34"/>
      <c r="K3" s="34"/>
    </row>
    <row r="4" spans="1:12" s="77" customFormat="1">
      <c r="A4" s="34"/>
      <c r="B4" s="34"/>
      <c r="C4" s="125"/>
      <c r="D4" s="34"/>
      <c r="E4" s="34"/>
      <c r="F4" s="34"/>
      <c r="G4" s="34"/>
      <c r="H4" s="34"/>
      <c r="I4" s="34"/>
      <c r="J4" s="34"/>
      <c r="K4" s="34"/>
    </row>
    <row r="5" spans="1:12" s="77" customFormat="1">
      <c r="A5" s="34"/>
      <c r="B5" s="34"/>
      <c r="C5" s="125"/>
      <c r="D5" s="34"/>
      <c r="E5" s="34"/>
      <c r="F5" s="34"/>
      <c r="G5" s="34"/>
      <c r="H5" s="34"/>
      <c r="I5" s="34"/>
      <c r="J5" s="34"/>
      <c r="K5" s="34"/>
    </row>
    <row r="6" spans="1:12" s="77" customFormat="1">
      <c r="A6" s="34"/>
      <c r="B6" s="34"/>
      <c r="C6" s="125"/>
      <c r="D6" s="34"/>
      <c r="E6" s="34"/>
      <c r="F6" s="34"/>
      <c r="G6" s="34"/>
      <c r="H6" s="34"/>
      <c r="I6" s="34"/>
      <c r="J6" s="34"/>
      <c r="K6" s="34"/>
    </row>
    <row r="7" spans="1:12" s="77" customFormat="1">
      <c r="A7" s="34"/>
      <c r="B7" s="34"/>
      <c r="C7" s="125"/>
      <c r="D7" s="34"/>
      <c r="E7" s="34"/>
      <c r="F7" s="34"/>
      <c r="G7" s="34"/>
      <c r="H7" s="34"/>
      <c r="I7" s="34"/>
      <c r="J7" s="34"/>
      <c r="K7" s="34"/>
    </row>
    <row r="8" spans="1:12" s="77" customFormat="1">
      <c r="A8" s="35" t="s">
        <v>0</v>
      </c>
      <c r="B8" s="34"/>
      <c r="C8" s="34"/>
      <c r="D8" s="34"/>
      <c r="E8" s="34"/>
      <c r="F8" s="34"/>
      <c r="G8" s="34"/>
      <c r="H8" s="34"/>
      <c r="I8" s="34"/>
      <c r="J8" s="34"/>
      <c r="K8" s="34"/>
    </row>
    <row r="9" spans="1:12" s="77" customFormat="1">
      <c r="A9" s="34" t="s">
        <v>1</v>
      </c>
      <c r="B9" s="34"/>
      <c r="C9" s="35" t="s">
        <v>2</v>
      </c>
      <c r="D9" s="35"/>
      <c r="E9" s="34"/>
      <c r="F9" s="34"/>
      <c r="G9" s="34"/>
      <c r="H9" s="34"/>
      <c r="I9" s="34"/>
      <c r="J9" s="34"/>
      <c r="K9" s="34"/>
    </row>
    <row r="10" spans="1:12" s="77" customFormat="1">
      <c r="A10" s="34" t="s">
        <v>47</v>
      </c>
      <c r="B10" s="34"/>
      <c r="C10" s="36">
        <v>8</v>
      </c>
      <c r="D10" s="36"/>
      <c r="E10" s="34"/>
      <c r="F10" s="34"/>
      <c r="G10" s="34"/>
      <c r="H10" s="34"/>
      <c r="I10" s="34"/>
      <c r="J10" s="34"/>
      <c r="K10" s="34"/>
    </row>
    <row r="11" spans="1:12" s="77" customFormat="1">
      <c r="A11" s="34" t="s">
        <v>3</v>
      </c>
      <c r="B11" s="34"/>
      <c r="C11" s="35" t="s">
        <v>16</v>
      </c>
      <c r="D11" s="35"/>
      <c r="E11" s="34"/>
      <c r="F11" s="114" t="s">
        <v>145</v>
      </c>
      <c r="G11" s="34"/>
      <c r="H11" s="34"/>
      <c r="I11" s="34"/>
      <c r="J11" s="34"/>
      <c r="K11" s="34"/>
    </row>
    <row r="12" spans="1:12" s="77" customFormat="1">
      <c r="A12" s="130" t="s">
        <v>48</v>
      </c>
      <c r="B12" s="130"/>
      <c r="C12" s="131" t="s">
        <v>121</v>
      </c>
      <c r="D12" s="181"/>
      <c r="E12" s="130"/>
      <c r="F12" s="130"/>
      <c r="G12" s="130"/>
      <c r="H12" s="130"/>
      <c r="I12" s="130"/>
      <c r="J12" s="130"/>
      <c r="K12" s="130"/>
    </row>
    <row r="13" spans="1:12" s="8" customFormat="1" ht="50.1" customHeight="1">
      <c r="A13" s="105"/>
      <c r="B13" s="105"/>
      <c r="C13" s="42" t="s">
        <v>58</v>
      </c>
      <c r="D13" s="69"/>
      <c r="E13" s="69" t="s">
        <v>165</v>
      </c>
      <c r="F13" s="69" t="s">
        <v>166</v>
      </c>
      <c r="G13" s="69" t="s">
        <v>153</v>
      </c>
      <c r="H13" s="69" t="s">
        <v>167</v>
      </c>
      <c r="I13" s="69" t="s">
        <v>168</v>
      </c>
      <c r="J13" s="69" t="s">
        <v>169</v>
      </c>
      <c r="K13" s="69" t="s">
        <v>170</v>
      </c>
      <c r="L13" s="112" t="s">
        <v>145</v>
      </c>
    </row>
    <row r="14" spans="1:12">
      <c r="A14" s="72"/>
      <c r="B14" s="72"/>
      <c r="C14" s="156" t="s">
        <v>143</v>
      </c>
      <c r="D14" s="156"/>
      <c r="E14" s="156"/>
      <c r="F14" s="156"/>
      <c r="G14" s="156"/>
      <c r="H14" s="156"/>
      <c r="I14" s="156"/>
      <c r="J14" s="156"/>
      <c r="K14" s="156"/>
    </row>
    <row r="15" spans="1:12">
      <c r="A15" s="40" t="s">
        <v>144</v>
      </c>
      <c r="B15" s="40" t="s">
        <v>55</v>
      </c>
      <c r="C15" s="94">
        <v>0.71152375922434896</v>
      </c>
      <c r="D15" s="94"/>
      <c r="E15" s="94">
        <v>0.17437318987150607</v>
      </c>
      <c r="F15" s="94">
        <v>0.12799673228889452</v>
      </c>
      <c r="G15" s="94">
        <v>0.19057999332412326</v>
      </c>
      <c r="H15" s="94">
        <v>0.14826373592365014</v>
      </c>
      <c r="I15" s="94">
        <v>0.26596769450207591</v>
      </c>
      <c r="J15" s="94">
        <v>0.17282393349514211</v>
      </c>
      <c r="K15" s="94">
        <v>0.10249277729930246</v>
      </c>
    </row>
    <row r="16" spans="1:12">
      <c r="A16" s="39" t="s">
        <v>59</v>
      </c>
      <c r="B16" s="39" t="s">
        <v>122</v>
      </c>
      <c r="C16" s="31">
        <v>0.4720973972288327</v>
      </c>
      <c r="D16" s="31"/>
      <c r="E16" s="31">
        <v>0.11547339511137997</v>
      </c>
      <c r="F16" s="31">
        <v>9.7383997165863656E-2</v>
      </c>
      <c r="G16" s="31">
        <v>0.16517605283550063</v>
      </c>
      <c r="H16" s="31">
        <v>8.949751449568355E-2</v>
      </c>
      <c r="I16" s="31">
        <v>8.4061684089993371E-2</v>
      </c>
      <c r="J16" s="31">
        <v>0.12097806793501777</v>
      </c>
      <c r="K16" s="31">
        <v>5.1327842218601386E-2</v>
      </c>
    </row>
    <row r="17" spans="1:11">
      <c r="A17" s="40"/>
      <c r="B17" s="39" t="s">
        <v>123</v>
      </c>
      <c r="C17" s="31">
        <v>0.8053396458491171</v>
      </c>
      <c r="D17" s="31"/>
      <c r="E17" s="31">
        <v>0.1794981855935267</v>
      </c>
      <c r="F17" s="31">
        <v>0.1347016140999856</v>
      </c>
      <c r="G17" s="31">
        <v>0.23091571083184115</v>
      </c>
      <c r="H17" s="31">
        <v>0.16207553540405129</v>
      </c>
      <c r="I17" s="31">
        <v>0.30074761233009212</v>
      </c>
      <c r="J17" s="31">
        <v>0.23617507165967216</v>
      </c>
      <c r="K17" s="31">
        <v>0.11658719954967188</v>
      </c>
    </row>
    <row r="18" spans="1:11">
      <c r="A18" s="40"/>
      <c r="B18" s="39" t="s">
        <v>124</v>
      </c>
      <c r="C18" s="31">
        <v>0.85644547798166171</v>
      </c>
      <c r="D18" s="31"/>
      <c r="E18" s="31">
        <v>0.223100702673907</v>
      </c>
      <c r="F18" s="31">
        <v>0.157321800322059</v>
      </c>
      <c r="G18" s="31">
        <v>0.21700476561654916</v>
      </c>
      <c r="H18" s="31">
        <v>0.18982406805470831</v>
      </c>
      <c r="I18" s="31">
        <v>0.36534242531210548</v>
      </c>
      <c r="J18" s="31">
        <v>0.19887510317623269</v>
      </c>
      <c r="K18" s="31">
        <v>0.1317025693239765</v>
      </c>
    </row>
    <row r="19" spans="1:11">
      <c r="A19" s="40"/>
      <c r="B19" s="39" t="s">
        <v>125</v>
      </c>
      <c r="C19" s="31">
        <v>0.81146303480973514</v>
      </c>
      <c r="D19" s="31"/>
      <c r="E19" s="31">
        <v>0.20911273267423369</v>
      </c>
      <c r="F19" s="31">
        <v>0.13682428418562853</v>
      </c>
      <c r="G19" s="31">
        <v>0.15082608936834729</v>
      </c>
      <c r="H19" s="31">
        <v>0.1787264916096038</v>
      </c>
      <c r="I19" s="31">
        <v>0.39985084449391228</v>
      </c>
      <c r="J19" s="31">
        <v>0.14411233869456333</v>
      </c>
      <c r="K19" s="31">
        <v>0.133312783995686</v>
      </c>
    </row>
    <row r="20" spans="1:11">
      <c r="A20" s="40"/>
      <c r="B20" s="40"/>
      <c r="C20" s="31"/>
      <c r="D20" s="31"/>
      <c r="E20" s="31"/>
      <c r="F20" s="31"/>
      <c r="G20" s="31"/>
      <c r="H20" s="31"/>
      <c r="I20" s="31"/>
      <c r="J20" s="31"/>
      <c r="K20" s="31"/>
    </row>
    <row r="21" spans="1:11">
      <c r="A21" s="40" t="s">
        <v>56</v>
      </c>
      <c r="B21" s="40" t="s">
        <v>55</v>
      </c>
      <c r="C21" s="94">
        <v>0.71082158563903142</v>
      </c>
      <c r="D21" s="94"/>
      <c r="E21" s="94">
        <v>0.18999942507338163</v>
      </c>
      <c r="F21" s="94">
        <v>0.1375498679643602</v>
      </c>
      <c r="G21" s="94">
        <v>0.18042338854816722</v>
      </c>
      <c r="H21" s="94">
        <v>0.17299944311630741</v>
      </c>
      <c r="I21" s="94">
        <v>0.29775295968051618</v>
      </c>
      <c r="J21" s="94">
        <v>0.1321155864364412</v>
      </c>
      <c r="K21" s="94">
        <v>0.10639895562891077</v>
      </c>
    </row>
    <row r="22" spans="1:11">
      <c r="A22" s="39" t="s">
        <v>59</v>
      </c>
      <c r="B22" s="39" t="s">
        <v>122</v>
      </c>
      <c r="C22" s="31">
        <v>0.45461837501989039</v>
      </c>
      <c r="D22" s="31"/>
      <c r="E22" s="31">
        <v>0.12041900509775762</v>
      </c>
      <c r="F22" s="31">
        <v>9.2325222675611857E-2</v>
      </c>
      <c r="G22" s="31">
        <v>0.14601855467695099</v>
      </c>
      <c r="H22" s="31">
        <v>9.4058314747342345E-2</v>
      </c>
      <c r="I22" s="31">
        <v>9.2800597904073842E-2</v>
      </c>
      <c r="J22" s="31">
        <v>9.7003342938799267E-2</v>
      </c>
      <c r="K22" s="31">
        <v>4.9749822051423823E-2</v>
      </c>
    </row>
    <row r="23" spans="1:11">
      <c r="A23" s="40"/>
      <c r="B23" s="39" t="s">
        <v>123</v>
      </c>
      <c r="C23" s="31">
        <v>0.80364895955407678</v>
      </c>
      <c r="D23" s="31"/>
      <c r="E23" s="31">
        <v>0.19523239406624154</v>
      </c>
      <c r="F23" s="31">
        <v>0.14751806992046185</v>
      </c>
      <c r="G23" s="31">
        <v>0.22182770962729129</v>
      </c>
      <c r="H23" s="31">
        <v>0.19763127674210815</v>
      </c>
      <c r="I23" s="31">
        <v>0.34801185316707733</v>
      </c>
      <c r="J23" s="31">
        <v>0.17921062342004698</v>
      </c>
      <c r="K23" s="31">
        <v>0.12241478126205171</v>
      </c>
    </row>
    <row r="24" spans="1:11">
      <c r="A24" s="40"/>
      <c r="B24" s="39" t="s">
        <v>124</v>
      </c>
      <c r="C24" s="31">
        <v>0.86439206801653157</v>
      </c>
      <c r="D24" s="31"/>
      <c r="E24" s="31">
        <v>0.25392918222224731</v>
      </c>
      <c r="F24" s="31">
        <v>0.17495373660335278</v>
      </c>
      <c r="G24" s="31">
        <v>0.19941948514826421</v>
      </c>
      <c r="H24" s="31">
        <v>0.22686735536946614</v>
      </c>
      <c r="I24" s="31">
        <v>0.41701116028900193</v>
      </c>
      <c r="J24" s="31">
        <v>0.14787463205516735</v>
      </c>
      <c r="K24" s="31">
        <v>0.13900870504548629</v>
      </c>
    </row>
    <row r="25" spans="1:11">
      <c r="A25" s="40"/>
      <c r="B25" s="39" t="s">
        <v>125</v>
      </c>
      <c r="C25" s="31">
        <v>0.82860791100018805</v>
      </c>
      <c r="D25" s="31"/>
      <c r="E25" s="31">
        <v>0.22566553969843386</v>
      </c>
      <c r="F25" s="31">
        <v>0.15637126056305475</v>
      </c>
      <c r="G25" s="31">
        <v>0.16040276903296088</v>
      </c>
      <c r="H25" s="31">
        <v>0.20789259129000739</v>
      </c>
      <c r="I25" s="31">
        <v>0.42663030364339</v>
      </c>
      <c r="J25" s="31">
        <v>0.10903994106012613</v>
      </c>
      <c r="K25" s="31">
        <v>0.13962383073946133</v>
      </c>
    </row>
    <row r="26" spans="1:11">
      <c r="A26" s="40"/>
      <c r="B26" s="39"/>
      <c r="C26" s="31"/>
      <c r="D26" s="31"/>
      <c r="E26" s="31"/>
      <c r="F26" s="31"/>
      <c r="G26" s="31"/>
      <c r="H26" s="31"/>
      <c r="I26" s="31"/>
      <c r="J26" s="31"/>
      <c r="K26" s="31"/>
    </row>
    <row r="27" spans="1:11">
      <c r="A27" s="40" t="s">
        <v>57</v>
      </c>
      <c r="B27" s="40" t="s">
        <v>55</v>
      </c>
      <c r="C27" s="94">
        <v>0.71304205108199825</v>
      </c>
      <c r="D27" s="94"/>
      <c r="E27" s="94">
        <v>0.15805964283737237</v>
      </c>
      <c r="F27" s="94">
        <v>0.11784914465083246</v>
      </c>
      <c r="G27" s="94">
        <v>0.20195449010959454</v>
      </c>
      <c r="H27" s="94">
        <v>0.1220584677497031</v>
      </c>
      <c r="I27" s="94">
        <v>0.2332666364570293</v>
      </c>
      <c r="J27" s="94">
        <v>0.21731274214978535</v>
      </c>
      <c r="K27" s="94">
        <v>9.7738151375909299E-2</v>
      </c>
    </row>
    <row r="28" spans="1:11">
      <c r="A28" s="39" t="s">
        <v>59</v>
      </c>
      <c r="B28" s="39" t="s">
        <v>122</v>
      </c>
      <c r="C28" s="31">
        <v>0.48996087982049563</v>
      </c>
      <c r="D28" s="31"/>
      <c r="E28" s="31">
        <v>0.11116158615415801</v>
      </c>
      <c r="F28" s="31">
        <v>0.10271450496604498</v>
      </c>
      <c r="G28" s="31">
        <v>0.18668646748879278</v>
      </c>
      <c r="H28" s="31">
        <v>8.4600185640744119E-2</v>
      </c>
      <c r="I28" s="31">
        <v>7.5500838641033297E-2</v>
      </c>
      <c r="J28" s="31">
        <v>0.1472243510292475</v>
      </c>
      <c r="K28" s="31">
        <v>4.9882176779628008E-2</v>
      </c>
    </row>
    <row r="29" spans="1:11">
      <c r="A29" s="39"/>
      <c r="B29" s="39" t="s">
        <v>123</v>
      </c>
      <c r="C29" s="31">
        <v>0.80873647092811318</v>
      </c>
      <c r="D29" s="31"/>
      <c r="E29" s="31">
        <v>0.16208766926257109</v>
      </c>
      <c r="F29" s="31">
        <v>0.12182649456845489</v>
      </c>
      <c r="G29" s="31">
        <v>0.24166951062685352</v>
      </c>
      <c r="H29" s="31">
        <v>0.12582980748870995</v>
      </c>
      <c r="I29" s="31">
        <v>0.25124275441515725</v>
      </c>
      <c r="J29" s="31">
        <v>0.29879452676997292</v>
      </c>
      <c r="K29" s="31">
        <v>0.11070984179380561</v>
      </c>
    </row>
    <row r="30" spans="1:11">
      <c r="A30" s="39"/>
      <c r="B30" s="39" t="s">
        <v>124</v>
      </c>
      <c r="C30" s="31">
        <v>0.84881921720132281</v>
      </c>
      <c r="D30" s="31"/>
      <c r="E30" s="31">
        <v>0.19066020089412855</v>
      </c>
      <c r="F30" s="31">
        <v>0.13830768147289865</v>
      </c>
      <c r="G30" s="31">
        <v>0.23653206273974933</v>
      </c>
      <c r="H30" s="31">
        <v>0.14850359017300818</v>
      </c>
      <c r="I30" s="31">
        <v>0.31205435875369358</v>
      </c>
      <c r="J30" s="31">
        <v>0.25454240981526316</v>
      </c>
      <c r="K30" s="31">
        <v>0.12517750831082428</v>
      </c>
    </row>
    <row r="31" spans="1:11">
      <c r="A31" s="132"/>
      <c r="B31" s="132" t="s">
        <v>125</v>
      </c>
      <c r="C31" s="139">
        <v>0.79564885304872479</v>
      </c>
      <c r="D31" s="139"/>
      <c r="E31" s="139">
        <v>0.19219113490618481</v>
      </c>
      <c r="F31" s="139">
        <v>0.11542612012551005</v>
      </c>
      <c r="G31" s="139">
        <v>0.13929343867754396</v>
      </c>
      <c r="H31" s="139">
        <v>0.14819454211992741</v>
      </c>
      <c r="I31" s="139">
        <v>0.37333730118598596</v>
      </c>
      <c r="J31" s="139">
        <v>0.18213374407515209</v>
      </c>
      <c r="K31" s="139">
        <v>0.1269382954728509</v>
      </c>
    </row>
    <row r="32" spans="1:11">
      <c r="A32" s="72"/>
      <c r="B32" s="72"/>
      <c r="C32" s="156" t="s">
        <v>146</v>
      </c>
      <c r="D32" s="156"/>
      <c r="E32" s="156"/>
      <c r="F32" s="156"/>
      <c r="G32" s="156"/>
      <c r="H32" s="156"/>
      <c r="I32" s="156"/>
      <c r="J32" s="156"/>
      <c r="K32" s="156"/>
    </row>
    <row r="33" spans="1:13">
      <c r="A33" s="40" t="s">
        <v>144</v>
      </c>
      <c r="B33" s="40" t="s">
        <v>55</v>
      </c>
      <c r="C33" s="89">
        <v>3430378.276170664</v>
      </c>
      <c r="D33" s="89"/>
      <c r="E33" s="89">
        <v>840683.1040102914</v>
      </c>
      <c r="F33" s="89">
        <v>617094.23497439595</v>
      </c>
      <c r="G33" s="89">
        <v>918818.88762858103</v>
      </c>
      <c r="H33" s="89">
        <v>714804.94117418188</v>
      </c>
      <c r="I33" s="89">
        <v>1282275.9458907116</v>
      </c>
      <c r="J33" s="89">
        <v>833213.87287247053</v>
      </c>
      <c r="K33" s="89">
        <v>494135.2866349839</v>
      </c>
      <c r="L33" s="49"/>
      <c r="M33" s="49"/>
    </row>
    <row r="34" spans="1:13">
      <c r="A34" s="39" t="s">
        <v>59</v>
      </c>
      <c r="B34" s="39" t="s">
        <v>122</v>
      </c>
      <c r="C34" s="91">
        <v>721802.72795137402</v>
      </c>
      <c r="D34" s="91"/>
      <c r="E34" s="91">
        <v>176550.45777937301</v>
      </c>
      <c r="F34" s="91">
        <v>148893.07847435062</v>
      </c>
      <c r="G34" s="91">
        <v>252542.22164481605</v>
      </c>
      <c r="H34" s="91">
        <v>136835.21766280709</v>
      </c>
      <c r="I34" s="91">
        <v>128524.22667124616</v>
      </c>
      <c r="J34" s="91">
        <v>184966.70384195328</v>
      </c>
      <c r="K34" s="91">
        <v>78476.553250909332</v>
      </c>
      <c r="L34" s="49"/>
      <c r="M34" s="49"/>
    </row>
    <row r="35" spans="1:13">
      <c r="A35" s="40"/>
      <c r="B35" s="39" t="s">
        <v>123</v>
      </c>
      <c r="C35" s="91">
        <v>1041492.6880653528</v>
      </c>
      <c r="D35" s="91"/>
      <c r="E35" s="91">
        <v>232133.17359975175</v>
      </c>
      <c r="F35" s="91">
        <v>174200.72000530784</v>
      </c>
      <c r="G35" s="91">
        <v>298628.07031833846</v>
      </c>
      <c r="H35" s="91">
        <v>209601.60834950616</v>
      </c>
      <c r="I35" s="91">
        <v>388937.06625438906</v>
      </c>
      <c r="J35" s="91">
        <v>305429.65505878424</v>
      </c>
      <c r="K35" s="91">
        <v>150774.54149792192</v>
      </c>
      <c r="L35" s="49"/>
      <c r="M35" s="49"/>
    </row>
    <row r="36" spans="1:13">
      <c r="A36" s="40"/>
      <c r="B36" s="39" t="s">
        <v>124</v>
      </c>
      <c r="C36" s="91">
        <v>856018.9304503958</v>
      </c>
      <c r="D36" s="91"/>
      <c r="E36" s="91">
        <v>222989.58870764085</v>
      </c>
      <c r="F36" s="91">
        <v>157243.44714340736</v>
      </c>
      <c r="G36" s="91">
        <v>216896.68769515617</v>
      </c>
      <c r="H36" s="91">
        <v>189729.52731664007</v>
      </c>
      <c r="I36" s="91">
        <v>365160.46870939119</v>
      </c>
      <c r="J36" s="91">
        <v>198776.05462443232</v>
      </c>
      <c r="K36" s="91">
        <v>131636.97564959701</v>
      </c>
      <c r="L36" s="49"/>
      <c r="M36" s="49"/>
    </row>
    <row r="37" spans="1:13">
      <c r="A37" s="40"/>
      <c r="B37" s="39" t="s">
        <v>125</v>
      </c>
      <c r="C37" s="91">
        <v>811063.9297035716</v>
      </c>
      <c r="D37" s="91"/>
      <c r="E37" s="91">
        <v>209009.88392352793</v>
      </c>
      <c r="F37" s="91">
        <v>136756.98935133155</v>
      </c>
      <c r="G37" s="91">
        <v>150751.90797027078</v>
      </c>
      <c r="H37" s="91">
        <v>178638.58784523231</v>
      </c>
      <c r="I37" s="91">
        <v>399654.18425568129</v>
      </c>
      <c r="J37" s="91">
        <v>144041.4593473018</v>
      </c>
      <c r="K37" s="91">
        <v>133247.21623655569</v>
      </c>
      <c r="L37" s="49"/>
      <c r="M37" s="49"/>
    </row>
    <row r="38" spans="1:13">
      <c r="A38" s="40"/>
      <c r="B38" s="40"/>
      <c r="C38" s="90"/>
      <c r="D38" s="91"/>
      <c r="E38" s="91"/>
      <c r="F38" s="91"/>
      <c r="G38" s="91"/>
      <c r="H38" s="91"/>
      <c r="I38" s="91"/>
      <c r="J38" s="92"/>
      <c r="K38" s="91"/>
      <c r="L38" s="49"/>
      <c r="M38" s="49"/>
    </row>
    <row r="39" spans="1:13">
      <c r="A39" s="40" t="s">
        <v>56</v>
      </c>
      <c r="B39" s="40" t="s">
        <v>55</v>
      </c>
      <c r="C39" s="93">
        <v>1754374.0355136513</v>
      </c>
      <c r="D39" s="93"/>
      <c r="E39" s="93">
        <v>468936.31938821485</v>
      </c>
      <c r="F39" s="93">
        <v>339485.91576332384</v>
      </c>
      <c r="G39" s="93">
        <v>445301.76722719223</v>
      </c>
      <c r="H39" s="93">
        <v>426978.77680334897</v>
      </c>
      <c r="I39" s="93">
        <v>734882.10264637356</v>
      </c>
      <c r="J39" s="93">
        <v>326073.60160901793</v>
      </c>
      <c r="K39" s="93">
        <v>262602.55587668857</v>
      </c>
      <c r="L39" s="49"/>
      <c r="M39" s="49"/>
    </row>
    <row r="40" spans="1:13">
      <c r="A40" s="39" t="s">
        <v>59</v>
      </c>
      <c r="B40" s="39" t="s">
        <v>122</v>
      </c>
      <c r="C40" s="90">
        <v>355505.22110536601</v>
      </c>
      <c r="D40" s="90"/>
      <c r="E40" s="90">
        <v>94165.98049010562</v>
      </c>
      <c r="F40" s="90">
        <v>72197.034929482383</v>
      </c>
      <c r="G40" s="90">
        <v>114184.47079628988</v>
      </c>
      <c r="H40" s="90">
        <v>73552.288729176566</v>
      </c>
      <c r="I40" s="90">
        <v>72568.771720136734</v>
      </c>
      <c r="J40" s="90">
        <v>75855.259651369546</v>
      </c>
      <c r="K40" s="90">
        <v>38903.666152012069</v>
      </c>
      <c r="L40" s="49"/>
      <c r="M40" s="49"/>
    </row>
    <row r="41" spans="1:13">
      <c r="A41" s="40"/>
      <c r="B41" s="39" t="s">
        <v>123</v>
      </c>
      <c r="C41" s="90">
        <v>532718.54709692753</v>
      </c>
      <c r="D41" s="90"/>
      <c r="E41" s="90">
        <v>129414.61079092542</v>
      </c>
      <c r="F41" s="90">
        <v>97785.993429489972</v>
      </c>
      <c r="G41" s="90">
        <v>147043.97208958009</v>
      </c>
      <c r="H41" s="90">
        <v>131004.76937764559</v>
      </c>
      <c r="I41" s="90">
        <v>230688.24589102183</v>
      </c>
      <c r="J41" s="90">
        <v>118794.18469680485</v>
      </c>
      <c r="K41" s="90">
        <v>81145.658986845592</v>
      </c>
      <c r="L41" s="49"/>
      <c r="M41" s="49"/>
    </row>
    <row r="42" spans="1:13">
      <c r="A42" s="40"/>
      <c r="B42" s="39" t="s">
        <v>124</v>
      </c>
      <c r="C42" s="90">
        <v>441846.86743157386</v>
      </c>
      <c r="D42" s="90"/>
      <c r="E42" s="90">
        <v>129799.67987422056</v>
      </c>
      <c r="F42" s="90">
        <v>89430.205717900797</v>
      </c>
      <c r="G42" s="90">
        <v>101936.23712878939</v>
      </c>
      <c r="H42" s="90">
        <v>115966.62440748722</v>
      </c>
      <c r="I42" s="90">
        <v>213161.45956834202</v>
      </c>
      <c r="J42" s="90">
        <v>75588.318500075242</v>
      </c>
      <c r="K42" s="90">
        <v>71056.36798704759</v>
      </c>
      <c r="L42" s="49"/>
      <c r="M42" s="49"/>
    </row>
    <row r="43" spans="1:13">
      <c r="A43" s="40"/>
      <c r="B43" s="39" t="s">
        <v>125</v>
      </c>
      <c r="C43" s="90">
        <v>424303.39987978607</v>
      </c>
      <c r="D43" s="90"/>
      <c r="E43" s="90">
        <v>115556.04823296286</v>
      </c>
      <c r="F43" s="90">
        <v>80072.681686449636</v>
      </c>
      <c r="G43" s="90">
        <v>82137.087212533181</v>
      </c>
      <c r="H43" s="90">
        <v>106455.09428903935</v>
      </c>
      <c r="I43" s="90">
        <v>218463.62546687631</v>
      </c>
      <c r="J43" s="90">
        <v>55835.838760767641</v>
      </c>
      <c r="K43" s="90">
        <v>71496.862750782719</v>
      </c>
      <c r="L43" s="49"/>
      <c r="M43" s="49"/>
    </row>
    <row r="44" spans="1:13">
      <c r="A44" s="40"/>
      <c r="B44" s="39"/>
      <c r="C44" s="90"/>
      <c r="D44" s="91"/>
      <c r="E44" s="91"/>
      <c r="F44" s="91"/>
      <c r="G44" s="91"/>
      <c r="H44" s="91"/>
      <c r="I44" s="91"/>
      <c r="J44" s="92"/>
      <c r="K44" s="91"/>
      <c r="L44" s="49"/>
      <c r="M44" s="49"/>
    </row>
    <row r="45" spans="1:13">
      <c r="A45" s="40" t="s">
        <v>57</v>
      </c>
      <c r="B45" s="40" t="s">
        <v>55</v>
      </c>
      <c r="C45" s="93">
        <v>1662869.4684283806</v>
      </c>
      <c r="D45" s="93"/>
      <c r="E45" s="93">
        <v>368607.36876055005</v>
      </c>
      <c r="F45" s="93">
        <v>274833.36252455221</v>
      </c>
      <c r="G45" s="93">
        <v>470973.56334829557</v>
      </c>
      <c r="H45" s="93">
        <v>284649.83106696274</v>
      </c>
      <c r="I45" s="93">
        <v>543995.92166937981</v>
      </c>
      <c r="J45" s="93">
        <v>506790.20048394229</v>
      </c>
      <c r="K45" s="93">
        <v>227932.9635285995</v>
      </c>
      <c r="L45" s="49"/>
      <c r="M45" s="49"/>
    </row>
    <row r="46" spans="1:13">
      <c r="A46" s="39" t="s">
        <v>59</v>
      </c>
      <c r="B46" s="39" t="s">
        <v>122</v>
      </c>
      <c r="C46" s="90">
        <v>363121.58158865251</v>
      </c>
      <c r="D46" s="90"/>
      <c r="E46" s="90">
        <v>82384.477289267437</v>
      </c>
      <c r="F46" s="90">
        <v>76124.145889015403</v>
      </c>
      <c r="G46" s="90">
        <v>138357.75084852654</v>
      </c>
      <c r="H46" s="90">
        <v>62699.195951757196</v>
      </c>
      <c r="I46" s="90">
        <v>55955.454951109379</v>
      </c>
      <c r="J46" s="90">
        <v>109111.44419058373</v>
      </c>
      <c r="K46" s="90">
        <v>36968.859497393649</v>
      </c>
      <c r="L46" s="49"/>
      <c r="M46" s="49"/>
    </row>
    <row r="47" spans="1:13">
      <c r="A47" s="39"/>
      <c r="B47" s="39" t="s">
        <v>123</v>
      </c>
      <c r="C47" s="90">
        <v>505159.55992311856</v>
      </c>
      <c r="D47" s="90"/>
      <c r="E47" s="90">
        <v>101244.51983682402</v>
      </c>
      <c r="F47" s="90">
        <v>76096.257057074385</v>
      </c>
      <c r="G47" s="90">
        <v>150953.5776159504</v>
      </c>
      <c r="H47" s="90">
        <v>78596.838971860241</v>
      </c>
      <c r="I47" s="90">
        <v>156933.29510487034</v>
      </c>
      <c r="J47" s="90">
        <v>186635.47036197977</v>
      </c>
      <c r="K47" s="90">
        <v>69152.482879293908</v>
      </c>
      <c r="L47" s="49"/>
      <c r="M47" s="49"/>
    </row>
    <row r="48" spans="1:13">
      <c r="A48" s="39"/>
      <c r="B48" s="39" t="s">
        <v>124</v>
      </c>
      <c r="C48" s="90">
        <v>410792.51910032734</v>
      </c>
      <c r="D48" s="90"/>
      <c r="E48" s="90">
        <v>92271.455016901673</v>
      </c>
      <c r="F48" s="90">
        <v>66935.054876004477</v>
      </c>
      <c r="G48" s="90">
        <v>114471.49161069545</v>
      </c>
      <c r="H48" s="90">
        <v>71869.442475338874</v>
      </c>
      <c r="I48" s="90">
        <v>151021.08143984573</v>
      </c>
      <c r="J48" s="90">
        <v>123187.73612435702</v>
      </c>
      <c r="K48" s="90">
        <v>60580.607662549424</v>
      </c>
      <c r="L48" s="49"/>
      <c r="M48" s="49"/>
    </row>
    <row r="49" spans="1:23">
      <c r="A49" s="39"/>
      <c r="B49" s="39" t="s">
        <v>125</v>
      </c>
      <c r="C49" s="90">
        <v>383795.80781626259</v>
      </c>
      <c r="D49" s="90"/>
      <c r="E49" s="90">
        <v>92706.916617557639</v>
      </c>
      <c r="F49" s="90">
        <v>55677.904702458232</v>
      </c>
      <c r="G49" s="90">
        <v>67190.743273124739</v>
      </c>
      <c r="H49" s="90">
        <v>71484.353668006399</v>
      </c>
      <c r="I49" s="90">
        <v>180086.09017355568</v>
      </c>
      <c r="J49" s="90">
        <v>87855.549807023577</v>
      </c>
      <c r="K49" s="90">
        <v>61231.013489362456</v>
      </c>
      <c r="L49" s="49"/>
      <c r="M49" s="49"/>
    </row>
    <row r="50" spans="1:23">
      <c r="A50" s="132"/>
      <c r="B50" s="132"/>
      <c r="C50" s="180"/>
      <c r="D50" s="133"/>
      <c r="E50" s="133"/>
      <c r="F50" s="133"/>
      <c r="G50" s="133"/>
      <c r="H50" s="133"/>
      <c r="I50" s="133"/>
      <c r="J50" s="133"/>
      <c r="K50" s="133"/>
    </row>
    <row r="51" spans="1:23">
      <c r="A51" s="16" t="s">
        <v>128</v>
      </c>
    </row>
    <row r="52" spans="1:23">
      <c r="A52" s="29" t="s">
        <v>147</v>
      </c>
    </row>
    <row r="53" spans="1:23" ht="15" customHeight="1">
      <c r="A53" s="16" t="s">
        <v>119</v>
      </c>
      <c r="B53" s="29"/>
      <c r="C53" s="2"/>
      <c r="G53" s="2"/>
      <c r="K53" s="2"/>
      <c r="O53" s="2"/>
      <c r="S53" s="2"/>
      <c r="W53" s="2"/>
    </row>
    <row r="54" spans="1:23">
      <c r="A54" s="16" t="s">
        <v>120</v>
      </c>
    </row>
    <row r="55" spans="1:23">
      <c r="A55" s="29" t="s">
        <v>118</v>
      </c>
    </row>
  </sheetData>
  <mergeCells count="2">
    <mergeCell ref="C14:K14"/>
    <mergeCell ref="C32:K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C33&lt;'34'!$D$104</xm:f>
            <x14:dxf>
              <font>
                <color rgb="FFFF0000"/>
              </font>
              <numFmt numFmtId="172" formatCode="\*\*0.0%"/>
            </x14:dxf>
          </x14:cfRule>
          <x14:cfRule type="expression" priority="6" id="{C5C847DE-6B3B-49AB-B4CA-691B70E2918B}">
            <xm:f>C33&lt;'34'!$D$103</xm:f>
            <x14:dxf>
              <font>
                <color rgb="FF00B050"/>
              </font>
              <numFmt numFmtId="171" formatCode="\*0.0%"/>
            </x14:dxf>
          </x14:cfRule>
          <xm:sqref>C15:K31</xm:sqref>
        </x14:conditionalFormatting>
        <x14:conditionalFormatting xmlns:xm="http://schemas.microsoft.com/office/excel/2006/main">
          <x14:cfRule type="expression" priority="1" id="{4D8C684F-4AF8-4E10-A622-A9EC6A715CE1}">
            <xm:f>C33&lt;'34'!$D$104</xm:f>
            <x14:dxf>
              <font>
                <color rgb="FFFF0000"/>
              </font>
              <numFmt numFmtId="170" formatCode="\*\*#,###,###,##0"/>
            </x14:dxf>
          </x14:cfRule>
          <x14:cfRule type="expression" priority="2" id="{DD561816-C9E2-425A-9C3F-4B4DC0A3F41E}">
            <xm:f>C33&lt;'34'!$D$103</xm:f>
            <x14:dxf>
              <font>
                <color rgb="FF00B050"/>
              </font>
              <numFmt numFmtId="169" formatCode="\*#,###,###,##0"/>
            </x14:dxf>
          </x14:cfRule>
          <xm:sqref>C33:K49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W72"/>
  <sheetViews>
    <sheetView zoomScaleNormal="100" workbookViewId="0">
      <pane xSplit="2" ySplit="13" topLeftCell="C14" activePane="bottomRight" state="frozen"/>
      <selection pane="bottomRight"/>
      <selection pane="bottomLeft"/>
      <selection pane="topRight"/>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4"/>
      <c r="B1" s="34"/>
      <c r="C1" s="34"/>
      <c r="D1" s="34"/>
      <c r="E1" s="34"/>
      <c r="F1" s="34"/>
      <c r="G1" s="34"/>
      <c r="H1" s="34"/>
      <c r="I1" s="34"/>
      <c r="J1" s="34"/>
      <c r="K1" s="34"/>
      <c r="L1" s="34"/>
    </row>
    <row r="2" spans="1:12">
      <c r="A2" s="34"/>
      <c r="B2" s="34"/>
      <c r="C2" s="34"/>
      <c r="D2" s="34"/>
      <c r="E2" s="34"/>
      <c r="F2" s="34"/>
      <c r="G2" s="34"/>
      <c r="H2" s="34"/>
      <c r="I2" s="34"/>
      <c r="J2" s="34"/>
      <c r="K2" s="34"/>
      <c r="L2" s="34"/>
    </row>
    <row r="3" spans="1:12">
      <c r="A3" s="34"/>
      <c r="B3" s="34"/>
      <c r="C3" s="34"/>
      <c r="D3" s="34"/>
      <c r="E3" s="34"/>
      <c r="F3" s="34"/>
      <c r="G3" s="34"/>
      <c r="H3" s="34"/>
      <c r="I3" s="34"/>
      <c r="J3" s="34"/>
      <c r="K3" s="34"/>
      <c r="L3" s="34"/>
    </row>
    <row r="4" spans="1:12">
      <c r="A4" s="34"/>
      <c r="B4" s="34"/>
      <c r="C4" s="34"/>
      <c r="D4" s="34"/>
      <c r="E4" s="34"/>
      <c r="F4" s="34"/>
      <c r="G4" s="34"/>
      <c r="H4" s="34"/>
      <c r="I4" s="34"/>
      <c r="J4" s="34"/>
      <c r="K4" s="34"/>
      <c r="L4" s="34"/>
    </row>
    <row r="5" spans="1:12">
      <c r="A5" s="34"/>
      <c r="B5" s="34"/>
      <c r="C5" s="34"/>
      <c r="D5" s="34"/>
      <c r="E5" s="34"/>
      <c r="F5" s="34"/>
      <c r="G5" s="34"/>
      <c r="H5" s="34"/>
      <c r="I5" s="34"/>
      <c r="J5" s="34"/>
      <c r="K5" s="34"/>
      <c r="L5" s="34"/>
    </row>
    <row r="6" spans="1:12">
      <c r="A6" s="34"/>
      <c r="B6" s="34"/>
      <c r="C6" s="34"/>
      <c r="D6" s="34"/>
      <c r="E6" s="34"/>
      <c r="F6" s="34"/>
      <c r="G6" s="34"/>
      <c r="H6" s="34"/>
      <c r="I6" s="34"/>
      <c r="J6" s="34"/>
      <c r="K6" s="34"/>
      <c r="L6" s="34"/>
    </row>
    <row r="7" spans="1:12">
      <c r="A7" s="34"/>
      <c r="B7" s="34"/>
      <c r="C7" s="34"/>
      <c r="D7" s="34"/>
      <c r="E7" s="34"/>
      <c r="F7" s="34"/>
      <c r="G7" s="34"/>
      <c r="H7" s="34"/>
      <c r="I7" s="34"/>
      <c r="J7" s="34"/>
      <c r="K7" s="34"/>
      <c r="L7" s="34"/>
    </row>
    <row r="8" spans="1:12">
      <c r="A8" s="35" t="s">
        <v>0</v>
      </c>
      <c r="B8" s="34"/>
      <c r="C8" s="34"/>
      <c r="D8" s="34"/>
      <c r="E8" s="34"/>
      <c r="F8" s="34"/>
      <c r="G8" s="34"/>
      <c r="H8" s="34"/>
      <c r="I8" s="34"/>
      <c r="J8" s="34"/>
      <c r="K8" s="34"/>
      <c r="L8" s="34"/>
    </row>
    <row r="9" spans="1:12">
      <c r="A9" s="34" t="s">
        <v>1</v>
      </c>
      <c r="B9" s="34"/>
      <c r="C9" s="35" t="s">
        <v>2</v>
      </c>
      <c r="D9" s="34"/>
      <c r="E9" s="34"/>
      <c r="F9" s="34"/>
      <c r="G9" s="34"/>
      <c r="H9" s="34"/>
      <c r="I9" s="34"/>
      <c r="J9" s="34"/>
      <c r="K9" s="34"/>
      <c r="L9" s="34"/>
    </row>
    <row r="10" spans="1:12">
      <c r="A10" s="34" t="s">
        <v>47</v>
      </c>
      <c r="B10" s="34"/>
      <c r="C10" s="36">
        <v>9</v>
      </c>
      <c r="D10" s="34"/>
      <c r="E10" s="34"/>
      <c r="F10" s="34"/>
      <c r="G10" s="34"/>
      <c r="H10" s="34"/>
      <c r="I10" s="34"/>
      <c r="J10" s="34"/>
      <c r="K10" s="34"/>
      <c r="L10" s="34"/>
    </row>
    <row r="11" spans="1:12">
      <c r="A11" s="34" t="s">
        <v>3</v>
      </c>
      <c r="B11" s="34"/>
      <c r="C11" s="35" t="s">
        <v>17</v>
      </c>
      <c r="D11" s="34"/>
      <c r="E11" s="34"/>
      <c r="F11" s="34" t="s">
        <v>145</v>
      </c>
      <c r="G11" s="34"/>
      <c r="H11" s="34"/>
      <c r="I11" s="34"/>
      <c r="J11" s="34"/>
      <c r="K11" s="34"/>
      <c r="L11" s="34"/>
    </row>
    <row r="12" spans="1:12">
      <c r="A12" s="130" t="s">
        <v>48</v>
      </c>
      <c r="B12" s="130"/>
      <c r="C12" s="131" t="s">
        <v>49</v>
      </c>
      <c r="D12" s="130"/>
      <c r="E12" s="130"/>
      <c r="F12" s="182" t="s">
        <v>145</v>
      </c>
      <c r="G12" s="130"/>
      <c r="H12" s="130"/>
      <c r="I12" s="130"/>
      <c r="J12" s="130"/>
      <c r="K12" s="130"/>
      <c r="L12" s="130"/>
    </row>
    <row r="13" spans="1:12" s="2" customFormat="1" ht="50.1" customHeight="1">
      <c r="A13" s="63"/>
      <c r="B13" s="63"/>
      <c r="C13" s="64" t="s">
        <v>171</v>
      </c>
      <c r="D13" s="64" t="s">
        <v>172</v>
      </c>
      <c r="E13" s="64" t="s">
        <v>173</v>
      </c>
      <c r="F13" s="64" t="s">
        <v>174</v>
      </c>
      <c r="G13" s="64" t="s">
        <v>175</v>
      </c>
      <c r="H13" s="64" t="s">
        <v>176</v>
      </c>
      <c r="I13" s="64" t="s">
        <v>177</v>
      </c>
      <c r="J13" s="64" t="s">
        <v>178</v>
      </c>
      <c r="K13" s="64" t="s">
        <v>179</v>
      </c>
      <c r="L13" s="64" t="s">
        <v>180</v>
      </c>
    </row>
    <row r="14" spans="1:12">
      <c r="A14" s="73"/>
      <c r="B14" s="73"/>
      <c r="C14" s="163" t="s">
        <v>143</v>
      </c>
      <c r="D14" s="163"/>
      <c r="E14" s="163"/>
      <c r="F14" s="163"/>
      <c r="G14" s="163"/>
      <c r="H14" s="163"/>
      <c r="I14" s="163"/>
      <c r="J14" s="163"/>
      <c r="K14" s="163"/>
      <c r="L14" s="163"/>
    </row>
    <row r="15" spans="1:12" ht="17.25">
      <c r="A15" s="40" t="s">
        <v>144</v>
      </c>
      <c r="B15" s="40" t="s">
        <v>55</v>
      </c>
      <c r="C15" s="33">
        <v>0.84147262887967167</v>
      </c>
      <c r="D15" s="33">
        <v>0.78714006584221285</v>
      </c>
      <c r="E15" s="33">
        <v>0.74118281412699871</v>
      </c>
      <c r="F15" s="33">
        <v>0.65960373750651535</v>
      </c>
      <c r="G15" s="33">
        <v>0.56150482281941783</v>
      </c>
      <c r="H15" s="33">
        <v>0.47627951648699962</v>
      </c>
      <c r="I15" s="33">
        <v>0.38793586887123815</v>
      </c>
      <c r="J15" s="33">
        <v>0.31710396807995339</v>
      </c>
      <c r="K15" s="33">
        <v>0.24233015950320891</v>
      </c>
      <c r="L15" s="33">
        <v>0.18483484367562372</v>
      </c>
    </row>
    <row r="16" spans="1:12">
      <c r="A16" s="39" t="s">
        <v>59</v>
      </c>
      <c r="B16" s="39" t="s">
        <v>60</v>
      </c>
      <c r="C16" s="108">
        <v>0.84234942949248337</v>
      </c>
      <c r="D16" s="108">
        <v>0.80001037503760097</v>
      </c>
      <c r="E16" s="108">
        <v>0.73173306673518923</v>
      </c>
      <c r="F16" s="108">
        <v>0.66107823688364986</v>
      </c>
      <c r="G16" s="108">
        <v>0.56272390215359513</v>
      </c>
      <c r="H16" s="108">
        <v>0.4677372905707583</v>
      </c>
      <c r="I16" s="108">
        <v>0.38348538261180265</v>
      </c>
      <c r="J16" s="108">
        <v>0.31626131287057996</v>
      </c>
      <c r="K16" s="108">
        <v>0.26867129774945908</v>
      </c>
      <c r="L16" s="108">
        <v>0.23265017507900154</v>
      </c>
    </row>
    <row r="17" spans="1:12">
      <c r="A17" s="39"/>
      <c r="B17" s="39" t="s">
        <v>61</v>
      </c>
      <c r="C17" s="108">
        <v>0.87443737480058481</v>
      </c>
      <c r="D17" s="108">
        <v>0.81096577725850461</v>
      </c>
      <c r="E17" s="108">
        <v>0.75933797172182815</v>
      </c>
      <c r="F17" s="108">
        <v>0.67284752122082125</v>
      </c>
      <c r="G17" s="108">
        <v>0.56872037421901445</v>
      </c>
      <c r="H17" s="108">
        <v>0.48087403265487161</v>
      </c>
      <c r="I17" s="108">
        <v>0.39631165555628811</v>
      </c>
      <c r="J17" s="108">
        <v>0.32687629110743294</v>
      </c>
      <c r="K17" s="108">
        <v>0.24986933784925813</v>
      </c>
      <c r="L17" s="108">
        <v>0.19842466722804322</v>
      </c>
    </row>
    <row r="18" spans="1:12">
      <c r="A18" s="39"/>
      <c r="B18" s="39" t="s">
        <v>62</v>
      </c>
      <c r="C18" s="108">
        <v>0.89238386935952263</v>
      </c>
      <c r="D18" s="108">
        <v>0.82305419222141563</v>
      </c>
      <c r="E18" s="108">
        <v>0.76727514649732675</v>
      </c>
      <c r="F18" s="108">
        <v>0.67268500451017366</v>
      </c>
      <c r="G18" s="108">
        <v>0.56199027936452528</v>
      </c>
      <c r="H18" s="108">
        <v>0.4726698012656339</v>
      </c>
      <c r="I18" s="108">
        <v>0.38332103615064267</v>
      </c>
      <c r="J18" s="108">
        <v>0.31012980732020989</v>
      </c>
      <c r="K18" s="108">
        <v>0.23442500598147345</v>
      </c>
      <c r="L18" s="108">
        <v>0.1789539901550985</v>
      </c>
    </row>
    <row r="19" spans="1:12">
      <c r="A19" s="39"/>
      <c r="B19" s="39" t="s">
        <v>63</v>
      </c>
      <c r="C19" s="108">
        <v>0.87558279183215126</v>
      </c>
      <c r="D19" s="108">
        <v>0.80944985680465731</v>
      </c>
      <c r="E19" s="108">
        <v>0.75621464229517665</v>
      </c>
      <c r="F19" s="108">
        <v>0.65869622372122105</v>
      </c>
      <c r="G19" s="108">
        <v>0.54089709018179521</v>
      </c>
      <c r="H19" s="108">
        <v>0.44894601861043132</v>
      </c>
      <c r="I19" s="108">
        <v>0.35594846990429285</v>
      </c>
      <c r="J19" s="108">
        <v>0.28585186589273071</v>
      </c>
      <c r="K19" s="108">
        <v>0.21818180377044577</v>
      </c>
      <c r="L19" s="108">
        <v>0.16559095685856615</v>
      </c>
    </row>
    <row r="20" spans="1:12">
      <c r="A20" s="39"/>
      <c r="B20" s="39" t="s">
        <v>64</v>
      </c>
      <c r="C20" s="108">
        <v>0.86410524269851319</v>
      </c>
      <c r="D20" s="108">
        <v>0.81407300199591903</v>
      </c>
      <c r="E20" s="108">
        <v>0.76810867506865033</v>
      </c>
      <c r="F20" s="108">
        <v>0.68147249891776829</v>
      </c>
      <c r="G20" s="108">
        <v>0.58201331851872595</v>
      </c>
      <c r="H20" s="108">
        <v>0.49813335859962832</v>
      </c>
      <c r="I20" s="108">
        <v>0.4031097503509361</v>
      </c>
      <c r="J20" s="108">
        <v>0.32994333539168441</v>
      </c>
      <c r="K20" s="108">
        <v>0.25255803679274508</v>
      </c>
      <c r="L20" s="108">
        <v>0.19433553315937924</v>
      </c>
    </row>
    <row r="21" spans="1:12">
      <c r="A21" s="39"/>
      <c r="B21" s="39" t="s">
        <v>65</v>
      </c>
      <c r="C21" s="108">
        <v>0.84220835386964643</v>
      </c>
      <c r="D21" s="108">
        <v>0.79755990327595938</v>
      </c>
      <c r="E21" s="108">
        <v>0.758882399877568</v>
      </c>
      <c r="F21" s="108">
        <v>0.69457048278815081</v>
      </c>
      <c r="G21" s="108">
        <v>0.61110355700579921</v>
      </c>
      <c r="H21" s="108">
        <v>0.53315421092033921</v>
      </c>
      <c r="I21" s="108">
        <v>0.44960909672314797</v>
      </c>
      <c r="J21" s="108">
        <v>0.37657639101767759</v>
      </c>
      <c r="K21" s="108">
        <v>0.28665214332145328</v>
      </c>
      <c r="L21" s="108">
        <v>0.21999009363697164</v>
      </c>
    </row>
    <row r="22" spans="1:12">
      <c r="A22" s="39"/>
      <c r="B22" s="39" t="s">
        <v>66</v>
      </c>
      <c r="C22" s="108">
        <v>0.73602959898407716</v>
      </c>
      <c r="D22" s="108">
        <v>0.69667217790348657</v>
      </c>
      <c r="E22" s="108">
        <v>0.66782573317983973</v>
      </c>
      <c r="F22" s="108">
        <v>0.60265778692401095</v>
      </c>
      <c r="G22" s="108">
        <v>0.52571225938472266</v>
      </c>
      <c r="H22" s="108">
        <v>0.44703311903103682</v>
      </c>
      <c r="I22" s="108">
        <v>0.36215676030588373</v>
      </c>
      <c r="J22" s="108">
        <v>0.2944280081113313</v>
      </c>
      <c r="K22" s="108">
        <v>0.22210303995701308</v>
      </c>
      <c r="L22" s="108">
        <v>0.15787650936544065</v>
      </c>
    </row>
    <row r="23" spans="1:12">
      <c r="A23" s="39"/>
      <c r="B23" s="39"/>
    </row>
    <row r="24" spans="1:12">
      <c r="A24" s="40" t="s">
        <v>56</v>
      </c>
      <c r="B24" s="40" t="s">
        <v>55</v>
      </c>
      <c r="C24" s="33">
        <v>0.8531169249097641</v>
      </c>
      <c r="D24" s="33">
        <v>0.79742811049801665</v>
      </c>
      <c r="E24" s="33">
        <v>0.75016965629058663</v>
      </c>
      <c r="F24" s="33">
        <v>0.66525879261638776</v>
      </c>
      <c r="G24" s="33">
        <v>0.56287276208671067</v>
      </c>
      <c r="H24" s="33">
        <v>0.47605991787774676</v>
      </c>
      <c r="I24" s="33">
        <v>0.38637621872913414</v>
      </c>
      <c r="J24" s="33">
        <v>0.31323743732094184</v>
      </c>
      <c r="K24" s="33">
        <v>0.23670641138590953</v>
      </c>
      <c r="L24" s="33">
        <v>0.17996090954414892</v>
      </c>
    </row>
    <row r="25" spans="1:12">
      <c r="A25" s="39" t="s">
        <v>59</v>
      </c>
      <c r="B25" s="39" t="s">
        <v>60</v>
      </c>
      <c r="C25" s="108">
        <v>0.83813572079397103</v>
      </c>
      <c r="D25" s="108">
        <v>0.81176459187661432</v>
      </c>
      <c r="E25" s="108">
        <v>0.75519402893699628</v>
      </c>
      <c r="F25" s="108">
        <v>0.69655549900500557</v>
      </c>
      <c r="G25" s="108">
        <v>0.60282026878302986</v>
      </c>
      <c r="H25" s="108">
        <v>0.52082570788797344</v>
      </c>
      <c r="I25" s="108">
        <v>0.41905844664116859</v>
      </c>
      <c r="J25" s="108">
        <v>0.35245466859990843</v>
      </c>
      <c r="K25" s="108">
        <v>0.28941998622211146</v>
      </c>
      <c r="L25" s="108">
        <v>0.23715536666093784</v>
      </c>
    </row>
    <row r="26" spans="1:12">
      <c r="A26" s="39"/>
      <c r="B26" s="39" t="s">
        <v>61</v>
      </c>
      <c r="C26" s="108">
        <v>0.87791681682474243</v>
      </c>
      <c r="D26" s="108">
        <v>0.810134715608121</v>
      </c>
      <c r="E26" s="108">
        <v>0.75670686495665906</v>
      </c>
      <c r="F26" s="108">
        <v>0.66845161918657781</v>
      </c>
      <c r="G26" s="108">
        <v>0.56456773431207752</v>
      </c>
      <c r="H26" s="108">
        <v>0.47146259082840236</v>
      </c>
      <c r="I26" s="108">
        <v>0.38643657195206099</v>
      </c>
      <c r="J26" s="108">
        <v>0.32695096783941507</v>
      </c>
      <c r="K26" s="108">
        <v>0.24575512070824329</v>
      </c>
      <c r="L26" s="108">
        <v>0.19459475417534056</v>
      </c>
    </row>
    <row r="27" spans="1:12">
      <c r="A27" s="39"/>
      <c r="B27" s="39" t="s">
        <v>62</v>
      </c>
      <c r="C27" s="108">
        <v>0.89744953439538977</v>
      </c>
      <c r="D27" s="108">
        <v>0.81623984509359693</v>
      </c>
      <c r="E27" s="108">
        <v>0.76390112712785296</v>
      </c>
      <c r="F27" s="108">
        <v>0.66484927458013399</v>
      </c>
      <c r="G27" s="108">
        <v>0.5526606781419815</v>
      </c>
      <c r="H27" s="108">
        <v>0.45947177759696733</v>
      </c>
      <c r="I27" s="108">
        <v>0.36773877771698071</v>
      </c>
      <c r="J27" s="108">
        <v>0.29288934071690004</v>
      </c>
      <c r="K27" s="108">
        <v>0.21611285073557118</v>
      </c>
      <c r="L27" s="108">
        <v>0.16334512720727709</v>
      </c>
    </row>
    <row r="28" spans="1:12">
      <c r="A28" s="39"/>
      <c r="B28" s="39" t="s">
        <v>63</v>
      </c>
      <c r="C28" s="108">
        <v>0.88306439261355163</v>
      </c>
      <c r="D28" s="108">
        <v>0.81179941645748133</v>
      </c>
      <c r="E28" s="108">
        <v>0.75361688418983563</v>
      </c>
      <c r="F28" s="108">
        <v>0.64658634060583431</v>
      </c>
      <c r="G28" s="108">
        <v>0.51564193379406542</v>
      </c>
      <c r="H28" s="108">
        <v>0.42602891025079165</v>
      </c>
      <c r="I28" s="108">
        <v>0.3321999954078359</v>
      </c>
      <c r="J28" s="108">
        <v>0.26244813108666476</v>
      </c>
      <c r="K28" s="108">
        <v>0.19559578333729277</v>
      </c>
      <c r="L28" s="108">
        <v>0.14653373046636814</v>
      </c>
    </row>
    <row r="29" spans="1:12">
      <c r="A29" s="39"/>
      <c r="B29" s="39" t="s">
        <v>64</v>
      </c>
      <c r="C29" s="108">
        <v>0.87099814003255771</v>
      </c>
      <c r="D29" s="108">
        <v>0.82373275287832171</v>
      </c>
      <c r="E29" s="108">
        <v>0.77419136345888684</v>
      </c>
      <c r="F29" s="108">
        <v>0.68144592783665692</v>
      </c>
      <c r="G29" s="108">
        <v>0.57174610048424002</v>
      </c>
      <c r="H29" s="108">
        <v>0.48761053922688774</v>
      </c>
      <c r="I29" s="108">
        <v>0.39715566966500043</v>
      </c>
      <c r="J29" s="108">
        <v>0.32186542862551076</v>
      </c>
      <c r="K29" s="108">
        <v>0.24909394046850419</v>
      </c>
      <c r="L29" s="108">
        <v>0.18952996045960285</v>
      </c>
    </row>
    <row r="30" spans="1:12">
      <c r="A30" s="39"/>
      <c r="B30" s="39" t="s">
        <v>65</v>
      </c>
      <c r="C30" s="108">
        <v>0.85751832002221318</v>
      </c>
      <c r="D30" s="108">
        <v>0.81597617657506827</v>
      </c>
      <c r="E30" s="108">
        <v>0.77404036129007636</v>
      </c>
      <c r="F30" s="108">
        <v>0.70406200056731583</v>
      </c>
      <c r="G30" s="108">
        <v>0.61157032407250611</v>
      </c>
      <c r="H30" s="108">
        <v>0.53261825185147393</v>
      </c>
      <c r="I30" s="108">
        <v>0.44996036282388557</v>
      </c>
      <c r="J30" s="108">
        <v>0.37361297122282539</v>
      </c>
      <c r="K30" s="108">
        <v>0.28228787495091656</v>
      </c>
      <c r="L30" s="108">
        <v>0.22392604934727001</v>
      </c>
    </row>
    <row r="31" spans="1:12">
      <c r="A31" s="39"/>
      <c r="B31" s="39" t="s">
        <v>66</v>
      </c>
      <c r="C31" s="108">
        <v>0.75972388555935721</v>
      </c>
      <c r="D31" s="108">
        <v>0.72430903219850096</v>
      </c>
      <c r="E31" s="108">
        <v>0.69473905864335084</v>
      </c>
      <c r="F31" s="108">
        <v>0.63304982607359694</v>
      </c>
      <c r="G31" s="108">
        <v>0.56167170910577846</v>
      </c>
      <c r="H31" s="108">
        <v>0.4779386461940634</v>
      </c>
      <c r="I31" s="108">
        <v>0.38955305570792575</v>
      </c>
      <c r="J31" s="108">
        <v>0.30975124015706612</v>
      </c>
      <c r="K31" s="108">
        <v>0.232078981054363</v>
      </c>
      <c r="L31" s="108">
        <v>0.16420065762016675</v>
      </c>
    </row>
    <row r="32" spans="1:12">
      <c r="A32" s="39"/>
      <c r="B32" s="39"/>
    </row>
    <row r="33" spans="1:12">
      <c r="A33" s="40" t="s">
        <v>57</v>
      </c>
      <c r="B33" s="40" t="s">
        <v>55</v>
      </c>
      <c r="C33" s="33">
        <v>0.83112653099288081</v>
      </c>
      <c r="D33" s="33">
        <v>0.77805544443389185</v>
      </c>
      <c r="E33" s="33">
        <v>0.73333179511334667</v>
      </c>
      <c r="F33" s="33">
        <v>0.65476106021976144</v>
      </c>
      <c r="G33" s="33">
        <v>0.56079726952996423</v>
      </c>
      <c r="H33" s="33">
        <v>0.47716941313263883</v>
      </c>
      <c r="I33" s="33">
        <v>0.39019387689695828</v>
      </c>
      <c r="J33" s="33">
        <v>0.32194741243475838</v>
      </c>
      <c r="K33" s="33">
        <v>0.24864354381539086</v>
      </c>
      <c r="L33" s="33">
        <v>0.19028584261185055</v>
      </c>
    </row>
    <row r="34" spans="1:12">
      <c r="A34" s="39" t="s">
        <v>59</v>
      </c>
      <c r="B34" s="39" t="s">
        <v>60</v>
      </c>
      <c r="C34" s="108">
        <v>0.8455952789727974</v>
      </c>
      <c r="D34" s="108">
        <v>0.7846589782782617</v>
      </c>
      <c r="E34" s="108">
        <v>0.7015667829871417</v>
      </c>
      <c r="F34" s="108">
        <v>0.61568718800873223</v>
      </c>
      <c r="G34" s="108">
        <v>0.51358526108603908</v>
      </c>
      <c r="H34" s="108">
        <v>0.40530045974736228</v>
      </c>
      <c r="I34" s="108">
        <v>0.34061035544108398</v>
      </c>
      <c r="J34" s="108">
        <v>0.27875520796783548</v>
      </c>
      <c r="K34" s="108">
        <v>0.24634607942518019</v>
      </c>
      <c r="L34" s="108">
        <v>0.22673581857904865</v>
      </c>
    </row>
    <row r="35" spans="1:12">
      <c r="A35" s="39"/>
      <c r="B35" s="39" t="s">
        <v>61</v>
      </c>
      <c r="C35" s="108">
        <v>0.87214698863045437</v>
      </c>
      <c r="D35" s="108">
        <v>0.81411662797089623</v>
      </c>
      <c r="E35" s="108">
        <v>0.76331432875155825</v>
      </c>
      <c r="F35" s="108">
        <v>0.67835414528629934</v>
      </c>
      <c r="G35" s="108">
        <v>0.57387552779011275</v>
      </c>
      <c r="H35" s="108">
        <v>0.49121721005229957</v>
      </c>
      <c r="I35" s="108">
        <v>0.40813774970190458</v>
      </c>
      <c r="J35" s="108">
        <v>0.32942761569271845</v>
      </c>
      <c r="K35" s="108">
        <v>0.25619848127816697</v>
      </c>
      <c r="L35" s="108">
        <v>0.20514962481453178</v>
      </c>
    </row>
    <row r="36" spans="1:12">
      <c r="A36" s="39"/>
      <c r="B36" s="39" t="s">
        <v>62</v>
      </c>
      <c r="C36" s="108">
        <v>0.88889939730042711</v>
      </c>
      <c r="D36" s="108">
        <v>0.83077593309644737</v>
      </c>
      <c r="E36" s="108">
        <v>0.7720733536313491</v>
      </c>
      <c r="F36" s="108">
        <v>0.68219452145815151</v>
      </c>
      <c r="G36" s="108">
        <v>0.57221895156185754</v>
      </c>
      <c r="H36" s="108">
        <v>0.48628410960853141</v>
      </c>
      <c r="I36" s="108">
        <v>0.3994738728530976</v>
      </c>
      <c r="J36" s="108">
        <v>0.32862783375724297</v>
      </c>
      <c r="K36" s="108">
        <v>0.25437282269439165</v>
      </c>
      <c r="L36" s="108">
        <v>0.19596601638695643</v>
      </c>
    </row>
    <row r="37" spans="1:12">
      <c r="A37" s="39"/>
      <c r="B37" s="39" t="s">
        <v>63</v>
      </c>
      <c r="C37" s="108">
        <v>0.87027737737878719</v>
      </c>
      <c r="D37" s="108">
        <v>0.80905045364229289</v>
      </c>
      <c r="E37" s="108">
        <v>0.76116736259730677</v>
      </c>
      <c r="F37" s="108">
        <v>0.67224115748849578</v>
      </c>
      <c r="G37" s="108">
        <v>0.56750710995209086</v>
      </c>
      <c r="H37" s="108">
        <v>0.47374757739180129</v>
      </c>
      <c r="I37" s="108">
        <v>0.38134695485276271</v>
      </c>
      <c r="J37" s="108">
        <v>0.31017363701832912</v>
      </c>
      <c r="K37" s="108">
        <v>0.24098796353626048</v>
      </c>
      <c r="L37" s="108">
        <v>0.18467553351470692</v>
      </c>
    </row>
    <row r="38" spans="1:12">
      <c r="A38" s="39"/>
      <c r="B38" s="39" t="s">
        <v>64</v>
      </c>
      <c r="C38" s="108">
        <v>0.85683427533451728</v>
      </c>
      <c r="D38" s="108">
        <v>0.80471331253321565</v>
      </c>
      <c r="E38" s="108">
        <v>0.76184759586228068</v>
      </c>
      <c r="F38" s="108">
        <v>0.68109574466477762</v>
      </c>
      <c r="G38" s="108">
        <v>0.59138268894554147</v>
      </c>
      <c r="H38" s="108">
        <v>0.50798944395769075</v>
      </c>
      <c r="I38" s="108">
        <v>0.40895311195327838</v>
      </c>
      <c r="J38" s="108">
        <v>0.33789264986198264</v>
      </c>
      <c r="K38" s="108">
        <v>0.25606661087642357</v>
      </c>
      <c r="L38" s="108">
        <v>0.19930346945283045</v>
      </c>
    </row>
    <row r="39" spans="1:12">
      <c r="A39" s="39"/>
      <c r="B39" s="39" t="s">
        <v>65</v>
      </c>
      <c r="C39" s="108">
        <v>0.82775037809031216</v>
      </c>
      <c r="D39" s="108">
        <v>0.77994279680994105</v>
      </c>
      <c r="E39" s="108">
        <v>0.7445343795065037</v>
      </c>
      <c r="F39" s="108">
        <v>0.68585129724663885</v>
      </c>
      <c r="G39" s="108">
        <v>0.6111791447996594</v>
      </c>
      <c r="H39" s="108">
        <v>0.53435997445589178</v>
      </c>
      <c r="I39" s="108">
        <v>0.44990954371488212</v>
      </c>
      <c r="J39" s="108">
        <v>0.38006208994288243</v>
      </c>
      <c r="K39" s="108">
        <v>0.29139026776728488</v>
      </c>
      <c r="L39" s="108">
        <v>0.21651754249780142</v>
      </c>
    </row>
    <row r="40" spans="1:12">
      <c r="A40" s="132"/>
      <c r="B40" s="132" t="s">
        <v>66</v>
      </c>
      <c r="C40" s="138">
        <v>0.71761442257933739</v>
      </c>
      <c r="D40" s="138">
        <v>0.67458223468668266</v>
      </c>
      <c r="E40" s="138">
        <v>0.64621996069608301</v>
      </c>
      <c r="F40" s="138">
        <v>0.5776490624374454</v>
      </c>
      <c r="G40" s="138">
        <v>0.49575478691291425</v>
      </c>
      <c r="H40" s="138">
        <v>0.42144529187483976</v>
      </c>
      <c r="I40" s="138">
        <v>0.33920746056826745</v>
      </c>
      <c r="J40" s="138">
        <v>0.28188197147537314</v>
      </c>
      <c r="K40" s="138">
        <v>0.21419237610369113</v>
      </c>
      <c r="L40" s="138">
        <v>0.15314742701026796</v>
      </c>
    </row>
    <row r="41" spans="1:12">
      <c r="A41" s="72"/>
      <c r="B41" s="72"/>
      <c r="C41" s="156" t="s">
        <v>146</v>
      </c>
      <c r="D41" s="156"/>
      <c r="E41" s="156"/>
      <c r="F41" s="156"/>
      <c r="G41" s="156"/>
      <c r="H41" s="156"/>
      <c r="I41" s="156"/>
      <c r="J41" s="156"/>
      <c r="K41" s="156"/>
      <c r="L41" s="156"/>
    </row>
    <row r="42" spans="1:12" ht="17.25">
      <c r="A42" s="40" t="s">
        <v>181</v>
      </c>
      <c r="B42" s="40" t="s">
        <v>55</v>
      </c>
      <c r="C42" s="51">
        <v>18427272.11470142</v>
      </c>
      <c r="D42" s="51">
        <v>17237452.161658607</v>
      </c>
      <c r="E42" s="51">
        <v>16231041.787826734</v>
      </c>
      <c r="F42" s="51">
        <v>14444554.869347669</v>
      </c>
      <c r="G42" s="51">
        <v>12296302.706347698</v>
      </c>
      <c r="H42" s="51">
        <v>10429967.596984528</v>
      </c>
      <c r="I42" s="51">
        <v>8495344.4394988921</v>
      </c>
      <c r="J42" s="51">
        <v>6944208.1749476362</v>
      </c>
      <c r="K42" s="51">
        <v>5306748.7135142228</v>
      </c>
      <c r="L42" s="51">
        <v>4047668.1519917459</v>
      </c>
    </row>
    <row r="43" spans="1:12">
      <c r="A43" s="39" t="s">
        <v>59</v>
      </c>
      <c r="B43" s="39" t="s">
        <v>60</v>
      </c>
      <c r="C43" s="110">
        <v>816985.03464597394</v>
      </c>
      <c r="D43" s="110">
        <v>775920.87212669663</v>
      </c>
      <c r="E43" s="110">
        <v>709699.49518270302</v>
      </c>
      <c r="F43" s="110">
        <v>641172.18740148447</v>
      </c>
      <c r="G43" s="110">
        <v>545779.44805407501</v>
      </c>
      <c r="H43" s="110">
        <v>453653.02469831484</v>
      </c>
      <c r="I43" s="110">
        <v>371938.0670656985</v>
      </c>
      <c r="J43" s="110">
        <v>306738.21410246188</v>
      </c>
      <c r="K43" s="110">
        <v>260581.20515671256</v>
      </c>
      <c r="L43" s="110">
        <v>225644.73209393449</v>
      </c>
    </row>
    <row r="44" spans="1:12">
      <c r="A44" s="39"/>
      <c r="B44" s="39" t="s">
        <v>61</v>
      </c>
      <c r="C44" s="110">
        <v>2060811.5649451329</v>
      </c>
      <c r="D44" s="110">
        <v>1911226.2361042979</v>
      </c>
      <c r="E44" s="110">
        <v>1789553.5105452095</v>
      </c>
      <c r="F44" s="110">
        <v>1585718.9927326136</v>
      </c>
      <c r="G44" s="110">
        <v>1340319.5679710612</v>
      </c>
      <c r="H44" s="110">
        <v>1133289.5829194835</v>
      </c>
      <c r="I44" s="110">
        <v>933999.01082590874</v>
      </c>
      <c r="J44" s="110">
        <v>770358.70198731031</v>
      </c>
      <c r="K44" s="110">
        <v>588874.2132989961</v>
      </c>
      <c r="L44" s="110">
        <v>467633.08703175472</v>
      </c>
    </row>
    <row r="45" spans="1:12">
      <c r="A45" s="39"/>
      <c r="B45" s="39" t="s">
        <v>62</v>
      </c>
      <c r="C45" s="110">
        <v>3481225.7254565251</v>
      </c>
      <c r="D45" s="110">
        <v>3210767.8385787676</v>
      </c>
      <c r="E45" s="110">
        <v>2993171.5153109799</v>
      </c>
      <c r="F45" s="110">
        <v>2624171.5289075961</v>
      </c>
      <c r="G45" s="110">
        <v>2192346.9093904993</v>
      </c>
      <c r="H45" s="110">
        <v>1843904.0958834528</v>
      </c>
      <c r="I45" s="110">
        <v>1495350.9335775045</v>
      </c>
      <c r="J45" s="110">
        <v>1209828.976681143</v>
      </c>
      <c r="K45" s="110">
        <v>914501.47132166638</v>
      </c>
      <c r="L45" s="110">
        <v>698106.78519788152</v>
      </c>
    </row>
    <row r="46" spans="1:12">
      <c r="A46" s="39"/>
      <c r="B46" s="39" t="s">
        <v>63</v>
      </c>
      <c r="C46" s="110">
        <v>3258521.5604866557</v>
      </c>
      <c r="D46" s="110">
        <v>3012404.8064165702</v>
      </c>
      <c r="E46" s="110">
        <v>2814287.5114280591</v>
      </c>
      <c r="F46" s="110">
        <v>2451368.2393362974</v>
      </c>
      <c r="G46" s="110">
        <v>2012973.3553509007</v>
      </c>
      <c r="H46" s="110">
        <v>1670773.2207432087</v>
      </c>
      <c r="I46" s="110">
        <v>1324678.5734314881</v>
      </c>
      <c r="J46" s="110">
        <v>1063810.84325303</v>
      </c>
      <c r="K46" s="110">
        <v>811973.60012547509</v>
      </c>
      <c r="L46" s="110">
        <v>616254.34873632248</v>
      </c>
    </row>
    <row r="47" spans="1:12">
      <c r="A47" s="39"/>
      <c r="B47" s="39" t="s">
        <v>64</v>
      </c>
      <c r="C47" s="110">
        <v>2868387.6268386291</v>
      </c>
      <c r="D47" s="110">
        <v>2702306.1669852436</v>
      </c>
      <c r="E47" s="110">
        <v>2549728.1011209409</v>
      </c>
      <c r="F47" s="110">
        <v>2262140.2895579156</v>
      </c>
      <c r="G47" s="110">
        <v>1931986.6597278267</v>
      </c>
      <c r="H47" s="110">
        <v>1653548.0769224619</v>
      </c>
      <c r="I47" s="110">
        <v>1338118.2789190169</v>
      </c>
      <c r="J47" s="110">
        <v>1095243.1880170607</v>
      </c>
      <c r="K47" s="110">
        <v>838363.56036057614</v>
      </c>
      <c r="L47" s="110">
        <v>645094.61489743448</v>
      </c>
    </row>
    <row r="48" spans="1:12">
      <c r="A48" s="39"/>
      <c r="B48" s="39" t="s">
        <v>65</v>
      </c>
      <c r="C48" s="110">
        <v>2580498.3474595761</v>
      </c>
      <c r="D48" s="110">
        <v>2443696.9818066861</v>
      </c>
      <c r="E48" s="110">
        <v>2325190.3995045368</v>
      </c>
      <c r="F48" s="110">
        <v>2128140.8273782497</v>
      </c>
      <c r="G48" s="110">
        <v>1872400.9465527195</v>
      </c>
      <c r="H48" s="110">
        <v>1633566.7461617114</v>
      </c>
      <c r="I48" s="110">
        <v>1377587.2986370893</v>
      </c>
      <c r="J48" s="110">
        <v>1153817.5206272204</v>
      </c>
      <c r="K48" s="110">
        <v>878292.62051138992</v>
      </c>
      <c r="L48" s="110">
        <v>674042.32038233441</v>
      </c>
    </row>
    <row r="49" spans="1:12">
      <c r="A49" s="39"/>
      <c r="B49" s="39" t="s">
        <v>66</v>
      </c>
      <c r="C49" s="110">
        <v>3360842.2548689721</v>
      </c>
      <c r="D49" s="110">
        <v>3181129.259640391</v>
      </c>
      <c r="E49" s="110">
        <v>3049411.2547343522</v>
      </c>
      <c r="F49" s="110">
        <v>2751842.804033557</v>
      </c>
      <c r="G49" s="110">
        <v>2400495.8193006525</v>
      </c>
      <c r="H49" s="110">
        <v>2041232.8496559302</v>
      </c>
      <c r="I49" s="110">
        <v>1653672.2770422162</v>
      </c>
      <c r="J49" s="110">
        <v>1344410.7302794401</v>
      </c>
      <c r="K49" s="110">
        <v>1014162.0427394381</v>
      </c>
      <c r="L49" s="110">
        <v>720892.26365211513</v>
      </c>
    </row>
    <row r="50" spans="1:12">
      <c r="A50" s="39"/>
      <c r="B50" s="39"/>
    </row>
    <row r="51" spans="1:12">
      <c r="A51" s="40" t="s">
        <v>56</v>
      </c>
      <c r="B51" s="40" t="s">
        <v>55</v>
      </c>
      <c r="C51" s="51">
        <v>9148365.7838082463</v>
      </c>
      <c r="D51" s="51">
        <v>8551188.9731862266</v>
      </c>
      <c r="E51" s="51">
        <v>8044414.7985762795</v>
      </c>
      <c r="F51" s="51">
        <v>7133876.4922441076</v>
      </c>
      <c r="G51" s="51">
        <v>6035943.9215865545</v>
      </c>
      <c r="H51" s="51">
        <v>5105009.8018111615</v>
      </c>
      <c r="I51" s="51">
        <v>4143290.1820259811</v>
      </c>
      <c r="J51" s="51">
        <v>3358989.3367755963</v>
      </c>
      <c r="K51" s="51">
        <v>2538311.8907879367</v>
      </c>
      <c r="L51" s="51">
        <v>1929803.7340788199</v>
      </c>
    </row>
    <row r="52" spans="1:12">
      <c r="A52" s="39" t="s">
        <v>59</v>
      </c>
      <c r="B52" s="39" t="s">
        <v>60</v>
      </c>
      <c r="C52" s="110">
        <v>415858.97218223161</v>
      </c>
      <c r="D52" s="110">
        <v>402774.37228417653</v>
      </c>
      <c r="E52" s="110">
        <v>374705.67699273367</v>
      </c>
      <c r="F52" s="110">
        <v>345610.91562795819</v>
      </c>
      <c r="G52" s="110">
        <v>299102.17542004882</v>
      </c>
      <c r="H52" s="110">
        <v>258418.81952388186</v>
      </c>
      <c r="I52" s="110">
        <v>207924.815254733</v>
      </c>
      <c r="J52" s="110">
        <v>174877.92560128443</v>
      </c>
      <c r="K52" s="110">
        <v>143601.9191322703</v>
      </c>
      <c r="L52" s="110">
        <v>117669.70978601358</v>
      </c>
    </row>
    <row r="53" spans="1:12">
      <c r="A53" s="39"/>
      <c r="B53" s="39" t="s">
        <v>61</v>
      </c>
      <c r="C53" s="110">
        <v>1051968.6091469636</v>
      </c>
      <c r="D53" s="110">
        <v>970748.33704897226</v>
      </c>
      <c r="E53" s="110">
        <v>906728.12390074856</v>
      </c>
      <c r="F53" s="110">
        <v>800975.79479231813</v>
      </c>
      <c r="G53" s="110">
        <v>676496.36372336373</v>
      </c>
      <c r="H53" s="110">
        <v>564932.61825463711</v>
      </c>
      <c r="I53" s="110">
        <v>463049.72786628269</v>
      </c>
      <c r="J53" s="110">
        <v>391770.77862713259</v>
      </c>
      <c r="K53" s="110">
        <v>294477.41240136675</v>
      </c>
      <c r="L53" s="110">
        <v>233174.22445274086</v>
      </c>
    </row>
    <row r="54" spans="1:12">
      <c r="A54" s="39"/>
      <c r="B54" s="39" t="s">
        <v>62</v>
      </c>
      <c r="C54" s="110">
        <v>1741925.8338943711</v>
      </c>
      <c r="D54" s="110">
        <v>1584299.9726779736</v>
      </c>
      <c r="E54" s="110">
        <v>1482711.9039974744</v>
      </c>
      <c r="F54" s="110">
        <v>1290454.8753454864</v>
      </c>
      <c r="G54" s="110">
        <v>1072699.7739005627</v>
      </c>
      <c r="H54" s="110">
        <v>891822.58017519768</v>
      </c>
      <c r="I54" s="110">
        <v>713771.25117291615</v>
      </c>
      <c r="J54" s="110">
        <v>568490.47162387113</v>
      </c>
      <c r="K54" s="110">
        <v>419469.33315472165</v>
      </c>
      <c r="L54" s="110">
        <v>317048.57601247641</v>
      </c>
    </row>
    <row r="55" spans="1:12">
      <c r="A55" s="39"/>
      <c r="B55" s="39" t="s">
        <v>63</v>
      </c>
      <c r="C55" s="110">
        <v>1619636.4799032339</v>
      </c>
      <c r="D55" s="110">
        <v>1488928.7352729763</v>
      </c>
      <c r="E55" s="110">
        <v>1382215.6206438995</v>
      </c>
      <c r="F55" s="110">
        <v>1185909.9216455894</v>
      </c>
      <c r="G55" s="110">
        <v>945743.58736056252</v>
      </c>
      <c r="H55" s="110">
        <v>781383.52118741511</v>
      </c>
      <c r="I55" s="110">
        <v>609291.05021866434</v>
      </c>
      <c r="J55" s="110">
        <v>481358.51784526481</v>
      </c>
      <c r="K55" s="110">
        <v>358744.01533814822</v>
      </c>
      <c r="L55" s="110">
        <v>268758.85539583658</v>
      </c>
    </row>
    <row r="56" spans="1:12">
      <c r="A56" s="39"/>
      <c r="B56" s="39" t="s">
        <v>64</v>
      </c>
      <c r="C56" s="110">
        <v>1420356.8970497972</v>
      </c>
      <c r="D56" s="110">
        <v>1343280.1324154451</v>
      </c>
      <c r="E56" s="110">
        <v>1262491.8380240311</v>
      </c>
      <c r="F56" s="110">
        <v>1111249.7020178647</v>
      </c>
      <c r="G56" s="110">
        <v>932359.64562881994</v>
      </c>
      <c r="H56" s="110">
        <v>795157.83172532625</v>
      </c>
      <c r="I56" s="110">
        <v>647650.9749952259</v>
      </c>
      <c r="J56" s="110">
        <v>524873.43021541333</v>
      </c>
      <c r="K56" s="110">
        <v>406203.27426247601</v>
      </c>
      <c r="L56" s="110">
        <v>309070.90860872518</v>
      </c>
    </row>
    <row r="57" spans="1:12">
      <c r="A57" s="39"/>
      <c r="B57" s="39" t="s">
        <v>65</v>
      </c>
      <c r="C57" s="110">
        <v>1279916.6573853947</v>
      </c>
      <c r="D57" s="110">
        <v>1217911.589808393</v>
      </c>
      <c r="E57" s="110">
        <v>1155318.9346183466</v>
      </c>
      <c r="F57" s="110">
        <v>1050870.4727554386</v>
      </c>
      <c r="G57" s="110">
        <v>912819.03449328989</v>
      </c>
      <c r="H57" s="110">
        <v>794976.56977699534</v>
      </c>
      <c r="I57" s="110">
        <v>671602.86852711043</v>
      </c>
      <c r="J57" s="110">
        <v>557648.1039739853</v>
      </c>
      <c r="K57" s="110">
        <v>421337.88269181718</v>
      </c>
      <c r="L57" s="110">
        <v>334228.05541303247</v>
      </c>
    </row>
    <row r="58" spans="1:12">
      <c r="A58" s="39"/>
      <c r="B58" s="39" t="s">
        <v>66</v>
      </c>
      <c r="C58" s="110">
        <v>1618702.3342462713</v>
      </c>
      <c r="D58" s="110">
        <v>1543245.8336783047</v>
      </c>
      <c r="E58" s="110">
        <v>1480242.7003990598</v>
      </c>
      <c r="F58" s="110">
        <v>1348804.8100594648</v>
      </c>
      <c r="G58" s="110">
        <v>1196723.3410599174</v>
      </c>
      <c r="H58" s="110">
        <v>1018317.8611677185</v>
      </c>
      <c r="I58" s="110">
        <v>829999.49399105832</v>
      </c>
      <c r="J58" s="110">
        <v>659970.10888865392</v>
      </c>
      <c r="K58" s="110">
        <v>494478.05380714557</v>
      </c>
      <c r="L58" s="110">
        <v>349853.4044100031</v>
      </c>
    </row>
    <row r="59" spans="1:12">
      <c r="A59" s="39"/>
      <c r="B59" s="39"/>
    </row>
    <row r="60" spans="1:12">
      <c r="A60" s="40" t="s">
        <v>57</v>
      </c>
      <c r="B60" s="40" t="s">
        <v>55</v>
      </c>
      <c r="C60" s="51">
        <v>9174378.5255314894</v>
      </c>
      <c r="D60" s="51">
        <v>8588554.0828058347</v>
      </c>
      <c r="E60" s="51">
        <v>8094872.7086597774</v>
      </c>
      <c r="F60" s="51">
        <v>7227570.7563543823</v>
      </c>
      <c r="G60" s="51">
        <v>6190352.7740909867</v>
      </c>
      <c r="H60" s="51">
        <v>5267227.8571769521</v>
      </c>
      <c r="I60" s="51">
        <v>4307149.623440423</v>
      </c>
      <c r="J60" s="51">
        <v>3553811.9851177959</v>
      </c>
      <c r="K60" s="51">
        <v>2744648.2621206441</v>
      </c>
      <c r="L60" s="51">
        <v>2100467.5979785081</v>
      </c>
    </row>
    <row r="61" spans="1:12">
      <c r="A61" s="39" t="s">
        <v>59</v>
      </c>
      <c r="B61" s="39" t="s">
        <v>60</v>
      </c>
      <c r="C61" s="110">
        <v>388264.23315110966</v>
      </c>
      <c r="D61" s="110">
        <v>360284.67052988731</v>
      </c>
      <c r="E61" s="110">
        <v>322131.98887733661</v>
      </c>
      <c r="F61" s="110">
        <v>282699.44246089348</v>
      </c>
      <c r="G61" s="110">
        <v>235818.2365865577</v>
      </c>
      <c r="H61" s="110">
        <v>186098.09694155608</v>
      </c>
      <c r="I61" s="110">
        <v>156394.93472492968</v>
      </c>
      <c r="J61" s="110">
        <v>127993.47365087582</v>
      </c>
      <c r="K61" s="110">
        <v>113112.47117414062</v>
      </c>
      <c r="L61" s="110">
        <v>104108.20745761928</v>
      </c>
    </row>
    <row r="62" spans="1:12">
      <c r="A62" s="39"/>
      <c r="B62" s="39" t="s">
        <v>61</v>
      </c>
      <c r="C62" s="110">
        <v>973924.79941211501</v>
      </c>
      <c r="D62" s="110">
        <v>909122.41162433778</v>
      </c>
      <c r="E62" s="110">
        <v>852391.58560318337</v>
      </c>
      <c r="F62" s="110">
        <v>757516.71850153315</v>
      </c>
      <c r="G62" s="110">
        <v>640845.65512078931</v>
      </c>
      <c r="H62" s="110">
        <v>548541.27687721187</v>
      </c>
      <c r="I62" s="110">
        <v>455766.60951972392</v>
      </c>
      <c r="J62" s="110">
        <v>367871.16015633836</v>
      </c>
      <c r="K62" s="110">
        <v>286096.33208772435</v>
      </c>
      <c r="L62" s="110">
        <v>229090.17608455307</v>
      </c>
    </row>
    <row r="63" spans="1:12">
      <c r="A63" s="39"/>
      <c r="B63" s="39" t="s">
        <v>62</v>
      </c>
      <c r="C63" s="110">
        <v>1718079.0714358478</v>
      </c>
      <c r="D63" s="110">
        <v>1605737.1037041971</v>
      </c>
      <c r="E63" s="110">
        <v>1492275.8126688087</v>
      </c>
      <c r="F63" s="110">
        <v>1318556.5582843041</v>
      </c>
      <c r="G63" s="110">
        <v>1105994.005556874</v>
      </c>
      <c r="H63" s="110">
        <v>939897.7589900007</v>
      </c>
      <c r="I63" s="110">
        <v>772109.53525078075</v>
      </c>
      <c r="J63" s="110">
        <v>635177.16986233229</v>
      </c>
      <c r="K63" s="110">
        <v>491655.88855224435</v>
      </c>
      <c r="L63" s="110">
        <v>378766.27263961633</v>
      </c>
    </row>
    <row r="64" spans="1:12">
      <c r="A64" s="39"/>
      <c r="B64" s="39" t="s">
        <v>63</v>
      </c>
      <c r="C64" s="110">
        <v>1625475.6533374109</v>
      </c>
      <c r="D64" s="110">
        <v>1511118.0054778589</v>
      </c>
      <c r="E64" s="110">
        <v>1421683.532373904</v>
      </c>
      <c r="F64" s="110">
        <v>1255590.0717080326</v>
      </c>
      <c r="G64" s="110">
        <v>1059971.2394011791</v>
      </c>
      <c r="H64" s="110">
        <v>884850.24762718147</v>
      </c>
      <c r="I64" s="110">
        <v>712267.38359502237</v>
      </c>
      <c r="J64" s="110">
        <v>579332.18578996323</v>
      </c>
      <c r="K64" s="110">
        <v>450109.44516952493</v>
      </c>
      <c r="L64" s="110">
        <v>344930.92811327643</v>
      </c>
    </row>
    <row r="65" spans="1:23">
      <c r="A65" s="39"/>
      <c r="B65" s="39" t="s">
        <v>64</v>
      </c>
      <c r="C65" s="110">
        <v>1434991.447561895</v>
      </c>
      <c r="D65" s="110">
        <v>1347701.3635729467</v>
      </c>
      <c r="E65" s="110">
        <v>1275911.5921000582</v>
      </c>
      <c r="F65" s="110">
        <v>1140671.6522669236</v>
      </c>
      <c r="G65" s="110">
        <v>990423.84893122362</v>
      </c>
      <c r="H65" s="110">
        <v>850760.20943071495</v>
      </c>
      <c r="I65" s="110">
        <v>684898.15942256316</v>
      </c>
      <c r="J65" s="110">
        <v>565888.96675109235</v>
      </c>
      <c r="K65" s="110">
        <v>428850.02058346674</v>
      </c>
      <c r="L65" s="110">
        <v>333785.40327716008</v>
      </c>
    </row>
    <row r="66" spans="1:23">
      <c r="A66" s="39"/>
      <c r="B66" s="39" t="s">
        <v>65</v>
      </c>
      <c r="C66" s="110">
        <v>1295038.6184354543</v>
      </c>
      <c r="D66" s="110">
        <v>1220242.3203595658</v>
      </c>
      <c r="E66" s="110">
        <v>1164844.8611262382</v>
      </c>
      <c r="F66" s="110">
        <v>1073033.5375836499</v>
      </c>
      <c r="G66" s="110">
        <v>956206.86652414477</v>
      </c>
      <c r="H66" s="110">
        <v>836021.12591371103</v>
      </c>
      <c r="I66" s="110">
        <v>703896.06496788119</v>
      </c>
      <c r="J66" s="110">
        <v>594617.76993065979</v>
      </c>
      <c r="K66" s="110">
        <v>455888.22401444981</v>
      </c>
      <c r="L66" s="110">
        <v>338747.75116417947</v>
      </c>
    </row>
    <row r="67" spans="1:23">
      <c r="A67" s="39"/>
      <c r="B67" s="39" t="s">
        <v>66</v>
      </c>
      <c r="C67" s="110">
        <v>1738604.7021976588</v>
      </c>
      <c r="D67" s="110">
        <v>1634348.2075370443</v>
      </c>
      <c r="E67" s="110">
        <v>1565633.3359102504</v>
      </c>
      <c r="F67" s="110">
        <v>1399502.7755490502</v>
      </c>
      <c r="G67" s="110">
        <v>1201092.9219702235</v>
      </c>
      <c r="H67" s="110">
        <v>1021059.1413965806</v>
      </c>
      <c r="I67" s="110">
        <v>821816.93595952762</v>
      </c>
      <c r="J67" s="110">
        <v>682931.25897654053</v>
      </c>
      <c r="K67" s="110">
        <v>518935.88053910085</v>
      </c>
      <c r="L67" s="110">
        <v>371038.85924211249</v>
      </c>
    </row>
    <row r="68" spans="1:23">
      <c r="A68" s="132"/>
      <c r="B68" s="132"/>
      <c r="C68" s="178"/>
      <c r="D68" s="178"/>
      <c r="E68" s="178"/>
      <c r="F68" s="178"/>
      <c r="G68" s="178"/>
      <c r="H68" s="178"/>
      <c r="I68" s="178"/>
      <c r="J68" s="178"/>
      <c r="K68" s="178"/>
      <c r="L68" s="178"/>
    </row>
    <row r="69" spans="1:23">
      <c r="A69" s="29" t="s">
        <v>147</v>
      </c>
    </row>
    <row r="70" spans="1:23">
      <c r="A70" s="16" t="s">
        <v>119</v>
      </c>
    </row>
    <row r="71" spans="1:23" ht="15" customHeight="1">
      <c r="A71" s="16" t="s">
        <v>120</v>
      </c>
      <c r="B71" s="29"/>
      <c r="C71" s="2"/>
      <c r="G71" s="2"/>
      <c r="K71" s="2"/>
      <c r="O71" s="2"/>
      <c r="S71" s="2"/>
      <c r="W71" s="2"/>
    </row>
    <row r="72" spans="1:23">
      <c r="A72" s="29" t="s">
        <v>118</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C42&lt;'34'!$C$104</xm:f>
            <x14:dxf>
              <font>
                <color rgb="FFFF0000"/>
              </font>
              <numFmt numFmtId="172" formatCode="\*\*0.0%"/>
            </x14:dxf>
          </x14:cfRule>
          <x14:cfRule type="expression" priority="4" id="{8D6C7A71-338B-4991-AD3D-51157481F7DA}">
            <xm:f>C42&lt;'34'!$C$103</xm:f>
            <x14:dxf>
              <font>
                <color rgb="FF00B050"/>
              </font>
              <numFmt numFmtId="171" formatCode="\*0.0%"/>
            </x14:dxf>
          </x14:cfRule>
          <xm:sqref>C15:L40</xm:sqref>
        </x14:conditionalFormatting>
        <x14:conditionalFormatting xmlns:xm="http://schemas.microsoft.com/office/excel/2006/main">
          <x14:cfRule type="expression" priority="1" id="{E4ABB5B4-BD3A-4925-87D1-01BFBEACEFBF}">
            <xm:f>C42&lt;'34'!$C$104</xm:f>
            <x14:dxf>
              <font>
                <color rgb="FFFF0000"/>
              </font>
              <numFmt numFmtId="170" formatCode="\*\*#,###,###,##0"/>
            </x14:dxf>
          </x14:cfRule>
          <x14:cfRule type="expression" priority="2" id="{C2B14B71-CAA6-48DB-97F4-356CF8C8DAA8}">
            <xm:f>C42&lt;'34'!$C$103</xm:f>
            <x14:dxf>
              <font>
                <color rgb="FF00B050"/>
              </font>
              <numFmt numFmtId="169"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W55"/>
  <sheetViews>
    <sheetView zoomScaleNormal="100" workbookViewId="0">
      <pane xSplit="2" ySplit="13" topLeftCell="C14" activePane="bottomRight" state="frozen"/>
      <selection pane="bottomRight"/>
      <selection pane="bottomLeft"/>
      <selection pane="topRight"/>
    </sheetView>
  </sheetViews>
  <sheetFormatPr defaultColWidth="8.85546875" defaultRowHeight="1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c r="A1" s="34"/>
      <c r="B1" s="34"/>
      <c r="C1" s="34"/>
      <c r="D1" s="34"/>
      <c r="E1" s="34"/>
      <c r="F1" s="34"/>
      <c r="G1" s="34"/>
      <c r="H1" s="34"/>
      <c r="I1" s="34"/>
      <c r="J1" s="34"/>
      <c r="K1" s="34"/>
      <c r="L1" s="34"/>
    </row>
    <row r="2" spans="1:12">
      <c r="A2" s="34"/>
      <c r="B2" s="34"/>
      <c r="C2" s="34"/>
      <c r="D2" s="34"/>
      <c r="E2" s="34"/>
      <c r="F2" s="34"/>
      <c r="G2" s="34"/>
      <c r="H2" s="34"/>
      <c r="I2" s="34"/>
      <c r="J2" s="34"/>
      <c r="K2" s="34"/>
      <c r="L2" s="34"/>
    </row>
    <row r="3" spans="1:12">
      <c r="A3" s="34"/>
      <c r="B3" s="34"/>
      <c r="C3" s="34"/>
      <c r="D3" s="34"/>
      <c r="E3" s="34"/>
      <c r="F3" s="34"/>
      <c r="G3" s="34"/>
      <c r="H3" s="34"/>
      <c r="I3" s="34"/>
      <c r="J3" s="34"/>
      <c r="K3" s="34"/>
      <c r="L3" s="34"/>
    </row>
    <row r="4" spans="1:12">
      <c r="A4" s="34"/>
      <c r="B4" s="34"/>
      <c r="C4" s="34"/>
      <c r="D4" s="34"/>
      <c r="E4" s="34"/>
      <c r="F4" s="34"/>
      <c r="G4" s="34"/>
      <c r="H4" s="34"/>
      <c r="I4" s="34"/>
      <c r="J4" s="34"/>
      <c r="K4" s="34"/>
      <c r="L4" s="34"/>
    </row>
    <row r="5" spans="1:12">
      <c r="A5" s="34"/>
      <c r="B5" s="34"/>
      <c r="C5" s="34"/>
      <c r="D5" s="34"/>
      <c r="E5" s="34"/>
      <c r="F5" s="34"/>
      <c r="G5" s="34"/>
      <c r="H5" s="34"/>
      <c r="I5" s="34"/>
      <c r="J5" s="34"/>
      <c r="K5" s="34"/>
      <c r="L5" s="34"/>
    </row>
    <row r="6" spans="1:12">
      <c r="A6" s="34"/>
      <c r="B6" s="34"/>
      <c r="C6" s="34"/>
      <c r="D6" s="34"/>
      <c r="E6" s="34"/>
      <c r="F6" s="34"/>
      <c r="G6" s="34"/>
      <c r="H6" s="34"/>
      <c r="I6" s="34"/>
      <c r="J6" s="34"/>
      <c r="K6" s="34"/>
      <c r="L6" s="34"/>
    </row>
    <row r="7" spans="1:12">
      <c r="A7" s="34"/>
      <c r="B7" s="34"/>
      <c r="C7" s="34"/>
      <c r="D7" s="34"/>
      <c r="E7" s="34"/>
      <c r="F7" s="34"/>
      <c r="G7" s="34"/>
      <c r="H7" s="34"/>
      <c r="I7" s="34"/>
      <c r="J7" s="34"/>
      <c r="K7" s="34"/>
      <c r="L7" s="34"/>
    </row>
    <row r="8" spans="1:12">
      <c r="A8" s="35" t="s">
        <v>0</v>
      </c>
      <c r="B8" s="34"/>
      <c r="C8" s="34"/>
      <c r="D8" s="34"/>
      <c r="E8" s="34"/>
      <c r="F8" s="34"/>
      <c r="G8" s="34"/>
      <c r="H8" s="34"/>
      <c r="I8" s="34"/>
      <c r="J8" s="34"/>
      <c r="K8" s="34"/>
      <c r="L8" s="34"/>
    </row>
    <row r="9" spans="1:12">
      <c r="A9" s="34" t="s">
        <v>1</v>
      </c>
      <c r="B9" s="34"/>
      <c r="C9" s="35" t="s">
        <v>2</v>
      </c>
      <c r="D9" s="34"/>
      <c r="E9" s="34"/>
      <c r="F9" s="34"/>
      <c r="G9" s="34"/>
      <c r="H9" s="34"/>
      <c r="I9" s="34"/>
      <c r="J9" s="34"/>
      <c r="K9" s="34"/>
      <c r="L9" s="34"/>
    </row>
    <row r="10" spans="1:12">
      <c r="A10" s="34" t="s">
        <v>47</v>
      </c>
      <c r="B10" s="34"/>
      <c r="C10" s="36">
        <v>10</v>
      </c>
      <c r="D10" s="34"/>
      <c r="E10" s="34"/>
      <c r="F10" s="34"/>
      <c r="G10" s="34"/>
      <c r="H10" s="34"/>
      <c r="I10" s="34"/>
      <c r="J10" s="34"/>
      <c r="K10" s="34"/>
      <c r="L10" s="34"/>
    </row>
    <row r="11" spans="1:12">
      <c r="A11" s="34" t="s">
        <v>3</v>
      </c>
      <c r="B11" s="34"/>
      <c r="C11" s="35" t="s">
        <v>18</v>
      </c>
      <c r="D11" s="34"/>
      <c r="E11" s="34"/>
      <c r="F11" s="34"/>
      <c r="G11" s="34"/>
      <c r="H11" s="34"/>
      <c r="I11" s="34"/>
      <c r="J11" s="34"/>
      <c r="K11" s="34"/>
      <c r="L11" s="34"/>
    </row>
    <row r="12" spans="1:12">
      <c r="A12" s="130" t="s">
        <v>48</v>
      </c>
      <c r="B12" s="130"/>
      <c r="C12" s="131" t="s">
        <v>121</v>
      </c>
      <c r="D12" s="130"/>
      <c r="E12" s="130"/>
      <c r="F12" s="130"/>
      <c r="G12" s="130"/>
      <c r="H12" s="130"/>
      <c r="I12" s="130"/>
      <c r="J12" s="130"/>
      <c r="K12" s="130"/>
      <c r="L12" s="130"/>
    </row>
    <row r="13" spans="1:12" s="2" customFormat="1" ht="50.1" customHeight="1">
      <c r="A13" s="42"/>
      <c r="B13" s="42"/>
      <c r="C13" s="60" t="s">
        <v>171</v>
      </c>
      <c r="D13" s="60" t="s">
        <v>172</v>
      </c>
      <c r="E13" s="60" t="s">
        <v>173</v>
      </c>
      <c r="F13" s="60" t="s">
        <v>174</v>
      </c>
      <c r="G13" s="60" t="s">
        <v>175</v>
      </c>
      <c r="H13" s="60" t="s">
        <v>176</v>
      </c>
      <c r="I13" s="60" t="s">
        <v>177</v>
      </c>
      <c r="J13" s="60" t="s">
        <v>178</v>
      </c>
      <c r="K13" s="60" t="s">
        <v>179</v>
      </c>
      <c r="L13" s="60" t="s">
        <v>180</v>
      </c>
    </row>
    <row r="14" spans="1:12">
      <c r="A14" s="72"/>
      <c r="B14" s="72"/>
      <c r="C14" s="156" t="s">
        <v>143</v>
      </c>
      <c r="D14" s="156"/>
      <c r="E14" s="156"/>
      <c r="F14" s="156"/>
      <c r="G14" s="156"/>
      <c r="H14" s="156"/>
      <c r="I14" s="156"/>
      <c r="J14" s="156"/>
      <c r="K14" s="156"/>
      <c r="L14" s="156"/>
    </row>
    <row r="15" spans="1:12" ht="17.25">
      <c r="A15" s="40" t="s">
        <v>144</v>
      </c>
      <c r="B15" s="40" t="s">
        <v>55</v>
      </c>
      <c r="C15" s="33">
        <v>0.71152375922435629</v>
      </c>
      <c r="D15" s="33">
        <v>0.60113206700622412</v>
      </c>
      <c r="E15" s="33">
        <v>0.51607848990995608</v>
      </c>
      <c r="F15" s="33">
        <v>0.39989917944628811</v>
      </c>
      <c r="G15" s="33">
        <v>0.23590191102062741</v>
      </c>
      <c r="H15" s="33">
        <v>0.14055186284810606</v>
      </c>
      <c r="I15" s="33">
        <v>8.8764068572644572E-2</v>
      </c>
      <c r="J15" s="33">
        <v>6.0707900600081618E-2</v>
      </c>
      <c r="K15" s="33">
        <v>3.8994041059242E-2</v>
      </c>
      <c r="L15" s="33">
        <v>2.872460871752848E-2</v>
      </c>
    </row>
    <row r="16" spans="1:12">
      <c r="A16" s="39" t="s">
        <v>59</v>
      </c>
      <c r="B16" s="39" t="s">
        <v>122</v>
      </c>
      <c r="C16" s="108">
        <v>0.47209739722883354</v>
      </c>
      <c r="D16" s="108">
        <v>0.34878358874879872</v>
      </c>
      <c r="E16" s="108">
        <v>0.28814701908793267</v>
      </c>
      <c r="F16" s="108">
        <v>0.21658203368321174</v>
      </c>
      <c r="G16" s="108">
        <v>9.584697308558629E-2</v>
      </c>
      <c r="H16" s="108">
        <v>4.9823896620694183E-2</v>
      </c>
      <c r="I16" s="108">
        <v>3.6774561982735245E-2</v>
      </c>
      <c r="J16" s="108">
        <v>2.6311114139933874E-2</v>
      </c>
      <c r="K16" s="108">
        <v>1.9899460875096905E-2</v>
      </c>
      <c r="L16" s="108">
        <v>1.753946171541465E-2</v>
      </c>
    </row>
    <row r="17" spans="1:12">
      <c r="A17" s="39"/>
      <c r="B17" s="39" t="s">
        <v>123</v>
      </c>
      <c r="C17" s="108">
        <v>0.80533964584912487</v>
      </c>
      <c r="D17" s="108">
        <v>0.68034388844122495</v>
      </c>
      <c r="E17" s="108">
        <v>0.57883551469478023</v>
      </c>
      <c r="F17" s="108">
        <v>0.44599829306341193</v>
      </c>
      <c r="G17" s="108">
        <v>0.24831681042390824</v>
      </c>
      <c r="H17" s="108">
        <v>0.13066933294476979</v>
      </c>
      <c r="I17" s="108">
        <v>7.3766039277515613E-2</v>
      </c>
      <c r="J17" s="108">
        <v>4.881793932580749E-2</v>
      </c>
      <c r="K17" s="108">
        <v>3.3024302386874156E-2</v>
      </c>
      <c r="L17" s="108">
        <v>2.417184634208103E-2</v>
      </c>
    </row>
    <row r="18" spans="1:12">
      <c r="A18" s="39"/>
      <c r="B18" s="39" t="s">
        <v>124</v>
      </c>
      <c r="C18" s="108">
        <v>0.8564454779816586</v>
      </c>
      <c r="D18" s="108">
        <v>0.75367754934028097</v>
      </c>
      <c r="E18" s="108">
        <v>0.66253613357943886</v>
      </c>
      <c r="F18" s="108">
        <v>0.51333354625626704</v>
      </c>
      <c r="G18" s="108">
        <v>0.32556599852724893</v>
      </c>
      <c r="H18" s="108">
        <v>0.20541661134679168</v>
      </c>
      <c r="I18" s="108">
        <v>0.12328714716679469</v>
      </c>
      <c r="J18" s="108">
        <v>8.6485626711481745E-2</v>
      </c>
      <c r="K18" s="108">
        <v>5.057461099266114E-2</v>
      </c>
      <c r="L18" s="108">
        <v>3.8255515693278917E-2</v>
      </c>
    </row>
    <row r="19" spans="1:12">
      <c r="A19" s="39"/>
      <c r="B19" s="39" t="s">
        <v>125</v>
      </c>
      <c r="C19" s="108">
        <v>0.81146303480973814</v>
      </c>
      <c r="D19" s="108">
        <v>0.73211009678745576</v>
      </c>
      <c r="E19" s="108">
        <v>0.63708448988746635</v>
      </c>
      <c r="F19" s="108">
        <v>0.50723579309199596</v>
      </c>
      <c r="G19" s="108">
        <v>0.34441433547875283</v>
      </c>
      <c r="H19" s="108">
        <v>0.22725897921462263</v>
      </c>
      <c r="I19" s="108">
        <v>0.15317401598714858</v>
      </c>
      <c r="J19" s="108">
        <v>0.10293047799261179</v>
      </c>
      <c r="K19" s="108">
        <v>6.4346207551794571E-2</v>
      </c>
      <c r="L19" s="108">
        <v>4.2194140520806347E-2</v>
      </c>
    </row>
    <row r="20" spans="1:12">
      <c r="A20" s="39"/>
      <c r="B20" s="39"/>
    </row>
    <row r="21" spans="1:12">
      <c r="A21" s="40" t="s">
        <v>56</v>
      </c>
      <c r="B21" s="40" t="s">
        <v>55</v>
      </c>
      <c r="C21" s="33">
        <v>0.71082158563903264</v>
      </c>
      <c r="D21" s="33">
        <v>0.59713181265022175</v>
      </c>
      <c r="E21" s="33">
        <v>0.50468278627713803</v>
      </c>
      <c r="F21" s="33">
        <v>0.3890990024969026</v>
      </c>
      <c r="G21" s="33">
        <v>0.23523625396721359</v>
      </c>
      <c r="H21" s="33">
        <v>0.14647367135862205</v>
      </c>
      <c r="I21" s="33">
        <v>9.0715200077130784E-2</v>
      </c>
      <c r="J21" s="33">
        <v>6.155156101440757E-2</v>
      </c>
      <c r="K21" s="33">
        <v>3.9301017712134727E-2</v>
      </c>
      <c r="L21" s="33">
        <v>2.8719681838214214E-2</v>
      </c>
    </row>
    <row r="22" spans="1:12">
      <c r="A22" s="39" t="s">
        <v>59</v>
      </c>
      <c r="B22" s="39" t="s">
        <v>122</v>
      </c>
      <c r="C22" s="108">
        <v>0.45461837501988933</v>
      </c>
      <c r="D22" s="108">
        <v>0.32350219220015664</v>
      </c>
      <c r="E22" s="108">
        <v>0.26362466158522985</v>
      </c>
      <c r="F22" s="108">
        <v>0.18975121977513409</v>
      </c>
      <c r="G22" s="108">
        <v>8.3899431086008711E-2</v>
      </c>
      <c r="H22" s="108">
        <v>4.70764427376935E-2</v>
      </c>
      <c r="I22" s="108">
        <v>3.7013719608334571E-2</v>
      </c>
      <c r="J22" s="108">
        <v>2.7992508338621686E-2</v>
      </c>
      <c r="K22" s="108">
        <v>2.1313088281693635E-2</v>
      </c>
      <c r="L22" s="108">
        <v>1.7464821256728377E-2</v>
      </c>
    </row>
    <row r="23" spans="1:12">
      <c r="A23" s="39"/>
      <c r="B23" s="39" t="s">
        <v>123</v>
      </c>
      <c r="C23" s="108">
        <v>0.80364895955408011</v>
      </c>
      <c r="D23" s="108">
        <v>0.67012578376239162</v>
      </c>
      <c r="E23" s="108">
        <v>0.55215211728935654</v>
      </c>
      <c r="F23" s="108">
        <v>0.42856381653082354</v>
      </c>
      <c r="G23" s="108">
        <v>0.24887194522956285</v>
      </c>
      <c r="H23" s="108">
        <v>0.13886583104766639</v>
      </c>
      <c r="I23" s="108">
        <v>7.8631785518546382E-2</v>
      </c>
      <c r="J23" s="108">
        <v>5.0712273051839722E-2</v>
      </c>
      <c r="K23" s="108">
        <v>3.5629875390682644E-2</v>
      </c>
      <c r="L23" s="108">
        <v>2.6499689659826926E-2</v>
      </c>
    </row>
    <row r="24" spans="1:12">
      <c r="A24" s="39"/>
      <c r="B24" s="39" t="s">
        <v>124</v>
      </c>
      <c r="C24" s="108">
        <v>0.86439206801652746</v>
      </c>
      <c r="D24" s="108">
        <v>0.76619199833498031</v>
      </c>
      <c r="E24" s="108">
        <v>0.66407602367475715</v>
      </c>
      <c r="F24" s="108">
        <v>0.51329909890993108</v>
      </c>
      <c r="G24" s="108">
        <v>0.32965084409892637</v>
      </c>
      <c r="H24" s="108">
        <v>0.21959870517607624</v>
      </c>
      <c r="I24" s="108">
        <v>0.13059368426200405</v>
      </c>
      <c r="J24" s="108">
        <v>8.6301291135900293E-2</v>
      </c>
      <c r="K24" s="108">
        <v>4.5810574597993613E-2</v>
      </c>
      <c r="L24" s="108">
        <v>3.4340440251333988E-2</v>
      </c>
    </row>
    <row r="25" spans="1:12">
      <c r="A25" s="39"/>
      <c r="B25" s="39" t="s">
        <v>125</v>
      </c>
      <c r="C25" s="108">
        <v>0.82860791100018993</v>
      </c>
      <c r="D25" s="108">
        <v>0.75174232165507671</v>
      </c>
      <c r="E25" s="108">
        <v>0.65224459388373068</v>
      </c>
      <c r="F25" s="108">
        <v>0.51845732934718003</v>
      </c>
      <c r="G25" s="108">
        <v>0.35444529136551889</v>
      </c>
      <c r="H25" s="108">
        <v>0.2351169011347175</v>
      </c>
      <c r="I25" s="108">
        <v>0.14855738221156808</v>
      </c>
      <c r="J25" s="108">
        <v>0.10212550216784265</v>
      </c>
      <c r="K25" s="108">
        <v>6.5024878894496665E-2</v>
      </c>
      <c r="L25" s="108">
        <v>4.3170085961932732E-2</v>
      </c>
    </row>
    <row r="26" spans="1:12">
      <c r="A26" s="39"/>
      <c r="B26" s="39"/>
    </row>
    <row r="27" spans="1:12">
      <c r="A27" s="40" t="s">
        <v>57</v>
      </c>
      <c r="B27" s="40" t="s">
        <v>55</v>
      </c>
      <c r="C27" s="33">
        <v>0.7130420510819917</v>
      </c>
      <c r="D27" s="33">
        <v>0.60648087766433634</v>
      </c>
      <c r="E27" s="33">
        <v>0.52902382665549341</v>
      </c>
      <c r="F27" s="33">
        <v>0.41265303507077744</v>
      </c>
      <c r="G27" s="33">
        <v>0.23727970928811812</v>
      </c>
      <c r="H27" s="33">
        <v>0.13440654754759448</v>
      </c>
      <c r="I27" s="33">
        <v>8.7068869236504962E-2</v>
      </c>
      <c r="J27" s="33">
        <v>5.993211406572841E-2</v>
      </c>
      <c r="K27" s="33">
        <v>3.8707438151430219E-2</v>
      </c>
      <c r="L27" s="33">
        <v>2.867562288479374E-2</v>
      </c>
    </row>
    <row r="28" spans="1:12">
      <c r="A28" s="39" t="s">
        <v>59</v>
      </c>
      <c r="B28" s="39" t="s">
        <v>122</v>
      </c>
      <c r="C28" s="108">
        <v>0.48996087982049724</v>
      </c>
      <c r="D28" s="108">
        <v>0.37551436978917146</v>
      </c>
      <c r="E28" s="108">
        <v>0.31474810813990728</v>
      </c>
      <c r="F28" s="108">
        <v>0.245057063303803</v>
      </c>
      <c r="G28" s="108">
        <v>0.10920566296922093</v>
      </c>
      <c r="H28" s="108">
        <v>5.3113957459542199E-2</v>
      </c>
      <c r="I28" s="108">
        <v>3.6810903259621636E-2</v>
      </c>
      <c r="J28" s="108">
        <v>2.4743560621647467E-2</v>
      </c>
      <c r="K28" s="108">
        <v>1.8564105372204844E-2</v>
      </c>
      <c r="L28" s="108">
        <v>1.7755904562357427E-2</v>
      </c>
    </row>
    <row r="29" spans="1:12">
      <c r="A29" s="39"/>
      <c r="B29" s="39" t="s">
        <v>123</v>
      </c>
      <c r="C29" s="108">
        <v>0.80873647092811685</v>
      </c>
      <c r="D29" s="108">
        <v>0.69215323006495133</v>
      </c>
      <c r="E29" s="108">
        <v>0.6071869440919998</v>
      </c>
      <c r="F29" s="108">
        <v>0.46572376616745409</v>
      </c>
      <c r="G29" s="108">
        <v>0.24790002017734827</v>
      </c>
      <c r="H29" s="108">
        <v>0.12106381818335274</v>
      </c>
      <c r="I29" s="108">
        <v>6.927919892207425E-2</v>
      </c>
      <c r="J29" s="108">
        <v>4.7255542574743396E-2</v>
      </c>
      <c r="K29" s="108">
        <v>3.0562202120739349E-2</v>
      </c>
      <c r="L29" s="108">
        <v>2.1923255739500793E-2</v>
      </c>
    </row>
    <row r="30" spans="1:12">
      <c r="A30" s="39"/>
      <c r="B30" s="39" t="s">
        <v>124</v>
      </c>
      <c r="C30" s="108">
        <v>0.84881921720132059</v>
      </c>
      <c r="D30" s="108">
        <v>0.74361324212382551</v>
      </c>
      <c r="E30" s="108">
        <v>0.66323859220095516</v>
      </c>
      <c r="F30" s="108">
        <v>0.51654426472002246</v>
      </c>
      <c r="G30" s="108">
        <v>0.32272668369389723</v>
      </c>
      <c r="H30" s="108">
        <v>0.191408632668573</v>
      </c>
      <c r="I30" s="108">
        <v>0.11579804491579664</v>
      </c>
      <c r="J30" s="108">
        <v>8.6575494006049164E-2</v>
      </c>
      <c r="K30" s="108">
        <v>5.5176673296009011E-2</v>
      </c>
      <c r="L30" s="108">
        <v>4.1849410989063147E-2</v>
      </c>
    </row>
    <row r="31" spans="1:12">
      <c r="A31" s="132"/>
      <c r="B31" s="132" t="s">
        <v>125</v>
      </c>
      <c r="C31" s="138">
        <v>0.79564885304873034</v>
      </c>
      <c r="D31" s="138">
        <v>0.71282102894785038</v>
      </c>
      <c r="E31" s="138">
        <v>0.62237086833803168</v>
      </c>
      <c r="F31" s="138">
        <v>0.49719612740462427</v>
      </c>
      <c r="G31" s="138">
        <v>0.33457515688415534</v>
      </c>
      <c r="H31" s="138">
        <v>0.21939452811109797</v>
      </c>
      <c r="I31" s="138">
        <v>0.15849891391261758</v>
      </c>
      <c r="J31" s="138">
        <v>0.10368072634813853</v>
      </c>
      <c r="K31" s="138">
        <v>6.3680121878952264E-2</v>
      </c>
      <c r="L31" s="138">
        <v>4.0979549951945249E-2</v>
      </c>
    </row>
    <row r="32" spans="1:12">
      <c r="A32" s="72"/>
      <c r="B32" s="72"/>
      <c r="C32" s="156" t="s">
        <v>146</v>
      </c>
      <c r="D32" s="156"/>
      <c r="E32" s="156"/>
      <c r="F32" s="156"/>
      <c r="G32" s="156"/>
      <c r="H32" s="156"/>
      <c r="I32" s="156"/>
      <c r="J32" s="156"/>
      <c r="K32" s="156"/>
      <c r="L32" s="156"/>
    </row>
    <row r="33" spans="1:12" ht="17.25">
      <c r="A33" s="40" t="s">
        <v>181</v>
      </c>
      <c r="B33" s="40" t="s">
        <v>55</v>
      </c>
      <c r="C33" s="51">
        <v>3430378.2761706994</v>
      </c>
      <c r="D33" s="51">
        <v>2898160.9637542968</v>
      </c>
      <c r="E33" s="51">
        <v>2488103.0571852927</v>
      </c>
      <c r="F33" s="51">
        <v>1927982.6429499171</v>
      </c>
      <c r="G33" s="51">
        <v>1137323.6387137254</v>
      </c>
      <c r="H33" s="51">
        <v>677624.67625123565</v>
      </c>
      <c r="I33" s="51">
        <v>427946.82340342435</v>
      </c>
      <c r="J33" s="51">
        <v>292683.21782742441</v>
      </c>
      <c r="K33" s="51">
        <v>187996.970748455</v>
      </c>
      <c r="L33" s="51">
        <v>138486.27323918065</v>
      </c>
    </row>
    <row r="34" spans="1:12">
      <c r="A34" s="39" t="s">
        <v>59</v>
      </c>
      <c r="B34" s="39" t="s">
        <v>122</v>
      </c>
      <c r="C34" s="110">
        <v>721802.7279513753</v>
      </c>
      <c r="D34" s="110">
        <v>533264.84598584776</v>
      </c>
      <c r="E34" s="110">
        <v>440555.92267523735</v>
      </c>
      <c r="F34" s="110">
        <v>331138.2432003186</v>
      </c>
      <c r="G34" s="110">
        <v>146543.07997704181</v>
      </c>
      <c r="H34" s="110">
        <v>76177.12935738235</v>
      </c>
      <c r="I34" s="110">
        <v>56225.641814942952</v>
      </c>
      <c r="J34" s="110">
        <v>40227.787895299087</v>
      </c>
      <c r="K34" s="110">
        <v>30424.834427639064</v>
      </c>
      <c r="L34" s="110">
        <v>26816.566639210832</v>
      </c>
    </row>
    <row r="35" spans="1:12">
      <c r="A35" s="39"/>
      <c r="B35" s="39" t="s">
        <v>123</v>
      </c>
      <c r="C35" s="110">
        <v>1041492.6880653629</v>
      </c>
      <c r="D35" s="110">
        <v>879843.91285542061</v>
      </c>
      <c r="E35" s="110">
        <v>748569.82299876132</v>
      </c>
      <c r="F35" s="110">
        <v>576780.19890032604</v>
      </c>
      <c r="G35" s="110">
        <v>321131.76560124807</v>
      </c>
      <c r="H35" s="110">
        <v>168986.03653476655</v>
      </c>
      <c r="I35" s="110">
        <v>95396.757046613682</v>
      </c>
      <c r="J35" s="110">
        <v>63133.023583657312</v>
      </c>
      <c r="K35" s="110">
        <v>42708.153810215546</v>
      </c>
      <c r="L35" s="110">
        <v>31259.855828621672</v>
      </c>
    </row>
    <row r="36" spans="1:12">
      <c r="A36" s="39"/>
      <c r="B36" s="39" t="s">
        <v>124</v>
      </c>
      <c r="C36" s="110">
        <v>856018.93045039265</v>
      </c>
      <c r="D36" s="110">
        <v>753302.1847592229</v>
      </c>
      <c r="E36" s="110">
        <v>662206.16143361269</v>
      </c>
      <c r="F36" s="110">
        <v>513077.88356377714</v>
      </c>
      <c r="G36" s="110">
        <v>325403.8523352191</v>
      </c>
      <c r="H36" s="110">
        <v>205314.30483609883</v>
      </c>
      <c r="I36" s="110">
        <v>123225.74474292441</v>
      </c>
      <c r="J36" s="110">
        <v>86442.553064049222</v>
      </c>
      <c r="K36" s="110">
        <v>50549.422611125759</v>
      </c>
      <c r="L36" s="110">
        <v>38236.462763237498</v>
      </c>
    </row>
    <row r="37" spans="1:12">
      <c r="A37" s="39"/>
      <c r="B37" s="39" t="s">
        <v>125</v>
      </c>
      <c r="C37" s="110">
        <v>811063.92970357463</v>
      </c>
      <c r="D37" s="110">
        <v>731750.02015381062</v>
      </c>
      <c r="E37" s="110">
        <v>636771.15007768525</v>
      </c>
      <c r="F37" s="110">
        <v>506986.3172854986</v>
      </c>
      <c r="G37" s="110">
        <v>344244.94080021675</v>
      </c>
      <c r="H37" s="110">
        <v>227147.20552298758</v>
      </c>
      <c r="I37" s="110">
        <v>153098.67979894331</v>
      </c>
      <c r="J37" s="110">
        <v>102879.85328441873</v>
      </c>
      <c r="K37" s="110">
        <v>64314.559899474581</v>
      </c>
      <c r="L37" s="110">
        <v>42173.388008110582</v>
      </c>
    </row>
    <row r="38" spans="1:12">
      <c r="A38" s="39"/>
      <c r="B38" s="39"/>
    </row>
    <row r="39" spans="1:12">
      <c r="A39" s="40" t="s">
        <v>56</v>
      </c>
      <c r="B39" s="40" t="s">
        <v>55</v>
      </c>
      <c r="C39" s="51">
        <v>1754374.0355136544</v>
      </c>
      <c r="D39" s="51">
        <v>1473777.0617235284</v>
      </c>
      <c r="E39" s="51">
        <v>1245604.2336127372</v>
      </c>
      <c r="F39" s="51">
        <v>960332.66436491872</v>
      </c>
      <c r="G39" s="51">
        <v>580585.03639920079</v>
      </c>
      <c r="H39" s="51">
        <v>361510.69566480513</v>
      </c>
      <c r="I39" s="51">
        <v>223893.58294271436</v>
      </c>
      <c r="J39" s="51">
        <v>151914.99902458995</v>
      </c>
      <c r="K39" s="51">
        <v>96998.580848450394</v>
      </c>
      <c r="L39" s="51">
        <v>70882.85604028136</v>
      </c>
    </row>
    <row r="40" spans="1:12">
      <c r="A40" s="39" t="s">
        <v>59</v>
      </c>
      <c r="B40" s="39" t="s">
        <v>122</v>
      </c>
      <c r="C40" s="110">
        <v>355505.2211053652</v>
      </c>
      <c r="D40" s="110">
        <v>252974.19700898704</v>
      </c>
      <c r="E40" s="110">
        <v>206150.80418072411</v>
      </c>
      <c r="F40" s="110">
        <v>148382.80423271618</v>
      </c>
      <c r="G40" s="110">
        <v>65608.183561742248</v>
      </c>
      <c r="H40" s="110">
        <v>36813.120858974522</v>
      </c>
      <c r="I40" s="110">
        <v>28944.211884786426</v>
      </c>
      <c r="J40" s="110">
        <v>21889.750641469582</v>
      </c>
      <c r="K40" s="110">
        <v>16666.537426451752</v>
      </c>
      <c r="L40" s="110">
        <v>13657.246349022453</v>
      </c>
    </row>
    <row r="41" spans="1:12">
      <c r="A41" s="39"/>
      <c r="B41" s="39" t="s">
        <v>123</v>
      </c>
      <c r="C41" s="110">
        <v>532718.54709692975</v>
      </c>
      <c r="D41" s="110">
        <v>444209.41463817039</v>
      </c>
      <c r="E41" s="110">
        <v>366007.6581970437</v>
      </c>
      <c r="F41" s="110">
        <v>284084.102849202</v>
      </c>
      <c r="G41" s="110">
        <v>164970.91111701707</v>
      </c>
      <c r="H41" s="110">
        <v>92050.64335324688</v>
      </c>
      <c r="I41" s="110">
        <v>52123.01968302195</v>
      </c>
      <c r="J41" s="110">
        <v>33615.881783943114</v>
      </c>
      <c r="K41" s="110">
        <v>23618.142256913899</v>
      </c>
      <c r="L41" s="110">
        <v>17565.973309958055</v>
      </c>
    </row>
    <row r="42" spans="1:12">
      <c r="A42" s="39"/>
      <c r="B42" s="39" t="s">
        <v>124</v>
      </c>
      <c r="C42" s="110">
        <v>441846.86743157177</v>
      </c>
      <c r="D42" s="110">
        <v>391650.44062964967</v>
      </c>
      <c r="E42" s="110">
        <v>339452.34073052078</v>
      </c>
      <c r="F42" s="110">
        <v>262380.47212675842</v>
      </c>
      <c r="G42" s="110">
        <v>168505.93405549283</v>
      </c>
      <c r="H42" s="110">
        <v>112251.1457060517</v>
      </c>
      <c r="I42" s="110">
        <v>66754.904900875321</v>
      </c>
      <c r="J42" s="110">
        <v>44114.189098468822</v>
      </c>
      <c r="K42" s="110">
        <v>23416.756851795632</v>
      </c>
      <c r="L42" s="110">
        <v>17553.627008737039</v>
      </c>
    </row>
    <row r="43" spans="1:12">
      <c r="A43" s="39"/>
      <c r="B43" s="39" t="s">
        <v>125</v>
      </c>
      <c r="C43" s="110">
        <v>424303.39987978706</v>
      </c>
      <c r="D43" s="110">
        <v>384943.00944672059</v>
      </c>
      <c r="E43" s="110">
        <v>333993.43050444813</v>
      </c>
      <c r="F43" s="110">
        <v>265485.2851562415</v>
      </c>
      <c r="G43" s="110">
        <v>181500.00766494844</v>
      </c>
      <c r="H43" s="110">
        <v>120395.7857465321</v>
      </c>
      <c r="I43" s="110">
        <v>76071.446474030701</v>
      </c>
      <c r="J43" s="110">
        <v>52295.177500708494</v>
      </c>
      <c r="K43" s="110">
        <v>33297.144313289115</v>
      </c>
      <c r="L43" s="110">
        <v>22106.009372563818</v>
      </c>
    </row>
    <row r="44" spans="1:12">
      <c r="A44" s="39"/>
      <c r="B44" s="39"/>
    </row>
    <row r="45" spans="1:12">
      <c r="A45" s="40" t="s">
        <v>57</v>
      </c>
      <c r="B45" s="40" t="s">
        <v>55</v>
      </c>
      <c r="C45" s="51">
        <v>1662869.4684283654</v>
      </c>
      <c r="D45" s="51">
        <v>1414360.5319256235</v>
      </c>
      <c r="E45" s="51">
        <v>1233724.670349638</v>
      </c>
      <c r="F45" s="51">
        <v>962338.94204732042</v>
      </c>
      <c r="G45" s="51">
        <v>553354.71933814394</v>
      </c>
      <c r="H45" s="51">
        <v>313446.51263500337</v>
      </c>
      <c r="I45" s="51">
        <v>203051.36854729109</v>
      </c>
      <c r="J45" s="51">
        <v>139766.34688941546</v>
      </c>
      <c r="K45" s="51">
        <v>90268.753442272515</v>
      </c>
      <c r="L45" s="51">
        <v>66873.780741167167</v>
      </c>
    </row>
    <row r="46" spans="1:12">
      <c r="A46" s="39" t="s">
        <v>59</v>
      </c>
      <c r="B46" s="39" t="s">
        <v>122</v>
      </c>
      <c r="C46" s="110">
        <v>363121.58158865367</v>
      </c>
      <c r="D46" s="110">
        <v>278302.56961957162</v>
      </c>
      <c r="E46" s="110">
        <v>233267.25772815139</v>
      </c>
      <c r="F46" s="110">
        <v>181617.57820124054</v>
      </c>
      <c r="G46" s="110">
        <v>80934.896415299547</v>
      </c>
      <c r="H46" s="110">
        <v>39364.008498407835</v>
      </c>
      <c r="I46" s="110">
        <v>27281.429930156522</v>
      </c>
      <c r="J46" s="110">
        <v>18338.037253829505</v>
      </c>
      <c r="K46" s="110">
        <v>13758.297001187315</v>
      </c>
      <c r="L46" s="110">
        <v>13159.320290188383</v>
      </c>
    </row>
    <row r="47" spans="1:12">
      <c r="A47" s="39"/>
      <c r="B47" s="39" t="s">
        <v>123</v>
      </c>
      <c r="C47" s="110">
        <v>505159.55992312083</v>
      </c>
      <c r="D47" s="110">
        <v>432338.38669068168</v>
      </c>
      <c r="E47" s="110">
        <v>379266.05327514908</v>
      </c>
      <c r="F47" s="110">
        <v>290904.17116084363</v>
      </c>
      <c r="G47" s="110">
        <v>154845.32922573341</v>
      </c>
      <c r="H47" s="110">
        <v>75619.867923022088</v>
      </c>
      <c r="I47" s="110">
        <v>43273.737363591739</v>
      </c>
      <c r="J47" s="110">
        <v>29517.141799714213</v>
      </c>
      <c r="K47" s="110">
        <v>19090.011553301658</v>
      </c>
      <c r="L47" s="110">
        <v>13693.882518663628</v>
      </c>
    </row>
    <row r="48" spans="1:12">
      <c r="A48" s="39"/>
      <c r="B48" s="39" t="s">
        <v>124</v>
      </c>
      <c r="C48" s="110">
        <v>410792.51910032623</v>
      </c>
      <c r="D48" s="110">
        <v>359877.28691580321</v>
      </c>
      <c r="E48" s="110">
        <v>320979.3634893219</v>
      </c>
      <c r="F48" s="110">
        <v>249985.527461069</v>
      </c>
      <c r="G48" s="110">
        <v>156186.03430377657</v>
      </c>
      <c r="H48" s="110">
        <v>92633.664269199784</v>
      </c>
      <c r="I48" s="110">
        <v>56041.34498120175</v>
      </c>
      <c r="J48" s="110">
        <v>41898.869104733079</v>
      </c>
      <c r="K48" s="110">
        <v>26703.170898482786</v>
      </c>
      <c r="L48" s="110">
        <v>20253.340893653109</v>
      </c>
    </row>
    <row r="49" spans="1:23">
      <c r="A49" s="39"/>
      <c r="B49" s="39" t="s">
        <v>125</v>
      </c>
      <c r="C49" s="110">
        <v>383795.80781626527</v>
      </c>
      <c r="D49" s="110">
        <v>343842.2886995679</v>
      </c>
      <c r="E49" s="110">
        <v>300211.99585701647</v>
      </c>
      <c r="F49" s="110">
        <v>239831.66522416822</v>
      </c>
      <c r="G49" s="110">
        <v>161388.45939333437</v>
      </c>
      <c r="H49" s="110">
        <v>105828.97194437365</v>
      </c>
      <c r="I49" s="110">
        <v>76454.856272341131</v>
      </c>
      <c r="J49" s="110">
        <v>50012.298731138682</v>
      </c>
      <c r="K49" s="110">
        <v>30717.273989300716</v>
      </c>
      <c r="L49" s="110">
        <v>19767.237038662024</v>
      </c>
    </row>
    <row r="50" spans="1:23">
      <c r="A50" s="132"/>
      <c r="B50" s="132"/>
      <c r="C50" s="137"/>
      <c r="D50" s="137"/>
      <c r="E50" s="137"/>
      <c r="F50" s="137"/>
      <c r="G50" s="137"/>
      <c r="H50" s="137"/>
      <c r="I50" s="137"/>
      <c r="J50" s="137"/>
      <c r="K50" s="137"/>
      <c r="L50" s="137"/>
    </row>
    <row r="51" spans="1:23">
      <c r="A51" s="16" t="s">
        <v>128</v>
      </c>
    </row>
    <row r="52" spans="1:23">
      <c r="A52" s="29" t="s">
        <v>147</v>
      </c>
    </row>
    <row r="53" spans="1:23">
      <c r="A53" s="16" t="s">
        <v>119</v>
      </c>
    </row>
    <row r="54" spans="1:23" ht="15" customHeight="1">
      <c r="A54" s="16" t="s">
        <v>120</v>
      </c>
      <c r="B54" s="29"/>
      <c r="C54" s="2"/>
      <c r="G54" s="2"/>
      <c r="K54" s="2"/>
      <c r="O54" s="2"/>
      <c r="S54" s="2"/>
      <c r="W54" s="2"/>
    </row>
    <row r="55" spans="1:23">
      <c r="A55" s="29" t="s">
        <v>118</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C33&lt;'34'!$D$104</xm:f>
            <x14:dxf>
              <font>
                <color rgb="FFFF0000"/>
              </font>
              <numFmt numFmtId="172" formatCode="\*\*0.0%"/>
            </x14:dxf>
          </x14:cfRule>
          <x14:cfRule type="expression" priority="4" id="{1E21C768-CB14-416E-AAAC-77710CCF2246}">
            <xm:f>C33&lt;'34'!$D$103</xm:f>
            <x14:dxf>
              <font>
                <color rgb="FF00B050"/>
              </font>
              <numFmt numFmtId="171" formatCode="\*0.0%"/>
            </x14:dxf>
          </x14:cfRule>
          <xm:sqref>C15:L31</xm:sqref>
        </x14:conditionalFormatting>
        <x14:conditionalFormatting xmlns:xm="http://schemas.microsoft.com/office/excel/2006/main">
          <x14:cfRule type="expression" priority="1" id="{1428CC07-2F63-462B-92AE-F3296505485A}">
            <xm:f>C33&lt;'34'!$D$104</xm:f>
            <x14:dxf>
              <font>
                <color rgb="FFFF0000"/>
              </font>
              <numFmt numFmtId="170" formatCode="\*\*#,###,###,##0"/>
            </x14:dxf>
          </x14:cfRule>
          <x14:cfRule type="expression" priority="2" id="{7C976751-4B44-40B9-A498-16EAA96732F5}">
            <xm:f>C33&lt;'34'!$D$103</xm:f>
            <x14:dxf>
              <font>
                <color rgb="FF00B050"/>
              </font>
              <numFmt numFmtId="169"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2" width="15.7109375" style="1" customWidth="1"/>
    <col min="3" max="17" width="22.5703125" style="1" customWidth="1"/>
    <col min="18" max="19" width="8.85546875" style="1" customWidth="1"/>
    <col min="20" max="16384" width="8.85546875" style="1"/>
  </cols>
  <sheetData>
    <row r="1" spans="1:19">
      <c r="A1" s="34"/>
      <c r="B1" s="34"/>
      <c r="C1" s="34"/>
      <c r="D1" s="34"/>
      <c r="E1" s="34"/>
      <c r="F1" s="34"/>
      <c r="G1" s="34"/>
      <c r="H1" s="34"/>
      <c r="I1" s="34"/>
      <c r="J1" s="34"/>
      <c r="K1" s="34"/>
      <c r="L1" s="34"/>
      <c r="M1" s="34"/>
      <c r="N1" s="34"/>
      <c r="O1" s="34"/>
      <c r="P1" s="34"/>
      <c r="Q1" s="34"/>
      <c r="R1" s="77"/>
    </row>
    <row r="2" spans="1:19">
      <c r="A2" s="34"/>
      <c r="B2" s="34"/>
      <c r="C2" s="34"/>
      <c r="D2" s="34"/>
      <c r="E2" s="34"/>
      <c r="F2" s="34"/>
      <c r="G2" s="34"/>
      <c r="H2" s="34"/>
      <c r="I2" s="34"/>
      <c r="J2" s="34"/>
      <c r="K2" s="34"/>
      <c r="L2" s="34"/>
      <c r="M2" s="34"/>
      <c r="N2" s="34"/>
      <c r="O2" s="34"/>
      <c r="P2" s="34"/>
      <c r="Q2" s="34"/>
      <c r="R2" s="77"/>
    </row>
    <row r="3" spans="1:19">
      <c r="A3" s="34"/>
      <c r="B3" s="34"/>
      <c r="C3" s="34"/>
      <c r="D3" s="34"/>
      <c r="E3" s="34"/>
      <c r="F3" s="34"/>
      <c r="G3" s="34"/>
      <c r="H3" s="34"/>
      <c r="I3" s="34"/>
      <c r="J3" s="34"/>
      <c r="K3" s="34"/>
      <c r="L3" s="34"/>
      <c r="M3" s="34"/>
      <c r="N3" s="34"/>
      <c r="O3" s="34"/>
      <c r="P3" s="34"/>
      <c r="Q3" s="34"/>
      <c r="R3" s="77"/>
    </row>
    <row r="4" spans="1:19">
      <c r="A4" s="34"/>
      <c r="B4" s="34"/>
      <c r="C4" s="34"/>
      <c r="D4" s="34"/>
      <c r="E4" s="34"/>
      <c r="F4" s="34"/>
      <c r="G4" s="34"/>
      <c r="H4" s="34"/>
      <c r="I4" s="34"/>
      <c r="J4" s="34"/>
      <c r="K4" s="34"/>
      <c r="L4" s="34"/>
      <c r="M4" s="34"/>
      <c r="N4" s="34"/>
      <c r="O4" s="34"/>
      <c r="P4" s="34"/>
      <c r="Q4" s="34"/>
      <c r="R4" s="77"/>
    </row>
    <row r="5" spans="1:19">
      <c r="A5" s="34"/>
      <c r="B5" s="34"/>
      <c r="C5" s="34"/>
      <c r="D5" s="34"/>
      <c r="E5" s="34"/>
      <c r="F5" s="34"/>
      <c r="G5" s="34"/>
      <c r="H5" s="34"/>
      <c r="I5" s="34"/>
      <c r="J5" s="34"/>
      <c r="K5" s="34"/>
      <c r="L5" s="34"/>
      <c r="M5" s="34"/>
      <c r="N5" s="34"/>
      <c r="O5" s="34"/>
      <c r="P5" s="34"/>
      <c r="Q5" s="34"/>
      <c r="R5" s="77"/>
    </row>
    <row r="6" spans="1:19">
      <c r="A6" s="34"/>
      <c r="B6" s="34"/>
      <c r="C6" s="34"/>
      <c r="D6" s="34"/>
      <c r="E6" s="34"/>
      <c r="F6" s="34"/>
      <c r="G6" s="34"/>
      <c r="H6" s="34"/>
      <c r="I6" s="34"/>
      <c r="J6" s="34"/>
      <c r="K6" s="34"/>
      <c r="L6" s="34"/>
      <c r="M6" s="34"/>
      <c r="N6" s="34"/>
      <c r="O6" s="34"/>
      <c r="P6" s="34"/>
      <c r="Q6" s="34"/>
      <c r="R6" s="77"/>
    </row>
    <row r="7" spans="1:19">
      <c r="A7" s="34"/>
      <c r="B7" s="34"/>
      <c r="C7" s="34"/>
      <c r="D7" s="34"/>
      <c r="E7" s="34"/>
      <c r="F7" s="34"/>
      <c r="G7" s="34"/>
      <c r="H7" s="34"/>
      <c r="I7" s="34"/>
      <c r="J7" s="34"/>
      <c r="K7" s="34"/>
      <c r="L7" s="34"/>
      <c r="M7" s="34"/>
      <c r="N7" s="34"/>
      <c r="O7" s="34"/>
      <c r="P7" s="34"/>
      <c r="Q7" s="34"/>
      <c r="R7" s="77"/>
    </row>
    <row r="8" spans="1:19">
      <c r="A8" s="35" t="s">
        <v>0</v>
      </c>
      <c r="B8" s="34"/>
      <c r="C8" s="34"/>
      <c r="D8" s="34"/>
      <c r="E8" s="34"/>
      <c r="F8" s="34"/>
      <c r="G8" s="34"/>
      <c r="H8" s="34"/>
      <c r="I8" s="34"/>
      <c r="J8" s="34"/>
      <c r="K8" s="34"/>
      <c r="L8" s="34"/>
      <c r="M8" s="34"/>
      <c r="N8" s="34"/>
      <c r="O8" s="34"/>
      <c r="P8" s="34"/>
      <c r="Q8" s="34"/>
      <c r="R8" s="77"/>
    </row>
    <row r="9" spans="1:19">
      <c r="A9" s="34" t="s">
        <v>1</v>
      </c>
      <c r="B9" s="34"/>
      <c r="C9" s="35" t="s">
        <v>2</v>
      </c>
      <c r="D9" s="34"/>
      <c r="E9" s="34"/>
      <c r="F9" s="34"/>
      <c r="G9" s="34"/>
      <c r="H9" s="34"/>
      <c r="I9" s="34"/>
      <c r="J9" s="34"/>
      <c r="K9" s="34"/>
      <c r="L9" s="34"/>
      <c r="M9" s="34"/>
      <c r="N9" s="34"/>
      <c r="O9" s="34"/>
      <c r="P9" s="34"/>
      <c r="Q9" s="34"/>
      <c r="R9" s="77"/>
    </row>
    <row r="10" spans="1:19">
      <c r="A10" s="34" t="s">
        <v>47</v>
      </c>
      <c r="B10" s="34"/>
      <c r="C10" s="36">
        <v>11</v>
      </c>
      <c r="D10" s="34"/>
      <c r="E10" s="34"/>
      <c r="F10" s="34"/>
      <c r="G10" s="34"/>
      <c r="H10" s="34"/>
      <c r="I10" s="34"/>
      <c r="J10" s="34"/>
      <c r="K10" s="34"/>
      <c r="L10" s="34"/>
      <c r="M10" s="34"/>
      <c r="N10" s="34"/>
      <c r="O10" s="34"/>
      <c r="P10" s="34"/>
      <c r="Q10" s="34"/>
      <c r="R10" s="77"/>
    </row>
    <row r="11" spans="1:19">
      <c r="A11" s="34" t="s">
        <v>3</v>
      </c>
      <c r="B11" s="34"/>
      <c r="C11" s="36" t="s">
        <v>19</v>
      </c>
      <c r="D11" s="34"/>
      <c r="E11" s="34"/>
      <c r="F11" s="34"/>
      <c r="G11" s="34"/>
      <c r="H11" s="34"/>
      <c r="I11" s="34"/>
      <c r="J11" s="34"/>
      <c r="K11" s="34"/>
      <c r="L11" s="34"/>
      <c r="M11" s="34"/>
      <c r="N11" s="34"/>
      <c r="O11" s="34"/>
      <c r="P11" s="34"/>
      <c r="Q11" s="34"/>
      <c r="R11" s="77"/>
    </row>
    <row r="12" spans="1:19">
      <c r="A12" s="130" t="s">
        <v>48</v>
      </c>
      <c r="B12" s="130"/>
      <c r="C12" s="183" t="s">
        <v>182</v>
      </c>
      <c r="D12" s="34"/>
      <c r="E12" s="130"/>
      <c r="F12" s="130"/>
      <c r="G12" s="130"/>
      <c r="H12" s="130"/>
      <c r="I12" s="130"/>
      <c r="J12" s="130"/>
      <c r="K12" s="130"/>
      <c r="L12" s="130"/>
      <c r="M12" s="130"/>
      <c r="N12" s="130"/>
      <c r="O12" s="130"/>
      <c r="P12" s="130"/>
      <c r="Q12" s="130"/>
      <c r="R12" s="77"/>
    </row>
    <row r="13" spans="1:19" s="2" customFormat="1" ht="24.95" customHeight="1">
      <c r="A13" s="38"/>
      <c r="B13" s="38"/>
      <c r="C13" s="155" t="s">
        <v>183</v>
      </c>
      <c r="D13" s="155"/>
      <c r="E13" s="155"/>
      <c r="F13" s="155"/>
      <c r="G13" s="155"/>
      <c r="H13" s="155"/>
      <c r="I13" s="155"/>
      <c r="J13" s="155"/>
      <c r="K13" s="155"/>
      <c r="L13" s="155"/>
      <c r="M13" s="155"/>
      <c r="N13" s="155"/>
      <c r="O13" s="155"/>
      <c r="P13" s="155"/>
      <c r="Q13" s="155"/>
    </row>
    <row r="14" spans="1:19" s="66" customFormat="1" ht="60">
      <c r="A14" s="65"/>
      <c r="B14" s="65"/>
      <c r="C14" s="69" t="s">
        <v>184</v>
      </c>
      <c r="D14" s="69" t="s">
        <v>185</v>
      </c>
      <c r="E14" s="69" t="s">
        <v>186</v>
      </c>
      <c r="F14" s="69" t="s">
        <v>187</v>
      </c>
      <c r="G14" s="69" t="s">
        <v>188</v>
      </c>
      <c r="H14" s="69" t="s">
        <v>189</v>
      </c>
      <c r="I14" s="69" t="s">
        <v>190</v>
      </c>
      <c r="J14" s="69" t="s">
        <v>191</v>
      </c>
      <c r="K14" s="69" t="s">
        <v>192</v>
      </c>
      <c r="L14" s="69" t="s">
        <v>193</v>
      </c>
      <c r="M14" s="69" t="s">
        <v>194</v>
      </c>
      <c r="N14" s="69" t="s">
        <v>195</v>
      </c>
      <c r="O14" s="69" t="s">
        <v>196</v>
      </c>
      <c r="P14" s="69" t="s">
        <v>197</v>
      </c>
      <c r="Q14" s="69" t="s">
        <v>198</v>
      </c>
    </row>
    <row r="15" spans="1:19">
      <c r="A15" s="72"/>
      <c r="B15" s="72"/>
      <c r="C15" s="156" t="s">
        <v>199</v>
      </c>
      <c r="D15" s="156"/>
      <c r="E15" s="156"/>
      <c r="F15" s="156"/>
      <c r="G15" s="156"/>
      <c r="H15" s="156"/>
      <c r="I15" s="156"/>
      <c r="J15" s="156"/>
      <c r="K15" s="156"/>
      <c r="L15" s="156"/>
      <c r="M15" s="156"/>
      <c r="N15" s="156"/>
      <c r="O15" s="156"/>
      <c r="P15" s="156"/>
      <c r="Q15" s="156"/>
      <c r="R15" s="7"/>
      <c r="S15" s="7"/>
    </row>
    <row r="16" spans="1:19" ht="17.25">
      <c r="A16" s="40" t="s">
        <v>144</v>
      </c>
      <c r="B16" s="40" t="s">
        <v>55</v>
      </c>
      <c r="C16" s="33">
        <v>0.38458377653574966</v>
      </c>
      <c r="D16" s="33">
        <v>0.35964293657934399</v>
      </c>
      <c r="E16" s="33">
        <v>0.33218408540153915</v>
      </c>
      <c r="F16" s="33">
        <v>0.30539077589524904</v>
      </c>
      <c r="G16" s="33">
        <v>0.19893173447757151</v>
      </c>
      <c r="H16" s="33">
        <v>0.12874044120641234</v>
      </c>
      <c r="I16" s="33">
        <v>0.10740596237125773</v>
      </c>
      <c r="J16" s="33">
        <v>9.1826529147785191E-2</v>
      </c>
      <c r="K16" s="33">
        <v>8.9271918871516587E-2</v>
      </c>
      <c r="L16" s="33">
        <v>8.0452490978304245E-2</v>
      </c>
      <c r="M16" s="33">
        <v>7.9617195920027375E-2</v>
      </c>
      <c r="N16" s="33">
        <v>5.7094832987821101E-2</v>
      </c>
      <c r="O16" s="33">
        <v>4.3602575214392654E-2</v>
      </c>
      <c r="P16" s="33">
        <v>3.6700686607422026E-2</v>
      </c>
      <c r="Q16" s="33">
        <v>3.3212304627881911E-2</v>
      </c>
    </row>
    <row r="17" spans="1:17">
      <c r="A17" s="39" t="s">
        <v>59</v>
      </c>
      <c r="B17" s="39" t="s">
        <v>60</v>
      </c>
      <c r="C17" s="108">
        <v>0.64284124182281821</v>
      </c>
      <c r="D17" s="108">
        <v>0.6001051114399617</v>
      </c>
      <c r="E17" s="108">
        <v>0.30160383977528743</v>
      </c>
      <c r="F17" s="108">
        <v>0.25947236049385308</v>
      </c>
      <c r="G17" s="108">
        <v>0.20722286497992939</v>
      </c>
      <c r="H17" s="108">
        <v>0.17644490950863073</v>
      </c>
      <c r="I17" s="108">
        <v>0.14243711032897899</v>
      </c>
      <c r="J17" s="108">
        <v>0.13661275245784696</v>
      </c>
      <c r="K17" s="108">
        <v>0.11202860001449884</v>
      </c>
      <c r="L17" s="108">
        <v>8.6106450618105193E-2</v>
      </c>
      <c r="M17" s="108">
        <v>0.10336470162072015</v>
      </c>
      <c r="N17" s="108">
        <v>0.14126615966408601</v>
      </c>
      <c r="O17" s="108">
        <v>5.4836841856944818E-2</v>
      </c>
      <c r="P17" s="108">
        <v>3.2920521058849128E-2</v>
      </c>
      <c r="Q17" s="108">
        <v>3.3232404459930968E-2</v>
      </c>
    </row>
    <row r="18" spans="1:17">
      <c r="A18" s="39"/>
      <c r="B18" s="39" t="s">
        <v>61</v>
      </c>
      <c r="C18" s="108">
        <v>0.62529328707164611</v>
      </c>
      <c r="D18" s="108">
        <v>0.56165642541944516</v>
      </c>
      <c r="E18" s="108">
        <v>0.35651393704585199</v>
      </c>
      <c r="F18" s="108">
        <v>0.30286716033873712</v>
      </c>
      <c r="G18" s="108">
        <v>0.24531019577055752</v>
      </c>
      <c r="H18" s="108">
        <v>0.18542965267331665</v>
      </c>
      <c r="I18" s="108">
        <v>0.15515817499015411</v>
      </c>
      <c r="J18" s="108">
        <v>0.12081869226302348</v>
      </c>
      <c r="K18" s="108">
        <v>0.11729471430582282</v>
      </c>
      <c r="L18" s="108">
        <v>8.5412000528883925E-2</v>
      </c>
      <c r="M18" s="108">
        <v>0.11750245968320926</v>
      </c>
      <c r="N18" s="108">
        <v>0.11736478351856593</v>
      </c>
      <c r="O18" s="108">
        <v>6.3016087316749944E-2</v>
      </c>
      <c r="P18" s="108">
        <v>5.7614111502941073E-2</v>
      </c>
      <c r="Q18" s="108">
        <v>5.2178886245082781E-2</v>
      </c>
    </row>
    <row r="19" spans="1:17">
      <c r="A19" s="39"/>
      <c r="B19" s="39" t="s">
        <v>62</v>
      </c>
      <c r="C19" s="108">
        <v>0.53926560326015827</v>
      </c>
      <c r="D19" s="108">
        <v>0.50191826367669812</v>
      </c>
      <c r="E19" s="108">
        <v>0.40260772328315048</v>
      </c>
      <c r="F19" s="108">
        <v>0.3693039053394398</v>
      </c>
      <c r="G19" s="108">
        <v>0.25101933080912731</v>
      </c>
      <c r="H19" s="108">
        <v>0.18338694271324224</v>
      </c>
      <c r="I19" s="108">
        <v>0.13808049362014829</v>
      </c>
      <c r="J19" s="108">
        <v>0.12593440172921402</v>
      </c>
      <c r="K19" s="108">
        <v>0.11186890070971468</v>
      </c>
      <c r="L19" s="108">
        <v>8.5600652527628163E-2</v>
      </c>
      <c r="M19" s="108">
        <v>0.12801403764132857</v>
      </c>
      <c r="N19" s="108">
        <v>0.10032372367815945</v>
      </c>
      <c r="O19" s="108">
        <v>7.1629316343646027E-2</v>
      </c>
      <c r="P19" s="108">
        <v>6.6159158313277081E-2</v>
      </c>
      <c r="Q19" s="108">
        <v>5.9589833528315032E-2</v>
      </c>
    </row>
    <row r="20" spans="1:17">
      <c r="A20" s="39"/>
      <c r="B20" s="39" t="s">
        <v>63</v>
      </c>
      <c r="C20" s="108">
        <v>0.44289132150776778</v>
      </c>
      <c r="D20" s="108">
        <v>0.40571166918088891</v>
      </c>
      <c r="E20" s="108">
        <v>0.3807848987807998</v>
      </c>
      <c r="F20" s="108">
        <v>0.3417570271727205</v>
      </c>
      <c r="G20" s="108">
        <v>0.23097136929136608</v>
      </c>
      <c r="H20" s="108">
        <v>0.15444443390346901</v>
      </c>
      <c r="I20" s="108">
        <v>0.11172527311696037</v>
      </c>
      <c r="J20" s="108">
        <v>0.10225159373231582</v>
      </c>
      <c r="K20" s="108">
        <v>9.9668618957548555E-2</v>
      </c>
      <c r="L20" s="108">
        <v>7.2320970498701592E-2</v>
      </c>
      <c r="M20" s="108">
        <v>0.10237382411265908</v>
      </c>
      <c r="N20" s="108">
        <v>6.654923619503289E-2</v>
      </c>
      <c r="O20" s="108">
        <v>4.6933697880637615E-2</v>
      </c>
      <c r="P20" s="108">
        <v>4.9082793892498644E-2</v>
      </c>
      <c r="Q20" s="108">
        <v>4.7923806771091843E-2</v>
      </c>
    </row>
    <row r="21" spans="1:17">
      <c r="A21" s="39"/>
      <c r="B21" s="39" t="s">
        <v>64</v>
      </c>
      <c r="C21" s="108">
        <v>0.35988852951229683</v>
      </c>
      <c r="D21" s="108">
        <v>0.35127918877381969</v>
      </c>
      <c r="E21" s="108">
        <v>0.36958261704229928</v>
      </c>
      <c r="F21" s="108">
        <v>0.33088345272041986</v>
      </c>
      <c r="G21" s="108">
        <v>0.20780890855097547</v>
      </c>
      <c r="H21" s="108">
        <v>0.11357838176177468</v>
      </c>
      <c r="I21" s="108">
        <v>0.10252719676039213</v>
      </c>
      <c r="J21" s="108">
        <v>8.4719917670927306E-2</v>
      </c>
      <c r="K21" s="108">
        <v>8.9059076623160455E-2</v>
      </c>
      <c r="L21" s="108">
        <v>8.2431721953302298E-2</v>
      </c>
      <c r="M21" s="108">
        <v>6.4705597778663484E-2</v>
      </c>
      <c r="N21" s="108">
        <v>2.8929930387513757E-2</v>
      </c>
      <c r="O21" s="108">
        <v>3.6707824646800308E-2</v>
      </c>
      <c r="P21" s="108">
        <v>2.9817788390313796E-2</v>
      </c>
      <c r="Q21" s="108">
        <v>2.1783316188328666E-2</v>
      </c>
    </row>
    <row r="22" spans="1:17">
      <c r="A22" s="39"/>
      <c r="B22" s="39" t="s">
        <v>65</v>
      </c>
      <c r="C22" s="108">
        <v>0.22734997814759661</v>
      </c>
      <c r="D22" s="108">
        <v>0.22871932736549047</v>
      </c>
      <c r="E22" s="108">
        <v>0.31416240173391147</v>
      </c>
      <c r="F22" s="108">
        <v>0.28633179492207761</v>
      </c>
      <c r="G22" s="108">
        <v>0.17352705103798693</v>
      </c>
      <c r="H22" s="108">
        <v>8.5177933192220182E-2</v>
      </c>
      <c r="I22" s="108">
        <v>7.5879403605477402E-2</v>
      </c>
      <c r="J22" s="108">
        <v>6.8187604607789304E-2</v>
      </c>
      <c r="K22" s="108">
        <v>7.5333974562849848E-2</v>
      </c>
      <c r="L22" s="108">
        <v>8.8192112544731513E-2</v>
      </c>
      <c r="M22" s="108">
        <v>4.219061585032239E-2</v>
      </c>
      <c r="N22" s="108">
        <v>1.0741835611783001E-2</v>
      </c>
      <c r="O22" s="108">
        <v>2.5023777753624368E-2</v>
      </c>
      <c r="P22" s="108">
        <v>1.3343701622083861E-2</v>
      </c>
      <c r="Q22" s="108">
        <v>1.4300062627714317E-2</v>
      </c>
    </row>
    <row r="23" spans="1:17">
      <c r="A23" s="39"/>
      <c r="B23" s="39" t="s">
        <v>66</v>
      </c>
      <c r="C23" s="108">
        <v>9.9253194621224589E-2</v>
      </c>
      <c r="D23" s="108">
        <v>9.2943245353422577E-2</v>
      </c>
      <c r="E23" s="108">
        <v>0.18655047985954287</v>
      </c>
      <c r="F23" s="108">
        <v>0.20951537461349021</v>
      </c>
      <c r="G23" s="108">
        <v>9.5389846359840783E-2</v>
      </c>
      <c r="H23" s="108">
        <v>4.7246048993863983E-2</v>
      </c>
      <c r="I23" s="108">
        <v>6.2018724631572743E-2</v>
      </c>
      <c r="J23" s="108">
        <v>4.19402727935968E-2</v>
      </c>
      <c r="K23" s="108">
        <v>4.3953731688405433E-2</v>
      </c>
      <c r="L23" s="108">
        <v>7.0956575206674796E-2</v>
      </c>
      <c r="M23" s="108">
        <v>1.9882893128618538E-2</v>
      </c>
      <c r="N23" s="108">
        <v>5.3616887590969536E-3</v>
      </c>
      <c r="O23" s="108">
        <v>1.6856782033043416E-2</v>
      </c>
      <c r="P23" s="108">
        <v>6.0852178494772502E-3</v>
      </c>
      <c r="Q23" s="108">
        <v>4.26686015998825E-3</v>
      </c>
    </row>
    <row r="24" spans="1:17">
      <c r="A24" s="39"/>
      <c r="B24" s="39"/>
    </row>
    <row r="25" spans="1:17">
      <c r="A25" s="40" t="s">
        <v>56</v>
      </c>
      <c r="B25" s="40" t="s">
        <v>55</v>
      </c>
      <c r="C25" s="33">
        <v>0.36745878016222172</v>
      </c>
      <c r="D25" s="33">
        <v>0.34594730087247594</v>
      </c>
      <c r="E25" s="33">
        <v>0.31596321522950699</v>
      </c>
      <c r="F25" s="33">
        <v>0.27520847648535651</v>
      </c>
      <c r="G25" s="33">
        <v>0.22090390263542048</v>
      </c>
      <c r="H25" s="33">
        <v>0.10151211047071995</v>
      </c>
      <c r="I25" s="33">
        <v>9.9482454984715044E-2</v>
      </c>
      <c r="J25" s="33">
        <v>0.11025822645642354</v>
      </c>
      <c r="K25" s="33">
        <v>9.7422755193978527E-2</v>
      </c>
      <c r="L25" s="33">
        <v>9.8792980029608984E-2</v>
      </c>
      <c r="M25" s="33">
        <v>8.3055007689499097E-2</v>
      </c>
      <c r="N25" s="33">
        <v>6.4502289286608908E-2</v>
      </c>
      <c r="O25" s="33">
        <v>5.4321627592235827E-2</v>
      </c>
      <c r="P25" s="33">
        <v>4.4206355624679831E-2</v>
      </c>
      <c r="Q25" s="33">
        <v>2.9504945588417368E-2</v>
      </c>
    </row>
    <row r="26" spans="1:17">
      <c r="A26" s="39" t="s">
        <v>59</v>
      </c>
      <c r="B26" s="39" t="s">
        <v>60</v>
      </c>
      <c r="C26" s="108">
        <v>0.57487568527610899</v>
      </c>
      <c r="D26" s="108">
        <v>0.55327282165884228</v>
      </c>
      <c r="E26" s="108">
        <v>0.25094977037407379</v>
      </c>
      <c r="F26" s="108">
        <v>0.21375244877002703</v>
      </c>
      <c r="G26" s="108">
        <v>0.1703828523996137</v>
      </c>
      <c r="H26" s="108">
        <v>0.11717065251137727</v>
      </c>
      <c r="I26" s="108">
        <v>0.10383190090052713</v>
      </c>
      <c r="J26" s="108">
        <v>0.13342837582604192</v>
      </c>
      <c r="K26" s="108">
        <v>0.13488697664251861</v>
      </c>
      <c r="L26" s="108">
        <v>7.4743574835511931E-2</v>
      </c>
      <c r="M26" s="108">
        <v>0.10553576774656878</v>
      </c>
      <c r="N26" s="108">
        <v>0.14118319225287246</v>
      </c>
      <c r="O26" s="108">
        <v>6.7077788335306296E-2</v>
      </c>
      <c r="P26" s="108">
        <v>3.7814952116496839E-2</v>
      </c>
      <c r="Q26" s="108">
        <v>4.0013808802027998E-2</v>
      </c>
    </row>
    <row r="27" spans="1:17">
      <c r="A27" s="39"/>
      <c r="B27" s="39" t="s">
        <v>61</v>
      </c>
      <c r="C27" s="108">
        <v>0.56233103344170055</v>
      </c>
      <c r="D27" s="108">
        <v>0.49426946992886323</v>
      </c>
      <c r="E27" s="108">
        <v>0.30476984792580403</v>
      </c>
      <c r="F27" s="108">
        <v>0.24846340242731216</v>
      </c>
      <c r="G27" s="108">
        <v>0.24204919722415508</v>
      </c>
      <c r="H27" s="108">
        <v>0.13538747333013429</v>
      </c>
      <c r="I27" s="108">
        <v>0.12811674730053904</v>
      </c>
      <c r="J27" s="108">
        <v>0.13414408547616966</v>
      </c>
      <c r="K27" s="108">
        <v>0.12820598735678618</v>
      </c>
      <c r="L27" s="108">
        <v>9.7230133908853669E-2</v>
      </c>
      <c r="M27" s="108">
        <v>0.12164452248930091</v>
      </c>
      <c r="N27" s="108">
        <v>0.12829622795973578</v>
      </c>
      <c r="O27" s="108">
        <v>7.4844080421790221E-2</v>
      </c>
      <c r="P27" s="108">
        <v>7.4256071489335565E-2</v>
      </c>
      <c r="Q27" s="108">
        <v>5.8099929503966183E-2</v>
      </c>
    </row>
    <row r="28" spans="1:17">
      <c r="A28" s="39"/>
      <c r="B28" s="39" t="s">
        <v>62</v>
      </c>
      <c r="C28" s="108">
        <v>0.50593279394221136</v>
      </c>
      <c r="D28" s="108">
        <v>0.47206166722213838</v>
      </c>
      <c r="E28" s="108">
        <v>0.35436262313516487</v>
      </c>
      <c r="F28" s="108">
        <v>0.31596970862192891</v>
      </c>
      <c r="G28" s="108">
        <v>0.25767514588167484</v>
      </c>
      <c r="H28" s="108">
        <v>0.16413928239890721</v>
      </c>
      <c r="I28" s="108">
        <v>0.12334544417542885</v>
      </c>
      <c r="J28" s="108">
        <v>0.14679284410037552</v>
      </c>
      <c r="K28" s="108">
        <v>0.12241861474783237</v>
      </c>
      <c r="L28" s="108">
        <v>0.10398876960790458</v>
      </c>
      <c r="M28" s="108">
        <v>0.13867593228293501</v>
      </c>
      <c r="N28" s="108">
        <v>0.12110546451570714</v>
      </c>
      <c r="O28" s="108">
        <v>8.7568418230327072E-2</v>
      </c>
      <c r="P28" s="108">
        <v>7.7106297778304869E-2</v>
      </c>
      <c r="Q28" s="108">
        <v>5.6373736169212048E-2</v>
      </c>
    </row>
    <row r="29" spans="1:17">
      <c r="A29" s="39"/>
      <c r="B29" s="39" t="s">
        <v>63</v>
      </c>
      <c r="C29" s="108">
        <v>0.41790013689764338</v>
      </c>
      <c r="D29" s="108">
        <v>0.37704069854111988</v>
      </c>
      <c r="E29" s="108">
        <v>0.34615578234204109</v>
      </c>
      <c r="F29" s="108">
        <v>0.30179017852585943</v>
      </c>
      <c r="G29" s="108">
        <v>0.24276678115978675</v>
      </c>
      <c r="H29" s="108">
        <v>0.12137945660795138</v>
      </c>
      <c r="I29" s="108">
        <v>0.10531455924571284</v>
      </c>
      <c r="J29" s="108">
        <v>0.11575927228761783</v>
      </c>
      <c r="K29" s="108">
        <v>0.10194319120354296</v>
      </c>
      <c r="L29" s="108">
        <v>8.8949756982647177E-2</v>
      </c>
      <c r="M29" s="108">
        <v>0.10681936319823634</v>
      </c>
      <c r="N29" s="108">
        <v>7.4141105567437665E-2</v>
      </c>
      <c r="O29" s="108">
        <v>5.3201063022091509E-2</v>
      </c>
      <c r="P29" s="108">
        <v>5.4417062282212283E-2</v>
      </c>
      <c r="Q29" s="108">
        <v>3.845743505006171E-2</v>
      </c>
    </row>
    <row r="30" spans="1:17">
      <c r="A30" s="39"/>
      <c r="B30" s="39" t="s">
        <v>64</v>
      </c>
      <c r="C30" s="108">
        <v>0.35349640550914058</v>
      </c>
      <c r="D30" s="108">
        <v>0.35280541330546533</v>
      </c>
      <c r="E30" s="108">
        <v>0.36671087535955577</v>
      </c>
      <c r="F30" s="108">
        <v>0.31018230327431978</v>
      </c>
      <c r="G30" s="108">
        <v>0.24602318201902137</v>
      </c>
      <c r="H30" s="108">
        <v>8.7295645451650292E-2</v>
      </c>
      <c r="I30" s="108">
        <v>9.7796556188594883E-2</v>
      </c>
      <c r="J30" s="108">
        <v>0.1032056687252894</v>
      </c>
      <c r="K30" s="108">
        <v>9.7852204247343311E-2</v>
      </c>
      <c r="L30" s="108">
        <v>0.10035997525456471</v>
      </c>
      <c r="M30" s="108">
        <v>6.2913629571791127E-2</v>
      </c>
      <c r="N30" s="108">
        <v>2.891788110079602E-2</v>
      </c>
      <c r="O30" s="108">
        <v>4.8224224912658979E-2</v>
      </c>
      <c r="P30" s="108">
        <v>4.0961310644974949E-2</v>
      </c>
      <c r="Q30" s="108">
        <v>1.3294115103916263E-2</v>
      </c>
    </row>
    <row r="31" spans="1:17">
      <c r="A31" s="39"/>
      <c r="B31" s="39" t="s">
        <v>65</v>
      </c>
      <c r="C31" s="108">
        <v>0.23059144472897974</v>
      </c>
      <c r="D31" s="108">
        <v>0.24045042729423899</v>
      </c>
      <c r="E31" s="108">
        <v>0.32790342320721166</v>
      </c>
      <c r="F31" s="108">
        <v>0.26818772025443394</v>
      </c>
      <c r="G31" s="108">
        <v>0.2164642156343467</v>
      </c>
      <c r="H31" s="108">
        <v>5.7972784341640965E-2</v>
      </c>
      <c r="I31" s="108">
        <v>7.5517066316343015E-2</v>
      </c>
      <c r="J31" s="108">
        <v>9.3183519048733995E-2</v>
      </c>
      <c r="K31" s="108">
        <v>8.0717859992076577E-2</v>
      </c>
      <c r="L31" s="108">
        <v>0.10785246044965879</v>
      </c>
      <c r="M31" s="108">
        <v>4.0353592508495358E-2</v>
      </c>
      <c r="N31" s="108">
        <v>1.1128208864981819E-2</v>
      </c>
      <c r="O31" s="108">
        <v>3.4815891988374925E-2</v>
      </c>
      <c r="P31" s="108">
        <v>1.3731800859681452E-2</v>
      </c>
      <c r="Q31" s="108">
        <v>6.6578029363647089E-3</v>
      </c>
    </row>
    <row r="32" spans="1:17">
      <c r="A32" s="39"/>
      <c r="B32" s="39" t="s">
        <v>66</v>
      </c>
      <c r="C32" s="108">
        <v>0.10851465490216348</v>
      </c>
      <c r="D32" s="108">
        <v>0.10686438173437444</v>
      </c>
      <c r="E32" s="108">
        <v>0.21443703277709047</v>
      </c>
      <c r="F32" s="108">
        <v>0.21278004240279602</v>
      </c>
      <c r="G32" s="108">
        <v>0.14016443751398669</v>
      </c>
      <c r="H32" s="108">
        <v>3.5102020351681446E-2</v>
      </c>
      <c r="I32" s="108">
        <v>6.866993329059512E-2</v>
      </c>
      <c r="J32" s="108">
        <v>6.3651988754607633E-2</v>
      </c>
      <c r="K32" s="108">
        <v>4.920245010348645E-2</v>
      </c>
      <c r="L32" s="108">
        <v>0.10170637339804416</v>
      </c>
      <c r="M32" s="108">
        <v>2.0005287878971576E-2</v>
      </c>
      <c r="N32" s="108">
        <v>6.2144633407894782E-3</v>
      </c>
      <c r="O32" s="108">
        <v>2.3824314159566169E-2</v>
      </c>
      <c r="P32" s="108">
        <v>7.6423043297766712E-3</v>
      </c>
      <c r="Q32" s="108">
        <v>2.6396935840039128E-3</v>
      </c>
    </row>
    <row r="33" spans="1:17">
      <c r="A33" s="39"/>
      <c r="B33" s="39"/>
    </row>
    <row r="34" spans="1:17">
      <c r="A34" s="40" t="s">
        <v>57</v>
      </c>
      <c r="B34" s="40" t="s">
        <v>55</v>
      </c>
      <c r="C34" s="33">
        <v>0.3990227117287084</v>
      </c>
      <c r="D34" s="33">
        <v>0.37121459304228183</v>
      </c>
      <c r="E34" s="33">
        <v>0.34818164685891362</v>
      </c>
      <c r="F34" s="33">
        <v>0.33599558386304684</v>
      </c>
      <c r="G34" s="33">
        <v>0.17568759745177173</v>
      </c>
      <c r="H34" s="33">
        <v>0.15510785807044924</v>
      </c>
      <c r="I34" s="33">
        <v>0.11532653773317393</v>
      </c>
      <c r="J34" s="33">
        <v>7.3541427362658937E-2</v>
      </c>
      <c r="K34" s="33">
        <v>8.0867741711875288E-2</v>
      </c>
      <c r="L34" s="33">
        <v>6.2366164680720836E-2</v>
      </c>
      <c r="M34" s="33">
        <v>7.5987976912311864E-2</v>
      </c>
      <c r="N34" s="33">
        <v>4.9217659410232567E-2</v>
      </c>
      <c r="O34" s="33">
        <v>3.2483673061674552E-2</v>
      </c>
      <c r="P34" s="33">
        <v>2.9057087113012237E-2</v>
      </c>
      <c r="Q34" s="33">
        <v>3.7096384271295413E-2</v>
      </c>
    </row>
    <row r="35" spans="1:17">
      <c r="A35" s="39" t="s">
        <v>59</v>
      </c>
      <c r="B35" s="39" t="s">
        <v>60</v>
      </c>
      <c r="C35" s="108">
        <v>0.70830975090590353</v>
      </c>
      <c r="D35" s="108">
        <v>0.65059016724114649</v>
      </c>
      <c r="E35" s="108">
        <v>0.35347558945551871</v>
      </c>
      <c r="F35" s="108">
        <v>0.30910111752485092</v>
      </c>
      <c r="G35" s="108">
        <v>0.23791749451984068</v>
      </c>
      <c r="H35" s="108">
        <v>0.2351632636846066</v>
      </c>
      <c r="I35" s="108">
        <v>0.18850451233886362</v>
      </c>
      <c r="J35" s="108">
        <v>0.13909362897236954</v>
      </c>
      <c r="K35" s="108">
        <v>9.1256745204931058E-2</v>
      </c>
      <c r="L35" s="108">
        <v>9.8351668577691731E-2</v>
      </c>
      <c r="M35" s="108">
        <v>9.9305117170176829E-2</v>
      </c>
      <c r="N35" s="108">
        <v>0.13359479011850192</v>
      </c>
      <c r="O35" s="108">
        <v>4.3542457912713224E-2</v>
      </c>
      <c r="P35" s="108">
        <v>2.8768773849929759E-2</v>
      </c>
      <c r="Q35" s="108">
        <v>2.7069904488131128E-2</v>
      </c>
    </row>
    <row r="36" spans="1:17">
      <c r="A36" s="39"/>
      <c r="B36" s="39" t="s">
        <v>61</v>
      </c>
      <c r="C36" s="108">
        <v>0.68723576292307009</v>
      </c>
      <c r="D36" s="108">
        <v>0.63019143847262582</v>
      </c>
      <c r="E36" s="108">
        <v>0.41413045819411837</v>
      </c>
      <c r="F36" s="108">
        <v>0.36222037290727477</v>
      </c>
      <c r="G36" s="108">
        <v>0.24525102148942188</v>
      </c>
      <c r="H36" s="108">
        <v>0.23997208899674474</v>
      </c>
      <c r="I36" s="108">
        <v>0.18634796485395502</v>
      </c>
      <c r="J36" s="108">
        <v>0.10923044839130371</v>
      </c>
      <c r="K36" s="108">
        <v>0.10551101900715262</v>
      </c>
      <c r="L36" s="108">
        <v>7.3750975475877542E-2</v>
      </c>
      <c r="M36" s="108">
        <v>0.11576602633492192</v>
      </c>
      <c r="N36" s="108">
        <v>0.10770811002620558</v>
      </c>
      <c r="O36" s="108">
        <v>5.0904878778313518E-2</v>
      </c>
      <c r="P36" s="108">
        <v>3.8659401748478914E-2</v>
      </c>
      <c r="Q36" s="108">
        <v>4.7654141486093406E-2</v>
      </c>
    </row>
    <row r="37" spans="1:17">
      <c r="A37" s="39"/>
      <c r="B37" s="39" t="s">
        <v>62</v>
      </c>
      <c r="C37" s="108">
        <v>0.57133457737948801</v>
      </c>
      <c r="D37" s="108">
        <v>0.53133489515573051</v>
      </c>
      <c r="E37" s="108">
        <v>0.45224020060891162</v>
      </c>
      <c r="F37" s="108">
        <v>0.42499281816605972</v>
      </c>
      <c r="G37" s="108">
        <v>0.24379516745448612</v>
      </c>
      <c r="H37" s="108">
        <v>0.20092686633198178</v>
      </c>
      <c r="I37" s="108">
        <v>0.15309996215516838</v>
      </c>
      <c r="J37" s="108">
        <v>0.10527503330784829</v>
      </c>
      <c r="K37" s="108">
        <v>9.9773767924058496E-2</v>
      </c>
      <c r="L37" s="108">
        <v>6.7754388775287833E-2</v>
      </c>
      <c r="M37" s="108">
        <v>0.11632302415576563</v>
      </c>
      <c r="N37" s="108">
        <v>7.9395216933475454E-2</v>
      </c>
      <c r="O37" s="108">
        <v>5.5261560691633765E-2</v>
      </c>
      <c r="P37" s="108">
        <v>5.5145323131471802E-2</v>
      </c>
      <c r="Q37" s="108">
        <v>6.2858217003303615E-2</v>
      </c>
    </row>
    <row r="38" spans="1:17">
      <c r="A38" s="39"/>
      <c r="B38" s="39" t="s">
        <v>63</v>
      </c>
      <c r="C38" s="108">
        <v>0.46851695493178258</v>
      </c>
      <c r="D38" s="108">
        <v>0.43409018279293837</v>
      </c>
      <c r="E38" s="108">
        <v>0.41461854375503038</v>
      </c>
      <c r="F38" s="108">
        <v>0.38252866159072357</v>
      </c>
      <c r="G38" s="108">
        <v>0.21978148798246155</v>
      </c>
      <c r="H38" s="108">
        <v>0.18742548235206385</v>
      </c>
      <c r="I38" s="108">
        <v>0.11733672197270111</v>
      </c>
      <c r="J38" s="108">
        <v>8.867334307365482E-2</v>
      </c>
      <c r="K38" s="108">
        <v>9.7267473998754045E-2</v>
      </c>
      <c r="L38" s="108">
        <v>5.5634027801921095E-2</v>
      </c>
      <c r="M38" s="108">
        <v>9.8152244528910942E-2</v>
      </c>
      <c r="N38" s="108">
        <v>5.8984859315235151E-2</v>
      </c>
      <c r="O38" s="108">
        <v>4.010154616591588E-2</v>
      </c>
      <c r="P38" s="108">
        <v>4.3830806330020282E-2</v>
      </c>
      <c r="Q38" s="108">
        <v>5.7751521962734573E-2</v>
      </c>
    </row>
    <row r="39" spans="1:17">
      <c r="A39" s="39"/>
      <c r="B39" s="39" t="s">
        <v>64</v>
      </c>
      <c r="C39" s="108">
        <v>0.36559178404444714</v>
      </c>
      <c r="D39" s="108">
        <v>0.34903109504064722</v>
      </c>
      <c r="E39" s="108">
        <v>0.37313317439348082</v>
      </c>
      <c r="F39" s="108">
        <v>0.35130860786669449</v>
      </c>
      <c r="G39" s="108">
        <v>0.16902046533437032</v>
      </c>
      <c r="H39" s="108">
        <v>0.14026384834618022</v>
      </c>
      <c r="I39" s="108">
        <v>0.10705218462272251</v>
      </c>
      <c r="J39" s="108">
        <v>6.6842362237590811E-2</v>
      </c>
      <c r="K39" s="108">
        <v>8.1164874151128677E-2</v>
      </c>
      <c r="L39" s="108">
        <v>6.4378360766293705E-2</v>
      </c>
      <c r="M39" s="108">
        <v>6.6717098891253115E-2</v>
      </c>
      <c r="N39" s="108">
        <v>2.8940795300811575E-2</v>
      </c>
      <c r="O39" s="108">
        <v>2.4130990754924777E-2</v>
      </c>
      <c r="P39" s="108">
        <v>1.8697578437828096E-2</v>
      </c>
      <c r="Q39" s="108">
        <v>3.0033729163768515E-2</v>
      </c>
    </row>
    <row r="40" spans="1:17">
      <c r="A40" s="39"/>
      <c r="B40" s="39" t="s">
        <v>65</v>
      </c>
      <c r="C40" s="108">
        <v>0.22451433223265482</v>
      </c>
      <c r="D40" s="108">
        <v>0.21703022560367774</v>
      </c>
      <c r="E40" s="108">
        <v>0.29990198329881573</v>
      </c>
      <c r="F40" s="108">
        <v>0.3044846169571217</v>
      </c>
      <c r="G40" s="108">
        <v>0.13027906271470252</v>
      </c>
      <c r="H40" s="108">
        <v>0.11188077840625377</v>
      </c>
      <c r="I40" s="108">
        <v>7.6219412727344171E-2</v>
      </c>
      <c r="J40" s="108">
        <v>4.2827402459737707E-2</v>
      </c>
      <c r="K40" s="108">
        <v>6.9593719132589202E-2</v>
      </c>
      <c r="L40" s="108">
        <v>6.8795939506544099E-2</v>
      </c>
      <c r="M40" s="108">
        <v>4.3445090366250994E-2</v>
      </c>
      <c r="N40" s="108">
        <v>1.0405951575416893E-2</v>
      </c>
      <c r="O40" s="108">
        <v>1.4431935722732296E-2</v>
      </c>
      <c r="P40" s="108">
        <v>1.3017248357382149E-2</v>
      </c>
      <c r="Q40" s="108">
        <v>2.1914292512626582E-2</v>
      </c>
    </row>
    <row r="41" spans="1:17">
      <c r="A41" s="132"/>
      <c r="B41" s="132" t="s">
        <v>66</v>
      </c>
      <c r="C41" s="138">
        <v>9.083226625584602E-2</v>
      </c>
      <c r="D41" s="138">
        <v>7.9894918779363847E-2</v>
      </c>
      <c r="E41" s="138">
        <v>0.1604804329997998</v>
      </c>
      <c r="F41" s="138">
        <v>0.20669211263493412</v>
      </c>
      <c r="G41" s="138">
        <v>5.3620839386807728E-2</v>
      </c>
      <c r="H41" s="138">
        <v>5.8648636705785198E-2</v>
      </c>
      <c r="I41" s="138">
        <v>5.5952321365452765E-2</v>
      </c>
      <c r="J41" s="138">
        <v>2.1811178907441178E-2</v>
      </c>
      <c r="K41" s="138">
        <v>3.8880118720059996E-2</v>
      </c>
      <c r="L41" s="138">
        <v>4.2471708545885369E-2</v>
      </c>
      <c r="M41" s="138">
        <v>1.9809368481064613E-2</v>
      </c>
      <c r="N41" s="138">
        <v>4.302382915467971E-3</v>
      </c>
      <c r="O41" s="138">
        <v>1.0404039729673884E-2</v>
      </c>
      <c r="P41" s="138">
        <v>4.6478888563695345E-3</v>
      </c>
      <c r="Q41" s="138">
        <v>5.7904857512796597E-3</v>
      </c>
    </row>
    <row r="42" spans="1:17">
      <c r="A42" s="72"/>
      <c r="B42" s="72"/>
      <c r="C42" s="163" t="s">
        <v>200</v>
      </c>
      <c r="D42" s="163"/>
      <c r="E42" s="163"/>
      <c r="F42" s="163"/>
      <c r="G42" s="163"/>
      <c r="H42" s="163"/>
      <c r="I42" s="163"/>
      <c r="J42" s="163"/>
      <c r="K42" s="163"/>
      <c r="L42" s="163"/>
      <c r="M42" s="163"/>
      <c r="N42" s="163"/>
      <c r="O42" s="163"/>
      <c r="P42" s="163"/>
      <c r="Q42" s="163"/>
    </row>
    <row r="43" spans="1:17" ht="17.25">
      <c r="A43" s="40" t="s">
        <v>181</v>
      </c>
      <c r="B43" s="40" t="s">
        <v>55</v>
      </c>
      <c r="C43" s="51">
        <v>7086829.9011236588</v>
      </c>
      <c r="D43" s="51">
        <v>6627238.256477762</v>
      </c>
      <c r="E43" s="51">
        <v>6121246.5338672707</v>
      </c>
      <c r="F43" s="51">
        <v>5627518.9287414551</v>
      </c>
      <c r="G43" s="51">
        <v>3665769.2034676769</v>
      </c>
      <c r="H43" s="51">
        <v>2372335.1422772384</v>
      </c>
      <c r="I43" s="51">
        <v>1979198.8953565131</v>
      </c>
      <c r="J43" s="51">
        <v>1692112.4399547698</v>
      </c>
      <c r="K43" s="51">
        <v>1645037.9412469564</v>
      </c>
      <c r="L43" s="51">
        <v>1482519.9435627477</v>
      </c>
      <c r="M43" s="51">
        <v>1467127.7342278147</v>
      </c>
      <c r="N43" s="51">
        <v>1052102.0238099922</v>
      </c>
      <c r="O43" s="51">
        <v>803476.51837733504</v>
      </c>
      <c r="P43" s="51">
        <v>676293.53891133203</v>
      </c>
      <c r="Q43" s="51">
        <v>612012.17493432667</v>
      </c>
    </row>
    <row r="44" spans="1:17">
      <c r="A44" s="39" t="s">
        <v>59</v>
      </c>
      <c r="B44" s="39" t="s">
        <v>60</v>
      </c>
      <c r="C44" s="110">
        <v>525191.67422247631</v>
      </c>
      <c r="D44" s="110">
        <v>490276.8952610034</v>
      </c>
      <c r="E44" s="110">
        <v>246405.82348817206</v>
      </c>
      <c r="F44" s="110">
        <v>211985.03542774328</v>
      </c>
      <c r="G44" s="110">
        <v>169297.97952506566</v>
      </c>
      <c r="H44" s="110">
        <v>144152.85050801447</v>
      </c>
      <c r="I44" s="110">
        <v>116368.98751699335</v>
      </c>
      <c r="J44" s="110">
        <v>111610.57429985602</v>
      </c>
      <c r="K44" s="110">
        <v>91525.689664185324</v>
      </c>
      <c r="L44" s="110">
        <v>70347.681541474551</v>
      </c>
      <c r="M44" s="110">
        <v>84447.414334774847</v>
      </c>
      <c r="N44" s="110">
        <v>115412.33834746706</v>
      </c>
      <c r="O44" s="110">
        <v>44800.879144371873</v>
      </c>
      <c r="P44" s="110">
        <v>26895.57303782738</v>
      </c>
      <c r="Q44" s="110">
        <v>27150.377109065732</v>
      </c>
    </row>
    <row r="45" spans="1:17">
      <c r="A45" s="39"/>
      <c r="B45" s="39" t="s">
        <v>61</v>
      </c>
      <c r="C45" s="110">
        <v>1288611.6374798098</v>
      </c>
      <c r="D45" s="110">
        <v>1157468.0570301402</v>
      </c>
      <c r="E45" s="110">
        <v>734708.04452821543</v>
      </c>
      <c r="F45" s="110">
        <v>624152.14666816348</v>
      </c>
      <c r="G45" s="110">
        <v>505538.08844292135</v>
      </c>
      <c r="H45" s="110">
        <v>382135.57271293149</v>
      </c>
      <c r="I45" s="110">
        <v>319751.7614154914</v>
      </c>
      <c r="J45" s="110">
        <v>248984.55827718673</v>
      </c>
      <c r="K45" s="110">
        <v>241722.30374837585</v>
      </c>
      <c r="L45" s="110">
        <v>176018.03847502443</v>
      </c>
      <c r="M45" s="110">
        <v>242150.4278246577</v>
      </c>
      <c r="N45" s="110">
        <v>241866.70319234344</v>
      </c>
      <c r="O45" s="110">
        <v>129864.28151995105</v>
      </c>
      <c r="P45" s="110">
        <v>118731.82728929979</v>
      </c>
      <c r="Q45" s="110">
        <v>107530.8522198235</v>
      </c>
    </row>
    <row r="46" spans="1:17">
      <c r="A46" s="39"/>
      <c r="B46" s="39" t="s">
        <v>62</v>
      </c>
      <c r="C46" s="110">
        <v>1877305.2909230406</v>
      </c>
      <c r="D46" s="110">
        <v>1747290.771587742</v>
      </c>
      <c r="E46" s="110">
        <v>1401568.3635607448</v>
      </c>
      <c r="F46" s="110">
        <v>1285630.2557791818</v>
      </c>
      <c r="G46" s="110">
        <v>873854.95199959038</v>
      </c>
      <c r="H46" s="110">
        <v>638411.34268614242</v>
      </c>
      <c r="I46" s="110">
        <v>480689.36657418183</v>
      </c>
      <c r="J46" s="110">
        <v>438406.07901970384</v>
      </c>
      <c r="K46" s="110">
        <v>389440.89502918918</v>
      </c>
      <c r="L46" s="110">
        <v>297995.19369503565</v>
      </c>
      <c r="M46" s="110">
        <v>445645.76105654001</v>
      </c>
      <c r="N46" s="110">
        <v>349249.52774199046</v>
      </c>
      <c r="O46" s="110">
        <v>249357.81875235683</v>
      </c>
      <c r="P46" s="110">
        <v>230314.96389472441</v>
      </c>
      <c r="Q46" s="110">
        <v>207445.66145443605</v>
      </c>
    </row>
    <row r="47" spans="1:17">
      <c r="A47" s="39"/>
      <c r="B47" s="39" t="s">
        <v>63</v>
      </c>
      <c r="C47" s="110">
        <v>1443170.9200854586</v>
      </c>
      <c r="D47" s="110">
        <v>1322020.2213669284</v>
      </c>
      <c r="E47" s="110">
        <v>1240795.8025849392</v>
      </c>
      <c r="F47" s="110">
        <v>1113622.6414901104</v>
      </c>
      <c r="G47" s="110">
        <v>752625.18669102609</v>
      </c>
      <c r="H47" s="110">
        <v>503260.51777159952</v>
      </c>
      <c r="I47" s="110">
        <v>364059.21130286792</v>
      </c>
      <c r="J47" s="110">
        <v>333189.02277086634</v>
      </c>
      <c r="K47" s="110">
        <v>324772.34377709421</v>
      </c>
      <c r="L47" s="110">
        <v>235659.44164533357</v>
      </c>
      <c r="M47" s="110">
        <v>333587.31310056132</v>
      </c>
      <c r="N47" s="110">
        <v>216852.12097542908</v>
      </c>
      <c r="O47" s="110">
        <v>152934.46645742134</v>
      </c>
      <c r="P47" s="110">
        <v>159937.34214762624</v>
      </c>
      <c r="Q47" s="110">
        <v>156160.75762419589</v>
      </c>
    </row>
    <row r="48" spans="1:17">
      <c r="A48" s="39"/>
      <c r="B48" s="39" t="s">
        <v>64</v>
      </c>
      <c r="C48" s="110">
        <v>1032299.805094221</v>
      </c>
      <c r="D48" s="110">
        <v>1007604.8786447354</v>
      </c>
      <c r="E48" s="110">
        <v>1060106.2058187707</v>
      </c>
      <c r="F48" s="110">
        <v>949102.00170889683</v>
      </c>
      <c r="G48" s="110">
        <v>596076.50203445822</v>
      </c>
      <c r="H48" s="110">
        <v>325786.82492182869</v>
      </c>
      <c r="I48" s="110">
        <v>294087.74260195834</v>
      </c>
      <c r="J48" s="110">
        <v>243009.56359407521</v>
      </c>
      <c r="K48" s="110">
        <v>255455.95344354687</v>
      </c>
      <c r="L48" s="110">
        <v>236446.13130985451</v>
      </c>
      <c r="M48" s="110">
        <v>185600.73605551542</v>
      </c>
      <c r="N48" s="110">
        <v>82982.254368847323</v>
      </c>
      <c r="O48" s="110">
        <v>105292.27002504407</v>
      </c>
      <c r="P48" s="110">
        <v>85528.975278468613</v>
      </c>
      <c r="Q48" s="110">
        <v>62482.994626115549</v>
      </c>
    </row>
    <row r="49" spans="1:17">
      <c r="A49" s="39"/>
      <c r="B49" s="39" t="s">
        <v>65</v>
      </c>
      <c r="C49" s="110">
        <v>586676.24290483934</v>
      </c>
      <c r="D49" s="110">
        <v>590209.84629870951</v>
      </c>
      <c r="E49" s="110">
        <v>810695.55850828381</v>
      </c>
      <c r="F49" s="110">
        <v>738878.7236215499</v>
      </c>
      <c r="G49" s="110">
        <v>447786.26844305539</v>
      </c>
      <c r="H49" s="110">
        <v>219801.51584254467</v>
      </c>
      <c r="I49" s="110">
        <v>195806.67561015114</v>
      </c>
      <c r="J49" s="110">
        <v>175958.00100762595</v>
      </c>
      <c r="K49" s="110">
        <v>194399.19686699429</v>
      </c>
      <c r="L49" s="110">
        <v>227579.60068064689</v>
      </c>
      <c r="M49" s="110">
        <v>108872.8144800579</v>
      </c>
      <c r="N49" s="110">
        <v>27719.289044888246</v>
      </c>
      <c r="O49" s="110">
        <v>64573.817140422892</v>
      </c>
      <c r="P49" s="110">
        <v>34433.399984780808</v>
      </c>
      <c r="Q49" s="110">
        <v>36901.287979384957</v>
      </c>
    </row>
    <row r="50" spans="1:17">
      <c r="A50" s="39"/>
      <c r="B50" s="39" t="s">
        <v>66</v>
      </c>
      <c r="C50" s="110">
        <v>333574.33041374129</v>
      </c>
      <c r="D50" s="110">
        <v>312367.58628843306</v>
      </c>
      <c r="E50" s="110">
        <v>626966.7353780272</v>
      </c>
      <c r="F50" s="110">
        <v>704148.12404571124</v>
      </c>
      <c r="G50" s="110">
        <v>320590.2263316082</v>
      </c>
      <c r="H50" s="110">
        <v>158786.51783418583</v>
      </c>
      <c r="I50" s="110">
        <v>208435.15033487027</v>
      </c>
      <c r="J50" s="110">
        <v>140954.64098544995</v>
      </c>
      <c r="K50" s="110">
        <v>147721.55871756451</v>
      </c>
      <c r="L50" s="110">
        <v>238473.85621537783</v>
      </c>
      <c r="M50" s="110">
        <v>66823.267375704309</v>
      </c>
      <c r="N50" s="110">
        <v>18019.790139028806</v>
      </c>
      <c r="O50" s="110">
        <v>56652.985337767714</v>
      </c>
      <c r="P50" s="110">
        <v>20451.457278605791</v>
      </c>
      <c r="Q50" s="110">
        <v>14340.243921305319</v>
      </c>
    </row>
    <row r="51" spans="1:17">
      <c r="A51" s="39"/>
      <c r="B51" s="39"/>
    </row>
    <row r="52" spans="1:17">
      <c r="A52" s="40" t="s">
        <v>56</v>
      </c>
      <c r="B52" s="40" t="s">
        <v>55</v>
      </c>
      <c r="C52" s="51">
        <v>3361647.3313960237</v>
      </c>
      <c r="D52" s="51">
        <v>3164852.4503026116</v>
      </c>
      <c r="E52" s="51">
        <v>2890547.0671476955</v>
      </c>
      <c r="F52" s="51">
        <v>2517707.8096926603</v>
      </c>
      <c r="G52" s="51">
        <v>2020909.7043796121</v>
      </c>
      <c r="H52" s="51">
        <v>928669.91807250783</v>
      </c>
      <c r="I52" s="51">
        <v>910101.88727142161</v>
      </c>
      <c r="J52" s="51">
        <v>1008682.5862973378</v>
      </c>
      <c r="K52" s="51">
        <v>891259.00018093048</v>
      </c>
      <c r="L52" s="51">
        <v>903794.31818333652</v>
      </c>
      <c r="M52" s="51">
        <v>759817.59052055294</v>
      </c>
      <c r="N52" s="51">
        <v>590090.53628692089</v>
      </c>
      <c r="O52" s="51">
        <v>496954.11918558984</v>
      </c>
      <c r="P52" s="51">
        <v>404415.91122368479</v>
      </c>
      <c r="Q52" s="51">
        <v>269922.03467420459</v>
      </c>
    </row>
    <row r="53" spans="1:17">
      <c r="A53" s="39" t="s">
        <v>59</v>
      </c>
      <c r="B53" s="39" t="s">
        <v>60</v>
      </c>
      <c r="C53" s="110">
        <v>239067.21161147906</v>
      </c>
      <c r="D53" s="110">
        <v>230083.46695140962</v>
      </c>
      <c r="E53" s="110">
        <v>104359.71357712951</v>
      </c>
      <c r="F53" s="110">
        <v>88890.873646938679</v>
      </c>
      <c r="G53" s="110">
        <v>70855.237876380328</v>
      </c>
      <c r="H53" s="110">
        <v>48726.467123302835</v>
      </c>
      <c r="I53" s="110">
        <v>43179.427588220598</v>
      </c>
      <c r="J53" s="110">
        <v>55487.387230962384</v>
      </c>
      <c r="K53" s="110">
        <v>56093.959467326546</v>
      </c>
      <c r="L53" s="110">
        <v>31082.786208321748</v>
      </c>
      <c r="M53" s="110">
        <v>43887.995903550865</v>
      </c>
      <c r="N53" s="110">
        <v>58712.297219686028</v>
      </c>
      <c r="O53" s="110">
        <v>27894.9001133778</v>
      </c>
      <c r="P53" s="110">
        <v>15725.687120286702</v>
      </c>
      <c r="Q53" s="110">
        <v>16640.10140150772</v>
      </c>
    </row>
    <row r="54" spans="1:17">
      <c r="A54" s="39"/>
      <c r="B54" s="39" t="s">
        <v>61</v>
      </c>
      <c r="C54" s="110">
        <v>591554.59512984066</v>
      </c>
      <c r="D54" s="110">
        <v>519955.96682487341</v>
      </c>
      <c r="E54" s="110">
        <v>320608.31303243979</v>
      </c>
      <c r="F54" s="110">
        <v>261375.69987538198</v>
      </c>
      <c r="G54" s="110">
        <v>254628.1573490336</v>
      </c>
      <c r="H54" s="110">
        <v>142423.37201502305</v>
      </c>
      <c r="I54" s="110">
        <v>134774.79646618111</v>
      </c>
      <c r="J54" s="110">
        <v>141115.36702365766</v>
      </c>
      <c r="K54" s="110">
        <v>134868.67420403162</v>
      </c>
      <c r="L54" s="110">
        <v>102283.04873526985</v>
      </c>
      <c r="M54" s="110">
        <v>127966.21913341647</v>
      </c>
      <c r="N54" s="110">
        <v>134963.60448560509</v>
      </c>
      <c r="O54" s="110">
        <v>78733.623184194177</v>
      </c>
      <c r="P54" s="110">
        <v>78115.056245353859</v>
      </c>
      <c r="Q54" s="110">
        <v>61119.302031823965</v>
      </c>
    </row>
    <row r="55" spans="1:17">
      <c r="A55" s="39"/>
      <c r="B55" s="39" t="s">
        <v>62</v>
      </c>
      <c r="C55" s="110">
        <v>881297.40398230357</v>
      </c>
      <c r="D55" s="110">
        <v>822296.41332549811</v>
      </c>
      <c r="E55" s="110">
        <v>617273.40780572454</v>
      </c>
      <c r="F55" s="110">
        <v>550395.79817662004</v>
      </c>
      <c r="G55" s="110">
        <v>448850.99336379429</v>
      </c>
      <c r="H55" s="110">
        <v>285918.45636754273</v>
      </c>
      <c r="I55" s="110">
        <v>214858.61570235746</v>
      </c>
      <c r="J55" s="110">
        <v>255702.2473692754</v>
      </c>
      <c r="K55" s="110">
        <v>213244.14757881363</v>
      </c>
      <c r="L55" s="110">
        <v>181140.72421490049</v>
      </c>
      <c r="M55" s="110">
        <v>241563.18898303312</v>
      </c>
      <c r="N55" s="110">
        <v>210956.73726569026</v>
      </c>
      <c r="O55" s="110">
        <v>152537.68994867493</v>
      </c>
      <c r="P55" s="110">
        <v>134313.45205598263</v>
      </c>
      <c r="Q55" s="110">
        <v>98198.867386296872</v>
      </c>
    </row>
    <row r="56" spans="1:17">
      <c r="A56" s="39"/>
      <c r="B56" s="39" t="s">
        <v>63</v>
      </c>
      <c r="C56" s="110">
        <v>676846.30667598476</v>
      </c>
      <c r="D56" s="110">
        <v>610668.86976540124</v>
      </c>
      <c r="E56" s="110">
        <v>560646.5328106184</v>
      </c>
      <c r="F56" s="110">
        <v>488790.38241699582</v>
      </c>
      <c r="G56" s="110">
        <v>393193.93487507926</v>
      </c>
      <c r="H56" s="110">
        <v>196590.59583307145</v>
      </c>
      <c r="I56" s="110">
        <v>170571.30201928844</v>
      </c>
      <c r="J56" s="110">
        <v>187487.940284079</v>
      </c>
      <c r="K56" s="110">
        <v>165110.91135101012</v>
      </c>
      <c r="L56" s="110">
        <v>144066.27128762405</v>
      </c>
      <c r="M56" s="110">
        <v>173008.53739589811</v>
      </c>
      <c r="N56" s="110">
        <v>120081.63923737986</v>
      </c>
      <c r="O56" s="110">
        <v>86166.382440211164</v>
      </c>
      <c r="P56" s="110">
        <v>88135.859201438128</v>
      </c>
      <c r="Q56" s="110">
        <v>62287.064730589751</v>
      </c>
    </row>
    <row r="57" spans="1:17">
      <c r="A57" s="39"/>
      <c r="B57" s="39" t="s">
        <v>64</v>
      </c>
      <c r="C57" s="110">
        <v>502091.05764722329</v>
      </c>
      <c r="D57" s="110">
        <v>501109.60210492549</v>
      </c>
      <c r="E57" s="110">
        <v>520860.32104011724</v>
      </c>
      <c r="F57" s="110">
        <v>440569.57379847509</v>
      </c>
      <c r="G57" s="110">
        <v>349440.72341485712</v>
      </c>
      <c r="H57" s="110">
        <v>123990.97209966612</v>
      </c>
      <c r="I57" s="110">
        <v>138906.01309018975</v>
      </c>
      <c r="J57" s="110">
        <v>146588.88338860238</v>
      </c>
      <c r="K57" s="110">
        <v>138985.05319424052</v>
      </c>
      <c r="L57" s="110">
        <v>142546.98304056897</v>
      </c>
      <c r="M57" s="110">
        <v>89359.807680730242</v>
      </c>
      <c r="N57" s="110">
        <v>41073.711869581901</v>
      </c>
      <c r="O57" s="110">
        <v>68495.610459576317</v>
      </c>
      <c r="P57" s="110">
        <v>58179.680086789856</v>
      </c>
      <c r="Q57" s="110">
        <v>18882.388078021479</v>
      </c>
    </row>
    <row r="58" spans="1:17">
      <c r="A58" s="39"/>
      <c r="B58" s="39" t="s">
        <v>65</v>
      </c>
      <c r="C58" s="110">
        <v>295137.83115918603</v>
      </c>
      <c r="D58" s="110">
        <v>307756.50716933358</v>
      </c>
      <c r="E58" s="110">
        <v>419689.05337660463</v>
      </c>
      <c r="F58" s="110">
        <v>343257.93045986589</v>
      </c>
      <c r="G58" s="110">
        <v>277056.15531826555</v>
      </c>
      <c r="H58" s="110">
        <v>74200.332353877777</v>
      </c>
      <c r="I58" s="110">
        <v>96655.551095165356</v>
      </c>
      <c r="J58" s="110">
        <v>119267.13822426439</v>
      </c>
      <c r="K58" s="110">
        <v>103312.13355236138</v>
      </c>
      <c r="L58" s="110">
        <v>138042.16066951837</v>
      </c>
      <c r="M58" s="110">
        <v>51649.235236965906</v>
      </c>
      <c r="N58" s="110">
        <v>14243.179893154109</v>
      </c>
      <c r="O58" s="110">
        <v>44561.440097651968</v>
      </c>
      <c r="P58" s="110">
        <v>17575.560656205449</v>
      </c>
      <c r="Q58" s="110">
        <v>8521.4328798426213</v>
      </c>
    </row>
    <row r="59" spans="1:17">
      <c r="A59" s="39"/>
      <c r="B59" s="39" t="s">
        <v>66</v>
      </c>
      <c r="C59" s="110">
        <v>175652.92519005673</v>
      </c>
      <c r="D59" s="110">
        <v>172981.62416121268</v>
      </c>
      <c r="E59" s="110">
        <v>347109.72550511284</v>
      </c>
      <c r="F59" s="110">
        <v>344427.55131841887</v>
      </c>
      <c r="G59" s="110">
        <v>226884.50218220084</v>
      </c>
      <c r="H59" s="110">
        <v>56819.722280025613</v>
      </c>
      <c r="I59" s="110">
        <v>111156.18131001959</v>
      </c>
      <c r="J59" s="110">
        <v>103033.62277649849</v>
      </c>
      <c r="K59" s="110">
        <v>79644.120833147448</v>
      </c>
      <c r="L59" s="110">
        <v>164632.34402713331</v>
      </c>
      <c r="M59" s="110">
        <v>32382.606186959212</v>
      </c>
      <c r="N59" s="110">
        <v>10059.366315823587</v>
      </c>
      <c r="O59" s="110">
        <v>38564.472941905398</v>
      </c>
      <c r="P59" s="110">
        <v>12370.615857629609</v>
      </c>
      <c r="Q59" s="110">
        <v>4272.8781661219446</v>
      </c>
    </row>
    <row r="60" spans="1:17">
      <c r="A60" s="39"/>
      <c r="B60" s="39"/>
    </row>
    <row r="61" spans="1:17">
      <c r="A61" s="40" t="s">
        <v>57</v>
      </c>
      <c r="B61" s="40" t="s">
        <v>55</v>
      </c>
      <c r="C61" s="51">
        <v>3660785.3976831916</v>
      </c>
      <c r="D61" s="51">
        <v>3405663.1907710098</v>
      </c>
      <c r="E61" s="51">
        <v>3194350.2239265945</v>
      </c>
      <c r="F61" s="51">
        <v>3082550.669266541</v>
      </c>
      <c r="G61" s="51">
        <v>1611824.5212637498</v>
      </c>
      <c r="H61" s="51">
        <v>1423018.2022227107</v>
      </c>
      <c r="I61" s="51">
        <v>1058049.3112031242</v>
      </c>
      <c r="J61" s="51">
        <v>674696.89193290973</v>
      </c>
      <c r="K61" s="51">
        <v>741911.27296965313</v>
      </c>
      <c r="L61" s="51">
        <v>572170.80196656368</v>
      </c>
      <c r="M61" s="51">
        <v>697142.46358289418</v>
      </c>
      <c r="N61" s="51">
        <v>451541.43757015892</v>
      </c>
      <c r="O61" s="51">
        <v>298017.5125674117</v>
      </c>
      <c r="P61" s="51">
        <v>266580.71602411632</v>
      </c>
      <c r="Q61" s="51">
        <v>340336.27123343555</v>
      </c>
    </row>
    <row r="62" spans="1:17">
      <c r="A62" s="39" t="s">
        <v>59</v>
      </c>
      <c r="B62" s="39" t="s">
        <v>60</v>
      </c>
      <c r="C62" s="110">
        <v>275011.34226893418</v>
      </c>
      <c r="D62" s="110">
        <v>252600.89237953597</v>
      </c>
      <c r="E62" s="110">
        <v>137241.92867758346</v>
      </c>
      <c r="F62" s="110">
        <v>120012.90836193728</v>
      </c>
      <c r="G62" s="110">
        <v>92374.85356297929</v>
      </c>
      <c r="H62" s="110">
        <v>91305.484239815996</v>
      </c>
      <c r="I62" s="110">
        <v>73189.559928772782</v>
      </c>
      <c r="J62" s="110">
        <v>54005.08118916204</v>
      </c>
      <c r="K62" s="110">
        <v>35431.730196858764</v>
      </c>
      <c r="L62" s="110">
        <v>38186.435179449574</v>
      </c>
      <c r="M62" s="110">
        <v>38556.625166059806</v>
      </c>
      <c r="N62" s="110">
        <v>51870.078738343596</v>
      </c>
      <c r="O62" s="110">
        <v>16905.979030994069</v>
      </c>
      <c r="P62" s="110">
        <v>11169.885917540676</v>
      </c>
      <c r="Q62" s="110">
        <v>10510.275707558016</v>
      </c>
    </row>
    <row r="63" spans="1:17">
      <c r="A63" s="39"/>
      <c r="B63" s="39" t="s">
        <v>61</v>
      </c>
      <c r="C63" s="110">
        <v>669315.95255367621</v>
      </c>
      <c r="D63" s="110">
        <v>613759.07030567818</v>
      </c>
      <c r="E63" s="110">
        <v>403331.92342715</v>
      </c>
      <c r="F63" s="110">
        <v>352775.40402669559</v>
      </c>
      <c r="G63" s="110">
        <v>238856.05190969913</v>
      </c>
      <c r="H63" s="110">
        <v>233714.76864065853</v>
      </c>
      <c r="I63" s="110">
        <v>181488.90429124222</v>
      </c>
      <c r="J63" s="110">
        <v>106382.24253919479</v>
      </c>
      <c r="K63" s="110">
        <v>102759.79802230795</v>
      </c>
      <c r="L63" s="110">
        <v>71827.903996791138</v>
      </c>
      <c r="M63" s="110">
        <v>112747.40397697533</v>
      </c>
      <c r="N63" s="110">
        <v>104899.59945232923</v>
      </c>
      <c r="O63" s="110">
        <v>49577.523853266532</v>
      </c>
      <c r="P63" s="110">
        <v>37651.350093279318</v>
      </c>
      <c r="Q63" s="110">
        <v>46411.550187999608</v>
      </c>
    </row>
    <row r="64" spans="1:17">
      <c r="A64" s="39"/>
      <c r="B64" s="39" t="s">
        <v>62</v>
      </c>
      <c r="C64" s="110">
        <v>981597.98018333735</v>
      </c>
      <c r="D64" s="110">
        <v>912875.36329061538</v>
      </c>
      <c r="E64" s="110">
        <v>776984.42392811563</v>
      </c>
      <c r="F64" s="110">
        <v>730171.26640164352</v>
      </c>
      <c r="G64" s="110">
        <v>418859.374920748</v>
      </c>
      <c r="H64" s="110">
        <v>345208.24393416388</v>
      </c>
      <c r="I64" s="110">
        <v>263037.84081641352</v>
      </c>
      <c r="J64" s="110">
        <v>180870.83147092484</v>
      </c>
      <c r="K64" s="110">
        <v>171419.22254862115</v>
      </c>
      <c r="L64" s="110">
        <v>116407.39735274923</v>
      </c>
      <c r="M64" s="110">
        <v>199852.15332814629</v>
      </c>
      <c r="N64" s="110">
        <v>136407.26058551238</v>
      </c>
      <c r="O64" s="110">
        <v>94943.73087917731</v>
      </c>
      <c r="P64" s="110">
        <v>94744.025559748276</v>
      </c>
      <c r="Q64" s="110">
        <v>107995.38710114824</v>
      </c>
    </row>
    <row r="65" spans="1:23">
      <c r="A65" s="39"/>
      <c r="B65" s="39" t="s">
        <v>63</v>
      </c>
      <c r="C65" s="110">
        <v>761562.90341739671</v>
      </c>
      <c r="D65" s="110">
        <v>705603.02348271059</v>
      </c>
      <c r="E65" s="110">
        <v>673952.34829601669</v>
      </c>
      <c r="F65" s="110">
        <v>621791.02611946932</v>
      </c>
      <c r="G65" s="110">
        <v>357249.4577697615</v>
      </c>
      <c r="H65" s="110">
        <v>304655.55837830162</v>
      </c>
      <c r="I65" s="110">
        <v>190727.98480904725</v>
      </c>
      <c r="J65" s="110">
        <v>144136.36026626205</v>
      </c>
      <c r="K65" s="110">
        <v>158105.91084660502</v>
      </c>
      <c r="L65" s="110">
        <v>90431.757689119753</v>
      </c>
      <c r="M65" s="110">
        <v>159544.08380216549</v>
      </c>
      <c r="N65" s="110">
        <v>95878.45273244752</v>
      </c>
      <c r="O65" s="110">
        <v>65184.086953882732</v>
      </c>
      <c r="P65" s="110">
        <v>71245.908555595539</v>
      </c>
      <c r="Q65" s="110">
        <v>93873.692893606203</v>
      </c>
    </row>
    <row r="66" spans="1:23">
      <c r="A66" s="39"/>
      <c r="B66" s="39" t="s">
        <v>64</v>
      </c>
      <c r="C66" s="110">
        <v>524621.08340267115</v>
      </c>
      <c r="D66" s="110">
        <v>500856.63631648617</v>
      </c>
      <c r="E66" s="110">
        <v>535442.91405626014</v>
      </c>
      <c r="F66" s="110">
        <v>504124.84774357651</v>
      </c>
      <c r="G66" s="110">
        <v>242542.92221775049</v>
      </c>
      <c r="H66" s="110">
        <v>201277.42277888505</v>
      </c>
      <c r="I66" s="110">
        <v>153618.96937642212</v>
      </c>
      <c r="J66" s="110">
        <v>95918.218145775929</v>
      </c>
      <c r="K66" s="110">
        <v>116470.90024930588</v>
      </c>
      <c r="L66" s="110">
        <v>92382.397107684694</v>
      </c>
      <c r="M66" s="110">
        <v>95738.466315088343</v>
      </c>
      <c r="N66" s="110">
        <v>41529.793742303635</v>
      </c>
      <c r="O66" s="110">
        <v>34627.76535451183</v>
      </c>
      <c r="P66" s="110">
        <v>26830.86514840072</v>
      </c>
      <c r="Q66" s="110">
        <v>43098.144488397607</v>
      </c>
    </row>
    <row r="67" spans="1:23">
      <c r="A67" s="39"/>
      <c r="B67" s="39" t="s">
        <v>65</v>
      </c>
      <c r="C67" s="110">
        <v>290754.73063353583</v>
      </c>
      <c r="D67" s="110">
        <v>281062.52352452173</v>
      </c>
      <c r="E67" s="110">
        <v>388384.65011735098</v>
      </c>
      <c r="F67" s="110">
        <v>394319.33767899935</v>
      </c>
      <c r="G67" s="110">
        <v>168716.41738911424</v>
      </c>
      <c r="H67" s="110">
        <v>144889.92869671807</v>
      </c>
      <c r="I67" s="110">
        <v>98707.082956381462</v>
      </c>
      <c r="J67" s="110">
        <v>55463.140112637884</v>
      </c>
      <c r="K67" s="110">
        <v>90126.553877253347</v>
      </c>
      <c r="L67" s="110">
        <v>89093.39845252395</v>
      </c>
      <c r="M67" s="110">
        <v>56263.069805713145</v>
      </c>
      <c r="N67" s="110">
        <v>13476.10915173413</v>
      </c>
      <c r="O67" s="110">
        <v>18689.914099716509</v>
      </c>
      <c r="P67" s="110">
        <v>16857.839328575363</v>
      </c>
      <c r="Q67" s="110">
        <v>28379.855099542343</v>
      </c>
    </row>
    <row r="68" spans="1:23">
      <c r="A68" s="39"/>
      <c r="B68" s="39" t="s">
        <v>66</v>
      </c>
      <c r="C68" s="110">
        <v>157921.40522368386</v>
      </c>
      <c r="D68" s="110">
        <v>138905.68147150223</v>
      </c>
      <c r="E68" s="110">
        <v>279012.03542416869</v>
      </c>
      <c r="F68" s="110">
        <v>359355.87893426511</v>
      </c>
      <c r="G68" s="110">
        <v>93225.443493689483</v>
      </c>
      <c r="H68" s="110">
        <v>101966.7955541605</v>
      </c>
      <c r="I68" s="110">
        <v>97278.969024850856</v>
      </c>
      <c r="J68" s="110">
        <v>37921.018208951682</v>
      </c>
      <c r="K68" s="110">
        <v>67597.157228699623</v>
      </c>
      <c r="L68" s="110">
        <v>73841.512188244902</v>
      </c>
      <c r="M68" s="110">
        <v>34440.661188745078</v>
      </c>
      <c r="N68" s="110">
        <v>7480.1431674874975</v>
      </c>
      <c r="O68" s="110">
        <v>18088.512395862301</v>
      </c>
      <c r="P68" s="110">
        <v>8080.8414209761841</v>
      </c>
      <c r="Q68" s="110">
        <v>10067.365755183375</v>
      </c>
    </row>
    <row r="69" spans="1:23">
      <c r="A69" s="39"/>
      <c r="B69" s="40"/>
      <c r="C69" s="133"/>
      <c r="D69" s="133"/>
      <c r="E69" s="133"/>
      <c r="F69" s="133"/>
      <c r="G69" s="133"/>
      <c r="H69" s="133"/>
      <c r="I69" s="133"/>
      <c r="J69" s="133"/>
      <c r="K69" s="133"/>
      <c r="L69" s="133"/>
      <c r="M69" s="133"/>
      <c r="N69" s="133"/>
      <c r="O69" s="133"/>
      <c r="P69" s="133"/>
      <c r="Q69" s="133"/>
    </row>
    <row r="70" spans="1:23" ht="14.45" customHeight="1">
      <c r="A70" s="28" t="s">
        <v>201</v>
      </c>
      <c r="B70" s="28"/>
    </row>
    <row r="71" spans="1:23" ht="14.45" customHeight="1">
      <c r="A71" s="29" t="s">
        <v>147</v>
      </c>
      <c r="B71" s="29"/>
    </row>
    <row r="72" spans="1:23" ht="14.45" customHeight="1">
      <c r="A72" s="29" t="s">
        <v>119</v>
      </c>
      <c r="B72" s="29"/>
    </row>
    <row r="73" spans="1:23" ht="15" customHeight="1">
      <c r="A73" s="29" t="s">
        <v>120</v>
      </c>
      <c r="B73" s="29"/>
      <c r="C73" s="2"/>
      <c r="G73" s="2"/>
      <c r="K73" s="2"/>
      <c r="O73" s="2"/>
      <c r="S73" s="2"/>
      <c r="W73" s="2"/>
    </row>
    <row r="74" spans="1:23">
      <c r="A74" s="29" t="s">
        <v>118</v>
      </c>
    </row>
  </sheetData>
  <mergeCells count="3">
    <mergeCell ref="C13:Q13"/>
    <mergeCell ref="C15:Q15"/>
    <mergeCell ref="C42:Q42"/>
  </mergeCells>
  <pageMargins left="0.70866141732283472" right="0.70866141732283472" top="0.74803149606299213" bottom="0.74803149606299213" header="0.31496062992125984" footer="0.31496062992125984"/>
  <pageSetup paperSize="9" scale="61" fitToWidth="0" orientation="portrait" r:id="rId1"/>
  <headerFooter>
    <oddHeader>&amp;C&amp;"Calibri"&amp;12&amp;KFF0000 OFFICIAL&amp;1#_x000D_</oddHeader>
    <oddFooter>Page &amp;P of &amp;N</oddFooter>
  </headerFooter>
  <colBreaks count="1" manualBreakCount="1">
    <brk id="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279" id="{DEBA50FD-DF0E-4D61-B5ED-66CE1F56AC1B}">
            <xm:f>C43&lt;'34'!$C$104</xm:f>
            <x14:dxf>
              <font>
                <color rgb="FFFF0000"/>
              </font>
              <numFmt numFmtId="172" formatCode="\*\*0.0%"/>
            </x14:dxf>
          </x14:cfRule>
          <x14:cfRule type="expression" priority="280" id="{CBC031B5-1ABC-4AF9-9C0D-FBB4E96A90F6}">
            <xm:f>C43&lt;'34'!$C$103</xm:f>
            <x14:dxf>
              <font>
                <color rgb="FF00B050"/>
              </font>
              <numFmt numFmtId="171" formatCode="\*0.0%"/>
            </x14:dxf>
          </x14:cfRule>
          <xm:sqref>C16:Q41</xm:sqref>
        </x14:conditionalFormatting>
        <x14:conditionalFormatting xmlns:xm="http://schemas.microsoft.com/office/excel/2006/main">
          <x14:cfRule type="expression" priority="1" id="{DA956E0B-E7ED-4CF8-B61D-32BE39CDE1E7}">
            <xm:f>C43&lt;'34'!$C$104</xm:f>
            <x14:dxf>
              <font>
                <color rgb="FFFF0000"/>
              </font>
              <numFmt numFmtId="170" formatCode="\*\*#,###,###,##0"/>
            </x14:dxf>
          </x14:cfRule>
          <x14:cfRule type="expression" priority="2" id="{8F54B8E3-557A-49C1-8A97-FF60407E07B2}">
            <xm:f>C43&lt;'34'!$C$103</xm:f>
            <x14:dxf>
              <font>
                <color rgb="FF00B050"/>
              </font>
              <numFmt numFmtId="169" formatCode="\*#,###,###,##0"/>
            </x14:dxf>
          </x14:cfRule>
          <xm:sqref>C43:Q68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74"/>
  <sheetViews>
    <sheetView zoomScaleNormal="100" workbookViewId="0">
      <pane xSplit="2" ySplit="13" topLeftCell="C14" activePane="bottomRight" state="frozen"/>
      <selection pane="bottomRight"/>
      <selection pane="bottomLeft"/>
      <selection pane="topRight"/>
    </sheetView>
  </sheetViews>
  <sheetFormatPr defaultColWidth="8.85546875" defaultRowHeight="15"/>
  <cols>
    <col min="1" max="2" width="15.7109375" style="1" customWidth="1"/>
    <col min="3" max="18" width="19" style="1" customWidth="1"/>
    <col min="19" max="16384" width="8.85546875" style="1"/>
  </cols>
  <sheetData>
    <row r="1" spans="1:18">
      <c r="A1" s="34"/>
      <c r="B1" s="34"/>
      <c r="C1" s="34"/>
      <c r="D1" s="34"/>
      <c r="E1" s="34"/>
      <c r="F1" s="34"/>
      <c r="G1" s="34"/>
      <c r="H1" s="34"/>
      <c r="I1" s="34"/>
      <c r="J1" s="34"/>
      <c r="K1" s="34"/>
      <c r="L1" s="34"/>
      <c r="M1" s="34"/>
      <c r="N1" s="34"/>
      <c r="O1" s="34"/>
      <c r="P1" s="34"/>
      <c r="Q1" s="34"/>
      <c r="R1" s="34"/>
    </row>
    <row r="2" spans="1:18">
      <c r="A2" s="34"/>
      <c r="B2" s="34"/>
      <c r="C2" s="34"/>
      <c r="D2" s="34"/>
      <c r="E2" s="34"/>
      <c r="F2" s="34"/>
      <c r="G2" s="34"/>
      <c r="H2" s="34"/>
      <c r="I2" s="34"/>
      <c r="J2" s="34"/>
      <c r="K2" s="34"/>
      <c r="L2" s="34"/>
      <c r="M2" s="34"/>
      <c r="N2" s="34"/>
      <c r="O2" s="34"/>
      <c r="P2" s="34"/>
      <c r="Q2" s="34"/>
      <c r="R2" s="34"/>
    </row>
    <row r="3" spans="1:18">
      <c r="A3" s="34"/>
      <c r="B3" s="34"/>
      <c r="C3" s="34"/>
      <c r="D3" s="34"/>
      <c r="E3" s="34"/>
      <c r="F3" s="34"/>
      <c r="G3" s="34"/>
      <c r="H3" s="34"/>
      <c r="I3" s="34"/>
      <c r="J3" s="34"/>
      <c r="K3" s="34"/>
      <c r="L3" s="34"/>
      <c r="M3" s="34"/>
      <c r="N3" s="34"/>
      <c r="O3" s="34"/>
      <c r="P3" s="34"/>
      <c r="Q3" s="34"/>
      <c r="R3" s="34"/>
    </row>
    <row r="4" spans="1:18">
      <c r="A4" s="34"/>
      <c r="B4" s="34"/>
      <c r="C4" s="34"/>
      <c r="D4" s="34"/>
      <c r="E4" s="34"/>
      <c r="F4" s="34"/>
      <c r="G4" s="34"/>
      <c r="H4" s="34"/>
      <c r="I4" s="34"/>
      <c r="J4" s="34"/>
      <c r="K4" s="34"/>
      <c r="L4" s="34"/>
      <c r="M4" s="34"/>
      <c r="N4" s="34"/>
      <c r="O4" s="34"/>
      <c r="P4" s="34"/>
      <c r="Q4" s="34"/>
      <c r="R4" s="34"/>
    </row>
    <row r="5" spans="1:18">
      <c r="A5" s="34"/>
      <c r="B5" s="34"/>
      <c r="C5" s="34"/>
      <c r="D5" s="34"/>
      <c r="E5" s="34"/>
      <c r="F5" s="34"/>
      <c r="G5" s="34"/>
      <c r="H5" s="34"/>
      <c r="I5" s="34"/>
      <c r="J5" s="34"/>
      <c r="K5" s="34"/>
      <c r="L5" s="34"/>
      <c r="M5" s="34"/>
      <c r="N5" s="34"/>
      <c r="O5" s="34"/>
      <c r="P5" s="34"/>
      <c r="Q5" s="34"/>
      <c r="R5" s="34"/>
    </row>
    <row r="6" spans="1:18">
      <c r="A6" s="34"/>
      <c r="B6" s="34"/>
      <c r="C6" s="34"/>
      <c r="D6" s="34"/>
      <c r="E6" s="34"/>
      <c r="F6" s="34"/>
      <c r="G6" s="34"/>
      <c r="H6" s="34"/>
      <c r="I6" s="34"/>
      <c r="J6" s="34"/>
      <c r="K6" s="34"/>
      <c r="L6" s="34"/>
      <c r="M6" s="34"/>
      <c r="N6" s="34"/>
      <c r="O6" s="34"/>
      <c r="P6" s="34"/>
      <c r="Q6" s="34"/>
      <c r="R6" s="34"/>
    </row>
    <row r="7" spans="1:18">
      <c r="A7" s="34"/>
      <c r="B7" s="34"/>
      <c r="C7" s="34"/>
      <c r="D7" s="34"/>
      <c r="E7" s="34"/>
      <c r="F7" s="34"/>
      <c r="G7" s="34"/>
      <c r="H7" s="34"/>
      <c r="I7" s="34"/>
      <c r="J7" s="34"/>
      <c r="K7" s="34"/>
      <c r="L7" s="34"/>
      <c r="M7" s="34"/>
      <c r="N7" s="34"/>
      <c r="O7" s="34"/>
      <c r="P7" s="34"/>
      <c r="Q7" s="34"/>
      <c r="R7" s="34"/>
    </row>
    <row r="8" spans="1:18">
      <c r="A8" s="35" t="s">
        <v>0</v>
      </c>
      <c r="B8" s="34"/>
      <c r="C8" s="34"/>
      <c r="D8" s="34"/>
      <c r="E8" s="34"/>
      <c r="F8" s="34"/>
      <c r="G8" s="34"/>
      <c r="H8" s="34"/>
      <c r="I8" s="34"/>
      <c r="J8" s="34"/>
      <c r="K8" s="34"/>
      <c r="L8" s="34"/>
      <c r="M8" s="34"/>
      <c r="N8" s="34"/>
      <c r="O8" s="34"/>
      <c r="P8" s="34"/>
      <c r="Q8" s="34"/>
      <c r="R8" s="34"/>
    </row>
    <row r="9" spans="1:18">
      <c r="A9" s="34" t="s">
        <v>1</v>
      </c>
      <c r="B9" s="34"/>
      <c r="C9" s="35" t="s">
        <v>2</v>
      </c>
      <c r="D9" s="34"/>
      <c r="E9" s="34"/>
      <c r="F9" s="34"/>
      <c r="G9" s="34"/>
      <c r="H9" s="34"/>
      <c r="I9" s="34"/>
      <c r="J9" s="34"/>
      <c r="K9" s="34"/>
      <c r="L9" s="34"/>
      <c r="M9" s="34"/>
      <c r="N9" s="34"/>
      <c r="O9" s="34"/>
      <c r="P9" s="34"/>
      <c r="Q9" s="34"/>
      <c r="R9" s="34"/>
    </row>
    <row r="10" spans="1:18">
      <c r="A10" s="34" t="s">
        <v>47</v>
      </c>
      <c r="B10" s="34"/>
      <c r="C10" s="36">
        <v>12</v>
      </c>
      <c r="D10" s="34"/>
      <c r="E10" s="34"/>
      <c r="F10" s="34"/>
      <c r="G10" s="34"/>
      <c r="H10" s="34"/>
      <c r="I10" s="34"/>
      <c r="J10" s="34"/>
      <c r="K10" s="34"/>
      <c r="L10" s="34"/>
      <c r="M10" s="34"/>
      <c r="N10" s="34"/>
      <c r="O10" s="34"/>
      <c r="P10" s="34"/>
      <c r="Q10" s="34"/>
      <c r="R10" s="34"/>
    </row>
    <row r="11" spans="1:18">
      <c r="A11" s="34" t="s">
        <v>3</v>
      </c>
      <c r="B11" s="34"/>
      <c r="C11" s="35" t="s">
        <v>20</v>
      </c>
      <c r="D11" s="34"/>
      <c r="E11" s="34"/>
      <c r="F11" s="34"/>
      <c r="G11" s="34"/>
      <c r="H11" s="34"/>
      <c r="I11" s="34"/>
      <c r="J11" s="34"/>
      <c r="K11" s="34"/>
      <c r="L11" s="34"/>
      <c r="M11" s="34"/>
      <c r="N11" s="34"/>
      <c r="O11" s="34"/>
      <c r="P11" s="34"/>
      <c r="Q11" s="34"/>
      <c r="R11" s="34"/>
    </row>
    <row r="12" spans="1:18">
      <c r="A12" s="130" t="s">
        <v>48</v>
      </c>
      <c r="B12" s="130"/>
      <c r="C12" s="131" t="s">
        <v>182</v>
      </c>
      <c r="D12" s="130"/>
      <c r="E12" s="130"/>
      <c r="F12" s="130"/>
      <c r="G12" s="130"/>
      <c r="H12" s="130"/>
      <c r="I12" s="130"/>
      <c r="J12" s="130"/>
      <c r="K12" s="130"/>
      <c r="L12" s="130"/>
      <c r="M12" s="130"/>
      <c r="N12" s="130"/>
      <c r="O12" s="130"/>
      <c r="P12" s="130"/>
      <c r="Q12" s="130"/>
      <c r="R12" s="130"/>
    </row>
    <row r="13" spans="1:18" s="104" customFormat="1" ht="50.1" customHeight="1">
      <c r="A13" s="69"/>
      <c r="B13" s="69"/>
      <c r="C13" s="69" t="s">
        <v>202</v>
      </c>
      <c r="D13" s="69" t="s">
        <v>203</v>
      </c>
      <c r="E13" s="69" t="s">
        <v>204</v>
      </c>
      <c r="F13" s="69" t="s">
        <v>205</v>
      </c>
      <c r="G13" s="69" t="s">
        <v>206</v>
      </c>
      <c r="H13" s="69" t="s">
        <v>207</v>
      </c>
      <c r="I13" s="69" t="s">
        <v>208</v>
      </c>
      <c r="J13" s="69" t="s">
        <v>209</v>
      </c>
      <c r="K13" s="69" t="s">
        <v>210</v>
      </c>
      <c r="L13" s="69" t="s">
        <v>211</v>
      </c>
      <c r="M13" s="69" t="s">
        <v>212</v>
      </c>
      <c r="N13" s="69" t="s">
        <v>213</v>
      </c>
      <c r="O13" s="69" t="s">
        <v>214</v>
      </c>
      <c r="P13" s="69" t="s">
        <v>215</v>
      </c>
      <c r="Q13" s="69" t="s">
        <v>216</v>
      </c>
      <c r="R13" s="69" t="s">
        <v>217</v>
      </c>
    </row>
    <row r="14" spans="1:18">
      <c r="A14" s="72"/>
      <c r="B14" s="72"/>
      <c r="C14" s="156" t="s">
        <v>199</v>
      </c>
      <c r="D14" s="156"/>
      <c r="E14" s="156"/>
      <c r="F14" s="156"/>
      <c r="G14" s="156"/>
      <c r="H14" s="156"/>
      <c r="I14" s="156"/>
      <c r="J14" s="156"/>
      <c r="K14" s="156"/>
      <c r="L14" s="156"/>
      <c r="M14" s="156"/>
      <c r="N14" s="156"/>
      <c r="O14" s="156"/>
      <c r="P14" s="156"/>
      <c r="Q14" s="156"/>
      <c r="R14" s="156"/>
    </row>
    <row r="15" spans="1:18" ht="17.25">
      <c r="A15" s="40" t="s">
        <v>144</v>
      </c>
      <c r="B15" s="40" t="s">
        <v>55</v>
      </c>
      <c r="C15" s="33">
        <v>0.64561258922420417</v>
      </c>
      <c r="D15" s="33">
        <v>0.58850104656010671</v>
      </c>
      <c r="E15" s="33">
        <v>0.52628545296698648</v>
      </c>
      <c r="F15" s="33">
        <v>0.51174630304394497</v>
      </c>
      <c r="G15" s="33">
        <v>0.43772453174430109</v>
      </c>
      <c r="H15" s="33">
        <v>0.37090680780781604</v>
      </c>
      <c r="I15" s="33">
        <v>0.29686285093476728</v>
      </c>
      <c r="J15" s="33">
        <v>0.28292017382297224</v>
      </c>
      <c r="K15" s="33">
        <v>0.20677574032373469</v>
      </c>
      <c r="L15" s="33">
        <v>0.19194958024313211</v>
      </c>
      <c r="M15" s="33">
        <v>0.1387115240787119</v>
      </c>
      <c r="N15" s="33">
        <v>0.13424363356498023</v>
      </c>
      <c r="O15" s="33">
        <v>0.12684953389317855</v>
      </c>
      <c r="P15" s="33">
        <v>0.12117177684615808</v>
      </c>
      <c r="Q15" s="33">
        <v>9.5398744886351861E-2</v>
      </c>
      <c r="R15" s="33">
        <v>4.557087576363722E-2</v>
      </c>
    </row>
    <row r="16" spans="1:18">
      <c r="A16" s="39" t="s">
        <v>59</v>
      </c>
      <c r="B16" s="39" t="s">
        <v>60</v>
      </c>
      <c r="C16" s="108">
        <v>0.61289308036084922</v>
      </c>
      <c r="D16" s="108">
        <v>0.73499880313173793</v>
      </c>
      <c r="E16" s="108">
        <v>0.41595550778132195</v>
      </c>
      <c r="F16" s="108">
        <v>0.42470237927426213</v>
      </c>
      <c r="G16" s="108">
        <v>0.58190902782231924</v>
      </c>
      <c r="H16" s="108">
        <v>0.31949222025460067</v>
      </c>
      <c r="I16" s="108">
        <v>0.38806423064084544</v>
      </c>
      <c r="J16" s="108">
        <v>0.54919380381854854</v>
      </c>
      <c r="K16" s="108">
        <v>0.14199251644213903</v>
      </c>
      <c r="L16" s="108">
        <v>0.37906237535306919</v>
      </c>
      <c r="M16" s="108">
        <v>0.32175306277511617</v>
      </c>
      <c r="N16" s="108">
        <v>0.3429061214470373</v>
      </c>
      <c r="O16" s="108">
        <v>0.21581072258449233</v>
      </c>
      <c r="P16" s="108">
        <v>6.3840999699658826E-2</v>
      </c>
      <c r="Q16" s="108">
        <v>9.3324188852507955E-2</v>
      </c>
      <c r="R16" s="108">
        <v>8.9092470158247034E-2</v>
      </c>
    </row>
    <row r="17" spans="1:18">
      <c r="A17" s="39"/>
      <c r="B17" s="39" t="s">
        <v>61</v>
      </c>
      <c r="C17" s="108">
        <v>0.58199850750361226</v>
      </c>
      <c r="D17" s="108">
        <v>0.65649164665817716</v>
      </c>
      <c r="E17" s="108">
        <v>0.50050478319864222</v>
      </c>
      <c r="F17" s="108">
        <v>0.46126703503621957</v>
      </c>
      <c r="G17" s="108">
        <v>0.52227356457565011</v>
      </c>
      <c r="H17" s="108">
        <v>0.36193843273436904</v>
      </c>
      <c r="I17" s="108">
        <v>0.36197361588399701</v>
      </c>
      <c r="J17" s="108">
        <v>0.46717147624960526</v>
      </c>
      <c r="K17" s="108">
        <v>0.17126715719100016</v>
      </c>
      <c r="L17" s="108">
        <v>0.30317530424046507</v>
      </c>
      <c r="M17" s="108">
        <v>0.26367505673627917</v>
      </c>
      <c r="N17" s="108">
        <v>0.23574138121175606</v>
      </c>
      <c r="O17" s="108">
        <v>0.16463180858226414</v>
      </c>
      <c r="P17" s="108">
        <v>0.10574579828159131</v>
      </c>
      <c r="Q17" s="108">
        <v>9.4109619388786883E-2</v>
      </c>
      <c r="R17" s="108">
        <v>8.5447678112403253E-2</v>
      </c>
    </row>
    <row r="18" spans="1:18">
      <c r="A18" s="39"/>
      <c r="B18" s="39" t="s">
        <v>62</v>
      </c>
      <c r="C18" s="108">
        <v>0.60251010394560789</v>
      </c>
      <c r="D18" s="108">
        <v>0.62333411464663147</v>
      </c>
      <c r="E18" s="108">
        <v>0.54362121026215149</v>
      </c>
      <c r="F18" s="108">
        <v>0.49698076953045511</v>
      </c>
      <c r="G18" s="108">
        <v>0.48045643742809668</v>
      </c>
      <c r="H18" s="108">
        <v>0.42202166118598411</v>
      </c>
      <c r="I18" s="108">
        <v>0.32212076576604415</v>
      </c>
      <c r="J18" s="108">
        <v>0.39838289978585195</v>
      </c>
      <c r="K18" s="108">
        <v>0.1949750198740271</v>
      </c>
      <c r="L18" s="108">
        <v>0.26449455187828763</v>
      </c>
      <c r="M18" s="108">
        <v>0.2060940875344674</v>
      </c>
      <c r="N18" s="108">
        <v>0.16019735590139356</v>
      </c>
      <c r="O18" s="108">
        <v>0.13749604129699919</v>
      </c>
      <c r="P18" s="108">
        <v>0.12225458482680668</v>
      </c>
      <c r="Q18" s="108">
        <v>0.11343044856905765</v>
      </c>
      <c r="R18" s="108">
        <v>7.1432628235052628E-2</v>
      </c>
    </row>
    <row r="19" spans="1:18">
      <c r="A19" s="39"/>
      <c r="B19" s="39" t="s">
        <v>63</v>
      </c>
      <c r="C19" s="108">
        <v>0.60101562823902233</v>
      </c>
      <c r="D19" s="108">
        <v>0.59236311273442099</v>
      </c>
      <c r="E19" s="108">
        <v>0.5428944545854929</v>
      </c>
      <c r="F19" s="108">
        <v>0.4959705414236692</v>
      </c>
      <c r="G19" s="108">
        <v>0.41849150561996945</v>
      </c>
      <c r="H19" s="108">
        <v>0.3910901523067889</v>
      </c>
      <c r="I19" s="108">
        <v>0.26671326895245251</v>
      </c>
      <c r="J19" s="108">
        <v>0.29872732481434205</v>
      </c>
      <c r="K19" s="108">
        <v>0.20068645995316906</v>
      </c>
      <c r="L19" s="108">
        <v>0.19854846304611012</v>
      </c>
      <c r="M19" s="108">
        <v>0.13407693120622799</v>
      </c>
      <c r="N19" s="108">
        <v>0.11356965538715243</v>
      </c>
      <c r="O19" s="108">
        <v>0.13929428929138271</v>
      </c>
      <c r="P19" s="108">
        <v>0.10075660479249929</v>
      </c>
      <c r="Q19" s="108">
        <v>0.14197393220373605</v>
      </c>
      <c r="R19" s="108">
        <v>4.925205409072949E-2</v>
      </c>
    </row>
    <row r="20" spans="1:18">
      <c r="A20" s="39"/>
      <c r="B20" s="39" t="s">
        <v>64</v>
      </c>
      <c r="C20" s="108">
        <v>0.65148543576132345</v>
      </c>
      <c r="D20" s="108">
        <v>0.57900351497931823</v>
      </c>
      <c r="E20" s="108">
        <v>0.58566293880725162</v>
      </c>
      <c r="F20" s="108">
        <v>0.53642817229951711</v>
      </c>
      <c r="G20" s="108">
        <v>0.39297285058104869</v>
      </c>
      <c r="H20" s="108">
        <v>0.39806312237801039</v>
      </c>
      <c r="I20" s="108">
        <v>0.26463635810250563</v>
      </c>
      <c r="J20" s="108">
        <v>0.21103975105733791</v>
      </c>
      <c r="K20" s="108">
        <v>0.24601255231304794</v>
      </c>
      <c r="L20" s="108">
        <v>0.16839390691242698</v>
      </c>
      <c r="M20" s="108">
        <v>8.5050446460242568E-2</v>
      </c>
      <c r="N20" s="108">
        <v>9.6531606362972533E-2</v>
      </c>
      <c r="O20" s="108">
        <v>0.13141079406420109</v>
      </c>
      <c r="P20" s="108">
        <v>0.10841116161442506</v>
      </c>
      <c r="Q20" s="108">
        <v>0.111795492840971</v>
      </c>
      <c r="R20" s="108">
        <v>3.2661642944600416E-2</v>
      </c>
    </row>
    <row r="21" spans="1:18">
      <c r="A21" s="39"/>
      <c r="B21" s="39" t="s">
        <v>65</v>
      </c>
      <c r="C21" s="108">
        <v>0.69899940978538422</v>
      </c>
      <c r="D21" s="108">
        <v>0.56231908444451062</v>
      </c>
      <c r="E21" s="108">
        <v>0.57435702469132743</v>
      </c>
      <c r="F21" s="108">
        <v>0.57363641521985909</v>
      </c>
      <c r="G21" s="108">
        <v>0.3876869673027577</v>
      </c>
      <c r="H21" s="108">
        <v>0.38379989562674222</v>
      </c>
      <c r="I21" s="108">
        <v>0.27493042080928476</v>
      </c>
      <c r="J21" s="108">
        <v>0.16505367195705709</v>
      </c>
      <c r="K21" s="108">
        <v>0.26497437097515814</v>
      </c>
      <c r="L21" s="108">
        <v>0.12743467108631812</v>
      </c>
      <c r="M21" s="108">
        <v>6.5996033877441213E-2</v>
      </c>
      <c r="N21" s="108">
        <v>8.0569860260655199E-2</v>
      </c>
      <c r="O21" s="108">
        <v>0.11382255173168965</v>
      </c>
      <c r="P21" s="108">
        <v>0.13762347648635934</v>
      </c>
      <c r="Q21" s="108">
        <v>5.9866303427720348E-2</v>
      </c>
      <c r="R21" s="108">
        <v>2.4647419409047237E-2</v>
      </c>
    </row>
    <row r="22" spans="1:18">
      <c r="A22" s="39"/>
      <c r="B22" s="39" t="s">
        <v>66</v>
      </c>
      <c r="C22" s="108">
        <v>0.73445562280085475</v>
      </c>
      <c r="D22" s="108">
        <v>0.4995817954833775</v>
      </c>
      <c r="E22" s="108">
        <v>0.44726665512120234</v>
      </c>
      <c r="F22" s="108">
        <v>0.52586334653927835</v>
      </c>
      <c r="G22" s="108">
        <v>0.40182955387188274</v>
      </c>
      <c r="H22" s="108">
        <v>0.28331312376334594</v>
      </c>
      <c r="I22" s="108">
        <v>0.28218142794939061</v>
      </c>
      <c r="J22" s="108">
        <v>0.12213508768828395</v>
      </c>
      <c r="K22" s="108">
        <v>0.18425120500181033</v>
      </c>
      <c r="L22" s="108">
        <v>6.6360759129813263E-2</v>
      </c>
      <c r="M22" s="108">
        <v>5.3918044145121628E-2</v>
      </c>
      <c r="N22" s="108">
        <v>8.7842101763099548E-2</v>
      </c>
      <c r="O22" s="108">
        <v>6.5072203019868796E-2</v>
      </c>
      <c r="P22" s="108">
        <v>0.16149827779706066</v>
      </c>
      <c r="Q22" s="108">
        <v>4.6146811365032417E-2</v>
      </c>
      <c r="R22" s="108">
        <v>7.2652292279711097E-3</v>
      </c>
    </row>
    <row r="23" spans="1:18">
      <c r="A23" s="39"/>
      <c r="B23" s="39"/>
    </row>
    <row r="24" spans="1:18">
      <c r="A24" s="40" t="s">
        <v>56</v>
      </c>
      <c r="B24" s="40" t="s">
        <v>55</v>
      </c>
      <c r="C24" s="117">
        <v>0.62219732510734382</v>
      </c>
      <c r="D24" s="117">
        <v>0.60433256947496738</v>
      </c>
      <c r="E24" s="117">
        <v>0.49410436602276531</v>
      </c>
      <c r="F24" s="117">
        <v>0.48426037971113084</v>
      </c>
      <c r="G24" s="117">
        <v>0.42989913213316122</v>
      </c>
      <c r="H24" s="117">
        <v>0.32820530030674061</v>
      </c>
      <c r="I24" s="117">
        <v>0.29423833477261407</v>
      </c>
      <c r="J24" s="117">
        <v>0.31745858052923703</v>
      </c>
      <c r="K24" s="117">
        <v>0.16898665008215422</v>
      </c>
      <c r="L24" s="117">
        <v>0.23450837271695416</v>
      </c>
      <c r="M24" s="117">
        <v>0.13464676098799983</v>
      </c>
      <c r="N24" s="117">
        <v>0.17819015948710709</v>
      </c>
      <c r="O24" s="117">
        <v>0.12354691093513689</v>
      </c>
      <c r="P24" s="117">
        <v>0.11262088246603545</v>
      </c>
      <c r="Q24" s="117">
        <v>9.8959191407065161E-2</v>
      </c>
      <c r="R24" s="117">
        <v>5.4546149687452583E-2</v>
      </c>
    </row>
    <row r="25" spans="1:18">
      <c r="A25" s="39" t="s">
        <v>59</v>
      </c>
      <c r="B25" s="39" t="s">
        <v>60</v>
      </c>
      <c r="C25" s="10">
        <v>0.61201520465124326</v>
      </c>
      <c r="D25" s="10">
        <v>0.72585272555735092</v>
      </c>
      <c r="E25" s="10">
        <v>0.34174046592498869</v>
      </c>
      <c r="F25" s="10">
        <v>0.39574793719748802</v>
      </c>
      <c r="G25" s="10">
        <v>0.54960777068498312</v>
      </c>
      <c r="H25" s="10">
        <v>0.26429393479996183</v>
      </c>
      <c r="I25" s="10">
        <v>0.36793117654826157</v>
      </c>
      <c r="J25" s="10">
        <v>0.55375396781538666</v>
      </c>
      <c r="K25" s="10">
        <v>0.12640888824426125</v>
      </c>
      <c r="L25" s="10">
        <v>0.40224608541225826</v>
      </c>
      <c r="M25" s="10">
        <v>0.30031939022048665</v>
      </c>
      <c r="N25" s="10">
        <v>0.36396436259129228</v>
      </c>
      <c r="O25" s="10">
        <v>0.21060306853552321</v>
      </c>
      <c r="P25" s="10">
        <v>5.0048332499897631E-2</v>
      </c>
      <c r="Q25" s="10">
        <v>9.2490972585797152E-2</v>
      </c>
      <c r="R25" s="10">
        <v>9.852842552702451E-2</v>
      </c>
    </row>
    <row r="26" spans="1:18">
      <c r="A26" s="39"/>
      <c r="B26" s="39" t="s">
        <v>61</v>
      </c>
      <c r="C26" s="10">
        <v>0.53431055250612713</v>
      </c>
      <c r="D26" s="10">
        <v>0.64197875401186044</v>
      </c>
      <c r="E26" s="10">
        <v>0.43119346371671641</v>
      </c>
      <c r="F26" s="10">
        <v>0.41273305589985393</v>
      </c>
      <c r="G26" s="10">
        <v>0.50088688925408464</v>
      </c>
      <c r="H26" s="10">
        <v>0.29359848204649897</v>
      </c>
      <c r="I26" s="10">
        <v>0.33810567257269569</v>
      </c>
      <c r="J26" s="10">
        <v>0.49665247416536318</v>
      </c>
      <c r="K26" s="10">
        <v>0.10667550199908842</v>
      </c>
      <c r="L26" s="10">
        <v>0.34769410937203432</v>
      </c>
      <c r="M26" s="10">
        <v>0.25898327766607776</v>
      </c>
      <c r="N26" s="10">
        <v>0.29249906408749193</v>
      </c>
      <c r="O26" s="10">
        <v>0.15856159300868419</v>
      </c>
      <c r="P26" s="10">
        <v>0.11453667495453822</v>
      </c>
      <c r="Q26" s="10">
        <v>0.10570847243606407</v>
      </c>
      <c r="R26" s="10">
        <v>9.7164060324143098E-2</v>
      </c>
    </row>
    <row r="27" spans="1:18">
      <c r="A27" s="39"/>
      <c r="B27" s="39" t="s">
        <v>62</v>
      </c>
      <c r="C27" s="10">
        <v>0.5561576858974463</v>
      </c>
      <c r="D27" s="10">
        <v>0.62103829931896615</v>
      </c>
      <c r="E27" s="10">
        <v>0.47370640150158566</v>
      </c>
      <c r="F27" s="10">
        <v>0.44658126161294515</v>
      </c>
      <c r="G27" s="10">
        <v>0.47311278685796926</v>
      </c>
      <c r="H27" s="10">
        <v>0.36151465527376653</v>
      </c>
      <c r="I27" s="10">
        <v>0.32266968219932202</v>
      </c>
      <c r="J27" s="10">
        <v>0.43740484672381696</v>
      </c>
      <c r="K27" s="10">
        <v>0.14882818902448131</v>
      </c>
      <c r="L27" s="10">
        <v>0.30492909300275561</v>
      </c>
      <c r="M27" s="10">
        <v>0.21142027767992669</v>
      </c>
      <c r="N27" s="10">
        <v>0.2068146545305545</v>
      </c>
      <c r="O27" s="10">
        <v>0.13454463243556555</v>
      </c>
      <c r="P27" s="10">
        <v>0.12477193557107609</v>
      </c>
      <c r="Q27" s="10">
        <v>0.11622174300127033</v>
      </c>
      <c r="R27" s="10">
        <v>9.0679829383923147E-2</v>
      </c>
    </row>
    <row r="28" spans="1:18">
      <c r="A28" s="39"/>
      <c r="B28" s="39" t="s">
        <v>63</v>
      </c>
      <c r="C28" s="10">
        <v>0.57092091716930327</v>
      </c>
      <c r="D28" s="10">
        <v>0.59990897166296275</v>
      </c>
      <c r="E28" s="10">
        <v>0.49392898691206227</v>
      </c>
      <c r="F28" s="10">
        <v>0.44872344685942578</v>
      </c>
      <c r="G28" s="10">
        <v>0.41238158281484477</v>
      </c>
      <c r="H28" s="10">
        <v>0.33050834059013828</v>
      </c>
      <c r="I28" s="10">
        <v>0.27132048644983497</v>
      </c>
      <c r="J28" s="10">
        <v>0.34340808196157102</v>
      </c>
      <c r="K28" s="10">
        <v>0.15055239407241897</v>
      </c>
      <c r="L28" s="10">
        <v>0.24240850355937102</v>
      </c>
      <c r="M28" s="10">
        <v>0.12643391428130227</v>
      </c>
      <c r="N28" s="10">
        <v>0.14742054198599439</v>
      </c>
      <c r="O28" s="10">
        <v>0.12697696236605469</v>
      </c>
      <c r="P28" s="10">
        <v>9.1552181541709965E-2</v>
      </c>
      <c r="Q28" s="10">
        <v>0.13830559354130662</v>
      </c>
      <c r="R28" s="10">
        <v>5.7675840094161462E-2</v>
      </c>
    </row>
    <row r="29" spans="1:18">
      <c r="A29" s="39"/>
      <c r="B29" s="39" t="s">
        <v>64</v>
      </c>
      <c r="C29" s="10">
        <v>0.63725034305884398</v>
      </c>
      <c r="D29" s="10">
        <v>0.60546541702197809</v>
      </c>
      <c r="E29" s="10">
        <v>0.57080959853169788</v>
      </c>
      <c r="F29" s="10">
        <v>0.5148839963891908</v>
      </c>
      <c r="G29" s="10">
        <v>0.39576033886056761</v>
      </c>
      <c r="H29" s="10">
        <v>0.37149437827856152</v>
      </c>
      <c r="I29" s="10">
        <v>0.26866950891039815</v>
      </c>
      <c r="J29" s="10">
        <v>0.24564698476993269</v>
      </c>
      <c r="K29" s="10">
        <v>0.19882730546838909</v>
      </c>
      <c r="L29" s="10">
        <v>0.22955141213160568</v>
      </c>
      <c r="M29" s="10">
        <v>8.1793116771149824E-2</v>
      </c>
      <c r="N29" s="10">
        <v>0.13861883169835063</v>
      </c>
      <c r="O29" s="10">
        <v>0.13806989606044726</v>
      </c>
      <c r="P29" s="10">
        <v>9.3588514382891022E-2</v>
      </c>
      <c r="Q29" s="10">
        <v>0.11678335288127248</v>
      </c>
      <c r="R29" s="10">
        <v>3.9839255060855311E-2</v>
      </c>
    </row>
    <row r="30" spans="1:18">
      <c r="A30" s="39"/>
      <c r="B30" s="39" t="s">
        <v>65</v>
      </c>
      <c r="C30" s="10">
        <v>0.69376890876479791</v>
      </c>
      <c r="D30" s="10">
        <v>0.59037888380820402</v>
      </c>
      <c r="E30" s="10">
        <v>0.57188027190665613</v>
      </c>
      <c r="F30" s="10">
        <v>0.56374747239340572</v>
      </c>
      <c r="G30" s="10">
        <v>0.38913006681703549</v>
      </c>
      <c r="H30" s="10">
        <v>0.35640798116895017</v>
      </c>
      <c r="I30" s="10">
        <v>0.26984216229405167</v>
      </c>
      <c r="J30" s="10">
        <v>0.1921055641711811</v>
      </c>
      <c r="K30" s="10">
        <v>0.24481051756090819</v>
      </c>
      <c r="L30" s="10">
        <v>0.16847585058262857</v>
      </c>
      <c r="M30" s="10">
        <v>5.8491111171822659E-2</v>
      </c>
      <c r="N30" s="10">
        <v>0.11431927278773021</v>
      </c>
      <c r="O30" s="10">
        <v>0.11368305896387702</v>
      </c>
      <c r="P30" s="10">
        <v>0.12572337718714741</v>
      </c>
      <c r="Q30" s="10">
        <v>6.8743378382209203E-2</v>
      </c>
      <c r="R30" s="10">
        <v>2.6209991598055832E-2</v>
      </c>
    </row>
    <row r="31" spans="1:18">
      <c r="A31" s="39"/>
      <c r="B31" s="39" t="s">
        <v>66</v>
      </c>
      <c r="C31" s="10">
        <v>0.7345017449535538</v>
      </c>
      <c r="D31" s="10">
        <v>0.54513523301714872</v>
      </c>
      <c r="E31" s="10">
        <v>0.46745493113282682</v>
      </c>
      <c r="F31" s="10">
        <v>0.5398672777319159</v>
      </c>
      <c r="G31" s="10">
        <v>0.3862274542955263</v>
      </c>
      <c r="H31" s="10">
        <v>0.26868099359105968</v>
      </c>
      <c r="I31" s="10">
        <v>0.28085867811295984</v>
      </c>
      <c r="J31" s="10">
        <v>0.14738490359472742</v>
      </c>
      <c r="K31" s="10">
        <v>0.1744196699588603</v>
      </c>
      <c r="L31" s="10">
        <v>9.0733137647979023E-2</v>
      </c>
      <c r="M31" s="10">
        <v>4.3473367456513548E-2</v>
      </c>
      <c r="N31" s="10">
        <v>0.14138501035733375</v>
      </c>
      <c r="O31" s="10">
        <v>5.8214951098793252E-2</v>
      </c>
      <c r="P31" s="10">
        <v>0.14179614160590784</v>
      </c>
      <c r="Q31" s="10">
        <v>4.6540618666226705E-2</v>
      </c>
      <c r="R31" s="10">
        <v>8.8445295900114376E-3</v>
      </c>
    </row>
    <row r="32" spans="1:18">
      <c r="A32" s="39"/>
      <c r="B32" s="39"/>
    </row>
    <row r="33" spans="1:18">
      <c r="A33" s="40" t="s">
        <v>57</v>
      </c>
      <c r="B33" s="40" t="s">
        <v>55</v>
      </c>
      <c r="C33" s="117">
        <v>0.66919848058083253</v>
      </c>
      <c r="D33" s="117">
        <v>0.57251145903154799</v>
      </c>
      <c r="E33" s="117">
        <v>0.55891728081496217</v>
      </c>
      <c r="F33" s="117">
        <v>0.53845438655948419</v>
      </c>
      <c r="G33" s="117">
        <v>0.44533361828030077</v>
      </c>
      <c r="H33" s="117">
        <v>0.41181092286690912</v>
      </c>
      <c r="I33" s="117">
        <v>0.29777138769511441</v>
      </c>
      <c r="J33" s="117">
        <v>0.24711759689651311</v>
      </c>
      <c r="K33" s="117">
        <v>0.24446332690030539</v>
      </c>
      <c r="L33" s="117">
        <v>0.14897896751841844</v>
      </c>
      <c r="M33" s="117">
        <v>0.14207342319840988</v>
      </c>
      <c r="N33" s="117">
        <v>9.0324587991941901E-2</v>
      </c>
      <c r="O33" s="117">
        <v>0.12874953349522097</v>
      </c>
      <c r="P33" s="117">
        <v>0.12879602472835605</v>
      </c>
      <c r="Q33" s="117">
        <v>9.1223693582520055E-2</v>
      </c>
      <c r="R33" s="117">
        <v>3.6001417566029148E-2</v>
      </c>
    </row>
    <row r="34" spans="1:18">
      <c r="A34" s="39" t="s">
        <v>59</v>
      </c>
      <c r="B34" s="39" t="s">
        <v>60</v>
      </c>
      <c r="C34" s="10">
        <v>0.61451486660072085</v>
      </c>
      <c r="D34" s="10">
        <v>0.74052026775646052</v>
      </c>
      <c r="E34" s="10">
        <v>0.4980335793044629</v>
      </c>
      <c r="F34" s="10">
        <v>0.44056625583397258</v>
      </c>
      <c r="G34" s="10">
        <v>0.61616112719982075</v>
      </c>
      <c r="H34" s="10">
        <v>0.36513822687888614</v>
      </c>
      <c r="I34" s="10">
        <v>0.40613433069990135</v>
      </c>
      <c r="J34" s="10">
        <v>0.54222651376683839</v>
      </c>
      <c r="K34" s="10">
        <v>0.15888350351966116</v>
      </c>
      <c r="L34" s="10">
        <v>0.35719211633695203</v>
      </c>
      <c r="M34" s="10">
        <v>0.34227432290817705</v>
      </c>
      <c r="N34" s="10">
        <v>0.3192706172728153</v>
      </c>
      <c r="O34" s="10">
        <v>0.21166014746468917</v>
      </c>
      <c r="P34" s="10">
        <v>7.1066528016100583E-2</v>
      </c>
      <c r="Q34" s="10">
        <v>8.3141971123673442E-2</v>
      </c>
      <c r="R34" s="10">
        <v>7.4655642856946883E-2</v>
      </c>
    </row>
    <row r="35" spans="1:18">
      <c r="A35" s="39"/>
      <c r="B35" s="39" t="s">
        <v>61</v>
      </c>
      <c r="C35" s="10">
        <v>0.62918224215644469</v>
      </c>
      <c r="D35" s="10">
        <v>0.67236581393813732</v>
      </c>
      <c r="E35" s="10">
        <v>0.57493826330993392</v>
      </c>
      <c r="F35" s="10">
        <v>0.51095544368651169</v>
      </c>
      <c r="G35" s="10">
        <v>0.54430049929783286</v>
      </c>
      <c r="H35" s="10">
        <v>0.4302540526796097</v>
      </c>
      <c r="I35" s="10">
        <v>0.38227429506744315</v>
      </c>
      <c r="J35" s="10">
        <v>0.43480208716916552</v>
      </c>
      <c r="K35" s="10">
        <v>0.24117292947782537</v>
      </c>
      <c r="L35" s="10">
        <v>0.2578676692411484</v>
      </c>
      <c r="M35" s="10">
        <v>0.27157592389672658</v>
      </c>
      <c r="N35" s="10">
        <v>0.17883048273652444</v>
      </c>
      <c r="O35" s="10">
        <v>0.16790741812909551</v>
      </c>
      <c r="P35" s="10">
        <v>9.6002142223449563E-2</v>
      </c>
      <c r="Q35" s="10">
        <v>8.0839572762214762E-2</v>
      </c>
      <c r="R35" s="10">
        <v>7.3406664845869135E-2</v>
      </c>
    </row>
    <row r="36" spans="1:18">
      <c r="A36" s="39"/>
      <c r="B36" s="39" t="s">
        <v>62</v>
      </c>
      <c r="C36" s="10">
        <v>0.64890266679290964</v>
      </c>
      <c r="D36" s="10">
        <v>0.62708553769170372</v>
      </c>
      <c r="E36" s="10">
        <v>0.61583545948388663</v>
      </c>
      <c r="F36" s="10">
        <v>0.54702126695411002</v>
      </c>
      <c r="G36" s="10">
        <v>0.4887986873664068</v>
      </c>
      <c r="H36" s="10">
        <v>0.48147067662192683</v>
      </c>
      <c r="I36" s="10">
        <v>0.31913357680669507</v>
      </c>
      <c r="J36" s="10">
        <v>0.35887608859540754</v>
      </c>
      <c r="K36" s="10">
        <v>0.24042316955016022</v>
      </c>
      <c r="L36" s="10">
        <v>0.22321323266602605</v>
      </c>
      <c r="M36" s="10">
        <v>0.19983681060670769</v>
      </c>
      <c r="N36" s="10">
        <v>0.11382305318476114</v>
      </c>
      <c r="O36" s="10">
        <v>0.13950030396173527</v>
      </c>
      <c r="P36" s="10">
        <v>0.11758400893327541</v>
      </c>
      <c r="Q36" s="10">
        <v>0.11036916556671267</v>
      </c>
      <c r="R36" s="10">
        <v>5.1386963167009088E-2</v>
      </c>
    </row>
    <row r="37" spans="1:18">
      <c r="A37" s="39"/>
      <c r="B37" s="39" t="s">
        <v>63</v>
      </c>
      <c r="C37" s="10">
        <v>0.63171881889209214</v>
      </c>
      <c r="D37" s="10">
        <v>0.58523051166161733</v>
      </c>
      <c r="E37" s="10">
        <v>0.59316729156751646</v>
      </c>
      <c r="F37" s="10">
        <v>0.54217737358702633</v>
      </c>
      <c r="G37" s="10">
        <v>0.42520130263949979</v>
      </c>
      <c r="H37" s="10">
        <v>0.45116036428308953</v>
      </c>
      <c r="I37" s="10">
        <v>0.26173954888758155</v>
      </c>
      <c r="J37" s="10">
        <v>0.25379478606625605</v>
      </c>
      <c r="K37" s="10">
        <v>0.25092351108663824</v>
      </c>
      <c r="L37" s="10">
        <v>0.15455440406409249</v>
      </c>
      <c r="M37" s="10">
        <v>0.14147926602169469</v>
      </c>
      <c r="N37" s="10">
        <v>7.9901358465691033E-2</v>
      </c>
      <c r="O37" s="10">
        <v>0.1517830337653244</v>
      </c>
      <c r="P37" s="10">
        <v>0.10891366744648305</v>
      </c>
      <c r="Q37" s="10">
        <v>0.14582641648535427</v>
      </c>
      <c r="R37" s="10">
        <v>4.0606498545959047E-2</v>
      </c>
    </row>
    <row r="38" spans="1:18">
      <c r="A38" s="39"/>
      <c r="B38" s="39" t="s">
        <v>64</v>
      </c>
      <c r="C38" s="10">
        <v>0.66729954113350032</v>
      </c>
      <c r="D38" s="10">
        <v>0.55382232752659388</v>
      </c>
      <c r="E38" s="10">
        <v>0.59913813745851563</v>
      </c>
      <c r="F38" s="10">
        <v>0.55874773500328978</v>
      </c>
      <c r="G38" s="10">
        <v>0.39053013991725782</v>
      </c>
      <c r="H38" s="10">
        <v>0.42480285245969884</v>
      </c>
      <c r="I38" s="10">
        <v>0.25988998110141648</v>
      </c>
      <c r="J38" s="10">
        <v>0.17622987849930519</v>
      </c>
      <c r="K38" s="10">
        <v>0.29299650949259964</v>
      </c>
      <c r="L38" s="10">
        <v>0.1073334246127183</v>
      </c>
      <c r="M38" s="10">
        <v>8.8678877949741955E-2</v>
      </c>
      <c r="N38" s="10">
        <v>5.4627711319367299E-2</v>
      </c>
      <c r="O38" s="10">
        <v>0.12441024731810821</v>
      </c>
      <c r="P38" s="10">
        <v>0.12309206175698804</v>
      </c>
      <c r="Q38" s="10">
        <v>0.10716395337240139</v>
      </c>
      <c r="R38" s="10">
        <v>2.5496307878361775E-2</v>
      </c>
    </row>
    <row r="39" spans="1:18">
      <c r="A39" s="39"/>
      <c r="B39" s="39" t="s">
        <v>65</v>
      </c>
      <c r="C39" s="10">
        <v>0.70402182920042977</v>
      </c>
      <c r="D39" s="10">
        <v>0.53402140785574392</v>
      </c>
      <c r="E39" s="10">
        <v>0.57683293601538865</v>
      </c>
      <c r="F39" s="10">
        <v>0.58319734467997641</v>
      </c>
      <c r="G39" s="10">
        <v>0.38668788338348703</v>
      </c>
      <c r="H39" s="10">
        <v>0.40944806707454867</v>
      </c>
      <c r="I39" s="10">
        <v>0.27964895797899547</v>
      </c>
      <c r="J39" s="10">
        <v>0.13868125015960694</v>
      </c>
      <c r="K39" s="10">
        <v>0.28411257012407087</v>
      </c>
      <c r="L39" s="10">
        <v>8.7075294478124871E-2</v>
      </c>
      <c r="M39" s="10">
        <v>7.3352922415537411E-2</v>
      </c>
      <c r="N39" s="10">
        <v>4.686992855526495E-2</v>
      </c>
      <c r="O39" s="10">
        <v>0.11308514096941967</v>
      </c>
      <c r="P39" s="10">
        <v>0.14853806277215847</v>
      </c>
      <c r="Q39" s="10">
        <v>5.1006247604110426E-2</v>
      </c>
      <c r="R39" s="10">
        <v>2.2865710904495264E-2</v>
      </c>
    </row>
    <row r="40" spans="1:18">
      <c r="A40" s="132"/>
      <c r="B40" s="132" t="s">
        <v>66</v>
      </c>
      <c r="C40" s="140">
        <v>0.73455201916430546</v>
      </c>
      <c r="D40" s="140">
        <v>0.45733019338540376</v>
      </c>
      <c r="E40" s="140">
        <v>0.42872966023927495</v>
      </c>
      <c r="F40" s="140">
        <v>0.5136951757244701</v>
      </c>
      <c r="G40" s="140">
        <v>0.41653274491196685</v>
      </c>
      <c r="H40" s="140">
        <v>0.29731294346468817</v>
      </c>
      <c r="I40" s="140">
        <v>0.28357768136896461</v>
      </c>
      <c r="J40" s="140">
        <v>9.867567430895878E-2</v>
      </c>
      <c r="K40" s="140">
        <v>0.19377936108988833</v>
      </c>
      <c r="L40" s="140">
        <v>4.3396856820199094E-2</v>
      </c>
      <c r="M40" s="140">
        <v>6.3552752886471955E-2</v>
      </c>
      <c r="N40" s="140">
        <v>3.7972848263014267E-2</v>
      </c>
      <c r="O40" s="140">
        <v>7.1389573179379689E-2</v>
      </c>
      <c r="P40" s="140">
        <v>0.1797293552814907</v>
      </c>
      <c r="Q40" s="140">
        <v>4.5676465079864226E-2</v>
      </c>
      <c r="R40" s="140">
        <v>5.3613347589186741E-3</v>
      </c>
    </row>
    <row r="41" spans="1:18">
      <c r="A41" s="72"/>
      <c r="B41" s="72"/>
      <c r="C41" s="156" t="s">
        <v>218</v>
      </c>
      <c r="D41" s="156"/>
      <c r="E41" s="156"/>
      <c r="F41" s="156"/>
      <c r="G41" s="156"/>
      <c r="H41" s="156"/>
      <c r="I41" s="156"/>
      <c r="J41" s="156"/>
      <c r="K41" s="156"/>
      <c r="L41" s="156"/>
      <c r="M41" s="156"/>
      <c r="N41" s="156"/>
      <c r="O41" s="156"/>
      <c r="P41" s="156"/>
      <c r="Q41" s="156"/>
      <c r="R41" s="156"/>
    </row>
    <row r="42" spans="1:18" ht="17.25">
      <c r="A42" s="40" t="s">
        <v>181</v>
      </c>
      <c r="B42" s="40" t="s">
        <v>55</v>
      </c>
      <c r="C42" s="51">
        <v>11896878.862311153</v>
      </c>
      <c r="D42" s="51">
        <v>10844468.924749468</v>
      </c>
      <c r="E42" s="51">
        <v>9698005.2518313862</v>
      </c>
      <c r="F42" s="51">
        <v>9430088.3798830658</v>
      </c>
      <c r="G42" s="51">
        <v>8066069.0577323558</v>
      </c>
      <c r="H42" s="51">
        <v>6834800.676669769</v>
      </c>
      <c r="I42" s="51">
        <v>5470372.5349209066</v>
      </c>
      <c r="J42" s="51">
        <v>5213447.0297744442</v>
      </c>
      <c r="K42" s="51">
        <v>3810312.8336642319</v>
      </c>
      <c r="L42" s="51">
        <v>3537107.1474428494</v>
      </c>
      <c r="M42" s="51">
        <v>2556074.9996433379</v>
      </c>
      <c r="N42" s="51">
        <v>2473743.9653681125</v>
      </c>
      <c r="O42" s="51">
        <v>2337490.8786726012</v>
      </c>
      <c r="P42" s="51">
        <v>2232865.3045659931</v>
      </c>
      <c r="Q42" s="51">
        <v>1757938.6314217558</v>
      </c>
      <c r="R42" s="51">
        <v>839746.92820178031</v>
      </c>
    </row>
    <row r="43" spans="1:18">
      <c r="A43" s="39" t="s">
        <v>59</v>
      </c>
      <c r="B43" s="39" t="s">
        <v>60</v>
      </c>
      <c r="C43" s="110">
        <v>500724.47449288634</v>
      </c>
      <c r="D43" s="110">
        <v>600483.02264133259</v>
      </c>
      <c r="E43" s="110">
        <v>339829.42493590713</v>
      </c>
      <c r="F43" s="110">
        <v>346975.48804561078</v>
      </c>
      <c r="G43" s="110">
        <v>475410.96725622268</v>
      </c>
      <c r="H43" s="110">
        <v>261020.36263382417</v>
      </c>
      <c r="I43" s="110">
        <v>317042.66891497449</v>
      </c>
      <c r="J43" s="110">
        <v>448683.11884005129</v>
      </c>
      <c r="K43" s="110">
        <v>116005.76096495004</v>
      </c>
      <c r="L43" s="110">
        <v>309688.28786081256</v>
      </c>
      <c r="M43" s="110">
        <v>262867.43713877664</v>
      </c>
      <c r="N43" s="110">
        <v>280149.16951072443</v>
      </c>
      <c r="O43" s="110">
        <v>176314.1306676642</v>
      </c>
      <c r="P43" s="110">
        <v>52157.141351459395</v>
      </c>
      <c r="Q43" s="110">
        <v>76244.465662973656</v>
      </c>
      <c r="R43" s="110">
        <v>72787.214818930879</v>
      </c>
    </row>
    <row r="44" spans="1:18">
      <c r="A44" s="39"/>
      <c r="B44" s="39" t="s">
        <v>61</v>
      </c>
      <c r="C44" s="110">
        <v>1199389.2550442552</v>
      </c>
      <c r="D44" s="110">
        <v>1352905.57772305</v>
      </c>
      <c r="E44" s="110">
        <v>1031446.0455261219</v>
      </c>
      <c r="F44" s="110">
        <v>950584.44033059641</v>
      </c>
      <c r="G44" s="110">
        <v>1076307.4019426221</v>
      </c>
      <c r="H44" s="110">
        <v>745886.9079771064</v>
      </c>
      <c r="I44" s="110">
        <v>745959.41381875088</v>
      </c>
      <c r="J44" s="110">
        <v>962752.38106768043</v>
      </c>
      <c r="K44" s="110">
        <v>352949.33823449037</v>
      </c>
      <c r="L44" s="110">
        <v>624787.17318451183</v>
      </c>
      <c r="M44" s="110">
        <v>543384.60630969005</v>
      </c>
      <c r="N44" s="110">
        <v>485818.56473732786</v>
      </c>
      <c r="O44" s="110">
        <v>339275.1350841645</v>
      </c>
      <c r="P44" s="110">
        <v>217922.16404305928</v>
      </c>
      <c r="Q44" s="110">
        <v>193942.1920089974</v>
      </c>
      <c r="R44" s="110">
        <v>176091.56325175034</v>
      </c>
    </row>
    <row r="45" spans="1:18">
      <c r="A45" s="39"/>
      <c r="B45" s="39" t="s">
        <v>62</v>
      </c>
      <c r="C45" s="110">
        <v>2097473.6737028742</v>
      </c>
      <c r="D45" s="110">
        <v>2169966.7554624574</v>
      </c>
      <c r="E45" s="110">
        <v>1892468.1420683574</v>
      </c>
      <c r="F45" s="110">
        <v>1730102.2399465505</v>
      </c>
      <c r="G45" s="110">
        <v>1672577.309935835</v>
      </c>
      <c r="H45" s="110">
        <v>1469152.6636205027</v>
      </c>
      <c r="I45" s="110">
        <v>1121375.0964884758</v>
      </c>
      <c r="J45" s="110">
        <v>1386860.7993164363</v>
      </c>
      <c r="K45" s="110">
        <v>678752.05500684073</v>
      </c>
      <c r="L45" s="110">
        <v>920765.23824176355</v>
      </c>
      <c r="M45" s="110">
        <v>717460.03938945604</v>
      </c>
      <c r="N45" s="110">
        <v>557683.15651402972</v>
      </c>
      <c r="O45" s="110">
        <v>478654.75611153245</v>
      </c>
      <c r="P45" s="110">
        <v>425595.80575407401</v>
      </c>
      <c r="Q45" s="110">
        <v>394876.99560866534</v>
      </c>
      <c r="R45" s="110">
        <v>248673.10304883015</v>
      </c>
    </row>
    <row r="46" spans="1:18">
      <c r="A46" s="39"/>
      <c r="B46" s="39" t="s">
        <v>63</v>
      </c>
      <c r="C46" s="110">
        <v>1958422.3828062459</v>
      </c>
      <c r="D46" s="110">
        <v>1930227.9744820578</v>
      </c>
      <c r="E46" s="110">
        <v>1769033.2853354353</v>
      </c>
      <c r="F46" s="110">
        <v>1616130.7025952323</v>
      </c>
      <c r="G46" s="110">
        <v>1363663.5939431645</v>
      </c>
      <c r="H46" s="110">
        <v>1274375.6933856551</v>
      </c>
      <c r="I46" s="110">
        <v>869090.93734942446</v>
      </c>
      <c r="J46" s="110">
        <v>973409.42861401371</v>
      </c>
      <c r="K46" s="110">
        <v>653941.15665512951</v>
      </c>
      <c r="L46" s="110">
        <v>646974.44763722434</v>
      </c>
      <c r="M46" s="110">
        <v>436892.57109937089</v>
      </c>
      <c r="N46" s="110">
        <v>370069.17069606791</v>
      </c>
      <c r="O46" s="110">
        <v>453893.44490862655</v>
      </c>
      <c r="P46" s="110">
        <v>328317.56907778519</v>
      </c>
      <c r="Q46" s="110">
        <v>462625.11911293503</v>
      </c>
      <c r="R46" s="110">
        <v>160488.88015289369</v>
      </c>
    </row>
    <row r="47" spans="1:18">
      <c r="A47" s="39"/>
      <c r="B47" s="39" t="s">
        <v>64</v>
      </c>
      <c r="C47" s="110">
        <v>1868712.7630033528</v>
      </c>
      <c r="D47" s="110">
        <v>1660806.5182627512</v>
      </c>
      <c r="E47" s="110">
        <v>1679908.3271726698</v>
      </c>
      <c r="F47" s="110">
        <v>1538683.9321115953</v>
      </c>
      <c r="G47" s="110">
        <v>1127198.4622901855</v>
      </c>
      <c r="H47" s="110">
        <v>1141799.334929836</v>
      </c>
      <c r="I47" s="110">
        <v>759079.65519286378</v>
      </c>
      <c r="J47" s="110">
        <v>605343.81070397259</v>
      </c>
      <c r="K47" s="110">
        <v>705659.36110173771</v>
      </c>
      <c r="L47" s="110">
        <v>483018.99902262143</v>
      </c>
      <c r="M47" s="110">
        <v>243957.64828366108</v>
      </c>
      <c r="N47" s="110">
        <v>276890.06529040751</v>
      </c>
      <c r="O47" s="110">
        <v>376937.09572679357</v>
      </c>
      <c r="P47" s="110">
        <v>310965.23458601977</v>
      </c>
      <c r="Q47" s="110">
        <v>320672.80840136774</v>
      </c>
      <c r="R47" s="110">
        <v>93686.252494513043</v>
      </c>
    </row>
    <row r="48" spans="1:18">
      <c r="A48" s="39"/>
      <c r="B48" s="39" t="s">
        <v>65</v>
      </c>
      <c r="C48" s="110">
        <v>1803766.8218263893</v>
      </c>
      <c r="D48" s="110">
        <v>1451063.4681540306</v>
      </c>
      <c r="E48" s="110">
        <v>1482127.353067758</v>
      </c>
      <c r="F48" s="110">
        <v>1480267.8215174703</v>
      </c>
      <c r="G48" s="110">
        <v>1000425.5784563734</v>
      </c>
      <c r="H48" s="110">
        <v>990394.99641995854</v>
      </c>
      <c r="I48" s="110">
        <v>709457.49656471983</v>
      </c>
      <c r="J48" s="110">
        <v>425920.72772731754</v>
      </c>
      <c r="K48" s="110">
        <v>683765.926420531</v>
      </c>
      <c r="L48" s="110">
        <v>328844.95814729604</v>
      </c>
      <c r="M48" s="110">
        <v>170302.65635962196</v>
      </c>
      <c r="N48" s="110">
        <v>207910.39125766815</v>
      </c>
      <c r="O48" s="110">
        <v>293718.906647255</v>
      </c>
      <c r="P48" s="110">
        <v>355137.15364468942</v>
      </c>
      <c r="Q48" s="110">
        <v>154484.89706374475</v>
      </c>
      <c r="R48" s="110">
        <v>63602.625054188997</v>
      </c>
    </row>
    <row r="49" spans="1:18">
      <c r="A49" s="39"/>
      <c r="B49" s="39" t="s">
        <v>66</v>
      </c>
      <c r="C49" s="110">
        <v>2468389.4914351897</v>
      </c>
      <c r="D49" s="110">
        <v>1679015.6080238237</v>
      </c>
      <c r="E49" s="110">
        <v>1503192.6737252262</v>
      </c>
      <c r="F49" s="110">
        <v>1767343.7553359903</v>
      </c>
      <c r="G49" s="110">
        <v>1350485.743907755</v>
      </c>
      <c r="H49" s="110">
        <v>952170.71770276409</v>
      </c>
      <c r="I49" s="110">
        <v>948367.26659156475</v>
      </c>
      <c r="J49" s="110">
        <v>410476.76350490685</v>
      </c>
      <c r="K49" s="110">
        <v>619239.23528060189</v>
      </c>
      <c r="L49" s="110">
        <v>223028.04334865563</v>
      </c>
      <c r="M49" s="110">
        <v>181210.04106281314</v>
      </c>
      <c r="N49" s="110">
        <v>295223.4473619216</v>
      </c>
      <c r="O49" s="110">
        <v>218697.40952658473</v>
      </c>
      <c r="P49" s="110">
        <v>542770.2361089224</v>
      </c>
      <c r="Q49" s="110">
        <v>155092.15356306676</v>
      </c>
      <c r="R49" s="110">
        <v>24417.289380674087</v>
      </c>
    </row>
    <row r="50" spans="1:18">
      <c r="A50" s="39"/>
      <c r="B50" s="39"/>
    </row>
    <row r="51" spans="1:18">
      <c r="A51" s="40" t="s">
        <v>56</v>
      </c>
      <c r="B51" s="40" t="s">
        <v>55</v>
      </c>
      <c r="C51" s="51">
        <v>5692088.7197891045</v>
      </c>
      <c r="D51" s="51">
        <v>5528655.4006257746</v>
      </c>
      <c r="E51" s="51">
        <v>4520247.4757529832</v>
      </c>
      <c r="F51" s="51">
        <v>4430191.0882033492</v>
      </c>
      <c r="G51" s="51">
        <v>3932874.5108959172</v>
      </c>
      <c r="H51" s="51">
        <v>3002542.1393907303</v>
      </c>
      <c r="I51" s="51">
        <v>2691799.9141185293</v>
      </c>
      <c r="J51" s="51">
        <v>2904227.2158900402</v>
      </c>
      <c r="K51" s="51">
        <v>1545951.6875319742</v>
      </c>
      <c r="L51" s="51">
        <v>2145368.372980359</v>
      </c>
      <c r="M51" s="51">
        <v>1231797.8211232387</v>
      </c>
      <c r="N51" s="51">
        <v>1630148.7580632034</v>
      </c>
      <c r="O51" s="51">
        <v>1130252.3326942241</v>
      </c>
      <c r="P51" s="51">
        <v>1030297.0276945805</v>
      </c>
      <c r="Q51" s="51">
        <v>905314.88066173624</v>
      </c>
      <c r="R51" s="51">
        <v>499008.12943917979</v>
      </c>
    </row>
    <row r="52" spans="1:18">
      <c r="A52" s="39" t="s">
        <v>59</v>
      </c>
      <c r="B52" s="39" t="s">
        <v>60</v>
      </c>
      <c r="C52" s="110">
        <v>254512.01396616452</v>
      </c>
      <c r="D52" s="110">
        <v>301852.36840595183</v>
      </c>
      <c r="E52" s="110">
        <v>142115.83891264294</v>
      </c>
      <c r="F52" s="110">
        <v>164575.33040618594</v>
      </c>
      <c r="G52" s="110">
        <v>228559.32262042502</v>
      </c>
      <c r="H52" s="110">
        <v>109909.00407991002</v>
      </c>
      <c r="I52" s="110">
        <v>153007.48091315947</v>
      </c>
      <c r="J52" s="110">
        <v>230283.5558975396</v>
      </c>
      <c r="K52" s="110">
        <v>52568.270339957133</v>
      </c>
      <c r="L52" s="110">
        <v>167277.6436438681</v>
      </c>
      <c r="M52" s="110">
        <v>124890.51294348629</v>
      </c>
      <c r="N52" s="110">
        <v>151357.84573817608</v>
      </c>
      <c r="O52" s="110">
        <v>87581.175619606889</v>
      </c>
      <c r="P52" s="110">
        <v>20813.048112842036</v>
      </c>
      <c r="Q52" s="110">
        <v>38463.200795664619</v>
      </c>
      <c r="R52" s="110">
        <v>40973.929770402021</v>
      </c>
    </row>
    <row r="53" spans="1:18">
      <c r="A53" s="39"/>
      <c r="B53" s="39" t="s">
        <v>61</v>
      </c>
      <c r="C53" s="110">
        <v>562077.92877241643</v>
      </c>
      <c r="D53" s="110">
        <v>675341.49695975776</v>
      </c>
      <c r="E53" s="110">
        <v>453601.98829933605</v>
      </c>
      <c r="F53" s="110">
        <v>434182.21876394551</v>
      </c>
      <c r="G53" s="110">
        <v>526917.28422856878</v>
      </c>
      <c r="H53" s="110">
        <v>308856.38680611539</v>
      </c>
      <c r="I53" s="110">
        <v>355676.55412099749</v>
      </c>
      <c r="J53" s="110">
        <v>522462.81247713557</v>
      </c>
      <c r="K53" s="110">
        <v>112219.27946803522</v>
      </c>
      <c r="L53" s="110">
        <v>365763.28864469135</v>
      </c>
      <c r="M53" s="110">
        <v>272442.27839870582</v>
      </c>
      <c r="N53" s="110">
        <v>307699.83362490759</v>
      </c>
      <c r="O53" s="110">
        <v>166801.81846147249</v>
      </c>
      <c r="P53" s="110">
        <v>120488.98664824347</v>
      </c>
      <c r="Q53" s="110">
        <v>111201.9947236165</v>
      </c>
      <c r="R53" s="110">
        <v>102213.54139826052</v>
      </c>
    </row>
    <row r="54" spans="1:18">
      <c r="A54" s="39"/>
      <c r="B54" s="39" t="s">
        <v>62</v>
      </c>
      <c r="C54" s="110">
        <v>968785.44078368181</v>
      </c>
      <c r="D54" s="110">
        <v>1081802.6574215421</v>
      </c>
      <c r="E54" s="110">
        <v>825161.41845675895</v>
      </c>
      <c r="F54" s="110">
        <v>777911.4365367369</v>
      </c>
      <c r="G54" s="110">
        <v>824127.3857736655</v>
      </c>
      <c r="H54" s="110">
        <v>629731.71735279763</v>
      </c>
      <c r="I54" s="110">
        <v>562066.65523749089</v>
      </c>
      <c r="J54" s="110">
        <v>761926.80237883143</v>
      </c>
      <c r="K54" s="110">
        <v>259247.66727346106</v>
      </c>
      <c r="L54" s="110">
        <v>531163.8646074842</v>
      </c>
      <c r="M54" s="110">
        <v>368278.44349978917</v>
      </c>
      <c r="N54" s="110">
        <v>360255.78955471574</v>
      </c>
      <c r="O54" s="110">
        <v>234366.77105133634</v>
      </c>
      <c r="P54" s="110">
        <v>217343.45791626346</v>
      </c>
      <c r="Q54" s="110">
        <v>202449.65659414697</v>
      </c>
      <c r="R54" s="110">
        <v>157957.53741699108</v>
      </c>
    </row>
    <row r="55" spans="1:18">
      <c r="A55" s="39"/>
      <c r="B55" s="39" t="s">
        <v>63</v>
      </c>
      <c r="C55" s="110">
        <v>924684.3445872243</v>
      </c>
      <c r="D55" s="110">
        <v>971634.45512657857</v>
      </c>
      <c r="E55" s="110">
        <v>799985.40568443015</v>
      </c>
      <c r="F55" s="110">
        <v>726768.86392145266</v>
      </c>
      <c r="G55" s="110">
        <v>667908.25516716507</v>
      </c>
      <c r="H55" s="110">
        <v>535303.36533207551</v>
      </c>
      <c r="I55" s="110">
        <v>439440.55759924772</v>
      </c>
      <c r="J55" s="110">
        <v>556196.25703856512</v>
      </c>
      <c r="K55" s="110">
        <v>243840.14957645934</v>
      </c>
      <c r="L55" s="110">
        <v>392613.65540351375</v>
      </c>
      <c r="M55" s="110">
        <v>204776.97986695747</v>
      </c>
      <c r="N55" s="110">
        <v>238767.68768762497</v>
      </c>
      <c r="O55" s="110">
        <v>205656.52035536405</v>
      </c>
      <c r="P55" s="110">
        <v>148281.25303967827</v>
      </c>
      <c r="Q55" s="110">
        <v>224004.78467417127</v>
      </c>
      <c r="R55" s="110">
        <v>93413.894625570305</v>
      </c>
    </row>
    <row r="56" spans="1:18">
      <c r="A56" s="39"/>
      <c r="B56" s="39" t="s">
        <v>64</v>
      </c>
      <c r="C56" s="110">
        <v>905122.91991098481</v>
      </c>
      <c r="D56" s="110">
        <v>859976.98099230428</v>
      </c>
      <c r="E56" s="110">
        <v>810753.35017672868</v>
      </c>
      <c r="F56" s="110">
        <v>731319.03545195528</v>
      </c>
      <c r="G56" s="110">
        <v>562120.92687937606</v>
      </c>
      <c r="H56" s="110">
        <v>527654.60240318498</v>
      </c>
      <c r="I56" s="110">
        <v>381606.59000786865</v>
      </c>
      <c r="J56" s="110">
        <v>348906.38905746286</v>
      </c>
      <c r="K56" s="110">
        <v>282405.73464385531</v>
      </c>
      <c r="L56" s="110">
        <v>326044.93144864892</v>
      </c>
      <c r="M56" s="110">
        <v>116175.41753710291</v>
      </c>
      <c r="N56" s="110">
        <v>196888.21366373874</v>
      </c>
      <c r="O56" s="110">
        <v>196108.52914440626</v>
      </c>
      <c r="P56" s="110">
        <v>132929.09188838434</v>
      </c>
      <c r="Q56" s="110">
        <v>165874.04072551685</v>
      </c>
      <c r="R56" s="110">
        <v>56585.960699012277</v>
      </c>
    </row>
    <row r="57" spans="1:18">
      <c r="A57" s="39"/>
      <c r="B57" s="39" t="s">
        <v>65</v>
      </c>
      <c r="C57" s="110">
        <v>887966.3827041568</v>
      </c>
      <c r="D57" s="110">
        <v>755635.76755472017</v>
      </c>
      <c r="E57" s="110">
        <v>731959.08604342118</v>
      </c>
      <c r="F57" s="110">
        <v>721549.78047523601</v>
      </c>
      <c r="G57" s="110">
        <v>498054.05440861755</v>
      </c>
      <c r="H57" s="110">
        <v>456172.51192324137</v>
      </c>
      <c r="I57" s="110">
        <v>345375.4783850513</v>
      </c>
      <c r="J57" s="110">
        <v>245879.11155911462</v>
      </c>
      <c r="K57" s="110">
        <v>313337.05932934745</v>
      </c>
      <c r="L57" s="110">
        <v>215635.04752788009</v>
      </c>
      <c r="M57" s="110">
        <v>74863.7474977971</v>
      </c>
      <c r="N57" s="110">
        <v>146319.1415012014</v>
      </c>
      <c r="O57" s="110">
        <v>145504.84083039284</v>
      </c>
      <c r="P57" s="110">
        <v>160915.44468457761</v>
      </c>
      <c r="Q57" s="110">
        <v>87985.795076336988</v>
      </c>
      <c r="R57" s="110">
        <v>33546.604836283048</v>
      </c>
    </row>
    <row r="58" spans="1:18">
      <c r="A58" s="39"/>
      <c r="B58" s="39" t="s">
        <v>66</v>
      </c>
      <c r="C58" s="110">
        <v>1188939.6890642506</v>
      </c>
      <c r="D58" s="110">
        <v>882411.67416472419</v>
      </c>
      <c r="E58" s="110">
        <v>756670.38817962003</v>
      </c>
      <c r="F58" s="110">
        <v>873884.42264781287</v>
      </c>
      <c r="G58" s="110">
        <v>625187.28181814961</v>
      </c>
      <c r="H58" s="110">
        <v>434914.55149344617</v>
      </c>
      <c r="I58" s="110">
        <v>454626.59785476018</v>
      </c>
      <c r="J58" s="110">
        <v>238572.28748144163</v>
      </c>
      <c r="K58" s="110">
        <v>282333.52690086514</v>
      </c>
      <c r="L58" s="110">
        <v>146869.94170426863</v>
      </c>
      <c r="M58" s="110">
        <v>70370.441379402808</v>
      </c>
      <c r="N58" s="110">
        <v>228860.24629284433</v>
      </c>
      <c r="O58" s="110">
        <v>94232.677231647089</v>
      </c>
      <c r="P58" s="110">
        <v>229525.74540459277</v>
      </c>
      <c r="Q58" s="110">
        <v>75335.408072285078</v>
      </c>
      <c r="R58" s="110">
        <v>14316.660692661413</v>
      </c>
    </row>
    <row r="59" spans="1:18">
      <c r="A59" s="39"/>
      <c r="B59" s="39"/>
    </row>
    <row r="60" spans="1:18">
      <c r="A60" s="40" t="s">
        <v>57</v>
      </c>
      <c r="B60" s="40" t="s">
        <v>55</v>
      </c>
      <c r="C60" s="51">
        <v>6139480.1695590699</v>
      </c>
      <c r="D60" s="51">
        <v>5252436.8353597168</v>
      </c>
      <c r="E60" s="51">
        <v>5127718.698657224</v>
      </c>
      <c r="F60" s="51">
        <v>4939984.3610295458</v>
      </c>
      <c r="G60" s="51">
        <v>4085659.1842480148</v>
      </c>
      <c r="H60" s="51">
        <v>3778109.2873294624</v>
      </c>
      <c r="I60" s="51">
        <v>2731867.4247877598</v>
      </c>
      <c r="J60" s="51">
        <v>2267150.3742483091</v>
      </c>
      <c r="K60" s="51">
        <v>2242799.0965941385</v>
      </c>
      <c r="L60" s="51">
        <v>1366789.4403568266</v>
      </c>
      <c r="M60" s="51">
        <v>1303435.3628402343</v>
      </c>
      <c r="N60" s="51">
        <v>828671.96040074842</v>
      </c>
      <c r="O60" s="51">
        <v>1181196.9552707484</v>
      </c>
      <c r="P60" s="51">
        <v>1181623.4834416483</v>
      </c>
      <c r="Q60" s="51">
        <v>836920.6954231339</v>
      </c>
      <c r="R60" s="51">
        <v>330290.63220646884</v>
      </c>
    </row>
    <row r="61" spans="1:18">
      <c r="A61" s="39" t="s">
        <v>59</v>
      </c>
      <c r="B61" s="39" t="s">
        <v>60</v>
      </c>
      <c r="C61" s="110">
        <v>238594.14344068535</v>
      </c>
      <c r="D61" s="110">
        <v>287517.53389331658</v>
      </c>
      <c r="E61" s="110">
        <v>193368.62575214967</v>
      </c>
      <c r="F61" s="110">
        <v>171056.11947363298</v>
      </c>
      <c r="G61" s="110">
        <v>239233.32754976177</v>
      </c>
      <c r="H61" s="110">
        <v>141770.11365328665</v>
      </c>
      <c r="I61" s="110">
        <v>157687.43446553638</v>
      </c>
      <c r="J61" s="110">
        <v>210527.16156188116</v>
      </c>
      <c r="K61" s="110">
        <v>61688.781654422884</v>
      </c>
      <c r="L61" s="110">
        <v>138684.92313718866</v>
      </c>
      <c r="M61" s="110">
        <v>132892.87751125867</v>
      </c>
      <c r="N61" s="110">
        <v>123961.36138311107</v>
      </c>
      <c r="O61" s="110">
        <v>82180.06484402834</v>
      </c>
      <c r="P61" s="110">
        <v>27592.591002883149</v>
      </c>
      <c r="Q61" s="110">
        <v>32281.053661004778</v>
      </c>
      <c r="R61" s="110">
        <v>28986.115924255602</v>
      </c>
    </row>
    <row r="62" spans="1:18">
      <c r="A62" s="39"/>
      <c r="B62" s="39" t="s">
        <v>61</v>
      </c>
      <c r="C62" s="110">
        <v>612776.18898587406</v>
      </c>
      <c r="D62" s="110">
        <v>654833.74047125736</v>
      </c>
      <c r="E62" s="110">
        <v>559946.63276847161</v>
      </c>
      <c r="F62" s="110">
        <v>497632.17800090922</v>
      </c>
      <c r="G62" s="110">
        <v>530107.75459855061</v>
      </c>
      <c r="H62" s="110">
        <v>419035.09195223427</v>
      </c>
      <c r="I62" s="110">
        <v>372306.41614396352</v>
      </c>
      <c r="J62" s="110">
        <v>423464.53553019429</v>
      </c>
      <c r="K62" s="110">
        <v>234884.29696532091</v>
      </c>
      <c r="L62" s="110">
        <v>251143.71804055257</v>
      </c>
      <c r="M62" s="110">
        <v>264494.5272062766</v>
      </c>
      <c r="N62" s="110">
        <v>174167.44202793954</v>
      </c>
      <c r="O62" s="110">
        <v>163529.19852118386</v>
      </c>
      <c r="P62" s="110">
        <v>93498.867108105522</v>
      </c>
      <c r="Q62" s="110">
        <v>78731.664687000302</v>
      </c>
      <c r="R62" s="110">
        <v>71492.571335524743</v>
      </c>
    </row>
    <row r="63" spans="1:18">
      <c r="A63" s="39"/>
      <c r="B63" s="39" t="s">
        <v>62</v>
      </c>
      <c r="C63" s="110">
        <v>1114866.0912158007</v>
      </c>
      <c r="D63" s="110">
        <v>1077382.5383082051</v>
      </c>
      <c r="E63" s="110">
        <v>1058054.0143873382</v>
      </c>
      <c r="F63" s="110">
        <v>939825.79038417258</v>
      </c>
      <c r="G63" s="110">
        <v>839794.7949095323</v>
      </c>
      <c r="H63" s="110">
        <v>827204.69301418436</v>
      </c>
      <c r="I63" s="110">
        <v>548296.71930404415</v>
      </c>
      <c r="J63" s="110">
        <v>616577.49705452309</v>
      </c>
      <c r="K63" s="110">
        <v>413066.01589240012</v>
      </c>
      <c r="L63" s="110">
        <v>383497.98351103754</v>
      </c>
      <c r="M63" s="110">
        <v>343335.44200587162</v>
      </c>
      <c r="N63" s="110">
        <v>195557.00552366636</v>
      </c>
      <c r="O63" s="110">
        <v>239672.55269559519</v>
      </c>
      <c r="P63" s="110">
        <v>202018.624883785</v>
      </c>
      <c r="Q63" s="110">
        <v>189622.95349200588</v>
      </c>
      <c r="R63" s="110">
        <v>88286.865961882548</v>
      </c>
    </row>
    <row r="64" spans="1:18">
      <c r="A64" s="39"/>
      <c r="B64" s="39" t="s">
        <v>63</v>
      </c>
      <c r="C64" s="110">
        <v>1026843.5598641653</v>
      </c>
      <c r="D64" s="110">
        <v>951277.94829615857</v>
      </c>
      <c r="E64" s="110">
        <v>964178.99079909537</v>
      </c>
      <c r="F64" s="110">
        <v>881296.12055613671</v>
      </c>
      <c r="G64" s="110">
        <v>691154.36520786199</v>
      </c>
      <c r="H64" s="110">
        <v>733350.18789300229</v>
      </c>
      <c r="I64" s="110">
        <v>425451.26423228258</v>
      </c>
      <c r="J64" s="110">
        <v>412537.24569467769</v>
      </c>
      <c r="K64" s="110">
        <v>407870.05812127207</v>
      </c>
      <c r="L64" s="110">
        <v>251224.42092225599</v>
      </c>
      <c r="M64" s="110">
        <v>229971.1023703125</v>
      </c>
      <c r="N64" s="110">
        <v>129877.71285456634</v>
      </c>
      <c r="O64" s="110">
        <v>246719.62597522599</v>
      </c>
      <c r="P64" s="110">
        <v>177036.51474994628</v>
      </c>
      <c r="Q64" s="110">
        <v>237037.2896103856</v>
      </c>
      <c r="R64" s="110">
        <v>66004.874753737677</v>
      </c>
    </row>
    <row r="65" spans="1:23">
      <c r="A65" s="39"/>
      <c r="B65" s="39" t="s">
        <v>64</v>
      </c>
      <c r="C65" s="110">
        <v>957569.1344885393</v>
      </c>
      <c r="D65" s="110">
        <v>794730.30346947617</v>
      </c>
      <c r="E65" s="110">
        <v>859758.10316112346</v>
      </c>
      <c r="F65" s="110">
        <v>801798.22107429209</v>
      </c>
      <c r="G65" s="110">
        <v>560407.41079640901</v>
      </c>
      <c r="H65" s="110">
        <v>609588.46017955861</v>
      </c>
      <c r="I65" s="110">
        <v>372939.90018755104</v>
      </c>
      <c r="J65" s="110">
        <v>252888.36845137202</v>
      </c>
      <c r="K65" s="110">
        <v>420447.48528736341</v>
      </c>
      <c r="L65" s="110">
        <v>154022.54635677848</v>
      </c>
      <c r="M65" s="110">
        <v>127253.43143726343</v>
      </c>
      <c r="N65" s="110">
        <v>78390.298543171331</v>
      </c>
      <c r="O65" s="110">
        <v>178527.64089054349</v>
      </c>
      <c r="P65" s="110">
        <v>176636.0558840365</v>
      </c>
      <c r="Q65" s="110">
        <v>153779.356576316</v>
      </c>
      <c r="R65" s="110">
        <v>36586.983749853709</v>
      </c>
    </row>
    <row r="66" spans="1:23">
      <c r="A66" s="39"/>
      <c r="B66" s="39" t="s">
        <v>65</v>
      </c>
      <c r="C66" s="110">
        <v>911735.45703612582</v>
      </c>
      <c r="D66" s="110">
        <v>691578.34624445869</v>
      </c>
      <c r="E66" s="110">
        <v>747020.92852543562</v>
      </c>
      <c r="F66" s="110">
        <v>755263.08352958201</v>
      </c>
      <c r="G66" s="110">
        <v>500775.74226268101</v>
      </c>
      <c r="H66" s="110">
        <v>530251.05910529068</v>
      </c>
      <c r="I66" s="110">
        <v>362156.20018803264</v>
      </c>
      <c r="J66" s="110">
        <v>179597.57460959899</v>
      </c>
      <c r="K66" s="110">
        <v>367936.75029362278</v>
      </c>
      <c r="L66" s="110">
        <v>112765.86906081115</v>
      </c>
      <c r="M66" s="110">
        <v>94994.867303220613</v>
      </c>
      <c r="N66" s="110">
        <v>60698.367522378758</v>
      </c>
      <c r="O66" s="110">
        <v>146449.62472661582</v>
      </c>
      <c r="P66" s="110">
        <v>192362.52759753488</v>
      </c>
      <c r="Q66" s="110">
        <v>66055.060428803859</v>
      </c>
      <c r="R66" s="110">
        <v>29611.978659302044</v>
      </c>
    </row>
    <row r="67" spans="1:23">
      <c r="A67" s="39"/>
      <c r="B67" s="39" t="s">
        <v>66</v>
      </c>
      <c r="C67" s="110">
        <v>1277095.5945278481</v>
      </c>
      <c r="D67" s="110">
        <v>795116.42467682878</v>
      </c>
      <c r="E67" s="110">
        <v>745391.40326360916</v>
      </c>
      <c r="F67" s="110">
        <v>893112.84801081766</v>
      </c>
      <c r="G67" s="110">
        <v>724185.78892324457</v>
      </c>
      <c r="H67" s="110">
        <v>516909.68153193436</v>
      </c>
      <c r="I67" s="110">
        <v>493029.49026639207</v>
      </c>
      <c r="J67" s="110">
        <v>171557.9913460807</v>
      </c>
      <c r="K67" s="110">
        <v>336905.70837973838</v>
      </c>
      <c r="L67" s="110">
        <v>75449.979328196801</v>
      </c>
      <c r="M67" s="110">
        <v>110493.11500602613</v>
      </c>
      <c r="N67" s="110">
        <v>66019.772545914908</v>
      </c>
      <c r="O67" s="110">
        <v>124118.24761755358</v>
      </c>
      <c r="P67" s="110">
        <v>312478.30221535382</v>
      </c>
      <c r="Q67" s="110">
        <v>79413.316967619219</v>
      </c>
      <c r="R67" s="110">
        <v>9321.2418219117717</v>
      </c>
    </row>
    <row r="68" spans="1:23">
      <c r="A68" s="132"/>
      <c r="B68" s="132"/>
      <c r="C68" s="133"/>
      <c r="D68" s="133"/>
      <c r="E68" s="133"/>
      <c r="F68" s="133"/>
      <c r="G68" s="133"/>
      <c r="H68" s="133"/>
      <c r="I68" s="133"/>
      <c r="J68" s="133"/>
      <c r="K68" s="133"/>
      <c r="L68" s="133"/>
      <c r="M68" s="133"/>
      <c r="N68" s="133"/>
      <c r="O68" s="133"/>
      <c r="P68" s="133"/>
      <c r="Q68" s="133"/>
      <c r="R68" s="133"/>
    </row>
    <row r="69" spans="1:23">
      <c r="A69" s="16" t="s">
        <v>219</v>
      </c>
      <c r="B69" s="16"/>
    </row>
    <row r="70" spans="1:23">
      <c r="A70" s="16" t="s">
        <v>220</v>
      </c>
      <c r="B70" s="16"/>
    </row>
    <row r="71" spans="1:23" ht="14.45" customHeight="1">
      <c r="A71" s="29" t="s">
        <v>147</v>
      </c>
      <c r="B71" s="16"/>
    </row>
    <row r="72" spans="1:23" ht="14.45" customHeight="1">
      <c r="A72" s="16" t="s">
        <v>119</v>
      </c>
      <c r="B72" s="16"/>
    </row>
    <row r="73" spans="1:23" ht="15" customHeight="1">
      <c r="A73" s="16" t="s">
        <v>120</v>
      </c>
      <c r="B73" s="29"/>
      <c r="C73" s="2"/>
      <c r="G73" s="2"/>
      <c r="K73" s="2"/>
      <c r="O73" s="2"/>
      <c r="S73" s="2"/>
      <c r="W73" s="2"/>
    </row>
    <row r="74" spans="1:23">
      <c r="A74" s="29" t="s">
        <v>118</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C42&lt;'34'!$C$104</xm:f>
            <x14:dxf>
              <font>
                <color rgb="FFFF0000"/>
              </font>
              <numFmt numFmtId="172" formatCode="\*\*0.0%"/>
            </x14:dxf>
          </x14:cfRule>
          <x14:cfRule type="expression" priority="4" id="{58838599-BD83-47F3-9078-68047C58AA52}">
            <xm:f>C42&lt;'34'!$C$103</xm:f>
            <x14:dxf>
              <font>
                <color rgb="FF00B050"/>
              </font>
              <numFmt numFmtId="171" formatCode="\*0.0%"/>
            </x14:dxf>
          </x14:cfRule>
          <xm:sqref>C15:R40</xm:sqref>
        </x14:conditionalFormatting>
        <x14:conditionalFormatting xmlns:xm="http://schemas.microsoft.com/office/excel/2006/main">
          <x14:cfRule type="expression" priority="1" id="{1C3BF29D-E950-404F-BBBF-B3672B22ABD3}">
            <xm:f>C42&lt;'34'!$C$104</xm:f>
            <x14:dxf>
              <font>
                <color rgb="FFFF0000"/>
              </font>
              <numFmt numFmtId="170" formatCode="\*\*#,###,###,##0"/>
            </x14:dxf>
          </x14:cfRule>
          <x14:cfRule type="expression" priority="2" id="{133792BD-1E1F-4C9A-ADD0-1C8213E6DD07}">
            <xm:f>C42&lt;'34'!$C$103</xm:f>
            <x14:dxf>
              <font>
                <color rgb="FF00B050"/>
              </font>
              <numFmt numFmtId="169" formatCode="\*#,###,###,##0"/>
            </x14:dxf>
          </x14:cfRule>
          <xm:sqref>C42:R67</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48"/>
  <sheetViews>
    <sheetView zoomScaleNormal="100" workbookViewId="0">
      <pane xSplit="2" ySplit="13" topLeftCell="C14" activePane="bottomRight" state="frozen"/>
      <selection pane="bottomRight"/>
      <selection pane="bottomLeft"/>
      <selection pane="topRight"/>
    </sheetView>
  </sheetViews>
  <sheetFormatPr defaultColWidth="8.85546875" defaultRowHeight="15"/>
  <cols>
    <col min="1" max="2" width="15.7109375" style="1" customWidth="1"/>
    <col min="3" max="26" width="19" style="1" customWidth="1"/>
    <col min="27" max="16384" width="8.85546875" style="1"/>
  </cols>
  <sheetData>
    <row r="1" spans="1:26">
      <c r="A1" s="34"/>
      <c r="B1" s="34"/>
      <c r="C1" s="34"/>
      <c r="D1" s="34"/>
      <c r="E1" s="34"/>
      <c r="F1" s="34"/>
      <c r="G1" s="34"/>
      <c r="H1" s="34"/>
      <c r="I1" s="34"/>
      <c r="J1" s="34"/>
      <c r="K1" s="34"/>
      <c r="L1" s="34"/>
      <c r="M1" s="34"/>
      <c r="N1" s="34"/>
      <c r="O1" s="34"/>
      <c r="P1" s="34"/>
      <c r="Q1" s="34"/>
      <c r="R1" s="34"/>
      <c r="S1" s="34"/>
      <c r="T1" s="34"/>
      <c r="U1" s="34"/>
      <c r="V1" s="34"/>
      <c r="W1" s="34"/>
      <c r="X1" s="34"/>
      <c r="Y1" s="34"/>
      <c r="Z1" s="34"/>
    </row>
    <row r="2" spans="1:26">
      <c r="A2" s="34"/>
      <c r="B2" s="34"/>
      <c r="C2" s="34"/>
      <c r="D2" s="34"/>
      <c r="E2" s="34"/>
      <c r="F2" s="34"/>
      <c r="G2" s="34"/>
      <c r="H2" s="34"/>
      <c r="I2" s="34"/>
      <c r="J2" s="34"/>
      <c r="K2" s="34"/>
      <c r="L2" s="34"/>
      <c r="M2" s="34"/>
      <c r="N2" s="34"/>
      <c r="O2" s="34"/>
      <c r="P2" s="34"/>
      <c r="Q2" s="34"/>
      <c r="R2" s="34"/>
      <c r="S2" s="34"/>
      <c r="T2" s="34"/>
      <c r="U2" s="34"/>
      <c r="V2" s="34"/>
      <c r="W2" s="34"/>
      <c r="X2" s="34"/>
      <c r="Y2" s="34"/>
      <c r="Z2" s="34"/>
    </row>
    <row r="3" spans="1:26">
      <c r="A3" s="34"/>
      <c r="B3" s="34"/>
      <c r="C3" s="34"/>
      <c r="D3" s="34"/>
      <c r="E3" s="34"/>
      <c r="F3" s="34"/>
      <c r="G3" s="34"/>
      <c r="H3" s="34"/>
      <c r="I3" s="34"/>
      <c r="J3" s="34"/>
      <c r="K3" s="34"/>
      <c r="L3" s="34"/>
      <c r="M3" s="34"/>
      <c r="N3" s="34"/>
      <c r="O3" s="34"/>
      <c r="P3" s="34"/>
      <c r="Q3" s="34"/>
      <c r="R3" s="34"/>
      <c r="S3" s="34"/>
      <c r="T3" s="34"/>
      <c r="U3" s="34"/>
      <c r="V3" s="34"/>
      <c r="W3" s="34"/>
      <c r="X3" s="34"/>
      <c r="Y3" s="34"/>
      <c r="Z3" s="34"/>
    </row>
    <row r="4" spans="1:26">
      <c r="A4" s="34"/>
      <c r="B4" s="34"/>
      <c r="C4" s="34"/>
      <c r="D4" s="34"/>
      <c r="E4" s="34"/>
      <c r="F4" s="34"/>
      <c r="G4" s="34"/>
      <c r="H4" s="34"/>
      <c r="I4" s="34"/>
      <c r="J4" s="34"/>
      <c r="K4" s="34"/>
      <c r="L4" s="34"/>
      <c r="M4" s="34"/>
      <c r="N4" s="34"/>
      <c r="O4" s="34"/>
      <c r="P4" s="34"/>
      <c r="Q4" s="34"/>
      <c r="R4" s="34"/>
      <c r="S4" s="34"/>
      <c r="T4" s="34"/>
      <c r="U4" s="34"/>
      <c r="V4" s="34"/>
      <c r="W4" s="34"/>
      <c r="X4" s="34"/>
      <c r="Y4" s="34"/>
      <c r="Z4" s="34"/>
    </row>
    <row r="5" spans="1:26">
      <c r="A5" s="34"/>
      <c r="B5" s="34"/>
      <c r="C5" s="34"/>
      <c r="D5" s="34"/>
      <c r="E5" s="34"/>
      <c r="F5" s="34"/>
      <c r="G5" s="34"/>
      <c r="H5" s="34"/>
      <c r="I5" s="34"/>
      <c r="J5" s="34"/>
      <c r="K5" s="34"/>
      <c r="L5" s="34"/>
      <c r="M5" s="34"/>
      <c r="N5" s="34"/>
      <c r="O5" s="34"/>
      <c r="P5" s="34"/>
      <c r="Q5" s="34"/>
      <c r="R5" s="34"/>
      <c r="S5" s="34"/>
      <c r="T5" s="34"/>
      <c r="U5" s="34"/>
      <c r="V5" s="34"/>
      <c r="W5" s="34"/>
      <c r="X5" s="34"/>
      <c r="Y5" s="34"/>
      <c r="Z5" s="34"/>
    </row>
    <row r="6" spans="1:26">
      <c r="A6" s="34"/>
      <c r="B6" s="34"/>
      <c r="C6" s="34"/>
      <c r="D6" s="34"/>
      <c r="E6" s="34"/>
      <c r="F6" s="34"/>
      <c r="G6" s="34"/>
      <c r="H6" s="34"/>
      <c r="I6" s="34"/>
      <c r="J6" s="34"/>
      <c r="K6" s="34"/>
      <c r="L6" s="34"/>
      <c r="M6" s="34"/>
      <c r="N6" s="34"/>
      <c r="O6" s="34"/>
      <c r="P6" s="34"/>
      <c r="Q6" s="34"/>
      <c r="R6" s="34"/>
      <c r="S6" s="34"/>
      <c r="T6" s="34"/>
      <c r="U6" s="34"/>
      <c r="V6" s="34"/>
      <c r="W6" s="34"/>
      <c r="X6" s="34"/>
      <c r="Y6" s="34"/>
      <c r="Z6" s="34"/>
    </row>
    <row r="7" spans="1:26">
      <c r="A7" s="34"/>
      <c r="B7" s="34"/>
      <c r="C7" s="34"/>
      <c r="D7" s="34"/>
      <c r="E7" s="34"/>
      <c r="F7" s="34"/>
      <c r="G7" s="34"/>
      <c r="H7" s="34"/>
      <c r="I7" s="34"/>
      <c r="J7" s="34"/>
      <c r="K7" s="34"/>
      <c r="L7" s="34"/>
      <c r="M7" s="34"/>
      <c r="N7" s="34"/>
      <c r="O7" s="34"/>
      <c r="P7" s="34"/>
      <c r="Q7" s="34"/>
      <c r="R7" s="34"/>
      <c r="S7" s="34"/>
      <c r="T7" s="34"/>
      <c r="U7" s="34"/>
      <c r="V7" s="34"/>
      <c r="W7" s="34"/>
      <c r="X7" s="34"/>
      <c r="Y7" s="34"/>
      <c r="Z7" s="34"/>
    </row>
    <row r="8" spans="1:26">
      <c r="A8" s="35" t="s">
        <v>0</v>
      </c>
      <c r="B8" s="34"/>
      <c r="C8" s="34"/>
      <c r="D8" s="34"/>
      <c r="E8" s="34"/>
      <c r="F8" s="34"/>
      <c r="G8" s="34"/>
      <c r="H8" s="34"/>
      <c r="I8" s="34"/>
      <c r="J8" s="34"/>
      <c r="K8" s="34"/>
      <c r="L8" s="34"/>
      <c r="M8" s="34"/>
      <c r="N8" s="34"/>
      <c r="O8" s="34"/>
      <c r="P8" s="34"/>
      <c r="Q8" s="34"/>
      <c r="R8" s="34"/>
      <c r="S8" s="34"/>
      <c r="T8" s="34"/>
      <c r="U8" s="34"/>
      <c r="V8" s="34"/>
      <c r="W8" s="34"/>
      <c r="X8" s="34"/>
      <c r="Y8" s="34"/>
      <c r="Z8" s="34"/>
    </row>
    <row r="9" spans="1:26">
      <c r="A9" s="34" t="s">
        <v>1</v>
      </c>
      <c r="B9" s="34"/>
      <c r="C9" s="35" t="s">
        <v>2</v>
      </c>
      <c r="D9" s="34"/>
      <c r="E9" s="34"/>
      <c r="F9" s="34"/>
      <c r="G9" s="34"/>
      <c r="H9" s="34"/>
      <c r="I9" s="34"/>
      <c r="J9" s="34"/>
      <c r="K9" s="34"/>
      <c r="L9" s="34"/>
      <c r="M9" s="34"/>
      <c r="N9" s="34"/>
      <c r="O9" s="34"/>
      <c r="P9" s="34"/>
      <c r="Q9" s="34"/>
      <c r="R9" s="34"/>
      <c r="S9" s="34"/>
      <c r="T9" s="34"/>
      <c r="U9" s="34"/>
      <c r="V9" s="34"/>
      <c r="W9" s="34"/>
      <c r="X9" s="34"/>
      <c r="Y9" s="34"/>
      <c r="Z9" s="34"/>
    </row>
    <row r="10" spans="1:26">
      <c r="A10" s="34" t="s">
        <v>47</v>
      </c>
      <c r="B10" s="34"/>
      <c r="C10" s="36">
        <v>13</v>
      </c>
      <c r="D10" s="34"/>
      <c r="E10" s="34"/>
      <c r="F10" s="34"/>
      <c r="G10" s="34"/>
      <c r="H10" s="34"/>
      <c r="I10" s="34"/>
      <c r="J10" s="34"/>
      <c r="K10" s="34"/>
      <c r="L10" s="34"/>
      <c r="M10" s="34"/>
      <c r="N10" s="34"/>
      <c r="O10" s="34"/>
      <c r="P10" s="34"/>
      <c r="Q10" s="34"/>
      <c r="R10" s="34"/>
      <c r="S10" s="34"/>
      <c r="T10" s="34"/>
      <c r="U10" s="34"/>
      <c r="V10" s="34"/>
      <c r="W10" s="34"/>
      <c r="X10" s="34"/>
      <c r="Y10" s="34"/>
      <c r="Z10" s="34"/>
    </row>
    <row r="11" spans="1:26">
      <c r="A11" s="34" t="s">
        <v>3</v>
      </c>
      <c r="B11" s="34"/>
      <c r="C11" s="35" t="s">
        <v>21</v>
      </c>
      <c r="D11" s="34"/>
      <c r="E11" s="34"/>
      <c r="F11" s="34"/>
      <c r="G11" s="34"/>
      <c r="H11" s="34"/>
      <c r="I11" s="34"/>
      <c r="J11" s="34"/>
      <c r="K11" s="34"/>
      <c r="L11" s="34"/>
      <c r="M11" s="34"/>
      <c r="N11" s="34"/>
      <c r="O11" s="34"/>
      <c r="P11" s="34"/>
      <c r="Q11" s="34"/>
      <c r="R11" s="34"/>
      <c r="S11" s="34"/>
      <c r="T11" s="34"/>
      <c r="U11" s="34"/>
      <c r="V11" s="34"/>
      <c r="W11" s="34"/>
      <c r="X11" s="34"/>
      <c r="Y11" s="34"/>
      <c r="Z11" s="34"/>
    </row>
    <row r="12" spans="1:26">
      <c r="A12" s="130" t="s">
        <v>48</v>
      </c>
      <c r="B12" s="130"/>
      <c r="C12" s="131" t="s">
        <v>221</v>
      </c>
      <c r="D12" s="130"/>
      <c r="E12" s="182" t="s">
        <v>145</v>
      </c>
      <c r="F12" s="130"/>
      <c r="G12" s="130"/>
      <c r="H12" s="130"/>
      <c r="I12" s="130"/>
      <c r="J12" s="130"/>
      <c r="K12" s="130"/>
      <c r="L12" s="130"/>
      <c r="M12" s="130"/>
      <c r="N12" s="130"/>
      <c r="O12" s="130"/>
      <c r="P12" s="130"/>
      <c r="Q12" s="130"/>
      <c r="R12" s="130"/>
      <c r="S12" s="130"/>
      <c r="T12" s="130"/>
      <c r="U12" s="130"/>
      <c r="V12" s="130"/>
      <c r="W12" s="130"/>
      <c r="X12" s="130"/>
      <c r="Y12" s="130"/>
      <c r="Z12" s="130"/>
    </row>
    <row r="13" spans="1:26" s="104" customFormat="1" ht="50.1" customHeight="1">
      <c r="A13" s="69"/>
      <c r="B13" s="69"/>
      <c r="C13" s="69" t="s">
        <v>222</v>
      </c>
      <c r="D13" s="69" t="s">
        <v>223</v>
      </c>
      <c r="E13" s="69" t="s">
        <v>224</v>
      </c>
      <c r="F13" s="69" t="s">
        <v>225</v>
      </c>
      <c r="G13" s="69" t="s">
        <v>226</v>
      </c>
      <c r="H13" s="69" t="s">
        <v>227</v>
      </c>
      <c r="I13" s="69" t="s">
        <v>228</v>
      </c>
      <c r="J13" s="69" t="s">
        <v>229</v>
      </c>
      <c r="K13" s="69" t="s">
        <v>230</v>
      </c>
      <c r="L13" s="69" t="s">
        <v>231</v>
      </c>
      <c r="M13" s="69" t="s">
        <v>232</v>
      </c>
      <c r="N13" s="69" t="s">
        <v>233</v>
      </c>
      <c r="O13" s="69" t="s">
        <v>234</v>
      </c>
      <c r="P13" s="69" t="s">
        <v>235</v>
      </c>
      <c r="Q13" s="69" t="s">
        <v>236</v>
      </c>
      <c r="R13" s="69" t="s">
        <v>237</v>
      </c>
      <c r="S13" s="69" t="s">
        <v>238</v>
      </c>
      <c r="T13" s="69" t="s">
        <v>239</v>
      </c>
      <c r="U13" s="69" t="s">
        <v>240</v>
      </c>
      <c r="V13" s="69" t="s">
        <v>241</v>
      </c>
      <c r="W13" s="69" t="s">
        <v>242</v>
      </c>
      <c r="X13" s="69" t="s">
        <v>243</v>
      </c>
      <c r="Y13" s="69" t="s">
        <v>244</v>
      </c>
      <c r="Z13" s="69" t="s">
        <v>245</v>
      </c>
    </row>
    <row r="14" spans="1:26">
      <c r="A14" s="72"/>
      <c r="B14" s="72"/>
      <c r="C14" s="156" t="s">
        <v>246</v>
      </c>
      <c r="D14" s="156"/>
      <c r="E14" s="156"/>
      <c r="F14" s="156"/>
      <c r="G14" s="156"/>
      <c r="H14" s="156"/>
      <c r="I14" s="156"/>
      <c r="J14" s="156"/>
      <c r="K14" s="156"/>
      <c r="L14" s="156"/>
      <c r="M14" s="156"/>
      <c r="N14" s="156"/>
      <c r="O14" s="156"/>
      <c r="P14" s="156"/>
      <c r="Q14" s="156"/>
      <c r="R14" s="156"/>
      <c r="S14" s="156"/>
      <c r="T14" s="156"/>
      <c r="U14" s="156"/>
      <c r="V14" s="156"/>
      <c r="W14" s="156"/>
      <c r="X14" s="156"/>
      <c r="Y14" s="156"/>
      <c r="Z14" s="156"/>
    </row>
    <row r="15" spans="1:26" ht="17.25">
      <c r="A15" s="40" t="s">
        <v>144</v>
      </c>
      <c r="B15" s="40" t="s">
        <v>55</v>
      </c>
      <c r="C15" s="33">
        <v>0.28687525238166456</v>
      </c>
      <c r="D15" s="33">
        <v>0.21876855960765501</v>
      </c>
      <c r="E15" s="33">
        <v>0.16904317552653478</v>
      </c>
      <c r="F15" s="33">
        <v>0.14826912882198143</v>
      </c>
      <c r="G15" s="33">
        <v>0.13888999536448426</v>
      </c>
      <c r="H15" s="33">
        <v>0.12547703178115863</v>
      </c>
      <c r="I15" s="33">
        <v>0.11994099854685659</v>
      </c>
      <c r="J15" s="33">
        <v>7.0009098108693588E-2</v>
      </c>
      <c r="K15" s="33">
        <v>6.6974694234652174E-2</v>
      </c>
      <c r="L15" s="33">
        <v>6.6823116281991807E-2</v>
      </c>
      <c r="M15" s="33">
        <v>5.4446532323321584E-2</v>
      </c>
      <c r="N15" s="33">
        <v>4.9522547340674988E-2</v>
      </c>
      <c r="O15" s="33">
        <v>4.6046578474317611E-2</v>
      </c>
      <c r="P15" s="33">
        <v>3.4985977938496698E-2</v>
      </c>
      <c r="Q15" s="33">
        <v>3.3363926718576374E-2</v>
      </c>
      <c r="R15" s="33">
        <v>3.070993186114835E-2</v>
      </c>
      <c r="S15" s="33">
        <v>2.3755126355395829E-2</v>
      </c>
      <c r="T15" s="33">
        <v>2.3318953013546018E-2</v>
      </c>
      <c r="U15" s="33">
        <v>2.1659833697822962E-2</v>
      </c>
      <c r="V15" s="33">
        <v>2.1399602669605781E-2</v>
      </c>
      <c r="W15" s="33">
        <v>1.7787148473680937E-2</v>
      </c>
      <c r="X15" s="33">
        <v>1.2104791884701491E-2</v>
      </c>
      <c r="Y15" s="33">
        <v>1.0797474567148777E-2</v>
      </c>
      <c r="Z15" s="33">
        <v>5.3366820963817105E-3</v>
      </c>
    </row>
    <row r="16" spans="1:26">
      <c r="A16" s="40"/>
      <c r="B16" s="39"/>
    </row>
    <row r="17" spans="1:26">
      <c r="A17" s="40" t="s">
        <v>247</v>
      </c>
      <c r="B17" s="40" t="s">
        <v>55</v>
      </c>
      <c r="C17" s="33">
        <v>0.25211738265115247</v>
      </c>
      <c r="D17" s="33">
        <v>0.21139270779213817</v>
      </c>
      <c r="E17" s="33">
        <v>0.14434233460184245</v>
      </c>
      <c r="F17" s="33">
        <v>0.1541746348035703</v>
      </c>
      <c r="G17" s="33">
        <v>0.13351007866501624</v>
      </c>
      <c r="H17" s="33">
        <v>9.2099511617025273E-2</v>
      </c>
      <c r="I17" s="33">
        <v>0.12668315776927805</v>
      </c>
      <c r="J17" s="33">
        <v>6.2120842869192824E-2</v>
      </c>
      <c r="K17" s="33">
        <v>4.7319534911171898E-2</v>
      </c>
      <c r="L17" s="33">
        <v>6.1456313938492699E-2</v>
      </c>
      <c r="M17" s="33">
        <v>6.860801831672432E-2</v>
      </c>
      <c r="N17" s="33">
        <v>4.9977176834235547E-2</v>
      </c>
      <c r="O17" s="33">
        <v>4.2188219686695116E-2</v>
      </c>
      <c r="P17" s="33">
        <v>2.7916666300907233E-2</v>
      </c>
      <c r="Q17" s="33">
        <v>2.2708129568642387E-2</v>
      </c>
      <c r="R17" s="33">
        <v>3.2468602385999766E-2</v>
      </c>
      <c r="S17" s="33">
        <v>2.036248410612464E-2</v>
      </c>
      <c r="T17" s="33">
        <v>2.5761229019990287E-2</v>
      </c>
      <c r="U17" s="33">
        <v>2.1547017666248815E-2</v>
      </c>
      <c r="V17" s="33">
        <v>1.8623752210297596E-2</v>
      </c>
      <c r="W17" s="33">
        <v>1.5979965760946086E-2</v>
      </c>
      <c r="X17" s="33">
        <v>3.8573544400159446E-3</v>
      </c>
      <c r="Y17" s="33">
        <v>1.1544349529149244E-2</v>
      </c>
      <c r="Z17" s="33">
        <v>7.4237603227099947E-3</v>
      </c>
    </row>
    <row r="18" spans="1:26">
      <c r="A18" s="40"/>
      <c r="B18" s="39"/>
    </row>
    <row r="19" spans="1:26">
      <c r="A19" s="40" t="s">
        <v>248</v>
      </c>
      <c r="B19" s="40" t="s">
        <v>55</v>
      </c>
      <c r="C19" s="33">
        <v>0.31757686881232572</v>
      </c>
      <c r="D19" s="33">
        <v>0.22813778492168754</v>
      </c>
      <c r="E19" s="33">
        <v>0.18929897697221643</v>
      </c>
      <c r="F19" s="33">
        <v>0.14043658133357911</v>
      </c>
      <c r="G19" s="33">
        <v>0.14455434153203728</v>
      </c>
      <c r="H19" s="33">
        <v>0.15279738916286645</v>
      </c>
      <c r="I19" s="33">
        <v>0.11507046153213196</v>
      </c>
      <c r="J19" s="33">
        <v>7.695660821285967E-2</v>
      </c>
      <c r="K19" s="33">
        <v>8.377445439099683E-2</v>
      </c>
      <c r="L19" s="33">
        <v>7.1356509135625842E-2</v>
      </c>
      <c r="M19" s="33">
        <v>4.2332587562636102E-2</v>
      </c>
      <c r="N19" s="33">
        <v>4.874710898414978E-2</v>
      </c>
      <c r="O19" s="33">
        <v>4.8580203885218873E-2</v>
      </c>
      <c r="P19" s="33">
        <v>4.094941892756903E-2</v>
      </c>
      <c r="Q19" s="33">
        <v>4.2667835945986853E-2</v>
      </c>
      <c r="R19" s="33">
        <v>2.9144614247663236E-2</v>
      </c>
      <c r="S19" s="33">
        <v>2.6507376251647837E-2</v>
      </c>
      <c r="T19" s="33">
        <v>2.0497659575528345E-2</v>
      </c>
      <c r="U19" s="33">
        <v>2.1336021657946076E-2</v>
      </c>
      <c r="V19" s="33">
        <v>2.3572130517320052E-2</v>
      </c>
      <c r="W19" s="33">
        <v>1.8549466271292097E-2</v>
      </c>
      <c r="X19" s="33">
        <v>1.9035843241709493E-2</v>
      </c>
      <c r="Y19" s="33">
        <v>1.0353850780589148E-2</v>
      </c>
      <c r="Z19" s="33">
        <v>3.4109823887602262E-3</v>
      </c>
    </row>
    <row r="20" spans="1:26">
      <c r="A20" s="40"/>
      <c r="B20" s="39"/>
      <c r="C20" s="4"/>
      <c r="D20" s="4"/>
      <c r="E20" s="4"/>
      <c r="F20" s="4"/>
      <c r="G20" s="4"/>
      <c r="H20" s="4"/>
      <c r="I20" s="4"/>
      <c r="J20" s="4"/>
      <c r="K20" s="4"/>
      <c r="L20" s="4"/>
      <c r="M20" s="4"/>
      <c r="N20" s="4"/>
      <c r="O20" s="4"/>
      <c r="P20" s="4"/>
      <c r="Q20" s="4"/>
      <c r="R20" s="4"/>
      <c r="S20" s="4"/>
      <c r="T20" s="4"/>
      <c r="U20" s="4"/>
      <c r="V20" s="4"/>
      <c r="W20" s="4"/>
      <c r="X20" s="4"/>
      <c r="Y20" s="4"/>
      <c r="Z20" s="4"/>
    </row>
    <row r="21" spans="1:26">
      <c r="A21" s="40" t="s">
        <v>59</v>
      </c>
      <c r="B21" s="39" t="s">
        <v>60</v>
      </c>
      <c r="C21" s="4">
        <v>0.16605576230582048</v>
      </c>
      <c r="D21" s="4">
        <v>2.9580409822704483E-2</v>
      </c>
      <c r="E21" s="4">
        <v>4.838384783363061E-2</v>
      </c>
      <c r="F21" s="4">
        <v>0.23281310442525299</v>
      </c>
      <c r="G21" s="4">
        <v>0.20457518465111491</v>
      </c>
      <c r="H21" s="4">
        <v>0.19072226075235102</v>
      </c>
      <c r="I21" s="4">
        <v>0.13140328435555973</v>
      </c>
      <c r="J21" s="4">
        <v>0.13917650654379443</v>
      </c>
      <c r="K21" s="4">
        <v>0.1704032167475798</v>
      </c>
      <c r="L21" s="4">
        <v>8.4554194281771175E-2</v>
      </c>
      <c r="M21" s="4">
        <v>4.9503059456656451E-2</v>
      </c>
      <c r="N21" s="4">
        <v>5.9359401324580424E-2</v>
      </c>
      <c r="O21" s="4">
        <v>0.10656508184026463</v>
      </c>
      <c r="P21" s="4">
        <v>3.6266390526342396E-2</v>
      </c>
      <c r="Q21" s="4">
        <v>0</v>
      </c>
      <c r="R21" s="4">
        <v>4.1188321472947285E-2</v>
      </c>
      <c r="S21" s="4">
        <v>6.6466152953652227E-2</v>
      </c>
      <c r="T21" s="4">
        <v>6.9190730500699377E-2</v>
      </c>
      <c r="U21" s="4">
        <v>8.4564163081821783E-2</v>
      </c>
      <c r="V21" s="4">
        <v>5.6086823091228179E-2</v>
      </c>
      <c r="W21" s="4">
        <v>2.0120023518806717E-2</v>
      </c>
      <c r="X21" s="4">
        <v>0</v>
      </c>
      <c r="Y21" s="4">
        <v>4.6343750696563067E-2</v>
      </c>
      <c r="Z21" s="4">
        <v>0</v>
      </c>
    </row>
    <row r="22" spans="1:26">
      <c r="A22" s="39"/>
      <c r="B22" s="39" t="s">
        <v>61</v>
      </c>
      <c r="C22" s="4">
        <v>0.18598791507691195</v>
      </c>
      <c r="D22" s="4">
        <v>2.449660678201274E-2</v>
      </c>
      <c r="E22" s="4">
        <v>5.2029370848562205E-2</v>
      </c>
      <c r="F22" s="4">
        <v>0.18268484406650051</v>
      </c>
      <c r="G22" s="4">
        <v>0.19059871150332397</v>
      </c>
      <c r="H22" s="4">
        <v>0.11298523224865678</v>
      </c>
      <c r="I22" s="4">
        <v>0.13626132047643474</v>
      </c>
      <c r="J22" s="4">
        <v>0.11272638784887135</v>
      </c>
      <c r="K22" s="4">
        <v>9.2359648362744268E-2</v>
      </c>
      <c r="L22" s="4">
        <v>5.7430756248559728E-2</v>
      </c>
      <c r="M22" s="4">
        <v>8.7070076095671356E-2</v>
      </c>
      <c r="N22" s="4">
        <v>7.7579929998160588E-2</v>
      </c>
      <c r="O22" s="4">
        <v>7.8924191545984526E-2</v>
      </c>
      <c r="P22" s="4">
        <v>2.4874089619857986E-2</v>
      </c>
      <c r="Q22" s="4">
        <v>2.5948943998824667E-2</v>
      </c>
      <c r="R22" s="4">
        <v>5.1857403325749681E-2</v>
      </c>
      <c r="S22" s="4">
        <v>4.5157992458789681E-2</v>
      </c>
      <c r="T22" s="4">
        <v>3.3510798632884725E-2</v>
      </c>
      <c r="U22" s="4">
        <v>5.1638598467666864E-2</v>
      </c>
      <c r="V22" s="4">
        <v>6.8111623583009873E-2</v>
      </c>
      <c r="W22" s="4">
        <v>3.6113821938919363E-2</v>
      </c>
      <c r="X22" s="4">
        <v>2.4265077057997443E-2</v>
      </c>
      <c r="Y22" s="4">
        <v>2.9733758049841928E-2</v>
      </c>
      <c r="Z22" s="4">
        <v>1.3487871178521356E-2</v>
      </c>
    </row>
    <row r="23" spans="1:26">
      <c r="A23" s="39"/>
      <c r="B23" s="39" t="s">
        <v>62</v>
      </c>
      <c r="C23" s="4">
        <v>0.18282956790462088</v>
      </c>
      <c r="D23" s="4">
        <v>3.4602718294031519E-2</v>
      </c>
      <c r="E23" s="4">
        <v>7.5996573278292956E-2</v>
      </c>
      <c r="F23" s="4">
        <v>0.18244423030255394</v>
      </c>
      <c r="G23" s="4">
        <v>0.21070002729493012</v>
      </c>
      <c r="H23" s="4">
        <v>9.7151215979282834E-2</v>
      </c>
      <c r="I23" s="4">
        <v>0.13241956821957152</v>
      </c>
      <c r="J23" s="4">
        <v>0.10519585638944703</v>
      </c>
      <c r="K23" s="4">
        <v>9.8504659014074361E-2</v>
      </c>
      <c r="L23" s="4">
        <v>6.7262017426085577E-2</v>
      </c>
      <c r="M23" s="4">
        <v>8.3518876408424758E-2</v>
      </c>
      <c r="N23" s="4">
        <v>8.0659467755977696E-2</v>
      </c>
      <c r="O23" s="4">
        <v>6.6555074075575746E-2</v>
      </c>
      <c r="P23" s="4">
        <v>7.8573870075303351E-2</v>
      </c>
      <c r="Q23" s="4">
        <v>0.10123996156225025</v>
      </c>
      <c r="R23" s="4">
        <v>5.875549131321043E-2</v>
      </c>
      <c r="S23" s="4">
        <v>4.6645940261079863E-2</v>
      </c>
      <c r="T23" s="4">
        <v>3.8530251771544448E-2</v>
      </c>
      <c r="U23" s="4">
        <v>3.2064903940760454E-2</v>
      </c>
      <c r="V23" s="4">
        <v>3.0981030763892449E-2</v>
      </c>
      <c r="W23" s="4">
        <v>3.4544176071597626E-2</v>
      </c>
      <c r="X23" s="4">
        <v>5.0647922434163398E-2</v>
      </c>
      <c r="Y23" s="4">
        <v>1.6090667236083021E-2</v>
      </c>
      <c r="Z23" s="4">
        <v>1.6349285073407414E-2</v>
      </c>
    </row>
    <row r="24" spans="1:26">
      <c r="A24" s="39"/>
      <c r="B24" s="39" t="s">
        <v>63</v>
      </c>
      <c r="C24" s="4">
        <v>0.17412851605885921</v>
      </c>
      <c r="D24" s="4">
        <v>5.4168666475070841E-2</v>
      </c>
      <c r="E24" s="4">
        <v>8.6221579734694034E-2</v>
      </c>
      <c r="F24" s="4">
        <v>0.20746648881835322</v>
      </c>
      <c r="G24" s="4">
        <v>0.18907291950567381</v>
      </c>
      <c r="H24" s="4">
        <v>0.11954280180635747</v>
      </c>
      <c r="I24" s="4">
        <v>0.15613091360127851</v>
      </c>
      <c r="J24" s="4">
        <v>8.4645519851104647E-2</v>
      </c>
      <c r="K24" s="4">
        <v>0.10079357376417865</v>
      </c>
      <c r="L24" s="4">
        <v>5.1903923820117048E-2</v>
      </c>
      <c r="M24" s="4">
        <v>7.5584915024530547E-2</v>
      </c>
      <c r="N24" s="4">
        <v>6.8095699452975611E-2</v>
      </c>
      <c r="O24" s="4">
        <v>6.3963471164406829E-2</v>
      </c>
      <c r="P24" s="4">
        <v>9.5027689328116907E-2</v>
      </c>
      <c r="Q24" s="4">
        <v>0.1017328672983914</v>
      </c>
      <c r="R24" s="4">
        <v>4.367446905490386E-2</v>
      </c>
      <c r="S24" s="4">
        <v>2.0682656814182045E-2</v>
      </c>
      <c r="T24" s="4">
        <v>2.3679423614220312E-2</v>
      </c>
      <c r="U24" s="4">
        <v>2.610902404090501E-2</v>
      </c>
      <c r="V24" s="4">
        <v>3.1423596194090332E-2</v>
      </c>
      <c r="W24" s="4">
        <v>2.5644350706759005E-2</v>
      </c>
      <c r="X24" s="4">
        <v>2.3825287005269626E-2</v>
      </c>
      <c r="Y24" s="4">
        <v>1.0310872802113956E-2</v>
      </c>
      <c r="Z24" s="4">
        <v>3.7176214865455117E-3</v>
      </c>
    </row>
    <row r="25" spans="1:26">
      <c r="A25" s="39"/>
      <c r="B25" s="39" t="s">
        <v>64</v>
      </c>
      <c r="C25" s="4">
        <v>0.27080578580509324</v>
      </c>
      <c r="D25" s="4">
        <v>0.11015632448208959</v>
      </c>
      <c r="E25" s="4">
        <v>0.12860658572474373</v>
      </c>
      <c r="F25" s="4">
        <v>0.18419998348580383</v>
      </c>
      <c r="G25" s="4">
        <v>0.20497591847612126</v>
      </c>
      <c r="H25" s="4">
        <v>0.13128877049623866</v>
      </c>
      <c r="I25" s="4">
        <v>0.12485503346237681</v>
      </c>
      <c r="J25" s="4">
        <v>6.5582670774609123E-2</v>
      </c>
      <c r="K25" s="4">
        <v>6.9507832542615833E-2</v>
      </c>
      <c r="L25" s="4">
        <v>5.7475716471257869E-2</v>
      </c>
      <c r="M25" s="4">
        <v>9.0174036213218206E-2</v>
      </c>
      <c r="N25" s="4">
        <v>4.0369983384637584E-2</v>
      </c>
      <c r="O25" s="4">
        <v>3.6877377608267745E-2</v>
      </c>
      <c r="P25" s="4">
        <v>5.1605729771913085E-2</v>
      </c>
      <c r="Q25" s="4">
        <v>2.3016086612395407E-2</v>
      </c>
      <c r="R25" s="4">
        <v>3.3545257398323897E-2</v>
      </c>
      <c r="S25" s="4">
        <v>1.3611753814715587E-2</v>
      </c>
      <c r="T25" s="4">
        <v>1.7491447010769445E-2</v>
      </c>
      <c r="U25" s="4">
        <v>1.5525066840505941E-2</v>
      </c>
      <c r="V25" s="4">
        <v>1.5846029127936524E-2</v>
      </c>
      <c r="W25" s="4">
        <v>7.409305518356145E-3</v>
      </c>
      <c r="X25" s="4">
        <v>2.2555881622181111E-3</v>
      </c>
      <c r="Y25" s="4">
        <v>7.9601984205118215E-3</v>
      </c>
      <c r="Z25" s="4">
        <v>1.1685695658353514E-3</v>
      </c>
    </row>
    <row r="26" spans="1:26">
      <c r="A26" s="39"/>
      <c r="B26" s="39" t="s">
        <v>65</v>
      </c>
      <c r="C26" s="4">
        <v>0.32797223882659315</v>
      </c>
      <c r="D26" s="4">
        <v>0.2116711950469034</v>
      </c>
      <c r="E26" s="4">
        <v>0.19285130564732436</v>
      </c>
      <c r="F26" s="4">
        <v>0.15398486792072708</v>
      </c>
      <c r="G26" s="4">
        <v>0.14079174547997081</v>
      </c>
      <c r="H26" s="4">
        <v>0.16685176133306323</v>
      </c>
      <c r="I26" s="4">
        <v>0.1341049169585698</v>
      </c>
      <c r="J26" s="4">
        <v>5.9303474744906458E-2</v>
      </c>
      <c r="K26" s="4">
        <v>5.8869730696257873E-2</v>
      </c>
      <c r="L26" s="4">
        <v>7.110922635006682E-2</v>
      </c>
      <c r="M26" s="4">
        <v>6.7155183416520936E-2</v>
      </c>
      <c r="N26" s="4">
        <v>4.3005467336572484E-2</v>
      </c>
      <c r="O26" s="4">
        <v>4.3825322096828989E-2</v>
      </c>
      <c r="P26" s="4">
        <v>8.5384786095388937E-3</v>
      </c>
      <c r="Q26" s="4">
        <v>6.4228680582470044E-3</v>
      </c>
      <c r="R26" s="4">
        <v>2.8112816332396668E-2</v>
      </c>
      <c r="S26" s="4">
        <v>1.2848987703034595E-2</v>
      </c>
      <c r="T26" s="4">
        <v>9.625271598816456E-3</v>
      </c>
      <c r="U26" s="4">
        <v>1.3237402389923896E-2</v>
      </c>
      <c r="V26" s="4">
        <v>1.7833558771165745E-2</v>
      </c>
      <c r="W26" s="4">
        <v>1.3824056959182405E-2</v>
      </c>
      <c r="X26" s="4">
        <v>0</v>
      </c>
      <c r="Y26" s="4">
        <v>5.4359150118104957E-3</v>
      </c>
      <c r="Z26" s="4">
        <v>4.055942673536264E-3</v>
      </c>
    </row>
    <row r="27" spans="1:26">
      <c r="A27" s="132"/>
      <c r="B27" s="132" t="s">
        <v>66</v>
      </c>
      <c r="C27" s="137">
        <v>0.39605003058065991</v>
      </c>
      <c r="D27" s="137">
        <v>0.4613330485261915</v>
      </c>
      <c r="E27" s="137">
        <v>0.28288437990444981</v>
      </c>
      <c r="F27" s="137">
        <v>7.8711647204360718E-2</v>
      </c>
      <c r="G27" s="137">
        <v>4.8078219977145044E-2</v>
      </c>
      <c r="H27" s="137">
        <v>0.11364178479660421</v>
      </c>
      <c r="I27" s="137">
        <v>8.8711430289411364E-2</v>
      </c>
      <c r="J27" s="137">
        <v>3.8820231761515334E-2</v>
      </c>
      <c r="K27" s="137">
        <v>2.5951819163466127E-2</v>
      </c>
      <c r="L27" s="137">
        <v>7.4237092871186405E-2</v>
      </c>
      <c r="M27" s="137">
        <v>1.0349674483521164E-2</v>
      </c>
      <c r="N27" s="137">
        <v>2.9446170185081715E-2</v>
      </c>
      <c r="O27" s="137">
        <v>2.0594651231445694E-2</v>
      </c>
      <c r="P27" s="137">
        <v>3.448062824032884E-3</v>
      </c>
      <c r="Q27" s="137">
        <v>4.1910592640834379E-3</v>
      </c>
      <c r="R27" s="137">
        <v>9.4209988609584103E-3</v>
      </c>
      <c r="S27" s="137">
        <v>1.4460659772766388E-2</v>
      </c>
      <c r="T27" s="137">
        <v>1.7234777124534025E-2</v>
      </c>
      <c r="U27" s="137">
        <v>6.6611715217901272E-3</v>
      </c>
      <c r="V27" s="137">
        <v>1.8522164029566614E-3</v>
      </c>
      <c r="W27" s="137">
        <v>9.610739188312227E-3</v>
      </c>
      <c r="X27" s="137">
        <v>1.2695089419968914E-3</v>
      </c>
      <c r="Y27" s="137">
        <v>3.1950061765122395E-3</v>
      </c>
      <c r="Z27" s="137">
        <v>2.8724465390589167E-3</v>
      </c>
    </row>
    <row r="28" spans="1:26">
      <c r="A28" s="72"/>
      <c r="B28" s="72"/>
      <c r="C28" s="156" t="s">
        <v>249</v>
      </c>
      <c r="D28" s="156"/>
      <c r="E28" s="156"/>
      <c r="F28" s="156"/>
      <c r="G28" s="156"/>
      <c r="H28" s="156"/>
      <c r="I28" s="156"/>
      <c r="J28" s="156"/>
      <c r="K28" s="156"/>
      <c r="L28" s="156"/>
      <c r="M28" s="156"/>
      <c r="N28" s="156"/>
      <c r="O28" s="156"/>
      <c r="P28" s="156"/>
      <c r="Q28" s="156"/>
      <c r="R28" s="156"/>
      <c r="S28" s="156"/>
      <c r="T28" s="156"/>
      <c r="U28" s="156"/>
      <c r="V28" s="156"/>
      <c r="W28" s="156"/>
      <c r="X28" s="156"/>
      <c r="Y28" s="156"/>
      <c r="Z28" s="156"/>
    </row>
    <row r="29" spans="1:26" ht="17.25">
      <c r="A29" s="40" t="s">
        <v>181</v>
      </c>
      <c r="B29" s="40" t="s">
        <v>55</v>
      </c>
      <c r="C29" s="51">
        <v>995906.1122576698</v>
      </c>
      <c r="D29" s="51">
        <v>759469.29501331632</v>
      </c>
      <c r="E29" s="51">
        <v>586844.38739366899</v>
      </c>
      <c r="F29" s="51">
        <v>514725.93201060954</v>
      </c>
      <c r="G29" s="51">
        <v>482165.65969553811</v>
      </c>
      <c r="H29" s="51">
        <v>435601.68352393131</v>
      </c>
      <c r="I29" s="51">
        <v>416382.98379319295</v>
      </c>
      <c r="J29" s="51">
        <v>243041.14119727071</v>
      </c>
      <c r="K29" s="51">
        <v>232507.01062962002</v>
      </c>
      <c r="L29" s="51">
        <v>231980.79790027268</v>
      </c>
      <c r="M29" s="51">
        <v>189014.68105687466</v>
      </c>
      <c r="N29" s="51">
        <v>171920.74667190871</v>
      </c>
      <c r="O29" s="51">
        <v>159853.69449057552</v>
      </c>
      <c r="P29" s="51">
        <v>121456.09976110926</v>
      </c>
      <c r="Q29" s="51">
        <v>115825.04336672749</v>
      </c>
      <c r="R29" s="51">
        <v>106611.52746227254</v>
      </c>
      <c r="S29" s="51">
        <v>82467.467438833162</v>
      </c>
      <c r="T29" s="51">
        <v>80953.263290703428</v>
      </c>
      <c r="U29" s="51">
        <v>75193.522588863227</v>
      </c>
      <c r="V29" s="51">
        <v>74290.113635149115</v>
      </c>
      <c r="W29" s="51">
        <v>61749.24374796202</v>
      </c>
      <c r="X29" s="51">
        <v>42022.572966812506</v>
      </c>
      <c r="Y29" s="51">
        <v>37484.135801521974</v>
      </c>
      <c r="Z29" s="51">
        <v>18526.639279053805</v>
      </c>
    </row>
    <row r="30" spans="1:26">
      <c r="A30" s="40"/>
      <c r="B30" s="39"/>
    </row>
    <row r="31" spans="1:26">
      <c r="A31" s="40" t="s">
        <v>247</v>
      </c>
      <c r="B31" s="40" t="s">
        <v>55</v>
      </c>
      <c r="C31" s="51">
        <v>397108.79795502697</v>
      </c>
      <c r="D31" s="51">
        <v>332963.57119472313</v>
      </c>
      <c r="E31" s="51">
        <v>227352.87184490348</v>
      </c>
      <c r="F31" s="51">
        <v>242839.6775271743</v>
      </c>
      <c r="G31" s="51">
        <v>210291.04100650293</v>
      </c>
      <c r="H31" s="51">
        <v>145065.46897279067</v>
      </c>
      <c r="I31" s="51">
        <v>199537.9928741898</v>
      </c>
      <c r="J31" s="51">
        <v>97846.221392325358</v>
      </c>
      <c r="K31" s="51">
        <v>74532.757046613391</v>
      </c>
      <c r="L31" s="51">
        <v>96799.525277596113</v>
      </c>
      <c r="M31" s="51">
        <v>108064.13820949734</v>
      </c>
      <c r="N31" s="51">
        <v>78718.795225991838</v>
      </c>
      <c r="O31" s="51">
        <v>66450.448721448047</v>
      </c>
      <c r="P31" s="51">
        <v>43971.398088818787</v>
      </c>
      <c r="Q31" s="51">
        <v>35767.45856229982</v>
      </c>
      <c r="R31" s="51">
        <v>51141.129299380933</v>
      </c>
      <c r="S31" s="51">
        <v>32072.844409740803</v>
      </c>
      <c r="T31" s="51">
        <v>40576.379868767202</v>
      </c>
      <c r="U31" s="51">
        <v>33938.59715257791</v>
      </c>
      <c r="V31" s="51">
        <v>29334.176707191626</v>
      </c>
      <c r="W31" s="51">
        <v>25169.962213483184</v>
      </c>
      <c r="X31" s="51">
        <v>6075.6992193620808</v>
      </c>
      <c r="Y31" s="51">
        <v>18183.445808004395</v>
      </c>
      <c r="Z31" s="51">
        <v>11693.126856456018</v>
      </c>
    </row>
    <row r="32" spans="1:26">
      <c r="A32" s="40"/>
      <c r="B32" s="39"/>
      <c r="C32" s="51"/>
      <c r="D32" s="51"/>
      <c r="E32" s="51"/>
      <c r="F32" s="51"/>
      <c r="G32" s="51"/>
      <c r="H32" s="51"/>
      <c r="I32" s="51"/>
      <c r="J32" s="51"/>
      <c r="K32" s="51"/>
      <c r="L32" s="51"/>
      <c r="M32" s="51"/>
      <c r="N32" s="51"/>
      <c r="O32" s="51"/>
      <c r="P32" s="51"/>
      <c r="Q32" s="51"/>
      <c r="R32" s="51"/>
      <c r="S32" s="51"/>
      <c r="T32" s="51"/>
      <c r="U32" s="51"/>
      <c r="V32" s="51"/>
      <c r="W32" s="51"/>
      <c r="X32" s="51"/>
      <c r="Y32" s="51"/>
      <c r="Z32" s="51"/>
    </row>
    <row r="33" spans="1:26">
      <c r="A33" s="40" t="s">
        <v>248</v>
      </c>
      <c r="B33" s="40" t="s">
        <v>55</v>
      </c>
      <c r="C33" s="51">
        <v>591997.39536036924</v>
      </c>
      <c r="D33" s="51">
        <v>425273.3360650898</v>
      </c>
      <c r="E33" s="51">
        <v>352873.62625317631</v>
      </c>
      <c r="F33" s="51">
        <v>261788.87232471743</v>
      </c>
      <c r="G33" s="51">
        <v>269464.8196357491</v>
      </c>
      <c r="H33" s="51">
        <v>284830.74583034904</v>
      </c>
      <c r="I33" s="51">
        <v>214503.70036299623</v>
      </c>
      <c r="J33" s="51">
        <v>143455.38385134784</v>
      </c>
      <c r="K33" s="51">
        <v>156164.58145292138</v>
      </c>
      <c r="L33" s="51">
        <v>133016.19764776574</v>
      </c>
      <c r="M33" s="51">
        <v>78912.49028831246</v>
      </c>
      <c r="N33" s="51">
        <v>90869.847221205069</v>
      </c>
      <c r="O33" s="51">
        <v>90558.718189015213</v>
      </c>
      <c r="P33" s="51">
        <v>76334.115382211356</v>
      </c>
      <c r="Q33" s="51">
        <v>79537.42928492339</v>
      </c>
      <c r="R33" s="51">
        <v>54328.691469010737</v>
      </c>
      <c r="S33" s="51">
        <v>49412.596570710251</v>
      </c>
      <c r="T33" s="51">
        <v>38209.839164537247</v>
      </c>
      <c r="U33" s="51">
        <v>39772.636137176618</v>
      </c>
      <c r="V33" s="51">
        <v>43940.983238280918</v>
      </c>
      <c r="W33" s="51">
        <v>34578.197584092246</v>
      </c>
      <c r="X33" s="51">
        <v>35484.856500175083</v>
      </c>
      <c r="Y33" s="51">
        <v>19300.689993517582</v>
      </c>
      <c r="Z33" s="51">
        <v>6358.4375566076233</v>
      </c>
    </row>
    <row r="34" spans="1:26">
      <c r="A34" s="40"/>
      <c r="B34" s="39"/>
      <c r="C34" s="50"/>
      <c r="D34" s="50"/>
      <c r="E34" s="50"/>
      <c r="F34" s="50"/>
      <c r="G34" s="50"/>
      <c r="H34" s="50"/>
      <c r="I34" s="50"/>
      <c r="J34" s="50"/>
      <c r="K34" s="50"/>
      <c r="L34" s="50"/>
      <c r="M34" s="50"/>
      <c r="N34" s="50"/>
      <c r="O34" s="50"/>
      <c r="P34" s="50"/>
      <c r="Q34" s="50"/>
      <c r="R34" s="50"/>
      <c r="S34" s="50"/>
      <c r="T34" s="50"/>
      <c r="U34" s="50"/>
      <c r="V34" s="50"/>
      <c r="W34" s="50"/>
      <c r="X34" s="50"/>
      <c r="Y34" s="50"/>
      <c r="Z34" s="50"/>
    </row>
    <row r="35" spans="1:26">
      <c r="A35" s="40" t="s">
        <v>59</v>
      </c>
      <c r="B35" s="39" t="s">
        <v>60</v>
      </c>
      <c r="C35" s="50">
        <v>25390.503469836669</v>
      </c>
      <c r="D35" s="50">
        <v>4522.9475196371623</v>
      </c>
      <c r="E35" s="50">
        <v>7398.0585752957468</v>
      </c>
      <c r="F35" s="50">
        <v>35597.933210208364</v>
      </c>
      <c r="G35" s="50">
        <v>31280.257087137197</v>
      </c>
      <c r="H35" s="50">
        <v>29162.096853280505</v>
      </c>
      <c r="I35" s="50">
        <v>20092.019096773187</v>
      </c>
      <c r="J35" s="50">
        <v>21280.571798598136</v>
      </c>
      <c r="K35" s="50">
        <v>26055.244371059693</v>
      </c>
      <c r="L35" s="50">
        <v>12928.630319655605</v>
      </c>
      <c r="M35" s="50">
        <v>7569.1899242072277</v>
      </c>
      <c r="N35" s="50">
        <v>9076.2588685328537</v>
      </c>
      <c r="O35" s="50">
        <v>16294.171564161541</v>
      </c>
      <c r="P35" s="50">
        <v>5545.2572178838045</v>
      </c>
      <c r="Q35" s="50">
        <v>0</v>
      </c>
      <c r="R35" s="50">
        <v>6297.8375742818771</v>
      </c>
      <c r="S35" s="50">
        <v>10162.905904393592</v>
      </c>
      <c r="T35" s="50">
        <v>10579.503285306731</v>
      </c>
      <c r="U35" s="50">
        <v>12930.154583847107</v>
      </c>
      <c r="V35" s="50">
        <v>8575.8702771618846</v>
      </c>
      <c r="W35" s="50">
        <v>3076.4215578777967</v>
      </c>
      <c r="X35" s="50">
        <v>0</v>
      </c>
      <c r="Y35" s="50">
        <v>7086.1206291610006</v>
      </c>
      <c r="Z35" s="50">
        <v>0</v>
      </c>
    </row>
    <row r="36" spans="1:26">
      <c r="A36" s="39"/>
      <c r="B36" s="39" t="s">
        <v>61</v>
      </c>
      <c r="C36" s="50">
        <v>55036.991288874313</v>
      </c>
      <c r="D36" s="50">
        <v>7248.9631033881033</v>
      </c>
      <c r="E36" s="50">
        <v>15396.376850473129</v>
      </c>
      <c r="F36" s="50">
        <v>54059.556328375023</v>
      </c>
      <c r="G36" s="50">
        <v>56401.40446943108</v>
      </c>
      <c r="H36" s="50">
        <v>33434.254265763833</v>
      </c>
      <c r="I36" s="50">
        <v>40322.0451445504</v>
      </c>
      <c r="J36" s="50">
        <v>33357.657799965105</v>
      </c>
      <c r="K36" s="50">
        <v>27330.792757592808</v>
      </c>
      <c r="L36" s="50">
        <v>16994.738771378492</v>
      </c>
      <c r="M36" s="50">
        <v>25765.51824680336</v>
      </c>
      <c r="N36" s="50">
        <v>22957.222407351353</v>
      </c>
      <c r="O36" s="50">
        <v>23355.01229099492</v>
      </c>
      <c r="P36" s="50">
        <v>7360.6667033214489</v>
      </c>
      <c r="Q36" s="50">
        <v>7678.7344179228758</v>
      </c>
      <c r="R36" s="50">
        <v>15345.488732010765</v>
      </c>
      <c r="S36" s="50">
        <v>13363.01897115027</v>
      </c>
      <c r="T36" s="50">
        <v>9916.4159761595638</v>
      </c>
      <c r="U36" s="50">
        <v>15280.740648441531</v>
      </c>
      <c r="V36" s="50">
        <v>20155.389301821091</v>
      </c>
      <c r="W36" s="50">
        <v>10686.694899710708</v>
      </c>
      <c r="X36" s="50">
        <v>7180.4495152956952</v>
      </c>
      <c r="Y36" s="50">
        <v>8798.7253478158491</v>
      </c>
      <c r="Z36" s="50">
        <v>3991.290768815602</v>
      </c>
    </row>
    <row r="37" spans="1:26">
      <c r="A37" s="39"/>
      <c r="B37" s="39" t="s">
        <v>62</v>
      </c>
      <c r="C37" s="50">
        <v>76754.576271736485</v>
      </c>
      <c r="D37" s="50">
        <v>14526.736626617207</v>
      </c>
      <c r="E37" s="50">
        <v>31904.493605336145</v>
      </c>
      <c r="F37" s="50">
        <v>76592.805805902186</v>
      </c>
      <c r="G37" s="50">
        <v>88455.010318147411</v>
      </c>
      <c r="H37" s="50">
        <v>40785.527758091608</v>
      </c>
      <c r="I37" s="50">
        <v>55591.707431490533</v>
      </c>
      <c r="J37" s="50">
        <v>44162.787645632125</v>
      </c>
      <c r="K37" s="50">
        <v>41353.723306732572</v>
      </c>
      <c r="L37" s="50">
        <v>28237.596937354418</v>
      </c>
      <c r="M37" s="50">
        <v>35062.468521308321</v>
      </c>
      <c r="N37" s="50">
        <v>33862.04617156669</v>
      </c>
      <c r="O37" s="50">
        <v>27940.811587269192</v>
      </c>
      <c r="P37" s="50">
        <v>32986.481195462904</v>
      </c>
      <c r="Q37" s="50">
        <v>42502.04406505634</v>
      </c>
      <c r="R37" s="50">
        <v>24666.430550969868</v>
      </c>
      <c r="S37" s="50">
        <v>19582.66061977292</v>
      </c>
      <c r="T37" s="50">
        <v>16175.573690088413</v>
      </c>
      <c r="U37" s="50">
        <v>13461.324354553697</v>
      </c>
      <c r="V37" s="50">
        <v>13006.298248129793</v>
      </c>
      <c r="W37" s="50">
        <v>14502.159729518902</v>
      </c>
      <c r="X37" s="50">
        <v>21262.752354728589</v>
      </c>
      <c r="Y37" s="50">
        <v>6755.1018130686671</v>
      </c>
      <c r="Z37" s="50">
        <v>6863.67343388277</v>
      </c>
    </row>
    <row r="38" spans="1:26">
      <c r="A38" s="39"/>
      <c r="B38" s="39" t="s">
        <v>63</v>
      </c>
      <c r="C38" s="50">
        <v>80625.743412333148</v>
      </c>
      <c r="D38" s="50">
        <v>25081.411724263715</v>
      </c>
      <c r="E38" s="50">
        <v>39922.691134320849</v>
      </c>
      <c r="F38" s="50">
        <v>96062.036665333406</v>
      </c>
      <c r="G38" s="50">
        <v>87545.366142856947</v>
      </c>
      <c r="H38" s="50">
        <v>55351.22841093324</v>
      </c>
      <c r="I38" s="50">
        <v>72292.415186578408</v>
      </c>
      <c r="J38" s="50">
        <v>39192.93702710847</v>
      </c>
      <c r="K38" s="50">
        <v>46669.879235494023</v>
      </c>
      <c r="L38" s="50">
        <v>24032.780722713407</v>
      </c>
      <c r="M38" s="50">
        <v>34997.65634338071</v>
      </c>
      <c r="N38" s="50">
        <v>31529.967152095509</v>
      </c>
      <c r="O38" s="50">
        <v>29616.644824104646</v>
      </c>
      <c r="P38" s="50">
        <v>44000.13432748631</v>
      </c>
      <c r="Q38" s="50">
        <v>47104.795016047181</v>
      </c>
      <c r="R38" s="50">
        <v>20222.342758036779</v>
      </c>
      <c r="S38" s="50">
        <v>9576.5737808384911</v>
      </c>
      <c r="T38" s="50">
        <v>10964.149788233008</v>
      </c>
      <c r="U38" s="50">
        <v>12089.113952805346</v>
      </c>
      <c r="V38" s="50">
        <v>14549.89028322679</v>
      </c>
      <c r="W38" s="50">
        <v>11873.958883105302</v>
      </c>
      <c r="X38" s="50">
        <v>11031.688090437454</v>
      </c>
      <c r="Y38" s="50">
        <v>4774.1852036425753</v>
      </c>
      <c r="Z38" s="50">
        <v>1721.3492819124335</v>
      </c>
    </row>
    <row r="39" spans="1:26">
      <c r="A39" s="39"/>
      <c r="B39" s="39" t="s">
        <v>64</v>
      </c>
      <c r="C39" s="50">
        <v>122160.79253222718</v>
      </c>
      <c r="D39" s="50">
        <v>49691.641045123317</v>
      </c>
      <c r="E39" s="50">
        <v>58014.574505088087</v>
      </c>
      <c r="F39" s="50">
        <v>83092.818346371321</v>
      </c>
      <c r="G39" s="50">
        <v>92464.865832246986</v>
      </c>
      <c r="H39" s="50">
        <v>59224.511052158457</v>
      </c>
      <c r="I39" s="50">
        <v>56322.245088143289</v>
      </c>
      <c r="J39" s="50">
        <v>29584.416058128783</v>
      </c>
      <c r="K39" s="50">
        <v>31355.060917031497</v>
      </c>
      <c r="L39" s="50">
        <v>25927.359914458633</v>
      </c>
      <c r="M39" s="50">
        <v>40677.608481987278</v>
      </c>
      <c r="N39" s="50">
        <v>18210.944607843816</v>
      </c>
      <c r="O39" s="50">
        <v>16635.426240038141</v>
      </c>
      <c r="P39" s="50">
        <v>23279.402356189563</v>
      </c>
      <c r="Q39" s="50">
        <v>10382.582385386117</v>
      </c>
      <c r="R39" s="50">
        <v>15132.303090548414</v>
      </c>
      <c r="S39" s="50">
        <v>6140.277353438838</v>
      </c>
      <c r="T39" s="50">
        <v>7890.4112887342299</v>
      </c>
      <c r="U39" s="50">
        <v>7003.3749970061981</v>
      </c>
      <c r="V39" s="50">
        <v>7148.1614434586254</v>
      </c>
      <c r="W39" s="50">
        <v>3342.3459973164563</v>
      </c>
      <c r="X39" s="50">
        <v>1017.4983400140187</v>
      </c>
      <c r="Y39" s="50">
        <v>3590.8544009594721</v>
      </c>
      <c r="Z39" s="50">
        <v>527.14303672311826</v>
      </c>
    </row>
    <row r="40" spans="1:26">
      <c r="A40" s="39"/>
      <c r="B40" s="39" t="s">
        <v>65</v>
      </c>
      <c r="C40" s="50">
        <v>158564.19671543618</v>
      </c>
      <c r="D40" s="50">
        <v>102336.32313055152</v>
      </c>
      <c r="E40" s="50">
        <v>93237.502280365472</v>
      </c>
      <c r="F40" s="50">
        <v>74446.809813961765</v>
      </c>
      <c r="G40" s="50">
        <v>68068.352693714522</v>
      </c>
      <c r="H40" s="50">
        <v>80667.54552455018</v>
      </c>
      <c r="I40" s="50">
        <v>64835.482750626383</v>
      </c>
      <c r="J40" s="50">
        <v>28671.353005374513</v>
      </c>
      <c r="K40" s="50">
        <v>28461.651486428491</v>
      </c>
      <c r="L40" s="50">
        <v>34379.060238741848</v>
      </c>
      <c r="M40" s="50">
        <v>32467.405631086036</v>
      </c>
      <c r="N40" s="50">
        <v>20791.78227703895</v>
      </c>
      <c r="O40" s="50">
        <v>21188.156104130252</v>
      </c>
      <c r="P40" s="50">
        <v>4128.0841535167474</v>
      </c>
      <c r="Q40" s="50">
        <v>3105.2534138526335</v>
      </c>
      <c r="R40" s="50">
        <v>13591.656888715996</v>
      </c>
      <c r="S40" s="50">
        <v>6212.0788668806053</v>
      </c>
      <c r="T40" s="50">
        <v>4653.5141653900309</v>
      </c>
      <c r="U40" s="50">
        <v>6399.8650741505535</v>
      </c>
      <c r="V40" s="50">
        <v>8621.9612100234026</v>
      </c>
      <c r="W40" s="50">
        <v>6683.4939899902838</v>
      </c>
      <c r="X40" s="50">
        <v>0</v>
      </c>
      <c r="Y40" s="50">
        <v>2628.0928542761249</v>
      </c>
      <c r="Z40" s="50">
        <v>1960.9199066789713</v>
      </c>
    </row>
    <row r="41" spans="1:26">
      <c r="A41" s="39"/>
      <c r="B41" s="39" t="s">
        <v>66</v>
      </c>
      <c r="C41" s="50">
        <v>477373.30856722646</v>
      </c>
      <c r="D41" s="50">
        <v>556061.27186373493</v>
      </c>
      <c r="E41" s="50">
        <v>340970.69044278929</v>
      </c>
      <c r="F41" s="50">
        <v>94873.971840457743</v>
      </c>
      <c r="G41" s="50">
        <v>57950.403152003739</v>
      </c>
      <c r="H41" s="50">
        <v>136976.51965915243</v>
      </c>
      <c r="I41" s="50">
        <v>106927.06909503051</v>
      </c>
      <c r="J41" s="50">
        <v>46791.417862463495</v>
      </c>
      <c r="K41" s="50">
        <v>31280.658555280887</v>
      </c>
      <c r="L41" s="50">
        <v>89480.630995970132</v>
      </c>
      <c r="M41" s="50">
        <v>12474.833908101617</v>
      </c>
      <c r="N41" s="50">
        <v>35492.525187479449</v>
      </c>
      <c r="O41" s="50">
        <v>24823.471879876743</v>
      </c>
      <c r="P41" s="50">
        <v>4156.0738072484601</v>
      </c>
      <c r="Q41" s="50">
        <v>5051.6340684623974</v>
      </c>
      <c r="R41" s="50">
        <v>11355.467867708843</v>
      </c>
      <c r="S41" s="50">
        <v>17429.951942358428</v>
      </c>
      <c r="T41" s="50">
        <v>20773.695096791445</v>
      </c>
      <c r="U41" s="50">
        <v>8028.9489780587846</v>
      </c>
      <c r="V41" s="50">
        <v>2232.5428713275451</v>
      </c>
      <c r="W41" s="50">
        <v>11584.168690442582</v>
      </c>
      <c r="X41" s="50">
        <v>1530.1846663367714</v>
      </c>
      <c r="Y41" s="50">
        <v>3851.0555525982868</v>
      </c>
      <c r="Z41" s="50">
        <v>3462.2628510409068</v>
      </c>
    </row>
    <row r="42" spans="1:26">
      <c r="A42" s="132"/>
      <c r="B42" s="132"/>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row>
    <row r="43" spans="1:26" ht="14.45" customHeight="1">
      <c r="A43" s="19" t="s">
        <v>250</v>
      </c>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5" customHeight="1">
      <c r="A44" s="29" t="s">
        <v>147</v>
      </c>
    </row>
    <row r="45" spans="1:26">
      <c r="A45" s="16" t="s">
        <v>251</v>
      </c>
    </row>
    <row r="46" spans="1:26">
      <c r="A46" s="16" t="s">
        <v>119</v>
      </c>
    </row>
    <row r="47" spans="1:26" ht="15" customHeight="1">
      <c r="A47" s="16" t="s">
        <v>120</v>
      </c>
      <c r="B47" s="29"/>
      <c r="C47" s="2"/>
      <c r="G47" s="2"/>
      <c r="K47" s="2"/>
      <c r="O47" s="2"/>
      <c r="S47" s="2"/>
      <c r="W47" s="2"/>
    </row>
    <row r="48" spans="1:26">
      <c r="A48" s="29" t="s">
        <v>118</v>
      </c>
    </row>
  </sheetData>
  <mergeCells count="2">
    <mergeCell ref="C14:Z14"/>
    <mergeCell ref="C28:Z28"/>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C29&lt;'34'!$C$104</xm:f>
            <x14:dxf>
              <font>
                <color rgb="FFFF0000"/>
              </font>
              <numFmt numFmtId="172" formatCode="\*\*0.0%"/>
            </x14:dxf>
          </x14:cfRule>
          <x14:cfRule type="expression" priority="4" id="{E524F568-C616-457D-8467-0472D862CDFD}">
            <xm:f>C29&lt;'34'!$C$103</xm:f>
            <x14:dxf>
              <font>
                <color rgb="FF00B050"/>
              </font>
              <numFmt numFmtId="171" formatCode="\*0.0%"/>
            </x14:dxf>
          </x14:cfRule>
          <xm:sqref>C15:Z27</xm:sqref>
        </x14:conditionalFormatting>
        <x14:conditionalFormatting xmlns:xm="http://schemas.microsoft.com/office/excel/2006/main">
          <x14:cfRule type="expression" priority="1" id="{EE4FE939-663E-429C-AED8-5A504682CAE1}">
            <xm:f>C29&lt;'34'!$C$104</xm:f>
            <x14:dxf>
              <font>
                <color rgb="FFFF0000"/>
              </font>
              <numFmt numFmtId="170" formatCode="\*\*#,###,###,##0"/>
            </x14:dxf>
          </x14:cfRule>
          <x14:cfRule type="expression" priority="2" id="{8A57AEED-2150-4E39-AF42-BCEE9D9CEAF5}">
            <xm:f>C29&lt;'34'!$C$103</xm:f>
            <x14:dxf>
              <font>
                <color rgb="FF00B050"/>
              </font>
              <numFmt numFmtId="169" formatCode="\*#,###,###,##0"/>
            </x14:dxf>
          </x14:cfRule>
          <xm:sqref>C29:Z41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43"/>
  <sheetViews>
    <sheetView zoomScaleNormal="100" workbookViewId="0">
      <pane xSplit="2" ySplit="13" topLeftCell="C14" activePane="bottomRight" state="frozen"/>
      <selection pane="bottomRight"/>
      <selection pane="bottomLeft"/>
      <selection pane="topRight"/>
    </sheetView>
  </sheetViews>
  <sheetFormatPr defaultColWidth="8.85546875" defaultRowHeight="15"/>
  <cols>
    <col min="1" max="2" width="15.7109375" style="1" customWidth="1"/>
    <col min="3" max="25" width="19" style="1" customWidth="1"/>
    <col min="26" max="16384" width="8.85546875" style="1"/>
  </cols>
  <sheetData>
    <row r="1" spans="1:25">
      <c r="A1" s="34"/>
      <c r="B1" s="34"/>
      <c r="C1" s="34"/>
      <c r="D1" s="34"/>
      <c r="E1" s="34"/>
      <c r="F1" s="34"/>
      <c r="G1" s="34"/>
      <c r="H1" s="34"/>
      <c r="I1" s="34"/>
      <c r="J1" s="34"/>
      <c r="K1" s="34"/>
      <c r="L1" s="34"/>
      <c r="M1" s="34"/>
      <c r="N1" s="34"/>
      <c r="O1" s="34"/>
      <c r="P1" s="34"/>
      <c r="Q1" s="34"/>
      <c r="R1" s="34"/>
      <c r="S1" s="34"/>
      <c r="T1" s="34"/>
      <c r="U1" s="34"/>
      <c r="V1" s="34"/>
      <c r="W1" s="34"/>
      <c r="X1" s="34"/>
      <c r="Y1" s="34"/>
    </row>
    <row r="2" spans="1:25">
      <c r="A2" s="34"/>
      <c r="B2" s="34"/>
      <c r="C2" s="34"/>
      <c r="D2" s="34"/>
      <c r="E2" s="34"/>
      <c r="F2" s="34"/>
      <c r="G2" s="34"/>
      <c r="H2" s="34"/>
      <c r="I2" s="34"/>
      <c r="J2" s="34"/>
      <c r="K2" s="34"/>
      <c r="L2" s="34"/>
      <c r="M2" s="34"/>
      <c r="N2" s="34"/>
      <c r="O2" s="34"/>
      <c r="P2" s="34"/>
      <c r="Q2" s="34"/>
      <c r="R2" s="34"/>
      <c r="S2" s="34"/>
      <c r="T2" s="34"/>
      <c r="U2" s="34"/>
      <c r="V2" s="34"/>
      <c r="W2" s="34"/>
      <c r="X2" s="34"/>
      <c r="Y2" s="34"/>
    </row>
    <row r="3" spans="1:25">
      <c r="A3" s="34"/>
      <c r="B3" s="34"/>
      <c r="C3" s="34"/>
      <c r="D3" s="34"/>
      <c r="E3" s="34"/>
      <c r="F3" s="34"/>
      <c r="G3" s="34"/>
      <c r="H3" s="34"/>
      <c r="I3" s="34"/>
      <c r="J3" s="34"/>
      <c r="K3" s="34"/>
      <c r="L3" s="34"/>
      <c r="M3" s="34"/>
      <c r="N3" s="34"/>
      <c r="O3" s="34"/>
      <c r="P3" s="34"/>
      <c r="Q3" s="34"/>
      <c r="R3" s="34"/>
      <c r="S3" s="34"/>
      <c r="T3" s="34"/>
      <c r="U3" s="34"/>
      <c r="V3" s="34"/>
      <c r="W3" s="34"/>
      <c r="X3" s="34"/>
      <c r="Y3" s="34"/>
    </row>
    <row r="4" spans="1:25">
      <c r="A4" s="34"/>
      <c r="B4" s="34"/>
      <c r="C4" s="34"/>
      <c r="D4" s="34"/>
      <c r="E4" s="34"/>
      <c r="F4" s="34"/>
      <c r="G4" s="34"/>
      <c r="H4" s="34"/>
      <c r="I4" s="34"/>
      <c r="J4" s="34"/>
      <c r="K4" s="34"/>
      <c r="L4" s="34"/>
      <c r="M4" s="34"/>
      <c r="N4" s="34"/>
      <c r="O4" s="34"/>
      <c r="P4" s="34"/>
      <c r="Q4" s="34"/>
      <c r="R4" s="34"/>
      <c r="S4" s="34"/>
      <c r="T4" s="34"/>
      <c r="U4" s="34"/>
      <c r="V4" s="34"/>
      <c r="W4" s="34"/>
      <c r="X4" s="34"/>
      <c r="Y4" s="34"/>
    </row>
    <row r="5" spans="1:25">
      <c r="A5" s="34"/>
      <c r="B5" s="34"/>
      <c r="C5" s="34"/>
      <c r="D5" s="34"/>
      <c r="E5" s="34"/>
      <c r="F5" s="34"/>
      <c r="G5" s="34"/>
      <c r="H5" s="34"/>
      <c r="I5" s="34"/>
      <c r="J5" s="34"/>
      <c r="K5" s="34"/>
      <c r="L5" s="34"/>
      <c r="M5" s="34"/>
      <c r="N5" s="34"/>
      <c r="O5" s="34"/>
      <c r="P5" s="34"/>
      <c r="Q5" s="34"/>
      <c r="R5" s="34"/>
      <c r="S5" s="34"/>
      <c r="T5" s="34"/>
      <c r="U5" s="34"/>
      <c r="V5" s="34"/>
      <c r="W5" s="34"/>
      <c r="X5" s="34"/>
      <c r="Y5" s="34"/>
    </row>
    <row r="6" spans="1:25">
      <c r="A6" s="34"/>
      <c r="B6" s="34"/>
      <c r="C6" s="34"/>
      <c r="D6" s="34"/>
      <c r="E6" s="34"/>
      <c r="F6" s="34"/>
      <c r="G6" s="34"/>
      <c r="H6" s="34"/>
      <c r="I6" s="34"/>
      <c r="J6" s="34"/>
      <c r="K6" s="34"/>
      <c r="L6" s="34"/>
      <c r="M6" s="34"/>
      <c r="N6" s="34"/>
      <c r="O6" s="34"/>
      <c r="P6" s="34"/>
      <c r="Q6" s="34"/>
      <c r="R6" s="34"/>
      <c r="S6" s="34"/>
      <c r="T6" s="34"/>
      <c r="U6" s="34"/>
      <c r="V6" s="34"/>
      <c r="W6" s="34"/>
      <c r="X6" s="34"/>
      <c r="Y6" s="34"/>
    </row>
    <row r="7" spans="1:25">
      <c r="A7" s="34"/>
      <c r="B7" s="34"/>
      <c r="C7" s="34"/>
      <c r="D7" s="34"/>
      <c r="E7" s="34"/>
      <c r="F7" s="34"/>
      <c r="G7" s="34"/>
      <c r="H7" s="34"/>
      <c r="I7" s="34"/>
      <c r="J7" s="34"/>
      <c r="K7" s="34"/>
      <c r="L7" s="34"/>
      <c r="M7" s="34"/>
      <c r="N7" s="34"/>
      <c r="O7" s="34"/>
      <c r="P7" s="34"/>
      <c r="Q7" s="34"/>
      <c r="R7" s="34"/>
      <c r="S7" s="34"/>
      <c r="T7" s="34"/>
      <c r="U7" s="34"/>
      <c r="V7" s="34"/>
      <c r="W7" s="34"/>
      <c r="X7" s="34"/>
      <c r="Y7" s="34"/>
    </row>
    <row r="8" spans="1:25">
      <c r="A8" s="35" t="s">
        <v>0</v>
      </c>
      <c r="B8" s="34"/>
      <c r="C8" s="34"/>
      <c r="D8" s="34"/>
      <c r="E8" s="34"/>
      <c r="F8" s="34"/>
      <c r="G8" s="34"/>
      <c r="H8" s="34"/>
      <c r="I8" s="34"/>
      <c r="J8" s="34"/>
      <c r="K8" s="34"/>
      <c r="L8" s="34"/>
      <c r="M8" s="34"/>
      <c r="N8" s="34"/>
      <c r="O8" s="34"/>
      <c r="P8" s="34"/>
      <c r="Q8" s="34"/>
      <c r="R8" s="34"/>
      <c r="S8" s="34"/>
      <c r="T8" s="34"/>
      <c r="U8" s="34"/>
      <c r="V8" s="34"/>
      <c r="W8" s="34"/>
      <c r="X8" s="34"/>
      <c r="Y8" s="34"/>
    </row>
    <row r="9" spans="1:25">
      <c r="A9" s="34" t="s">
        <v>1</v>
      </c>
      <c r="B9" s="34"/>
      <c r="C9" s="35" t="s">
        <v>2</v>
      </c>
      <c r="D9" s="34"/>
      <c r="E9" s="34"/>
      <c r="F9" s="34"/>
      <c r="G9" s="34"/>
      <c r="H9" s="34"/>
      <c r="I9" s="34"/>
      <c r="J9" s="34"/>
      <c r="K9" s="34"/>
      <c r="L9" s="34"/>
      <c r="M9" s="34"/>
      <c r="N9" s="34"/>
      <c r="O9" s="34"/>
      <c r="P9" s="34"/>
      <c r="Q9" s="34"/>
      <c r="R9" s="34"/>
      <c r="S9" s="34"/>
      <c r="T9" s="34"/>
      <c r="U9" s="34"/>
      <c r="V9" s="34"/>
      <c r="W9" s="34"/>
      <c r="X9" s="34"/>
      <c r="Y9" s="34"/>
    </row>
    <row r="10" spans="1:25">
      <c r="A10" s="34" t="s">
        <v>47</v>
      </c>
      <c r="B10" s="34"/>
      <c r="C10" s="36">
        <v>14</v>
      </c>
      <c r="D10" s="34"/>
      <c r="E10" s="34"/>
      <c r="F10" s="34"/>
      <c r="G10" s="34"/>
      <c r="H10" s="34"/>
      <c r="I10" s="34"/>
      <c r="J10" s="34"/>
      <c r="K10" s="34"/>
      <c r="L10" s="34"/>
      <c r="M10" s="34"/>
      <c r="N10" s="34"/>
      <c r="O10" s="34"/>
      <c r="P10" s="34"/>
      <c r="Q10" s="34"/>
      <c r="R10" s="34"/>
      <c r="S10" s="34"/>
      <c r="T10" s="34"/>
      <c r="U10" s="34"/>
      <c r="V10" s="34"/>
      <c r="W10" s="34"/>
      <c r="X10" s="34"/>
      <c r="Y10" s="34"/>
    </row>
    <row r="11" spans="1:25">
      <c r="A11" s="34" t="s">
        <v>3</v>
      </c>
      <c r="B11" s="34"/>
      <c r="C11" s="35" t="s">
        <v>22</v>
      </c>
      <c r="D11" s="34"/>
      <c r="E11" s="114" t="s">
        <v>145</v>
      </c>
      <c r="F11" s="34"/>
      <c r="G11" s="34"/>
      <c r="H11" s="34"/>
      <c r="I11" s="34"/>
      <c r="J11" s="34"/>
      <c r="K11" s="34"/>
      <c r="L11" s="34"/>
      <c r="M11" s="34"/>
      <c r="N11" s="34"/>
      <c r="O11" s="34"/>
      <c r="P11" s="34"/>
      <c r="Q11" s="34"/>
      <c r="R11" s="34"/>
      <c r="S11" s="34"/>
      <c r="T11" s="34"/>
      <c r="U11" s="34"/>
      <c r="V11" s="34"/>
      <c r="W11" s="34"/>
      <c r="X11" s="34"/>
      <c r="Y11" s="34"/>
    </row>
    <row r="12" spans="1:25">
      <c r="A12" s="130" t="s">
        <v>48</v>
      </c>
      <c r="B12" s="130"/>
      <c r="C12" s="131" t="s">
        <v>252</v>
      </c>
      <c r="D12" s="130"/>
      <c r="E12" s="182" t="s">
        <v>145</v>
      </c>
      <c r="F12" s="182" t="s">
        <v>145</v>
      </c>
      <c r="G12" s="130"/>
      <c r="H12" s="130"/>
      <c r="I12" s="130"/>
      <c r="J12" s="130"/>
      <c r="K12" s="130"/>
      <c r="L12" s="130"/>
      <c r="M12" s="130"/>
      <c r="N12" s="130"/>
      <c r="O12" s="130"/>
      <c r="P12" s="130"/>
      <c r="Q12" s="130"/>
      <c r="R12" s="130"/>
      <c r="S12" s="130"/>
      <c r="T12" s="130"/>
      <c r="U12" s="130"/>
      <c r="V12" s="130"/>
      <c r="W12" s="130"/>
      <c r="X12" s="130"/>
      <c r="Y12" s="130"/>
    </row>
    <row r="13" spans="1:25" s="104" customFormat="1" ht="50.1" customHeight="1">
      <c r="A13" s="69"/>
      <c r="B13" s="69"/>
      <c r="C13" s="69" t="s">
        <v>253</v>
      </c>
      <c r="D13" s="69" t="s">
        <v>254</v>
      </c>
      <c r="E13" s="69" t="s">
        <v>255</v>
      </c>
      <c r="F13" s="69" t="s">
        <v>256</v>
      </c>
      <c r="G13" s="69" t="s">
        <v>228</v>
      </c>
      <c r="H13" s="69" t="s">
        <v>226</v>
      </c>
      <c r="I13" s="69" t="s">
        <v>225</v>
      </c>
      <c r="J13" s="69" t="s">
        <v>224</v>
      </c>
      <c r="K13" s="69" t="s">
        <v>257</v>
      </c>
      <c r="L13" s="69" t="s">
        <v>237</v>
      </c>
      <c r="M13" s="69" t="s">
        <v>239</v>
      </c>
      <c r="N13" s="69" t="s">
        <v>258</v>
      </c>
      <c r="O13" s="69" t="s">
        <v>231</v>
      </c>
      <c r="P13" s="69" t="s">
        <v>259</v>
      </c>
      <c r="Q13" s="69" t="s">
        <v>233</v>
      </c>
      <c r="R13" s="69" t="s">
        <v>260</v>
      </c>
      <c r="S13" s="69" t="s">
        <v>242</v>
      </c>
      <c r="T13" s="69" t="s">
        <v>238</v>
      </c>
      <c r="U13" s="69" t="s">
        <v>261</v>
      </c>
      <c r="V13" s="69" t="s">
        <v>234</v>
      </c>
      <c r="W13" s="69" t="s">
        <v>241</v>
      </c>
      <c r="X13" s="69" t="s">
        <v>245</v>
      </c>
      <c r="Y13" s="69" t="s">
        <v>262</v>
      </c>
    </row>
    <row r="14" spans="1:25">
      <c r="A14" s="72"/>
      <c r="B14" s="72"/>
      <c r="C14" s="156" t="s">
        <v>246</v>
      </c>
      <c r="D14" s="156"/>
      <c r="E14" s="156"/>
      <c r="F14" s="156"/>
      <c r="G14" s="156"/>
      <c r="H14" s="156"/>
      <c r="I14" s="156"/>
      <c r="J14" s="156"/>
      <c r="K14" s="156"/>
      <c r="L14" s="156"/>
      <c r="M14" s="156"/>
      <c r="N14" s="156"/>
      <c r="O14" s="156"/>
      <c r="P14" s="156"/>
      <c r="Q14" s="156"/>
      <c r="R14" s="156"/>
      <c r="S14" s="156"/>
      <c r="T14" s="156"/>
      <c r="U14" s="156"/>
      <c r="V14" s="156"/>
      <c r="W14" s="156"/>
      <c r="X14" s="156"/>
      <c r="Y14" s="156"/>
    </row>
    <row r="15" spans="1:25" ht="17.25">
      <c r="A15" s="40" t="s">
        <v>144</v>
      </c>
      <c r="B15" s="40" t="s">
        <v>55</v>
      </c>
      <c r="C15" s="33">
        <v>0.39252120088641645</v>
      </c>
      <c r="D15" s="33">
        <v>8.9814006044374228E-2</v>
      </c>
      <c r="E15" s="33">
        <v>8.4251377520059414E-2</v>
      </c>
      <c r="F15" s="33">
        <v>7.0932886443612397E-2</v>
      </c>
      <c r="G15" s="33">
        <v>5.748721198796191E-2</v>
      </c>
      <c r="H15" s="33">
        <v>4.716852691867169E-2</v>
      </c>
      <c r="I15" s="33">
        <v>4.3210590600550269E-2</v>
      </c>
      <c r="J15" s="33">
        <v>3.6101031436775656E-2</v>
      </c>
      <c r="K15" s="33">
        <v>3.5628009172263615E-2</v>
      </c>
      <c r="L15" s="33">
        <v>2.9247005881990605E-2</v>
      </c>
      <c r="M15" s="33">
        <v>2.8310637309769498E-2</v>
      </c>
      <c r="N15" s="33">
        <v>2.7293915113895301E-2</v>
      </c>
      <c r="O15" s="33">
        <v>2.5771841627342789E-2</v>
      </c>
      <c r="P15" s="33">
        <v>2.5379741455453936E-2</v>
      </c>
      <c r="Q15" s="33">
        <v>2.5185184609995664E-2</v>
      </c>
      <c r="R15" s="33">
        <v>2.2852008956330334E-2</v>
      </c>
      <c r="S15" s="33">
        <v>1.877096173858012E-2</v>
      </c>
      <c r="T15" s="33">
        <v>1.8765146065018137E-2</v>
      </c>
      <c r="U15" s="33">
        <v>1.6576545135464481E-2</v>
      </c>
      <c r="V15" s="33">
        <v>1.5760970917902736E-2</v>
      </c>
      <c r="W15" s="33">
        <v>1.4080406685992182E-2</v>
      </c>
      <c r="X15" s="33">
        <v>7.71306472066735E-3</v>
      </c>
      <c r="Y15" s="33">
        <v>4.5131730145372773E-3</v>
      </c>
    </row>
    <row r="16" spans="1:25">
      <c r="A16" s="40"/>
      <c r="B16" s="39"/>
    </row>
    <row r="17" spans="1:25">
      <c r="A17" s="40" t="s">
        <v>247</v>
      </c>
      <c r="B17" s="40" t="s">
        <v>55</v>
      </c>
      <c r="C17" s="33">
        <v>0.40220237248654728</v>
      </c>
      <c r="D17" s="33">
        <v>8.6755686594056011E-2</v>
      </c>
      <c r="E17" s="33">
        <v>7.2976438652870179E-2</v>
      </c>
      <c r="F17" s="33">
        <v>7.8935346776676407E-2</v>
      </c>
      <c r="G17" s="33">
        <v>5.4759015430069079E-2</v>
      </c>
      <c r="H17" s="33">
        <v>5.0541706016243339E-2</v>
      </c>
      <c r="I17" s="33">
        <v>3.8000632653855587E-2</v>
      </c>
      <c r="J17" s="33">
        <v>4.567924476857578E-2</v>
      </c>
      <c r="K17" s="33">
        <v>3.5749762513769226E-2</v>
      </c>
      <c r="L17" s="33">
        <v>3.2118770080155214E-2</v>
      </c>
      <c r="M17" s="33">
        <v>2.5644029823035212E-2</v>
      </c>
      <c r="N17" s="33">
        <v>2.4165672467963941E-2</v>
      </c>
      <c r="O17" s="33">
        <v>2.731094521011285E-2</v>
      </c>
      <c r="P17" s="33">
        <v>2.2430175658323226E-2</v>
      </c>
      <c r="Q17" s="33">
        <v>2.8413423349144019E-2</v>
      </c>
      <c r="R17" s="33">
        <v>2.2001761670912629E-2</v>
      </c>
      <c r="S17" s="33">
        <v>1.8661239175209711E-2</v>
      </c>
      <c r="T17" s="33">
        <v>1.7980167039283134E-2</v>
      </c>
      <c r="U17" s="33">
        <v>1.9426940949184079E-2</v>
      </c>
      <c r="V17" s="33">
        <v>1.8018711035911347E-2</v>
      </c>
      <c r="W17" s="33">
        <v>1.4853870782164902E-2</v>
      </c>
      <c r="X17" s="33">
        <v>5.5861282466801512E-3</v>
      </c>
      <c r="Y17" s="33">
        <v>3.9448512136901967E-3</v>
      </c>
    </row>
    <row r="18" spans="1:25">
      <c r="A18" s="40"/>
      <c r="B18" s="39"/>
      <c r="K18" s="33"/>
      <c r="L18" s="33"/>
      <c r="M18" s="33"/>
      <c r="N18" s="33"/>
      <c r="O18" s="33"/>
      <c r="P18" s="33"/>
      <c r="Q18" s="33"/>
      <c r="R18" s="33"/>
      <c r="S18" s="33"/>
      <c r="T18" s="33"/>
      <c r="U18" s="33"/>
      <c r="V18" s="33"/>
      <c r="W18" s="33"/>
      <c r="X18" s="33"/>
      <c r="Y18" s="33"/>
    </row>
    <row r="19" spans="1:25">
      <c r="A19" s="40" t="s">
        <v>248</v>
      </c>
      <c r="B19" s="40" t="s">
        <v>55</v>
      </c>
      <c r="C19" s="33">
        <v>0.38476757447713378</v>
      </c>
      <c r="D19" s="33">
        <v>9.2264967258740588E-2</v>
      </c>
      <c r="E19" s="33">
        <v>9.5687097718754124E-2</v>
      </c>
      <c r="F19" s="33">
        <v>6.3231911802344803E-2</v>
      </c>
      <c r="G19" s="33">
        <v>5.8944020157876205E-2</v>
      </c>
      <c r="H19" s="33">
        <v>4.4125411994760264E-2</v>
      </c>
      <c r="I19" s="33">
        <v>4.7681324310556501E-2</v>
      </c>
      <c r="J19" s="33">
        <v>2.5413388327515694E-2</v>
      </c>
      <c r="K19" s="33">
        <v>3.5343771535046267E-2</v>
      </c>
      <c r="L19" s="33">
        <v>2.6528004742497557E-2</v>
      </c>
      <c r="M19" s="33">
        <v>3.1487375733430349E-2</v>
      </c>
      <c r="N19" s="33">
        <v>3.0086153028045102E-2</v>
      </c>
      <c r="O19" s="33">
        <v>2.4433292936946585E-2</v>
      </c>
      <c r="P19" s="33">
        <v>2.76510530063592E-2</v>
      </c>
      <c r="Q19" s="33">
        <v>2.1493222146444967E-2</v>
      </c>
      <c r="R19" s="33">
        <v>2.4027414109578198E-2</v>
      </c>
      <c r="S19" s="33">
        <v>1.8563585048382535E-2</v>
      </c>
      <c r="T19" s="33">
        <v>1.98229042790183E-2</v>
      </c>
      <c r="U19" s="33">
        <v>1.3731403507594473E-2</v>
      </c>
      <c r="V19" s="33">
        <v>1.3538317972474368E-2</v>
      </c>
      <c r="W19" s="33">
        <v>1.342099995006529E-2</v>
      </c>
      <c r="X19" s="33">
        <v>1.0072130564741558E-2</v>
      </c>
      <c r="Y19" s="33">
        <v>5.1723440287052749E-3</v>
      </c>
    </row>
    <row r="20" spans="1:25">
      <c r="A20" s="40"/>
      <c r="B20" s="40"/>
      <c r="C20" s="4"/>
      <c r="D20" s="4"/>
      <c r="E20" s="4"/>
      <c r="F20" s="4"/>
      <c r="G20" s="4"/>
      <c r="H20" s="4"/>
      <c r="I20" s="4"/>
      <c r="J20" s="4"/>
      <c r="K20" s="4"/>
      <c r="L20" s="4"/>
      <c r="M20" s="4"/>
      <c r="N20" s="4"/>
      <c r="O20" s="4"/>
      <c r="P20" s="4"/>
      <c r="Q20" s="4"/>
      <c r="R20" s="4"/>
      <c r="S20" s="4"/>
      <c r="T20" s="4"/>
      <c r="U20" s="4"/>
      <c r="V20" s="4"/>
      <c r="W20" s="4"/>
      <c r="X20" s="4"/>
      <c r="Y20" s="4"/>
    </row>
    <row r="21" spans="1:25">
      <c r="A21" s="40" t="s">
        <v>59</v>
      </c>
      <c r="B21" s="39" t="s">
        <v>122</v>
      </c>
      <c r="C21" s="4">
        <v>0.62939426629794559</v>
      </c>
      <c r="D21" s="4">
        <v>1.555761692608337E-2</v>
      </c>
      <c r="E21" s="4">
        <v>3.8748386445651123E-2</v>
      </c>
      <c r="F21" s="4">
        <v>5.2884799397366261E-2</v>
      </c>
      <c r="G21" s="4">
        <v>3.3494926505299012E-2</v>
      </c>
      <c r="H21" s="4">
        <v>2.6860900244708649E-2</v>
      </c>
      <c r="I21" s="4">
        <v>8.1482149299966517E-3</v>
      </c>
      <c r="J21" s="4">
        <v>1.798685196604664E-2</v>
      </c>
      <c r="K21" s="4">
        <v>2.1495332078696219E-2</v>
      </c>
      <c r="L21" s="4">
        <v>1.8866090419856207E-2</v>
      </c>
      <c r="M21" s="4">
        <v>1.9028443015184426E-2</v>
      </c>
      <c r="N21" s="4">
        <v>4.1761234298358738E-3</v>
      </c>
      <c r="O21" s="4">
        <v>1.3512603925993639E-2</v>
      </c>
      <c r="P21" s="4">
        <v>2.1202901796629609E-2</v>
      </c>
      <c r="Q21" s="4">
        <v>1.5465999334501967E-2</v>
      </c>
      <c r="R21" s="4">
        <v>1.1841980904039822E-2</v>
      </c>
      <c r="S21" s="4">
        <v>1.1547282378068499E-2</v>
      </c>
      <c r="T21" s="4">
        <v>9.4800192548744975E-3</v>
      </c>
      <c r="U21" s="4">
        <v>7.8438890749836041E-3</v>
      </c>
      <c r="V21" s="4">
        <v>8.2911848935444711E-3</v>
      </c>
      <c r="W21" s="4">
        <v>8.6750518993810657E-3</v>
      </c>
      <c r="X21" s="4">
        <v>2.8836978253551698E-3</v>
      </c>
      <c r="Y21" s="4">
        <v>3.0097268820465533E-3</v>
      </c>
    </row>
    <row r="22" spans="1:25">
      <c r="A22" s="39"/>
      <c r="B22" s="39" t="s">
        <v>123</v>
      </c>
      <c r="C22" s="4">
        <v>0.12439408174388807</v>
      </c>
      <c r="D22" s="4">
        <v>0.10412021336843147</v>
      </c>
      <c r="E22" s="4">
        <v>0.16713285925182567</v>
      </c>
      <c r="F22" s="4">
        <v>0.11817039681490187</v>
      </c>
      <c r="G22" s="4">
        <v>8.7810669285639589E-2</v>
      </c>
      <c r="H22" s="4">
        <v>8.1047159771248906E-2</v>
      </c>
      <c r="I22" s="4">
        <v>5.2345710636191173E-2</v>
      </c>
      <c r="J22" s="4">
        <v>6.2756056389654993E-2</v>
      </c>
      <c r="K22" s="4">
        <v>4.7975090761447341E-2</v>
      </c>
      <c r="L22" s="4">
        <v>5.406941418665695E-2</v>
      </c>
      <c r="M22" s="4">
        <v>4.7441552936797096E-2</v>
      </c>
      <c r="N22" s="4">
        <v>2.4575738514443463E-2</v>
      </c>
      <c r="O22" s="4">
        <v>5.27602642994381E-2</v>
      </c>
      <c r="P22" s="4">
        <v>4.3758155891982918E-2</v>
      </c>
      <c r="Q22" s="4">
        <v>5.4310423678335232E-2</v>
      </c>
      <c r="R22" s="4">
        <v>4.0654792267433321E-2</v>
      </c>
      <c r="S22" s="4">
        <v>3.4087937729644489E-2</v>
      </c>
      <c r="T22" s="4">
        <v>3.4354552945212592E-2</v>
      </c>
      <c r="U22" s="4">
        <v>1.3610925607993247E-2</v>
      </c>
      <c r="V22" s="4">
        <v>2.3007348182453567E-2</v>
      </c>
      <c r="W22" s="4">
        <v>2.26209725744458E-2</v>
      </c>
      <c r="X22" s="4">
        <v>1.5088076374979744E-2</v>
      </c>
      <c r="Y22" s="4">
        <v>1.0304627759808184E-2</v>
      </c>
    </row>
    <row r="23" spans="1:25">
      <c r="A23" s="39"/>
      <c r="B23" s="39" t="s">
        <v>124</v>
      </c>
      <c r="C23" s="4">
        <v>2.3761531960128302E-2</v>
      </c>
      <c r="D23" s="4">
        <v>0.21581889590565942</v>
      </c>
      <c r="E23" s="4">
        <v>0.17803493084951549</v>
      </c>
      <c r="F23" s="4">
        <v>8.6049473615553582E-2</v>
      </c>
      <c r="G23" s="4">
        <v>7.4640201726924871E-2</v>
      </c>
      <c r="H23" s="4">
        <v>6.2284328557197705E-2</v>
      </c>
      <c r="I23" s="4">
        <v>7.5746737602848571E-2</v>
      </c>
      <c r="J23" s="4">
        <v>6.8740454852943306E-2</v>
      </c>
      <c r="K23" s="4">
        <v>4.9024622163253859E-2</v>
      </c>
      <c r="L23" s="4">
        <v>2.88634474001776E-2</v>
      </c>
      <c r="M23" s="4">
        <v>4.8533301147601883E-2</v>
      </c>
      <c r="N23" s="4">
        <v>9.9561144501075491E-2</v>
      </c>
      <c r="O23" s="4">
        <v>3.8600797921090946E-2</v>
      </c>
      <c r="P23" s="4">
        <v>2.7277974489130073E-2</v>
      </c>
      <c r="Q23" s="4">
        <v>3.6099498354319373E-2</v>
      </c>
      <c r="R23" s="4">
        <v>3.4300170022000427E-2</v>
      </c>
      <c r="S23" s="4">
        <v>3.2335819765405498E-2</v>
      </c>
      <c r="T23" s="4">
        <v>1.5974117548148741E-2</v>
      </c>
      <c r="U23" s="4">
        <v>3.1854505482597294E-2</v>
      </c>
      <c r="V23" s="4">
        <v>1.3138278443775488E-2</v>
      </c>
      <c r="W23" s="4">
        <v>6.249457094005836E-3</v>
      </c>
      <c r="X23" s="4">
        <v>2.3548937735446064E-2</v>
      </c>
      <c r="Y23" s="4">
        <v>0</v>
      </c>
    </row>
    <row r="24" spans="1:25">
      <c r="A24" s="132"/>
      <c r="B24" s="132" t="s">
        <v>125</v>
      </c>
      <c r="C24" s="137">
        <v>1.6936961796624666E-2</v>
      </c>
      <c r="D24" s="137">
        <v>0.29280853508965132</v>
      </c>
      <c r="E24" s="137">
        <v>9.7016670251008005E-2</v>
      </c>
      <c r="F24" s="137">
        <v>7.3620410845721906E-2</v>
      </c>
      <c r="G24" s="137">
        <v>0.10667914922010818</v>
      </c>
      <c r="H24" s="137">
        <v>7.7380511643382138E-2</v>
      </c>
      <c r="I24" s="137">
        <v>0.15640928630367842</v>
      </c>
      <c r="J24" s="137">
        <v>5.3225607181737841E-2</v>
      </c>
      <c r="K24" s="137">
        <v>6.9464950461445907E-2</v>
      </c>
      <c r="L24" s="137">
        <v>4.084142220486825E-2</v>
      </c>
      <c r="M24" s="137">
        <v>2.7112601344247707E-2</v>
      </c>
      <c r="N24" s="137">
        <v>7.4915965525097369E-2</v>
      </c>
      <c r="O24" s="137">
        <v>3.2457609266936818E-2</v>
      </c>
      <c r="P24" s="137">
        <v>1.7272616014965894E-2</v>
      </c>
      <c r="Q24" s="137">
        <v>1.9594928704642651E-2</v>
      </c>
      <c r="R24" s="137">
        <v>3.7509675009261022E-2</v>
      </c>
      <c r="S24" s="137">
        <v>1.892043370524752E-2</v>
      </c>
      <c r="T24" s="137">
        <v>3.9833567228888291E-2</v>
      </c>
      <c r="U24" s="137">
        <v>4.6308337630297521E-2</v>
      </c>
      <c r="V24" s="137">
        <v>4.0071337867076E-2</v>
      </c>
      <c r="W24" s="137">
        <v>3.1785328204565033E-2</v>
      </c>
      <c r="X24" s="137">
        <v>6.4879130368349844E-3</v>
      </c>
      <c r="Y24" s="137">
        <v>6.6521796959247105E-3</v>
      </c>
    </row>
    <row r="25" spans="1:25">
      <c r="A25" s="72"/>
      <c r="B25" s="72"/>
      <c r="C25" s="156" t="s">
        <v>146</v>
      </c>
      <c r="D25" s="156"/>
      <c r="E25" s="156"/>
      <c r="F25" s="156"/>
      <c r="G25" s="156"/>
      <c r="H25" s="156"/>
      <c r="I25" s="156"/>
      <c r="J25" s="156"/>
      <c r="K25" s="156"/>
      <c r="L25" s="156"/>
      <c r="M25" s="156"/>
      <c r="N25" s="156"/>
      <c r="O25" s="156"/>
      <c r="P25" s="156"/>
      <c r="Q25" s="156"/>
      <c r="R25" s="156"/>
      <c r="S25" s="156"/>
      <c r="T25" s="156"/>
      <c r="U25" s="156"/>
      <c r="V25" s="156"/>
      <c r="W25" s="156"/>
      <c r="X25" s="156"/>
      <c r="Y25" s="156"/>
    </row>
    <row r="26" spans="1:25" ht="17.25">
      <c r="A26" s="40" t="s">
        <v>181</v>
      </c>
      <c r="B26" s="40" t="s">
        <v>55</v>
      </c>
      <c r="C26" s="51">
        <v>545915.94038973167</v>
      </c>
      <c r="D26" s="51">
        <v>124912.73709333125</v>
      </c>
      <c r="E26" s="51">
        <v>117176.2694196557</v>
      </c>
      <c r="F26" s="51">
        <v>98652.998411232489</v>
      </c>
      <c r="G26" s="51">
        <v>79952.841583895512</v>
      </c>
      <c r="H26" s="51">
        <v>65601.681314167537</v>
      </c>
      <c r="I26" s="51">
        <v>60097.009153197643</v>
      </c>
      <c r="J26" s="51">
        <v>50209.080379201157</v>
      </c>
      <c r="K26" s="51">
        <v>49551.204081632466</v>
      </c>
      <c r="L26" s="51">
        <v>40676.546091254575</v>
      </c>
      <c r="M26" s="51">
        <v>39374.250754082721</v>
      </c>
      <c r="N26" s="51">
        <v>37960.200118289453</v>
      </c>
      <c r="O26" s="51">
        <v>35843.310185014139</v>
      </c>
      <c r="P26" s="51">
        <v>35297.97980902352</v>
      </c>
      <c r="Q26" s="51">
        <v>35027.391410211538</v>
      </c>
      <c r="R26" s="51">
        <v>31782.425843539608</v>
      </c>
      <c r="S26" s="51">
        <v>26106.53184183524</v>
      </c>
      <c r="T26" s="51">
        <v>26098.443440764368</v>
      </c>
      <c r="U26" s="51">
        <v>23054.551462708234</v>
      </c>
      <c r="V26" s="51">
        <v>21920.256130551952</v>
      </c>
      <c r="W26" s="51">
        <v>19582.938296567543</v>
      </c>
      <c r="X26" s="51">
        <v>10727.280388323336</v>
      </c>
      <c r="Y26" s="51">
        <v>6276.891757206331</v>
      </c>
    </row>
    <row r="27" spans="1:25">
      <c r="A27" s="40"/>
      <c r="B27" s="39"/>
    </row>
    <row r="28" spans="1:25">
      <c r="A28" s="40" t="s">
        <v>247</v>
      </c>
      <c r="B28" s="40" t="s">
        <v>55</v>
      </c>
      <c r="C28" s="51">
        <v>287059.60551486991</v>
      </c>
      <c r="D28" s="51">
        <v>61919.210013348173</v>
      </c>
      <c r="E28" s="51">
        <v>52084.69448367985</v>
      </c>
      <c r="F28" s="51">
        <v>56337.682363248823</v>
      </c>
      <c r="G28" s="51">
        <v>39082.567490981353</v>
      </c>
      <c r="H28" s="51">
        <v>36072.592265866399</v>
      </c>
      <c r="I28" s="51">
        <v>27121.785859918396</v>
      </c>
      <c r="J28" s="51">
        <v>32602.15970984392</v>
      </c>
      <c r="K28" s="51">
        <v>25515.296344494163</v>
      </c>
      <c r="L28" s="51">
        <v>22923.786878309751</v>
      </c>
      <c r="M28" s="51">
        <v>18302.639637110216</v>
      </c>
      <c r="N28" s="51">
        <v>17247.507424604533</v>
      </c>
      <c r="O28" s="51">
        <v>19492.349360807031</v>
      </c>
      <c r="P28" s="51">
        <v>16008.849814337844</v>
      </c>
      <c r="Q28" s="51">
        <v>20279.209313229716</v>
      </c>
      <c r="R28" s="51">
        <v>15703.082472731097</v>
      </c>
      <c r="S28" s="51">
        <v>13318.887014356216</v>
      </c>
      <c r="T28" s="51">
        <v>12832.792669716833</v>
      </c>
      <c r="U28" s="51">
        <v>13865.38316707712</v>
      </c>
      <c r="V28" s="51">
        <v>12860.302264945369</v>
      </c>
      <c r="W28" s="51">
        <v>10601.494617587638</v>
      </c>
      <c r="X28" s="51">
        <v>3986.927677561403</v>
      </c>
      <c r="Y28" s="51">
        <v>2815.5165426196982</v>
      </c>
    </row>
    <row r="29" spans="1:25">
      <c r="A29" s="40"/>
      <c r="B29" s="39"/>
      <c r="C29" s="51"/>
      <c r="D29" s="51"/>
      <c r="E29" s="51"/>
      <c r="F29" s="51"/>
      <c r="G29" s="51"/>
      <c r="H29" s="51"/>
      <c r="I29" s="51"/>
      <c r="J29" s="51"/>
      <c r="K29" s="51"/>
      <c r="L29" s="51"/>
      <c r="M29" s="51"/>
      <c r="N29" s="51"/>
      <c r="O29" s="51"/>
      <c r="P29" s="51"/>
      <c r="Q29" s="51"/>
      <c r="R29" s="51"/>
      <c r="S29" s="51"/>
      <c r="T29" s="51"/>
      <c r="U29" s="51"/>
      <c r="V29" s="51"/>
      <c r="W29" s="51"/>
      <c r="X29" s="51"/>
      <c r="Y29" s="51"/>
    </row>
    <row r="30" spans="1:25">
      <c r="A30" s="40" t="s">
        <v>248</v>
      </c>
      <c r="B30" s="40" t="s">
        <v>55</v>
      </c>
      <c r="C30" s="51">
        <v>257489.62912761734</v>
      </c>
      <c r="D30" s="51">
        <v>61744.475825981368</v>
      </c>
      <c r="E30" s="51">
        <v>64034.593708634631</v>
      </c>
      <c r="F30" s="51">
        <v>42315.316047983571</v>
      </c>
      <c r="G30" s="51">
        <v>39445.82365176492</v>
      </c>
      <c r="H30" s="51">
        <v>29529.089048301175</v>
      </c>
      <c r="I30" s="51">
        <v>31908.734850442732</v>
      </c>
      <c r="J30" s="51">
        <v>17006.848729964946</v>
      </c>
      <c r="K30" s="51">
        <v>23652.342942092542</v>
      </c>
      <c r="L30" s="51">
        <v>17752.759212944824</v>
      </c>
      <c r="M30" s="51">
        <v>21071.611116972505</v>
      </c>
      <c r="N30" s="51">
        <v>20133.901344455575</v>
      </c>
      <c r="O30" s="51">
        <v>16350.960824207117</v>
      </c>
      <c r="P30" s="51">
        <v>18504.312358625331</v>
      </c>
      <c r="Q30" s="51">
        <v>14383.441241809998</v>
      </c>
      <c r="R30" s="51">
        <v>16079.343370808509</v>
      </c>
      <c r="S30" s="51">
        <v>12422.903972307226</v>
      </c>
      <c r="T30" s="51">
        <v>13265.65077104754</v>
      </c>
      <c r="U30" s="51">
        <v>9189.1682956311233</v>
      </c>
      <c r="V30" s="51">
        <v>9059.9538656065943</v>
      </c>
      <c r="W30" s="51">
        <v>8981.4436789799038</v>
      </c>
      <c r="X30" s="51">
        <v>6740.3527107619329</v>
      </c>
      <c r="Y30" s="51">
        <v>3461.3752145866333</v>
      </c>
    </row>
    <row r="31" spans="1:25">
      <c r="A31" s="40"/>
      <c r="B31" s="40"/>
      <c r="C31" s="50"/>
      <c r="D31" s="50"/>
      <c r="E31" s="50"/>
      <c r="F31" s="50"/>
      <c r="G31" s="50"/>
      <c r="H31" s="50"/>
      <c r="I31" s="50"/>
      <c r="J31" s="50"/>
      <c r="K31" s="50"/>
      <c r="L31" s="50"/>
      <c r="M31" s="50"/>
      <c r="N31" s="50"/>
      <c r="O31" s="50"/>
      <c r="P31" s="50"/>
      <c r="Q31" s="50"/>
      <c r="R31" s="50"/>
      <c r="S31" s="50"/>
      <c r="T31" s="50"/>
      <c r="U31" s="50"/>
      <c r="V31" s="50"/>
      <c r="W31" s="50"/>
      <c r="X31" s="50"/>
      <c r="Y31" s="50"/>
    </row>
    <row r="32" spans="1:25">
      <c r="A32" s="40" t="s">
        <v>59</v>
      </c>
      <c r="B32" s="39" t="s">
        <v>122</v>
      </c>
      <c r="C32" s="50">
        <v>507999.74990910885</v>
      </c>
      <c r="D32" s="50">
        <v>12556.939156942979</v>
      </c>
      <c r="E32" s="50">
        <v>31274.785421152992</v>
      </c>
      <c r="F32" s="50">
        <v>42684.635539939525</v>
      </c>
      <c r="G32" s="50">
        <v>27034.587378749715</v>
      </c>
      <c r="H32" s="50">
        <v>21680.099958498864</v>
      </c>
      <c r="I32" s="50">
        <v>6576.6267160185544</v>
      </c>
      <c r="J32" s="50">
        <v>14517.635113120637</v>
      </c>
      <c r="K32" s="50">
        <v>17349.416581786496</v>
      </c>
      <c r="L32" s="50">
        <v>15227.290314260161</v>
      </c>
      <c r="M32" s="50">
        <v>15358.32912767189</v>
      </c>
      <c r="N32" s="50">
        <v>3370.6529778616105</v>
      </c>
      <c r="O32" s="50">
        <v>10906.358355314456</v>
      </c>
      <c r="P32" s="50">
        <v>17113.38883557032</v>
      </c>
      <c r="Q32" s="50">
        <v>12482.992322497883</v>
      </c>
      <c r="R32" s="50">
        <v>9557.9570069246874</v>
      </c>
      <c r="S32" s="50">
        <v>9320.0985046974911</v>
      </c>
      <c r="T32" s="50">
        <v>7651.5590758973212</v>
      </c>
      <c r="U32" s="50">
        <v>6330.997757326516</v>
      </c>
      <c r="V32" s="50">
        <v>6692.0213257502319</v>
      </c>
      <c r="W32" s="50">
        <v>7001.8499235071686</v>
      </c>
      <c r="X32" s="50">
        <v>2327.5041615971722</v>
      </c>
      <c r="Y32" s="50">
        <v>2429.2253445006663</v>
      </c>
    </row>
    <row r="33" spans="1:25">
      <c r="A33" s="39"/>
      <c r="B33" s="39" t="s">
        <v>123</v>
      </c>
      <c r="C33" s="50">
        <v>31315.141152247976</v>
      </c>
      <c r="D33" s="50">
        <v>26211.369003451888</v>
      </c>
      <c r="E33" s="50">
        <v>42074.261132659311</v>
      </c>
      <c r="F33" s="50">
        <v>29748.381951922136</v>
      </c>
      <c r="G33" s="50">
        <v>22105.581429626796</v>
      </c>
      <c r="H33" s="50">
        <v>20402.926028674628</v>
      </c>
      <c r="I33" s="50">
        <v>13177.582842421643</v>
      </c>
      <c r="J33" s="50">
        <v>15798.29792904949</v>
      </c>
      <c r="K33" s="50">
        <v>12077.316845987707</v>
      </c>
      <c r="L33" s="50">
        <v>13611.510399349962</v>
      </c>
      <c r="M33" s="50">
        <v>11943.003283358699</v>
      </c>
      <c r="N33" s="50">
        <v>6186.7309900243463</v>
      </c>
      <c r="O33" s="50">
        <v>13281.943164856331</v>
      </c>
      <c r="P33" s="50">
        <v>11015.739729007197</v>
      </c>
      <c r="Q33" s="50">
        <v>13672.182467869072</v>
      </c>
      <c r="R33" s="50">
        <v>10234.494603940806</v>
      </c>
      <c r="S33" s="50">
        <v>8581.3454034786118</v>
      </c>
      <c r="T33" s="50">
        <v>8648.4634929552631</v>
      </c>
      <c r="U33" s="50">
        <v>3426.4335622060034</v>
      </c>
      <c r="V33" s="50">
        <v>5791.9022012303176</v>
      </c>
      <c r="W33" s="50">
        <v>5694.6354620661505</v>
      </c>
      <c r="X33" s="50">
        <v>3798.2935745381919</v>
      </c>
      <c r="Y33" s="50">
        <v>2594.1014901669237</v>
      </c>
    </row>
    <row r="34" spans="1:25">
      <c r="A34" s="39"/>
      <c r="B34" s="39" t="s">
        <v>124</v>
      </c>
      <c r="C34" s="50">
        <v>3409.3764973430598</v>
      </c>
      <c r="D34" s="50">
        <v>30966.348155412048</v>
      </c>
      <c r="E34" s="50">
        <v>25544.990531879725</v>
      </c>
      <c r="F34" s="50">
        <v>12346.638821347527</v>
      </c>
      <c r="G34" s="50">
        <v>10709.601971444119</v>
      </c>
      <c r="H34" s="50">
        <v>8936.7439057391657</v>
      </c>
      <c r="I34" s="50">
        <v>10868.37108680131</v>
      </c>
      <c r="J34" s="50">
        <v>9863.0884399858842</v>
      </c>
      <c r="K34" s="50">
        <v>7034.2011144309599</v>
      </c>
      <c r="L34" s="50">
        <v>4141.4147607817704</v>
      </c>
      <c r="M34" s="50">
        <v>6963.704888588898</v>
      </c>
      <c r="N34" s="50">
        <v>14285.33424023853</v>
      </c>
      <c r="O34" s="50">
        <v>5538.5592743636253</v>
      </c>
      <c r="P34" s="50">
        <v>3913.9263105770501</v>
      </c>
      <c r="Q34" s="50">
        <v>5179.6652447162487</v>
      </c>
      <c r="R34" s="50">
        <v>4921.4921716372282</v>
      </c>
      <c r="S34" s="50">
        <v>4639.6412535810005</v>
      </c>
      <c r="T34" s="50">
        <v>2292.0147163002866</v>
      </c>
      <c r="U34" s="50">
        <v>4570.5808240432343</v>
      </c>
      <c r="V34" s="50">
        <v>1885.1199416317111</v>
      </c>
      <c r="W34" s="50">
        <v>896.69101189308617</v>
      </c>
      <c r="X34" s="50">
        <v>3378.8728347711885</v>
      </c>
      <c r="Y34" s="50">
        <v>0</v>
      </c>
    </row>
    <row r="35" spans="1:25">
      <c r="A35" s="39"/>
      <c r="B35" s="39" t="s">
        <v>125</v>
      </c>
      <c r="C35" s="50">
        <v>3191.672831032271</v>
      </c>
      <c r="D35" s="50">
        <v>55178.080777524337</v>
      </c>
      <c r="E35" s="50">
        <v>18282.232333963679</v>
      </c>
      <c r="F35" s="50">
        <v>13873.342098023229</v>
      </c>
      <c r="G35" s="50">
        <v>20103.070804074869</v>
      </c>
      <c r="H35" s="50">
        <v>14581.911421254898</v>
      </c>
      <c r="I35" s="50">
        <v>29474.428507956156</v>
      </c>
      <c r="J35" s="50">
        <v>10030.058897045135</v>
      </c>
      <c r="K35" s="50">
        <v>13090.269539427287</v>
      </c>
      <c r="L35" s="50">
        <v>7696.3306168626877</v>
      </c>
      <c r="M35" s="50">
        <v>5109.2134544632281</v>
      </c>
      <c r="N35" s="50">
        <v>14117.481910164948</v>
      </c>
      <c r="O35" s="50">
        <v>6116.4493904797355</v>
      </c>
      <c r="P35" s="50">
        <v>3254.9249338689538</v>
      </c>
      <c r="Q35" s="50">
        <v>3692.5513751283252</v>
      </c>
      <c r="R35" s="50">
        <v>7068.4820610368879</v>
      </c>
      <c r="S35" s="50">
        <v>3565.4466800781429</v>
      </c>
      <c r="T35" s="50">
        <v>7506.4061556114984</v>
      </c>
      <c r="U35" s="50">
        <v>8726.5393191324856</v>
      </c>
      <c r="V35" s="50">
        <v>7551.2126619396968</v>
      </c>
      <c r="W35" s="50">
        <v>5989.7618991011368</v>
      </c>
      <c r="X35" s="50">
        <v>1222.6098174167819</v>
      </c>
      <c r="Y35" s="50">
        <v>1253.5649225387408</v>
      </c>
    </row>
    <row r="36" spans="1:25">
      <c r="A36" s="132"/>
      <c r="B36" s="132"/>
      <c r="C36" s="133"/>
      <c r="D36" s="133"/>
      <c r="E36" s="133"/>
      <c r="F36" s="133"/>
      <c r="G36" s="133"/>
      <c r="H36" s="133"/>
      <c r="I36" s="133"/>
      <c r="J36" s="133"/>
      <c r="K36" s="133"/>
      <c r="L36" s="133"/>
      <c r="M36" s="133"/>
      <c r="N36" s="133"/>
      <c r="O36" s="133"/>
      <c r="P36" s="133"/>
      <c r="Q36" s="133"/>
      <c r="R36" s="133"/>
      <c r="S36" s="133"/>
      <c r="T36" s="133"/>
      <c r="U36" s="133"/>
      <c r="V36" s="133"/>
      <c r="W36" s="133"/>
      <c r="X36" s="133"/>
      <c r="Y36" s="133"/>
    </row>
    <row r="37" spans="1:25" ht="14.45" customHeight="1">
      <c r="A37" s="19" t="s">
        <v>128</v>
      </c>
      <c r="B37" s="19"/>
      <c r="C37" s="19"/>
      <c r="D37" s="19"/>
      <c r="E37" s="19"/>
      <c r="F37" s="19"/>
      <c r="G37" s="19"/>
      <c r="H37" s="19"/>
      <c r="I37" s="19"/>
      <c r="J37" s="19"/>
      <c r="K37" s="19"/>
      <c r="L37" s="19"/>
      <c r="M37" s="19"/>
      <c r="N37" s="19"/>
      <c r="O37" s="19"/>
      <c r="P37" s="19"/>
      <c r="Q37" s="19"/>
      <c r="R37" s="19"/>
      <c r="S37" s="19"/>
      <c r="T37" s="19"/>
      <c r="U37" s="19"/>
      <c r="V37" s="19"/>
      <c r="W37" s="19"/>
      <c r="X37" s="19"/>
      <c r="Y37" s="19"/>
    </row>
    <row r="38" spans="1:25" ht="14.45" customHeight="1">
      <c r="A38" s="16" t="s">
        <v>263</v>
      </c>
      <c r="B38" s="16"/>
      <c r="C38" s="16"/>
      <c r="D38" s="16"/>
      <c r="E38" s="16"/>
      <c r="F38" s="16"/>
      <c r="G38" s="16"/>
      <c r="H38" s="16"/>
      <c r="I38" s="16"/>
      <c r="J38" s="16"/>
      <c r="K38" s="16"/>
      <c r="L38" s="16"/>
      <c r="M38" s="16"/>
      <c r="N38" s="16"/>
      <c r="O38" s="16"/>
      <c r="P38" s="16"/>
      <c r="Q38" s="16"/>
      <c r="R38" s="16"/>
      <c r="S38" s="16"/>
      <c r="T38" s="16"/>
      <c r="U38" s="16"/>
      <c r="V38" s="16"/>
      <c r="W38" s="16"/>
      <c r="X38" s="16"/>
      <c r="Y38" s="16"/>
    </row>
    <row r="39" spans="1:25">
      <c r="A39" s="29" t="s">
        <v>147</v>
      </c>
      <c r="B39" s="16"/>
      <c r="C39" s="16"/>
      <c r="D39" s="16"/>
      <c r="E39" s="16"/>
      <c r="F39" s="16"/>
      <c r="G39" s="16"/>
      <c r="H39" s="16"/>
      <c r="I39" s="16"/>
      <c r="J39" s="16"/>
      <c r="K39" s="16"/>
      <c r="L39" s="16"/>
      <c r="M39" s="16"/>
      <c r="N39" s="16"/>
      <c r="O39" s="16"/>
      <c r="P39" s="16"/>
      <c r="Q39" s="16"/>
      <c r="R39" s="16"/>
      <c r="S39" s="16"/>
      <c r="T39" s="16"/>
      <c r="U39" s="16"/>
      <c r="V39" s="16"/>
      <c r="W39" s="16"/>
      <c r="X39" s="16"/>
      <c r="Y39" s="16"/>
    </row>
    <row r="40" spans="1:25">
      <c r="A40" s="16" t="s">
        <v>251</v>
      </c>
    </row>
    <row r="41" spans="1:25">
      <c r="A41" s="16" t="s">
        <v>119</v>
      </c>
    </row>
    <row r="42" spans="1:25" ht="15" customHeight="1">
      <c r="A42" s="16" t="s">
        <v>120</v>
      </c>
      <c r="B42" s="29"/>
      <c r="C42" s="2"/>
      <c r="G42" s="2"/>
      <c r="K42" s="2"/>
      <c r="O42" s="2"/>
      <c r="S42" s="2"/>
      <c r="W42" s="2"/>
    </row>
    <row r="43" spans="1:25">
      <c r="A43" s="29" t="s">
        <v>118</v>
      </c>
    </row>
  </sheetData>
  <mergeCells count="2">
    <mergeCell ref="C25:Y25"/>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ignoredErrors>
    <ignoredError sqref="B24 B35"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C26&lt;'34'!$D$104</xm:f>
            <x14:dxf>
              <font>
                <color rgb="FFFF0000"/>
              </font>
              <numFmt numFmtId="172" formatCode="\*\*0.0%"/>
            </x14:dxf>
          </x14:cfRule>
          <x14:cfRule type="expression" priority="4" id="{C6BCFDF9-0F6D-4D42-B343-0CCBD0C52185}">
            <xm:f>C26&lt;'34'!$D$103</xm:f>
            <x14:dxf>
              <font>
                <color rgb="FF00B050"/>
              </font>
              <numFmt numFmtId="171" formatCode="\*0.0%"/>
            </x14:dxf>
          </x14:cfRule>
          <xm:sqref>C15:Y24</xm:sqref>
        </x14:conditionalFormatting>
        <x14:conditionalFormatting xmlns:xm="http://schemas.microsoft.com/office/excel/2006/main">
          <x14:cfRule type="expression" priority="1" id="{64D2DAE4-3FF1-4A3A-A2CF-FF86C2E7D9B3}">
            <xm:f>C26&lt;'34'!$D$104</xm:f>
            <x14:dxf>
              <font>
                <color rgb="FFFF0000"/>
              </font>
              <numFmt numFmtId="170" formatCode="\*\*#,###,###,##0"/>
            </x14:dxf>
          </x14:cfRule>
          <x14:cfRule type="expression" priority="2" id="{5087DADF-6456-4762-B112-1FF1D634844B}">
            <xm:f>C26&lt;'34'!$D$103</xm:f>
            <x14:dxf>
              <font>
                <color rgb="FF00B050"/>
              </font>
              <numFmt numFmtId="169" formatCode="\*#,###,###,##0"/>
            </x14:dxf>
          </x14:cfRule>
          <xm:sqref>C26:Y35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zoomScaleNormal="100" workbookViewId="0">
      <pane xSplit="2" ySplit="13" topLeftCell="C14" activePane="bottomRight" state="frozen"/>
      <selection pane="bottomRight"/>
      <selection pane="bottomLeft"/>
      <selection pane="topRight"/>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4"/>
      <c r="B1" s="34"/>
      <c r="C1" s="34"/>
      <c r="D1" s="34"/>
      <c r="E1" s="34"/>
      <c r="F1" s="34"/>
    </row>
    <row r="2" spans="1:6">
      <c r="A2" s="34"/>
      <c r="B2" s="34"/>
      <c r="C2" s="34"/>
      <c r="D2" s="34"/>
      <c r="E2" s="34"/>
      <c r="F2" s="34"/>
    </row>
    <row r="3" spans="1:6">
      <c r="A3" s="34"/>
      <c r="B3" s="34"/>
      <c r="C3" s="34"/>
      <c r="D3" s="34"/>
      <c r="E3" s="34"/>
      <c r="F3" s="34"/>
    </row>
    <row r="4" spans="1:6">
      <c r="A4" s="34"/>
      <c r="B4" s="34"/>
      <c r="C4" s="34"/>
      <c r="D4" s="34"/>
      <c r="E4" s="34"/>
      <c r="F4" s="34"/>
    </row>
    <row r="5" spans="1:6">
      <c r="A5" s="34"/>
      <c r="B5" s="34"/>
      <c r="C5" s="34"/>
      <c r="D5" s="34"/>
      <c r="E5" s="34"/>
      <c r="F5" s="34"/>
    </row>
    <row r="6" spans="1:6">
      <c r="A6" s="34"/>
      <c r="B6" s="34"/>
      <c r="C6" s="34"/>
      <c r="D6" s="34"/>
      <c r="E6" s="34"/>
      <c r="F6" s="34"/>
    </row>
    <row r="7" spans="1:6">
      <c r="A7" s="34"/>
      <c r="B7" s="34"/>
      <c r="C7" s="34"/>
      <c r="D7" s="34"/>
      <c r="E7" s="34"/>
      <c r="F7" s="34"/>
    </row>
    <row r="8" spans="1:6">
      <c r="A8" s="35" t="s">
        <v>0</v>
      </c>
      <c r="B8" s="34"/>
      <c r="C8" s="34"/>
      <c r="D8" s="34"/>
      <c r="E8" s="34"/>
      <c r="F8" s="34"/>
    </row>
    <row r="9" spans="1:6">
      <c r="A9" s="34" t="s">
        <v>1</v>
      </c>
      <c r="B9" s="34"/>
      <c r="C9" s="35" t="s">
        <v>2</v>
      </c>
      <c r="D9" s="34"/>
      <c r="E9" s="34"/>
      <c r="F9" s="34"/>
    </row>
    <row r="10" spans="1:6">
      <c r="A10" s="34" t="s">
        <v>47</v>
      </c>
      <c r="B10" s="34"/>
      <c r="C10" s="36">
        <v>15</v>
      </c>
      <c r="D10" s="34"/>
      <c r="E10" s="34"/>
      <c r="F10" s="34"/>
    </row>
    <row r="11" spans="1:6">
      <c r="A11" s="34" t="s">
        <v>3</v>
      </c>
      <c r="B11" s="34"/>
      <c r="C11" s="35" t="s">
        <v>23</v>
      </c>
      <c r="D11" s="34"/>
      <c r="E11" s="34"/>
      <c r="F11" s="34"/>
    </row>
    <row r="12" spans="1:6">
      <c r="A12" s="130" t="s">
        <v>48</v>
      </c>
      <c r="B12" s="130"/>
      <c r="C12" s="131" t="s">
        <v>49</v>
      </c>
      <c r="D12" s="130"/>
      <c r="E12" s="130"/>
      <c r="F12" s="130"/>
    </row>
    <row r="13" spans="1:6" s="67" customFormat="1" ht="50.1" customHeight="1">
      <c r="A13" s="56"/>
      <c r="B13" s="56"/>
      <c r="C13" s="42" t="s">
        <v>58</v>
      </c>
      <c r="D13" s="69" t="s">
        <v>264</v>
      </c>
      <c r="E13" s="69" t="s">
        <v>265</v>
      </c>
      <c r="F13" s="69" t="s">
        <v>266</v>
      </c>
    </row>
    <row r="14" spans="1:6">
      <c r="A14" s="72"/>
      <c r="B14" s="72"/>
      <c r="C14" s="156" t="s">
        <v>143</v>
      </c>
      <c r="D14" s="156"/>
      <c r="E14" s="156"/>
      <c r="F14" s="156"/>
    </row>
    <row r="15" spans="1:6">
      <c r="A15" s="40" t="s">
        <v>144</v>
      </c>
      <c r="B15" s="40" t="s">
        <v>55</v>
      </c>
      <c r="C15" s="33">
        <v>0.84147262887968843</v>
      </c>
      <c r="D15" s="33">
        <v>0.14373405639974776</v>
      </c>
      <c r="E15" s="33">
        <v>0.3374395752798644</v>
      </c>
      <c r="F15" s="33">
        <v>0.36029899720007635</v>
      </c>
    </row>
    <row r="16" spans="1:6">
      <c r="A16" s="39" t="s">
        <v>59</v>
      </c>
      <c r="B16" s="39" t="s">
        <v>60</v>
      </c>
      <c r="C16" s="108">
        <v>0.84234942949248381</v>
      </c>
      <c r="D16" s="108">
        <v>0.26974450381773779</v>
      </c>
      <c r="E16" s="108">
        <v>8.8140745989969016E-2</v>
      </c>
      <c r="F16" s="108">
        <v>0.48446417968477701</v>
      </c>
    </row>
    <row r="17" spans="1:6">
      <c r="A17" s="39"/>
      <c r="B17" s="39" t="s">
        <v>61</v>
      </c>
      <c r="C17" s="108">
        <v>0.8744373748005817</v>
      </c>
      <c r="D17" s="108">
        <v>0.23375133480574414</v>
      </c>
      <c r="E17" s="108">
        <v>0.18834123084954552</v>
      </c>
      <c r="F17" s="108">
        <v>0.45234480914529196</v>
      </c>
    </row>
    <row r="18" spans="1:6">
      <c r="A18" s="39"/>
      <c r="B18" s="39" t="s">
        <v>62</v>
      </c>
      <c r="C18" s="108">
        <v>0.89238386935952663</v>
      </c>
      <c r="D18" s="108">
        <v>0.19821836475193402</v>
      </c>
      <c r="E18" s="108">
        <v>0.25417925318865586</v>
      </c>
      <c r="F18" s="108">
        <v>0.43998625141893666</v>
      </c>
    </row>
    <row r="19" spans="1:6">
      <c r="A19" s="39"/>
      <c r="B19" s="39" t="s">
        <v>63</v>
      </c>
      <c r="C19" s="108">
        <v>0.87558279183215348</v>
      </c>
      <c r="D19" s="108">
        <v>0.17716962379574838</v>
      </c>
      <c r="E19" s="108">
        <v>0.30211665386018494</v>
      </c>
      <c r="F19" s="108">
        <v>0.39629651417622019</v>
      </c>
    </row>
    <row r="20" spans="1:6">
      <c r="A20" s="39"/>
      <c r="B20" s="39" t="s">
        <v>64</v>
      </c>
      <c r="C20" s="108">
        <v>0.86410524269851208</v>
      </c>
      <c r="D20" s="108">
        <v>0.11382577402762606</v>
      </c>
      <c r="E20" s="108">
        <v>0.38299953872301579</v>
      </c>
      <c r="F20" s="108">
        <v>0.36727992994787018</v>
      </c>
    </row>
    <row r="21" spans="1:6">
      <c r="A21" s="39"/>
      <c r="B21" s="39" t="s">
        <v>65</v>
      </c>
      <c r="C21" s="108">
        <v>0.84220835386964765</v>
      </c>
      <c r="D21" s="108">
        <v>7.4309668584597338E-2</v>
      </c>
      <c r="E21" s="108">
        <v>0.44636247257245565</v>
      </c>
      <c r="F21" s="108">
        <v>0.32153621271259464</v>
      </c>
    </row>
    <row r="22" spans="1:6">
      <c r="A22" s="39"/>
      <c r="B22" s="39" t="s">
        <v>66</v>
      </c>
      <c r="C22" s="108">
        <v>0.73602959898407161</v>
      </c>
      <c r="D22" s="108">
        <v>6.5036806768285979E-2</v>
      </c>
      <c r="E22" s="108">
        <v>0.46105767419129051</v>
      </c>
      <c r="F22" s="108">
        <v>0.2099351180244951</v>
      </c>
    </row>
    <row r="23" spans="1:6">
      <c r="A23" s="39"/>
      <c r="B23" s="39"/>
    </row>
    <row r="24" spans="1:6">
      <c r="A24" s="40" t="s">
        <v>56</v>
      </c>
      <c r="B24" s="40" t="s">
        <v>55</v>
      </c>
      <c r="C24" s="33">
        <v>0.8531169249097561</v>
      </c>
      <c r="D24" s="33">
        <v>0.20288416951683411</v>
      </c>
      <c r="E24" s="33">
        <v>0.26970858735213271</v>
      </c>
      <c r="F24" s="33">
        <v>0.38052416804078926</v>
      </c>
    </row>
    <row r="25" spans="1:6">
      <c r="A25" s="39" t="s">
        <v>59</v>
      </c>
      <c r="B25" s="39" t="s">
        <v>60</v>
      </c>
      <c r="C25" s="108">
        <v>0.83813572079397125</v>
      </c>
      <c r="D25" s="108">
        <v>0.34466070698868501</v>
      </c>
      <c r="E25" s="108">
        <v>6.283971088220959E-2</v>
      </c>
      <c r="F25" s="108">
        <v>0.43063530292307661</v>
      </c>
    </row>
    <row r="26" spans="1:6">
      <c r="A26" s="39"/>
      <c r="B26" s="39" t="s">
        <v>61</v>
      </c>
      <c r="C26" s="108">
        <v>0.87791681682474421</v>
      </c>
      <c r="D26" s="108">
        <v>0.32541211966001016</v>
      </c>
      <c r="E26" s="108">
        <v>0.13869576964714364</v>
      </c>
      <c r="F26" s="108">
        <v>0.41380892751759046</v>
      </c>
    </row>
    <row r="27" spans="1:6">
      <c r="A27" s="39"/>
      <c r="B27" s="39" t="s">
        <v>62</v>
      </c>
      <c r="C27" s="108">
        <v>0.89744953439538855</v>
      </c>
      <c r="D27" s="108">
        <v>0.27996083732014121</v>
      </c>
      <c r="E27" s="108">
        <v>0.17877240521649226</v>
      </c>
      <c r="F27" s="108">
        <v>0.43871629185875505</v>
      </c>
    </row>
    <row r="28" spans="1:6">
      <c r="A28" s="39"/>
      <c r="B28" s="39" t="s">
        <v>63</v>
      </c>
      <c r="C28" s="108">
        <v>0.88306439261354841</v>
      </c>
      <c r="D28" s="108">
        <v>0.25411529213336737</v>
      </c>
      <c r="E28" s="108">
        <v>0.22161525125152204</v>
      </c>
      <c r="F28" s="108">
        <v>0.40733384922865901</v>
      </c>
    </row>
    <row r="29" spans="1:6">
      <c r="A29" s="39"/>
      <c r="B29" s="39" t="s">
        <v>64</v>
      </c>
      <c r="C29" s="108">
        <v>0.87099814003255405</v>
      </c>
      <c r="D29" s="108">
        <v>0.16227056827246411</v>
      </c>
      <c r="E29" s="108">
        <v>0.29874450517010187</v>
      </c>
      <c r="F29" s="108">
        <v>0.40998306658998807</v>
      </c>
    </row>
    <row r="30" spans="1:6">
      <c r="A30" s="39"/>
      <c r="B30" s="39" t="s">
        <v>65</v>
      </c>
      <c r="C30" s="108">
        <v>0.85751832002221318</v>
      </c>
      <c r="D30" s="108">
        <v>0.10231706853464319</v>
      </c>
      <c r="E30" s="108">
        <v>0.38652173295273001</v>
      </c>
      <c r="F30" s="108">
        <v>0.36867951853483993</v>
      </c>
    </row>
    <row r="31" spans="1:6">
      <c r="A31" s="39"/>
      <c r="B31" s="39" t="s">
        <v>66</v>
      </c>
      <c r="C31" s="108">
        <v>0.75972388555935677</v>
      </c>
      <c r="D31" s="108">
        <v>8.8177960643654074E-2</v>
      </c>
      <c r="E31" s="108">
        <v>0.41174986466615449</v>
      </c>
      <c r="F31" s="108">
        <v>0.25979606024954821</v>
      </c>
    </row>
    <row r="32" spans="1:6">
      <c r="A32" s="39"/>
      <c r="B32" s="39"/>
    </row>
    <row r="33" spans="1:6">
      <c r="A33" s="40" t="s">
        <v>57</v>
      </c>
      <c r="B33" s="40" t="s">
        <v>55</v>
      </c>
      <c r="C33" s="33">
        <v>0.83112653099287781</v>
      </c>
      <c r="D33" s="33">
        <v>8.6455522781285279E-2</v>
      </c>
      <c r="E33" s="33">
        <v>0.40445662174303948</v>
      </c>
      <c r="F33" s="33">
        <v>0.3402143864685529</v>
      </c>
    </row>
    <row r="34" spans="1:6">
      <c r="A34" s="39" t="s">
        <v>59</v>
      </c>
      <c r="B34" s="39" t="s">
        <v>60</v>
      </c>
      <c r="C34" s="108">
        <v>0.8455952789727974</v>
      </c>
      <c r="D34" s="108">
        <v>0.19071502886795541</v>
      </c>
      <c r="E34" s="108">
        <v>0.11496982052519675</v>
      </c>
      <c r="F34" s="108">
        <v>0.53991042957964519</v>
      </c>
    </row>
    <row r="35" spans="1:6">
      <c r="A35" s="39"/>
      <c r="B35" s="39" t="s">
        <v>61</v>
      </c>
      <c r="C35" s="108">
        <v>0.87214698863045825</v>
      </c>
      <c r="D35" s="108">
        <v>0.14045099408857853</v>
      </c>
      <c r="E35" s="108">
        <v>0.23846656934322982</v>
      </c>
      <c r="F35" s="108">
        <v>0.49322942519864987</v>
      </c>
    </row>
    <row r="36" spans="1:6">
      <c r="A36" s="39"/>
      <c r="B36" s="39" t="s">
        <v>62</v>
      </c>
      <c r="C36" s="108">
        <v>0.88889939730042611</v>
      </c>
      <c r="D36" s="108">
        <v>0.11692818757717019</v>
      </c>
      <c r="E36" s="108">
        <v>0.32926470813097092</v>
      </c>
      <c r="F36" s="108">
        <v>0.44270650159228497</v>
      </c>
    </row>
    <row r="37" spans="1:6">
      <c r="A37" s="39"/>
      <c r="B37" s="39" t="s">
        <v>63</v>
      </c>
      <c r="C37" s="108">
        <v>0.87027737737878597</v>
      </c>
      <c r="D37" s="108">
        <v>0.1024085747700467</v>
      </c>
      <c r="E37" s="108">
        <v>0.38172432196719769</v>
      </c>
      <c r="F37" s="108">
        <v>0.38614448064154172</v>
      </c>
    </row>
    <row r="38" spans="1:6">
      <c r="A38" s="39"/>
      <c r="B38" s="39" t="s">
        <v>64</v>
      </c>
      <c r="C38" s="108">
        <v>0.85683427533451928</v>
      </c>
      <c r="D38" s="108">
        <v>6.5619179215202314E-2</v>
      </c>
      <c r="E38" s="108">
        <v>0.46687651244843048</v>
      </c>
      <c r="F38" s="108">
        <v>0.32433858367088636</v>
      </c>
    </row>
    <row r="39" spans="1:6">
      <c r="A39" s="39"/>
      <c r="B39" s="39" t="s">
        <v>65</v>
      </c>
      <c r="C39" s="108">
        <v>0.82775037809031482</v>
      </c>
      <c r="D39" s="108">
        <v>4.7301932168900378E-2</v>
      </c>
      <c r="E39" s="108">
        <v>0.50387292404860651</v>
      </c>
      <c r="F39" s="108">
        <v>0.27657552187280793</v>
      </c>
    </row>
    <row r="40" spans="1:6">
      <c r="A40" s="132"/>
      <c r="B40" s="132" t="s">
        <v>66</v>
      </c>
      <c r="C40" s="138">
        <v>0.71761442257934349</v>
      </c>
      <c r="D40" s="138">
        <v>4.4886992728848801E-2</v>
      </c>
      <c r="E40" s="138">
        <v>0.50599166836173282</v>
      </c>
      <c r="F40" s="138">
        <v>0.16673576148876176</v>
      </c>
    </row>
    <row r="41" spans="1:6">
      <c r="A41" s="72"/>
      <c r="B41" s="72"/>
      <c r="C41" s="156" t="s">
        <v>146</v>
      </c>
      <c r="D41" s="156"/>
      <c r="E41" s="156"/>
      <c r="F41" s="156"/>
    </row>
    <row r="42" spans="1:6">
      <c r="A42" s="40" t="s">
        <v>144</v>
      </c>
      <c r="B42" s="40" t="s">
        <v>55</v>
      </c>
      <c r="C42" s="51">
        <v>18427272.114701785</v>
      </c>
      <c r="D42" s="51">
        <v>3147608.7023226749</v>
      </c>
      <c r="E42" s="51">
        <v>7389534.3265413633</v>
      </c>
      <c r="F42" s="51">
        <v>7890129.0858377498</v>
      </c>
    </row>
    <row r="43" spans="1:6">
      <c r="A43" s="39" t="s">
        <v>59</v>
      </c>
      <c r="B43" s="39" t="s">
        <v>60</v>
      </c>
      <c r="C43" s="110">
        <v>816985.0346459744</v>
      </c>
      <c r="D43" s="110">
        <v>261622.09539320649</v>
      </c>
      <c r="E43" s="110">
        <v>85486.696963423776</v>
      </c>
      <c r="F43" s="110">
        <v>469876.24228934408</v>
      </c>
    </row>
    <row r="44" spans="1:6">
      <c r="A44" s="39"/>
      <c r="B44" s="39" t="s">
        <v>61</v>
      </c>
      <c r="C44" s="110">
        <v>2060811.5649451255</v>
      </c>
      <c r="D44" s="110">
        <v>550888.4546465032</v>
      </c>
      <c r="E44" s="110">
        <v>443869.16419172811</v>
      </c>
      <c r="F44" s="110">
        <v>1066053.9461068942</v>
      </c>
    </row>
    <row r="45" spans="1:6">
      <c r="A45" s="39"/>
      <c r="B45" s="39" t="s">
        <v>62</v>
      </c>
      <c r="C45" s="110">
        <v>3481225.7254565405</v>
      </c>
      <c r="D45" s="110">
        <v>773257.89307197114</v>
      </c>
      <c r="E45" s="110">
        <v>991563.59214869083</v>
      </c>
      <c r="F45" s="110">
        <v>1716404.2402358784</v>
      </c>
    </row>
    <row r="46" spans="1:6">
      <c r="A46" s="39"/>
      <c r="B46" s="39" t="s">
        <v>63</v>
      </c>
      <c r="C46" s="110">
        <v>3258521.5604866641</v>
      </c>
      <c r="D46" s="110">
        <v>659344.88935505017</v>
      </c>
      <c r="E46" s="110">
        <v>1124340.9984400605</v>
      </c>
      <c r="F46" s="110">
        <v>1474835.6726915534</v>
      </c>
    </row>
    <row r="47" spans="1:6">
      <c r="A47" s="39"/>
      <c r="B47" s="39" t="s">
        <v>64</v>
      </c>
      <c r="C47" s="110">
        <v>2868387.6268386254</v>
      </c>
      <c r="D47" s="110">
        <v>377843.37567095074</v>
      </c>
      <c r="E47" s="110">
        <v>1271362.6577790594</v>
      </c>
      <c r="F47" s="110">
        <v>1219181.5933886152</v>
      </c>
    </row>
    <row r="48" spans="1:6">
      <c r="A48" s="39"/>
      <c r="B48" s="39" t="s">
        <v>65</v>
      </c>
      <c r="C48" s="110">
        <v>2580498.3474595798</v>
      </c>
      <c r="D48" s="110">
        <v>227682.34974370891</v>
      </c>
      <c r="E48" s="110">
        <v>1367639.7503645148</v>
      </c>
      <c r="F48" s="110">
        <v>985176.24735135608</v>
      </c>
    </row>
    <row r="49" spans="1:6">
      <c r="A49" s="39"/>
      <c r="B49" s="39" t="s">
        <v>66</v>
      </c>
      <c r="C49" s="110">
        <v>3360842.2548689465</v>
      </c>
      <c r="D49" s="110">
        <v>296969.64444134053</v>
      </c>
      <c r="E49" s="110">
        <v>2105271.4666536427</v>
      </c>
      <c r="F49" s="110">
        <v>958601.14377396321</v>
      </c>
    </row>
    <row r="50" spans="1:6">
      <c r="A50" s="39"/>
      <c r="B50" s="39"/>
    </row>
    <row r="51" spans="1:6">
      <c r="A51" s="40" t="s">
        <v>56</v>
      </c>
      <c r="B51" s="40" t="s">
        <v>55</v>
      </c>
      <c r="C51" s="51">
        <v>9148365.7838081606</v>
      </c>
      <c r="D51" s="51">
        <v>2175620.4106259835</v>
      </c>
      <c r="E51" s="51">
        <v>2892209.4265009332</v>
      </c>
      <c r="F51" s="51">
        <v>4080535.9466812438</v>
      </c>
    </row>
    <row r="52" spans="1:6">
      <c r="A52" s="39" t="s">
        <v>59</v>
      </c>
      <c r="B52" s="39" t="s">
        <v>60</v>
      </c>
      <c r="C52" s="110">
        <v>415858.97218223166</v>
      </c>
      <c r="D52" s="110">
        <v>171010.78477378128</v>
      </c>
      <c r="E52" s="110">
        <v>31179.267189505819</v>
      </c>
      <c r="F52" s="110">
        <v>213668.92021894455</v>
      </c>
    </row>
    <row r="53" spans="1:6">
      <c r="A53" s="39"/>
      <c r="B53" s="39" t="s">
        <v>61</v>
      </c>
      <c r="C53" s="110">
        <v>1051968.6091469657</v>
      </c>
      <c r="D53" s="110">
        <v>389926.84541164653</v>
      </c>
      <c r="E53" s="110">
        <v>166192.96167258624</v>
      </c>
      <c r="F53" s="110">
        <v>495848.80206273298</v>
      </c>
    </row>
    <row r="54" spans="1:6">
      <c r="A54" s="39"/>
      <c r="B54" s="39" t="s">
        <v>62</v>
      </c>
      <c r="C54" s="110">
        <v>1741925.8338943687</v>
      </c>
      <c r="D54" s="110">
        <v>543396.58812703763</v>
      </c>
      <c r="E54" s="110">
        <v>346992.51500958874</v>
      </c>
      <c r="F54" s="110">
        <v>851536.73075774231</v>
      </c>
    </row>
    <row r="55" spans="1:6">
      <c r="A55" s="39"/>
      <c r="B55" s="39" t="s">
        <v>63</v>
      </c>
      <c r="C55" s="110">
        <v>1619636.4799032281</v>
      </c>
      <c r="D55" s="110">
        <v>466075.18170034868</v>
      </c>
      <c r="E55" s="110">
        <v>406466.5594403196</v>
      </c>
      <c r="F55" s="110">
        <v>747094.73876255983</v>
      </c>
    </row>
    <row r="56" spans="1:6">
      <c r="A56" s="39"/>
      <c r="B56" s="39" t="s">
        <v>64</v>
      </c>
      <c r="C56" s="110">
        <v>1420356.8970497912</v>
      </c>
      <c r="D56" s="110">
        <v>264618.38463325426</v>
      </c>
      <c r="E56" s="110">
        <v>487169.6033222549</v>
      </c>
      <c r="F56" s="110">
        <v>668568.90909428208</v>
      </c>
    </row>
    <row r="57" spans="1:6">
      <c r="A57" s="39"/>
      <c r="B57" s="39" t="s">
        <v>65</v>
      </c>
      <c r="C57" s="110">
        <v>1279916.6573853947</v>
      </c>
      <c r="D57" s="110">
        <v>152716.64440818073</v>
      </c>
      <c r="E57" s="110">
        <v>576915.49311139295</v>
      </c>
      <c r="F57" s="110">
        <v>550284.519865821</v>
      </c>
    </row>
    <row r="58" spans="1:6">
      <c r="A58" s="39"/>
      <c r="B58" s="39" t="s">
        <v>66</v>
      </c>
      <c r="C58" s="110">
        <v>1618702.3342462704</v>
      </c>
      <c r="D58" s="110">
        <v>187875.98157173762</v>
      </c>
      <c r="E58" s="110">
        <v>877293.02675533271</v>
      </c>
      <c r="F58" s="110">
        <v>553533.32591919985</v>
      </c>
    </row>
    <row r="59" spans="1:6">
      <c r="A59" s="39"/>
      <c r="B59" s="39"/>
    </row>
    <row r="60" spans="1:6">
      <c r="A60" s="40" t="s">
        <v>57</v>
      </c>
      <c r="B60" s="40" t="s">
        <v>55</v>
      </c>
      <c r="C60" s="51">
        <v>9174378.5255314559</v>
      </c>
      <c r="D60" s="51">
        <v>954338.07253232331</v>
      </c>
      <c r="E60" s="51">
        <v>4464588.7318692012</v>
      </c>
      <c r="F60" s="51">
        <v>3755451.7211299306</v>
      </c>
    </row>
    <row r="61" spans="1:6">
      <c r="A61" s="39" t="s">
        <v>59</v>
      </c>
      <c r="B61" s="39" t="s">
        <v>60</v>
      </c>
      <c r="C61" s="110">
        <v>388264.23315110966</v>
      </c>
      <c r="D61" s="110">
        <v>87568.87162823262</v>
      </c>
      <c r="E61" s="110">
        <v>52789.638627076863</v>
      </c>
      <c r="F61" s="110">
        <v>247905.72289580017</v>
      </c>
    </row>
    <row r="62" spans="1:6">
      <c r="A62" s="39"/>
      <c r="B62" s="39" t="s">
        <v>61</v>
      </c>
      <c r="C62" s="110">
        <v>973924.79941211932</v>
      </c>
      <c r="D62" s="110">
        <v>156841.34443868502</v>
      </c>
      <c r="E62" s="110">
        <v>266295.14146325685</v>
      </c>
      <c r="F62" s="110">
        <v>550788.31351017742</v>
      </c>
    </row>
    <row r="63" spans="1:6">
      <c r="A63" s="39"/>
      <c r="B63" s="39" t="s">
        <v>62</v>
      </c>
      <c r="C63" s="110">
        <v>1718079.0714358459</v>
      </c>
      <c r="D63" s="110">
        <v>226000.68415769716</v>
      </c>
      <c r="E63" s="110">
        <v>636408.13090917165</v>
      </c>
      <c r="F63" s="110">
        <v>855670.25636897702</v>
      </c>
    </row>
    <row r="64" spans="1:6">
      <c r="A64" s="39"/>
      <c r="B64" s="39" t="s">
        <v>63</v>
      </c>
      <c r="C64" s="110">
        <v>1625475.6533374088</v>
      </c>
      <c r="D64" s="110">
        <v>191275.39024749587</v>
      </c>
      <c r="E64" s="110">
        <v>712972.21756270714</v>
      </c>
      <c r="F64" s="110">
        <v>721228.04552720592</v>
      </c>
    </row>
    <row r="65" spans="1:6">
      <c r="A65" s="39"/>
      <c r="B65" s="39" t="s">
        <v>64</v>
      </c>
      <c r="C65" s="110">
        <v>1434991.4475618983</v>
      </c>
      <c r="D65" s="110">
        <v>109896.35181562309</v>
      </c>
      <c r="E65" s="110">
        <v>781905.93177363416</v>
      </c>
      <c r="F65" s="110">
        <v>543189.16397264088</v>
      </c>
    </row>
    <row r="66" spans="1:6">
      <c r="A66" s="39"/>
      <c r="B66" s="39" t="s">
        <v>65</v>
      </c>
      <c r="C66" s="110">
        <v>1295038.6184354585</v>
      </c>
      <c r="D66" s="110">
        <v>74005.195898148842</v>
      </c>
      <c r="E66" s="110">
        <v>788323.28283847042</v>
      </c>
      <c r="F66" s="110">
        <v>432710.13969883928</v>
      </c>
    </row>
    <row r="67" spans="1:6">
      <c r="A67" s="39"/>
      <c r="B67" s="39" t="s">
        <v>66</v>
      </c>
      <c r="C67" s="110">
        <v>1738604.7021976735</v>
      </c>
      <c r="D67" s="110">
        <v>108750.23434644067</v>
      </c>
      <c r="E67" s="110">
        <v>1225894.3886949092</v>
      </c>
      <c r="F67" s="110">
        <v>403960.07915632351</v>
      </c>
    </row>
    <row r="68" spans="1:6">
      <c r="A68" s="132"/>
      <c r="B68" s="132"/>
      <c r="C68" s="137"/>
      <c r="D68" s="137"/>
      <c r="E68" s="137"/>
      <c r="F68" s="137"/>
    </row>
    <row r="69" spans="1:6">
      <c r="A69" s="29" t="s">
        <v>147</v>
      </c>
    </row>
    <row r="70" spans="1:6">
      <c r="A70" s="16" t="s">
        <v>119</v>
      </c>
    </row>
    <row r="71" spans="1:6">
      <c r="A71" s="16" t="s">
        <v>120</v>
      </c>
    </row>
    <row r="72" spans="1:6">
      <c r="A72" s="29" t="s">
        <v>118</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C42&lt;'34'!$C$104</xm:f>
            <x14:dxf>
              <font>
                <color rgb="FFFF0000"/>
              </font>
              <numFmt numFmtId="172" formatCode="\*\*0.0%"/>
            </x14:dxf>
          </x14:cfRule>
          <x14:cfRule type="expression" priority="4" id="{63009E4E-FE50-4B59-9065-881163C02C17}">
            <xm:f>C42&lt;'34'!$C$103</xm:f>
            <x14:dxf>
              <font>
                <color rgb="FF00B050"/>
              </font>
              <numFmt numFmtId="171" formatCode="\*0.0%"/>
            </x14:dxf>
          </x14:cfRule>
          <xm:sqref>C15:F40</xm:sqref>
        </x14:conditionalFormatting>
        <x14:conditionalFormatting xmlns:xm="http://schemas.microsoft.com/office/excel/2006/main">
          <x14:cfRule type="expression" priority="1" id="{E287BCB5-DAB8-411C-993E-694EB7EC49FF}">
            <xm:f>C42&lt;'34'!$C$104</xm:f>
            <x14:dxf>
              <font>
                <color rgb="FFFF0000"/>
              </font>
              <numFmt numFmtId="170" formatCode="\*\*#,###,###,##0"/>
            </x14:dxf>
          </x14:cfRule>
          <x14:cfRule type="expression" priority="2" id="{1EADCA83-390F-41E2-AAFF-44497EFBC9C4}">
            <xm:f>C42&lt;'34'!$C$103</xm:f>
            <x14:dxf>
              <font>
                <color rgb="FF00B050"/>
              </font>
              <numFmt numFmtId="169" formatCode="\*#,###,###,##0"/>
            </x14:dxf>
          </x14:cfRule>
          <xm:sqref>C42:F67</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zoomScaleNormal="100" workbookViewId="0">
      <pane xSplit="2" ySplit="13" topLeftCell="C14" activePane="bottomRight" state="frozen"/>
      <selection pane="bottomRight"/>
      <selection pane="bottomLeft"/>
      <selection pane="topRight"/>
    </sheetView>
  </sheetViews>
  <sheetFormatPr defaultColWidth="8.85546875" defaultRowHeight="15"/>
  <cols>
    <col min="1" max="2" width="15.7109375" style="1" customWidth="1"/>
    <col min="3" max="3" width="15.85546875" style="1" customWidth="1"/>
    <col min="4" max="6" width="20.85546875" style="1" customWidth="1"/>
    <col min="7" max="16384" width="8.85546875" style="1"/>
  </cols>
  <sheetData>
    <row r="1" spans="1:6">
      <c r="A1" s="34"/>
      <c r="B1" s="34"/>
      <c r="C1" s="34"/>
      <c r="D1" s="34"/>
      <c r="E1" s="34"/>
      <c r="F1" s="34"/>
    </row>
    <row r="2" spans="1:6">
      <c r="A2" s="34"/>
      <c r="B2" s="34"/>
      <c r="C2" s="34"/>
      <c r="D2" s="34"/>
      <c r="E2" s="34"/>
      <c r="F2" s="34"/>
    </row>
    <row r="3" spans="1:6">
      <c r="A3" s="34"/>
      <c r="B3" s="34"/>
      <c r="C3" s="34"/>
      <c r="D3" s="34"/>
      <c r="E3" s="34"/>
      <c r="F3" s="34"/>
    </row>
    <row r="4" spans="1:6">
      <c r="A4" s="34"/>
      <c r="B4" s="34"/>
      <c r="C4" s="34"/>
      <c r="D4" s="34"/>
      <c r="E4" s="34"/>
      <c r="F4" s="34"/>
    </row>
    <row r="5" spans="1:6">
      <c r="A5" s="34"/>
      <c r="B5" s="34"/>
      <c r="C5" s="34"/>
      <c r="D5" s="34"/>
      <c r="E5" s="34"/>
      <c r="F5" s="34"/>
    </row>
    <row r="6" spans="1:6">
      <c r="A6" s="34"/>
      <c r="B6" s="34"/>
      <c r="C6" s="34"/>
      <c r="D6" s="34"/>
      <c r="E6" s="34"/>
      <c r="F6" s="34"/>
    </row>
    <row r="7" spans="1:6">
      <c r="A7" s="34"/>
      <c r="B7" s="34"/>
      <c r="C7" s="34"/>
      <c r="D7" s="34"/>
      <c r="E7" s="34"/>
      <c r="F7" s="34"/>
    </row>
    <row r="8" spans="1:6">
      <c r="A8" s="35" t="s">
        <v>0</v>
      </c>
      <c r="B8" s="34"/>
      <c r="C8" s="34"/>
      <c r="D8" s="34"/>
      <c r="E8" s="34"/>
      <c r="F8" s="34"/>
    </row>
    <row r="9" spans="1:6">
      <c r="A9" s="34" t="s">
        <v>1</v>
      </c>
      <c r="B9" s="35"/>
      <c r="C9" s="35" t="s">
        <v>2</v>
      </c>
      <c r="D9" s="34"/>
      <c r="E9" s="34"/>
      <c r="F9" s="34"/>
    </row>
    <row r="10" spans="1:6">
      <c r="A10" s="34" t="s">
        <v>47</v>
      </c>
      <c r="B10" s="35"/>
      <c r="C10" s="36">
        <v>16</v>
      </c>
      <c r="D10" s="34"/>
      <c r="E10" s="34"/>
      <c r="F10" s="34"/>
    </row>
    <row r="11" spans="1:6">
      <c r="A11" s="34" t="s">
        <v>3</v>
      </c>
      <c r="B11" s="35"/>
      <c r="C11" s="35" t="s">
        <v>24</v>
      </c>
      <c r="D11" s="34"/>
      <c r="E11" s="34"/>
      <c r="F11" s="34"/>
    </row>
    <row r="12" spans="1:6">
      <c r="A12" s="130" t="s">
        <v>48</v>
      </c>
      <c r="B12" s="131"/>
      <c r="C12" s="131" t="s">
        <v>121</v>
      </c>
      <c r="D12" s="130"/>
      <c r="E12" s="130"/>
      <c r="F12" s="130"/>
    </row>
    <row r="13" spans="1:6" ht="50.1" customHeight="1">
      <c r="A13" s="47"/>
      <c r="B13" s="47"/>
      <c r="C13" s="42" t="s">
        <v>58</v>
      </c>
      <c r="D13" s="69" t="s">
        <v>264</v>
      </c>
      <c r="E13" s="69" t="s">
        <v>265</v>
      </c>
      <c r="F13" s="69" t="s">
        <v>266</v>
      </c>
    </row>
    <row r="14" spans="1:6">
      <c r="A14" s="72"/>
      <c r="B14" s="72"/>
      <c r="C14" s="156" t="s">
        <v>143</v>
      </c>
      <c r="D14" s="156"/>
      <c r="E14" s="156"/>
      <c r="F14" s="156"/>
    </row>
    <row r="15" spans="1:6">
      <c r="A15" s="40" t="s">
        <v>144</v>
      </c>
      <c r="B15" s="40" t="s">
        <v>55</v>
      </c>
      <c r="C15" s="33">
        <v>0.71152375922435906</v>
      </c>
      <c r="D15" s="33">
        <v>0.55840551486664169</v>
      </c>
      <c r="E15" s="33">
        <v>6.6738573805312271E-2</v>
      </c>
      <c r="F15" s="33">
        <v>8.6379670552405197E-2</v>
      </c>
    </row>
    <row r="16" spans="1:6">
      <c r="A16" s="39" t="s">
        <v>59</v>
      </c>
      <c r="B16" s="39" t="s">
        <v>122</v>
      </c>
      <c r="C16" s="4">
        <v>0.47209739722883276</v>
      </c>
      <c r="D16" s="4">
        <v>0.33375182605888387</v>
      </c>
      <c r="E16" s="4">
        <v>7.3635440447608808E-2</v>
      </c>
      <c r="F16" s="4">
        <v>6.4710130722340095E-2</v>
      </c>
    </row>
    <row r="17" spans="1:6">
      <c r="A17" s="39"/>
      <c r="B17" s="39" t="s">
        <v>123</v>
      </c>
      <c r="C17" s="4">
        <v>0.80533964584911988</v>
      </c>
      <c r="D17" s="4">
        <v>0.64258900000580021</v>
      </c>
      <c r="E17" s="4">
        <v>6.2865065048802599E-2</v>
      </c>
      <c r="F17" s="4">
        <v>9.9885580794517051E-2</v>
      </c>
    </row>
    <row r="18" spans="1:6">
      <c r="A18" s="39"/>
      <c r="B18" s="39" t="s">
        <v>124</v>
      </c>
      <c r="C18" s="4">
        <v>0.85644547798166026</v>
      </c>
      <c r="D18" s="4">
        <v>0.70230521634664445</v>
      </c>
      <c r="E18" s="4">
        <v>5.5554759594687919E-2</v>
      </c>
      <c r="F18" s="4">
        <v>9.8585502040327858E-2</v>
      </c>
    </row>
    <row r="19" spans="1:6">
      <c r="A19" s="39"/>
      <c r="B19" s="39" t="s">
        <v>125</v>
      </c>
      <c r="C19" s="4">
        <v>0.81146303480973558</v>
      </c>
      <c r="D19" s="4">
        <v>0.64923241959433931</v>
      </c>
      <c r="E19" s="4">
        <v>7.2384138676848522E-2</v>
      </c>
      <c r="F19" s="4">
        <v>8.9846476538547715E-2</v>
      </c>
    </row>
    <row r="20" spans="1:6">
      <c r="A20" s="39"/>
      <c r="B20" s="39"/>
    </row>
    <row r="21" spans="1:6">
      <c r="A21" s="40" t="s">
        <v>56</v>
      </c>
      <c r="B21" s="40" t="s">
        <v>55</v>
      </c>
      <c r="C21" s="33">
        <v>0.71082158563902931</v>
      </c>
      <c r="D21" s="33">
        <v>0.59660327123854195</v>
      </c>
      <c r="E21" s="33">
        <v>4.9867768986432581E-2</v>
      </c>
      <c r="F21" s="33">
        <v>6.4350545414054772E-2</v>
      </c>
    </row>
    <row r="22" spans="1:6">
      <c r="A22" s="39" t="s">
        <v>59</v>
      </c>
      <c r="B22" s="39" t="s">
        <v>122</v>
      </c>
      <c r="C22" s="4">
        <v>0.45461837501988905</v>
      </c>
      <c r="D22" s="4">
        <v>0.34051425802767027</v>
      </c>
      <c r="E22" s="4">
        <v>6.2485337573456944E-2</v>
      </c>
      <c r="F22" s="4">
        <v>5.1618779418761807E-2</v>
      </c>
    </row>
    <row r="23" spans="1:6">
      <c r="A23" s="39"/>
      <c r="B23" s="39" t="s">
        <v>123</v>
      </c>
      <c r="C23" s="4">
        <v>0.80364895955407922</v>
      </c>
      <c r="D23" s="4">
        <v>0.69301656925997945</v>
      </c>
      <c r="E23" s="4">
        <v>4.174362745420386E-2</v>
      </c>
      <c r="F23" s="4">
        <v>6.8888762839895964E-2</v>
      </c>
    </row>
    <row r="24" spans="1:6">
      <c r="A24" s="39"/>
      <c r="B24" s="39" t="s">
        <v>124</v>
      </c>
      <c r="C24" s="4">
        <v>0.8643920680165309</v>
      </c>
      <c r="D24" s="4">
        <v>0.76624304148032274</v>
      </c>
      <c r="E24" s="4">
        <v>3.8082427762867237E-2</v>
      </c>
      <c r="F24" s="4">
        <v>6.0066598773340932E-2</v>
      </c>
    </row>
    <row r="25" spans="1:6">
      <c r="A25" s="39"/>
      <c r="B25" s="39" t="s">
        <v>125</v>
      </c>
      <c r="C25" s="4">
        <v>0.8286079110001896</v>
      </c>
      <c r="D25" s="4">
        <v>0.69353225030509069</v>
      </c>
      <c r="E25" s="4">
        <v>5.2880608129173938E-2</v>
      </c>
      <c r="F25" s="4">
        <v>8.2195052565924936E-2</v>
      </c>
    </row>
    <row r="26" spans="1:6">
      <c r="A26" s="39"/>
      <c r="B26" s="39"/>
    </row>
    <row r="27" spans="1:6">
      <c r="A27" s="40" t="s">
        <v>57</v>
      </c>
      <c r="B27" s="40" t="s">
        <v>55</v>
      </c>
      <c r="C27" s="33">
        <v>0.71304205108199736</v>
      </c>
      <c r="D27" s="33">
        <v>0.51879346585393682</v>
      </c>
      <c r="E27" s="33">
        <v>8.439975287488069E-2</v>
      </c>
      <c r="F27" s="33">
        <v>0.1098488323531798</v>
      </c>
    </row>
    <row r="28" spans="1:6">
      <c r="A28" s="39" t="s">
        <v>59</v>
      </c>
      <c r="B28" s="39" t="s">
        <v>122</v>
      </c>
      <c r="C28" s="4">
        <v>0.48996087982049713</v>
      </c>
      <c r="D28" s="4">
        <v>0.32684614108502602</v>
      </c>
      <c r="E28" s="4">
        <v>8.4083472245264801E-2</v>
      </c>
      <c r="F28" s="4">
        <v>7.9031266490206351E-2</v>
      </c>
    </row>
    <row r="29" spans="1:6">
      <c r="A29" s="39"/>
      <c r="B29" s="39" t="s">
        <v>123</v>
      </c>
      <c r="C29" s="4">
        <v>0.80873647092811418</v>
      </c>
      <c r="D29" s="4">
        <v>0.58918300474648233</v>
      </c>
      <c r="E29" s="4">
        <v>8.5856605109235984E-2</v>
      </c>
      <c r="F29" s="4">
        <v>0.13369686107239587</v>
      </c>
    </row>
    <row r="30" spans="1:6">
      <c r="A30" s="39"/>
      <c r="B30" s="39" t="s">
        <v>124</v>
      </c>
      <c r="C30" s="4">
        <v>0.84881921720132147</v>
      </c>
      <c r="D30" s="4">
        <v>0.63608259515584997</v>
      </c>
      <c r="E30" s="4">
        <v>7.3584956411243962E-2</v>
      </c>
      <c r="F30" s="4">
        <v>0.13915166563422754</v>
      </c>
    </row>
    <row r="31" spans="1:6">
      <c r="A31" s="132"/>
      <c r="B31" s="132" t="s">
        <v>125</v>
      </c>
      <c r="C31" s="137">
        <v>0.79564885304872845</v>
      </c>
      <c r="D31" s="137">
        <v>0.60488212542540565</v>
      </c>
      <c r="E31" s="137">
        <v>9.3849617027544519E-2</v>
      </c>
      <c r="F31" s="137">
        <v>9.6917110595778205E-2</v>
      </c>
    </row>
    <row r="32" spans="1:6">
      <c r="A32" s="72"/>
      <c r="B32" s="72"/>
      <c r="C32" s="156" t="s">
        <v>146</v>
      </c>
      <c r="D32" s="156"/>
      <c r="E32" s="156"/>
      <c r="F32" s="156"/>
    </row>
    <row r="33" spans="1:6">
      <c r="A33" s="40" t="s">
        <v>144</v>
      </c>
      <c r="B33" s="40" t="s">
        <v>55</v>
      </c>
      <c r="C33" s="51">
        <v>3430378.2761707129</v>
      </c>
      <c r="D33" s="51">
        <v>2692168.9158779546</v>
      </c>
      <c r="E33" s="51">
        <v>321758.12936159398</v>
      </c>
      <c r="F33" s="51">
        <v>416451.23093116446</v>
      </c>
    </row>
    <row r="34" spans="1:6">
      <c r="A34" s="39" t="s">
        <v>59</v>
      </c>
      <c r="B34" s="39" t="s">
        <v>122</v>
      </c>
      <c r="C34" s="110">
        <v>721802.72795137414</v>
      </c>
      <c r="D34" s="110">
        <v>510282.36953250045</v>
      </c>
      <c r="E34" s="110">
        <v>112583.25527946567</v>
      </c>
      <c r="F34" s="110">
        <v>98937.10313940802</v>
      </c>
    </row>
    <row r="35" spans="1:6">
      <c r="A35" s="39"/>
      <c r="B35" s="39" t="s">
        <v>123</v>
      </c>
      <c r="C35" s="110">
        <v>1041492.6880653563</v>
      </c>
      <c r="D35" s="110">
        <v>831018.00387789961</v>
      </c>
      <c r="E35" s="110">
        <v>81299.245505352097</v>
      </c>
      <c r="F35" s="110">
        <v>129175.43868210469</v>
      </c>
    </row>
    <row r="36" spans="1:6">
      <c r="A36" s="39"/>
      <c r="B36" s="39" t="s">
        <v>124</v>
      </c>
      <c r="C36" s="110">
        <v>856018.9304503944</v>
      </c>
      <c r="D36" s="110">
        <v>701955.43744777772</v>
      </c>
      <c r="E36" s="110">
        <v>55527.090880024341</v>
      </c>
      <c r="F36" s="110">
        <v>98536.402122592277</v>
      </c>
    </row>
    <row r="37" spans="1:6">
      <c r="A37" s="39"/>
      <c r="B37" s="39" t="s">
        <v>125</v>
      </c>
      <c r="C37" s="110">
        <v>811063.92970357207</v>
      </c>
      <c r="D37" s="110">
        <v>648913.10501976009</v>
      </c>
      <c r="E37" s="110">
        <v>72348.537696752173</v>
      </c>
      <c r="F37" s="110">
        <v>89802.286987059706</v>
      </c>
    </row>
    <row r="38" spans="1:6">
      <c r="A38" s="39"/>
      <c r="B38" s="39"/>
    </row>
    <row r="39" spans="1:6">
      <c r="A39" s="40" t="s">
        <v>56</v>
      </c>
      <c r="B39" s="40" t="s">
        <v>55</v>
      </c>
      <c r="C39" s="51">
        <v>1754374.0355136462</v>
      </c>
      <c r="D39" s="51">
        <v>1472472.5721749857</v>
      </c>
      <c r="E39" s="51">
        <v>123078.30950313549</v>
      </c>
      <c r="F39" s="51">
        <v>158823.1538355251</v>
      </c>
    </row>
    <row r="40" spans="1:6">
      <c r="A40" s="39" t="s">
        <v>59</v>
      </c>
      <c r="B40" s="39" t="s">
        <v>122</v>
      </c>
      <c r="C40" s="110">
        <v>355505.22110536497</v>
      </c>
      <c r="D40" s="110">
        <v>266277.39493451011</v>
      </c>
      <c r="E40" s="110">
        <v>48862.661455167421</v>
      </c>
      <c r="F40" s="110">
        <v>40365.164715687424</v>
      </c>
    </row>
    <row r="41" spans="1:6">
      <c r="A41" s="39"/>
      <c r="B41" s="39" t="s">
        <v>123</v>
      </c>
      <c r="C41" s="110">
        <v>532718.54709692916</v>
      </c>
      <c r="D41" s="110">
        <v>459383.13675553451</v>
      </c>
      <c r="E41" s="110">
        <v>27670.793701142778</v>
      </c>
      <c r="F41" s="110">
        <v>45664.616640251857</v>
      </c>
    </row>
    <row r="42" spans="1:6">
      <c r="A42" s="39"/>
      <c r="B42" s="39" t="s">
        <v>124</v>
      </c>
      <c r="C42" s="110">
        <v>441846.86743157357</v>
      </c>
      <c r="D42" s="110">
        <v>391676.53209289641</v>
      </c>
      <c r="E42" s="110">
        <v>19466.39960478013</v>
      </c>
      <c r="F42" s="110">
        <v>30703.935733897</v>
      </c>
    </row>
    <row r="43" spans="1:6">
      <c r="A43" s="39"/>
      <c r="B43" s="39" t="s">
        <v>125</v>
      </c>
      <c r="C43" s="110">
        <v>424303.39987978688</v>
      </c>
      <c r="D43" s="110">
        <v>355135.50839205302</v>
      </c>
      <c r="E43" s="110">
        <v>27078.454742045138</v>
      </c>
      <c r="F43" s="110">
        <v>42089.436745688727</v>
      </c>
    </row>
    <row r="44" spans="1:6">
      <c r="A44" s="39"/>
      <c r="B44" s="39"/>
    </row>
    <row r="45" spans="1:6">
      <c r="A45" s="40" t="s">
        <v>57</v>
      </c>
      <c r="B45" s="40" t="s">
        <v>55</v>
      </c>
      <c r="C45" s="51">
        <v>1662869.4684283785</v>
      </c>
      <c r="D45" s="51">
        <v>1209866.6740335715</v>
      </c>
      <c r="E45" s="51">
        <v>196826.78179438828</v>
      </c>
      <c r="F45" s="51">
        <v>256176.0126004187</v>
      </c>
    </row>
    <row r="46" spans="1:6">
      <c r="A46" s="39" t="s">
        <v>59</v>
      </c>
      <c r="B46" s="39" t="s">
        <v>122</v>
      </c>
      <c r="C46" s="110">
        <v>363121.58158865361</v>
      </c>
      <c r="D46" s="110">
        <v>242233.39571605073</v>
      </c>
      <c r="E46" s="110">
        <v>62316.247448882365</v>
      </c>
      <c r="F46" s="110">
        <v>58571.938423720523</v>
      </c>
    </row>
    <row r="47" spans="1:6">
      <c r="A47" s="39"/>
      <c r="B47" s="39" t="s">
        <v>123</v>
      </c>
      <c r="C47" s="110">
        <v>505159.5599231192</v>
      </c>
      <c r="D47" s="110">
        <v>368020.28607705701</v>
      </c>
      <c r="E47" s="110">
        <v>53628.451804209282</v>
      </c>
      <c r="F47" s="110">
        <v>83510.822041852924</v>
      </c>
    </row>
    <row r="48" spans="1:6">
      <c r="A48" s="39"/>
      <c r="B48" s="39" t="s">
        <v>124</v>
      </c>
      <c r="C48" s="110">
        <v>410792.5191003267</v>
      </c>
      <c r="D48" s="110">
        <v>307837.01208071335</v>
      </c>
      <c r="E48" s="110">
        <v>35611.999586589453</v>
      </c>
      <c r="F48" s="110">
        <v>67343.507433023857</v>
      </c>
    </row>
    <row r="49" spans="1:6">
      <c r="A49" s="39"/>
      <c r="B49" s="39" t="s">
        <v>125</v>
      </c>
      <c r="C49" s="110">
        <v>383795.80781626434</v>
      </c>
      <c r="D49" s="110">
        <v>291775.98015973601</v>
      </c>
      <c r="E49" s="110">
        <v>45270.082954707083</v>
      </c>
      <c r="F49" s="110">
        <v>46749.744701821226</v>
      </c>
    </row>
    <row r="50" spans="1:6">
      <c r="A50" s="39"/>
      <c r="B50" s="39"/>
      <c r="C50" s="4"/>
      <c r="D50" s="4"/>
      <c r="E50" s="4"/>
      <c r="F50" s="4"/>
    </row>
    <row r="51" spans="1:6" ht="14.45" customHeight="1">
      <c r="A51" s="19" t="s">
        <v>128</v>
      </c>
      <c r="B51" s="18"/>
      <c r="C51" s="18"/>
      <c r="D51" s="18"/>
      <c r="E51" s="18"/>
      <c r="F51" s="18"/>
    </row>
    <row r="52" spans="1:6">
      <c r="A52" s="29" t="s">
        <v>147</v>
      </c>
    </row>
    <row r="53" spans="1:6" ht="14.45" customHeight="1">
      <c r="A53" s="16" t="s">
        <v>119</v>
      </c>
    </row>
    <row r="54" spans="1:6">
      <c r="A54" s="16" t="s">
        <v>120</v>
      </c>
    </row>
    <row r="55" spans="1:6">
      <c r="A55" s="29" t="s">
        <v>118</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C33&lt;'34'!$D$104</xm:f>
            <x14:dxf>
              <font>
                <color rgb="FFFF0000"/>
              </font>
              <numFmt numFmtId="172" formatCode="\*\*0.0%"/>
            </x14:dxf>
          </x14:cfRule>
          <x14:cfRule type="expression" priority="4" id="{CBD53215-54F7-4FB8-AB65-18379144F32B}">
            <xm:f>C33&lt;'34'!$D$103</xm:f>
            <x14:dxf>
              <font>
                <color rgb="FF00B050"/>
              </font>
              <numFmt numFmtId="171" formatCode="\*0.0%"/>
            </x14:dxf>
          </x14:cfRule>
          <xm:sqref>C15:F31</xm:sqref>
        </x14:conditionalFormatting>
        <x14:conditionalFormatting xmlns:xm="http://schemas.microsoft.com/office/excel/2006/main">
          <x14:cfRule type="expression" priority="1" id="{1202510F-4428-4BD6-8D86-3D8A744FDC6B}">
            <xm:f>C33&lt;'34'!$D$104</xm:f>
            <x14:dxf>
              <font>
                <color rgb="FFFF0000"/>
              </font>
              <numFmt numFmtId="170" formatCode="\*\*#,###,###,##0"/>
            </x14:dxf>
          </x14:cfRule>
          <x14:cfRule type="expression" priority="2" id="{E26BB99C-8890-40ED-A476-25384435F848}">
            <xm:f>C33&lt;'34'!$D$103</xm:f>
            <x14:dxf>
              <font>
                <color rgb="FF00B050"/>
              </font>
              <numFmt numFmtId="169" formatCode="\*#,###,###,##0"/>
            </x14:dxf>
          </x14:cfRule>
          <xm:sqref>C33:F49</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zoomScaleNormal="100" zoomScaleSheetLayoutView="40" workbookViewId="0">
      <pane xSplit="1" ySplit="14" topLeftCell="B15" activePane="bottomRight" state="frozen"/>
      <selection pane="bottomRight"/>
      <selection pane="bottomLeft"/>
      <selection pane="topRight"/>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34"/>
      <c r="B1" s="34"/>
      <c r="C1" s="34"/>
      <c r="D1" s="34"/>
      <c r="E1" s="34"/>
      <c r="F1" s="34"/>
      <c r="G1" s="34"/>
      <c r="H1" s="34"/>
      <c r="I1" s="34"/>
      <c r="J1" s="34"/>
      <c r="K1" s="34"/>
      <c r="L1" s="34"/>
      <c r="M1" s="34"/>
    </row>
    <row r="2" spans="1:13">
      <c r="A2" s="34"/>
      <c r="B2" s="34"/>
      <c r="C2" s="34"/>
      <c r="D2" s="34"/>
      <c r="E2" s="34"/>
      <c r="F2" s="34"/>
      <c r="G2" s="34"/>
      <c r="H2" s="34"/>
      <c r="I2" s="34"/>
      <c r="J2" s="34"/>
      <c r="K2" s="34"/>
      <c r="L2" s="34"/>
      <c r="M2" s="34"/>
    </row>
    <row r="3" spans="1:13">
      <c r="A3" s="34"/>
      <c r="B3" s="34"/>
      <c r="C3" s="34"/>
      <c r="D3" s="34"/>
      <c r="E3" s="34"/>
      <c r="F3" s="34"/>
      <c r="G3" s="34"/>
      <c r="H3" s="34"/>
      <c r="I3" s="34"/>
      <c r="J3" s="34"/>
      <c r="K3" s="34"/>
      <c r="L3" s="34"/>
      <c r="M3" s="34"/>
    </row>
    <row r="4" spans="1:13">
      <c r="A4" s="34"/>
      <c r="B4" s="34"/>
      <c r="C4" s="34"/>
      <c r="D4" s="34"/>
      <c r="E4" s="34"/>
      <c r="F4" s="34"/>
      <c r="G4" s="34"/>
      <c r="H4" s="34"/>
      <c r="I4" s="34"/>
      <c r="J4" s="34"/>
      <c r="K4" s="34"/>
      <c r="L4" s="34"/>
      <c r="M4" s="34"/>
    </row>
    <row r="5" spans="1:13">
      <c r="A5" s="34"/>
      <c r="B5" s="34"/>
      <c r="C5" s="34"/>
      <c r="D5" s="34"/>
      <c r="E5" s="34"/>
      <c r="F5" s="34"/>
      <c r="G5" s="34"/>
      <c r="H5" s="34"/>
      <c r="I5" s="34"/>
      <c r="J5" s="34"/>
      <c r="K5" s="34"/>
      <c r="L5" s="34"/>
      <c r="M5" s="34"/>
    </row>
    <row r="6" spans="1:13">
      <c r="A6" s="34"/>
      <c r="B6" s="34"/>
      <c r="C6" s="34"/>
      <c r="D6" s="34"/>
      <c r="E6" s="34"/>
      <c r="F6" s="34"/>
      <c r="G6" s="34"/>
      <c r="H6" s="34"/>
      <c r="I6" s="34"/>
      <c r="J6" s="34"/>
      <c r="K6" s="34"/>
      <c r="L6" s="34"/>
      <c r="M6" s="34"/>
    </row>
    <row r="7" spans="1:13">
      <c r="A7" s="34"/>
      <c r="B7" s="34"/>
      <c r="C7" s="34"/>
      <c r="D7" s="34"/>
      <c r="E7" s="34"/>
      <c r="F7" s="34"/>
      <c r="G7" s="34"/>
      <c r="H7" s="34"/>
      <c r="I7" s="34"/>
      <c r="J7" s="34"/>
      <c r="K7" s="34"/>
      <c r="L7" s="34"/>
      <c r="M7" s="34"/>
    </row>
    <row r="8" spans="1:13">
      <c r="A8" s="35" t="s">
        <v>0</v>
      </c>
      <c r="B8" s="34"/>
      <c r="C8" s="34"/>
      <c r="D8" s="34"/>
      <c r="E8" s="34"/>
      <c r="F8" s="34"/>
      <c r="G8" s="34"/>
      <c r="H8" s="34"/>
      <c r="I8" s="34"/>
      <c r="J8" s="34"/>
      <c r="K8" s="35"/>
      <c r="L8" s="34"/>
      <c r="M8" s="34"/>
    </row>
    <row r="9" spans="1:13">
      <c r="A9" s="34" t="s">
        <v>1</v>
      </c>
      <c r="B9" s="35" t="s">
        <v>2</v>
      </c>
      <c r="C9" s="34"/>
      <c r="D9" s="34"/>
      <c r="E9" s="34"/>
      <c r="F9" s="34"/>
      <c r="G9" s="35"/>
      <c r="H9" s="34"/>
      <c r="I9" s="34"/>
      <c r="J9" s="34"/>
      <c r="K9" s="34"/>
      <c r="L9" s="34"/>
      <c r="M9" s="35"/>
    </row>
    <row r="10" spans="1:13">
      <c r="A10" s="34" t="s">
        <v>47</v>
      </c>
      <c r="B10" s="36">
        <v>17</v>
      </c>
      <c r="C10" s="34"/>
      <c r="D10" s="34"/>
      <c r="E10" s="34"/>
      <c r="F10" s="34"/>
      <c r="G10" s="36"/>
      <c r="H10" s="34"/>
      <c r="I10" s="34"/>
      <c r="J10" s="34"/>
      <c r="K10" s="34"/>
      <c r="L10" s="34"/>
      <c r="M10" s="36"/>
    </row>
    <row r="11" spans="1:13">
      <c r="A11" s="34" t="s">
        <v>3</v>
      </c>
      <c r="B11" s="35" t="s">
        <v>25</v>
      </c>
      <c r="C11" s="34"/>
      <c r="D11" s="34"/>
      <c r="E11" s="34"/>
      <c r="F11" s="34"/>
      <c r="G11" s="35"/>
      <c r="H11" s="34"/>
      <c r="I11" s="34"/>
      <c r="J11" s="34"/>
      <c r="K11" s="34"/>
      <c r="L11" s="34"/>
      <c r="M11" s="35"/>
    </row>
    <row r="12" spans="1:13">
      <c r="A12" s="130" t="s">
        <v>48</v>
      </c>
      <c r="B12" s="35" t="s">
        <v>49</v>
      </c>
      <c r="C12" s="34"/>
      <c r="D12" s="34"/>
      <c r="E12" s="114" t="s">
        <v>145</v>
      </c>
      <c r="F12" s="34"/>
      <c r="G12" s="35"/>
      <c r="H12" s="34"/>
      <c r="I12" s="34"/>
      <c r="J12" s="34"/>
      <c r="K12" s="34"/>
      <c r="L12" s="34"/>
      <c r="M12" s="35"/>
    </row>
    <row r="13" spans="1:13" s="2" customFormat="1" ht="24.95" customHeight="1">
      <c r="A13" s="56"/>
      <c r="B13" s="56"/>
      <c r="C13" s="56"/>
      <c r="D13" s="56"/>
      <c r="E13" s="56"/>
      <c r="F13" s="56"/>
      <c r="G13" s="164" t="s">
        <v>59</v>
      </c>
      <c r="H13" s="164"/>
      <c r="I13" s="164"/>
      <c r="J13" s="164"/>
      <c r="K13" s="164"/>
      <c r="L13" s="164"/>
      <c r="M13" s="164"/>
    </row>
    <row r="14" spans="1:13" s="68" customFormat="1" ht="24.95" customHeight="1">
      <c r="A14" s="60"/>
      <c r="B14" s="42" t="s">
        <v>58</v>
      </c>
      <c r="C14" s="42"/>
      <c r="D14" s="42" t="s">
        <v>56</v>
      </c>
      <c r="E14" s="42" t="s">
        <v>57</v>
      </c>
      <c r="F14" s="42"/>
      <c r="G14" s="42" t="s">
        <v>60</v>
      </c>
      <c r="H14" s="42" t="s">
        <v>61</v>
      </c>
      <c r="I14" s="42" t="s">
        <v>62</v>
      </c>
      <c r="J14" s="42" t="s">
        <v>63</v>
      </c>
      <c r="K14" s="42" t="s">
        <v>64</v>
      </c>
      <c r="L14" s="42" t="s">
        <v>65</v>
      </c>
      <c r="M14" s="42" t="s">
        <v>66</v>
      </c>
    </row>
    <row r="15" spans="1:13">
      <c r="A15" s="72"/>
      <c r="B15" s="156" t="s">
        <v>143</v>
      </c>
      <c r="C15" s="156"/>
      <c r="D15" s="156"/>
      <c r="E15" s="156"/>
      <c r="F15" s="156"/>
      <c r="G15" s="156"/>
      <c r="H15" s="156"/>
      <c r="I15" s="156"/>
      <c r="J15" s="156"/>
      <c r="K15" s="156"/>
      <c r="L15" s="156"/>
      <c r="M15" s="156"/>
    </row>
    <row r="16" spans="1:13">
      <c r="A16" s="39" t="s">
        <v>267</v>
      </c>
      <c r="B16" s="4">
        <v>1.574085008457859E-3</v>
      </c>
      <c r="D16" s="4">
        <v>2.3674708148299878E-3</v>
      </c>
      <c r="E16" s="4">
        <v>6.6444277521870922E-4</v>
      </c>
      <c r="F16" s="4"/>
      <c r="G16" s="4">
        <v>1.8029999831592597E-3</v>
      </c>
      <c r="H16" s="4">
        <v>2.5339481348566704E-3</v>
      </c>
      <c r="I16" s="4">
        <v>3.5695248284658846E-3</v>
      </c>
      <c r="J16" s="4">
        <v>2.5292289560609939E-3</v>
      </c>
      <c r="K16" s="4">
        <v>7.5386547563203348E-4</v>
      </c>
      <c r="L16" s="4">
        <v>1.830511253405961E-4</v>
      </c>
      <c r="M16" s="4">
        <v>7.6493029606116103E-5</v>
      </c>
    </row>
    <row r="17" spans="1:13">
      <c r="A17" s="39" t="s">
        <v>268</v>
      </c>
      <c r="B17" s="4">
        <v>3.3226360888983565E-3</v>
      </c>
      <c r="D17" s="4">
        <v>4.7142676254261877E-3</v>
      </c>
      <c r="E17" s="4">
        <v>1.9654231077034694E-3</v>
      </c>
      <c r="F17" s="4"/>
      <c r="G17" s="4">
        <v>4.7924194936406622E-3</v>
      </c>
      <c r="H17" s="4">
        <v>4.9783593550027806E-3</v>
      </c>
      <c r="I17" s="4">
        <v>6.5351551312617436E-3</v>
      </c>
      <c r="J17" s="4">
        <v>5.3807983327174048E-3</v>
      </c>
      <c r="K17" s="4">
        <v>1.2136749631264617E-3</v>
      </c>
      <c r="L17" s="4">
        <v>1.3336306939981772E-3</v>
      </c>
      <c r="M17" s="4">
        <v>6.0167128479237351E-4</v>
      </c>
    </row>
    <row r="18" spans="1:13">
      <c r="A18" s="39" t="s">
        <v>269</v>
      </c>
      <c r="B18" s="4">
        <v>2.3960380962427022E-3</v>
      </c>
      <c r="D18" s="4">
        <v>2.9713367366339108E-3</v>
      </c>
      <c r="E18" s="4">
        <v>1.6920174839301875E-3</v>
      </c>
      <c r="F18" s="4"/>
      <c r="G18" s="4">
        <v>2.1860055346669895E-3</v>
      </c>
      <c r="H18" s="4">
        <v>3.1508997957409679E-3</v>
      </c>
      <c r="I18" s="4">
        <v>4.7205085807944828E-3</v>
      </c>
      <c r="J18" s="4">
        <v>2.630200362823157E-3</v>
      </c>
      <c r="K18" s="4">
        <v>1.550347072859531E-3</v>
      </c>
      <c r="L18" s="4">
        <v>1.8127874634251099E-3</v>
      </c>
      <c r="M18" s="4">
        <v>8.8048770427008041E-4</v>
      </c>
    </row>
    <row r="19" spans="1:13">
      <c r="A19" s="39" t="s">
        <v>270</v>
      </c>
      <c r="B19" s="4">
        <v>1.4546096180777323E-2</v>
      </c>
      <c r="D19" s="4">
        <v>1.7988741286015571E-2</v>
      </c>
      <c r="E19" s="4">
        <v>1.097860001486212E-2</v>
      </c>
      <c r="F19" s="4"/>
      <c r="G19" s="4">
        <v>5.9500159303961554E-2</v>
      </c>
      <c r="H19" s="4">
        <v>3.193471009699296E-2</v>
      </c>
      <c r="I19" s="4">
        <v>2.0585685977367377E-2</v>
      </c>
      <c r="J19" s="4">
        <v>1.6531847097708285E-2</v>
      </c>
      <c r="K19" s="4">
        <v>8.038218073967646E-3</v>
      </c>
      <c r="L19" s="4">
        <v>3.7744686999838001E-3</v>
      </c>
      <c r="M19" s="4">
        <v>1.2034968128294924E-3</v>
      </c>
    </row>
    <row r="20" spans="1:13">
      <c r="A20" s="39" t="s">
        <v>271</v>
      </c>
      <c r="B20" s="4">
        <v>2.5666321045448064E-2</v>
      </c>
      <c r="D20" s="4">
        <v>4.0991336130630905E-2</v>
      </c>
      <c r="E20" s="4">
        <v>1.0964437523733755E-2</v>
      </c>
      <c r="F20" s="4"/>
      <c r="G20" s="4">
        <v>5.5738921433174771E-2</v>
      </c>
      <c r="H20" s="4">
        <v>6.2265582654307414E-2</v>
      </c>
      <c r="I20" s="4">
        <v>4.8815003009324301E-2</v>
      </c>
      <c r="J20" s="4">
        <v>2.9697389996829388E-2</v>
      </c>
      <c r="K20" s="4">
        <v>1.1740348405392753E-2</v>
      </c>
      <c r="L20" s="4">
        <v>5.332753557055302E-3</v>
      </c>
      <c r="M20" s="4">
        <v>1.0945967805251831E-3</v>
      </c>
    </row>
    <row r="21" spans="1:13">
      <c r="A21" s="39" t="s">
        <v>272</v>
      </c>
      <c r="B21" s="4">
        <v>1.791724567272478E-2</v>
      </c>
      <c r="D21" s="4">
        <v>2.0459402610350338E-2</v>
      </c>
      <c r="E21" s="4">
        <v>1.5288980099568694E-2</v>
      </c>
      <c r="F21" s="4"/>
      <c r="G21" s="4">
        <v>7.9392685538350688E-2</v>
      </c>
      <c r="H21" s="4">
        <v>3.6181442286004541E-2</v>
      </c>
      <c r="I21" s="4">
        <v>2.9944713650445657E-2</v>
      </c>
      <c r="J21" s="4">
        <v>1.6824188893616386E-2</v>
      </c>
      <c r="K21" s="4">
        <v>9.2381248444179803E-3</v>
      </c>
      <c r="L21" s="4">
        <v>4.2385961435627622E-3</v>
      </c>
      <c r="M21" s="4">
        <v>1.5362187153112657E-3</v>
      </c>
    </row>
    <row r="22" spans="1:13">
      <c r="A22" s="39" t="s">
        <v>273</v>
      </c>
      <c r="B22" s="4">
        <v>3.499586822465517E-3</v>
      </c>
      <c r="D22" s="4">
        <v>5.7754332736047291E-3</v>
      </c>
      <c r="E22" s="4">
        <v>1.3320894450533478E-3</v>
      </c>
      <c r="F22" s="4"/>
      <c r="G22" s="4">
        <v>8.6679815013046627E-3</v>
      </c>
      <c r="H22" s="4">
        <v>6.5246282335605071E-3</v>
      </c>
      <c r="I22" s="4">
        <v>6.6844987842029531E-3</v>
      </c>
      <c r="J22" s="4">
        <v>4.2912928761394227E-3</v>
      </c>
      <c r="K22" s="4">
        <v>2.3277452316542674E-3</v>
      </c>
      <c r="L22" s="4">
        <v>7.302031136607823E-4</v>
      </c>
      <c r="M22" s="4">
        <v>1.8443030725336348E-4</v>
      </c>
    </row>
    <row r="23" spans="1:13">
      <c r="A23" s="39" t="s">
        <v>274</v>
      </c>
      <c r="B23" s="4">
        <v>4.8222301356603506E-2</v>
      </c>
      <c r="D23" s="4">
        <v>7.0728280588777587E-2</v>
      </c>
      <c r="E23" s="4">
        <v>2.6310103492618277E-2</v>
      </c>
      <c r="F23" s="4"/>
      <c r="G23" s="4">
        <v>0.18275778944479779</v>
      </c>
      <c r="H23" s="4">
        <v>0.12079241391059309</v>
      </c>
      <c r="I23" s="4">
        <v>6.966471395798042E-2</v>
      </c>
      <c r="J23" s="4">
        <v>5.4046473578736556E-2</v>
      </c>
      <c r="K23" s="4">
        <v>2.5894611076772926E-2</v>
      </c>
      <c r="L23" s="4">
        <v>7.9080966847176748E-3</v>
      </c>
      <c r="M23" s="4">
        <v>2.4077869465922944E-3</v>
      </c>
    </row>
    <row r="24" spans="1:13">
      <c r="A24" s="39" t="s">
        <v>275</v>
      </c>
      <c r="B24" s="4">
        <v>2.8526515049721743E-4</v>
      </c>
      <c r="D24" s="4">
        <v>3.4841378923512983E-4</v>
      </c>
      <c r="E24" s="4">
        <v>2.2745633260299575E-4</v>
      </c>
      <c r="F24" s="4"/>
      <c r="G24" s="4">
        <v>0</v>
      </c>
      <c r="H24" s="4">
        <v>4.1856334444206514E-4</v>
      </c>
      <c r="I24" s="4">
        <v>1.0895417165192535E-3</v>
      </c>
      <c r="J24" s="4">
        <v>1.3642887804353473E-4</v>
      </c>
      <c r="K24" s="4">
        <v>1.5136730335130346E-4</v>
      </c>
      <c r="L24" s="4">
        <v>0</v>
      </c>
      <c r="M24" s="4">
        <v>0</v>
      </c>
    </row>
    <row r="25" spans="1:13">
      <c r="A25" s="39" t="s">
        <v>276</v>
      </c>
      <c r="B25" s="4">
        <v>7.6916408420143998E-5</v>
      </c>
      <c r="D25" s="4">
        <v>1.0664257070813045E-4</v>
      </c>
      <c r="E25" s="4">
        <v>4.8992452207744884E-5</v>
      </c>
      <c r="F25" s="4"/>
      <c r="G25" s="4">
        <v>0</v>
      </c>
      <c r="H25" s="4">
        <v>2.2947169060707332E-4</v>
      </c>
      <c r="I25" s="4">
        <v>1.4617270540082168E-4</v>
      </c>
      <c r="J25" s="4">
        <v>1.5406279097548986E-4</v>
      </c>
      <c r="K25" s="4">
        <v>0</v>
      </c>
      <c r="L25" s="4">
        <v>0</v>
      </c>
      <c r="M25" s="4">
        <v>0</v>
      </c>
    </row>
    <row r="26" spans="1:13">
      <c r="A26" s="39" t="s">
        <v>277</v>
      </c>
      <c r="B26" s="4">
        <v>3.5313487498731572E-3</v>
      </c>
      <c r="D26" s="4">
        <v>4.6430632918474882E-3</v>
      </c>
      <c r="E26" s="4">
        <v>2.4190394941184241E-3</v>
      </c>
      <c r="F26" s="4"/>
      <c r="G26" s="4">
        <v>8.3860947612852503E-3</v>
      </c>
      <c r="H26" s="4">
        <v>5.572169246154033E-3</v>
      </c>
      <c r="I26" s="4">
        <v>4.4103606974943638E-3</v>
      </c>
      <c r="J26" s="4">
        <v>3.3852130114273046E-3</v>
      </c>
      <c r="K26" s="4">
        <v>2.2572436199439464E-3</v>
      </c>
      <c r="L26" s="4">
        <v>3.8766213026969754E-3</v>
      </c>
      <c r="M26" s="4">
        <v>1.5095356339988567E-3</v>
      </c>
    </row>
    <row r="27" spans="1:13">
      <c r="A27" s="39" t="s">
        <v>278</v>
      </c>
      <c r="B27" s="4">
        <v>5.0878876036184113E-4</v>
      </c>
      <c r="D27" s="4">
        <v>7.4733775664831545E-4</v>
      </c>
      <c r="E27" s="4">
        <v>2.8335726653032871E-4</v>
      </c>
      <c r="F27" s="4"/>
      <c r="G27" s="4">
        <v>1.4914352980309785E-3</v>
      </c>
      <c r="H27" s="4">
        <v>9.3151921580122011E-4</v>
      </c>
      <c r="I27" s="4">
        <v>6.6319314770506429E-4</v>
      </c>
      <c r="J27" s="4">
        <v>4.2702554399652083E-4</v>
      </c>
      <c r="K27" s="4">
        <v>9.2509190209154866E-4</v>
      </c>
      <c r="L27" s="4">
        <v>0</v>
      </c>
      <c r="M27" s="4">
        <v>5.5374004604258925E-5</v>
      </c>
    </row>
    <row r="28" spans="1:13">
      <c r="A28" s="39" t="s">
        <v>279</v>
      </c>
      <c r="B28" s="4">
        <v>2.5107343139405279E-5</v>
      </c>
      <c r="D28" s="4">
        <v>5.1272778209825871E-5</v>
      </c>
      <c r="E28" s="4">
        <v>0</v>
      </c>
      <c r="F28" s="4"/>
      <c r="G28" s="4">
        <v>0</v>
      </c>
      <c r="H28" s="4">
        <v>0</v>
      </c>
      <c r="I28" s="4">
        <v>1.409422954801931E-4</v>
      </c>
      <c r="J28" s="4">
        <v>0</v>
      </c>
      <c r="K28" s="4">
        <v>0</v>
      </c>
      <c r="L28" s="4">
        <v>0</v>
      </c>
      <c r="M28" s="4">
        <v>0</v>
      </c>
    </row>
    <row r="29" spans="1:13">
      <c r="A29" s="39" t="s">
        <v>280</v>
      </c>
      <c r="B29" s="4">
        <v>2.5128715103870465E-4</v>
      </c>
      <c r="D29" s="4">
        <v>1.8079148787228602E-4</v>
      </c>
      <c r="E29" s="4">
        <v>3.2288721702891605E-4</v>
      </c>
      <c r="F29" s="4"/>
      <c r="G29" s="4">
        <v>0</v>
      </c>
      <c r="H29" s="4">
        <v>0</v>
      </c>
      <c r="I29" s="4">
        <v>0</v>
      </c>
      <c r="J29" s="4">
        <v>0</v>
      </c>
      <c r="K29" s="4">
        <v>4.7937746103686343E-4</v>
      </c>
      <c r="L29" s="4">
        <v>1.5535471849817406E-4</v>
      </c>
      <c r="M29" s="4">
        <v>7.5240311452584813E-4</v>
      </c>
    </row>
    <row r="30" spans="1:13">
      <c r="A30" s="39" t="s">
        <v>281</v>
      </c>
      <c r="B30" s="4">
        <v>0</v>
      </c>
      <c r="D30" s="4">
        <v>0</v>
      </c>
      <c r="E30" s="4">
        <v>0</v>
      </c>
      <c r="F30" s="4"/>
      <c r="G30" s="4">
        <v>0</v>
      </c>
      <c r="H30" s="4">
        <v>0</v>
      </c>
      <c r="I30" s="4">
        <v>0</v>
      </c>
      <c r="J30" s="4">
        <v>0</v>
      </c>
      <c r="K30" s="4">
        <v>0</v>
      </c>
      <c r="L30" s="4">
        <v>0</v>
      </c>
      <c r="M30" s="4">
        <v>0</v>
      </c>
    </row>
    <row r="31" spans="1:13">
      <c r="A31" s="39" t="s">
        <v>282</v>
      </c>
      <c r="B31" s="4">
        <v>5.1181786834006437E-4</v>
      </c>
      <c r="D31" s="4">
        <v>8.8128456048336E-4</v>
      </c>
      <c r="E31" s="4">
        <v>1.1420282318350064E-4</v>
      </c>
      <c r="F31" s="4"/>
      <c r="G31" s="4">
        <v>1.3024998990751782E-3</v>
      </c>
      <c r="H31" s="4">
        <v>5.9389257321371862E-4</v>
      </c>
      <c r="I31" s="4">
        <v>9.5360678953283708E-4</v>
      </c>
      <c r="J31" s="4">
        <v>6.9881548209015348E-4</v>
      </c>
      <c r="K31" s="4">
        <v>4.3638917545817807E-4</v>
      </c>
      <c r="L31" s="4">
        <v>2.5325706068005235E-4</v>
      </c>
      <c r="M31" s="4">
        <v>0</v>
      </c>
    </row>
    <row r="32" spans="1:13">
      <c r="A32" s="39" t="s">
        <v>283</v>
      </c>
      <c r="B32" s="4">
        <v>7.0950388843757869E-5</v>
      </c>
      <c r="D32" s="4">
        <v>1.4489082062121652E-4</v>
      </c>
      <c r="E32" s="4">
        <v>0</v>
      </c>
      <c r="F32" s="4"/>
      <c r="G32" s="4">
        <v>0</v>
      </c>
      <c r="H32" s="4">
        <v>0</v>
      </c>
      <c r="I32" s="4">
        <v>1.409422954801931E-4</v>
      </c>
      <c r="J32" s="4">
        <v>1.3642887804353473E-4</v>
      </c>
      <c r="K32" s="4">
        <v>1.4947574754416965E-4</v>
      </c>
      <c r="L32" s="4">
        <v>0</v>
      </c>
      <c r="M32" s="4">
        <v>0</v>
      </c>
    </row>
    <row r="33" spans="1:13">
      <c r="A33" s="39" t="s">
        <v>284</v>
      </c>
      <c r="B33" s="4">
        <v>8.7150102064555077E-3</v>
      </c>
      <c r="D33" s="4">
        <v>1.1738839602934346E-2</v>
      </c>
      <c r="E33" s="4">
        <v>5.839107013496941E-3</v>
      </c>
      <c r="F33" s="4"/>
      <c r="G33" s="4">
        <v>1.7941442462027775E-3</v>
      </c>
      <c r="H33" s="4">
        <v>1.0877669889547785E-3</v>
      </c>
      <c r="I33" s="4">
        <v>2.9003876269430673E-3</v>
      </c>
      <c r="J33" s="4">
        <v>2.4664749641463098E-3</v>
      </c>
      <c r="K33" s="4">
        <v>4.7650213983723346E-3</v>
      </c>
      <c r="L33" s="4">
        <v>1.0310749948539009E-2</v>
      </c>
      <c r="M33" s="4">
        <v>2.5982788213142032E-2</v>
      </c>
    </row>
    <row r="34" spans="1:13">
      <c r="A34" s="39" t="s">
        <v>285</v>
      </c>
      <c r="B34" s="4">
        <v>8.8697364180033642E-3</v>
      </c>
      <c r="D34" s="4">
        <v>1.0116447710976197E-2</v>
      </c>
      <c r="E34" s="4">
        <v>7.6881647430193465E-3</v>
      </c>
      <c r="F34" s="4"/>
      <c r="G34" s="4">
        <v>1.8485325919178452E-2</v>
      </c>
      <c r="H34" s="4">
        <v>1.7944412180631853E-2</v>
      </c>
      <c r="I34" s="4">
        <v>1.4431008931422408E-2</v>
      </c>
      <c r="J34" s="4">
        <v>1.1007282210438158E-2</v>
      </c>
      <c r="K34" s="4">
        <v>5.8367456215035899E-3</v>
      </c>
      <c r="L34" s="4">
        <v>4.7410161049838487E-3</v>
      </c>
      <c r="M34" s="4">
        <v>6.2562480942225879E-4</v>
      </c>
    </row>
    <row r="35" spans="1:13">
      <c r="A35" s="39" t="s">
        <v>286</v>
      </c>
      <c r="B35" s="4">
        <v>0</v>
      </c>
      <c r="D35" s="4">
        <v>0</v>
      </c>
      <c r="E35" s="4">
        <v>0</v>
      </c>
      <c r="F35" s="4"/>
      <c r="G35" s="4">
        <v>0</v>
      </c>
      <c r="H35" s="4">
        <v>0</v>
      </c>
      <c r="I35" s="4">
        <v>0</v>
      </c>
      <c r="J35" s="4">
        <v>0</v>
      </c>
      <c r="K35" s="4">
        <v>0</v>
      </c>
      <c r="L35" s="4">
        <v>0</v>
      </c>
      <c r="M35" s="4">
        <v>0</v>
      </c>
    </row>
    <row r="36" spans="1:13">
      <c r="A36" s="39" t="s">
        <v>287</v>
      </c>
      <c r="B36" s="4">
        <v>0.16958439987088578</v>
      </c>
      <c r="D36" s="4">
        <v>0.15890188902802282</v>
      </c>
      <c r="E36" s="4">
        <v>0.1799782630909518</v>
      </c>
      <c r="F36" s="4"/>
      <c r="G36" s="4">
        <v>0.1591407769367561</v>
      </c>
      <c r="H36" s="4">
        <v>0.15808494192723241</v>
      </c>
      <c r="I36" s="4">
        <v>0.21346698513312576</v>
      </c>
      <c r="J36" s="4">
        <v>0.18875173464688766</v>
      </c>
      <c r="K36" s="4">
        <v>0.19608253824097638</v>
      </c>
      <c r="L36" s="4">
        <v>0.18856214447298214</v>
      </c>
      <c r="M36" s="4">
        <v>9.2627905252968615E-2</v>
      </c>
    </row>
    <row r="37" spans="1:13">
      <c r="A37" s="39" t="s">
        <v>288</v>
      </c>
      <c r="B37" s="4">
        <v>2.3276316480241527E-3</v>
      </c>
      <c r="D37" s="4">
        <v>3.5513749411438872E-3</v>
      </c>
      <c r="E37" s="4">
        <v>1.0877700810868313E-3</v>
      </c>
      <c r="F37" s="4"/>
      <c r="G37" s="4">
        <v>3.7785026618943457E-3</v>
      </c>
      <c r="H37" s="4">
        <v>7.7613841110692949E-3</v>
      </c>
      <c r="I37" s="4">
        <v>3.2119314640046749E-3</v>
      </c>
      <c r="J37" s="4">
        <v>2.8827609345893255E-3</v>
      </c>
      <c r="K37" s="4">
        <v>7.6115508443349049E-4</v>
      </c>
      <c r="L37" s="4">
        <v>5.4078669800695152E-4</v>
      </c>
      <c r="M37" s="4">
        <v>3.4480124244465305E-4</v>
      </c>
    </row>
    <row r="38" spans="1:13">
      <c r="A38" s="39" t="s">
        <v>289</v>
      </c>
      <c r="B38" s="4">
        <v>3.0699983224816092E-4</v>
      </c>
      <c r="D38" s="4">
        <v>5.7612094140058472E-4</v>
      </c>
      <c r="E38" s="4">
        <v>4.936628999489488E-5</v>
      </c>
      <c r="F38" s="4"/>
      <c r="G38" s="4">
        <v>0</v>
      </c>
      <c r="H38" s="4">
        <v>2.4467573396393978E-4</v>
      </c>
      <c r="I38" s="4">
        <v>7.3420787165907225E-4</v>
      </c>
      <c r="J38" s="4">
        <v>8.8192659569932147E-4</v>
      </c>
      <c r="K38" s="4">
        <v>0</v>
      </c>
      <c r="L38" s="4">
        <v>0</v>
      </c>
      <c r="M38" s="4">
        <v>0</v>
      </c>
    </row>
    <row r="39" spans="1:13">
      <c r="A39" s="39" t="s">
        <v>290</v>
      </c>
      <c r="B39" s="4">
        <v>9.621757271987651E-3</v>
      </c>
      <c r="D39" s="4">
        <v>1.0700005420282916E-2</v>
      </c>
      <c r="E39" s="4">
        <v>8.6936025000295351E-3</v>
      </c>
      <c r="F39" s="4"/>
      <c r="G39" s="4">
        <v>1.873044660992015E-2</v>
      </c>
      <c r="H39" s="4">
        <v>6.0245476380267372E-3</v>
      </c>
      <c r="I39" s="4">
        <v>1.0801484998450571E-2</v>
      </c>
      <c r="J39" s="4">
        <v>9.7859838835009753E-3</v>
      </c>
      <c r="K39" s="4">
        <v>1.2701069803067202E-2</v>
      </c>
      <c r="L39" s="4">
        <v>1.1258164497827811E-2</v>
      </c>
      <c r="M39" s="4">
        <v>5.0652662728322591E-3</v>
      </c>
    </row>
    <row r="40" spans="1:13">
      <c r="A40" s="39" t="s">
        <v>291</v>
      </c>
      <c r="B40" s="4">
        <v>3.610937104988215E-4</v>
      </c>
      <c r="D40" s="4">
        <v>1.4366079093858962E-4</v>
      </c>
      <c r="E40" s="4">
        <v>5.3642518020746482E-4</v>
      </c>
      <c r="F40" s="4"/>
      <c r="G40" s="4">
        <v>0</v>
      </c>
      <c r="H40" s="4">
        <v>6.8328158646194519E-4</v>
      </c>
      <c r="I40" s="4">
        <v>9.6476803622841585E-4</v>
      </c>
      <c r="J40" s="4">
        <v>3.8529828925154297E-4</v>
      </c>
      <c r="K40" s="4">
        <v>1.8380262306769463E-4</v>
      </c>
      <c r="L40" s="4">
        <v>1.597888834886194E-4</v>
      </c>
      <c r="M40" s="4">
        <v>0</v>
      </c>
    </row>
    <row r="41" spans="1:13">
      <c r="A41" s="39" t="s">
        <v>292</v>
      </c>
      <c r="B41" s="4">
        <v>2.4738441129893925E-2</v>
      </c>
      <c r="D41" s="4">
        <v>4.2509200116549822E-2</v>
      </c>
      <c r="E41" s="4">
        <v>7.6057845596891925E-3</v>
      </c>
      <c r="F41" s="4"/>
      <c r="G41" s="4">
        <v>6.5963870771756347E-2</v>
      </c>
      <c r="H41" s="4">
        <v>4.3450589389505509E-2</v>
      </c>
      <c r="I41" s="4">
        <v>3.813573924977659E-2</v>
      </c>
      <c r="J41" s="4">
        <v>3.3439169906717234E-2</v>
      </c>
      <c r="K41" s="4">
        <v>1.915641005712717E-2</v>
      </c>
      <c r="L41" s="4">
        <v>7.8360203211271379E-3</v>
      </c>
      <c r="M41" s="4">
        <v>3.1866871645255574E-3</v>
      </c>
    </row>
    <row r="42" spans="1:13">
      <c r="A42" s="39" t="s">
        <v>293</v>
      </c>
      <c r="B42" s="4">
        <v>7.4149502404180078E-4</v>
      </c>
      <c r="D42" s="4">
        <v>7.934776832592144E-4</v>
      </c>
      <c r="E42" s="4">
        <v>7.0019132540893761E-4</v>
      </c>
      <c r="F42" s="4"/>
      <c r="G42" s="4">
        <v>0</v>
      </c>
      <c r="H42" s="4">
        <v>4.4287597618657577E-4</v>
      </c>
      <c r="I42" s="4">
        <v>3.82372829973654E-4</v>
      </c>
      <c r="J42" s="4">
        <v>1.5426051207027852E-4</v>
      </c>
      <c r="K42" s="4">
        <v>1.719163899906107E-4</v>
      </c>
      <c r="L42" s="4">
        <v>4.8428397446764493E-4</v>
      </c>
      <c r="M42" s="4">
        <v>2.4252002502361419E-3</v>
      </c>
    </row>
    <row r="43" spans="1:13">
      <c r="A43" s="39" t="s">
        <v>294</v>
      </c>
      <c r="B43" s="4">
        <v>6.2209497102444196E-3</v>
      </c>
      <c r="D43" s="4">
        <v>4.6108006943056546E-3</v>
      </c>
      <c r="E43" s="4">
        <v>7.8622943040542372E-3</v>
      </c>
      <c r="F43" s="4"/>
      <c r="G43" s="4">
        <v>3.6091294406372233E-3</v>
      </c>
      <c r="H43" s="4">
        <v>5.0016861597882573E-3</v>
      </c>
      <c r="I43" s="4">
        <v>1.2977793723883132E-2</v>
      </c>
      <c r="J43" s="4">
        <v>1.1499657068039482E-2</v>
      </c>
      <c r="K43" s="4">
        <v>5.0922018426923432E-3</v>
      </c>
      <c r="L43" s="4">
        <v>2.6651818577768352E-3</v>
      </c>
      <c r="M43" s="4">
        <v>5.3667586263805595E-4</v>
      </c>
    </row>
    <row r="44" spans="1:13">
      <c r="A44" s="39" t="s">
        <v>295</v>
      </c>
      <c r="B44" s="4">
        <v>2.043270244528702E-4</v>
      </c>
      <c r="D44" s="4">
        <v>4.1726494710638017E-4</v>
      </c>
      <c r="E44" s="4">
        <v>0</v>
      </c>
      <c r="F44" s="4"/>
      <c r="G44" s="4">
        <v>0</v>
      </c>
      <c r="H44" s="4">
        <v>0</v>
      </c>
      <c r="I44" s="4">
        <v>6.4007989384477825E-4</v>
      </c>
      <c r="J44" s="4">
        <v>2.6871856491263857E-4</v>
      </c>
      <c r="K44" s="4">
        <v>1.4238321632125886E-4</v>
      </c>
      <c r="L44" s="4">
        <v>1.6477288009228205E-4</v>
      </c>
      <c r="M44" s="4">
        <v>0</v>
      </c>
    </row>
    <row r="45" spans="1:13">
      <c r="A45" s="39" t="s">
        <v>296</v>
      </c>
      <c r="B45" s="4">
        <v>8.896527118303256E-2</v>
      </c>
      <c r="D45" s="4">
        <v>0.10977566335718134</v>
      </c>
      <c r="E45" s="4">
        <v>6.8512618642823708E-2</v>
      </c>
      <c r="F45" s="4"/>
      <c r="G45" s="4">
        <v>8.3397136820134068E-2</v>
      </c>
      <c r="H45" s="4">
        <v>6.0454217913066911E-2</v>
      </c>
      <c r="I45" s="4">
        <v>7.9125861776593656E-2</v>
      </c>
      <c r="J45" s="4">
        <v>0.10538986809409524</v>
      </c>
      <c r="K45" s="4">
        <v>0.12415178188082307</v>
      </c>
      <c r="L45" s="4">
        <v>0.11728819072175693</v>
      </c>
      <c r="M45" s="4">
        <v>5.5298301599207907E-2</v>
      </c>
    </row>
    <row r="46" spans="1:13">
      <c r="A46" s="39" t="s">
        <v>297</v>
      </c>
      <c r="B46" s="4">
        <v>1.0019998629533072E-2</v>
      </c>
      <c r="D46" s="4">
        <v>2.9136500292207181E-3</v>
      </c>
      <c r="E46" s="4">
        <v>1.6629869509394213E-2</v>
      </c>
      <c r="F46" s="4"/>
      <c r="G46" s="4">
        <v>3.9831542007884774E-2</v>
      </c>
      <c r="H46" s="4">
        <v>2.4651666968239838E-2</v>
      </c>
      <c r="I46" s="4">
        <v>1.2832589335432354E-2</v>
      </c>
      <c r="J46" s="4">
        <v>9.2926445037782735E-3</v>
      </c>
      <c r="K46" s="4">
        <v>3.7684028531989018E-3</v>
      </c>
      <c r="L46" s="4">
        <v>4.6578965898548541E-3</v>
      </c>
      <c r="M46" s="4">
        <v>2.468718633754364E-3</v>
      </c>
    </row>
    <row r="47" spans="1:13">
      <c r="A47" s="39" t="s">
        <v>298</v>
      </c>
      <c r="B47" s="4">
        <v>1.6178922466381931E-2</v>
      </c>
      <c r="D47" s="4">
        <v>5.2666544429884454E-3</v>
      </c>
      <c r="E47" s="4">
        <v>2.6558514320619404E-2</v>
      </c>
      <c r="F47" s="4"/>
      <c r="G47" s="4">
        <v>2.5064081256388093E-2</v>
      </c>
      <c r="H47" s="4">
        <v>2.0105780232295374E-2</v>
      </c>
      <c r="I47" s="4">
        <v>1.5514980895547962E-2</v>
      </c>
      <c r="J47" s="4">
        <v>2.1671139260108094E-2</v>
      </c>
      <c r="K47" s="4">
        <v>1.3473036734136534E-2</v>
      </c>
      <c r="L47" s="4">
        <v>1.3167160125391708E-2</v>
      </c>
      <c r="M47" s="4">
        <v>1.234387089398572E-2</v>
      </c>
    </row>
    <row r="48" spans="1:13">
      <c r="A48" s="39" t="s">
        <v>299</v>
      </c>
      <c r="B48" s="4">
        <v>1.6062827691367232E-3</v>
      </c>
      <c r="D48" s="4">
        <v>2.2723105609518341E-3</v>
      </c>
      <c r="E48" s="4">
        <v>9.7918247307744212E-4</v>
      </c>
      <c r="F48" s="4"/>
      <c r="G48" s="4">
        <v>1.1119423938970223E-3</v>
      </c>
      <c r="H48" s="4">
        <v>8.8382109348634586E-4</v>
      </c>
      <c r="I48" s="4">
        <v>2.5969440717899467E-3</v>
      </c>
      <c r="J48" s="4">
        <v>1.6919522517971318E-3</v>
      </c>
      <c r="K48" s="4">
        <v>1.252061948950345E-3</v>
      </c>
      <c r="L48" s="4">
        <v>1.2642898005282605E-3</v>
      </c>
      <c r="M48" s="4">
        <v>1.6549789276024823E-3</v>
      </c>
    </row>
    <row r="49" spans="1:13">
      <c r="A49" s="39" t="s">
        <v>300</v>
      </c>
      <c r="B49" s="4">
        <v>3.8514792720346469E-4</v>
      </c>
      <c r="D49" s="4">
        <v>5.709576437718843E-4</v>
      </c>
      <c r="E49" s="4">
        <v>2.0941730046566799E-4</v>
      </c>
      <c r="F49" s="4"/>
      <c r="G49" s="4">
        <v>0</v>
      </c>
      <c r="H49" s="4">
        <v>5.6904526164007951E-4</v>
      </c>
      <c r="I49" s="4">
        <v>7.7668297137947046E-4</v>
      </c>
      <c r="J49" s="4">
        <v>6.7094974951658021E-4</v>
      </c>
      <c r="K49" s="4">
        <v>3.44512218944171E-4</v>
      </c>
      <c r="L49" s="4">
        <v>0</v>
      </c>
      <c r="M49" s="4">
        <v>9.2585079723189552E-5</v>
      </c>
    </row>
    <row r="50" spans="1:13">
      <c r="A50" s="39" t="s">
        <v>301</v>
      </c>
      <c r="B50" s="4">
        <v>8.1828226554402864E-4</v>
      </c>
      <c r="D50" s="4">
        <v>9.5412073202543108E-4</v>
      </c>
      <c r="E50" s="4">
        <v>6.5609398730025084E-4</v>
      </c>
      <c r="F50" s="4"/>
      <c r="G50" s="4">
        <v>5.9627981112232607E-3</v>
      </c>
      <c r="H50" s="4">
        <v>1.6781353321026775E-3</v>
      </c>
      <c r="I50" s="4">
        <v>1.7096177055690345E-3</v>
      </c>
      <c r="J50" s="4">
        <v>2.7881336895462959E-4</v>
      </c>
      <c r="K50" s="4">
        <v>1.4290343442566203E-4</v>
      </c>
      <c r="L50" s="4">
        <v>0</v>
      </c>
      <c r="M50" s="4">
        <v>0</v>
      </c>
    </row>
    <row r="51" spans="1:13">
      <c r="A51" s="39" t="s">
        <v>302</v>
      </c>
      <c r="B51" s="4">
        <v>5.5579616331425719E-4</v>
      </c>
      <c r="D51" s="4">
        <v>4.8055633468231928E-4</v>
      </c>
      <c r="E51" s="4">
        <v>4.7736200502448848E-4</v>
      </c>
      <c r="F51" s="4"/>
      <c r="G51" s="4">
        <v>1.8029999831592597E-3</v>
      </c>
      <c r="H51" s="4">
        <v>2.1255759697369898E-4</v>
      </c>
      <c r="I51" s="4">
        <v>5.9932270451280476E-4</v>
      </c>
      <c r="J51" s="4">
        <v>3.0026267924311968E-4</v>
      </c>
      <c r="K51" s="4">
        <v>6.5435271315473825E-4</v>
      </c>
      <c r="L51" s="4">
        <v>4.5908206074982063E-4</v>
      </c>
      <c r="M51" s="4">
        <v>6.323642902666323E-4</v>
      </c>
    </row>
    <row r="52" spans="1:13">
      <c r="A52" s="39" t="s">
        <v>303</v>
      </c>
      <c r="B52" s="4">
        <v>3.559380332867279E-4</v>
      </c>
      <c r="D52" s="4">
        <v>4.9524521417832531E-4</v>
      </c>
      <c r="E52" s="4">
        <v>2.2502057699649256E-4</v>
      </c>
      <c r="F52" s="4"/>
      <c r="G52" s="4">
        <v>1.9212257217385907E-3</v>
      </c>
      <c r="H52" s="4">
        <v>1.2761739479824898E-3</v>
      </c>
      <c r="I52" s="4">
        <v>2.3295334998914004E-4</v>
      </c>
      <c r="J52" s="4">
        <v>2.725914881039E-4</v>
      </c>
      <c r="K52" s="4">
        <v>1.4899376148483904E-4</v>
      </c>
      <c r="L52" s="4">
        <v>1.6509752635230358E-4</v>
      </c>
      <c r="M52" s="4">
        <v>0</v>
      </c>
    </row>
    <row r="53" spans="1:13">
      <c r="A53" s="39" t="s">
        <v>304</v>
      </c>
      <c r="B53" s="4">
        <v>4.4003569253370962E-3</v>
      </c>
      <c r="D53" s="4">
        <v>1.4747910180785656E-3</v>
      </c>
      <c r="E53" s="4">
        <v>7.2067974518456087E-3</v>
      </c>
      <c r="F53" s="4"/>
      <c r="G53" s="4">
        <v>8.9670334757647012E-3</v>
      </c>
      <c r="H53" s="4">
        <v>7.033048000204766E-3</v>
      </c>
      <c r="I53" s="4">
        <v>5.2463890255559486E-3</v>
      </c>
      <c r="J53" s="4">
        <v>5.9062771862611928E-3</v>
      </c>
      <c r="K53" s="4">
        <v>4.3440517255174307E-3</v>
      </c>
      <c r="L53" s="4">
        <v>2.9022572189162481E-3</v>
      </c>
      <c r="M53" s="4">
        <v>1.1675810784629345E-3</v>
      </c>
    </row>
    <row r="54" spans="1:13">
      <c r="A54" s="39" t="s">
        <v>305</v>
      </c>
      <c r="B54" s="4">
        <v>2.9693274462594529E-3</v>
      </c>
      <c r="D54" s="4">
        <v>4.3283889132564165E-3</v>
      </c>
      <c r="E54" s="4">
        <v>1.5966839467685605E-3</v>
      </c>
      <c r="F54" s="4"/>
      <c r="G54" s="4">
        <v>1.2853778282549565E-2</v>
      </c>
      <c r="H54" s="4">
        <v>7.7033023507310523E-3</v>
      </c>
      <c r="I54" s="4">
        <v>5.5278258690778185E-3</v>
      </c>
      <c r="J54" s="4">
        <v>2.4687450831126713E-3</v>
      </c>
      <c r="K54" s="4">
        <v>9.5767733673723151E-4</v>
      </c>
      <c r="L54" s="4">
        <v>1.5426831131150128E-4</v>
      </c>
      <c r="M54" s="4">
        <v>0</v>
      </c>
    </row>
    <row r="55" spans="1:13">
      <c r="A55" s="39" t="s">
        <v>306</v>
      </c>
      <c r="B55" s="4">
        <v>4.8250142045766769E-4</v>
      </c>
      <c r="D55" s="4">
        <v>8.1110677119146238E-4</v>
      </c>
      <c r="E55" s="4">
        <v>1.6925767868232469E-4</v>
      </c>
      <c r="F55" s="4"/>
      <c r="G55" s="4">
        <v>3.3495312691532971E-3</v>
      </c>
      <c r="H55" s="4">
        <v>2.1401128332019839E-4</v>
      </c>
      <c r="I55" s="4">
        <v>6.6473227348652706E-4</v>
      </c>
      <c r="J55" s="4">
        <v>3.1861615626661626E-4</v>
      </c>
      <c r="K55" s="4">
        <v>4.7867304477272762E-4</v>
      </c>
      <c r="L55" s="4">
        <v>3.4330819492187016E-4</v>
      </c>
      <c r="M55" s="4">
        <v>8.6167189073995992E-5</v>
      </c>
    </row>
    <row r="56" spans="1:13">
      <c r="A56" s="39" t="s">
        <v>307</v>
      </c>
      <c r="B56" s="4">
        <v>1.1202834319897813E-2</v>
      </c>
      <c r="D56" s="4">
        <v>1.7226878589950138E-2</v>
      </c>
      <c r="E56" s="4">
        <v>5.489637845077844E-3</v>
      </c>
      <c r="F56" s="4"/>
      <c r="G56" s="4">
        <v>2.6947199287553894E-3</v>
      </c>
      <c r="H56" s="4">
        <v>4.6285275148058294E-3</v>
      </c>
      <c r="I56" s="4">
        <v>1.2103818953273681E-2</v>
      </c>
      <c r="J56" s="4">
        <v>1.1605078599029126E-2</v>
      </c>
      <c r="K56" s="4">
        <v>1.3867942830697111E-2</v>
      </c>
      <c r="L56" s="4">
        <v>1.38352523932817E-2</v>
      </c>
      <c r="M56" s="4">
        <v>1.1601765761159807E-2</v>
      </c>
    </row>
    <row r="57" spans="1:13">
      <c r="A57" s="39" t="s">
        <v>308</v>
      </c>
      <c r="B57" s="4">
        <v>0.29324164778187312</v>
      </c>
      <c r="D57" s="4">
        <v>0.28222580498747968</v>
      </c>
      <c r="E57" s="4">
        <v>0.3039902696349529</v>
      </c>
      <c r="F57" s="4"/>
      <c r="G57" s="4">
        <v>0.3078793097901652</v>
      </c>
      <c r="H57" s="4">
        <v>0.40194072994954955</v>
      </c>
      <c r="I57" s="4">
        <v>0.37644231781988918</v>
      </c>
      <c r="J57" s="4">
        <v>0.30964350031472043</v>
      </c>
      <c r="K57" s="4">
        <v>0.27040715063341197</v>
      </c>
      <c r="L57" s="4">
        <v>0.23474900392517226</v>
      </c>
      <c r="M57" s="4">
        <v>0.20543031055861088</v>
      </c>
    </row>
    <row r="58" spans="1:13">
      <c r="A58" s="39" t="s">
        <v>309</v>
      </c>
      <c r="B58" s="4">
        <v>9.1204030318061446E-5</v>
      </c>
      <c r="D58" s="4">
        <v>9.6673307876661584E-5</v>
      </c>
      <c r="E58" s="4">
        <v>8.7021879989986186E-5</v>
      </c>
      <c r="F58" s="4"/>
      <c r="G58" s="4">
        <v>0</v>
      </c>
      <c r="H58" s="4">
        <v>4.5100496066634375E-4</v>
      </c>
      <c r="I58" s="4">
        <v>1.0594439054727832E-4</v>
      </c>
      <c r="J58" s="4">
        <v>0</v>
      </c>
      <c r="K58" s="4">
        <v>1.5697373741744975E-4</v>
      </c>
      <c r="L58" s="4">
        <v>0</v>
      </c>
      <c r="M58" s="4">
        <v>0</v>
      </c>
    </row>
    <row r="59" spans="1:13">
      <c r="A59" s="39" t="s">
        <v>310</v>
      </c>
      <c r="B59" s="4">
        <v>2.5492527148379888E-3</v>
      </c>
      <c r="D59" s="4">
        <v>3.776572321082688E-3</v>
      </c>
      <c r="E59" s="4">
        <v>1.2324894686776163E-3</v>
      </c>
      <c r="F59" s="4"/>
      <c r="G59" s="4">
        <v>1.0011182201549885E-2</v>
      </c>
      <c r="H59" s="4">
        <v>5.4135713160339115E-3</v>
      </c>
      <c r="I59" s="4">
        <v>4.6273217555200747E-3</v>
      </c>
      <c r="J59" s="4">
        <v>1.9200965410388622E-3</v>
      </c>
      <c r="K59" s="4">
        <v>1.4197876251516239E-3</v>
      </c>
      <c r="L59" s="4">
        <v>9.0276900373793584E-4</v>
      </c>
      <c r="M59" s="4">
        <v>1.4924965270094039E-4</v>
      </c>
    </row>
    <row r="60" spans="1:13">
      <c r="A60" s="39" t="s">
        <v>311</v>
      </c>
      <c r="B60" s="4">
        <v>5.6291828158246363E-2</v>
      </c>
      <c r="D60" s="4">
        <v>8.9596213267790145E-2</v>
      </c>
      <c r="E60" s="4">
        <v>2.3848220211544126E-2</v>
      </c>
      <c r="F60" s="4"/>
      <c r="G60" s="4">
        <v>0.18546395920116229</v>
      </c>
      <c r="H60" s="4">
        <v>0.14178143909121341</v>
      </c>
      <c r="I60" s="4">
        <v>8.4636646112290964E-2</v>
      </c>
      <c r="J60" s="4">
        <v>6.301942690085989E-2</v>
      </c>
      <c r="K60" s="4">
        <v>3.5719896343728685E-2</v>
      </c>
      <c r="L60" s="4">
        <v>9.2210459496426481E-3</v>
      </c>
      <c r="M60" s="4">
        <v>1.5725162111663608E-3</v>
      </c>
    </row>
    <row r="61" spans="1:13">
      <c r="A61" s="39" t="s">
        <v>312</v>
      </c>
      <c r="B61" s="4">
        <v>4.6904799847843437E-4</v>
      </c>
      <c r="D61" s="4">
        <v>7.3400853202628075E-4</v>
      </c>
      <c r="E61" s="4">
        <v>2.1746588766114098E-4</v>
      </c>
      <c r="F61" s="4"/>
      <c r="G61" s="4">
        <v>1.8868625727412175E-3</v>
      </c>
      <c r="H61" s="4">
        <v>5.6782375153148902E-4</v>
      </c>
      <c r="I61" s="4">
        <v>8.9556328680725995E-4</v>
      </c>
      <c r="J61" s="4">
        <v>5.832392430723481E-4</v>
      </c>
      <c r="K61" s="4">
        <v>3.1804836668705206E-4</v>
      </c>
      <c r="L61" s="4">
        <v>0</v>
      </c>
      <c r="M61" s="4">
        <v>8.3968384411579682E-5</v>
      </c>
    </row>
    <row r="62" spans="1:13">
      <c r="A62" s="39" t="s">
        <v>313</v>
      </c>
      <c r="B62" s="4">
        <v>2.3773063136385089E-4</v>
      </c>
      <c r="D62" s="4">
        <v>2.8671073804533326E-4</v>
      </c>
      <c r="E62" s="4">
        <v>1.9309650678569671E-4</v>
      </c>
      <c r="F62" s="4"/>
      <c r="G62" s="4">
        <v>0</v>
      </c>
      <c r="H62" s="4">
        <v>2.3830641529523077E-4</v>
      </c>
      <c r="I62" s="4">
        <v>5.2350232943962447E-4</v>
      </c>
      <c r="J62" s="4">
        <v>3.3670139558315669E-4</v>
      </c>
      <c r="K62" s="4">
        <v>3.2018822124841635E-4</v>
      </c>
      <c r="L62" s="4">
        <v>9.3436426875240184E-5</v>
      </c>
      <c r="M62" s="4">
        <v>0</v>
      </c>
    </row>
    <row r="63" spans="1:13">
      <c r="A63" s="39" t="s">
        <v>314</v>
      </c>
      <c r="B63" s="4">
        <v>4.3756773938717725E-5</v>
      </c>
      <c r="D63" s="4">
        <v>0</v>
      </c>
      <c r="E63" s="4">
        <v>8.6807418567915107E-5</v>
      </c>
      <c r="F63" s="4"/>
      <c r="G63" s="4">
        <v>0</v>
      </c>
      <c r="H63" s="4">
        <v>0</v>
      </c>
      <c r="I63" s="4">
        <v>1.0594439054727832E-4</v>
      </c>
      <c r="J63" s="4">
        <v>1.4642546691031705E-4</v>
      </c>
      <c r="K63" s="4">
        <v>0</v>
      </c>
      <c r="L63" s="4">
        <v>0</v>
      </c>
      <c r="M63" s="4">
        <v>0</v>
      </c>
    </row>
    <row r="64" spans="1:13">
      <c r="A64" s="39" t="s">
        <v>315</v>
      </c>
      <c r="B64" s="4">
        <v>4.3642661893247871E-2</v>
      </c>
      <c r="D64" s="4">
        <v>7.1201559321598024E-2</v>
      </c>
      <c r="E64" s="4">
        <v>1.728150692511574E-2</v>
      </c>
      <c r="F64" s="4"/>
      <c r="G64" s="4">
        <v>1.5811815538916488E-2</v>
      </c>
      <c r="H64" s="4">
        <v>2.9015964405434008E-2</v>
      </c>
      <c r="I64" s="4">
        <v>3.2855331107889754E-2</v>
      </c>
      <c r="J64" s="4">
        <v>3.268445574173548E-2</v>
      </c>
      <c r="K64" s="4">
        <v>4.7996289390676371E-2</v>
      </c>
      <c r="L64" s="4">
        <v>6.1396300632724998E-2</v>
      </c>
      <c r="M64" s="4">
        <v>6.0172652598125792E-2</v>
      </c>
    </row>
    <row r="65" spans="1:13">
      <c r="A65" s="39" t="s">
        <v>316</v>
      </c>
      <c r="B65" s="4">
        <v>4.4291645628823827E-4</v>
      </c>
      <c r="D65" s="4">
        <v>6.4659798425144679E-4</v>
      </c>
      <c r="E65" s="4">
        <v>2.5054045821998973E-4</v>
      </c>
      <c r="F65" s="4"/>
      <c r="G65" s="4">
        <v>2.1023929449045758E-3</v>
      </c>
      <c r="H65" s="4">
        <v>1.0017423067805165E-3</v>
      </c>
      <c r="I65" s="4">
        <v>1.2187785854495012E-3</v>
      </c>
      <c r="J65" s="4">
        <v>1.4642546691031705E-4</v>
      </c>
      <c r="K65" s="4">
        <v>0</v>
      </c>
      <c r="L65" s="4">
        <v>0</v>
      </c>
      <c r="M65" s="4">
        <v>0</v>
      </c>
    </row>
    <row r="66" spans="1:13">
      <c r="A66" s="39" t="s">
        <v>317</v>
      </c>
      <c r="B66" s="4">
        <v>9.0628303980034924E-5</v>
      </c>
      <c r="D66" s="4">
        <v>1.0282053275741644E-4</v>
      </c>
      <c r="E66" s="4">
        <v>7.9907927770898226E-5</v>
      </c>
      <c r="F66" s="4"/>
      <c r="G66" s="4">
        <v>0</v>
      </c>
      <c r="H66" s="4">
        <v>3.7712425753259849E-4</v>
      </c>
      <c r="I66" s="4">
        <v>1.3769512614221981E-4</v>
      </c>
      <c r="J66" s="4">
        <v>1.5013133962155984E-4</v>
      </c>
      <c r="K66" s="4">
        <v>0</v>
      </c>
      <c r="L66" s="4">
        <v>0</v>
      </c>
      <c r="M66" s="4">
        <v>0</v>
      </c>
    </row>
    <row r="67" spans="1:13">
      <c r="A67" s="39" t="s">
        <v>318</v>
      </c>
      <c r="B67" s="4">
        <v>5.2488920850119643E-3</v>
      </c>
      <c r="D67" s="4">
        <v>4.5262261719936654E-3</v>
      </c>
      <c r="E67" s="4">
        <v>5.8889626779167524E-3</v>
      </c>
      <c r="F67" s="4"/>
      <c r="G67" s="4">
        <v>1.000575753907702E-2</v>
      </c>
      <c r="H67" s="4">
        <v>1.3651050231474794E-2</v>
      </c>
      <c r="I67" s="4">
        <v>6.4416249508693728E-3</v>
      </c>
      <c r="J67" s="4">
        <v>6.4863116446226329E-3</v>
      </c>
      <c r="K67" s="4">
        <v>5.3204196352387703E-3</v>
      </c>
      <c r="L67" s="4">
        <v>1.3872235549244145E-3</v>
      </c>
      <c r="M67" s="4">
        <v>4.1363180813108302E-4</v>
      </c>
    </row>
    <row r="68" spans="1:13">
      <c r="A68" s="39" t="s">
        <v>319</v>
      </c>
      <c r="B68" s="4">
        <v>1.4175069182881831E-3</v>
      </c>
      <c r="D68" s="4">
        <v>2.0148389362772464E-3</v>
      </c>
      <c r="E68" s="4">
        <v>8.5480085085730179E-4</v>
      </c>
      <c r="F68" s="4"/>
      <c r="G68" s="4">
        <v>1.3908334598962067E-2</v>
      </c>
      <c r="H68" s="4">
        <v>2.71885063880905E-3</v>
      </c>
      <c r="I68" s="4">
        <v>1.1689270183902181E-3</v>
      </c>
      <c r="J68" s="4">
        <v>7.9023489459114E-4</v>
      </c>
      <c r="K68" s="4">
        <v>9.8868379922540241E-4</v>
      </c>
      <c r="L68" s="4">
        <v>0</v>
      </c>
      <c r="M68" s="4">
        <v>7.9229122295593597E-5</v>
      </c>
    </row>
    <row r="69" spans="1:13">
      <c r="A69" s="39" t="s">
        <v>320</v>
      </c>
      <c r="B69" s="4">
        <v>2.0504084154769381E-4</v>
      </c>
      <c r="D69" s="4">
        <v>1.8405431832930547E-4</v>
      </c>
      <c r="E69" s="4">
        <v>2.2797118933366852E-4</v>
      </c>
      <c r="F69" s="4"/>
      <c r="G69" s="4">
        <v>0</v>
      </c>
      <c r="H69" s="4">
        <v>2.1959238685301924E-4</v>
      </c>
      <c r="I69" s="4">
        <v>3.8019377172035502E-4</v>
      </c>
      <c r="J69" s="4">
        <v>1.6342267096651031E-4</v>
      </c>
      <c r="K69" s="4">
        <v>4.4932914692158931E-4</v>
      </c>
      <c r="L69" s="4">
        <v>0</v>
      </c>
      <c r="M69" s="4">
        <v>8.5357376628866647E-5</v>
      </c>
    </row>
    <row r="70" spans="1:13">
      <c r="A70" s="39" t="s">
        <v>321</v>
      </c>
      <c r="B70" s="4">
        <v>5.1726828331594204E-3</v>
      </c>
      <c r="D70" s="4">
        <v>5.4280108040993674E-3</v>
      </c>
      <c r="E70" s="4">
        <v>4.9887891573659115E-3</v>
      </c>
      <c r="F70" s="4"/>
      <c r="G70" s="4">
        <v>1.9088457677625115E-2</v>
      </c>
      <c r="H70" s="4">
        <v>1.0387498957491711E-2</v>
      </c>
      <c r="I70" s="4">
        <v>6.6297331246605549E-3</v>
      </c>
      <c r="J70" s="4">
        <v>5.0927356968831893E-3</v>
      </c>
      <c r="K70" s="4">
        <v>4.1493193003898426E-3</v>
      </c>
      <c r="L70" s="4">
        <v>1.7636886066420344E-3</v>
      </c>
      <c r="M70" s="4">
        <v>1.3771556146189806E-3</v>
      </c>
    </row>
    <row r="71" spans="1:13">
      <c r="A71" s="39" t="s">
        <v>322</v>
      </c>
      <c r="B71" s="4">
        <v>4.4631620876265824E-4</v>
      </c>
      <c r="D71" s="4">
        <v>6.9739050483060797E-4</v>
      </c>
      <c r="E71" s="4">
        <v>2.0794213695069411E-4</v>
      </c>
      <c r="F71" s="4"/>
      <c r="G71" s="4">
        <v>0</v>
      </c>
      <c r="H71" s="4">
        <v>5.7144738288568333E-4</v>
      </c>
      <c r="I71" s="4">
        <v>6.8530937381538917E-4</v>
      </c>
      <c r="J71" s="4">
        <v>8.9653498711749922E-4</v>
      </c>
      <c r="K71" s="4">
        <v>4.5836380145479033E-4</v>
      </c>
      <c r="L71" s="4">
        <v>1.6509752635230358E-4</v>
      </c>
      <c r="M71" s="4">
        <v>8.5357376628866647E-5</v>
      </c>
    </row>
    <row r="72" spans="1:13">
      <c r="A72" s="39" t="s">
        <v>323</v>
      </c>
      <c r="B72" s="4">
        <v>6.1414339897078798E-4</v>
      </c>
      <c r="D72" s="4">
        <v>9.0409429019266149E-4</v>
      </c>
      <c r="E72" s="4">
        <v>1.9904308321529711E-4</v>
      </c>
      <c r="F72" s="4"/>
      <c r="G72" s="4">
        <v>1.1119423938970223E-3</v>
      </c>
      <c r="H72" s="4">
        <v>1.0267234906637254E-3</v>
      </c>
      <c r="I72" s="4">
        <v>8.6820913580684059E-4</v>
      </c>
      <c r="J72" s="4">
        <v>1.0903687805763791E-3</v>
      </c>
      <c r="K72" s="4">
        <v>4.5843165151416659E-4</v>
      </c>
      <c r="L72" s="4">
        <v>1.6509752635230358E-4</v>
      </c>
      <c r="M72" s="4">
        <v>1.0478542982151185E-4</v>
      </c>
    </row>
    <row r="73" spans="1:13">
      <c r="A73" s="39" t="s">
        <v>324</v>
      </c>
      <c r="B73" s="4">
        <v>9.3611359256695907E-5</v>
      </c>
      <c r="D73" s="4">
        <v>5.177026826667223E-5</v>
      </c>
      <c r="E73" s="4">
        <v>1.3541924955130203E-4</v>
      </c>
      <c r="F73" s="4"/>
      <c r="G73" s="4">
        <v>0</v>
      </c>
      <c r="H73" s="4">
        <v>1.8689510927914006E-4</v>
      </c>
      <c r="I73" s="4">
        <v>1.4230983188135226E-4</v>
      </c>
      <c r="J73" s="4">
        <v>2.8331302595170171E-4</v>
      </c>
      <c r="K73" s="4">
        <v>0</v>
      </c>
      <c r="L73" s="4">
        <v>0</v>
      </c>
      <c r="M73" s="4">
        <v>0</v>
      </c>
    </row>
    <row r="74" spans="1:13">
      <c r="A74" s="39" t="s">
        <v>325</v>
      </c>
      <c r="B74" s="4">
        <v>1.9970418614435955E-3</v>
      </c>
      <c r="D74" s="4">
        <v>1.5298343181433778E-3</v>
      </c>
      <c r="E74" s="4">
        <v>2.44198887999913E-3</v>
      </c>
      <c r="F74" s="4"/>
      <c r="G74" s="4">
        <v>9.9409978073133499E-3</v>
      </c>
      <c r="H74" s="4">
        <v>3.8914309645192266E-3</v>
      </c>
      <c r="I74" s="4">
        <v>2.1658316904373427E-3</v>
      </c>
      <c r="J74" s="4">
        <v>1.7593670148402308E-3</v>
      </c>
      <c r="K74" s="4">
        <v>2.2224301389836055E-3</v>
      </c>
      <c r="L74" s="4">
        <v>7.1630211328099834E-4</v>
      </c>
      <c r="M74" s="4">
        <v>7.6993983813661017E-5</v>
      </c>
    </row>
    <row r="75" spans="1:13">
      <c r="A75" s="39" t="s">
        <v>326</v>
      </c>
      <c r="B75" s="4">
        <v>1.2118899005166951E-3</v>
      </c>
      <c r="D75" s="4">
        <v>1.1339042938849837E-3</v>
      </c>
      <c r="E75" s="4">
        <v>1.3026787945440109E-3</v>
      </c>
      <c r="F75" s="4"/>
      <c r="G75" s="4">
        <v>5.9489735141533212E-3</v>
      </c>
      <c r="H75" s="4">
        <v>1.8053875479658731E-3</v>
      </c>
      <c r="I75" s="4">
        <v>1.2225899366101994E-3</v>
      </c>
      <c r="J75" s="4">
        <v>8.6592331781657958E-4</v>
      </c>
      <c r="K75" s="4">
        <v>1.4996358078121904E-3</v>
      </c>
      <c r="L75" s="4">
        <v>9.2069209515696225E-4</v>
      </c>
      <c r="M75" s="4">
        <v>1.584234354116735E-4</v>
      </c>
    </row>
    <row r="76" spans="1:13">
      <c r="A76" s="39" t="s">
        <v>327</v>
      </c>
      <c r="B76" s="4">
        <v>2.6706727862857172E-4</v>
      </c>
      <c r="D76" s="4">
        <v>4.6368217790635375E-4</v>
      </c>
      <c r="E76" s="4">
        <v>7.9375493066443623E-5</v>
      </c>
      <c r="F76" s="4"/>
      <c r="G76" s="4">
        <v>0</v>
      </c>
      <c r="H76" s="4">
        <v>9.0385502910774005E-4</v>
      </c>
      <c r="I76" s="4">
        <v>4.0476271909235275E-4</v>
      </c>
      <c r="J76" s="4">
        <v>1.1875531497864099E-4</v>
      </c>
      <c r="K76" s="4">
        <v>1.3866008049205622E-4</v>
      </c>
      <c r="L76" s="4">
        <v>0</v>
      </c>
      <c r="M76" s="4">
        <v>2.7092506879880279E-4</v>
      </c>
    </row>
    <row r="77" spans="1:13">
      <c r="A77" s="39" t="s">
        <v>328</v>
      </c>
      <c r="B77" s="4">
        <v>1.8756878342548126E-3</v>
      </c>
      <c r="D77" s="4">
        <v>3.0250797097743243E-3</v>
      </c>
      <c r="E77" s="4">
        <v>7.8235904071711831E-4</v>
      </c>
      <c r="F77" s="4"/>
      <c r="G77" s="4">
        <v>3.8872071997150433E-3</v>
      </c>
      <c r="H77" s="4">
        <v>3.2127252410100214E-3</v>
      </c>
      <c r="I77" s="4">
        <v>3.6543258432704638E-3</v>
      </c>
      <c r="J77" s="4">
        <v>2.0575213807382431E-3</v>
      </c>
      <c r="K77" s="4">
        <v>1.7125955393205053E-3</v>
      </c>
      <c r="L77" s="4">
        <v>4.303851708591648E-4</v>
      </c>
      <c r="M77" s="4">
        <v>1.7897729150984879E-4</v>
      </c>
    </row>
    <row r="78" spans="1:13">
      <c r="A78" s="39" t="s">
        <v>329</v>
      </c>
      <c r="B78" s="4">
        <v>2.366009830237483E-3</v>
      </c>
      <c r="D78" s="4">
        <v>2.5918176047424802E-3</v>
      </c>
      <c r="E78" s="4">
        <v>2.175987731684459E-3</v>
      </c>
      <c r="F78" s="4"/>
      <c r="G78" s="4">
        <v>6.8290717027281898E-3</v>
      </c>
      <c r="H78" s="4">
        <v>3.8210687806874721E-3</v>
      </c>
      <c r="I78" s="4">
        <v>2.3790726511525805E-3</v>
      </c>
      <c r="J78" s="4">
        <v>2.5200542534153771E-3</v>
      </c>
      <c r="K78" s="4">
        <v>3.833794789402717E-3</v>
      </c>
      <c r="L78" s="4">
        <v>1.0521852485896319E-3</v>
      </c>
      <c r="M78" s="4">
        <v>3.4487221916751571E-4</v>
      </c>
    </row>
    <row r="79" spans="1:13">
      <c r="A79" s="39" t="s">
        <v>330</v>
      </c>
      <c r="B79" s="4">
        <v>2.0187421936525835E-4</v>
      </c>
      <c r="D79" s="4">
        <v>4.1225596903367941E-4</v>
      </c>
      <c r="E79" s="4">
        <v>0</v>
      </c>
      <c r="F79" s="4"/>
      <c r="G79" s="4">
        <v>1.9978298982330075E-3</v>
      </c>
      <c r="H79" s="4">
        <v>0</v>
      </c>
      <c r="I79" s="4">
        <v>3.5797660617465905E-4</v>
      </c>
      <c r="J79" s="4">
        <v>1.4573762274903109E-4</v>
      </c>
      <c r="K79" s="4">
        <v>1.6396737700738806E-4</v>
      </c>
      <c r="L79" s="4">
        <v>0</v>
      </c>
      <c r="M79" s="4">
        <v>0</v>
      </c>
    </row>
    <row r="80" spans="1:13">
      <c r="A80" s="39" t="s">
        <v>331</v>
      </c>
      <c r="B80" s="4">
        <v>1.4191782599004641E-4</v>
      </c>
      <c r="D80" s="4">
        <v>2.8981645630946957E-4</v>
      </c>
      <c r="E80" s="4">
        <v>0</v>
      </c>
      <c r="F80" s="4"/>
      <c r="G80" s="4">
        <v>0</v>
      </c>
      <c r="H80" s="4">
        <v>2.3323808297475861E-4</v>
      </c>
      <c r="I80" s="4">
        <v>2.8054042309107711E-4</v>
      </c>
      <c r="J80" s="4">
        <v>0</v>
      </c>
      <c r="K80" s="4">
        <v>1.6468846297036188E-4</v>
      </c>
      <c r="L80" s="4">
        <v>2.9930985350302546E-4</v>
      </c>
      <c r="M80" s="4">
        <v>0</v>
      </c>
    </row>
    <row r="81" spans="1:13">
      <c r="A81" s="39" t="s">
        <v>332</v>
      </c>
      <c r="B81" s="4">
        <v>0</v>
      </c>
      <c r="D81" s="4">
        <v>0</v>
      </c>
      <c r="E81" s="4">
        <v>0</v>
      </c>
      <c r="F81" s="4"/>
      <c r="G81" s="4">
        <v>0</v>
      </c>
      <c r="H81" s="4">
        <v>0</v>
      </c>
      <c r="I81" s="4">
        <v>0</v>
      </c>
      <c r="J81" s="4">
        <v>0</v>
      </c>
      <c r="K81" s="4">
        <v>0</v>
      </c>
      <c r="L81" s="4">
        <v>0</v>
      </c>
      <c r="M81" s="4">
        <v>0</v>
      </c>
    </row>
    <row r="82" spans="1:13">
      <c r="A82" s="39" t="s">
        <v>333</v>
      </c>
      <c r="B82" s="4">
        <v>1.4313164653449265E-4</v>
      </c>
      <c r="D82" s="4">
        <v>2.1004577422646317E-4</v>
      </c>
      <c r="E82" s="4">
        <v>7.9902174506369744E-5</v>
      </c>
      <c r="F82" s="4"/>
      <c r="G82" s="4">
        <v>0</v>
      </c>
      <c r="H82" s="4">
        <v>0</v>
      </c>
      <c r="I82" s="4">
        <v>3.4766516397840452E-4</v>
      </c>
      <c r="J82" s="4">
        <v>1.3309074185833552E-4</v>
      </c>
      <c r="K82" s="4">
        <v>1.7770535981007107E-4</v>
      </c>
      <c r="L82" s="4">
        <v>0</v>
      </c>
      <c r="M82" s="4">
        <v>1.517607136153794E-4</v>
      </c>
    </row>
    <row r="83" spans="1:13">
      <c r="A83" s="39" t="s">
        <v>334</v>
      </c>
      <c r="B83" s="4">
        <v>4.2922897430659881E-4</v>
      </c>
      <c r="D83" s="4">
        <v>4.2053088352832083E-4</v>
      </c>
      <c r="E83" s="4">
        <v>3.8453499940791538E-4</v>
      </c>
      <c r="F83" s="4"/>
      <c r="G83" s="4">
        <v>1.2829379825219887E-3</v>
      </c>
      <c r="H83" s="4">
        <v>1.8443091871264675E-3</v>
      </c>
      <c r="I83" s="4">
        <v>0</v>
      </c>
      <c r="J83" s="4">
        <v>7.4385335772064048E-4</v>
      </c>
      <c r="K83" s="4">
        <v>3.1344826922249155E-4</v>
      </c>
      <c r="L83" s="4">
        <v>0</v>
      </c>
      <c r="M83" s="4">
        <v>0</v>
      </c>
    </row>
    <row r="84" spans="1:13">
      <c r="A84" s="39" t="s">
        <v>335</v>
      </c>
      <c r="B84" s="4">
        <v>4.7627153690549643E-5</v>
      </c>
      <c r="D84" s="4">
        <v>4.7205304152869421E-5</v>
      </c>
      <c r="E84" s="4">
        <v>4.862759858912184E-5</v>
      </c>
      <c r="F84" s="4"/>
      <c r="G84" s="4">
        <v>0</v>
      </c>
      <c r="H84" s="4">
        <v>0</v>
      </c>
      <c r="I84" s="4">
        <v>1.2976133064057546E-4</v>
      </c>
      <c r="J84" s="4">
        <v>1.4423443262347592E-4</v>
      </c>
      <c r="K84" s="4">
        <v>0</v>
      </c>
      <c r="L84" s="4">
        <v>0</v>
      </c>
      <c r="M84" s="4">
        <v>0</v>
      </c>
    </row>
    <row r="85" spans="1:13">
      <c r="A85" s="39" t="s">
        <v>336</v>
      </c>
      <c r="B85" s="4">
        <v>1.0794513616293963E-3</v>
      </c>
      <c r="D85" s="4">
        <v>1.5549128987397492E-3</v>
      </c>
      <c r="E85" s="4">
        <v>6.3094543757263248E-4</v>
      </c>
      <c r="F85" s="4"/>
      <c r="G85" s="4">
        <v>3.2029802284760196E-3</v>
      </c>
      <c r="H85" s="4">
        <v>6.4740574304374197E-4</v>
      </c>
      <c r="I85" s="4">
        <v>9.2799147085381338E-4</v>
      </c>
      <c r="J85" s="4">
        <v>7.190451017891487E-4</v>
      </c>
      <c r="K85" s="4">
        <v>2.2635805803364003E-3</v>
      </c>
      <c r="L85" s="4">
        <v>9.2992723245559925E-4</v>
      </c>
      <c r="M85" s="4">
        <v>5.1402904363518471E-4</v>
      </c>
    </row>
    <row r="86" spans="1:13">
      <c r="A86" s="39" t="s">
        <v>337</v>
      </c>
      <c r="B86" s="4">
        <v>9.6226411597355249E-5</v>
      </c>
      <c r="D86" s="4">
        <v>9.1068343477969702E-5</v>
      </c>
      <c r="E86" s="4">
        <v>1.0243059874139657E-4</v>
      </c>
      <c r="F86" s="4"/>
      <c r="G86" s="4">
        <v>0</v>
      </c>
      <c r="H86" s="4">
        <v>0</v>
      </c>
      <c r="I86" s="4">
        <v>1.2976133064057546E-4</v>
      </c>
      <c r="J86" s="4">
        <v>1.4423443262347592E-4</v>
      </c>
      <c r="K86" s="4">
        <v>3.206117927712672E-4</v>
      </c>
      <c r="L86" s="4">
        <v>0</v>
      </c>
      <c r="M86" s="4">
        <v>0</v>
      </c>
    </row>
    <row r="87" spans="1:13">
      <c r="A87" s="39" t="s">
        <v>338</v>
      </c>
      <c r="B87" s="4">
        <v>5.8624637608733884E-5</v>
      </c>
      <c r="D87" s="4">
        <v>4.5668266837401964E-5</v>
      </c>
      <c r="E87" s="4">
        <v>7.1938265526590381E-5</v>
      </c>
      <c r="F87" s="4"/>
      <c r="G87" s="4">
        <v>0</v>
      </c>
      <c r="H87" s="4">
        <v>0</v>
      </c>
      <c r="I87" s="4">
        <v>0</v>
      </c>
      <c r="J87" s="4">
        <v>1.3159097706815287E-4</v>
      </c>
      <c r="K87" s="4">
        <v>1.3866008049205622E-4</v>
      </c>
      <c r="L87" s="4">
        <v>1.0894666591342512E-4</v>
      </c>
      <c r="M87" s="4">
        <v>0</v>
      </c>
    </row>
    <row r="88" spans="1:13">
      <c r="A88" s="39" t="s">
        <v>339</v>
      </c>
      <c r="B88" s="4">
        <v>6.4423526404216048E-3</v>
      </c>
      <c r="D88" s="4">
        <v>4.7201218896861562E-3</v>
      </c>
      <c r="E88" s="4">
        <v>8.1953259541951307E-3</v>
      </c>
      <c r="F88" s="4"/>
      <c r="G88" s="4">
        <v>5.3950440760843349E-3</v>
      </c>
      <c r="H88" s="4">
        <v>4.0826066511535581E-3</v>
      </c>
      <c r="I88" s="4">
        <v>4.7514467180636384E-3</v>
      </c>
      <c r="J88" s="4">
        <v>4.0774193744832357E-3</v>
      </c>
      <c r="K88" s="4">
        <v>3.750403903320034E-3</v>
      </c>
      <c r="L88" s="4">
        <v>6.345506093102353E-3</v>
      </c>
      <c r="M88" s="4">
        <v>1.327677326165125E-2</v>
      </c>
    </row>
    <row r="89" spans="1:13">
      <c r="A89" s="39" t="s">
        <v>340</v>
      </c>
      <c r="B89" s="4">
        <v>9.4100773635180115E-4</v>
      </c>
      <c r="D89" s="4">
        <v>1.4296954022944475E-3</v>
      </c>
      <c r="E89" s="4">
        <v>4.7793627267675394E-4</v>
      </c>
      <c r="F89" s="4"/>
      <c r="G89" s="4">
        <v>2.1771350946772541E-3</v>
      </c>
      <c r="H89" s="4">
        <v>2.0209119274644327E-3</v>
      </c>
      <c r="I89" s="4">
        <v>1.9407673172553916E-3</v>
      </c>
      <c r="J89" s="4">
        <v>1.38181565119552E-3</v>
      </c>
      <c r="K89" s="4">
        <v>1.8154525157706912E-4</v>
      </c>
      <c r="L89" s="4">
        <v>0</v>
      </c>
      <c r="M89" s="4">
        <v>9.1217649226118562E-5</v>
      </c>
    </row>
    <row r="90" spans="1:13">
      <c r="A90" s="39" t="s">
        <v>341</v>
      </c>
      <c r="B90" s="4">
        <v>5.0734800490106166E-5</v>
      </c>
      <c r="D90" s="4">
        <v>1.0360770387394307E-4</v>
      </c>
      <c r="E90" s="4">
        <v>0</v>
      </c>
      <c r="F90" s="4"/>
      <c r="G90" s="4">
        <v>0</v>
      </c>
      <c r="H90" s="4">
        <v>2.1158152613515407E-4</v>
      </c>
      <c r="I90" s="4">
        <v>0</v>
      </c>
      <c r="J90" s="4">
        <v>1.6455336529112643E-4</v>
      </c>
      <c r="K90" s="4">
        <v>0</v>
      </c>
      <c r="L90" s="4">
        <v>0</v>
      </c>
      <c r="M90" s="4">
        <v>0</v>
      </c>
    </row>
    <row r="91" spans="1:13">
      <c r="A91" s="39" t="s">
        <v>342</v>
      </c>
      <c r="B91" s="4">
        <v>1.0752319419750484E-2</v>
      </c>
      <c r="D91" s="4">
        <v>1.5611234112073751E-2</v>
      </c>
      <c r="E91" s="4">
        <v>6.0263584762792286E-3</v>
      </c>
      <c r="F91" s="4"/>
      <c r="G91" s="4">
        <v>2.6649462222574208E-2</v>
      </c>
      <c r="H91" s="4">
        <v>1.4221200316594823E-2</v>
      </c>
      <c r="I91" s="4">
        <v>1.4274368333874294E-2</v>
      </c>
      <c r="J91" s="4">
        <v>1.2484834944481488E-2</v>
      </c>
      <c r="K91" s="4">
        <v>9.9138448932598617E-3</v>
      </c>
      <c r="L91" s="4">
        <v>7.3582605003321491E-3</v>
      </c>
      <c r="M91" s="4">
        <v>4.0512298335077471E-3</v>
      </c>
    </row>
    <row r="92" spans="1:13">
      <c r="A92" s="39" t="s">
        <v>343</v>
      </c>
      <c r="B92" s="4">
        <v>2.9591595586178905E-3</v>
      </c>
      <c r="D92" s="4">
        <v>5.16790524665184E-3</v>
      </c>
      <c r="E92" s="4">
        <v>8.0820459847962824E-4</v>
      </c>
      <c r="F92" s="4"/>
      <c r="G92" s="4">
        <v>3.755670550218292E-3</v>
      </c>
      <c r="H92" s="4">
        <v>6.2275905026063115E-3</v>
      </c>
      <c r="I92" s="4">
        <v>4.6785664524544588E-3</v>
      </c>
      <c r="J92" s="4">
        <v>3.6124546922328194E-3</v>
      </c>
      <c r="K92" s="4">
        <v>2.1342891500134666E-3</v>
      </c>
      <c r="L92" s="4">
        <v>1.7694839906050497E-3</v>
      </c>
      <c r="M92" s="4">
        <v>4.9959691510109759E-4</v>
      </c>
    </row>
    <row r="93" spans="1:13">
      <c r="A93" s="39" t="s">
        <v>344</v>
      </c>
      <c r="B93" s="4">
        <v>7.2485769632687309E-3</v>
      </c>
      <c r="D93" s="4">
        <v>1.1723490783141537E-2</v>
      </c>
      <c r="E93" s="4">
        <v>2.7022935309019519E-3</v>
      </c>
      <c r="F93" s="4"/>
      <c r="G93" s="4">
        <v>2.144103292999287E-2</v>
      </c>
      <c r="H93" s="4">
        <v>7.2746051636398005E-3</v>
      </c>
      <c r="I93" s="4">
        <v>4.9207296062939608E-3</v>
      </c>
      <c r="J93" s="4">
        <v>1.0228013797358564E-2</v>
      </c>
      <c r="K93" s="4">
        <v>1.1945201830912704E-2</v>
      </c>
      <c r="L93" s="4">
        <v>5.397436291031745E-3</v>
      </c>
      <c r="M93" s="4">
        <v>1.6088308615346703E-3</v>
      </c>
    </row>
    <row r="94" spans="1:13">
      <c r="A94" s="39" t="s">
        <v>345</v>
      </c>
      <c r="B94" s="4">
        <v>9.9030819061050185E-4</v>
      </c>
      <c r="D94" s="4">
        <v>1.5155291005875869E-3</v>
      </c>
      <c r="E94" s="4">
        <v>4.4585581231301578E-4</v>
      </c>
      <c r="F94" s="4"/>
      <c r="G94" s="4">
        <v>0</v>
      </c>
      <c r="H94" s="4">
        <v>1.5344785928683117E-3</v>
      </c>
      <c r="I94" s="4">
        <v>1.2412179963561701E-3</v>
      </c>
      <c r="J94" s="4">
        <v>7.2173105436314135E-4</v>
      </c>
      <c r="K94" s="4">
        <v>2.009917651992489E-3</v>
      </c>
      <c r="L94" s="4">
        <v>7.2212610187869842E-4</v>
      </c>
      <c r="M94" s="4">
        <v>3.6305676195560771E-4</v>
      </c>
    </row>
    <row r="95" spans="1:13">
      <c r="A95" s="39" t="s">
        <v>346</v>
      </c>
      <c r="B95" s="4">
        <v>9.4953302133971994E-4</v>
      </c>
      <c r="D95" s="4">
        <v>9.9233963900236867E-4</v>
      </c>
      <c r="E95" s="4">
        <v>8.6979659005441954E-4</v>
      </c>
      <c r="F95" s="4"/>
      <c r="G95" s="4">
        <v>0</v>
      </c>
      <c r="H95" s="4">
        <v>2.3272317191890641E-3</v>
      </c>
      <c r="I95" s="4">
        <v>1.5243566774299018E-3</v>
      </c>
      <c r="J95" s="4">
        <v>2.1111675761268018E-3</v>
      </c>
      <c r="K95" s="4">
        <v>1.6396737700738806E-4</v>
      </c>
      <c r="L95" s="4">
        <v>1.8008524837260628E-4</v>
      </c>
      <c r="M95" s="4">
        <v>8.9696033754716459E-5</v>
      </c>
    </row>
    <row r="96" spans="1:13">
      <c r="A96" s="39" t="s">
        <v>347</v>
      </c>
      <c r="B96" s="4">
        <v>2.0208698592242929E-2</v>
      </c>
      <c r="D96" s="4">
        <v>6.0525847693389187E-3</v>
      </c>
      <c r="E96" s="4">
        <v>3.3962786336425986E-2</v>
      </c>
      <c r="F96" s="4"/>
      <c r="G96" s="4">
        <v>8.1721943219772969E-2</v>
      </c>
      <c r="H96" s="4">
        <v>5.5379208758698381E-2</v>
      </c>
      <c r="I96" s="4">
        <v>3.0670074741484483E-2</v>
      </c>
      <c r="J96" s="4">
        <v>1.8781730476395735E-2</v>
      </c>
      <c r="K96" s="4">
        <v>1.0045065953154665E-2</v>
      </c>
      <c r="L96" s="4">
        <v>2.668098024944149E-3</v>
      </c>
      <c r="M96" s="4">
        <v>3.7456605734328757E-4</v>
      </c>
    </row>
    <row r="97" spans="1:13">
      <c r="A97" s="39" t="s">
        <v>348</v>
      </c>
      <c r="B97" s="4">
        <v>4.2309485932896378E-4</v>
      </c>
      <c r="D97" s="4">
        <v>4.3645433190028017E-4</v>
      </c>
      <c r="E97" s="4">
        <v>4.1536353942307703E-4</v>
      </c>
      <c r="F97" s="4"/>
      <c r="G97" s="4">
        <v>0</v>
      </c>
      <c r="H97" s="4">
        <v>7.2883281155141169E-4</v>
      </c>
      <c r="I97" s="4">
        <v>8.441665087001865E-4</v>
      </c>
      <c r="J97" s="4">
        <v>5.4654797099048125E-4</v>
      </c>
      <c r="K97" s="4">
        <v>5.5764176305007223E-4</v>
      </c>
      <c r="L97" s="4">
        <v>0</v>
      </c>
      <c r="M97" s="4">
        <v>8.0900819948873611E-5</v>
      </c>
    </row>
    <row r="98" spans="1:13">
      <c r="A98" s="39" t="s">
        <v>349</v>
      </c>
      <c r="B98" s="4">
        <v>3.0275695499063426E-4</v>
      </c>
      <c r="D98" s="4">
        <v>3.3980353204799628E-4</v>
      </c>
      <c r="E98" s="4">
        <v>2.2445426868781491E-4</v>
      </c>
      <c r="F98" s="4"/>
      <c r="G98" s="4">
        <v>0</v>
      </c>
      <c r="H98" s="4">
        <v>2.1315773198817193E-4</v>
      </c>
      <c r="I98" s="4">
        <v>2.5912928106013218E-4</v>
      </c>
      <c r="J98" s="4">
        <v>1.2475057797913972E-4</v>
      </c>
      <c r="K98" s="4">
        <v>5.8834282887825677E-4</v>
      </c>
      <c r="L98" s="4">
        <v>6.3512450822851509E-4</v>
      </c>
      <c r="M98" s="4">
        <v>1.6502504573083246E-4</v>
      </c>
    </row>
    <row r="99" spans="1:13">
      <c r="A99" s="39" t="s">
        <v>350</v>
      </c>
      <c r="B99" s="4">
        <v>2.7201456409993267E-4</v>
      </c>
      <c r="D99" s="4">
        <v>3.6518307459554626E-4</v>
      </c>
      <c r="E99" s="4">
        <v>1.8487828259503917E-4</v>
      </c>
      <c r="F99" s="4"/>
      <c r="G99" s="4">
        <v>0</v>
      </c>
      <c r="H99" s="4">
        <v>0</v>
      </c>
      <c r="I99" s="4">
        <v>6.3606649173083901E-4</v>
      </c>
      <c r="J99" s="4">
        <v>2.9941725562844632E-4</v>
      </c>
      <c r="K99" s="4">
        <v>0</v>
      </c>
      <c r="L99" s="4">
        <v>6.3781404645489267E-4</v>
      </c>
      <c r="M99" s="4">
        <v>8.9121659847015788E-5</v>
      </c>
    </row>
    <row r="100" spans="1:13">
      <c r="A100" s="39" t="s">
        <v>351</v>
      </c>
      <c r="B100" s="4">
        <v>2.6889731248642798E-3</v>
      </c>
      <c r="D100" s="4">
        <v>2.9675011553209852E-3</v>
      </c>
      <c r="E100" s="4">
        <v>2.4517404802351498E-3</v>
      </c>
      <c r="F100" s="4"/>
      <c r="G100" s="4">
        <v>1.9978298982330075E-3</v>
      </c>
      <c r="H100" s="4">
        <v>1.0674232580750797E-2</v>
      </c>
      <c r="I100" s="4">
        <v>5.2526107982535705E-3</v>
      </c>
      <c r="J100" s="4">
        <v>2.2415496807523679E-3</v>
      </c>
      <c r="K100" s="4">
        <v>7.7531374043914502E-4</v>
      </c>
      <c r="L100" s="4">
        <v>0</v>
      </c>
      <c r="M100" s="4">
        <v>8.4341852122296577E-5</v>
      </c>
    </row>
    <row r="101" spans="1:13">
      <c r="A101" s="39" t="s">
        <v>352</v>
      </c>
      <c r="B101" s="4">
        <v>1.979936890524424E-3</v>
      </c>
      <c r="D101" s="4">
        <v>1.9461935939321356E-3</v>
      </c>
      <c r="E101" s="4">
        <v>2.0372708112930331E-3</v>
      </c>
      <c r="F101" s="4"/>
      <c r="G101" s="4">
        <v>0</v>
      </c>
      <c r="H101" s="4">
        <v>1.1222274328884013E-3</v>
      </c>
      <c r="I101" s="4">
        <v>2.7419221564555195E-3</v>
      </c>
      <c r="J101" s="4">
        <v>2.4542227220156546E-3</v>
      </c>
      <c r="K101" s="4">
        <v>2.0799582492193763E-3</v>
      </c>
      <c r="L101" s="4">
        <v>2.2249349114026205E-3</v>
      </c>
      <c r="M101" s="4">
        <v>1.5685225688074845E-3</v>
      </c>
    </row>
    <row r="102" spans="1:13">
      <c r="A102" s="39" t="s">
        <v>353</v>
      </c>
      <c r="B102" s="4">
        <v>4.4135828706501503E-4</v>
      </c>
      <c r="D102" s="4">
        <v>6.399187145738781E-4</v>
      </c>
      <c r="E102" s="4">
        <v>2.0480352784221854E-4</v>
      </c>
      <c r="F102" s="4"/>
      <c r="G102" s="4">
        <v>0</v>
      </c>
      <c r="H102" s="4">
        <v>6.1983209758265957E-4</v>
      </c>
      <c r="I102" s="4">
        <v>1.4153904095847139E-3</v>
      </c>
      <c r="J102" s="4">
        <v>2.7034358937522271E-4</v>
      </c>
      <c r="K102" s="4">
        <v>5.0515781650110501E-4</v>
      </c>
      <c r="L102" s="4">
        <v>0</v>
      </c>
      <c r="M102" s="4">
        <v>0</v>
      </c>
    </row>
    <row r="103" spans="1:13">
      <c r="A103" s="39" t="s">
        <v>354</v>
      </c>
      <c r="B103" s="4">
        <v>2.9439715176807473E-4</v>
      </c>
      <c r="D103" s="4">
        <v>5.1091230899043228E-4</v>
      </c>
      <c r="E103" s="4">
        <v>8.7711961545416532E-5</v>
      </c>
      <c r="F103" s="4"/>
      <c r="G103" s="4">
        <v>1.8868625727412175E-3</v>
      </c>
      <c r="H103" s="4">
        <v>6.2056821065811297E-4</v>
      </c>
      <c r="I103" s="4">
        <v>5.2403230469132828E-4</v>
      </c>
      <c r="J103" s="4">
        <v>2.9829722359896578E-4</v>
      </c>
      <c r="K103" s="4">
        <v>0</v>
      </c>
      <c r="L103" s="4">
        <v>0</v>
      </c>
      <c r="M103" s="4">
        <v>0</v>
      </c>
    </row>
    <row r="104" spans="1:13">
      <c r="A104" s="39" t="s">
        <v>355</v>
      </c>
      <c r="B104" s="4">
        <v>9.8531419407388074E-5</v>
      </c>
      <c r="D104" s="4">
        <v>7.3386103635553879E-5</v>
      </c>
      <c r="E104" s="4">
        <v>1.2418102678794768E-4</v>
      </c>
      <c r="F104" s="4"/>
      <c r="G104" s="4">
        <v>0</v>
      </c>
      <c r="H104" s="4">
        <v>0</v>
      </c>
      <c r="I104" s="4">
        <v>0</v>
      </c>
      <c r="J104" s="4">
        <v>0</v>
      </c>
      <c r="K104" s="4">
        <v>0</v>
      </c>
      <c r="L104" s="4">
        <v>1.353730494205619E-4</v>
      </c>
      <c r="M104" s="4">
        <v>3.8170762297046814E-4</v>
      </c>
    </row>
    <row r="105" spans="1:13">
      <c r="A105" s="39" t="s">
        <v>356</v>
      </c>
      <c r="B105" s="4">
        <v>4.1993967861878354E-4</v>
      </c>
      <c r="D105" s="4">
        <v>2.7258695443949023E-4</v>
      </c>
      <c r="E105" s="4">
        <v>5.6829489219579218E-4</v>
      </c>
      <c r="F105" s="4"/>
      <c r="G105" s="4">
        <v>0</v>
      </c>
      <c r="H105" s="4">
        <v>2.0541234985045528E-4</v>
      </c>
      <c r="I105" s="4">
        <v>8.7807765487209687E-4</v>
      </c>
      <c r="J105" s="4">
        <v>1.5911617464143003E-4</v>
      </c>
      <c r="K105" s="4">
        <v>1.7014871993767063E-4</v>
      </c>
      <c r="L105" s="4">
        <v>4.1474225981267632E-4</v>
      </c>
      <c r="M105" s="4">
        <v>6.2611475914734187E-4</v>
      </c>
    </row>
    <row r="106" spans="1:13">
      <c r="A106" s="39" t="s">
        <v>357</v>
      </c>
      <c r="B106" s="4">
        <v>4.2304035761875228E-3</v>
      </c>
      <c r="D106" s="4">
        <v>4.9202001822420266E-3</v>
      </c>
      <c r="E106" s="4">
        <v>3.5813662925172777E-3</v>
      </c>
      <c r="F106" s="4"/>
      <c r="G106" s="4">
        <v>8.3192199894104556E-3</v>
      </c>
      <c r="H106" s="4">
        <v>2.5947346577132177E-3</v>
      </c>
      <c r="I106" s="4">
        <v>4.7189318703087747E-3</v>
      </c>
      <c r="J106" s="4">
        <v>2.8975752873292141E-3</v>
      </c>
      <c r="K106" s="4">
        <v>4.3919223781980861E-3</v>
      </c>
      <c r="L106" s="4">
        <v>6.7965481090488146E-3</v>
      </c>
      <c r="M106" s="4">
        <v>3.035707161328529E-3</v>
      </c>
    </row>
    <row r="107" spans="1:13">
      <c r="A107" s="39" t="s">
        <v>358</v>
      </c>
      <c r="B107" s="4">
        <v>5.0585869559323191E-2</v>
      </c>
      <c r="D107" s="4">
        <v>1.05539386975713E-2</v>
      </c>
      <c r="E107" s="4">
        <v>8.9882177414706985E-2</v>
      </c>
      <c r="F107" s="4"/>
      <c r="G107" s="4">
        <v>2.0216389191662711E-2</v>
      </c>
      <c r="H107" s="4">
        <v>5.4919070091931338E-2</v>
      </c>
      <c r="I107" s="4">
        <v>8.0688127959189365E-2</v>
      </c>
      <c r="J107" s="4">
        <v>6.1930770150440351E-2</v>
      </c>
      <c r="K107" s="4">
        <v>4.7717341734182336E-2</v>
      </c>
      <c r="L107" s="4">
        <v>4.4279927632823492E-2</v>
      </c>
      <c r="M107" s="4">
        <v>2.6153045475598657E-2</v>
      </c>
    </row>
    <row r="108" spans="1:13">
      <c r="A108" s="39" t="s">
        <v>359</v>
      </c>
      <c r="B108" s="4">
        <v>2.5725581982780112E-5</v>
      </c>
      <c r="D108" s="4">
        <v>5.2535310167948777E-5</v>
      </c>
      <c r="E108" s="4">
        <v>0</v>
      </c>
      <c r="F108" s="4"/>
      <c r="G108" s="4">
        <v>0</v>
      </c>
      <c r="H108" s="4">
        <v>0</v>
      </c>
      <c r="I108" s="4">
        <v>0</v>
      </c>
      <c r="J108" s="4">
        <v>1.5137804156642551E-4</v>
      </c>
      <c r="K108" s="4">
        <v>0</v>
      </c>
      <c r="L108" s="4">
        <v>0</v>
      </c>
      <c r="M108" s="4">
        <v>0</v>
      </c>
    </row>
    <row r="109" spans="1:13">
      <c r="A109" s="39" t="s">
        <v>360</v>
      </c>
      <c r="B109" s="4">
        <v>7.2439622800617815E-5</v>
      </c>
      <c r="D109" s="4">
        <v>1.479320489164072E-4</v>
      </c>
      <c r="E109" s="4">
        <v>0</v>
      </c>
      <c r="F109" s="4"/>
      <c r="G109" s="4">
        <v>0</v>
      </c>
      <c r="H109" s="4">
        <v>2.0526458709998064E-4</v>
      </c>
      <c r="I109" s="4">
        <v>0</v>
      </c>
      <c r="J109" s="4">
        <v>1.5137804156642551E-4</v>
      </c>
      <c r="K109" s="4">
        <v>1.6244376619055346E-4</v>
      </c>
      <c r="L109" s="4">
        <v>0</v>
      </c>
      <c r="M109" s="4">
        <v>0</v>
      </c>
    </row>
    <row r="110" spans="1:13">
      <c r="A110" s="39" t="s">
        <v>361</v>
      </c>
      <c r="B110" s="4">
        <v>6.3898183820168346E-4</v>
      </c>
      <c r="D110" s="4">
        <v>3.4890568893319412E-4</v>
      </c>
      <c r="E110" s="4">
        <v>9.2870370817268262E-4</v>
      </c>
      <c r="F110" s="4"/>
      <c r="G110" s="4">
        <v>1.8029999831592597E-3</v>
      </c>
      <c r="H110" s="4">
        <v>2.1373303931647891E-4</v>
      </c>
      <c r="I110" s="4">
        <v>4.7582485101241263E-4</v>
      </c>
      <c r="J110" s="4">
        <v>9.2813869258376184E-4</v>
      </c>
      <c r="K110" s="4">
        <v>8.2318106965238984E-4</v>
      </c>
      <c r="L110" s="4">
        <v>7.5209453669734328E-4</v>
      </c>
      <c r="M110" s="4">
        <v>3.0513128052297355E-4</v>
      </c>
    </row>
    <row r="111" spans="1:13">
      <c r="A111" s="39" t="s">
        <v>362</v>
      </c>
      <c r="B111" s="4">
        <v>5.0529053704323858E-4</v>
      </c>
      <c r="D111" s="4">
        <v>4.7775848821214156E-4</v>
      </c>
      <c r="E111" s="4">
        <v>5.383030691417744E-4</v>
      </c>
      <c r="F111" s="4"/>
      <c r="G111" s="4">
        <v>0</v>
      </c>
      <c r="H111" s="4">
        <v>7.9827605718385693E-4</v>
      </c>
      <c r="I111" s="4">
        <v>1.3059697173580201E-3</v>
      </c>
      <c r="J111" s="4">
        <v>8.0226156290091942E-4</v>
      </c>
      <c r="K111" s="4">
        <v>3.3247922448438892E-4</v>
      </c>
      <c r="L111" s="4">
        <v>0</v>
      </c>
      <c r="M111" s="4">
        <v>0</v>
      </c>
    </row>
    <row r="112" spans="1:13">
      <c r="A112" s="39" t="s">
        <v>363</v>
      </c>
      <c r="B112" s="4">
        <v>1.6338457544874962E-5</v>
      </c>
      <c r="D112" s="4">
        <v>3.3365462260889516E-5</v>
      </c>
      <c r="E112" s="4">
        <v>0</v>
      </c>
      <c r="F112" s="4"/>
      <c r="G112" s="4">
        <v>0</v>
      </c>
      <c r="H112" s="4">
        <v>0</v>
      </c>
      <c r="I112" s="4">
        <v>9.1717379182435602E-5</v>
      </c>
      <c r="J112" s="4">
        <v>0</v>
      </c>
      <c r="K112" s="4">
        <v>0</v>
      </c>
      <c r="L112" s="4">
        <v>0</v>
      </c>
      <c r="M112" s="4">
        <v>0</v>
      </c>
    </row>
    <row r="113" spans="1:13">
      <c r="A113" s="39" t="s">
        <v>364</v>
      </c>
      <c r="B113" s="4">
        <v>4.6741913984623311E-3</v>
      </c>
      <c r="D113" s="4">
        <v>5.1841186288388505E-3</v>
      </c>
      <c r="E113" s="4">
        <v>4.0247529045749362E-3</v>
      </c>
      <c r="F113" s="4"/>
      <c r="G113" s="4">
        <v>1.2885591908811125E-2</v>
      </c>
      <c r="H113" s="4">
        <v>1.0778386135188368E-2</v>
      </c>
      <c r="I113" s="4">
        <v>6.9177606976159626E-3</v>
      </c>
      <c r="J113" s="4">
        <v>6.0880071838609997E-3</v>
      </c>
      <c r="K113" s="4">
        <v>2.5703515272531602E-3</v>
      </c>
      <c r="L113" s="4">
        <v>1.2208150017129083E-3</v>
      </c>
      <c r="M113" s="4">
        <v>5.5713659323230829E-4</v>
      </c>
    </row>
    <row r="114" spans="1:13">
      <c r="A114" s="39" t="s">
        <v>365</v>
      </c>
      <c r="B114" s="4">
        <v>2.7447012671159017E-5</v>
      </c>
      <c r="D114" s="4">
        <v>0</v>
      </c>
      <c r="E114" s="4">
        <v>5.4451096434144291E-5</v>
      </c>
      <c r="F114" s="4"/>
      <c r="G114" s="4">
        <v>0</v>
      </c>
      <c r="H114" s="4">
        <v>0</v>
      </c>
      <c r="I114" s="4">
        <v>0</v>
      </c>
      <c r="J114" s="4">
        <v>1.6150752304807173E-4</v>
      </c>
      <c r="K114" s="4">
        <v>0</v>
      </c>
      <c r="L114" s="4">
        <v>0</v>
      </c>
      <c r="M114" s="4">
        <v>0</v>
      </c>
    </row>
    <row r="115" spans="1:13">
      <c r="A115" s="39" t="s">
        <v>366</v>
      </c>
      <c r="B115" s="4">
        <v>1.0093323676805367E-4</v>
      </c>
      <c r="D115" s="4">
        <v>2.0612007547250345E-4</v>
      </c>
      <c r="E115" s="4">
        <v>0</v>
      </c>
      <c r="F115" s="4"/>
      <c r="G115" s="4">
        <v>0</v>
      </c>
      <c r="H115" s="4">
        <v>0</v>
      </c>
      <c r="I115" s="4">
        <v>1.2446515578838288E-4</v>
      </c>
      <c r="J115" s="4">
        <v>1.6710851985163894E-4</v>
      </c>
      <c r="K115" s="4">
        <v>3.3224238668500992E-4</v>
      </c>
      <c r="L115" s="4">
        <v>0</v>
      </c>
      <c r="M115" s="4">
        <v>0</v>
      </c>
    </row>
    <row r="116" spans="1:13">
      <c r="A116" s="39" t="s">
        <v>367</v>
      </c>
      <c r="B116" s="4">
        <v>3.3291998778644632E-4</v>
      </c>
      <c r="D116" s="4">
        <v>5.6702027169824286E-5</v>
      </c>
      <c r="E116" s="4">
        <v>5.1387988680628625E-4</v>
      </c>
      <c r="F116" s="4"/>
      <c r="G116" s="4">
        <v>2.1420669387590798E-3</v>
      </c>
      <c r="H116" s="4">
        <v>6.4231983370055578E-4</v>
      </c>
      <c r="I116" s="4">
        <v>3.6858362646428287E-4</v>
      </c>
      <c r="J116" s="4">
        <v>6.0764030182236951E-4</v>
      </c>
      <c r="K116" s="4">
        <v>0</v>
      </c>
      <c r="L116" s="4">
        <v>0</v>
      </c>
      <c r="M116" s="4">
        <v>0</v>
      </c>
    </row>
    <row r="117" spans="1:13">
      <c r="A117" s="39" t="s">
        <v>368</v>
      </c>
      <c r="B117" s="4">
        <v>3.0463751086362498E-3</v>
      </c>
      <c r="D117" s="4">
        <v>2.3355378461005351E-3</v>
      </c>
      <c r="E117" s="4">
        <v>3.7241137427068628E-3</v>
      </c>
      <c r="F117" s="4"/>
      <c r="G117" s="4">
        <v>7.3521802540976577E-3</v>
      </c>
      <c r="H117" s="4">
        <v>5.9971147390047493E-3</v>
      </c>
      <c r="I117" s="4">
        <v>3.986333404109187E-3</v>
      </c>
      <c r="J117" s="4">
        <v>2.5330679498487196E-3</v>
      </c>
      <c r="K117" s="4">
        <v>3.0310588694584585E-3</v>
      </c>
      <c r="L117" s="4">
        <v>1.3522488551552813E-3</v>
      </c>
      <c r="M117" s="4">
        <v>1.3720702464541119E-3</v>
      </c>
    </row>
    <row r="118" spans="1:13">
      <c r="A118" s="39" t="s">
        <v>369</v>
      </c>
      <c r="B118" s="4">
        <v>5.9608456051624759E-3</v>
      </c>
      <c r="D118" s="4">
        <v>6.9353346603065079E-3</v>
      </c>
      <c r="E118" s="4">
        <v>5.0326110420008579E-3</v>
      </c>
      <c r="F118" s="4"/>
      <c r="G118" s="4">
        <v>1.1419494453591476E-2</v>
      </c>
      <c r="H118" s="4">
        <v>4.6536906645497627E-3</v>
      </c>
      <c r="I118" s="4">
        <v>3.7318862329251599E-3</v>
      </c>
      <c r="J118" s="4">
        <v>8.1448948977477179E-3</v>
      </c>
      <c r="K118" s="4">
        <v>6.6288051597035089E-3</v>
      </c>
      <c r="L118" s="4">
        <v>7.8982754601417335E-3</v>
      </c>
      <c r="M118" s="4">
        <v>3.8146404969592027E-3</v>
      </c>
    </row>
    <row r="119" spans="1:13">
      <c r="A119" s="39" t="s">
        <v>370</v>
      </c>
      <c r="B119" s="4">
        <v>7.9612918803466173E-3</v>
      </c>
      <c r="D119" s="4">
        <v>1.1009163436388381E-2</v>
      </c>
      <c r="E119" s="4">
        <v>4.8640870476993284E-3</v>
      </c>
      <c r="F119" s="4"/>
      <c r="G119" s="4">
        <v>2.4359281162038057E-2</v>
      </c>
      <c r="H119" s="4">
        <v>2.3091382163743825E-2</v>
      </c>
      <c r="I119" s="4">
        <v>1.5536597198285752E-2</v>
      </c>
      <c r="J119" s="4">
        <v>6.1578848616959886E-3</v>
      </c>
      <c r="K119" s="4">
        <v>2.69595636696803E-3</v>
      </c>
      <c r="L119" s="4">
        <v>1.0977134309913682E-3</v>
      </c>
      <c r="M119" s="4">
        <v>1.0048338042706871E-4</v>
      </c>
    </row>
    <row r="120" spans="1:13">
      <c r="A120" s="39" t="s">
        <v>371</v>
      </c>
      <c r="B120" s="4">
        <v>3.1971655836653167E-3</v>
      </c>
      <c r="D120" s="4">
        <v>5.0447383627576659E-3</v>
      </c>
      <c r="E120" s="4">
        <v>1.3430381470122888E-3</v>
      </c>
      <c r="F120" s="4"/>
      <c r="G120" s="4">
        <v>3.1097722921300296E-3</v>
      </c>
      <c r="H120" s="4">
        <v>1.0240330235536357E-2</v>
      </c>
      <c r="I120" s="4">
        <v>6.1797618088858045E-3</v>
      </c>
      <c r="J120" s="4">
        <v>2.7927230950602648E-3</v>
      </c>
      <c r="K120" s="4">
        <v>1.6459269056180543E-3</v>
      </c>
      <c r="L120" s="4">
        <v>8.2135280176624489E-4</v>
      </c>
      <c r="M120" s="4">
        <v>8.3968384411579682E-5</v>
      </c>
    </row>
    <row r="121" spans="1:13">
      <c r="A121" s="39" t="s">
        <v>372</v>
      </c>
      <c r="B121" s="4">
        <v>0.15888271605592394</v>
      </c>
      <c r="D121" s="4">
        <v>0.18456525494300849</v>
      </c>
      <c r="E121" s="4">
        <v>0.13346097810266697</v>
      </c>
      <c r="F121" s="4"/>
      <c r="G121" s="4">
        <v>0.28761380954529847</v>
      </c>
      <c r="H121" s="4">
        <v>0.27699848362728929</v>
      </c>
      <c r="I121" s="4">
        <v>0.26125600881516886</v>
      </c>
      <c r="J121" s="4">
        <v>0.19916429960857637</v>
      </c>
      <c r="K121" s="4">
        <v>0.14317071041894849</v>
      </c>
      <c r="L121" s="4">
        <v>7.4737493435541258E-2</v>
      </c>
      <c r="M121" s="4">
        <v>1.8169903588005437E-2</v>
      </c>
    </row>
    <row r="122" spans="1:13">
      <c r="A122" s="39" t="s">
        <v>373</v>
      </c>
      <c r="B122" s="4">
        <v>3.3329706260458161E-3</v>
      </c>
      <c r="D122" s="4">
        <v>4.7205889898981907E-3</v>
      </c>
      <c r="E122" s="4">
        <v>1.9794981911076333E-3</v>
      </c>
      <c r="F122" s="4"/>
      <c r="G122" s="4">
        <v>4.9231137825164317E-3</v>
      </c>
      <c r="H122" s="4">
        <v>1.9211198803677418E-3</v>
      </c>
      <c r="I122" s="4">
        <v>2.5272845598721455E-3</v>
      </c>
      <c r="J122" s="4">
        <v>1.9394475785287951E-3</v>
      </c>
      <c r="K122" s="4">
        <v>3.7642027659927054E-3</v>
      </c>
      <c r="L122" s="4">
        <v>5.6126485443558855E-3</v>
      </c>
      <c r="M122" s="4">
        <v>3.7047988854289966E-3</v>
      </c>
    </row>
    <row r="123" spans="1:13">
      <c r="A123" s="39" t="s">
        <v>374</v>
      </c>
      <c r="B123" s="4">
        <v>1.5677978502218152E-3</v>
      </c>
      <c r="D123" s="4">
        <v>1.5717557660344232E-3</v>
      </c>
      <c r="E123" s="4">
        <v>1.5833954826575884E-3</v>
      </c>
      <c r="F123" s="4"/>
      <c r="G123" s="4">
        <v>3.3596560004698827E-3</v>
      </c>
      <c r="H123" s="4">
        <v>1.4392289707187171E-3</v>
      </c>
      <c r="I123" s="4">
        <v>2.1595356934168575E-3</v>
      </c>
      <c r="J123" s="4">
        <v>3.0585372695317399E-3</v>
      </c>
      <c r="K123" s="4">
        <v>1.4398510855463159E-3</v>
      </c>
      <c r="L123" s="4">
        <v>8.6981671226901789E-4</v>
      </c>
      <c r="M123" s="4">
        <v>9.4390495967341479E-5</v>
      </c>
    </row>
    <row r="124" spans="1:13">
      <c r="A124" s="39" t="s">
        <v>375</v>
      </c>
      <c r="B124" s="4">
        <v>1.8469566793014716E-4</v>
      </c>
      <c r="D124" s="4">
        <v>3.7717491514406408E-4</v>
      </c>
      <c r="E124" s="4">
        <v>0</v>
      </c>
      <c r="F124" s="4"/>
      <c r="G124" s="4">
        <v>0</v>
      </c>
      <c r="H124" s="4">
        <v>4.0681417596513723E-4</v>
      </c>
      <c r="I124" s="4">
        <v>2.336736251029989E-4</v>
      </c>
      <c r="J124" s="4">
        <v>1.1112778359242788E-4</v>
      </c>
      <c r="K124" s="4">
        <v>1.2039670257183131E-4</v>
      </c>
      <c r="L124" s="4">
        <v>0</v>
      </c>
      <c r="M124" s="4">
        <v>2.9807790555665689E-4</v>
      </c>
    </row>
    <row r="125" spans="1:13">
      <c r="A125" s="39" t="s">
        <v>376</v>
      </c>
      <c r="B125" s="4">
        <v>4.5213471496964893E-5</v>
      </c>
      <c r="D125" s="4">
        <v>4.734724633583854E-5</v>
      </c>
      <c r="E125" s="4">
        <v>0</v>
      </c>
      <c r="F125" s="4"/>
      <c r="G125" s="4">
        <v>0</v>
      </c>
      <c r="H125" s="4">
        <v>0</v>
      </c>
      <c r="I125" s="4">
        <v>1.2365831711545362E-4</v>
      </c>
      <c r="J125" s="4">
        <v>1.3642887804353473E-4</v>
      </c>
      <c r="K125" s="4">
        <v>0</v>
      </c>
      <c r="L125" s="4">
        <v>0</v>
      </c>
      <c r="M125" s="4">
        <v>0</v>
      </c>
    </row>
    <row r="126" spans="1:13">
      <c r="A126" s="39" t="s">
        <v>377</v>
      </c>
      <c r="B126" s="4">
        <v>1.7507953684147682E-3</v>
      </c>
      <c r="D126" s="4">
        <v>2.9374827181413662E-3</v>
      </c>
      <c r="E126" s="4">
        <v>5.7024873228500215E-4</v>
      </c>
      <c r="F126" s="4"/>
      <c r="G126" s="4">
        <v>3.2297358663078805E-3</v>
      </c>
      <c r="H126" s="4">
        <v>1.8160211355897932E-3</v>
      </c>
      <c r="I126" s="4">
        <v>1.7881640343025112E-3</v>
      </c>
      <c r="J126" s="4">
        <v>1.7332843205811498E-3</v>
      </c>
      <c r="K126" s="4">
        <v>3.0412795329077817E-3</v>
      </c>
      <c r="L126" s="4">
        <v>1.5456078298730878E-3</v>
      </c>
      <c r="M126" s="4">
        <v>5.8487606533068554E-4</v>
      </c>
    </row>
    <row r="127" spans="1:13">
      <c r="A127" s="39" t="s">
        <v>378</v>
      </c>
      <c r="B127" s="4">
        <v>1.2360567584673188E-3</v>
      </c>
      <c r="D127" s="4">
        <v>1.8497529555360187E-3</v>
      </c>
      <c r="E127" s="4">
        <v>6.5520332423102227E-4</v>
      </c>
      <c r="F127" s="4"/>
      <c r="G127" s="4">
        <v>3.4379233423395147E-3</v>
      </c>
      <c r="H127" s="4">
        <v>2.0034794111759855E-3</v>
      </c>
      <c r="I127" s="4">
        <v>1.4022691207434968E-3</v>
      </c>
      <c r="J127" s="4">
        <v>7.1743474181916738E-4</v>
      </c>
      <c r="K127" s="4">
        <v>1.1512752517290822E-3</v>
      </c>
      <c r="L127" s="4">
        <v>4.9593188692161505E-4</v>
      </c>
      <c r="M127" s="4">
        <v>1.2112333007105402E-3</v>
      </c>
    </row>
    <row r="128" spans="1:13">
      <c r="A128" s="39" t="s">
        <v>379</v>
      </c>
      <c r="B128" s="4">
        <v>4.7328890971309566E-3</v>
      </c>
      <c r="D128" s="4">
        <v>4.6866124720320347E-3</v>
      </c>
      <c r="E128" s="4">
        <v>4.3924315543718822E-3</v>
      </c>
      <c r="F128" s="4"/>
      <c r="G128" s="4">
        <v>8.016422645176444E-3</v>
      </c>
      <c r="H128" s="4">
        <v>1.178603659777277E-2</v>
      </c>
      <c r="I128" s="4">
        <v>7.2745568314893684E-3</v>
      </c>
      <c r="J128" s="4">
        <v>6.5068480864789733E-3</v>
      </c>
      <c r="K128" s="4">
        <v>3.6955115289384827E-3</v>
      </c>
      <c r="L128" s="4">
        <v>7.7549400314734138E-4</v>
      </c>
      <c r="M128" s="4">
        <v>1.8748060378928345E-4</v>
      </c>
    </row>
    <row r="129" spans="1:13">
      <c r="A129" s="39" t="s">
        <v>380</v>
      </c>
      <c r="B129" s="4">
        <v>0</v>
      </c>
      <c r="D129" s="4">
        <v>0</v>
      </c>
      <c r="E129" s="4">
        <v>0</v>
      </c>
      <c r="F129" s="4"/>
      <c r="G129" s="4">
        <v>0</v>
      </c>
      <c r="H129" s="4">
        <v>0</v>
      </c>
      <c r="I129" s="4">
        <v>0</v>
      </c>
      <c r="J129" s="4">
        <v>0</v>
      </c>
      <c r="K129" s="4">
        <v>0</v>
      </c>
      <c r="L129" s="4">
        <v>0</v>
      </c>
      <c r="M129" s="4">
        <v>0</v>
      </c>
    </row>
    <row r="130" spans="1:13">
      <c r="A130" s="39" t="s">
        <v>381</v>
      </c>
      <c r="B130" s="4">
        <v>7.9373864854798346E-3</v>
      </c>
      <c r="D130" s="4">
        <v>9.0982273834950694E-3</v>
      </c>
      <c r="E130" s="4">
        <v>6.7793217044455614E-3</v>
      </c>
      <c r="F130" s="4"/>
      <c r="G130" s="4">
        <v>1.1815978059581504E-2</v>
      </c>
      <c r="H130" s="4">
        <v>7.6021471487136621E-3</v>
      </c>
      <c r="I130" s="4">
        <v>9.0614138303272626E-3</v>
      </c>
      <c r="J130" s="4">
        <v>8.7862497763280811E-3</v>
      </c>
      <c r="K130" s="4">
        <v>8.9577981559642618E-3</v>
      </c>
      <c r="L130" s="4">
        <v>9.0732708622669397E-3</v>
      </c>
      <c r="M130" s="4">
        <v>4.1304280621022194E-3</v>
      </c>
    </row>
    <row r="131" spans="1:13">
      <c r="A131" s="39" t="s">
        <v>382</v>
      </c>
      <c r="B131" s="4">
        <v>0</v>
      </c>
      <c r="D131" s="4">
        <v>0</v>
      </c>
      <c r="E131" s="4">
        <v>0</v>
      </c>
      <c r="F131" s="4"/>
      <c r="G131" s="4">
        <v>0</v>
      </c>
      <c r="H131" s="4">
        <v>0</v>
      </c>
      <c r="I131" s="4">
        <v>0</v>
      </c>
      <c r="J131" s="4">
        <v>0</v>
      </c>
      <c r="K131" s="4">
        <v>0</v>
      </c>
      <c r="L131" s="4">
        <v>0</v>
      </c>
      <c r="M131" s="4">
        <v>0</v>
      </c>
    </row>
    <row r="132" spans="1:13">
      <c r="A132" s="39" t="s">
        <v>383</v>
      </c>
      <c r="B132" s="4">
        <v>1.278753871026596E-3</v>
      </c>
      <c r="D132" s="4">
        <v>9.7441092285881984E-4</v>
      </c>
      <c r="E132" s="4">
        <v>1.5902693312246946E-3</v>
      </c>
      <c r="F132" s="4"/>
      <c r="G132" s="4">
        <v>1.9978298982330075E-3</v>
      </c>
      <c r="H132" s="4">
        <v>2.1006944976669027E-3</v>
      </c>
      <c r="I132" s="4">
        <v>1.4046573130915983E-3</v>
      </c>
      <c r="J132" s="4">
        <v>2.0427856322654324E-3</v>
      </c>
      <c r="K132" s="4">
        <v>2.0177100246570618E-3</v>
      </c>
      <c r="L132" s="4">
        <v>4.357332992643782E-4</v>
      </c>
      <c r="M132" s="4">
        <v>0</v>
      </c>
    </row>
    <row r="133" spans="1:13">
      <c r="A133" s="39" t="s">
        <v>384</v>
      </c>
      <c r="B133" s="4">
        <v>4.3575291033710866E-3</v>
      </c>
      <c r="D133" s="4">
        <v>5.0954559072781801E-3</v>
      </c>
      <c r="E133" s="4">
        <v>3.5273985694552128E-3</v>
      </c>
      <c r="F133" s="4"/>
      <c r="G133" s="4">
        <v>4.9479462982781027E-3</v>
      </c>
      <c r="H133" s="4">
        <v>1.2325853405784017E-2</v>
      </c>
      <c r="I133" s="4">
        <v>1.0024221482464141E-2</v>
      </c>
      <c r="J133" s="4">
        <v>3.530268858730457E-3</v>
      </c>
      <c r="K133" s="4">
        <v>2.0592986093679829E-3</v>
      </c>
      <c r="L133" s="4">
        <v>7.0961252970181017E-4</v>
      </c>
      <c r="M133" s="4">
        <v>7.0994263409157609E-5</v>
      </c>
    </row>
    <row r="134" spans="1:13">
      <c r="A134" s="39" t="s">
        <v>385</v>
      </c>
      <c r="B134" s="4">
        <v>4.5768367429166587E-3</v>
      </c>
      <c r="D134" s="4">
        <v>6.4195868506750197E-3</v>
      </c>
      <c r="E134" s="4">
        <v>2.7936979864632886E-3</v>
      </c>
      <c r="F134" s="4"/>
      <c r="G134" s="4">
        <v>4.5982918122167574E-3</v>
      </c>
      <c r="H134" s="4">
        <v>4.0016618146746785E-3</v>
      </c>
      <c r="I134" s="4">
        <v>7.7146706846917051E-3</v>
      </c>
      <c r="J134" s="4">
        <v>4.9451860555110054E-3</v>
      </c>
      <c r="K134" s="4">
        <v>5.7690732619865718E-3</v>
      </c>
      <c r="L134" s="4">
        <v>4.1770153754137722E-3</v>
      </c>
      <c r="M134" s="4">
        <v>1.2897331049115061E-3</v>
      </c>
    </row>
    <row r="135" spans="1:13">
      <c r="A135" s="39" t="s">
        <v>386</v>
      </c>
      <c r="B135" s="4">
        <v>1.4224985585873359E-2</v>
      </c>
      <c r="D135" s="4">
        <v>1.7468600845883964E-2</v>
      </c>
      <c r="E135" s="4">
        <v>1.0972082572272061E-2</v>
      </c>
      <c r="F135" s="4"/>
      <c r="G135" s="4">
        <v>1.7068469467330968E-2</v>
      </c>
      <c r="H135" s="4">
        <v>1.5151537872465622E-2</v>
      </c>
      <c r="I135" s="4">
        <v>1.8981364738282637E-2</v>
      </c>
      <c r="J135" s="4">
        <v>1.6752955297571481E-2</v>
      </c>
      <c r="K135" s="4">
        <v>1.8044774465968066E-2</v>
      </c>
      <c r="L135" s="4">
        <v>1.4155599486330508E-2</v>
      </c>
      <c r="M135" s="4">
        <v>4.2885734483838816E-3</v>
      </c>
    </row>
    <row r="136" spans="1:13">
      <c r="A136" s="39" t="s">
        <v>387</v>
      </c>
      <c r="B136" s="4">
        <v>0.15238527962309434</v>
      </c>
      <c r="D136" s="4">
        <v>0.14464792745701704</v>
      </c>
      <c r="E136" s="4">
        <v>0.15979332569260676</v>
      </c>
      <c r="F136" s="4"/>
      <c r="G136" s="4">
        <v>0.17689985974489117</v>
      </c>
      <c r="H136" s="4">
        <v>0.14778935346715363</v>
      </c>
      <c r="I136" s="4">
        <v>0.17365922515586465</v>
      </c>
      <c r="J136" s="4">
        <v>0.182435716987249</v>
      </c>
      <c r="K136" s="4">
        <v>0.16586858640820903</v>
      </c>
      <c r="L136" s="4">
        <v>0.14993745324782279</v>
      </c>
      <c r="M136" s="4">
        <v>9.8723927176169665E-2</v>
      </c>
    </row>
    <row r="137" spans="1:13">
      <c r="A137" s="39" t="s">
        <v>388</v>
      </c>
      <c r="B137" s="4">
        <v>2.2004254338355372E-4</v>
      </c>
      <c r="D137" s="4">
        <v>3.2541853997682173E-4</v>
      </c>
      <c r="E137" s="4">
        <v>8.0028474501335657E-5</v>
      </c>
      <c r="F137" s="4"/>
      <c r="G137" s="4">
        <v>0</v>
      </c>
      <c r="H137" s="4">
        <v>5.7643288975329045E-4</v>
      </c>
      <c r="I137" s="4">
        <v>4.0020246873359437E-4</v>
      </c>
      <c r="J137" s="4">
        <v>3.4690158279811325E-4</v>
      </c>
      <c r="K137" s="4">
        <v>0</v>
      </c>
      <c r="L137" s="4">
        <v>1.9842373212280371E-4</v>
      </c>
      <c r="M137" s="4">
        <v>0</v>
      </c>
    </row>
    <row r="138" spans="1:13">
      <c r="A138" s="39" t="s">
        <v>389</v>
      </c>
      <c r="B138" s="4">
        <v>8.2705883694149135E-4</v>
      </c>
      <c r="D138" s="4">
        <v>6.734129445229158E-4</v>
      </c>
      <c r="E138" s="4">
        <v>9.8657639033751608E-4</v>
      </c>
      <c r="F138" s="4"/>
      <c r="G138" s="4">
        <v>0</v>
      </c>
      <c r="H138" s="4">
        <v>5.6224182628505893E-4</v>
      </c>
      <c r="I138" s="4">
        <v>2.259312812122956E-3</v>
      </c>
      <c r="J138" s="4">
        <v>7.5013027424694406E-4</v>
      </c>
      <c r="K138" s="4">
        <v>6.949518370070563E-4</v>
      </c>
      <c r="L138" s="4">
        <v>2.6333129937564602E-4</v>
      </c>
      <c r="M138" s="4">
        <v>4.5279376707881583E-4</v>
      </c>
    </row>
    <row r="139" spans="1:13">
      <c r="A139" s="39" t="s">
        <v>390</v>
      </c>
      <c r="B139" s="4">
        <v>1.6120512772080525E-2</v>
      </c>
      <c r="D139" s="4">
        <v>2.2555374068230896E-2</v>
      </c>
      <c r="E139" s="4">
        <v>9.9357627439675255E-3</v>
      </c>
      <c r="F139" s="4"/>
      <c r="G139" s="4">
        <v>4.8838678071322986E-2</v>
      </c>
      <c r="H139" s="4">
        <v>3.1412963943298816E-2</v>
      </c>
      <c r="I139" s="4">
        <v>1.8925779376124482E-2</v>
      </c>
      <c r="J139" s="4">
        <v>1.2586219647236255E-2</v>
      </c>
      <c r="K139" s="4">
        <v>1.1823398916407902E-2</v>
      </c>
      <c r="L139" s="4">
        <v>9.526734824903741E-3</v>
      </c>
      <c r="M139" s="4">
        <v>9.3103935688514852E-3</v>
      </c>
    </row>
    <row r="140" spans="1:13">
      <c r="A140" s="39" t="s">
        <v>391</v>
      </c>
      <c r="B140" s="4">
        <v>1.7761280720942222E-3</v>
      </c>
      <c r="D140" s="4">
        <v>1.7687149124633529E-3</v>
      </c>
      <c r="E140" s="4">
        <v>1.5110588074494346E-3</v>
      </c>
      <c r="F140" s="4"/>
      <c r="G140" s="4">
        <v>1.2044439107547551E-2</v>
      </c>
      <c r="H140" s="4">
        <v>4.3443025412466096E-3</v>
      </c>
      <c r="I140" s="4">
        <v>4.889945782835612E-4</v>
      </c>
      <c r="J140" s="4">
        <v>2.7285957417667143E-3</v>
      </c>
      <c r="K140" s="4">
        <v>1.0082071359374212E-3</v>
      </c>
      <c r="L140" s="4">
        <v>3.5498138650784925E-4</v>
      </c>
      <c r="M140" s="4">
        <v>1.0478542982151185E-4</v>
      </c>
    </row>
    <row r="141" spans="1:13">
      <c r="A141" s="39" t="s">
        <v>392</v>
      </c>
      <c r="B141" s="4">
        <v>2.3887875361401517E-4</v>
      </c>
      <c r="D141" s="4">
        <v>1.8930194737614724E-4</v>
      </c>
      <c r="E141" s="4">
        <v>2.9000308283391165E-4</v>
      </c>
      <c r="F141" s="4"/>
      <c r="G141" s="4">
        <v>1.8029999831592597E-3</v>
      </c>
      <c r="H141" s="4">
        <v>4.3022831178851471E-4</v>
      </c>
      <c r="I141" s="4">
        <v>3.7233295468962066E-4</v>
      </c>
      <c r="J141" s="4">
        <v>1.3439029775958079E-4</v>
      </c>
      <c r="K141" s="4">
        <v>1.5541578773536869E-4</v>
      </c>
      <c r="L141" s="4">
        <v>0</v>
      </c>
      <c r="M141" s="4">
        <v>0</v>
      </c>
    </row>
    <row r="142" spans="1:13">
      <c r="A142" s="39" t="s">
        <v>393</v>
      </c>
      <c r="B142" s="4">
        <v>4.810286352082082E-2</v>
      </c>
      <c r="D142" s="4">
        <v>5.8317134603834635E-2</v>
      </c>
      <c r="E142" s="4">
        <v>3.8409205036428508E-2</v>
      </c>
      <c r="F142" s="4"/>
      <c r="G142" s="4">
        <v>8.1429263711547295E-2</v>
      </c>
      <c r="H142" s="4">
        <v>6.8349534808810231E-2</v>
      </c>
      <c r="I142" s="4">
        <v>6.1559883351146892E-2</v>
      </c>
      <c r="J142" s="4">
        <v>5.2146010628463954E-2</v>
      </c>
      <c r="K142" s="4">
        <v>4.9312362204112434E-2</v>
      </c>
      <c r="L142" s="4">
        <v>3.3415409814916704E-2</v>
      </c>
      <c r="M142" s="4">
        <v>2.4758397803216044E-2</v>
      </c>
    </row>
    <row r="143" spans="1:13">
      <c r="A143" s="39" t="s">
        <v>394</v>
      </c>
      <c r="B143" s="4">
        <v>6.1702492880553548E-3</v>
      </c>
      <c r="D143" s="4">
        <v>6.8810748852030585E-3</v>
      </c>
      <c r="E143" s="4">
        <v>5.5142869641823852E-3</v>
      </c>
      <c r="F143" s="4"/>
      <c r="G143" s="4">
        <v>8.3392137540958949E-3</v>
      </c>
      <c r="H143" s="4">
        <v>5.1372954316830973E-3</v>
      </c>
      <c r="I143" s="4">
        <v>7.1244092765938259E-3</v>
      </c>
      <c r="J143" s="4">
        <v>7.4432143789672786E-3</v>
      </c>
      <c r="K143" s="4">
        <v>7.1032839641831814E-3</v>
      </c>
      <c r="L143" s="4">
        <v>5.1600796190168783E-3</v>
      </c>
      <c r="M143" s="4">
        <v>4.3895590929405627E-3</v>
      </c>
    </row>
    <row r="144" spans="1:13">
      <c r="A144" s="39" t="s">
        <v>395</v>
      </c>
      <c r="B144" s="4">
        <v>0</v>
      </c>
      <c r="D144" s="4">
        <v>0</v>
      </c>
      <c r="E144" s="4">
        <v>0</v>
      </c>
      <c r="F144" s="4"/>
      <c r="G144" s="4">
        <v>0</v>
      </c>
      <c r="H144" s="4">
        <v>0</v>
      </c>
      <c r="I144" s="4">
        <v>0</v>
      </c>
      <c r="J144" s="4">
        <v>0</v>
      </c>
      <c r="K144" s="4">
        <v>0</v>
      </c>
      <c r="L144" s="4">
        <v>0</v>
      </c>
      <c r="M144" s="4">
        <v>0</v>
      </c>
    </row>
    <row r="145" spans="1:13">
      <c r="A145" s="39" t="s">
        <v>396</v>
      </c>
      <c r="B145" s="4">
        <v>7.8252023198401889E-3</v>
      </c>
      <c r="D145" s="4">
        <v>9.2359832384146592E-3</v>
      </c>
      <c r="E145" s="4">
        <v>6.5517254084597656E-3</v>
      </c>
      <c r="F145" s="4"/>
      <c r="G145" s="4">
        <v>2.0984018718447735E-2</v>
      </c>
      <c r="H145" s="4">
        <v>1.830922766792752E-2</v>
      </c>
      <c r="I145" s="4">
        <v>1.4750645963539881E-2</v>
      </c>
      <c r="J145" s="4">
        <v>6.559338808844615E-3</v>
      </c>
      <c r="K145" s="4">
        <v>5.2028475164800064E-3</v>
      </c>
      <c r="L145" s="4">
        <v>2.1387040943647907E-3</v>
      </c>
      <c r="M145" s="4">
        <v>4.5625270331650349E-4</v>
      </c>
    </row>
    <row r="146" spans="1:13">
      <c r="A146" s="39" t="s">
        <v>397</v>
      </c>
      <c r="B146" s="4">
        <v>1.4884836228493828E-3</v>
      </c>
      <c r="D146" s="4">
        <v>2.1152019506057722E-3</v>
      </c>
      <c r="E146" s="4">
        <v>8.9811009321076119E-4</v>
      </c>
      <c r="F146" s="4"/>
      <c r="G146" s="4">
        <v>3.9609291812693383E-3</v>
      </c>
      <c r="H146" s="4">
        <v>1.5177477955142817E-3</v>
      </c>
      <c r="I146" s="4">
        <v>1.6428155324346393E-3</v>
      </c>
      <c r="J146" s="4">
        <v>2.0648141114406808E-3</v>
      </c>
      <c r="K146" s="4">
        <v>1.9435683929705245E-3</v>
      </c>
      <c r="L146" s="4">
        <v>1.1727739067363162E-3</v>
      </c>
      <c r="M146" s="4">
        <v>2.2765142655348919E-4</v>
      </c>
    </row>
    <row r="147" spans="1:13">
      <c r="A147" s="39" t="s">
        <v>398</v>
      </c>
      <c r="B147" s="4">
        <v>7.4800262339800921E-3</v>
      </c>
      <c r="D147" s="4">
        <v>8.3610808634666973E-3</v>
      </c>
      <c r="E147" s="4">
        <v>6.6603183349119811E-3</v>
      </c>
      <c r="F147" s="4"/>
      <c r="G147" s="4">
        <v>4.2777044135293013E-3</v>
      </c>
      <c r="H147" s="4">
        <v>5.6774926501239218E-3</v>
      </c>
      <c r="I147" s="4">
        <v>1.0366853370009333E-2</v>
      </c>
      <c r="J147" s="4">
        <v>8.3252609498527495E-3</v>
      </c>
      <c r="K147" s="4">
        <v>9.9908144577736478E-3</v>
      </c>
      <c r="L147" s="4">
        <v>8.138853041277129E-3</v>
      </c>
      <c r="M147" s="4">
        <v>3.6680004410761659E-3</v>
      </c>
    </row>
    <row r="148" spans="1:13">
      <c r="A148" s="39" t="s">
        <v>399</v>
      </c>
      <c r="B148" s="4">
        <v>1.0240494681313458E-2</v>
      </c>
      <c r="D148" s="4">
        <v>9.8334456864610405E-3</v>
      </c>
      <c r="E148" s="4">
        <v>1.0188146460354732E-2</v>
      </c>
      <c r="F148" s="4"/>
      <c r="G148" s="4">
        <v>3.3207061437911786E-2</v>
      </c>
      <c r="H148" s="4">
        <v>1.8532469967794479E-2</v>
      </c>
      <c r="I148" s="4">
        <v>1.6567152618019675E-2</v>
      </c>
      <c r="J148" s="4">
        <v>1.276652688974554E-2</v>
      </c>
      <c r="K148" s="4">
        <v>6.5798859662454636E-3</v>
      </c>
      <c r="L148" s="4">
        <v>2.3599890749594838E-3</v>
      </c>
      <c r="M148" s="4">
        <v>1.5677531175401305E-3</v>
      </c>
    </row>
    <row r="149" spans="1:13">
      <c r="A149" s="39" t="s">
        <v>400</v>
      </c>
      <c r="B149" s="4">
        <v>1.375172410284849E-2</v>
      </c>
      <c r="D149" s="4">
        <v>1.5032194208974024E-2</v>
      </c>
      <c r="E149" s="4">
        <v>1.2588968518549926E-2</v>
      </c>
      <c r="F149" s="4"/>
      <c r="G149" s="4">
        <v>0.10924212845066697</v>
      </c>
      <c r="H149" s="4">
        <v>3.964395557377097E-2</v>
      </c>
      <c r="I149" s="4">
        <v>1.5849758305036821E-2</v>
      </c>
      <c r="J149" s="4">
        <v>5.0300583945952345E-3</v>
      </c>
      <c r="K149" s="4">
        <v>4.5109193365626184E-3</v>
      </c>
      <c r="L149" s="4">
        <v>1.425381396336086E-3</v>
      </c>
      <c r="M149" s="4">
        <v>4.10108183015702E-4</v>
      </c>
    </row>
    <row r="150" spans="1:13">
      <c r="A150" s="39" t="s">
        <v>401</v>
      </c>
      <c r="B150" s="4">
        <v>0.4945997992464361</v>
      </c>
      <c r="D150" s="4">
        <v>0.4237410717253578</v>
      </c>
      <c r="E150" s="4">
        <v>0.56420946076593659</v>
      </c>
      <c r="F150" s="4"/>
      <c r="G150" s="4">
        <v>0.26990076130228785</v>
      </c>
      <c r="H150" s="4">
        <v>0.33099743069547671</v>
      </c>
      <c r="I150" s="4">
        <v>0.41164284398358231</v>
      </c>
      <c r="J150" s="4">
        <v>0.47438119700913822</v>
      </c>
      <c r="K150" s="4">
        <v>0.57911581286135483</v>
      </c>
      <c r="L150" s="4">
        <v>0.65042435109849928</v>
      </c>
      <c r="M150" s="4">
        <v>0.54811744673241047</v>
      </c>
    </row>
    <row r="151" spans="1:13">
      <c r="A151" s="39" t="s">
        <v>402</v>
      </c>
      <c r="B151" s="4">
        <v>1.0190071246614001E-3</v>
      </c>
      <c r="D151" s="4">
        <v>1.2627327911165275E-3</v>
      </c>
      <c r="E151" s="4">
        <v>7.9487402294973997E-4</v>
      </c>
      <c r="F151" s="4"/>
      <c r="G151" s="4">
        <v>6.0606324615203799E-3</v>
      </c>
      <c r="H151" s="4">
        <v>1.9969874826169234E-3</v>
      </c>
      <c r="I151" s="4">
        <v>1.4935950926612711E-3</v>
      </c>
      <c r="J151" s="4">
        <v>9.1267707616372092E-4</v>
      </c>
      <c r="K151" s="4">
        <v>1.5854008557427391E-4</v>
      </c>
      <c r="L151" s="4">
        <v>6.4659940167032795E-4</v>
      </c>
      <c r="M151" s="4">
        <v>0</v>
      </c>
    </row>
    <row r="152" spans="1:13">
      <c r="A152" s="39" t="s">
        <v>403</v>
      </c>
      <c r="B152" s="4">
        <v>1.9981874710357688E-3</v>
      </c>
      <c r="D152" s="4">
        <v>2.3805341035849892E-3</v>
      </c>
      <c r="E152" s="4">
        <v>1.651532504334248E-3</v>
      </c>
      <c r="F152" s="4"/>
      <c r="G152" s="4">
        <v>4.0829905187275235E-3</v>
      </c>
      <c r="H152" s="4">
        <v>4.0954506280629632E-3</v>
      </c>
      <c r="I152" s="4">
        <v>3.2817831316491169E-3</v>
      </c>
      <c r="J152" s="4">
        <v>7.2262323860405582E-4</v>
      </c>
      <c r="K152" s="4">
        <v>2.8664657541241623E-3</v>
      </c>
      <c r="L152" s="4">
        <v>7.7929661612059537E-4</v>
      </c>
      <c r="M152" s="4">
        <v>6.0257973031927403E-4</v>
      </c>
    </row>
    <row r="153" spans="1:13">
      <c r="A153" s="39" t="s">
        <v>404</v>
      </c>
      <c r="B153" s="4">
        <v>1.3847163231260019E-2</v>
      </c>
      <c r="D153" s="4">
        <v>1.756935725459256E-2</v>
      </c>
      <c r="E153" s="4">
        <v>1.0327699986504268E-2</v>
      </c>
      <c r="F153" s="4"/>
      <c r="G153" s="4">
        <v>1.7318044056404053E-2</v>
      </c>
      <c r="H153" s="4">
        <v>2.1073195780098752E-2</v>
      </c>
      <c r="I153" s="4">
        <v>2.0103188225303638E-2</v>
      </c>
      <c r="J153" s="4">
        <v>1.533594473893838E-2</v>
      </c>
      <c r="K153" s="4">
        <v>1.2456072858727506E-2</v>
      </c>
      <c r="L153" s="4">
        <v>9.9838031085670801E-3</v>
      </c>
      <c r="M153" s="4">
        <v>6.4258965124856576E-3</v>
      </c>
    </row>
    <row r="154" spans="1:13">
      <c r="A154" s="39" t="s">
        <v>405</v>
      </c>
      <c r="B154" s="4">
        <v>2.7964631101940047E-5</v>
      </c>
      <c r="D154" s="4">
        <v>5.7107768044123438E-5</v>
      </c>
      <c r="E154" s="4">
        <v>0</v>
      </c>
      <c r="F154" s="4"/>
      <c r="G154" s="4">
        <v>0</v>
      </c>
      <c r="H154" s="4">
        <v>0</v>
      </c>
      <c r="I154" s="4">
        <v>0</v>
      </c>
      <c r="J154" s="4">
        <v>1.6455336529112643E-4</v>
      </c>
      <c r="K154" s="4">
        <v>0</v>
      </c>
      <c r="L154" s="4">
        <v>0</v>
      </c>
      <c r="M154" s="4">
        <v>0</v>
      </c>
    </row>
    <row r="155" spans="1:13">
      <c r="A155" s="39" t="s">
        <v>406</v>
      </c>
      <c r="B155" s="4">
        <v>5.3553045523444258E-4</v>
      </c>
      <c r="D155" s="4">
        <v>8.0043790438788748E-4</v>
      </c>
      <c r="E155" s="4">
        <v>2.8482437690848856E-4</v>
      </c>
      <c r="F155" s="4"/>
      <c r="G155" s="4">
        <v>0</v>
      </c>
      <c r="H155" s="4">
        <v>6.160892868008912E-4</v>
      </c>
      <c r="I155" s="4">
        <v>1.4927832011203974E-4</v>
      </c>
      <c r="J155" s="4">
        <v>3.01525465551448E-4</v>
      </c>
      <c r="K155" s="4">
        <v>3.2658656356859421E-4</v>
      </c>
      <c r="L155" s="4">
        <v>7.2780279638310372E-4</v>
      </c>
      <c r="M155" s="4">
        <v>1.151289605735274E-3</v>
      </c>
    </row>
    <row r="156" spans="1:13">
      <c r="A156" s="39" t="s">
        <v>407</v>
      </c>
      <c r="B156" s="4">
        <v>3.3455305450781988E-4</v>
      </c>
      <c r="D156" s="4">
        <v>6.4003154937131298E-4</v>
      </c>
      <c r="E156" s="4">
        <v>0</v>
      </c>
      <c r="F156" s="4"/>
      <c r="G156" s="4">
        <v>0</v>
      </c>
      <c r="H156" s="4">
        <v>4.4896234621415133E-4</v>
      </c>
      <c r="I156" s="4">
        <v>9.1602866682804899E-4</v>
      </c>
      <c r="J156" s="4">
        <v>1.6455336529112643E-4</v>
      </c>
      <c r="K156" s="4">
        <v>4.7523098846669564E-4</v>
      </c>
      <c r="L156" s="4">
        <v>1.6477288009228205E-4</v>
      </c>
      <c r="M156" s="4">
        <v>0</v>
      </c>
    </row>
    <row r="157" spans="1:13">
      <c r="A157" s="132" t="s">
        <v>408</v>
      </c>
      <c r="B157" s="137">
        <v>4.8939252677083225E-2</v>
      </c>
      <c r="C157" s="133"/>
      <c r="D157" s="137">
        <v>1.5267893080723637E-2</v>
      </c>
      <c r="E157" s="137">
        <v>8.1701670490656714E-2</v>
      </c>
      <c r="F157" s="137"/>
      <c r="G157" s="137">
        <v>2.6903108530447615E-2</v>
      </c>
      <c r="H157" s="137">
        <v>3.6984153892631329E-2</v>
      </c>
      <c r="I157" s="137">
        <v>6.584017078240964E-2</v>
      </c>
      <c r="J157" s="137">
        <v>5.8590703218852971E-2</v>
      </c>
      <c r="K157" s="137">
        <v>5.9605914286683298E-2</v>
      </c>
      <c r="L157" s="137">
        <v>5.177871938795129E-2</v>
      </c>
      <c r="M157" s="137">
        <v>2.7825347320264433E-2</v>
      </c>
    </row>
    <row r="158" spans="1:13">
      <c r="A158" s="72"/>
      <c r="B158" s="156" t="s">
        <v>146</v>
      </c>
      <c r="C158" s="156"/>
      <c r="D158" s="156"/>
      <c r="E158" s="156"/>
      <c r="F158" s="156"/>
      <c r="G158" s="156"/>
      <c r="H158" s="156"/>
      <c r="I158" s="156"/>
      <c r="J158" s="156"/>
      <c r="K158" s="156"/>
      <c r="L158" s="156"/>
      <c r="M158" s="156"/>
    </row>
    <row r="159" spans="1:13">
      <c r="A159" s="39" t="s">
        <v>267</v>
      </c>
      <c r="B159" s="50">
        <v>34470.631351543161</v>
      </c>
      <c r="D159" s="50">
        <v>25387.48014974167</v>
      </c>
      <c r="E159" s="50">
        <v>7334.4422312314409</v>
      </c>
      <c r="F159" s="50"/>
      <c r="G159" s="50">
        <v>1748.7089705700366</v>
      </c>
      <c r="H159" s="50">
        <v>5971.8280253913535</v>
      </c>
      <c r="I159" s="50">
        <v>13924.861359752935</v>
      </c>
      <c r="J159" s="50">
        <v>9412.6416846161646</v>
      </c>
      <c r="K159" s="50">
        <v>2502.4479609113978</v>
      </c>
      <c r="L159" s="50">
        <v>560.86255173281552</v>
      </c>
      <c r="M159" s="50">
        <v>349.28079856845511</v>
      </c>
    </row>
    <row r="160" spans="1:13">
      <c r="A160" s="39" t="s">
        <v>268</v>
      </c>
      <c r="B160" s="50">
        <v>72761.866811727974</v>
      </c>
      <c r="D160" s="50">
        <v>50553.263428369573</v>
      </c>
      <c r="E160" s="50">
        <v>21695.295337711374</v>
      </c>
      <c r="F160" s="50"/>
      <c r="G160" s="50">
        <v>4648.1126109494153</v>
      </c>
      <c r="H160" s="50">
        <v>11732.641843656545</v>
      </c>
      <c r="I160" s="50">
        <v>25493.905643011974</v>
      </c>
      <c r="J160" s="50">
        <v>20024.888044112526</v>
      </c>
      <c r="K160" s="50">
        <v>4028.780379070558</v>
      </c>
      <c r="L160" s="50">
        <v>4086.2000313479612</v>
      </c>
      <c r="M160" s="50">
        <v>2747.3382595789567</v>
      </c>
    </row>
    <row r="161" spans="1:13">
      <c r="A161" s="39" t="s">
        <v>269</v>
      </c>
      <c r="B161" s="50">
        <v>52470.448213436903</v>
      </c>
      <c r="D161" s="50">
        <v>31863.012606940498</v>
      </c>
      <c r="E161" s="50">
        <v>18677.311204165977</v>
      </c>
      <c r="F161" s="50"/>
      <c r="G161" s="50">
        <v>2120.1816549602563</v>
      </c>
      <c r="H161" s="50">
        <v>7425.8156457768791</v>
      </c>
      <c r="I161" s="50">
        <v>18414.895733709698</v>
      </c>
      <c r="J161" s="50">
        <v>9788.4114107875866</v>
      </c>
      <c r="K161" s="50">
        <v>5146.3596577753033</v>
      </c>
      <c r="L161" s="50">
        <v>5554.3204150976135</v>
      </c>
      <c r="M161" s="50">
        <v>4020.4636953295662</v>
      </c>
    </row>
    <row r="162" spans="1:13">
      <c r="A162" s="39" t="s">
        <v>270</v>
      </c>
      <c r="B162" s="50">
        <v>318542.59227263881</v>
      </c>
      <c r="D162" s="50">
        <v>192901.55952792784</v>
      </c>
      <c r="E162" s="50">
        <v>121187.12188916211</v>
      </c>
      <c r="F162" s="50"/>
      <c r="G162" s="50">
        <v>57708.520963415423</v>
      </c>
      <c r="H162" s="50">
        <v>75261.444429981595</v>
      </c>
      <c r="I162" s="50">
        <v>80305.597244843608</v>
      </c>
      <c r="J162" s="50">
        <v>61524.02800177224</v>
      </c>
      <c r="K162" s="50">
        <v>26682.774418999721</v>
      </c>
      <c r="L162" s="50">
        <v>11564.846392337744</v>
      </c>
      <c r="M162" s="50">
        <v>5495.3808212881313</v>
      </c>
    </row>
    <row r="163" spans="1:13">
      <c r="A163" s="39" t="s">
        <v>271</v>
      </c>
      <c r="B163" s="50">
        <v>562062.58629880089</v>
      </c>
      <c r="D163" s="50">
        <v>439568.98045330821</v>
      </c>
      <c r="E163" s="50">
        <v>121030.78942998663</v>
      </c>
      <c r="F163" s="50"/>
      <c r="G163" s="50">
        <v>54060.539562124628</v>
      </c>
      <c r="H163" s="50">
        <v>146743.07906990661</v>
      </c>
      <c r="I163" s="50">
        <v>190429.30973893905</v>
      </c>
      <c r="J163" s="50">
        <v>110520.20037118313</v>
      </c>
      <c r="K163" s="50">
        <v>38971.954383284232</v>
      </c>
      <c r="L163" s="50">
        <v>16339.379297489466</v>
      </c>
      <c r="M163" s="50">
        <v>4998.1238758743966</v>
      </c>
    </row>
    <row r="164" spans="1:13">
      <c r="A164" s="39" t="s">
        <v>272</v>
      </c>
      <c r="B164" s="50">
        <v>392366.8462001381</v>
      </c>
      <c r="D164" s="50">
        <v>219395.59904696944</v>
      </c>
      <c r="E164" s="50">
        <v>168767.19184405726</v>
      </c>
      <c r="F164" s="50"/>
      <c r="G164" s="50">
        <v>77002.053630244845</v>
      </c>
      <c r="H164" s="50">
        <v>85269.839611323943</v>
      </c>
      <c r="I164" s="50">
        <v>116815.54438694449</v>
      </c>
      <c r="J164" s="50">
        <v>62611.991417550002</v>
      </c>
      <c r="K164" s="50">
        <v>30665.851437455542</v>
      </c>
      <c r="L164" s="50">
        <v>12986.91742222392</v>
      </c>
      <c r="M164" s="50">
        <v>7014.6482943960009</v>
      </c>
    </row>
    <row r="165" spans="1:13">
      <c r="A165" s="39" t="s">
        <v>273</v>
      </c>
      <c r="B165" s="50">
        <v>76636.882119925678</v>
      </c>
      <c r="D165" s="50">
        <v>61932.631511796229</v>
      </c>
      <c r="E165" s="50">
        <v>14704.250608129456</v>
      </c>
      <c r="F165" s="50"/>
      <c r="G165" s="50">
        <v>8406.9756792270055</v>
      </c>
      <c r="H165" s="50">
        <v>15376.777923925531</v>
      </c>
      <c r="I165" s="50">
        <v>26076.501299885211</v>
      </c>
      <c r="J165" s="50">
        <v>15970.243464930596</v>
      </c>
      <c r="K165" s="50">
        <v>7726.9240955633049</v>
      </c>
      <c r="L165" s="50">
        <v>2237.3180216675078</v>
      </c>
      <c r="M165" s="50">
        <v>842.14163472654138</v>
      </c>
    </row>
    <row r="166" spans="1:13">
      <c r="A166" s="39" t="s">
        <v>274</v>
      </c>
      <c r="B166" s="50">
        <v>1056012.3271963685</v>
      </c>
      <c r="D166" s="50">
        <v>758451.93453922088</v>
      </c>
      <c r="E166" s="50">
        <v>290423.70744540187</v>
      </c>
      <c r="F166" s="50"/>
      <c r="G166" s="50">
        <v>177254.68043747524</v>
      </c>
      <c r="H166" s="50">
        <v>284674.93581385183</v>
      </c>
      <c r="I166" s="50">
        <v>271764.8791221999</v>
      </c>
      <c r="J166" s="50">
        <v>201136.43286213183</v>
      </c>
      <c r="K166" s="50">
        <v>85956.870001688949</v>
      </c>
      <c r="L166" s="50">
        <v>24230.144871755805</v>
      </c>
      <c r="M166" s="50">
        <v>10994.384087268732</v>
      </c>
    </row>
    <row r="167" spans="1:13">
      <c r="A167" s="39" t="s">
        <v>275</v>
      </c>
      <c r="B167" s="50">
        <v>6246.9750918127202</v>
      </c>
      <c r="D167" s="50">
        <v>3736.2015627374631</v>
      </c>
      <c r="E167" s="50">
        <v>2510.773529075258</v>
      </c>
      <c r="F167" s="50"/>
      <c r="G167" s="50">
        <v>0</v>
      </c>
      <c r="H167" s="50">
        <v>986.44020229010926</v>
      </c>
      <c r="I167" s="50">
        <v>4250.3464963201732</v>
      </c>
      <c r="J167" s="50">
        <v>507.7263335059738</v>
      </c>
      <c r="K167" s="50">
        <v>502.46205969646445</v>
      </c>
      <c r="L167" s="50">
        <v>0</v>
      </c>
      <c r="M167" s="50">
        <v>0</v>
      </c>
    </row>
    <row r="168" spans="1:13">
      <c r="A168" s="39" t="s">
        <v>276</v>
      </c>
      <c r="B168" s="50">
        <v>1684.379906605594</v>
      </c>
      <c r="D168" s="50">
        <v>1143.5774118146865</v>
      </c>
      <c r="E168" s="50">
        <v>540.80249479090753</v>
      </c>
      <c r="F168" s="50"/>
      <c r="G168" s="50">
        <v>0</v>
      </c>
      <c r="H168" s="50">
        <v>540.80249479090753</v>
      </c>
      <c r="I168" s="50">
        <v>570.22566170557855</v>
      </c>
      <c r="J168" s="50">
        <v>573.35175010910791</v>
      </c>
      <c r="K168" s="50">
        <v>0</v>
      </c>
      <c r="L168" s="50">
        <v>0</v>
      </c>
      <c r="M168" s="50">
        <v>0</v>
      </c>
    </row>
    <row r="169" spans="1:13">
      <c r="A169" s="39" t="s">
        <v>277</v>
      </c>
      <c r="B169" s="50">
        <v>77332.431397633292</v>
      </c>
      <c r="D169" s="50">
        <v>49789.706558320206</v>
      </c>
      <c r="E169" s="50">
        <v>26702.533440654573</v>
      </c>
      <c r="F169" s="50"/>
      <c r="G169" s="50">
        <v>8133.5769684333691</v>
      </c>
      <c r="H169" s="50">
        <v>13132.09059359405</v>
      </c>
      <c r="I169" s="50">
        <v>17204.996241896632</v>
      </c>
      <c r="J169" s="50">
        <v>12598.225647507275</v>
      </c>
      <c r="K169" s="50">
        <v>7492.8947890513627</v>
      </c>
      <c r="L169" s="50">
        <v>11877.838564973974</v>
      </c>
      <c r="M169" s="50">
        <v>6892.8085921766487</v>
      </c>
    </row>
    <row r="170" spans="1:13">
      <c r="A170" s="39" t="s">
        <v>278</v>
      </c>
      <c r="B170" s="50">
        <v>11141.882236350128</v>
      </c>
      <c r="D170" s="50">
        <v>8014.0470341654727</v>
      </c>
      <c r="E170" s="50">
        <v>3127.8352021846576</v>
      </c>
      <c r="F170" s="50"/>
      <c r="G170" s="50">
        <v>1446.5259617593656</v>
      </c>
      <c r="H170" s="50">
        <v>2195.3379718353863</v>
      </c>
      <c r="I170" s="50">
        <v>2587.1434099255575</v>
      </c>
      <c r="J170" s="50">
        <v>1589.1951680315235</v>
      </c>
      <c r="K170" s="50">
        <v>3070.8321562328792</v>
      </c>
      <c r="L170" s="50">
        <v>0</v>
      </c>
      <c r="M170" s="50">
        <v>252.84756856541642</v>
      </c>
    </row>
    <row r="171" spans="1:13">
      <c r="A171" s="39" t="s">
        <v>279</v>
      </c>
      <c r="B171" s="50">
        <v>549.82162013158245</v>
      </c>
      <c r="D171" s="50">
        <v>549.82162013158245</v>
      </c>
      <c r="E171" s="50">
        <v>0</v>
      </c>
      <c r="F171" s="50"/>
      <c r="G171" s="50">
        <v>0</v>
      </c>
      <c r="H171" s="50">
        <v>0</v>
      </c>
      <c r="I171" s="50">
        <v>549.82162013158245</v>
      </c>
      <c r="J171" s="50">
        <v>0</v>
      </c>
      <c r="K171" s="50">
        <v>0</v>
      </c>
      <c r="L171" s="50">
        <v>0</v>
      </c>
      <c r="M171" s="50">
        <v>0</v>
      </c>
    </row>
    <row r="172" spans="1:13">
      <c r="A172" s="39" t="s">
        <v>280</v>
      </c>
      <c r="B172" s="50">
        <v>5502.8964130221757</v>
      </c>
      <c r="D172" s="50">
        <v>1938.7104081067741</v>
      </c>
      <c r="E172" s="50">
        <v>3564.186004915402</v>
      </c>
      <c r="F172" s="50"/>
      <c r="G172" s="50">
        <v>0</v>
      </c>
      <c r="H172" s="50">
        <v>0</v>
      </c>
      <c r="I172" s="50">
        <v>0</v>
      </c>
      <c r="J172" s="50">
        <v>0</v>
      </c>
      <c r="K172" s="50">
        <v>1591.2880860777377</v>
      </c>
      <c r="L172" s="50">
        <v>476.00168356515059</v>
      </c>
      <c r="M172" s="50">
        <v>3435.606643379288</v>
      </c>
    </row>
    <row r="173" spans="1:13">
      <c r="A173" s="39" t="s">
        <v>281</v>
      </c>
      <c r="B173" s="50">
        <v>0</v>
      </c>
      <c r="D173" s="50">
        <v>0</v>
      </c>
      <c r="E173" s="50">
        <v>0</v>
      </c>
      <c r="F173" s="50"/>
      <c r="G173" s="50">
        <v>0</v>
      </c>
      <c r="H173" s="50">
        <v>0</v>
      </c>
      <c r="I173" s="50">
        <v>0</v>
      </c>
      <c r="J173" s="50">
        <v>0</v>
      </c>
      <c r="K173" s="50">
        <v>0</v>
      </c>
      <c r="L173" s="50">
        <v>0</v>
      </c>
      <c r="M173" s="50">
        <v>0</v>
      </c>
    </row>
    <row r="174" spans="1:13">
      <c r="A174" s="39" t="s">
        <v>282</v>
      </c>
      <c r="B174" s="50">
        <v>11208.216178850253</v>
      </c>
      <c r="D174" s="50">
        <v>9450.4203158051605</v>
      </c>
      <c r="E174" s="50">
        <v>1260.6262578552587</v>
      </c>
      <c r="F174" s="50"/>
      <c r="G174" s="50">
        <v>1263.2796888263431</v>
      </c>
      <c r="H174" s="50">
        <v>1399.6436091183382</v>
      </c>
      <c r="I174" s="50">
        <v>3720.0588240958814</v>
      </c>
      <c r="J174" s="50">
        <v>2600.6739013541069</v>
      </c>
      <c r="K174" s="50">
        <v>1448.5889559719753</v>
      </c>
      <c r="L174" s="50">
        <v>775.97119948360819</v>
      </c>
      <c r="M174" s="50">
        <v>0</v>
      </c>
    </row>
    <row r="175" spans="1:13">
      <c r="A175" s="39" t="s">
        <v>283</v>
      </c>
      <c r="B175" s="50">
        <v>1553.7310151234401</v>
      </c>
      <c r="D175" s="50">
        <v>1553.7310151234401</v>
      </c>
      <c r="E175" s="50">
        <v>0</v>
      </c>
      <c r="F175" s="50"/>
      <c r="G175" s="50">
        <v>0</v>
      </c>
      <c r="H175" s="50">
        <v>0</v>
      </c>
      <c r="I175" s="50">
        <v>549.82162013158245</v>
      </c>
      <c r="J175" s="50">
        <v>507.7263335059738</v>
      </c>
      <c r="K175" s="50">
        <v>496.18306148588374</v>
      </c>
      <c r="L175" s="50">
        <v>0</v>
      </c>
      <c r="M175" s="50">
        <v>0</v>
      </c>
    </row>
    <row r="176" spans="1:13">
      <c r="A176" s="39" t="s">
        <v>284</v>
      </c>
      <c r="B176" s="50">
        <v>190848.58977596089</v>
      </c>
      <c r="D176" s="50">
        <v>125880.98469205348</v>
      </c>
      <c r="E176" s="50">
        <v>64454.900662250082</v>
      </c>
      <c r="F176" s="50"/>
      <c r="G176" s="50">
        <v>1740.1198930317917</v>
      </c>
      <c r="H176" s="50">
        <v>2563.5715665913381</v>
      </c>
      <c r="I176" s="50">
        <v>11314.529954420523</v>
      </c>
      <c r="J176" s="50">
        <v>9179.0998224780124</v>
      </c>
      <c r="K176" s="50">
        <v>15817.434897199502</v>
      </c>
      <c r="L176" s="50">
        <v>31591.794454453873</v>
      </c>
      <c r="M176" s="50">
        <v>118642.03918778588</v>
      </c>
    </row>
    <row r="177" spans="1:13">
      <c r="A177" s="39" t="s">
        <v>285</v>
      </c>
      <c r="B177" s="50">
        <v>194236.91389443548</v>
      </c>
      <c r="D177" s="50">
        <v>108483.32906133469</v>
      </c>
      <c r="E177" s="50">
        <v>84865.69840917422</v>
      </c>
      <c r="F177" s="50"/>
      <c r="G177" s="50">
        <v>17928.705247205122</v>
      </c>
      <c r="H177" s="50">
        <v>42290.109290470027</v>
      </c>
      <c r="I177" s="50">
        <v>56295.95206871775</v>
      </c>
      <c r="J177" s="50">
        <v>40964.106124129634</v>
      </c>
      <c r="K177" s="50">
        <v>19375.011392642078</v>
      </c>
      <c r="L177" s="50">
        <v>14526.315451489352</v>
      </c>
      <c r="M177" s="50">
        <v>2856.7143197812647</v>
      </c>
    </row>
    <row r="178" spans="1:13">
      <c r="A178" s="39" t="s">
        <v>286</v>
      </c>
      <c r="B178" s="50">
        <v>0</v>
      </c>
      <c r="D178" s="50">
        <v>0</v>
      </c>
      <c r="E178" s="50">
        <v>0</v>
      </c>
      <c r="F178" s="50"/>
      <c r="G178" s="50">
        <v>0</v>
      </c>
      <c r="H178" s="50">
        <v>0</v>
      </c>
      <c r="I178" s="50">
        <v>0</v>
      </c>
      <c r="J178" s="50">
        <v>0</v>
      </c>
      <c r="K178" s="50">
        <v>0</v>
      </c>
      <c r="L178" s="50">
        <v>0</v>
      </c>
      <c r="M178" s="50">
        <v>0</v>
      </c>
    </row>
    <row r="179" spans="1:13">
      <c r="A179" s="39" t="s">
        <v>287</v>
      </c>
      <c r="B179" s="50">
        <v>3713701.1657642545</v>
      </c>
      <c r="D179" s="50">
        <v>1703978.1560074184</v>
      </c>
      <c r="E179" s="50">
        <v>1986687.5263764483</v>
      </c>
      <c r="F179" s="50"/>
      <c r="G179" s="50">
        <v>154348.81132120846</v>
      </c>
      <c r="H179" s="50">
        <v>372563.30293706286</v>
      </c>
      <c r="I179" s="50">
        <v>832743.38061986293</v>
      </c>
      <c r="J179" s="50">
        <v>702448.24665768968</v>
      </c>
      <c r="K179" s="50">
        <v>650893.77860164759</v>
      </c>
      <c r="L179" s="50">
        <v>577748.13081618492</v>
      </c>
      <c r="M179" s="50">
        <v>422955.51481063629</v>
      </c>
    </row>
    <row r="180" spans="1:13">
      <c r="A180" s="39" t="s">
        <v>288</v>
      </c>
      <c r="B180" s="50">
        <v>50972.426539931344</v>
      </c>
      <c r="D180" s="50">
        <v>38083.029475087744</v>
      </c>
      <c r="E180" s="50">
        <v>12007.334744466429</v>
      </c>
      <c r="F180" s="50"/>
      <c r="G180" s="50">
        <v>3664.7263238458727</v>
      </c>
      <c r="H180" s="50">
        <v>18291.475864375767</v>
      </c>
      <c r="I180" s="50">
        <v>12529.875118564631</v>
      </c>
      <c r="J180" s="50">
        <v>10728.327174443504</v>
      </c>
      <c r="K180" s="50">
        <v>2526.6457352765842</v>
      </c>
      <c r="L180" s="50">
        <v>1656.9524324037384</v>
      </c>
      <c r="M180" s="50">
        <v>1574.4238910212362</v>
      </c>
    </row>
    <row r="181" spans="1:13">
      <c r="A181" s="39" t="s">
        <v>289</v>
      </c>
      <c r="B181" s="50">
        <v>6722.9393492411609</v>
      </c>
      <c r="D181" s="50">
        <v>6178.0102512934945</v>
      </c>
      <c r="E181" s="50">
        <v>544.92909794766626</v>
      </c>
      <c r="F181" s="50"/>
      <c r="G181" s="50">
        <v>0</v>
      </c>
      <c r="H181" s="50">
        <v>576.63429851602052</v>
      </c>
      <c r="I181" s="50">
        <v>2864.1747328833767</v>
      </c>
      <c r="J181" s="50">
        <v>3282.1303178417629</v>
      </c>
      <c r="K181" s="50">
        <v>0</v>
      </c>
      <c r="L181" s="50">
        <v>0</v>
      </c>
      <c r="M181" s="50">
        <v>0</v>
      </c>
    </row>
    <row r="182" spans="1:13">
      <c r="A182" s="39" t="s">
        <v>290</v>
      </c>
      <c r="B182" s="50">
        <v>210705.29615274919</v>
      </c>
      <c r="D182" s="50">
        <v>114741.08720071727</v>
      </c>
      <c r="E182" s="50">
        <v>95964.208952031433</v>
      </c>
      <c r="F182" s="50"/>
      <c r="G182" s="50">
        <v>18166.444989177417</v>
      </c>
      <c r="H182" s="50">
        <v>14198.223685074905</v>
      </c>
      <c r="I182" s="50">
        <v>42137.031764958585</v>
      </c>
      <c r="J182" s="50">
        <v>36418.988326892271</v>
      </c>
      <c r="K182" s="50">
        <v>42161.058249061811</v>
      </c>
      <c r="L182" s="50">
        <v>34494.641080904352</v>
      </c>
      <c r="M182" s="50">
        <v>23128.908056679389</v>
      </c>
    </row>
    <row r="183" spans="1:13">
      <c r="A183" s="39" t="s">
        <v>291</v>
      </c>
      <c r="B183" s="50">
        <v>7907.5323829938861</v>
      </c>
      <c r="D183" s="50">
        <v>1540.5408402094886</v>
      </c>
      <c r="E183" s="50">
        <v>5921.321808811178</v>
      </c>
      <c r="F183" s="50"/>
      <c r="G183" s="50">
        <v>0</v>
      </c>
      <c r="H183" s="50">
        <v>1610.3092526391092</v>
      </c>
      <c r="I183" s="50">
        <v>3763.5993008558462</v>
      </c>
      <c r="J183" s="50">
        <v>1433.9052736722306</v>
      </c>
      <c r="K183" s="50">
        <v>610.13073840567597</v>
      </c>
      <c r="L183" s="50">
        <v>489.58781742102337</v>
      </c>
      <c r="M183" s="50">
        <v>0</v>
      </c>
    </row>
    <row r="184" spans="1:13">
      <c r="A184" s="39" t="s">
        <v>292</v>
      </c>
      <c r="B184" s="50">
        <v>541743.09507964284</v>
      </c>
      <c r="D184" s="50">
        <v>455845.73519560118</v>
      </c>
      <c r="E184" s="50">
        <v>83956.345913868077</v>
      </c>
      <c r="F184" s="50"/>
      <c r="G184" s="50">
        <v>63977.600460079375</v>
      </c>
      <c r="H184" s="50">
        <v>102401.24644488761</v>
      </c>
      <c r="I184" s="50">
        <v>148769.06799190308</v>
      </c>
      <c r="J184" s="50">
        <v>124445.40610238793</v>
      </c>
      <c r="K184" s="50">
        <v>63589.487561623377</v>
      </c>
      <c r="L184" s="50">
        <v>24009.305294136197</v>
      </c>
      <c r="M184" s="50">
        <v>14550.981224625693</v>
      </c>
    </row>
    <row r="185" spans="1:13">
      <c r="A185" s="39" t="s">
        <v>293</v>
      </c>
      <c r="B185" s="50">
        <v>16237.878821925664</v>
      </c>
      <c r="D185" s="50">
        <v>8508.8267220953749</v>
      </c>
      <c r="E185" s="50">
        <v>7729.0520998302882</v>
      </c>
      <c r="F185" s="50"/>
      <c r="G185" s="50">
        <v>0</v>
      </c>
      <c r="H185" s="50">
        <v>1043.7384767203002</v>
      </c>
      <c r="I185" s="50">
        <v>1491.6519427623311</v>
      </c>
      <c r="J185" s="50">
        <v>574.08757824134398</v>
      </c>
      <c r="K185" s="50">
        <v>570.67452149677899</v>
      </c>
      <c r="L185" s="50">
        <v>1483.8299692386283</v>
      </c>
      <c r="M185" s="50">
        <v>11073.896333466282</v>
      </c>
    </row>
    <row r="186" spans="1:13">
      <c r="A186" s="39" t="s">
        <v>294</v>
      </c>
      <c r="B186" s="50">
        <v>136231.56498289309</v>
      </c>
      <c r="D186" s="50">
        <v>49443.739862747134</v>
      </c>
      <c r="E186" s="50">
        <v>86787.825120145993</v>
      </c>
      <c r="F186" s="50"/>
      <c r="G186" s="50">
        <v>3500.4531823299799</v>
      </c>
      <c r="H186" s="50">
        <v>11787.616791503542</v>
      </c>
      <c r="I186" s="50">
        <v>50626.900510511892</v>
      </c>
      <c r="J186" s="50">
        <v>42796.501763128246</v>
      </c>
      <c r="K186" s="50">
        <v>16903.506699403013</v>
      </c>
      <c r="L186" s="50">
        <v>8166.028451359718</v>
      </c>
      <c r="M186" s="50">
        <v>2450.5575846566658</v>
      </c>
    </row>
    <row r="187" spans="1:13">
      <c r="A187" s="39" t="s">
        <v>295</v>
      </c>
      <c r="B187" s="50">
        <v>4474.5242456587403</v>
      </c>
      <c r="D187" s="50">
        <v>4474.5242456587403</v>
      </c>
      <c r="E187" s="50">
        <v>0</v>
      </c>
      <c r="F187" s="50"/>
      <c r="G187" s="50">
        <v>0</v>
      </c>
      <c r="H187" s="50">
        <v>0</v>
      </c>
      <c r="I187" s="50">
        <v>2496.9776676926954</v>
      </c>
      <c r="J187" s="50">
        <v>1000.0484770133794</v>
      </c>
      <c r="K187" s="50">
        <v>472.63948392439215</v>
      </c>
      <c r="L187" s="50">
        <v>504.85861702827373</v>
      </c>
      <c r="M187" s="50">
        <v>0</v>
      </c>
    </row>
    <row r="188" spans="1:13">
      <c r="A188" s="39" t="s">
        <v>296</v>
      </c>
      <c r="B188" s="50">
        <v>1948235.9907898721</v>
      </c>
      <c r="D188" s="50">
        <v>1177175.0075851723</v>
      </c>
      <c r="E188" s="50">
        <v>756275.57750293298</v>
      </c>
      <c r="F188" s="50"/>
      <c r="G188" s="50">
        <v>80885.924924794235</v>
      </c>
      <c r="H188" s="50">
        <v>142474.18398987467</v>
      </c>
      <c r="I188" s="50">
        <v>308673.20110043359</v>
      </c>
      <c r="J188" s="50">
        <v>392213.23288327776</v>
      </c>
      <c r="K188" s="50">
        <v>412120.44251092465</v>
      </c>
      <c r="L188" s="50">
        <v>359367.11022087786</v>
      </c>
      <c r="M188" s="50">
        <v>252501.89515969035</v>
      </c>
    </row>
    <row r="189" spans="1:13">
      <c r="A189" s="39" t="s">
        <v>297</v>
      </c>
      <c r="B189" s="50">
        <v>219426.3188110714</v>
      </c>
      <c r="D189" s="50">
        <v>31244.411469311879</v>
      </c>
      <c r="E189" s="50">
        <v>183568.58073958417</v>
      </c>
      <c r="F189" s="50"/>
      <c r="G189" s="50">
        <v>38632.155003560423</v>
      </c>
      <c r="H189" s="50">
        <v>58097.2884363618</v>
      </c>
      <c r="I189" s="50">
        <v>50060.452292564129</v>
      </c>
      <c r="J189" s="50">
        <v>34583.003174534795</v>
      </c>
      <c r="K189" s="50">
        <v>12509.170854354446</v>
      </c>
      <c r="L189" s="50">
        <v>14271.64002533559</v>
      </c>
      <c r="M189" s="50">
        <v>11272.609024360114</v>
      </c>
    </row>
    <row r="190" spans="1:13">
      <c r="A190" s="39" t="s">
        <v>298</v>
      </c>
      <c r="B190" s="50">
        <v>354299.58928980015</v>
      </c>
      <c r="D190" s="50">
        <v>56476.761736350971</v>
      </c>
      <c r="E190" s="50">
        <v>293165.78687727911</v>
      </c>
      <c r="F190" s="50"/>
      <c r="G190" s="50">
        <v>24309.364471175744</v>
      </c>
      <c r="H190" s="50">
        <v>47383.867180206711</v>
      </c>
      <c r="I190" s="50">
        <v>60524.57073469145</v>
      </c>
      <c r="J190" s="50">
        <v>80650.13974476108</v>
      </c>
      <c r="K190" s="50">
        <v>44723.593787548794</v>
      </c>
      <c r="L190" s="50">
        <v>40343.740106819074</v>
      </c>
      <c r="M190" s="50">
        <v>56364.313264597287</v>
      </c>
    </row>
    <row r="191" spans="1:13">
      <c r="A191" s="39" t="s">
        <v>299</v>
      </c>
      <c r="B191" s="50">
        <v>35175.724871107072</v>
      </c>
      <c r="D191" s="50">
        <v>24367.032910754482</v>
      </c>
      <c r="E191" s="50">
        <v>10808.691960352606</v>
      </c>
      <c r="F191" s="50"/>
      <c r="G191" s="50">
        <v>1078.4601537032231</v>
      </c>
      <c r="H191" s="50">
        <v>2082.926443090887</v>
      </c>
      <c r="I191" s="50">
        <v>10130.784319057131</v>
      </c>
      <c r="J191" s="50">
        <v>6296.6779877645085</v>
      </c>
      <c r="K191" s="50">
        <v>4156.2055464321147</v>
      </c>
      <c r="L191" s="50">
        <v>3873.7418430761959</v>
      </c>
      <c r="M191" s="50">
        <v>7556.928577983027</v>
      </c>
    </row>
    <row r="192" spans="1:13">
      <c r="A192" s="39" t="s">
        <v>300</v>
      </c>
      <c r="B192" s="50">
        <v>8434.2917587713255</v>
      </c>
      <c r="D192" s="50">
        <v>6122.6418322892441</v>
      </c>
      <c r="E192" s="50">
        <v>2311.6499264820809</v>
      </c>
      <c r="F192" s="50"/>
      <c r="G192" s="50">
        <v>0</v>
      </c>
      <c r="H192" s="50">
        <v>1341.0852394461497</v>
      </c>
      <c r="I192" s="50">
        <v>3029.8718223479218</v>
      </c>
      <c r="J192" s="50">
        <v>2496.9702981805644</v>
      </c>
      <c r="K192" s="50">
        <v>1143.6044329833589</v>
      </c>
      <c r="L192" s="50">
        <v>0</v>
      </c>
      <c r="M192" s="50">
        <v>422.75996581333061</v>
      </c>
    </row>
    <row r="193" spans="1:13">
      <c r="A193" s="39" t="s">
        <v>301</v>
      </c>
      <c r="B193" s="50">
        <v>17919.43012322317</v>
      </c>
      <c r="D193" s="50">
        <v>10231.476136060455</v>
      </c>
      <c r="E193" s="50">
        <v>7242.2842531894948</v>
      </c>
      <c r="F193" s="50"/>
      <c r="G193" s="50">
        <v>5783.2493866824116</v>
      </c>
      <c r="H193" s="50">
        <v>3954.9095219413603</v>
      </c>
      <c r="I193" s="50">
        <v>6669.2881187940011</v>
      </c>
      <c r="J193" s="50">
        <v>1037.6167537389701</v>
      </c>
      <c r="K193" s="50">
        <v>474.36634206642532</v>
      </c>
      <c r="L193" s="50">
        <v>0</v>
      </c>
      <c r="M193" s="50">
        <v>0</v>
      </c>
    </row>
    <row r="194" spans="1:13">
      <c r="A194" s="39" t="s">
        <v>302</v>
      </c>
      <c r="B194" s="50">
        <v>12171.289701169113</v>
      </c>
      <c r="D194" s="50">
        <v>5153.2269505320619</v>
      </c>
      <c r="E194" s="50">
        <v>5269.3537800670156</v>
      </c>
      <c r="F194" s="50"/>
      <c r="G194" s="50">
        <v>1748.7089705700366</v>
      </c>
      <c r="H194" s="50">
        <v>500.94056668179422</v>
      </c>
      <c r="I194" s="50">
        <v>2337.982216439636</v>
      </c>
      <c r="J194" s="50">
        <v>1117.4413467810084</v>
      </c>
      <c r="K194" s="50">
        <v>2172.1164659756641</v>
      </c>
      <c r="L194" s="50">
        <v>1406.6121449284576</v>
      </c>
      <c r="M194" s="50">
        <v>2887.4879897925171</v>
      </c>
    </row>
    <row r="195" spans="1:13">
      <c r="A195" s="39" t="s">
        <v>303</v>
      </c>
      <c r="B195" s="50">
        <v>7794.6290470300028</v>
      </c>
      <c r="D195" s="50">
        <v>5310.7425719669054</v>
      </c>
      <c r="E195" s="50">
        <v>2483.8864750630969</v>
      </c>
      <c r="F195" s="50"/>
      <c r="G195" s="50">
        <v>1863.3747562256112</v>
      </c>
      <c r="H195" s="50">
        <v>3007.5956342599879</v>
      </c>
      <c r="I195" s="50">
        <v>908.76048151286318</v>
      </c>
      <c r="J195" s="50">
        <v>1014.461738487405</v>
      </c>
      <c r="K195" s="50">
        <v>494.58311418713203</v>
      </c>
      <c r="L195" s="50">
        <v>505.85332235700309</v>
      </c>
      <c r="M195" s="50">
        <v>0</v>
      </c>
    </row>
    <row r="196" spans="1:13">
      <c r="A196" s="39" t="s">
        <v>304</v>
      </c>
      <c r="B196" s="50">
        <v>96362.699964412881</v>
      </c>
      <c r="D196" s="50">
        <v>15814.863466089068</v>
      </c>
      <c r="E196" s="50">
        <v>79552.132334268797</v>
      </c>
      <c r="F196" s="50"/>
      <c r="G196" s="50">
        <v>8697.022753708181</v>
      </c>
      <c r="H196" s="50">
        <v>16574.985325783364</v>
      </c>
      <c r="I196" s="50">
        <v>20466.376711432949</v>
      </c>
      <c r="J196" s="50">
        <v>21980.481723916695</v>
      </c>
      <c r="K196" s="50">
        <v>14420.030806558414</v>
      </c>
      <c r="L196" s="50">
        <v>8892.4194623640142</v>
      </c>
      <c r="M196" s="50">
        <v>5331.3831806492417</v>
      </c>
    </row>
    <row r="197" spans="1:13">
      <c r="A197" s="39" t="s">
        <v>305</v>
      </c>
      <c r="B197" s="50">
        <v>65024.818362450525</v>
      </c>
      <c r="D197" s="50">
        <v>46415.308238361686</v>
      </c>
      <c r="E197" s="50">
        <v>17624.973294733893</v>
      </c>
      <c r="F197" s="50"/>
      <c r="G197" s="50">
        <v>12466.731890383659</v>
      </c>
      <c r="H197" s="50">
        <v>18154.592918990777</v>
      </c>
      <c r="I197" s="50">
        <v>21564.273270749731</v>
      </c>
      <c r="J197" s="50">
        <v>9187.5481744394292</v>
      </c>
      <c r="K197" s="50">
        <v>3178.999139760193</v>
      </c>
      <c r="L197" s="50">
        <v>472.67296812674823</v>
      </c>
      <c r="M197" s="50">
        <v>0</v>
      </c>
    </row>
    <row r="198" spans="1:13">
      <c r="A198" s="39" t="s">
        <v>306</v>
      </c>
      <c r="B198" s="50">
        <v>10566.220059161093</v>
      </c>
      <c r="D198" s="50">
        <v>8697.8715530324516</v>
      </c>
      <c r="E198" s="50">
        <v>1868.348506128641</v>
      </c>
      <c r="F198" s="50"/>
      <c r="G198" s="50">
        <v>3248.6718981049639</v>
      </c>
      <c r="H198" s="50">
        <v>504.3665108614469</v>
      </c>
      <c r="I198" s="50">
        <v>2593.1476021225626</v>
      </c>
      <c r="J198" s="50">
        <v>1185.7446541882018</v>
      </c>
      <c r="K198" s="50">
        <v>1588.9497842177916</v>
      </c>
      <c r="L198" s="50">
        <v>1051.8848757493242</v>
      </c>
      <c r="M198" s="50">
        <v>393.45473391680088</v>
      </c>
    </row>
    <row r="199" spans="1:13">
      <c r="A199" s="39" t="s">
        <v>307</v>
      </c>
      <c r="B199" s="50">
        <v>245329.04503800924</v>
      </c>
      <c r="D199" s="50">
        <v>184731.75487731432</v>
      </c>
      <c r="E199" s="50">
        <v>60597.290160694603</v>
      </c>
      <c r="F199" s="50"/>
      <c r="G199" s="50">
        <v>2613.5779016100864</v>
      </c>
      <c r="H199" s="50">
        <v>10908.183142736625</v>
      </c>
      <c r="I199" s="50">
        <v>47217.489427107575</v>
      </c>
      <c r="J199" s="50">
        <v>43188.832830931045</v>
      </c>
      <c r="K199" s="50">
        <v>46034.480130050382</v>
      </c>
      <c r="L199" s="50">
        <v>42390.752565576375</v>
      </c>
      <c r="M199" s="50">
        <v>52975.729039996782</v>
      </c>
    </row>
    <row r="200" spans="1:13">
      <c r="A200" s="39" t="s">
        <v>308</v>
      </c>
      <c r="B200" s="50">
        <v>6421651.1073382897</v>
      </c>
      <c r="D200" s="50">
        <v>3026437.3174032285</v>
      </c>
      <c r="E200" s="50">
        <v>3355592.3168253764</v>
      </c>
      <c r="F200" s="50"/>
      <c r="G200" s="50">
        <v>298608.60560829903</v>
      </c>
      <c r="H200" s="50">
        <v>947265.21140684246</v>
      </c>
      <c r="I200" s="50">
        <v>1468516.7739367939</v>
      </c>
      <c r="J200" s="50">
        <v>1152352.5031011505</v>
      </c>
      <c r="K200" s="50">
        <v>897613.49284648069</v>
      </c>
      <c r="L200" s="50">
        <v>719263.12997656048</v>
      </c>
      <c r="M200" s="50">
        <v>938031.39046201739</v>
      </c>
    </row>
    <row r="201" spans="1:13">
      <c r="A201" s="39" t="s">
        <v>309</v>
      </c>
      <c r="B201" s="50">
        <v>1997.2622126354672</v>
      </c>
      <c r="D201" s="50">
        <v>1036.6724140186952</v>
      </c>
      <c r="E201" s="50">
        <v>960.58979861677199</v>
      </c>
      <c r="F201" s="50"/>
      <c r="G201" s="50">
        <v>0</v>
      </c>
      <c r="H201" s="50">
        <v>1062.8962868847912</v>
      </c>
      <c r="I201" s="50">
        <v>413.29337127720993</v>
      </c>
      <c r="J201" s="50">
        <v>0</v>
      </c>
      <c r="K201" s="50">
        <v>521.07255447346631</v>
      </c>
      <c r="L201" s="50">
        <v>0</v>
      </c>
      <c r="M201" s="50">
        <v>0</v>
      </c>
    </row>
    <row r="202" spans="1:13">
      <c r="A202" s="39" t="s">
        <v>310</v>
      </c>
      <c r="B202" s="50">
        <v>55825.67020391862</v>
      </c>
      <c r="D202" s="50">
        <v>40497.924719902279</v>
      </c>
      <c r="E202" s="50">
        <v>13604.817669424745</v>
      </c>
      <c r="F202" s="50"/>
      <c r="G202" s="50">
        <v>9709.7306075321267</v>
      </c>
      <c r="H202" s="50">
        <v>12758.318316714369</v>
      </c>
      <c r="I202" s="50">
        <v>18051.370142809312</v>
      </c>
      <c r="J202" s="50">
        <v>7145.7274349795407</v>
      </c>
      <c r="K202" s="50">
        <v>4712.9690406755435</v>
      </c>
      <c r="L202" s="50">
        <v>2766.0541617520412</v>
      </c>
      <c r="M202" s="50">
        <v>681.50049945571675</v>
      </c>
    </row>
    <row r="203" spans="1:13">
      <c r="A203" s="39" t="s">
        <v>311</v>
      </c>
      <c r="B203" s="50">
        <v>1232725.5809699653</v>
      </c>
      <c r="D203" s="50">
        <v>960781.46838375623</v>
      </c>
      <c r="E203" s="50">
        <v>263248.24346488173</v>
      </c>
      <c r="F203" s="50"/>
      <c r="G203" s="50">
        <v>179879.36339534633</v>
      </c>
      <c r="H203" s="50">
        <v>334140.37161937321</v>
      </c>
      <c r="I203" s="50">
        <v>330170.99465719203</v>
      </c>
      <c r="J203" s="50">
        <v>234529.69062613806</v>
      </c>
      <c r="K203" s="50">
        <v>118571.79385272817</v>
      </c>
      <c r="L203" s="50">
        <v>28252.977693195084</v>
      </c>
      <c r="M203" s="50">
        <v>7180.389125993147</v>
      </c>
    </row>
    <row r="204" spans="1:13">
      <c r="A204" s="39" t="s">
        <v>312</v>
      </c>
      <c r="B204" s="50">
        <v>10271.605761349289</v>
      </c>
      <c r="D204" s="50">
        <v>7871.1116182846836</v>
      </c>
      <c r="E204" s="50">
        <v>2400.4941430646072</v>
      </c>
      <c r="F204" s="50"/>
      <c r="G204" s="50">
        <v>1830.0463327813425</v>
      </c>
      <c r="H204" s="50">
        <v>1338.2064716452483</v>
      </c>
      <c r="I204" s="50">
        <v>3493.6287620768221</v>
      </c>
      <c r="J204" s="50">
        <v>2170.5516213908049</v>
      </c>
      <c r="K204" s="50">
        <v>1055.7579732908443</v>
      </c>
      <c r="L204" s="50">
        <v>0</v>
      </c>
      <c r="M204" s="50">
        <v>383.41460016422946</v>
      </c>
    </row>
    <row r="205" spans="1:13">
      <c r="A205" s="39" t="s">
        <v>313</v>
      </c>
      <c r="B205" s="50">
        <v>5206.0243955574751</v>
      </c>
      <c r="D205" s="50">
        <v>3074.5313206179435</v>
      </c>
      <c r="E205" s="50">
        <v>2131.4930749395317</v>
      </c>
      <c r="F205" s="50"/>
      <c r="G205" s="50">
        <v>0</v>
      </c>
      <c r="H205" s="50">
        <v>561.62354308451825</v>
      </c>
      <c r="I205" s="50">
        <v>2042.2038532471715</v>
      </c>
      <c r="J205" s="50">
        <v>1253.0497026533446</v>
      </c>
      <c r="K205" s="50">
        <v>1062.8611964212623</v>
      </c>
      <c r="L205" s="50">
        <v>286.28610015117852</v>
      </c>
      <c r="M205" s="50">
        <v>0</v>
      </c>
    </row>
    <row r="206" spans="1:13">
      <c r="A206" s="39" t="s">
        <v>314</v>
      </c>
      <c r="B206" s="50">
        <v>958.22246922487625</v>
      </c>
      <c r="D206" s="50">
        <v>0</v>
      </c>
      <c r="E206" s="50">
        <v>958.22246922487625</v>
      </c>
      <c r="F206" s="50"/>
      <c r="G206" s="50">
        <v>0</v>
      </c>
      <c r="H206" s="50">
        <v>0</v>
      </c>
      <c r="I206" s="50">
        <v>413.29337127720993</v>
      </c>
      <c r="J206" s="50">
        <v>544.92909794766626</v>
      </c>
      <c r="K206" s="50">
        <v>0</v>
      </c>
      <c r="L206" s="50">
        <v>0</v>
      </c>
      <c r="M206" s="50">
        <v>0</v>
      </c>
    </row>
    <row r="207" spans="1:13">
      <c r="A207" s="39" t="s">
        <v>315</v>
      </c>
      <c r="B207" s="50">
        <v>955723.54811767663</v>
      </c>
      <c r="D207" s="50">
        <v>763527.12041247811</v>
      </c>
      <c r="E207" s="50">
        <v>190761.67119006772</v>
      </c>
      <c r="F207" s="50"/>
      <c r="G207" s="50">
        <v>15335.698243020783</v>
      </c>
      <c r="H207" s="50">
        <v>68382.752999768898</v>
      </c>
      <c r="I207" s="50">
        <v>128169.98132571336</v>
      </c>
      <c r="J207" s="50">
        <v>121636.70268617327</v>
      </c>
      <c r="K207" s="50">
        <v>159323.14238997863</v>
      </c>
      <c r="L207" s="50">
        <v>188116.22040429179</v>
      </c>
      <c r="M207" s="50">
        <v>274759.05006872874</v>
      </c>
    </row>
    <row r="208" spans="1:13">
      <c r="A208" s="39" t="s">
        <v>316</v>
      </c>
      <c r="B208" s="50">
        <v>9699.3553729359992</v>
      </c>
      <c r="D208" s="50">
        <v>6933.7680478335305</v>
      </c>
      <c r="E208" s="50">
        <v>2765.5873251024659</v>
      </c>
      <c r="F208" s="50"/>
      <c r="G208" s="50">
        <v>2039.0867647018965</v>
      </c>
      <c r="H208" s="50">
        <v>2360.8347383126093</v>
      </c>
      <c r="I208" s="50">
        <v>4754.504771973825</v>
      </c>
      <c r="J208" s="50">
        <v>544.92909794766626</v>
      </c>
      <c r="K208" s="50">
        <v>0</v>
      </c>
      <c r="L208" s="50">
        <v>0</v>
      </c>
      <c r="M208" s="50">
        <v>0</v>
      </c>
    </row>
    <row r="209" spans="1:13">
      <c r="A209" s="39" t="s">
        <v>317</v>
      </c>
      <c r="B209" s="50">
        <v>1984.6544752827501</v>
      </c>
      <c r="D209" s="50">
        <v>1102.5919382039888</v>
      </c>
      <c r="E209" s="50">
        <v>882.06253707876112</v>
      </c>
      <c r="F209" s="50"/>
      <c r="G209" s="50">
        <v>0</v>
      </c>
      <c r="H209" s="50">
        <v>888.77952125703882</v>
      </c>
      <c r="I209" s="50">
        <v>537.15428063520699</v>
      </c>
      <c r="J209" s="50">
        <v>558.7206733905042</v>
      </c>
      <c r="K209" s="50">
        <v>0</v>
      </c>
      <c r="L209" s="50">
        <v>0</v>
      </c>
      <c r="M209" s="50">
        <v>0</v>
      </c>
    </row>
    <row r="210" spans="1:13">
      <c r="A210" s="39" t="s">
        <v>318</v>
      </c>
      <c r="B210" s="50">
        <v>114944.63329127376</v>
      </c>
      <c r="D210" s="50">
        <v>48536.808299781405</v>
      </c>
      <c r="E210" s="50">
        <v>65005.231712905879</v>
      </c>
      <c r="F210" s="50"/>
      <c r="G210" s="50">
        <v>9704.4692897189161</v>
      </c>
      <c r="H210" s="50">
        <v>32171.820420056654</v>
      </c>
      <c r="I210" s="50">
        <v>25129.040609848391</v>
      </c>
      <c r="J210" s="50">
        <v>24139.106591864387</v>
      </c>
      <c r="K210" s="50">
        <v>17661.073092959767</v>
      </c>
      <c r="L210" s="50">
        <v>4250.406772376311</v>
      </c>
      <c r="M210" s="50">
        <v>1888.7165144494043</v>
      </c>
    </row>
    <row r="211" spans="1:13">
      <c r="A211" s="39" t="s">
        <v>319</v>
      </c>
      <c r="B211" s="50">
        <v>31041.753244600644</v>
      </c>
      <c r="D211" s="50">
        <v>21606.046072140703</v>
      </c>
      <c r="E211" s="50">
        <v>9435.7071724599409</v>
      </c>
      <c r="F211" s="50"/>
      <c r="G211" s="50">
        <v>13489.533946793299</v>
      </c>
      <c r="H211" s="50">
        <v>6407.5930435772189</v>
      </c>
      <c r="I211" s="50">
        <v>4560.0317837679167</v>
      </c>
      <c r="J211" s="50">
        <v>2940.8954423212954</v>
      </c>
      <c r="K211" s="50">
        <v>3281.9247429834295</v>
      </c>
      <c r="L211" s="50">
        <v>0</v>
      </c>
      <c r="M211" s="50">
        <v>361.77428515748153</v>
      </c>
    </row>
    <row r="212" spans="1:13">
      <c r="A212" s="39" t="s">
        <v>320</v>
      </c>
      <c r="B212" s="50">
        <v>4490.1560100144661</v>
      </c>
      <c r="D212" s="50">
        <v>1973.6992421573018</v>
      </c>
      <c r="E212" s="50">
        <v>2516.4567678571639</v>
      </c>
      <c r="F212" s="50"/>
      <c r="G212" s="50">
        <v>0</v>
      </c>
      <c r="H212" s="50">
        <v>517.51965714389655</v>
      </c>
      <c r="I212" s="50">
        <v>1483.1513479968773</v>
      </c>
      <c r="J212" s="50">
        <v>608.18497323640133</v>
      </c>
      <c r="K212" s="50">
        <v>1491.5430455934913</v>
      </c>
      <c r="L212" s="50">
        <v>0</v>
      </c>
      <c r="M212" s="50">
        <v>389.75698604379943</v>
      </c>
    </row>
    <row r="213" spans="1:13">
      <c r="A213" s="39" t="s">
        <v>321</v>
      </c>
      <c r="B213" s="50">
        <v>113275.7392912225</v>
      </c>
      <c r="D213" s="50">
        <v>58207.060327183761</v>
      </c>
      <c r="E213" s="50">
        <v>55068.678964038743</v>
      </c>
      <c r="F213" s="50"/>
      <c r="G213" s="50">
        <v>18513.675810867186</v>
      </c>
      <c r="H213" s="50">
        <v>24480.515814338582</v>
      </c>
      <c r="I213" s="50">
        <v>25862.858237278728</v>
      </c>
      <c r="J213" s="50">
        <v>18952.849719019054</v>
      </c>
      <c r="K213" s="50">
        <v>13773.618713239894</v>
      </c>
      <c r="L213" s="50">
        <v>5403.8831530961843</v>
      </c>
      <c r="M213" s="50">
        <v>6288.3378433829103</v>
      </c>
    </row>
    <row r="214" spans="1:13">
      <c r="A214" s="39" t="s">
        <v>322</v>
      </c>
      <c r="B214" s="50">
        <v>9773.805998920323</v>
      </c>
      <c r="D214" s="50">
        <v>7478.4396441553627</v>
      </c>
      <c r="E214" s="50">
        <v>2295.3663547649608</v>
      </c>
      <c r="F214" s="50"/>
      <c r="G214" s="50">
        <v>0</v>
      </c>
      <c r="H214" s="50">
        <v>1346.7463872721673</v>
      </c>
      <c r="I214" s="50">
        <v>2673.4197064038149</v>
      </c>
      <c r="J214" s="50">
        <v>3336.4961172204307</v>
      </c>
      <c r="K214" s="50">
        <v>1521.5334796231075</v>
      </c>
      <c r="L214" s="50">
        <v>505.85332235700309</v>
      </c>
      <c r="M214" s="50">
        <v>389.75698604379943</v>
      </c>
    </row>
    <row r="215" spans="1:13">
      <c r="A215" s="39" t="s">
        <v>323</v>
      </c>
      <c r="B215" s="50">
        <v>13449.026316339812</v>
      </c>
      <c r="D215" s="50">
        <v>9695.0195550390545</v>
      </c>
      <c r="E215" s="50">
        <v>2197.1342752402652</v>
      </c>
      <c r="F215" s="50"/>
      <c r="G215" s="50">
        <v>1078.4601537032231</v>
      </c>
      <c r="H215" s="50">
        <v>2419.7086086847194</v>
      </c>
      <c r="I215" s="50">
        <v>3386.9191078234039</v>
      </c>
      <c r="J215" s="50">
        <v>4057.8574790798093</v>
      </c>
      <c r="K215" s="50">
        <v>1521.7587071314922</v>
      </c>
      <c r="L215" s="50">
        <v>505.85332235700309</v>
      </c>
      <c r="M215" s="50">
        <v>478.46893756016306</v>
      </c>
    </row>
    <row r="216" spans="1:13">
      <c r="A216" s="39" t="s">
        <v>324</v>
      </c>
      <c r="B216" s="50">
        <v>2049.9799171683808</v>
      </c>
      <c r="D216" s="50">
        <v>555.15643518559091</v>
      </c>
      <c r="E216" s="50">
        <v>1494.8234819827896</v>
      </c>
      <c r="F216" s="50"/>
      <c r="G216" s="50">
        <v>0</v>
      </c>
      <c r="H216" s="50">
        <v>440.46104813620406</v>
      </c>
      <c r="I216" s="50">
        <v>555.15643518559091</v>
      </c>
      <c r="J216" s="50">
        <v>1054.3624338465856</v>
      </c>
      <c r="K216" s="50">
        <v>0</v>
      </c>
      <c r="L216" s="50">
        <v>0</v>
      </c>
      <c r="M216" s="50">
        <v>0</v>
      </c>
    </row>
    <row r="217" spans="1:13">
      <c r="A217" s="39" t="s">
        <v>325</v>
      </c>
      <c r="B217" s="50">
        <v>43732.894621024316</v>
      </c>
      <c r="D217" s="50">
        <v>16405.118129005386</v>
      </c>
      <c r="E217" s="50">
        <v>26955.859913997399</v>
      </c>
      <c r="F217" s="50"/>
      <c r="G217" s="50">
        <v>9641.6595698494748</v>
      </c>
      <c r="H217" s="50">
        <v>9171.0466260613139</v>
      </c>
      <c r="I217" s="50">
        <v>8448.9974064310045</v>
      </c>
      <c r="J217" s="50">
        <v>6547.5651236473113</v>
      </c>
      <c r="K217" s="50">
        <v>7377.3318308612515</v>
      </c>
      <c r="L217" s="50">
        <v>2194.7258194609508</v>
      </c>
      <c r="M217" s="50">
        <v>351.56824471300587</v>
      </c>
    </row>
    <row r="218" spans="1:13">
      <c r="A218" s="39" t="s">
        <v>326</v>
      </c>
      <c r="B218" s="50">
        <v>26538.97964525827</v>
      </c>
      <c r="D218" s="50">
        <v>12159.378089220123</v>
      </c>
      <c r="E218" s="50">
        <v>14379.601556038153</v>
      </c>
      <c r="F218" s="50"/>
      <c r="G218" s="50">
        <v>5769.8410688030299</v>
      </c>
      <c r="H218" s="50">
        <v>4254.8084577291547</v>
      </c>
      <c r="I218" s="50">
        <v>4769.3730076792672</v>
      </c>
      <c r="J218" s="50">
        <v>3222.5733844417173</v>
      </c>
      <c r="K218" s="50">
        <v>4978.0241842525747</v>
      </c>
      <c r="L218" s="50">
        <v>2820.9699169516421</v>
      </c>
      <c r="M218" s="50">
        <v>723.38962540088846</v>
      </c>
    </row>
    <row r="219" spans="1:13">
      <c r="A219" s="39" t="s">
        <v>327</v>
      </c>
      <c r="B219" s="50">
        <v>5848.462858231851</v>
      </c>
      <c r="D219" s="50">
        <v>4972.2775941514146</v>
      </c>
      <c r="E219" s="50">
        <v>876.18526408043613</v>
      </c>
      <c r="F219" s="50"/>
      <c r="G219" s="50">
        <v>0</v>
      </c>
      <c r="H219" s="50">
        <v>2130.1409920222509</v>
      </c>
      <c r="I219" s="50">
        <v>1578.9958097531978</v>
      </c>
      <c r="J219" s="50">
        <v>441.95335711264966</v>
      </c>
      <c r="K219" s="50">
        <v>460.28057644667126</v>
      </c>
      <c r="L219" s="50">
        <v>0</v>
      </c>
      <c r="M219" s="50">
        <v>1237.0921228970817</v>
      </c>
    </row>
    <row r="220" spans="1:13">
      <c r="A220" s="39" t="s">
        <v>328</v>
      </c>
      <c r="B220" s="50">
        <v>41075.38253509959</v>
      </c>
      <c r="D220" s="50">
        <v>32439.323265236122</v>
      </c>
      <c r="E220" s="50">
        <v>8636.0592698634809</v>
      </c>
      <c r="F220" s="50"/>
      <c r="G220" s="50">
        <v>3770.1576062664299</v>
      </c>
      <c r="H220" s="50">
        <v>7571.5214404856242</v>
      </c>
      <c r="I220" s="50">
        <v>14255.673563355851</v>
      </c>
      <c r="J220" s="50">
        <v>7657.1602855153915</v>
      </c>
      <c r="K220" s="50">
        <v>5684.9416159368229</v>
      </c>
      <c r="L220" s="50">
        <v>1318.685830020961</v>
      </c>
      <c r="M220" s="50">
        <v>817.24219351851684</v>
      </c>
    </row>
    <row r="221" spans="1:13">
      <c r="A221" s="39" t="s">
        <v>329</v>
      </c>
      <c r="B221" s="50">
        <v>51812.86410455445</v>
      </c>
      <c r="D221" s="50">
        <v>27793.254125870146</v>
      </c>
      <c r="E221" s="50">
        <v>24019.609978684315</v>
      </c>
      <c r="F221" s="50"/>
      <c r="G221" s="50">
        <v>6623.4381912204008</v>
      </c>
      <c r="H221" s="50">
        <v>9005.2220554814667</v>
      </c>
      <c r="I221" s="50">
        <v>9280.8590566149524</v>
      </c>
      <c r="J221" s="50">
        <v>9378.4976074818496</v>
      </c>
      <c r="K221" s="50">
        <v>12726.238650536639</v>
      </c>
      <c r="L221" s="50">
        <v>3223.8605598385338</v>
      </c>
      <c r="M221" s="50">
        <v>1574.7479833806169</v>
      </c>
    </row>
    <row r="222" spans="1:13">
      <c r="A222" s="39" t="s">
        <v>330</v>
      </c>
      <c r="B222" s="50">
        <v>4420.8106663425306</v>
      </c>
      <c r="D222" s="50">
        <v>4420.8106663425306</v>
      </c>
      <c r="E222" s="50">
        <v>0</v>
      </c>
      <c r="F222" s="50"/>
      <c r="G222" s="50">
        <v>1937.6722669688957</v>
      </c>
      <c r="H222" s="50">
        <v>0</v>
      </c>
      <c r="I222" s="50">
        <v>1396.4812826808006</v>
      </c>
      <c r="J222" s="50">
        <v>542.36925432041187</v>
      </c>
      <c r="K222" s="50">
        <v>544.28786237242196</v>
      </c>
      <c r="L222" s="50">
        <v>0</v>
      </c>
      <c r="M222" s="50">
        <v>0</v>
      </c>
    </row>
    <row r="223" spans="1:13">
      <c r="A223" s="39" t="s">
        <v>331</v>
      </c>
      <c r="B223" s="50">
        <v>3107.8353682486695</v>
      </c>
      <c r="D223" s="50">
        <v>3107.8353682486695</v>
      </c>
      <c r="E223" s="50">
        <v>0</v>
      </c>
      <c r="F223" s="50"/>
      <c r="G223" s="50">
        <v>0</v>
      </c>
      <c r="H223" s="50">
        <v>549.67885938044378</v>
      </c>
      <c r="I223" s="50">
        <v>1094.3995868011975</v>
      </c>
      <c r="J223" s="50">
        <v>0</v>
      </c>
      <c r="K223" s="50">
        <v>546.68149911002797</v>
      </c>
      <c r="L223" s="50">
        <v>917.07542295700023</v>
      </c>
      <c r="M223" s="50">
        <v>0</v>
      </c>
    </row>
    <row r="224" spans="1:13">
      <c r="A224" s="39" t="s">
        <v>332</v>
      </c>
      <c r="B224" s="50">
        <v>0</v>
      </c>
      <c r="D224" s="50">
        <v>0</v>
      </c>
      <c r="E224" s="50">
        <v>0</v>
      </c>
      <c r="F224" s="50"/>
      <c r="G224" s="50">
        <v>0</v>
      </c>
      <c r="H224" s="50">
        <v>0</v>
      </c>
      <c r="I224" s="50">
        <v>0</v>
      </c>
      <c r="J224" s="50">
        <v>0</v>
      </c>
      <c r="K224" s="50">
        <v>0</v>
      </c>
      <c r="L224" s="50">
        <v>0</v>
      </c>
      <c r="M224" s="50">
        <v>0</v>
      </c>
    </row>
    <row r="225" spans="1:13">
      <c r="A225" s="39" t="s">
        <v>333</v>
      </c>
      <c r="B225" s="50">
        <v>3134.4166267510473</v>
      </c>
      <c r="D225" s="50">
        <v>2252.4175970018841</v>
      </c>
      <c r="E225" s="50">
        <v>881.99902974916267</v>
      </c>
      <c r="F225" s="50"/>
      <c r="G225" s="50">
        <v>0</v>
      </c>
      <c r="H225" s="50">
        <v>0</v>
      </c>
      <c r="I225" s="50">
        <v>1356.2559277940941</v>
      </c>
      <c r="J225" s="50">
        <v>495.30330642871536</v>
      </c>
      <c r="K225" s="50">
        <v>589.89094165229915</v>
      </c>
      <c r="L225" s="50">
        <v>0</v>
      </c>
      <c r="M225" s="50">
        <v>692.96645087593822</v>
      </c>
    </row>
    <row r="226" spans="1:13">
      <c r="A226" s="39" t="s">
        <v>334</v>
      </c>
      <c r="B226" s="50">
        <v>9399.6154332346323</v>
      </c>
      <c r="D226" s="50">
        <v>4509.5463864019157</v>
      </c>
      <c r="E226" s="50">
        <v>4244.6841838495729</v>
      </c>
      <c r="F226" s="50"/>
      <c r="G226" s="50">
        <v>1244.3068106912226</v>
      </c>
      <c r="H226" s="50">
        <v>4346.5361976682971</v>
      </c>
      <c r="I226" s="50">
        <v>0</v>
      </c>
      <c r="J226" s="50">
        <v>2768.2844233395499</v>
      </c>
      <c r="K226" s="50">
        <v>1040.4880015355625</v>
      </c>
      <c r="L226" s="50">
        <v>0</v>
      </c>
      <c r="M226" s="50">
        <v>0</v>
      </c>
    </row>
    <row r="227" spans="1:13">
      <c r="A227" s="39" t="s">
        <v>335</v>
      </c>
      <c r="B227" s="50">
        <v>1042.9792853428203</v>
      </c>
      <c r="D227" s="50">
        <v>506.20422209071717</v>
      </c>
      <c r="E227" s="50">
        <v>536.77506325210322</v>
      </c>
      <c r="F227" s="50"/>
      <c r="G227" s="50">
        <v>0</v>
      </c>
      <c r="H227" s="50">
        <v>0</v>
      </c>
      <c r="I227" s="50">
        <v>506.20422209071717</v>
      </c>
      <c r="J227" s="50">
        <v>536.77506325210322</v>
      </c>
      <c r="K227" s="50">
        <v>0</v>
      </c>
      <c r="L227" s="50">
        <v>0</v>
      </c>
      <c r="M227" s="50">
        <v>0</v>
      </c>
    </row>
    <row r="228" spans="1:13">
      <c r="A228" s="39" t="s">
        <v>336</v>
      </c>
      <c r="B228" s="50">
        <v>23638.729642119186</v>
      </c>
      <c r="D228" s="50">
        <v>16674.04730147326</v>
      </c>
      <c r="E228" s="50">
        <v>6964.6823406459289</v>
      </c>
      <c r="F228" s="50"/>
      <c r="G228" s="50">
        <v>3106.5337273493114</v>
      </c>
      <c r="H228" s="50">
        <v>1525.7596266178584</v>
      </c>
      <c r="I228" s="50">
        <v>3620.1324253643752</v>
      </c>
      <c r="J228" s="50">
        <v>2675.9593598676151</v>
      </c>
      <c r="K228" s="50">
        <v>7513.9302577457984</v>
      </c>
      <c r="L228" s="50">
        <v>2849.2660700688593</v>
      </c>
      <c r="M228" s="50">
        <v>2347.1481751053716</v>
      </c>
    </row>
    <row r="229" spans="1:13">
      <c r="A229" s="39" t="s">
        <v>337</v>
      </c>
      <c r="B229" s="50">
        <v>2107.246522666499</v>
      </c>
      <c r="D229" s="50">
        <v>976.56779878101281</v>
      </c>
      <c r="E229" s="50">
        <v>1130.6787238854863</v>
      </c>
      <c r="F229" s="50"/>
      <c r="G229" s="50">
        <v>0</v>
      </c>
      <c r="H229" s="50">
        <v>0</v>
      </c>
      <c r="I229" s="50">
        <v>506.20422209071717</v>
      </c>
      <c r="J229" s="50">
        <v>536.77506325210322</v>
      </c>
      <c r="K229" s="50">
        <v>1064.2672373236787</v>
      </c>
      <c r="L229" s="50">
        <v>0</v>
      </c>
      <c r="M229" s="50">
        <v>0</v>
      </c>
    </row>
    <row r="230" spans="1:13">
      <c r="A230" s="39" t="s">
        <v>338</v>
      </c>
      <c r="B230" s="50">
        <v>1283.8113953631364</v>
      </c>
      <c r="D230" s="50">
        <v>489.72186290326317</v>
      </c>
      <c r="E230" s="50">
        <v>794.08953245987323</v>
      </c>
      <c r="F230" s="50"/>
      <c r="G230" s="50">
        <v>0</v>
      </c>
      <c r="H230" s="50">
        <v>0</v>
      </c>
      <c r="I230" s="50">
        <v>0</v>
      </c>
      <c r="J230" s="50">
        <v>489.72186290326317</v>
      </c>
      <c r="K230" s="50">
        <v>460.28057644667126</v>
      </c>
      <c r="L230" s="50">
        <v>333.80895601320196</v>
      </c>
      <c r="M230" s="50">
        <v>0</v>
      </c>
    </row>
    <row r="231" spans="1:13">
      <c r="A231" s="39" t="s">
        <v>339</v>
      </c>
      <c r="B231" s="50">
        <v>141080.03170818527</v>
      </c>
      <c r="D231" s="50">
        <v>50616.041400862538</v>
      </c>
      <c r="E231" s="50">
        <v>90463.990307322645</v>
      </c>
      <c r="F231" s="50"/>
      <c r="G231" s="50">
        <v>5232.5912704326802</v>
      </c>
      <c r="H231" s="50">
        <v>9621.5958332497685</v>
      </c>
      <c r="I231" s="50">
        <v>18535.586663988826</v>
      </c>
      <c r="J231" s="50">
        <v>15174.30340893066</v>
      </c>
      <c r="K231" s="50">
        <v>12449.423542826276</v>
      </c>
      <c r="L231" s="50">
        <v>19442.41933935944</v>
      </c>
      <c r="M231" s="50">
        <v>60624.11164939763</v>
      </c>
    </row>
    <row r="232" spans="1:13">
      <c r="A232" s="39" t="s">
        <v>340</v>
      </c>
      <c r="B232" s="50">
        <v>20606.9752296999</v>
      </c>
      <c r="D232" s="50">
        <v>15331.282404228379</v>
      </c>
      <c r="E232" s="50">
        <v>5275.6928254715194</v>
      </c>
      <c r="F232" s="50"/>
      <c r="G232" s="50">
        <v>2111.5783171189696</v>
      </c>
      <c r="H232" s="50">
        <v>4762.7409256197743</v>
      </c>
      <c r="I232" s="50">
        <v>7571.0121439149016</v>
      </c>
      <c r="J232" s="50">
        <v>5142.49038930595</v>
      </c>
      <c r="K232" s="50">
        <v>602.63741915133642</v>
      </c>
      <c r="L232" s="50">
        <v>0</v>
      </c>
      <c r="M232" s="50">
        <v>416.51603458896682</v>
      </c>
    </row>
    <row r="233" spans="1:13">
      <c r="A233" s="39" t="s">
        <v>341</v>
      </c>
      <c r="B233" s="50">
        <v>1111.0331367058191</v>
      </c>
      <c r="D233" s="50">
        <v>1111.0331367058191</v>
      </c>
      <c r="E233" s="50">
        <v>0</v>
      </c>
      <c r="F233" s="50"/>
      <c r="G233" s="50">
        <v>0</v>
      </c>
      <c r="H233" s="50">
        <v>498.64023262672509</v>
      </c>
      <c r="I233" s="50">
        <v>0</v>
      </c>
      <c r="J233" s="50">
        <v>612.39290407909402</v>
      </c>
      <c r="K233" s="50">
        <v>0</v>
      </c>
      <c r="L233" s="50">
        <v>0</v>
      </c>
      <c r="M233" s="50">
        <v>0</v>
      </c>
    </row>
    <row r="234" spans="1:13">
      <c r="A234" s="39" t="s">
        <v>342</v>
      </c>
      <c r="B234" s="50">
        <v>235463.29257996997</v>
      </c>
      <c r="D234" s="50">
        <v>167406.45487606718</v>
      </c>
      <c r="E234" s="50">
        <v>66521.873301147702</v>
      </c>
      <c r="F234" s="50"/>
      <c r="G234" s="50">
        <v>25847.007257218836</v>
      </c>
      <c r="H234" s="50">
        <v>33515.509428589437</v>
      </c>
      <c r="I234" s="50">
        <v>55684.890734511035</v>
      </c>
      <c r="J234" s="50">
        <v>46462.886462835922</v>
      </c>
      <c r="K234" s="50">
        <v>32908.896533735664</v>
      </c>
      <c r="L234" s="50">
        <v>22545.465114471026</v>
      </c>
      <c r="M234" s="50">
        <v>18498.637048607576</v>
      </c>
    </row>
    <row r="235" spans="1:13">
      <c r="A235" s="39" t="s">
        <v>343</v>
      </c>
      <c r="B235" s="50">
        <v>64802.153446240191</v>
      </c>
      <c r="D235" s="50">
        <v>55417.828614094709</v>
      </c>
      <c r="E235" s="50">
        <v>8921.3550957992629</v>
      </c>
      <c r="F235" s="50"/>
      <c r="G235" s="50">
        <v>3642.581721029509</v>
      </c>
      <c r="H235" s="50">
        <v>14676.740609858225</v>
      </c>
      <c r="I235" s="50">
        <v>18251.277787250754</v>
      </c>
      <c r="J235" s="50">
        <v>13443.915995985417</v>
      </c>
      <c r="K235" s="50">
        <v>7084.7488100827559</v>
      </c>
      <c r="L235" s="50">
        <v>5421.6400165501527</v>
      </c>
      <c r="M235" s="50">
        <v>2281.2485054833769</v>
      </c>
    </row>
    <row r="236" spans="1:13">
      <c r="A236" s="39" t="s">
        <v>344</v>
      </c>
      <c r="B236" s="50">
        <v>158735.40690722733</v>
      </c>
      <c r="D236" s="50">
        <v>125716.39222680703</v>
      </c>
      <c r="E236" s="50">
        <v>29829.229142730725</v>
      </c>
      <c r="F236" s="50"/>
      <c r="G236" s="50">
        <v>20795.411521451031</v>
      </c>
      <c r="H236" s="50">
        <v>17144.269999961187</v>
      </c>
      <c r="I236" s="50">
        <v>19195.966087711418</v>
      </c>
      <c r="J236" s="50">
        <v>38064.022946258257</v>
      </c>
      <c r="K236" s="50">
        <v>39651.96302348403</v>
      </c>
      <c r="L236" s="50">
        <v>16537.565040207963</v>
      </c>
      <c r="M236" s="50">
        <v>7346.2082881532933</v>
      </c>
    </row>
    <row r="237" spans="1:13">
      <c r="A237" s="39" t="s">
        <v>345</v>
      </c>
      <c r="B237" s="50">
        <v>21686.597851784471</v>
      </c>
      <c r="D237" s="50">
        <v>16251.716691293699</v>
      </c>
      <c r="E237" s="50">
        <v>4921.5731148437708</v>
      </c>
      <c r="F237" s="50"/>
      <c r="G237" s="50">
        <v>0</v>
      </c>
      <c r="H237" s="50">
        <v>3616.3495768520943</v>
      </c>
      <c r="I237" s="50">
        <v>4842.0418254712749</v>
      </c>
      <c r="J237" s="50">
        <v>2685.9552556920248</v>
      </c>
      <c r="K237" s="50">
        <v>6671.8990223176952</v>
      </c>
      <c r="L237" s="50">
        <v>2212.5703265629481</v>
      </c>
      <c r="M237" s="50">
        <v>1657.7818448884266</v>
      </c>
    </row>
    <row r="238" spans="1:13">
      <c r="A238" s="39" t="s">
        <v>346</v>
      </c>
      <c r="B238" s="50">
        <v>20793.6690578009</v>
      </c>
      <c r="D238" s="50">
        <v>10641.315081547733</v>
      </c>
      <c r="E238" s="50">
        <v>9601.2374287256825</v>
      </c>
      <c r="F238" s="50"/>
      <c r="G238" s="50">
        <v>0</v>
      </c>
      <c r="H238" s="50">
        <v>5484.6535377169703</v>
      </c>
      <c r="I238" s="50">
        <v>5946.5773222111875</v>
      </c>
      <c r="J238" s="50">
        <v>7856.8070647147806</v>
      </c>
      <c r="K238" s="50">
        <v>544.28786237242196</v>
      </c>
      <c r="L238" s="50">
        <v>551.77520347807388</v>
      </c>
      <c r="M238" s="50">
        <v>409.56806730747547</v>
      </c>
    </row>
    <row r="239" spans="1:13">
      <c r="A239" s="39" t="s">
        <v>347</v>
      </c>
      <c r="B239" s="50">
        <v>442547.00065412925</v>
      </c>
      <c r="D239" s="50">
        <v>64904.654673538244</v>
      </c>
      <c r="E239" s="50">
        <v>374897.73940905492</v>
      </c>
      <c r="F239" s="50"/>
      <c r="G239" s="50">
        <v>79261.17389664393</v>
      </c>
      <c r="H239" s="50">
        <v>130513.76480043851</v>
      </c>
      <c r="I239" s="50">
        <v>119645.20746924775</v>
      </c>
      <c r="J239" s="50">
        <v>69897.072294583137</v>
      </c>
      <c r="K239" s="50">
        <v>33344.483365042775</v>
      </c>
      <c r="L239" s="50">
        <v>8174.9634904407167</v>
      </c>
      <c r="M239" s="50">
        <v>1710.3353377317487</v>
      </c>
    </row>
    <row r="240" spans="1:13">
      <c r="A240" s="39" t="s">
        <v>348</v>
      </c>
      <c r="B240" s="50">
        <v>9265.28544792514</v>
      </c>
      <c r="D240" s="50">
        <v>4680.3008586117812</v>
      </c>
      <c r="E240" s="50">
        <v>4584.9845893133588</v>
      </c>
      <c r="F240" s="50"/>
      <c r="G240" s="50">
        <v>0</v>
      </c>
      <c r="H240" s="50">
        <v>1717.6611273038891</v>
      </c>
      <c r="I240" s="50">
        <v>3293.1278428027645</v>
      </c>
      <c r="J240" s="50">
        <v>2034.0033677296428</v>
      </c>
      <c r="K240" s="50">
        <v>1851.0855556738982</v>
      </c>
      <c r="L240" s="50">
        <v>0</v>
      </c>
      <c r="M240" s="50">
        <v>369.40755441494565</v>
      </c>
    </row>
    <row r="241" spans="1:13">
      <c r="A241" s="39" t="s">
        <v>349</v>
      </c>
      <c r="B241" s="50">
        <v>6630.025270885676</v>
      </c>
      <c r="D241" s="50">
        <v>3643.869808507065</v>
      </c>
      <c r="E241" s="50">
        <v>2477.6352887608673</v>
      </c>
      <c r="F241" s="50"/>
      <c r="G241" s="50">
        <v>0</v>
      </c>
      <c r="H241" s="50">
        <v>502.35492203072522</v>
      </c>
      <c r="I241" s="50">
        <v>1010.8738519590547</v>
      </c>
      <c r="J241" s="50">
        <v>464.26500362986224</v>
      </c>
      <c r="K241" s="50">
        <v>1952.99739812183</v>
      </c>
      <c r="L241" s="50">
        <v>1946.0003411084986</v>
      </c>
      <c r="M241" s="50">
        <v>753.53375403570499</v>
      </c>
    </row>
    <row r="242" spans="1:13">
      <c r="A242" s="39" t="s">
        <v>350</v>
      </c>
      <c r="B242" s="50">
        <v>5956.8026573899688</v>
      </c>
      <c r="D242" s="50">
        <v>3916.026334618969</v>
      </c>
      <c r="E242" s="50">
        <v>2040.7763227710007</v>
      </c>
      <c r="F242" s="50"/>
      <c r="G242" s="50">
        <v>0</v>
      </c>
      <c r="H242" s="50">
        <v>0</v>
      </c>
      <c r="I242" s="50">
        <v>2481.3212230107956</v>
      </c>
      <c r="J242" s="50">
        <v>1114.2950639830183</v>
      </c>
      <c r="K242" s="50">
        <v>0</v>
      </c>
      <c r="L242" s="50">
        <v>1954.2409966620896</v>
      </c>
      <c r="M242" s="50">
        <v>406.9453737340661</v>
      </c>
    </row>
    <row r="243" spans="1:13">
      <c r="A243" s="39" t="s">
        <v>351</v>
      </c>
      <c r="B243" s="50">
        <v>58885.384717699068</v>
      </c>
      <c r="D243" s="50">
        <v>31821.881901617904</v>
      </c>
      <c r="E243" s="50">
        <v>27063.502816081189</v>
      </c>
      <c r="F243" s="50"/>
      <c r="G243" s="50">
        <v>1937.6722669688957</v>
      </c>
      <c r="H243" s="50">
        <v>25156.269143164103</v>
      </c>
      <c r="I243" s="50">
        <v>20490.648099471877</v>
      </c>
      <c r="J243" s="50">
        <v>8342.0300533199261</v>
      </c>
      <c r="K243" s="50">
        <v>2573.6452345186617</v>
      </c>
      <c r="L243" s="50">
        <v>0</v>
      </c>
      <c r="M243" s="50">
        <v>385.11992025562114</v>
      </c>
    </row>
    <row r="244" spans="1:13">
      <c r="A244" s="39" t="s">
        <v>352</v>
      </c>
      <c r="B244" s="50">
        <v>43358.315647420291</v>
      </c>
      <c r="D244" s="50">
        <v>20869.930443917481</v>
      </c>
      <c r="E244" s="50">
        <v>22488.385203502807</v>
      </c>
      <c r="F244" s="50"/>
      <c r="G244" s="50">
        <v>0</v>
      </c>
      <c r="H244" s="50">
        <v>2644.7854801751992</v>
      </c>
      <c r="I244" s="50">
        <v>10696.349716745726</v>
      </c>
      <c r="J244" s="50">
        <v>9133.5025408508773</v>
      </c>
      <c r="K244" s="50">
        <v>6904.397996441021</v>
      </c>
      <c r="L244" s="50">
        <v>6817.1264695959271</v>
      </c>
      <c r="M244" s="50">
        <v>7162.1534436115253</v>
      </c>
    </row>
    <row r="245" spans="1:13">
      <c r="A245" s="39" t="s">
        <v>353</v>
      </c>
      <c r="B245" s="50">
        <v>9665.2332787743435</v>
      </c>
      <c r="D245" s="50">
        <v>6862.1431621995234</v>
      </c>
      <c r="E245" s="50">
        <v>2260.7208622544076</v>
      </c>
      <c r="F245" s="50"/>
      <c r="G245" s="50">
        <v>0</v>
      </c>
      <c r="H245" s="50">
        <v>1460.7760279160598</v>
      </c>
      <c r="I245" s="50">
        <v>5521.495484837872</v>
      </c>
      <c r="J245" s="50">
        <v>1006.0960801607283</v>
      </c>
      <c r="K245" s="50">
        <v>1676.865685859681</v>
      </c>
      <c r="L245" s="50">
        <v>0</v>
      </c>
      <c r="M245" s="50">
        <v>0</v>
      </c>
    </row>
    <row r="246" spans="1:13">
      <c r="A246" s="39" t="s">
        <v>354</v>
      </c>
      <c r="B246" s="50">
        <v>6446.9553010251466</v>
      </c>
      <c r="D246" s="50">
        <v>5478.7480468622953</v>
      </c>
      <c r="E246" s="50">
        <v>968.20725416285154</v>
      </c>
      <c r="F246" s="50"/>
      <c r="G246" s="50">
        <v>1830.0463327813425</v>
      </c>
      <c r="H246" s="50">
        <v>1462.5108466494739</v>
      </c>
      <c r="I246" s="50">
        <v>2044.271308233119</v>
      </c>
      <c r="J246" s="50">
        <v>1110.1268133612111</v>
      </c>
      <c r="K246" s="50">
        <v>0</v>
      </c>
      <c r="L246" s="50">
        <v>0</v>
      </c>
      <c r="M246" s="50">
        <v>0</v>
      </c>
    </row>
    <row r="247" spans="1:13">
      <c r="A247" s="39" t="s">
        <v>355</v>
      </c>
      <c r="B247" s="50">
        <v>2157.7235134612415</v>
      </c>
      <c r="D247" s="50">
        <v>786.95299542617624</v>
      </c>
      <c r="E247" s="50">
        <v>1370.7705180350652</v>
      </c>
      <c r="F247" s="50"/>
      <c r="G247" s="50">
        <v>0</v>
      </c>
      <c r="H247" s="50">
        <v>0</v>
      </c>
      <c r="I247" s="50">
        <v>0</v>
      </c>
      <c r="J247" s="50">
        <v>0</v>
      </c>
      <c r="K247" s="50">
        <v>0</v>
      </c>
      <c r="L247" s="50">
        <v>414.77851497824417</v>
      </c>
      <c r="M247" s="50">
        <v>1742.9449984829973</v>
      </c>
    </row>
    <row r="248" spans="1:13">
      <c r="A248" s="39" t="s">
        <v>356</v>
      </c>
      <c r="B248" s="50">
        <v>9196.1906591915395</v>
      </c>
      <c r="D248" s="50">
        <v>2923.075482731158</v>
      </c>
      <c r="E248" s="50">
        <v>6273.1151764603801</v>
      </c>
      <c r="F248" s="50"/>
      <c r="G248" s="50">
        <v>0</v>
      </c>
      <c r="H248" s="50">
        <v>484.10115847451169</v>
      </c>
      <c r="I248" s="50">
        <v>3425.4166015833316</v>
      </c>
      <c r="J248" s="50">
        <v>592.15814943820044</v>
      </c>
      <c r="K248" s="50">
        <v>564.80676065279636</v>
      </c>
      <c r="L248" s="50">
        <v>1270.7564715439869</v>
      </c>
      <c r="M248" s="50">
        <v>2858.9515174987118</v>
      </c>
    </row>
    <row r="249" spans="1:13">
      <c r="A249" s="39" t="s">
        <v>357</v>
      </c>
      <c r="B249" s="50">
        <v>92640.919238456685</v>
      </c>
      <c r="D249" s="50">
        <v>52761.573100277019</v>
      </c>
      <c r="E249" s="50">
        <v>39532.861460795168</v>
      </c>
      <c r="F249" s="50"/>
      <c r="G249" s="50">
        <v>8068.7158954580027</v>
      </c>
      <c r="H249" s="50">
        <v>6115.0853619434902</v>
      </c>
      <c r="I249" s="50">
        <v>18408.744922054637</v>
      </c>
      <c r="J249" s="50">
        <v>10783.459468337234</v>
      </c>
      <c r="K249" s="50">
        <v>14578.936899303633</v>
      </c>
      <c r="L249" s="50">
        <v>20824.397054775007</v>
      </c>
      <c r="M249" s="50">
        <v>13861.579636584662</v>
      </c>
    </row>
    <row r="250" spans="1:13">
      <c r="A250" s="39" t="s">
        <v>358</v>
      </c>
      <c r="B250" s="50">
        <v>1107771.7224973885</v>
      </c>
      <c r="D250" s="50">
        <v>113174.74644578582</v>
      </c>
      <c r="E250" s="50">
        <v>992163.15151966026</v>
      </c>
      <c r="F250" s="50"/>
      <c r="G250" s="50">
        <v>19607.643628509679</v>
      </c>
      <c r="H250" s="50">
        <v>129429.34284721607</v>
      </c>
      <c r="I250" s="50">
        <v>314767.66494228487</v>
      </c>
      <c r="J250" s="50">
        <v>230478.20454589149</v>
      </c>
      <c r="K250" s="50">
        <v>158397.17878405907</v>
      </c>
      <c r="L250" s="50">
        <v>135672.22357404447</v>
      </c>
      <c r="M250" s="50">
        <v>119419.46417538468</v>
      </c>
    </row>
    <row r="251" spans="1:13">
      <c r="A251" s="39" t="s">
        <v>359</v>
      </c>
      <c r="B251" s="50">
        <v>563.36033191822025</v>
      </c>
      <c r="D251" s="50">
        <v>563.36033191822025</v>
      </c>
      <c r="E251" s="50">
        <v>0</v>
      </c>
      <c r="F251" s="50"/>
      <c r="G251" s="50">
        <v>0</v>
      </c>
      <c r="H251" s="50">
        <v>0</v>
      </c>
      <c r="I251" s="50">
        <v>0</v>
      </c>
      <c r="J251" s="50">
        <v>563.36033191822025</v>
      </c>
      <c r="K251" s="50">
        <v>0</v>
      </c>
      <c r="L251" s="50">
        <v>0</v>
      </c>
      <c r="M251" s="50">
        <v>0</v>
      </c>
    </row>
    <row r="252" spans="1:13">
      <c r="A252" s="39" t="s">
        <v>360</v>
      </c>
      <c r="B252" s="50">
        <v>1586.3435071091253</v>
      </c>
      <c r="D252" s="50">
        <v>1586.3435071091253</v>
      </c>
      <c r="E252" s="50">
        <v>0</v>
      </c>
      <c r="F252" s="50"/>
      <c r="G252" s="50">
        <v>0</v>
      </c>
      <c r="H252" s="50">
        <v>483.75292177532475</v>
      </c>
      <c r="I252" s="50">
        <v>0</v>
      </c>
      <c r="J252" s="50">
        <v>563.36033191822025</v>
      </c>
      <c r="K252" s="50">
        <v>539.23025341558025</v>
      </c>
      <c r="L252" s="50">
        <v>0</v>
      </c>
      <c r="M252" s="50">
        <v>0</v>
      </c>
    </row>
    <row r="253" spans="1:13">
      <c r="A253" s="39" t="s">
        <v>361</v>
      </c>
      <c r="B253" s="50">
        <v>13992.959253554383</v>
      </c>
      <c r="D253" s="50">
        <v>3741.4764297989896</v>
      </c>
      <c r="E253" s="50">
        <v>10251.482823755394</v>
      </c>
      <c r="F253" s="50"/>
      <c r="G253" s="50">
        <v>1748.7089705700366</v>
      </c>
      <c r="H253" s="50">
        <v>503.71076526174346</v>
      </c>
      <c r="I253" s="50">
        <v>1856.2120731124273</v>
      </c>
      <c r="J253" s="50">
        <v>3454.110758135882</v>
      </c>
      <c r="K253" s="50">
        <v>2732.5402950512216</v>
      </c>
      <c r="L253" s="50">
        <v>2304.392612782437</v>
      </c>
      <c r="M253" s="50">
        <v>1393.2837786406362</v>
      </c>
    </row>
    <row r="254" spans="1:13">
      <c r="A254" s="39" t="s">
        <v>362</v>
      </c>
      <c r="B254" s="50">
        <v>11065.275213379329</v>
      </c>
      <c r="D254" s="50">
        <v>5123.2243539725932</v>
      </c>
      <c r="E254" s="50">
        <v>5942.0508594067378</v>
      </c>
      <c r="F254" s="50"/>
      <c r="G254" s="50">
        <v>0</v>
      </c>
      <c r="H254" s="50">
        <v>1881.3200099532096</v>
      </c>
      <c r="I254" s="50">
        <v>5094.6409194923353</v>
      </c>
      <c r="J254" s="50">
        <v>2985.6532406172564</v>
      </c>
      <c r="K254" s="50">
        <v>1103.6610433165297</v>
      </c>
      <c r="L254" s="50">
        <v>0</v>
      </c>
      <c r="M254" s="50">
        <v>0</v>
      </c>
    </row>
    <row r="255" spans="1:13">
      <c r="A255" s="39" t="s">
        <v>363</v>
      </c>
      <c r="B255" s="50">
        <v>357.79322200266131</v>
      </c>
      <c r="D255" s="50">
        <v>357.79322200266131</v>
      </c>
      <c r="E255" s="50">
        <v>0</v>
      </c>
      <c r="F255" s="50"/>
      <c r="G255" s="50">
        <v>0</v>
      </c>
      <c r="H255" s="50">
        <v>0</v>
      </c>
      <c r="I255" s="50">
        <v>357.79322200266131</v>
      </c>
      <c r="J255" s="50">
        <v>0</v>
      </c>
      <c r="K255" s="50">
        <v>0</v>
      </c>
      <c r="L255" s="50">
        <v>0</v>
      </c>
      <c r="M255" s="50">
        <v>0</v>
      </c>
    </row>
    <row r="256" spans="1:13">
      <c r="A256" s="39" t="s">
        <v>364</v>
      </c>
      <c r="B256" s="50">
        <v>102359.35651328105</v>
      </c>
      <c r="D256" s="50">
        <v>55591.692180164668</v>
      </c>
      <c r="E256" s="50">
        <v>44427.178343340682</v>
      </c>
      <c r="F256" s="50"/>
      <c r="G256" s="50">
        <v>12497.587561015709</v>
      </c>
      <c r="H256" s="50">
        <v>25401.730803084618</v>
      </c>
      <c r="I256" s="50">
        <v>26986.465499849281</v>
      </c>
      <c r="J256" s="50">
        <v>22656.798253764253</v>
      </c>
      <c r="K256" s="50">
        <v>8532.2529630468871</v>
      </c>
      <c r="L256" s="50">
        <v>3740.5365073849789</v>
      </c>
      <c r="M256" s="50">
        <v>2543.9849251353216</v>
      </c>
    </row>
    <row r="257" spans="1:13">
      <c r="A257" s="39" t="s">
        <v>365</v>
      </c>
      <c r="B257" s="50">
        <v>601.05766232763506</v>
      </c>
      <c r="D257" s="50">
        <v>0</v>
      </c>
      <c r="E257" s="50">
        <v>601.05766232763506</v>
      </c>
      <c r="F257" s="50"/>
      <c r="G257" s="50">
        <v>0</v>
      </c>
      <c r="H257" s="50">
        <v>0</v>
      </c>
      <c r="I257" s="50">
        <v>0</v>
      </c>
      <c r="J257" s="50">
        <v>601.05766232763506</v>
      </c>
      <c r="K257" s="50">
        <v>0</v>
      </c>
      <c r="L257" s="50">
        <v>0</v>
      </c>
      <c r="M257" s="50">
        <v>0</v>
      </c>
    </row>
    <row r="258" spans="1:13">
      <c r="A258" s="39" t="s">
        <v>366</v>
      </c>
      <c r="B258" s="50">
        <v>2210.3205208454565</v>
      </c>
      <c r="D258" s="50">
        <v>2210.3205208454565</v>
      </c>
      <c r="E258" s="50">
        <v>0</v>
      </c>
      <c r="F258" s="50"/>
      <c r="G258" s="50">
        <v>0</v>
      </c>
      <c r="H258" s="50">
        <v>0</v>
      </c>
      <c r="I258" s="50">
        <v>485.5436288471376</v>
      </c>
      <c r="J258" s="50">
        <v>621.90202909100026</v>
      </c>
      <c r="K258" s="50">
        <v>1102.8748629073184</v>
      </c>
      <c r="L258" s="50">
        <v>0</v>
      </c>
      <c r="M258" s="50">
        <v>0</v>
      </c>
    </row>
    <row r="259" spans="1:13">
      <c r="A259" s="39" t="s">
        <v>367</v>
      </c>
      <c r="B259" s="50">
        <v>7290.560615776345</v>
      </c>
      <c r="D259" s="50">
        <v>608.04195777484222</v>
      </c>
      <c r="E259" s="50">
        <v>5672.4559046214927</v>
      </c>
      <c r="F259" s="50"/>
      <c r="G259" s="50">
        <v>2077.5661155614262</v>
      </c>
      <c r="H259" s="50">
        <v>1513.7735186417544</v>
      </c>
      <c r="I259" s="50">
        <v>1437.8596997169352</v>
      </c>
      <c r="J259" s="50">
        <v>2261.3612818562297</v>
      </c>
      <c r="K259" s="50">
        <v>0</v>
      </c>
      <c r="L259" s="50">
        <v>0</v>
      </c>
      <c r="M259" s="50">
        <v>0</v>
      </c>
    </row>
    <row r="260" spans="1:13">
      <c r="A260" s="39" t="s">
        <v>368</v>
      </c>
      <c r="B260" s="50">
        <v>66712.072578085746</v>
      </c>
      <c r="D260" s="50">
        <v>25045.048215771018</v>
      </c>
      <c r="E260" s="50">
        <v>41108.577182478613</v>
      </c>
      <c r="F260" s="50"/>
      <c r="G260" s="50">
        <v>7130.795165655205</v>
      </c>
      <c r="H260" s="50">
        <v>14133.571787530638</v>
      </c>
      <c r="I260" s="50">
        <v>15550.848545247183</v>
      </c>
      <c r="J260" s="50">
        <v>9426.9286762571301</v>
      </c>
      <c r="K260" s="50">
        <v>10061.565799812599</v>
      </c>
      <c r="L260" s="50">
        <v>4143.2454570765203</v>
      </c>
      <c r="M260" s="50">
        <v>6265.1171465065254</v>
      </c>
    </row>
    <row r="261" spans="1:13">
      <c r="A261" s="39" t="s">
        <v>369</v>
      </c>
      <c r="B261" s="50">
        <v>130535.58752860888</v>
      </c>
      <c r="D261" s="50">
        <v>74370.788403146915</v>
      </c>
      <c r="E261" s="50">
        <v>55552.406221382924</v>
      </c>
      <c r="F261" s="50"/>
      <c r="G261" s="50">
        <v>11075.636481914647</v>
      </c>
      <c r="H261" s="50">
        <v>10967.485857255855</v>
      </c>
      <c r="I261" s="50">
        <v>14558.239794114983</v>
      </c>
      <c r="J261" s="50">
        <v>30311.600318998109</v>
      </c>
      <c r="K261" s="50">
        <v>22004.244114338278</v>
      </c>
      <c r="L261" s="50">
        <v>24200.052966739899</v>
      </c>
      <c r="M261" s="50">
        <v>17418.32799524712</v>
      </c>
    </row>
    <row r="262" spans="1:13">
      <c r="A262" s="39" t="s">
        <v>370</v>
      </c>
      <c r="B262" s="50">
        <v>174343.03485192559</v>
      </c>
      <c r="D262" s="50">
        <v>118056.33102456758</v>
      </c>
      <c r="E262" s="50">
        <v>53692.156479975034</v>
      </c>
      <c r="F262" s="50"/>
      <c r="G262" s="50">
        <v>23625.786956499942</v>
      </c>
      <c r="H262" s="50">
        <v>54420.120622661219</v>
      </c>
      <c r="I262" s="50">
        <v>60608.896809785183</v>
      </c>
      <c r="J262" s="50">
        <v>22916.851240125023</v>
      </c>
      <c r="K262" s="50">
        <v>8949.1968146824274</v>
      </c>
      <c r="L262" s="50">
        <v>3363.3573944528134</v>
      </c>
      <c r="M262" s="50">
        <v>458.82501371887366</v>
      </c>
    </row>
    <row r="263" spans="1:13">
      <c r="A263" s="39" t="s">
        <v>371</v>
      </c>
      <c r="B263" s="50">
        <v>70014.208643242353</v>
      </c>
      <c r="D263" s="50">
        <v>54097.053379873527</v>
      </c>
      <c r="E263" s="50">
        <v>14825.107700748742</v>
      </c>
      <c r="F263" s="50"/>
      <c r="G263" s="50">
        <v>3016.1324206721188</v>
      </c>
      <c r="H263" s="50">
        <v>24133.679079148766</v>
      </c>
      <c r="I263" s="50">
        <v>24107.501855370068</v>
      </c>
      <c r="J263" s="50">
        <v>10393.247220723577</v>
      </c>
      <c r="K263" s="50">
        <v>5463.6358367783141</v>
      </c>
      <c r="L263" s="50">
        <v>2516.5976303853372</v>
      </c>
      <c r="M263" s="50">
        <v>383.41460016422946</v>
      </c>
    </row>
    <row r="264" spans="1:13">
      <c r="A264" s="39" t="s">
        <v>372</v>
      </c>
      <c r="B264" s="50">
        <v>3479346.7340504723</v>
      </c>
      <c r="D264" s="50">
        <v>1979178.2508347936</v>
      </c>
      <c r="E264" s="50">
        <v>1473207.1301331425</v>
      </c>
      <c r="F264" s="50"/>
      <c r="G264" s="50">
        <v>278953.32973348087</v>
      </c>
      <c r="H264" s="50">
        <v>652810.24688767805</v>
      </c>
      <c r="I264" s="50">
        <v>1019170.3033249784</v>
      </c>
      <c r="J264" s="50">
        <v>741199.08523531083</v>
      </c>
      <c r="K264" s="50">
        <v>475253.56171770266</v>
      </c>
      <c r="L264" s="50">
        <v>228993.19083877813</v>
      </c>
      <c r="M264" s="50">
        <v>82967.016312594089</v>
      </c>
    </row>
    <row r="265" spans="1:13">
      <c r="A265" s="39" t="s">
        <v>373</v>
      </c>
      <c r="B265" s="50">
        <v>72988.181158338717</v>
      </c>
      <c r="D265" s="50">
        <v>50621.050331611201</v>
      </c>
      <c r="E265" s="50">
        <v>21850.662947952336</v>
      </c>
      <c r="F265" s="50"/>
      <c r="G265" s="50">
        <v>4774.8715002971931</v>
      </c>
      <c r="H265" s="50">
        <v>4527.5581547629026</v>
      </c>
      <c r="I265" s="50">
        <v>9859.0397333049914</v>
      </c>
      <c r="J265" s="50">
        <v>7217.7432094636279</v>
      </c>
      <c r="K265" s="50">
        <v>12495.228712149321</v>
      </c>
      <c r="L265" s="50">
        <v>17196.968216992351</v>
      </c>
      <c r="M265" s="50">
        <v>16916.771631368327</v>
      </c>
    </row>
    <row r="266" spans="1:13">
      <c r="A266" s="39" t="s">
        <v>374</v>
      </c>
      <c r="B266" s="50">
        <v>34332.949896832011</v>
      </c>
      <c r="D266" s="50">
        <v>16854.661126332165</v>
      </c>
      <c r="E266" s="50">
        <v>17478.288770499828</v>
      </c>
      <c r="F266" s="50"/>
      <c r="G266" s="50">
        <v>3258.4917586947026</v>
      </c>
      <c r="H266" s="50">
        <v>3391.8720687546129</v>
      </c>
      <c r="I266" s="50">
        <v>8424.4364662933913</v>
      </c>
      <c r="J266" s="50">
        <v>11382.486875360721</v>
      </c>
      <c r="K266" s="50">
        <v>4779.5694716230282</v>
      </c>
      <c r="L266" s="50">
        <v>2665.0894381300877</v>
      </c>
      <c r="M266" s="50">
        <v>431.00381797545526</v>
      </c>
    </row>
    <row r="267" spans="1:13">
      <c r="A267" s="39" t="s">
        <v>375</v>
      </c>
      <c r="B267" s="50">
        <v>4044.6203649982731</v>
      </c>
      <c r="D267" s="50">
        <v>4044.6203649982731</v>
      </c>
      <c r="E267" s="50">
        <v>0</v>
      </c>
      <c r="F267" s="50"/>
      <c r="G267" s="50">
        <v>0</v>
      </c>
      <c r="H267" s="50">
        <v>958.75060098359654</v>
      </c>
      <c r="I267" s="50">
        <v>911.57030399158111</v>
      </c>
      <c r="J267" s="50">
        <v>413.5671488555684</v>
      </c>
      <c r="K267" s="50">
        <v>399.6554990115971</v>
      </c>
      <c r="L267" s="50">
        <v>0</v>
      </c>
      <c r="M267" s="50">
        <v>1361.0768121559299</v>
      </c>
    </row>
    <row r="268" spans="1:13">
      <c r="A268" s="39" t="s">
        <v>376</v>
      </c>
      <c r="B268" s="50">
        <v>990.1224519140103</v>
      </c>
      <c r="D268" s="50">
        <v>507.7263335059738</v>
      </c>
      <c r="E268" s="50">
        <v>0</v>
      </c>
      <c r="F268" s="50"/>
      <c r="G268" s="50">
        <v>0</v>
      </c>
      <c r="H268" s="50">
        <v>0</v>
      </c>
      <c r="I268" s="50">
        <v>482.39611840803656</v>
      </c>
      <c r="J268" s="50">
        <v>507.7263335059738</v>
      </c>
      <c r="K268" s="50">
        <v>0</v>
      </c>
      <c r="L268" s="50">
        <v>0</v>
      </c>
      <c r="M268" s="50">
        <v>0</v>
      </c>
    </row>
    <row r="269" spans="1:13">
      <c r="A269" s="39" t="s">
        <v>377</v>
      </c>
      <c r="B269" s="50">
        <v>38340.382757180909</v>
      </c>
      <c r="D269" s="50">
        <v>31499.980371406822</v>
      </c>
      <c r="E269" s="50">
        <v>6294.6826128113244</v>
      </c>
      <c r="F269" s="50"/>
      <c r="G269" s="50">
        <v>3132.4837131102186</v>
      </c>
      <c r="H269" s="50">
        <v>4279.8689377403498</v>
      </c>
      <c r="I269" s="50">
        <v>6975.7005379510101</v>
      </c>
      <c r="J269" s="50">
        <v>6450.4971794258936</v>
      </c>
      <c r="K269" s="50">
        <v>10095.493177089662</v>
      </c>
      <c r="L269" s="50">
        <v>4735.6909160098394</v>
      </c>
      <c r="M269" s="50">
        <v>2670.648295853925</v>
      </c>
    </row>
    <row r="270" spans="1:13">
      <c r="A270" s="39" t="s">
        <v>378</v>
      </c>
      <c r="B270" s="50">
        <v>27068.205733344326</v>
      </c>
      <c r="D270" s="50">
        <v>19835.753051920507</v>
      </c>
      <c r="E270" s="50">
        <v>7232.4526814238179</v>
      </c>
      <c r="F270" s="50"/>
      <c r="G270" s="50">
        <v>3334.4023544287502</v>
      </c>
      <c r="H270" s="50">
        <v>4721.6572160156193</v>
      </c>
      <c r="I270" s="50">
        <v>5470.308804045475</v>
      </c>
      <c r="J270" s="50">
        <v>2669.9663313027795</v>
      </c>
      <c r="K270" s="50">
        <v>3821.6452394530875</v>
      </c>
      <c r="L270" s="50">
        <v>1519.5187850770376</v>
      </c>
      <c r="M270" s="50">
        <v>5530.7070030215782</v>
      </c>
    </row>
    <row r="271" spans="1:13">
      <c r="A271" s="39" t="s">
        <v>379</v>
      </c>
      <c r="B271" s="50">
        <v>103644.76786090099</v>
      </c>
      <c r="D271" s="50">
        <v>50256.704478863561</v>
      </c>
      <c r="E271" s="50">
        <v>48485.793949034072</v>
      </c>
      <c r="F271" s="50"/>
      <c r="G271" s="50">
        <v>7775.0362298603404</v>
      </c>
      <c r="H271" s="50">
        <v>27776.489461118661</v>
      </c>
      <c r="I271" s="50">
        <v>28378.341712128866</v>
      </c>
      <c r="J271" s="50">
        <v>24215.5339031236</v>
      </c>
      <c r="K271" s="50">
        <v>12267.208923930866</v>
      </c>
      <c r="L271" s="50">
        <v>2376.0877986924565</v>
      </c>
      <c r="M271" s="50">
        <v>856.06983204625544</v>
      </c>
    </row>
    <row r="272" spans="1:13">
      <c r="A272" s="39" t="s">
        <v>380</v>
      </c>
      <c r="B272" s="50">
        <v>0</v>
      </c>
      <c r="D272" s="50">
        <v>0</v>
      </c>
      <c r="E272" s="50">
        <v>0</v>
      </c>
      <c r="F272" s="50"/>
      <c r="G272" s="50">
        <v>0</v>
      </c>
      <c r="H272" s="50">
        <v>0</v>
      </c>
      <c r="I272" s="50">
        <v>0</v>
      </c>
      <c r="J272" s="50">
        <v>0</v>
      </c>
      <c r="K272" s="50">
        <v>0</v>
      </c>
      <c r="L272" s="50">
        <v>0</v>
      </c>
      <c r="M272" s="50">
        <v>0</v>
      </c>
    </row>
    <row r="273" spans="1:13">
      <c r="A273" s="39" t="s">
        <v>381</v>
      </c>
      <c r="B273" s="50">
        <v>173819.53450134842</v>
      </c>
      <c r="D273" s="50">
        <v>97564.483434996146</v>
      </c>
      <c r="E273" s="50">
        <v>74833.447307516704</v>
      </c>
      <c r="F273" s="50"/>
      <c r="G273" s="50">
        <v>11460.181376509623</v>
      </c>
      <c r="H273" s="50">
        <v>17916.197561954101</v>
      </c>
      <c r="I273" s="50">
        <v>35348.943451637031</v>
      </c>
      <c r="J273" s="50">
        <v>32698.431946198525</v>
      </c>
      <c r="K273" s="50">
        <v>29735.310150468071</v>
      </c>
      <c r="L273" s="50">
        <v>27800.199746958118</v>
      </c>
      <c r="M273" s="50">
        <v>18860.270267622771</v>
      </c>
    </row>
    <row r="274" spans="1:13">
      <c r="A274" s="39" t="s">
        <v>382</v>
      </c>
      <c r="B274" s="50">
        <v>0</v>
      </c>
      <c r="D274" s="50">
        <v>0</v>
      </c>
      <c r="E274" s="50">
        <v>0</v>
      </c>
      <c r="F274" s="50"/>
      <c r="G274" s="50">
        <v>0</v>
      </c>
      <c r="H274" s="50">
        <v>0</v>
      </c>
      <c r="I274" s="50">
        <v>0</v>
      </c>
      <c r="J274" s="50">
        <v>0</v>
      </c>
      <c r="K274" s="50">
        <v>0</v>
      </c>
      <c r="L274" s="50">
        <v>0</v>
      </c>
      <c r="M274" s="50">
        <v>0</v>
      </c>
    </row>
    <row r="275" spans="1:13">
      <c r="A275" s="39" t="s">
        <v>383</v>
      </c>
      <c r="B275" s="50">
        <v>28003.222850525384</v>
      </c>
      <c r="D275" s="50">
        <v>10449.057199273739</v>
      </c>
      <c r="E275" s="50">
        <v>17554.165651251642</v>
      </c>
      <c r="F275" s="50"/>
      <c r="G275" s="50">
        <v>1937.6722669688957</v>
      </c>
      <c r="H275" s="50">
        <v>4950.7667901269861</v>
      </c>
      <c r="I275" s="50">
        <v>5479.6252394103549</v>
      </c>
      <c r="J275" s="50">
        <v>7602.3205210105552</v>
      </c>
      <c r="K275" s="50">
        <v>6697.7657156674259</v>
      </c>
      <c r="L275" s="50">
        <v>1335.072317341165</v>
      </c>
      <c r="M275" s="50">
        <v>0</v>
      </c>
    </row>
    <row r="276" spans="1:13">
      <c r="A276" s="39" t="s">
        <v>384</v>
      </c>
      <c r="B276" s="50">
        <v>95424.820463212251</v>
      </c>
      <c r="D276" s="50">
        <v>54640.920973379914</v>
      </c>
      <c r="E276" s="50">
        <v>38937.139508638305</v>
      </c>
      <c r="F276" s="50"/>
      <c r="G276" s="50">
        <v>4798.9562720552967</v>
      </c>
      <c r="H276" s="50">
        <v>29048.69116813632</v>
      </c>
      <c r="I276" s="50">
        <v>39104.8952145156</v>
      </c>
      <c r="J276" s="50">
        <v>13138.057643203454</v>
      </c>
      <c r="K276" s="50">
        <v>6835.818554497564</v>
      </c>
      <c r="L276" s="50">
        <v>2174.2291581633363</v>
      </c>
      <c r="M276" s="50">
        <v>324.17245264066719</v>
      </c>
    </row>
    <row r="277" spans="1:13">
      <c r="A277" s="39" t="s">
        <v>385</v>
      </c>
      <c r="B277" s="50">
        <v>100227.4027600596</v>
      </c>
      <c r="D277" s="50">
        <v>68840.187055382296</v>
      </c>
      <c r="E277" s="50">
        <v>30838.195940166541</v>
      </c>
      <c r="F277" s="50"/>
      <c r="G277" s="50">
        <v>4459.8304029001883</v>
      </c>
      <c r="H277" s="50">
        <v>9430.8308225749788</v>
      </c>
      <c r="I277" s="50">
        <v>30095.243732105322</v>
      </c>
      <c r="J277" s="50">
        <v>18403.736954197262</v>
      </c>
      <c r="K277" s="50">
        <v>19150.373756939971</v>
      </c>
      <c r="L277" s="50">
        <v>12798.235999493274</v>
      </c>
      <c r="M277" s="50">
        <v>5889.1510918485747</v>
      </c>
    </row>
    <row r="278" spans="1:13">
      <c r="A278" s="39" t="s">
        <v>386</v>
      </c>
      <c r="B278" s="50">
        <v>311510.64362911956</v>
      </c>
      <c r="D278" s="50">
        <v>187323.8539797953</v>
      </c>
      <c r="E278" s="50">
        <v>121115.17919077635</v>
      </c>
      <c r="F278" s="50"/>
      <c r="G278" s="50">
        <v>16554.512451587732</v>
      </c>
      <c r="H278" s="50">
        <v>35708.062548678296</v>
      </c>
      <c r="I278" s="50">
        <v>74047.074919236664</v>
      </c>
      <c r="J278" s="50">
        <v>62346.892319316685</v>
      </c>
      <c r="K278" s="50">
        <v>59899.425729251496</v>
      </c>
      <c r="L278" s="50">
        <v>43372.285389880177</v>
      </c>
      <c r="M278" s="50">
        <v>19582.390271168286</v>
      </c>
    </row>
    <row r="279" spans="1:13">
      <c r="A279" s="39" t="s">
        <v>387</v>
      </c>
      <c r="B279" s="50">
        <v>3337060.4313395531</v>
      </c>
      <c r="D279" s="50">
        <v>1551126.3598322344</v>
      </c>
      <c r="E279" s="50">
        <v>1763876.378734044</v>
      </c>
      <c r="F279" s="50"/>
      <c r="G279" s="50">
        <v>171573.14171818702</v>
      </c>
      <c r="H279" s="50">
        <v>348299.39522007562</v>
      </c>
      <c r="I279" s="50">
        <v>677451.69184796605</v>
      </c>
      <c r="J279" s="50">
        <v>678942.89694966073</v>
      </c>
      <c r="K279" s="50">
        <v>550598.9055785872</v>
      </c>
      <c r="L279" s="50">
        <v>459403.36325396865</v>
      </c>
      <c r="M279" s="50">
        <v>450791.03677113954</v>
      </c>
    </row>
    <row r="280" spans="1:13">
      <c r="A280" s="39" t="s">
        <v>388</v>
      </c>
      <c r="B280" s="50">
        <v>4818.6758363587369</v>
      </c>
      <c r="D280" s="50">
        <v>3489.6129119178831</v>
      </c>
      <c r="E280" s="50">
        <v>883.39319046763444</v>
      </c>
      <c r="F280" s="50"/>
      <c r="G280" s="50">
        <v>0</v>
      </c>
      <c r="H280" s="50">
        <v>1358.4958738631551</v>
      </c>
      <c r="I280" s="50">
        <v>1561.2060878537804</v>
      </c>
      <c r="J280" s="50">
        <v>1291.0101676955903</v>
      </c>
      <c r="K280" s="50">
        <v>0</v>
      </c>
      <c r="L280" s="50">
        <v>607.96370694621112</v>
      </c>
      <c r="M280" s="50">
        <v>0</v>
      </c>
    </row>
    <row r="281" spans="1:13">
      <c r="A281" s="39" t="s">
        <v>389</v>
      </c>
      <c r="B281" s="50">
        <v>18111.626831499321</v>
      </c>
      <c r="D281" s="50">
        <v>7221.317219440496</v>
      </c>
      <c r="E281" s="50">
        <v>10890.309612058829</v>
      </c>
      <c r="F281" s="50"/>
      <c r="G281" s="50">
        <v>0</v>
      </c>
      <c r="H281" s="50">
        <v>1325.0513888068397</v>
      </c>
      <c r="I281" s="50">
        <v>8813.671059586628</v>
      </c>
      <c r="J281" s="50">
        <v>2791.6442563846194</v>
      </c>
      <c r="K281" s="50">
        <v>2306.8848006229623</v>
      </c>
      <c r="L281" s="50">
        <v>806.83833133577741</v>
      </c>
      <c r="M281" s="50">
        <v>2067.5369947624954</v>
      </c>
    </row>
    <row r="282" spans="1:13">
      <c r="A282" s="39" t="s">
        <v>390</v>
      </c>
      <c r="B282" s="50">
        <v>353020.48490293307</v>
      </c>
      <c r="D282" s="50">
        <v>241871.66652288003</v>
      </c>
      <c r="E282" s="50">
        <v>109675.77733818282</v>
      </c>
      <c r="F282" s="50"/>
      <c r="G282" s="50">
        <v>47368.072796349443</v>
      </c>
      <c r="H282" s="50">
        <v>74031.830350707212</v>
      </c>
      <c r="I282" s="50">
        <v>73830.234163427551</v>
      </c>
      <c r="J282" s="50">
        <v>46840.194289019506</v>
      </c>
      <c r="K282" s="50">
        <v>39247.639619789144</v>
      </c>
      <c r="L282" s="50">
        <v>29189.598226372691</v>
      </c>
      <c r="M282" s="50">
        <v>42512.915457267263</v>
      </c>
    </row>
    <row r="283" spans="1:13">
      <c r="A283" s="39" t="s">
        <v>391</v>
      </c>
      <c r="B283" s="50">
        <v>38895.139511092093</v>
      </c>
      <c r="D283" s="50">
        <v>18966.744784957369</v>
      </c>
      <c r="E283" s="50">
        <v>16679.80139837223</v>
      </c>
      <c r="F283" s="50"/>
      <c r="G283" s="50">
        <v>11681.763122341934</v>
      </c>
      <c r="H283" s="50">
        <v>10238.342020391368</v>
      </c>
      <c r="I283" s="50">
        <v>1907.5877141876899</v>
      </c>
      <c r="J283" s="50">
        <v>10154.594331158753</v>
      </c>
      <c r="K283" s="50">
        <v>3346.7322394458683</v>
      </c>
      <c r="L283" s="50">
        <v>1087.6511460063161</v>
      </c>
      <c r="M283" s="50">
        <v>478.46893756016306</v>
      </c>
    </row>
    <row r="284" spans="1:13">
      <c r="A284" s="39" t="s">
        <v>392</v>
      </c>
      <c r="B284" s="50">
        <v>5231.166937808538</v>
      </c>
      <c r="D284" s="50">
        <v>2029.9719858065073</v>
      </c>
      <c r="E284" s="50">
        <v>3201.1949520020303</v>
      </c>
      <c r="F284" s="50"/>
      <c r="G284" s="50">
        <v>1748.7089705700366</v>
      </c>
      <c r="H284" s="50">
        <v>1013.9313643847679</v>
      </c>
      <c r="I284" s="50">
        <v>1452.4859814319937</v>
      </c>
      <c r="J284" s="50">
        <v>500.13966338178477</v>
      </c>
      <c r="K284" s="50">
        <v>515.9009580399545</v>
      </c>
      <c r="L284" s="50">
        <v>0</v>
      </c>
      <c r="M284" s="50">
        <v>0</v>
      </c>
    </row>
    <row r="285" spans="1:13">
      <c r="A285" s="39" t="s">
        <v>393</v>
      </c>
      <c r="B285" s="50">
        <v>1053396.7774741049</v>
      </c>
      <c r="D285" s="50">
        <v>625361.49880731851</v>
      </c>
      <c r="E285" s="50">
        <v>423979.46970599599</v>
      </c>
      <c r="F285" s="50"/>
      <c r="G285" s="50">
        <v>78977.307403955754</v>
      </c>
      <c r="H285" s="50">
        <v>161081.30307757956</v>
      </c>
      <c r="I285" s="50">
        <v>240147.60568445115</v>
      </c>
      <c r="J285" s="50">
        <v>194063.77273662711</v>
      </c>
      <c r="K285" s="50">
        <v>163691.83128056995</v>
      </c>
      <c r="L285" s="50">
        <v>102383.70281046051</v>
      </c>
      <c r="M285" s="50">
        <v>113051.25448046514</v>
      </c>
    </row>
    <row r="286" spans="1:13">
      <c r="A286" s="39" t="s">
        <v>394</v>
      </c>
      <c r="B286" s="50">
        <v>135121.28469100525</v>
      </c>
      <c r="D286" s="50">
        <v>73788.935839330967</v>
      </c>
      <c r="E286" s="50">
        <v>60869.37911532804</v>
      </c>
      <c r="F286" s="50"/>
      <c r="G286" s="50">
        <v>8088.1076181354638</v>
      </c>
      <c r="H286" s="50">
        <v>12107.211040203638</v>
      </c>
      <c r="I286" s="50">
        <v>27792.610001075071</v>
      </c>
      <c r="J286" s="50">
        <v>27700.264052058512</v>
      </c>
      <c r="K286" s="50">
        <v>23579.271165113303</v>
      </c>
      <c r="L286" s="50">
        <v>15810.312102050015</v>
      </c>
      <c r="M286" s="50">
        <v>20043.508712369203</v>
      </c>
    </row>
    <row r="287" spans="1:13">
      <c r="A287" s="39" t="s">
        <v>395</v>
      </c>
      <c r="B287" s="50">
        <v>0</v>
      </c>
      <c r="D287" s="50">
        <v>0</v>
      </c>
      <c r="E287" s="50">
        <v>0</v>
      </c>
      <c r="F287" s="50"/>
      <c r="G287" s="50">
        <v>0</v>
      </c>
      <c r="H287" s="50">
        <v>0</v>
      </c>
      <c r="I287" s="50">
        <v>0</v>
      </c>
      <c r="J287" s="50">
        <v>0</v>
      </c>
      <c r="K287" s="50">
        <v>0</v>
      </c>
      <c r="L287" s="50">
        <v>0</v>
      </c>
      <c r="M287" s="50">
        <v>0</v>
      </c>
    </row>
    <row r="288" spans="1:13">
      <c r="A288" s="39" t="s">
        <v>396</v>
      </c>
      <c r="B288" s="50">
        <v>171362.83172070683</v>
      </c>
      <c r="D288" s="50">
        <v>99041.702926098049</v>
      </c>
      <c r="E288" s="50">
        <v>72321.128794608492</v>
      </c>
      <c r="F288" s="50"/>
      <c r="G288" s="50">
        <v>20352.158687911557</v>
      </c>
      <c r="H288" s="50">
        <v>43149.880380951443</v>
      </c>
      <c r="I288" s="50">
        <v>57542.869115542613</v>
      </c>
      <c r="J288" s="50">
        <v>24410.880536416906</v>
      </c>
      <c r="K288" s="50">
        <v>17270.793768122359</v>
      </c>
      <c r="L288" s="50">
        <v>6552.9181180118849</v>
      </c>
      <c r="M288" s="50">
        <v>2083.3311137497803</v>
      </c>
    </row>
    <row r="289" spans="1:13">
      <c r="A289" s="39" t="s">
        <v>397</v>
      </c>
      <c r="B289" s="50">
        <v>32596.060543336349</v>
      </c>
      <c r="D289" s="50">
        <v>22682.284908147922</v>
      </c>
      <c r="E289" s="50">
        <v>9913.7756351884163</v>
      </c>
      <c r="F289" s="50"/>
      <c r="G289" s="50">
        <v>3841.6597092483171</v>
      </c>
      <c r="H289" s="50">
        <v>3576.9196283257043</v>
      </c>
      <c r="I289" s="50">
        <v>6408.6901277088809</v>
      </c>
      <c r="J289" s="50">
        <v>7684.3005176560782</v>
      </c>
      <c r="K289" s="50">
        <v>6451.6534038162054</v>
      </c>
      <c r="L289" s="50">
        <v>3593.340192331053</v>
      </c>
      <c r="M289" s="50">
        <v>1039.4969642501001</v>
      </c>
    </row>
    <row r="290" spans="1:13">
      <c r="A290" s="39" t="s">
        <v>398</v>
      </c>
      <c r="B290" s="50">
        <v>163803.87680841211</v>
      </c>
      <c r="D290" s="50">
        <v>89659.721725815223</v>
      </c>
      <c r="E290" s="50">
        <v>73519.830286278666</v>
      </c>
      <c r="F290" s="50"/>
      <c r="G290" s="50">
        <v>4148.8963678625696</v>
      </c>
      <c r="H290" s="50">
        <v>13380.309271358177</v>
      </c>
      <c r="I290" s="50">
        <v>40441.516126478215</v>
      </c>
      <c r="J290" s="50">
        <v>30982.840863063957</v>
      </c>
      <c r="K290" s="50">
        <v>33164.396136775955</v>
      </c>
      <c r="L290" s="50">
        <v>24937.17466317441</v>
      </c>
      <c r="M290" s="50">
        <v>16748.743379698637</v>
      </c>
    </row>
    <row r="291" spans="1:13">
      <c r="A291" s="39" t="s">
        <v>399</v>
      </c>
      <c r="B291" s="50">
        <v>224254.92595398476</v>
      </c>
      <c r="D291" s="50">
        <v>105448.56798436184</v>
      </c>
      <c r="E291" s="50">
        <v>112461.71144264525</v>
      </c>
      <c r="F291" s="50"/>
      <c r="G291" s="50">
        <v>32207.147401629998</v>
      </c>
      <c r="H291" s="50">
        <v>43676.001892461281</v>
      </c>
      <c r="I291" s="50">
        <v>64629.135366160321</v>
      </c>
      <c r="J291" s="50">
        <v>47511.215970474652</v>
      </c>
      <c r="K291" s="50">
        <v>21841.857402284801</v>
      </c>
      <c r="L291" s="50">
        <v>7230.9279289079323</v>
      </c>
      <c r="M291" s="50">
        <v>7158.6399920656158</v>
      </c>
    </row>
    <row r="292" spans="1:13">
      <c r="A292" s="39" t="s">
        <v>400</v>
      </c>
      <c r="B292" s="50">
        <v>301146.7674556101</v>
      </c>
      <c r="D292" s="50">
        <v>161197.14325382092</v>
      </c>
      <c r="E292" s="50">
        <v>138963.15197302456</v>
      </c>
      <c r="F292" s="50"/>
      <c r="G292" s="50">
        <v>105952.68539665402</v>
      </c>
      <c r="H292" s="50">
        <v>93430.043684065589</v>
      </c>
      <c r="I292" s="50">
        <v>61830.551008685827</v>
      </c>
      <c r="J292" s="50">
        <v>18719.593260847829</v>
      </c>
      <c r="K292" s="50">
        <v>14973.94596317451</v>
      </c>
      <c r="L292" s="50">
        <v>4367.3211276579059</v>
      </c>
      <c r="M292" s="50">
        <v>1872.6270145238093</v>
      </c>
    </row>
    <row r="293" spans="1:13">
      <c r="A293" s="39" t="s">
        <v>401</v>
      </c>
      <c r="B293" s="50">
        <v>10831160.486735294</v>
      </c>
      <c r="D293" s="50">
        <v>4543970.7132483963</v>
      </c>
      <c r="E293" s="50">
        <v>6228018.1990689561</v>
      </c>
      <c r="F293" s="50"/>
      <c r="G293" s="50">
        <v>261773.64773236547</v>
      </c>
      <c r="H293" s="50">
        <v>780071.1094947441</v>
      </c>
      <c r="I293" s="50">
        <v>1605835.4564434639</v>
      </c>
      <c r="J293" s="50">
        <v>1765431.4049608116</v>
      </c>
      <c r="K293" s="50">
        <v>1922368.4223122739</v>
      </c>
      <c r="L293" s="50">
        <v>1992878.5501181616</v>
      </c>
      <c r="M293" s="50">
        <v>2502801.895673532</v>
      </c>
    </row>
    <row r="294" spans="1:13">
      <c r="A294" s="39" t="s">
        <v>402</v>
      </c>
      <c r="B294" s="50">
        <v>22315.071136604045</v>
      </c>
      <c r="D294" s="50">
        <v>13540.865411344404</v>
      </c>
      <c r="E294" s="50">
        <v>8774.2057252596405</v>
      </c>
      <c r="F294" s="50"/>
      <c r="G294" s="50">
        <v>5878.1377991019644</v>
      </c>
      <c r="H294" s="50">
        <v>4706.3575023496023</v>
      </c>
      <c r="I294" s="50">
        <v>5826.5751304086534</v>
      </c>
      <c r="J294" s="50">
        <v>3396.5696427386115</v>
      </c>
      <c r="K294" s="50">
        <v>526.27202954935524</v>
      </c>
      <c r="L294" s="50">
        <v>1981.1590324558606</v>
      </c>
      <c r="M294" s="50">
        <v>0</v>
      </c>
    </row>
    <row r="295" spans="1:13">
      <c r="A295" s="39" t="s">
        <v>403</v>
      </c>
      <c r="B295" s="50">
        <v>43757.98213898707</v>
      </c>
      <c r="D295" s="50">
        <v>25527.563812813882</v>
      </c>
      <c r="E295" s="50">
        <v>18230.418326173192</v>
      </c>
      <c r="F295" s="50"/>
      <c r="G295" s="50">
        <v>3960.045598192638</v>
      </c>
      <c r="H295" s="50">
        <v>9651.8656008941653</v>
      </c>
      <c r="I295" s="50">
        <v>12802.36931161229</v>
      </c>
      <c r="J295" s="50">
        <v>2689.2755603074943</v>
      </c>
      <c r="K295" s="50">
        <v>9515.2008061072665</v>
      </c>
      <c r="L295" s="50">
        <v>2387.7388782007811</v>
      </c>
      <c r="M295" s="50">
        <v>2751.486383672428</v>
      </c>
    </row>
    <row r="296" spans="1:13">
      <c r="A296" s="39" t="s">
        <v>404</v>
      </c>
      <c r="B296" s="50">
        <v>303236.77339195367</v>
      </c>
      <c r="D296" s="50">
        <v>188404.31136496161</v>
      </c>
      <c r="E296" s="50">
        <v>114002.17107872377</v>
      </c>
      <c r="F296" s="50"/>
      <c r="G296" s="50">
        <v>16796.57197838468</v>
      </c>
      <c r="H296" s="50">
        <v>49663.803064095009</v>
      </c>
      <c r="I296" s="50">
        <v>78423.353913658386</v>
      </c>
      <c r="J296" s="50">
        <v>57073.42246607595</v>
      </c>
      <c r="K296" s="50">
        <v>41347.793649992083</v>
      </c>
      <c r="L296" s="50">
        <v>30590.040225374738</v>
      </c>
      <c r="M296" s="50">
        <v>29341.788094372772</v>
      </c>
    </row>
    <row r="297" spans="1:13">
      <c r="A297" s="39" t="s">
        <v>405</v>
      </c>
      <c r="B297" s="50">
        <v>612.39290407909402</v>
      </c>
      <c r="D297" s="50">
        <v>612.39290407909402</v>
      </c>
      <c r="E297" s="50">
        <v>0</v>
      </c>
      <c r="F297" s="50"/>
      <c r="G297" s="50">
        <v>0</v>
      </c>
      <c r="H297" s="50">
        <v>0</v>
      </c>
      <c r="I297" s="50">
        <v>0</v>
      </c>
      <c r="J297" s="50">
        <v>612.39290407909402</v>
      </c>
      <c r="K297" s="50">
        <v>0</v>
      </c>
      <c r="L297" s="50">
        <v>0</v>
      </c>
      <c r="M297" s="50">
        <v>0</v>
      </c>
    </row>
    <row r="298" spans="1:13">
      <c r="A298" s="39" t="s">
        <v>406</v>
      </c>
      <c r="B298" s="50">
        <v>11727.494259027348</v>
      </c>
      <c r="D298" s="50">
        <v>8583.4643795630509</v>
      </c>
      <c r="E298" s="50">
        <v>3144.0298794642945</v>
      </c>
      <c r="F298" s="50"/>
      <c r="G298" s="50">
        <v>0</v>
      </c>
      <c r="H298" s="50">
        <v>1451.9552387243482</v>
      </c>
      <c r="I298" s="50">
        <v>582.34079085264398</v>
      </c>
      <c r="J298" s="50">
        <v>1122.140864005833</v>
      </c>
      <c r="K298" s="50">
        <v>1084.1004217338664</v>
      </c>
      <c r="L298" s="50">
        <v>2229.9635294685536</v>
      </c>
      <c r="M298" s="50">
        <v>5256.9934142421007</v>
      </c>
    </row>
    <row r="299" spans="1:13">
      <c r="A299" s="39" t="s">
        <v>407</v>
      </c>
      <c r="B299" s="50">
        <v>7326.3228780572699</v>
      </c>
      <c r="D299" s="50">
        <v>6863.353141711048</v>
      </c>
      <c r="E299" s="50">
        <v>0</v>
      </c>
      <c r="F299" s="50"/>
      <c r="G299" s="50">
        <v>0</v>
      </c>
      <c r="H299" s="50">
        <v>1058.0823989985806</v>
      </c>
      <c r="I299" s="50">
        <v>3573.4650408978951</v>
      </c>
      <c r="J299" s="50">
        <v>612.39290407909402</v>
      </c>
      <c r="K299" s="50">
        <v>1577.5239170534273</v>
      </c>
      <c r="L299" s="50">
        <v>504.85861702827373</v>
      </c>
      <c r="M299" s="50">
        <v>0</v>
      </c>
    </row>
    <row r="300" spans="1:13">
      <c r="A300" s="39" t="s">
        <v>408</v>
      </c>
      <c r="B300" s="50">
        <v>1071712.7274495102</v>
      </c>
      <c r="D300" s="50">
        <v>163724.65083295427</v>
      </c>
      <c r="E300" s="50">
        <v>901862.74086821475</v>
      </c>
      <c r="F300" s="50"/>
      <c r="G300" s="50">
        <v>26093.015897303783</v>
      </c>
      <c r="H300" s="50">
        <v>87161.613007479857</v>
      </c>
      <c r="I300" s="50">
        <v>256845.18083084474</v>
      </c>
      <c r="J300" s="50">
        <v>218047.99210730306</v>
      </c>
      <c r="K300" s="50">
        <v>197861.16155526994</v>
      </c>
      <c r="L300" s="50">
        <v>158648.27177297481</v>
      </c>
      <c r="M300" s="50">
        <v>127055.49227833826</v>
      </c>
    </row>
    <row r="301" spans="1:13">
      <c r="A301" s="132"/>
      <c r="B301" s="133"/>
      <c r="C301" s="133"/>
      <c r="D301" s="133"/>
      <c r="E301" s="133"/>
      <c r="F301" s="133"/>
      <c r="G301" s="133"/>
      <c r="H301" s="133"/>
      <c r="I301" s="133"/>
      <c r="J301" s="133"/>
      <c r="K301" s="133"/>
      <c r="L301" s="133"/>
      <c r="M301" s="133"/>
    </row>
    <row r="302" spans="1:13">
      <c r="A302" s="29" t="s">
        <v>147</v>
      </c>
    </row>
    <row r="303" spans="1:13">
      <c r="A303" s="16" t="s">
        <v>119</v>
      </c>
    </row>
    <row r="304" spans="1:13">
      <c r="A304" s="16" t="s">
        <v>120</v>
      </c>
    </row>
    <row r="305" spans="1:1">
      <c r="A305" s="29" t="s">
        <v>118</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B159&lt;'34'!$C$104</xm:f>
            <x14:dxf>
              <font>
                <color rgb="FFFF0000"/>
              </font>
              <numFmt numFmtId="172" formatCode="\*\*0.0%"/>
            </x14:dxf>
          </x14:cfRule>
          <x14:cfRule type="expression" priority="4" id="{767842BC-2D6D-4943-A760-DEC36DBD32AF}">
            <xm:f>B159&lt;'34'!$C$103</xm:f>
            <x14:dxf>
              <font>
                <color rgb="FF00B050"/>
              </font>
              <numFmt numFmtId="171" formatCode="\*0.0%"/>
            </x14:dxf>
          </x14:cfRule>
          <xm:sqref>B16:M157</xm:sqref>
        </x14:conditionalFormatting>
        <x14:conditionalFormatting xmlns:xm="http://schemas.microsoft.com/office/excel/2006/main">
          <x14:cfRule type="expression" priority="1" id="{65207585-0AA8-41C6-B943-9579A529B922}">
            <xm:f>B159&lt;'34'!$C$104</xm:f>
            <x14:dxf>
              <font>
                <color rgb="FFFF0000"/>
              </font>
              <numFmt numFmtId="170" formatCode="\*\*#,###,###,##0"/>
            </x14:dxf>
          </x14:cfRule>
          <x14:cfRule type="expression" priority="2" id="{7DAE0285-42A3-4634-A750-BD06D1D2DFF9}">
            <xm:f>B159&lt;'34'!$C$103</xm:f>
            <x14:dxf>
              <font>
                <color rgb="FF00B050"/>
              </font>
              <numFmt numFmtId="169" formatCode="\*#,###,###,##0"/>
            </x14:dxf>
          </x14:cfRule>
          <xm:sqref>B159:M300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zoomScaleNormal="100" zoomScaleSheetLayoutView="40" workbookViewId="0">
      <pane xSplit="1" ySplit="14" topLeftCell="B15" activePane="bottomRight" state="frozen"/>
      <selection pane="bottomRight"/>
      <selection pane="bottomLeft"/>
      <selection pane="topRight"/>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c r="A1" s="34"/>
      <c r="B1" s="34"/>
      <c r="C1" s="34"/>
      <c r="D1" s="34"/>
      <c r="E1" s="34"/>
      <c r="F1" s="55"/>
      <c r="G1" s="34"/>
      <c r="H1" s="34"/>
      <c r="I1" s="34"/>
      <c r="J1" s="34"/>
    </row>
    <row r="2" spans="1:10">
      <c r="A2" s="34"/>
      <c r="B2" s="34"/>
      <c r="C2" s="34"/>
      <c r="D2" s="34"/>
      <c r="E2" s="34"/>
      <c r="F2" s="55"/>
      <c r="G2" s="34"/>
      <c r="H2" s="34"/>
      <c r="I2" s="34"/>
      <c r="J2" s="34"/>
    </row>
    <row r="3" spans="1:10">
      <c r="A3" s="34"/>
      <c r="B3" s="34"/>
      <c r="C3" s="34"/>
      <c r="D3" s="34"/>
      <c r="E3" s="34"/>
      <c r="F3" s="55"/>
      <c r="G3" s="34"/>
      <c r="H3" s="34"/>
      <c r="I3" s="34"/>
      <c r="J3" s="34"/>
    </row>
    <row r="4" spans="1:10">
      <c r="A4" s="34"/>
      <c r="B4" s="34"/>
      <c r="C4" s="34"/>
      <c r="D4" s="34"/>
      <c r="E4" s="34"/>
      <c r="F4" s="55"/>
      <c r="G4" s="34"/>
      <c r="H4" s="34"/>
      <c r="I4" s="34"/>
      <c r="J4" s="34"/>
    </row>
    <row r="5" spans="1:10">
      <c r="A5" s="34"/>
      <c r="B5" s="34"/>
      <c r="C5" s="34"/>
      <c r="D5" s="34"/>
      <c r="E5" s="34"/>
      <c r="F5" s="55"/>
      <c r="G5" s="34"/>
      <c r="H5" s="34"/>
      <c r="I5" s="34"/>
      <c r="J5" s="34"/>
    </row>
    <row r="6" spans="1:10">
      <c r="A6" s="34"/>
      <c r="B6" s="34"/>
      <c r="C6" s="34"/>
      <c r="D6" s="34"/>
      <c r="E6" s="34"/>
      <c r="F6" s="55"/>
      <c r="G6" s="34"/>
      <c r="H6" s="34"/>
      <c r="I6" s="34"/>
      <c r="J6" s="34"/>
    </row>
    <row r="7" spans="1:10">
      <c r="A7" s="34"/>
      <c r="B7" s="34"/>
      <c r="C7" s="34"/>
      <c r="D7" s="34"/>
      <c r="E7" s="34"/>
      <c r="F7" s="55"/>
      <c r="G7" s="34"/>
      <c r="H7" s="34"/>
      <c r="I7" s="34"/>
      <c r="J7" s="34"/>
    </row>
    <row r="8" spans="1:10">
      <c r="A8" s="35" t="s">
        <v>0</v>
      </c>
      <c r="B8" s="35"/>
      <c r="C8" s="35"/>
      <c r="D8" s="34"/>
      <c r="E8" s="34"/>
      <c r="F8" s="55"/>
      <c r="G8" s="35"/>
      <c r="H8" s="34"/>
      <c r="I8" s="34"/>
      <c r="J8" s="35"/>
    </row>
    <row r="9" spans="1:10">
      <c r="A9" s="34" t="s">
        <v>1</v>
      </c>
      <c r="B9" s="35" t="s">
        <v>2</v>
      </c>
      <c r="C9" s="35"/>
      <c r="D9" s="34"/>
      <c r="E9" s="34"/>
      <c r="F9" s="55"/>
      <c r="G9" s="34"/>
      <c r="H9" s="34"/>
      <c r="I9" s="34"/>
      <c r="J9" s="35"/>
    </row>
    <row r="10" spans="1:10">
      <c r="A10" s="34" t="s">
        <v>47</v>
      </c>
      <c r="B10" s="36">
        <v>18</v>
      </c>
      <c r="C10" s="35"/>
      <c r="D10" s="34"/>
      <c r="E10" s="34"/>
      <c r="F10" s="55"/>
      <c r="G10" s="34"/>
      <c r="H10" s="34"/>
      <c r="I10" s="34"/>
      <c r="J10" s="35"/>
    </row>
    <row r="11" spans="1:10">
      <c r="A11" s="34" t="s">
        <v>3</v>
      </c>
      <c r="B11" s="35" t="s">
        <v>26</v>
      </c>
      <c r="C11" s="35"/>
      <c r="D11" s="34"/>
      <c r="E11" s="34"/>
      <c r="F11" s="55"/>
      <c r="G11" s="34"/>
      <c r="H11" s="34"/>
      <c r="I11" s="34"/>
      <c r="J11" s="35"/>
    </row>
    <row r="12" spans="1:10">
      <c r="A12" s="130" t="s">
        <v>48</v>
      </c>
      <c r="B12" s="131" t="s">
        <v>121</v>
      </c>
      <c r="C12" s="131"/>
      <c r="D12" s="130"/>
      <c r="E12" s="130"/>
      <c r="F12" s="184"/>
      <c r="G12" s="130"/>
      <c r="H12" s="130"/>
      <c r="I12" s="130"/>
      <c r="J12" s="131"/>
    </row>
    <row r="13" spans="1:10" ht="24.95" customHeight="1">
      <c r="A13" s="47"/>
      <c r="B13" s="56"/>
      <c r="C13" s="56"/>
      <c r="D13" s="56"/>
      <c r="E13" s="56"/>
      <c r="F13" s="57"/>
      <c r="G13" s="165" t="s">
        <v>59</v>
      </c>
      <c r="H13" s="165"/>
      <c r="I13" s="165"/>
      <c r="J13" s="165"/>
    </row>
    <row r="14" spans="1:10" s="97" customFormat="1" ht="24.95" customHeight="1">
      <c r="A14" s="101"/>
      <c r="B14" s="42" t="s">
        <v>58</v>
      </c>
      <c r="C14" s="42"/>
      <c r="D14" s="42" t="s">
        <v>56</v>
      </c>
      <c r="E14" s="42" t="s">
        <v>57</v>
      </c>
      <c r="F14" s="58"/>
      <c r="G14" s="42" t="s">
        <v>122</v>
      </c>
      <c r="H14" s="42" t="s">
        <v>123</v>
      </c>
      <c r="I14" s="42" t="s">
        <v>124</v>
      </c>
      <c r="J14" s="42" t="s">
        <v>125</v>
      </c>
    </row>
    <row r="15" spans="1:10" ht="15" customHeight="1">
      <c r="A15" s="72"/>
      <c r="B15" s="156" t="s">
        <v>143</v>
      </c>
      <c r="C15" s="156"/>
      <c r="D15" s="156"/>
      <c r="E15" s="156"/>
      <c r="F15" s="156"/>
      <c r="G15" s="156"/>
      <c r="H15" s="156"/>
      <c r="I15" s="156"/>
      <c r="J15" s="156"/>
    </row>
    <row r="16" spans="1:10" ht="15" customHeight="1">
      <c r="A16" s="39" t="s">
        <v>267</v>
      </c>
      <c r="B16" s="4">
        <v>1.2498114999062518E-3</v>
      </c>
      <c r="D16" s="4">
        <v>1.9475925607115177E-3</v>
      </c>
      <c r="E16" s="4">
        <v>5.2258793888721366E-4</v>
      </c>
      <c r="F16" s="4"/>
      <c r="G16" s="4">
        <v>1.3265469669917519E-3</v>
      </c>
      <c r="H16" s="4">
        <v>8.7362162899194554E-4</v>
      </c>
      <c r="I16" s="4">
        <v>1.6938061990861991E-3</v>
      </c>
      <c r="J16" s="4">
        <v>1.1751798189989333E-3</v>
      </c>
    </row>
    <row r="17" spans="1:10">
      <c r="A17" s="39" t="s">
        <v>268</v>
      </c>
      <c r="B17" s="4">
        <v>3.2388851930521684E-3</v>
      </c>
      <c r="D17" s="4">
        <v>4.3254622523377154E-3</v>
      </c>
      <c r="E17" s="4">
        <v>1.872870531332212E-3</v>
      </c>
      <c r="F17" s="4"/>
      <c r="G17" s="4">
        <v>3.0560184795505128E-3</v>
      </c>
      <c r="H17" s="4">
        <v>4.2392461982531738E-3</v>
      </c>
      <c r="I17" s="4">
        <v>2.8235341471154751E-3</v>
      </c>
      <c r="J17" s="4">
        <v>2.63962363998572E-3</v>
      </c>
    </row>
    <row r="18" spans="1:10">
      <c r="A18" s="39" t="s">
        <v>269</v>
      </c>
      <c r="B18" s="4">
        <v>2.2927123021454872E-3</v>
      </c>
      <c r="D18" s="4">
        <v>3.5965723081113985E-3</v>
      </c>
      <c r="E18" s="4">
        <v>7.4734119324277898E-4</v>
      </c>
      <c r="F18" s="4"/>
      <c r="G18" s="4">
        <v>1.2638148976692255E-3</v>
      </c>
      <c r="H18" s="4">
        <v>1.8485080218667491E-3</v>
      </c>
      <c r="I18" s="4">
        <v>2.4566358798536621E-3</v>
      </c>
      <c r="J18" s="4">
        <v>4.2774162427583811E-3</v>
      </c>
    </row>
    <row r="19" spans="1:10">
      <c r="A19" s="39" t="s">
        <v>270</v>
      </c>
      <c r="B19" s="4">
        <v>2.9709676231725667E-2</v>
      </c>
      <c r="D19" s="4">
        <v>3.083697265586741E-2</v>
      </c>
      <c r="E19" s="4">
        <v>2.8490440425319837E-2</v>
      </c>
      <c r="F19" s="4"/>
      <c r="G19" s="4">
        <v>1.1659549088642661E-2</v>
      </c>
      <c r="H19" s="4">
        <v>3.5861379938069732E-2</v>
      </c>
      <c r="I19" s="4">
        <v>4.7094379295561595E-2</v>
      </c>
      <c r="J19" s="4">
        <v>3.1976490528249697E-2</v>
      </c>
    </row>
    <row r="20" spans="1:10">
      <c r="A20" s="39" t="s">
        <v>271</v>
      </c>
      <c r="B20" s="4">
        <v>5.3769039769701266E-2</v>
      </c>
      <c r="D20" s="4">
        <v>8.0217292048644209E-2</v>
      </c>
      <c r="E20" s="4">
        <v>2.5291704834337334E-2</v>
      </c>
      <c r="F20" s="4"/>
      <c r="G20" s="4">
        <v>1.5144370846646877E-2</v>
      </c>
      <c r="H20" s="4">
        <v>6.9922158542038343E-2</v>
      </c>
      <c r="I20" s="4">
        <v>6.8983964601498179E-2</v>
      </c>
      <c r="J20" s="4">
        <v>7.6737546725245867E-2</v>
      </c>
    </row>
    <row r="21" spans="1:10">
      <c r="A21" s="39" t="s">
        <v>272</v>
      </c>
      <c r="B21" s="4">
        <v>9.7457317785874433E-3</v>
      </c>
      <c r="D21" s="4">
        <v>1.120701448134572E-2</v>
      </c>
      <c r="E21" s="4">
        <v>8.082702154155021E-3</v>
      </c>
      <c r="F21" s="4"/>
      <c r="G21" s="4">
        <v>1.7181044273397031E-3</v>
      </c>
      <c r="H21" s="4">
        <v>8.4981506246472934E-3</v>
      </c>
      <c r="I21" s="4">
        <v>1.4687614693609652E-2</v>
      </c>
      <c r="J21" s="4">
        <v>1.8697788355263815E-2</v>
      </c>
    </row>
    <row r="22" spans="1:10">
      <c r="A22" s="39" t="s">
        <v>273</v>
      </c>
      <c r="B22" s="4">
        <v>5.4035985479183911E-3</v>
      </c>
      <c r="D22" s="4">
        <v>8.1662401276012941E-3</v>
      </c>
      <c r="E22" s="4">
        <v>2.2781834689232752E-3</v>
      </c>
      <c r="F22" s="4"/>
      <c r="G22" s="4">
        <v>2.0113921233075971E-3</v>
      </c>
      <c r="H22" s="4">
        <v>6.3787019402488264E-3</v>
      </c>
      <c r="I22" s="4">
        <v>6.9519044837365153E-3</v>
      </c>
      <c r="J22" s="4">
        <v>7.7826348116174513E-3</v>
      </c>
    </row>
    <row r="23" spans="1:10">
      <c r="A23" s="39" t="s">
        <v>274</v>
      </c>
      <c r="B23" s="4">
        <v>6.7465149172016195E-2</v>
      </c>
      <c r="D23" s="4">
        <v>9.3019146355410573E-2</v>
      </c>
      <c r="E23" s="4">
        <v>4.0573742884195907E-2</v>
      </c>
      <c r="F23" s="4"/>
      <c r="G23" s="4">
        <v>1.0330307662709466E-2</v>
      </c>
      <c r="H23" s="4">
        <v>6.5513759438150992E-2</v>
      </c>
      <c r="I23" s="4">
        <v>0.12113776300049733</v>
      </c>
      <c r="J23" s="4">
        <v>0.10371573425848984</v>
      </c>
    </row>
    <row r="24" spans="1:10">
      <c r="A24" s="39" t="s">
        <v>275</v>
      </c>
      <c r="B24" s="4">
        <v>7.4754406468883995E-4</v>
      </c>
      <c r="D24" s="4">
        <v>9.4488325455835669E-4</v>
      </c>
      <c r="E24" s="4">
        <v>2.8130710457158388E-4</v>
      </c>
      <c r="F24" s="4"/>
      <c r="G24" s="4">
        <v>1.5079763914078352E-3</v>
      </c>
      <c r="H24" s="4">
        <v>3.6425988534770901E-4</v>
      </c>
      <c r="I24" s="4">
        <v>4.4326522021175208E-4</v>
      </c>
      <c r="J24" s="4">
        <v>3.8452303560541207E-4</v>
      </c>
    </row>
    <row r="25" spans="1:10">
      <c r="A25" s="39" t="s">
        <v>276</v>
      </c>
      <c r="B25" s="4">
        <v>9.7282882987639814E-5</v>
      </c>
      <c r="D25" s="4">
        <v>1.9003231352150368E-4</v>
      </c>
      <c r="E25" s="4">
        <v>0</v>
      </c>
      <c r="F25" s="4"/>
      <c r="G25" s="4">
        <v>0</v>
      </c>
      <c r="H25" s="4">
        <v>3.6267021799291272E-4</v>
      </c>
      <c r="I25" s="4">
        <v>0</v>
      </c>
      <c r="J25" s="4">
        <v>0</v>
      </c>
    </row>
    <row r="26" spans="1:10">
      <c r="A26" s="39" t="s">
        <v>277</v>
      </c>
      <c r="B26" s="4">
        <v>2.6918842935745238E-4</v>
      </c>
      <c r="D26" s="4">
        <v>2.7631365402754532E-4</v>
      </c>
      <c r="E26" s="4">
        <v>2.6407171874095911E-4</v>
      </c>
      <c r="F26" s="4"/>
      <c r="G26" s="4">
        <v>4.0278936550701004E-4</v>
      </c>
      <c r="H26" s="4">
        <v>0</v>
      </c>
      <c r="I26" s="4">
        <v>0</v>
      </c>
      <c r="J26" s="4">
        <v>6.8230347476945399E-4</v>
      </c>
    </row>
    <row r="27" spans="1:10">
      <c r="A27" s="39" t="s">
        <v>278</v>
      </c>
      <c r="B27" s="4">
        <v>1.3353053774411774E-3</v>
      </c>
      <c r="D27" s="4">
        <v>1.9224842976864644E-3</v>
      </c>
      <c r="E27" s="4">
        <v>7.2590458108944564E-4</v>
      </c>
      <c r="F27" s="4"/>
      <c r="G27" s="4">
        <v>9.5986682780828825E-4</v>
      </c>
      <c r="H27" s="4">
        <v>2.3901178886150888E-3</v>
      </c>
      <c r="I27" s="4">
        <v>1.5577055330855713E-3</v>
      </c>
      <c r="J27" s="4">
        <v>3.2241666112512167E-4</v>
      </c>
    </row>
    <row r="28" spans="1:10">
      <c r="A28" s="39" t="s">
        <v>279</v>
      </c>
      <c r="B28" s="4">
        <v>0</v>
      </c>
      <c r="D28" s="4">
        <v>0</v>
      </c>
      <c r="E28" s="4">
        <v>0</v>
      </c>
      <c r="F28" s="4"/>
      <c r="G28" s="4">
        <v>0</v>
      </c>
      <c r="H28" s="4">
        <v>0</v>
      </c>
      <c r="I28" s="4">
        <v>0</v>
      </c>
      <c r="J28" s="4">
        <v>0</v>
      </c>
    </row>
    <row r="29" spans="1:10">
      <c r="A29" s="39" t="s">
        <v>280</v>
      </c>
      <c r="B29" s="4">
        <v>7.9558416858247668E-5</v>
      </c>
      <c r="D29" s="4">
        <v>1.5540935415742039E-4</v>
      </c>
      <c r="E29" s="4">
        <v>0</v>
      </c>
      <c r="F29" s="4"/>
      <c r="G29" s="4">
        <v>0</v>
      </c>
      <c r="H29" s="4">
        <v>0</v>
      </c>
      <c r="I29" s="4">
        <v>0</v>
      </c>
      <c r="J29" s="4">
        <v>3.8375353808145144E-4</v>
      </c>
    </row>
    <row r="30" spans="1:10">
      <c r="A30" s="39" t="s">
        <v>281</v>
      </c>
      <c r="B30" s="4">
        <v>0</v>
      </c>
      <c r="D30" s="4">
        <v>0</v>
      </c>
      <c r="E30" s="4">
        <v>0</v>
      </c>
      <c r="F30" s="4"/>
      <c r="G30" s="4">
        <v>0</v>
      </c>
      <c r="H30" s="4">
        <v>0</v>
      </c>
      <c r="I30" s="4">
        <v>0</v>
      </c>
      <c r="J30" s="4">
        <v>0</v>
      </c>
    </row>
    <row r="31" spans="1:10">
      <c r="A31" s="39" t="s">
        <v>282</v>
      </c>
      <c r="B31" s="4">
        <v>0</v>
      </c>
      <c r="D31" s="4">
        <v>0</v>
      </c>
      <c r="E31" s="4">
        <v>0</v>
      </c>
      <c r="F31" s="4"/>
      <c r="G31" s="4">
        <v>0</v>
      </c>
      <c r="H31" s="4">
        <v>0</v>
      </c>
      <c r="I31" s="4">
        <v>0</v>
      </c>
      <c r="J31" s="4">
        <v>0</v>
      </c>
    </row>
    <row r="32" spans="1:10">
      <c r="A32" s="39" t="s">
        <v>283</v>
      </c>
      <c r="B32" s="4">
        <v>0</v>
      </c>
      <c r="D32" s="4">
        <v>0</v>
      </c>
      <c r="E32" s="4">
        <v>0</v>
      </c>
      <c r="F32" s="4"/>
      <c r="G32" s="4">
        <v>0</v>
      </c>
      <c r="H32" s="4">
        <v>0</v>
      </c>
      <c r="I32" s="4">
        <v>0</v>
      </c>
      <c r="J32" s="4">
        <v>0</v>
      </c>
    </row>
    <row r="33" spans="1:10">
      <c r="A33" s="39" t="s">
        <v>284</v>
      </c>
      <c r="B33" s="4">
        <v>3.635105234204269E-4</v>
      </c>
      <c r="D33" s="4">
        <v>5.2676092746197813E-4</v>
      </c>
      <c r="E33" s="4">
        <v>1.9401220346673784E-4</v>
      </c>
      <c r="F33" s="4"/>
      <c r="G33" s="4">
        <v>0</v>
      </c>
      <c r="H33" s="4">
        <v>7.3811134480895803E-4</v>
      </c>
      <c r="I33" s="4">
        <v>0</v>
      </c>
      <c r="J33" s="4">
        <v>7.9838859867007133E-4</v>
      </c>
    </row>
    <row r="34" spans="1:10">
      <c r="A34" s="39" t="s">
        <v>285</v>
      </c>
      <c r="B34" s="4">
        <v>3.2916060990768191E-3</v>
      </c>
      <c r="D34" s="4">
        <v>4.443073743962073E-3</v>
      </c>
      <c r="E34" s="4">
        <v>2.102621906513781E-3</v>
      </c>
      <c r="F34" s="4"/>
      <c r="G34" s="4">
        <v>4.0286293146418674E-4</v>
      </c>
      <c r="H34" s="4">
        <v>2.4130048547070264E-3</v>
      </c>
      <c r="I34" s="4">
        <v>4.1452124135553502E-3</v>
      </c>
      <c r="J34" s="4">
        <v>7.9936537115095387E-3</v>
      </c>
    </row>
    <row r="35" spans="1:10">
      <c r="A35" s="39" t="s">
        <v>286</v>
      </c>
      <c r="B35" s="4">
        <v>0</v>
      </c>
      <c r="D35" s="4">
        <v>0</v>
      </c>
      <c r="E35" s="4">
        <v>0</v>
      </c>
      <c r="F35" s="4"/>
      <c r="G35" s="4">
        <v>0</v>
      </c>
      <c r="H35" s="4">
        <v>0</v>
      </c>
      <c r="I35" s="4">
        <v>0</v>
      </c>
      <c r="J35" s="4">
        <v>0</v>
      </c>
    </row>
    <row r="36" spans="1:10">
      <c r="A36" s="39" t="s">
        <v>287</v>
      </c>
      <c r="B36" s="4">
        <v>1.7308869397497061E-2</v>
      </c>
      <c r="D36" s="4">
        <v>1.6680896480705802E-2</v>
      </c>
      <c r="E36" s="4">
        <v>1.799516791889471E-2</v>
      </c>
      <c r="F36" s="4"/>
      <c r="G36" s="4">
        <v>1.3482234840969559E-2</v>
      </c>
      <c r="H36" s="4">
        <v>1.6267874080142918E-2</v>
      </c>
      <c r="I36" s="4">
        <v>2.0674512583978198E-2</v>
      </c>
      <c r="J36" s="4">
        <v>2.1143686266626917E-2</v>
      </c>
    </row>
    <row r="37" spans="1:10">
      <c r="A37" s="39" t="s">
        <v>288</v>
      </c>
      <c r="B37" s="4">
        <v>2.2067625348977391E-3</v>
      </c>
      <c r="D37" s="4">
        <v>1.0803292067469801E-3</v>
      </c>
      <c r="E37" s="4">
        <v>3.418765991588869E-3</v>
      </c>
      <c r="F37" s="4"/>
      <c r="G37" s="4">
        <v>1.1467160882187679E-3</v>
      </c>
      <c r="H37" s="4">
        <v>3.4701559709378591E-3</v>
      </c>
      <c r="I37" s="4">
        <v>3.6253073618145995E-3</v>
      </c>
      <c r="J37" s="4">
        <v>7.7509083543257867E-4</v>
      </c>
    </row>
    <row r="38" spans="1:10">
      <c r="A38" s="39" t="s">
        <v>289</v>
      </c>
      <c r="B38" s="4">
        <v>3.5421585089870334E-4</v>
      </c>
      <c r="D38" s="4">
        <v>6.919249878811765E-4</v>
      </c>
      <c r="E38" s="4">
        <v>0</v>
      </c>
      <c r="F38" s="4"/>
      <c r="G38" s="4">
        <v>0</v>
      </c>
      <c r="H38" s="4">
        <v>0</v>
      </c>
      <c r="I38" s="4">
        <v>1.3146608750286527E-3</v>
      </c>
      <c r="J38" s="4">
        <v>3.9392309676680644E-4</v>
      </c>
    </row>
    <row r="39" spans="1:10">
      <c r="A39" s="39" t="s">
        <v>290</v>
      </c>
      <c r="B39" s="4">
        <v>1.6599215078211839E-3</v>
      </c>
      <c r="D39" s="4">
        <v>1.9498386906351959E-3</v>
      </c>
      <c r="E39" s="4">
        <v>1.3680431055276875E-3</v>
      </c>
      <c r="F39" s="4"/>
      <c r="G39" s="4">
        <v>0</v>
      </c>
      <c r="H39" s="4">
        <v>2.5306426510194949E-3</v>
      </c>
      <c r="I39" s="4">
        <v>1.8497847378428258E-3</v>
      </c>
      <c r="J39" s="4">
        <v>2.8826076900320295E-3</v>
      </c>
    </row>
    <row r="40" spans="1:10">
      <c r="A40" s="39" t="s">
        <v>291</v>
      </c>
      <c r="B40" s="4">
        <v>1.968956628744615E-3</v>
      </c>
      <c r="D40" s="4">
        <v>1.1741471995334147E-3</v>
      </c>
      <c r="E40" s="4">
        <v>2.8278531374609605E-3</v>
      </c>
      <c r="F40" s="4"/>
      <c r="G40" s="4">
        <v>3.7518252465069902E-4</v>
      </c>
      <c r="H40" s="4">
        <v>3.0866075077215331E-3</v>
      </c>
      <c r="I40" s="4">
        <v>2.6347037027365625E-3</v>
      </c>
      <c r="J40" s="4">
        <v>2.2950824763822721E-3</v>
      </c>
    </row>
    <row r="41" spans="1:10">
      <c r="A41" s="39" t="s">
        <v>292</v>
      </c>
      <c r="B41" s="4">
        <v>3.2375708235780003E-2</v>
      </c>
      <c r="D41" s="4">
        <v>5.2146693001290524E-2</v>
      </c>
      <c r="E41" s="4">
        <v>1.1614451302537181E-2</v>
      </c>
      <c r="F41" s="4"/>
      <c r="G41" s="4">
        <v>5.4199541689236054E-3</v>
      </c>
      <c r="H41" s="4">
        <v>3.2559003025214445E-2</v>
      </c>
      <c r="I41" s="4">
        <v>5.250430913304896E-2</v>
      </c>
      <c r="J41" s="4">
        <v>5.3243748462347258E-2</v>
      </c>
    </row>
    <row r="42" spans="1:10">
      <c r="A42" s="39" t="s">
        <v>293</v>
      </c>
      <c r="B42" s="4">
        <v>3.7092483935413601E-4</v>
      </c>
      <c r="D42" s="4">
        <v>7.2456431388874759E-4</v>
      </c>
      <c r="E42" s="4">
        <v>0</v>
      </c>
      <c r="F42" s="4"/>
      <c r="G42" s="4">
        <v>0</v>
      </c>
      <c r="H42" s="4">
        <v>1.3828063911782138E-3</v>
      </c>
      <c r="I42" s="4">
        <v>0</v>
      </c>
      <c r="J42" s="4">
        <v>0</v>
      </c>
    </row>
    <row r="43" spans="1:10">
      <c r="A43" s="39" t="s">
        <v>294</v>
      </c>
      <c r="B43" s="4">
        <v>1.1636718839574064E-3</v>
      </c>
      <c r="D43" s="4">
        <v>8.4430986882952797E-4</v>
      </c>
      <c r="E43" s="4">
        <v>1.5121393576377879E-3</v>
      </c>
      <c r="F43" s="4"/>
      <c r="G43" s="4">
        <v>4.0811455345887623E-4</v>
      </c>
      <c r="H43" s="4">
        <v>1.7726202222042222E-3</v>
      </c>
      <c r="I43" s="4">
        <v>7.2897480531778811E-4</v>
      </c>
      <c r="J43" s="4">
        <v>1.9662268709180405E-3</v>
      </c>
    </row>
    <row r="44" spans="1:10">
      <c r="A44" s="39" t="s">
        <v>295</v>
      </c>
      <c r="B44" s="4">
        <v>0</v>
      </c>
      <c r="D44" s="4">
        <v>0</v>
      </c>
      <c r="E44" s="4">
        <v>0</v>
      </c>
      <c r="F44" s="4"/>
      <c r="G44" s="4">
        <v>0</v>
      </c>
      <c r="H44" s="4">
        <v>0</v>
      </c>
      <c r="I44" s="4">
        <v>0</v>
      </c>
      <c r="J44" s="4">
        <v>0</v>
      </c>
    </row>
    <row r="45" spans="1:10">
      <c r="A45" s="39" t="s">
        <v>296</v>
      </c>
      <c r="B45" s="4">
        <v>2.8293464248518804E-2</v>
      </c>
      <c r="D45" s="4">
        <v>3.3598737402618463E-2</v>
      </c>
      <c r="E45" s="4">
        <v>2.2804853092113206E-2</v>
      </c>
      <c r="F45" s="4"/>
      <c r="G45" s="4">
        <v>2.4240399619379439E-2</v>
      </c>
      <c r="H45" s="4">
        <v>2.5538862205452463E-2</v>
      </c>
      <c r="I45" s="4">
        <v>3.6077967438891773E-2</v>
      </c>
      <c r="J45" s="4">
        <v>3.0272999234335834E-2</v>
      </c>
    </row>
    <row r="46" spans="1:10">
      <c r="A46" s="39" t="s">
        <v>297</v>
      </c>
      <c r="B46" s="4">
        <v>2.6764692876659082E-2</v>
      </c>
      <c r="D46" s="4">
        <v>9.3698629940847655E-3</v>
      </c>
      <c r="E46" s="4">
        <v>4.5415075798858638E-2</v>
      </c>
      <c r="F46" s="4"/>
      <c r="G46" s="4">
        <v>1.947611481788741E-2</v>
      </c>
      <c r="H46" s="4">
        <v>3.564735058226523E-2</v>
      </c>
      <c r="I46" s="4">
        <v>2.5270802411484345E-2</v>
      </c>
      <c r="J46" s="4">
        <v>2.7914757125161598E-2</v>
      </c>
    </row>
    <row r="47" spans="1:10">
      <c r="A47" s="39" t="s">
        <v>298</v>
      </c>
      <c r="B47" s="4">
        <v>5.3634187479735779E-2</v>
      </c>
      <c r="D47" s="4">
        <v>1.4402823980089718E-2</v>
      </c>
      <c r="E47" s="4">
        <v>9.5399046698554535E-2</v>
      </c>
      <c r="F47" s="4"/>
      <c r="G47" s="4">
        <v>4.043108788921948E-2</v>
      </c>
      <c r="H47" s="4">
        <v>7.4254266236012181E-2</v>
      </c>
      <c r="I47" s="4">
        <v>6.4243750935742819E-2</v>
      </c>
      <c r="J47" s="4">
        <v>3.65414954151939E-2</v>
      </c>
    </row>
    <row r="48" spans="1:10">
      <c r="A48" s="39" t="s">
        <v>299</v>
      </c>
      <c r="B48" s="4">
        <v>6.5891921896329769E-4</v>
      </c>
      <c r="D48" s="4">
        <v>7.6045253760607132E-4</v>
      </c>
      <c r="E48" s="4">
        <v>5.5739776191790762E-4</v>
      </c>
      <c r="F48" s="4"/>
      <c r="G48" s="4">
        <v>8.0914475129539821E-4</v>
      </c>
      <c r="H48" s="4">
        <v>5.852669606942701E-4</v>
      </c>
      <c r="I48" s="4">
        <v>4.4051549974154355E-4</v>
      </c>
      <c r="J48" s="4">
        <v>7.428210822682963E-4</v>
      </c>
    </row>
    <row r="49" spans="1:10">
      <c r="A49" s="39" t="s">
        <v>300</v>
      </c>
      <c r="B49" s="4">
        <v>5.4523696605949514E-4</v>
      </c>
      <c r="D49" s="4">
        <v>6.1093978956981807E-4</v>
      </c>
      <c r="E49" s="4">
        <v>4.8061204850565571E-4</v>
      </c>
      <c r="F49" s="4"/>
      <c r="G49" s="4">
        <v>3.6116667432336451E-4</v>
      </c>
      <c r="H49" s="4">
        <v>0</v>
      </c>
      <c r="I49" s="4">
        <v>1.2781952104674631E-3</v>
      </c>
      <c r="J49" s="4">
        <v>7.9931791159301865E-4</v>
      </c>
    </row>
    <row r="50" spans="1:10">
      <c r="A50" s="39" t="s">
        <v>301</v>
      </c>
      <c r="B50" s="4">
        <v>1.9028899622351342E-4</v>
      </c>
      <c r="D50" s="4">
        <v>1.9585565061622901E-4</v>
      </c>
      <c r="E50" s="4">
        <v>1.8611125578975329E-4</v>
      </c>
      <c r="F50" s="4"/>
      <c r="G50" s="4">
        <v>0</v>
      </c>
      <c r="H50" s="4">
        <v>0</v>
      </c>
      <c r="I50" s="4">
        <v>4.8363090023183632E-4</v>
      </c>
      <c r="J50" s="4">
        <v>4.3423948359204239E-4</v>
      </c>
    </row>
    <row r="51" spans="1:10">
      <c r="A51" s="39" t="s">
        <v>302</v>
      </c>
      <c r="B51" s="4">
        <v>8.444338589552199E-5</v>
      </c>
      <c r="D51" s="4">
        <v>0</v>
      </c>
      <c r="E51" s="4">
        <v>1.7457225781576375E-4</v>
      </c>
      <c r="F51" s="4"/>
      <c r="G51" s="4">
        <v>0</v>
      </c>
      <c r="H51" s="4">
        <v>0</v>
      </c>
      <c r="I51" s="4">
        <v>0</v>
      </c>
      <c r="J51" s="4">
        <v>4.0731640201843066E-4</v>
      </c>
    </row>
    <row r="52" spans="1:10">
      <c r="A52" s="39" t="s">
        <v>303</v>
      </c>
      <c r="B52" s="4">
        <v>3.9957223183435049E-4</v>
      </c>
      <c r="D52" s="4">
        <v>0</v>
      </c>
      <c r="E52" s="4">
        <v>8.2604724966985727E-4</v>
      </c>
      <c r="F52" s="4"/>
      <c r="G52" s="4">
        <v>0</v>
      </c>
      <c r="H52" s="4">
        <v>0</v>
      </c>
      <c r="I52" s="4">
        <v>1.4979202661706656E-3</v>
      </c>
      <c r="J52" s="4">
        <v>4.2944335121506972E-4</v>
      </c>
    </row>
    <row r="53" spans="1:10">
      <c r="A53" s="39" t="s">
        <v>304</v>
      </c>
      <c r="B53" s="4">
        <v>4.3693799944309096E-3</v>
      </c>
      <c r="D53" s="4">
        <v>1.5916385661003619E-3</v>
      </c>
      <c r="E53" s="4">
        <v>7.3484768430002343E-3</v>
      </c>
      <c r="F53" s="4"/>
      <c r="G53" s="4">
        <v>1.1751148479974085E-3</v>
      </c>
      <c r="H53" s="4">
        <v>4.3987288048775294E-3</v>
      </c>
      <c r="I53" s="4">
        <v>9.0928955281376414E-3</v>
      </c>
      <c r="J53" s="4">
        <v>4.4941235091944592E-3</v>
      </c>
    </row>
    <row r="54" spans="1:10">
      <c r="A54" s="39" t="s">
        <v>305</v>
      </c>
      <c r="B54" s="4">
        <v>1.1368867665407015E-3</v>
      </c>
      <c r="D54" s="4">
        <v>1.3130834530304559E-3</v>
      </c>
      <c r="E54" s="4">
        <v>9.6065146278499693E-4</v>
      </c>
      <c r="F54" s="4"/>
      <c r="G54" s="4">
        <v>7.07814729462555E-4</v>
      </c>
      <c r="H54" s="4">
        <v>8.4143924086864592E-4</v>
      </c>
      <c r="I54" s="4">
        <v>1.7520490940760827E-3</v>
      </c>
      <c r="J54" s="4">
        <v>1.5603419685183942E-3</v>
      </c>
    </row>
    <row r="55" spans="1:10">
      <c r="A55" s="39" t="s">
        <v>306</v>
      </c>
      <c r="B55" s="4">
        <v>6.5894993252813103E-4</v>
      </c>
      <c r="D55" s="4">
        <v>9.5050395983105394E-4</v>
      </c>
      <c r="E55" s="4">
        <v>3.5632531167578701E-4</v>
      </c>
      <c r="F55" s="4"/>
      <c r="G55" s="4">
        <v>3.5583014735042474E-4</v>
      </c>
      <c r="H55" s="4">
        <v>8.1858295258471347E-4</v>
      </c>
      <c r="I55" s="4">
        <v>0</v>
      </c>
      <c r="J55" s="4">
        <v>1.575027570495957E-3</v>
      </c>
    </row>
    <row r="56" spans="1:10">
      <c r="A56" s="39" t="s">
        <v>307</v>
      </c>
      <c r="B56" s="4">
        <v>2.7558635591469496E-3</v>
      </c>
      <c r="D56" s="4">
        <v>3.5095046926807145E-3</v>
      </c>
      <c r="E56" s="4">
        <v>1.983084189685097E-3</v>
      </c>
      <c r="F56" s="4"/>
      <c r="G56" s="4">
        <v>1.5154642699849285E-3</v>
      </c>
      <c r="H56" s="4">
        <v>8.91654906006748E-4</v>
      </c>
      <c r="I56" s="4">
        <v>3.7289375335803712E-3</v>
      </c>
      <c r="J56" s="4">
        <v>6.092254034273846E-3</v>
      </c>
    </row>
    <row r="57" spans="1:10">
      <c r="A57" s="39" t="s">
        <v>308</v>
      </c>
      <c r="B57" s="4">
        <v>1.5594037007617972E-2</v>
      </c>
      <c r="D57" s="4">
        <v>1.7359934135777213E-2</v>
      </c>
      <c r="E57" s="4">
        <v>1.3291330546092444E-2</v>
      </c>
      <c r="F57" s="4"/>
      <c r="G57" s="4">
        <v>9.0639384060648091E-3</v>
      </c>
      <c r="H57" s="4">
        <v>1.7308395481593849E-2</v>
      </c>
      <c r="I57" s="4">
        <v>8.3855222814892619E-3</v>
      </c>
      <c r="J57" s="4">
        <v>3.0573309871166243E-2</v>
      </c>
    </row>
    <row r="58" spans="1:10">
      <c r="A58" s="39" t="s">
        <v>309</v>
      </c>
      <c r="B58" s="4">
        <v>2.8988429354349763E-4</v>
      </c>
      <c r="D58" s="4">
        <v>3.0454943914338321E-4</v>
      </c>
      <c r="E58" s="4">
        <v>2.7697427460505189E-4</v>
      </c>
      <c r="F58" s="4"/>
      <c r="G58" s="4">
        <v>0</v>
      </c>
      <c r="H58" s="4">
        <v>0</v>
      </c>
      <c r="I58" s="4">
        <v>6.4624738966749453E-4</v>
      </c>
      <c r="J58" s="4">
        <v>7.5202632058821064E-4</v>
      </c>
    </row>
    <row r="59" spans="1:10">
      <c r="A59" s="39" t="s">
        <v>310</v>
      </c>
      <c r="B59" s="4">
        <v>4.6182440669360794E-4</v>
      </c>
      <c r="D59" s="4">
        <v>6.5560919352350997E-4</v>
      </c>
      <c r="E59" s="4">
        <v>2.6089615444831562E-4</v>
      </c>
      <c r="F59" s="4"/>
      <c r="G59" s="4">
        <v>4.0286293146418674E-4</v>
      </c>
      <c r="H59" s="4">
        <v>0</v>
      </c>
      <c r="I59" s="4">
        <v>1.3759089155300278E-3</v>
      </c>
      <c r="J59" s="4">
        <v>2.3547872154384747E-4</v>
      </c>
    </row>
    <row r="60" spans="1:10">
      <c r="A60" s="39" t="s">
        <v>311</v>
      </c>
      <c r="B60" s="4">
        <v>0.13114016986517357</v>
      </c>
      <c r="D60" s="4">
        <v>0.18516579761265484</v>
      </c>
      <c r="E60" s="4">
        <v>7.4427092012153667E-2</v>
      </c>
      <c r="F60" s="4"/>
      <c r="G60" s="4">
        <v>4.8962065722103425E-2</v>
      </c>
      <c r="H60" s="4">
        <v>0.16885153429584268</v>
      </c>
      <c r="I60" s="4">
        <v>0.18749258005440175</v>
      </c>
      <c r="J60" s="4">
        <v>0.15170068511912885</v>
      </c>
    </row>
    <row r="61" spans="1:10">
      <c r="A61" s="39" t="s">
        <v>312</v>
      </c>
      <c r="B61" s="4">
        <v>5.288850795016843E-4</v>
      </c>
      <c r="D61" s="4">
        <v>1.908652690556894E-4</v>
      </c>
      <c r="E61" s="4">
        <v>8.9138218682084278E-4</v>
      </c>
      <c r="F61" s="4"/>
      <c r="G61" s="4">
        <v>0</v>
      </c>
      <c r="H61" s="4">
        <v>1.9716815660206655E-3</v>
      </c>
      <c r="I61" s="4">
        <v>0</v>
      </c>
      <c r="J61" s="4">
        <v>0</v>
      </c>
    </row>
    <row r="62" spans="1:10">
      <c r="A62" s="39" t="s">
        <v>313</v>
      </c>
      <c r="B62" s="4">
        <v>3.1759177086329089E-4</v>
      </c>
      <c r="D62" s="4">
        <v>4.4156344692218851E-4</v>
      </c>
      <c r="E62" s="4">
        <v>1.8924955834800667E-4</v>
      </c>
      <c r="F62" s="4"/>
      <c r="G62" s="4">
        <v>3.9710299201088211E-4</v>
      </c>
      <c r="H62" s="4">
        <v>0</v>
      </c>
      <c r="I62" s="4">
        <v>4.8291861202996874E-4</v>
      </c>
      <c r="J62" s="4">
        <v>4.4156185040144716E-4</v>
      </c>
    </row>
    <row r="63" spans="1:10">
      <c r="A63" s="39" t="s">
        <v>314</v>
      </c>
      <c r="B63" s="4">
        <v>1.6366110991613989E-4</v>
      </c>
      <c r="D63" s="4">
        <v>0</v>
      </c>
      <c r="E63" s="4">
        <v>3.3834135346069201E-4</v>
      </c>
      <c r="F63" s="4"/>
      <c r="G63" s="4">
        <v>0</v>
      </c>
      <c r="H63" s="4">
        <v>6.1012799567000708E-4</v>
      </c>
      <c r="I63" s="4">
        <v>0</v>
      </c>
      <c r="J63" s="4">
        <v>0</v>
      </c>
    </row>
    <row r="64" spans="1:10">
      <c r="A64" s="39" t="s">
        <v>315</v>
      </c>
      <c r="B64" s="4">
        <v>7.4707890878954698E-3</v>
      </c>
      <c r="D64" s="4">
        <v>1.1689047724831451E-2</v>
      </c>
      <c r="E64" s="4">
        <v>3.0737811704376339E-3</v>
      </c>
      <c r="F64" s="4"/>
      <c r="G64" s="4">
        <v>1.8368762908720455E-3</v>
      </c>
      <c r="H64" s="4">
        <v>9.4058247122168551E-3</v>
      </c>
      <c r="I64" s="4">
        <v>1.3082198053139933E-2</v>
      </c>
      <c r="J64" s="4">
        <v>7.9738128324596952E-3</v>
      </c>
    </row>
    <row r="65" spans="1:10">
      <c r="A65" s="39" t="s">
        <v>316</v>
      </c>
      <c r="B65" s="4">
        <v>1.88365034676388E-4</v>
      </c>
      <c r="D65" s="4">
        <v>1.5540935415742039E-4</v>
      </c>
      <c r="E65" s="4">
        <v>2.2493907292290305E-4</v>
      </c>
      <c r="F65" s="4"/>
      <c r="G65" s="4">
        <v>3.4310022630340119E-4</v>
      </c>
      <c r="H65" s="4">
        <v>0</v>
      </c>
      <c r="I65" s="4">
        <v>0</v>
      </c>
      <c r="J65" s="4">
        <v>3.8375353808145144E-4</v>
      </c>
    </row>
    <row r="66" spans="1:10">
      <c r="A66" s="39" t="s">
        <v>317</v>
      </c>
      <c r="B66" s="4">
        <v>3.9457367197859614E-4</v>
      </c>
      <c r="D66" s="4">
        <v>1.8661178433397962E-4</v>
      </c>
      <c r="E66" s="4">
        <v>6.1821788747566198E-4</v>
      </c>
      <c r="F66" s="4"/>
      <c r="G66" s="4">
        <v>0</v>
      </c>
      <c r="H66" s="4">
        <v>0</v>
      </c>
      <c r="I66" s="4">
        <v>8.9114386829181546E-4</v>
      </c>
      <c r="J66" s="4">
        <v>1.0121052048878919E-3</v>
      </c>
    </row>
    <row r="67" spans="1:10">
      <c r="A67" s="39" t="s">
        <v>318</v>
      </c>
      <c r="B67" s="4">
        <v>6.7095448140968697E-2</v>
      </c>
      <c r="D67" s="4">
        <v>2.7350369000481486E-2</v>
      </c>
      <c r="E67" s="4">
        <v>0.10911768985564187</v>
      </c>
      <c r="F67" s="4"/>
      <c r="G67" s="4">
        <v>6.2361864747907822E-2</v>
      </c>
      <c r="H67" s="4">
        <v>0.10014704370309926</v>
      </c>
      <c r="I67" s="4">
        <v>7.2149941204387502E-2</v>
      </c>
      <c r="J67" s="4">
        <v>2.651737065512905E-2</v>
      </c>
    </row>
    <row r="68" spans="1:10">
      <c r="A68" s="39" t="s">
        <v>319</v>
      </c>
      <c r="B68" s="4">
        <v>2.0417421819520385E-3</v>
      </c>
      <c r="D68" s="4">
        <v>2.2294652045121172E-3</v>
      </c>
      <c r="E68" s="4">
        <v>1.8614566481587062E-3</v>
      </c>
      <c r="F68" s="4"/>
      <c r="G68" s="4">
        <v>7.8335220245316433E-4</v>
      </c>
      <c r="H68" s="4">
        <v>1.2097517703893181E-3</v>
      </c>
      <c r="I68" s="4">
        <v>4.8570710942638798E-3</v>
      </c>
      <c r="J68" s="4">
        <v>2.2278524673611205E-3</v>
      </c>
    </row>
    <row r="69" spans="1:10">
      <c r="A69" s="39" t="s">
        <v>320</v>
      </c>
      <c r="B69" s="4">
        <v>0</v>
      </c>
      <c r="D69" s="4">
        <v>0</v>
      </c>
      <c r="E69" s="4">
        <v>0</v>
      </c>
      <c r="F69" s="4"/>
      <c r="G69" s="4">
        <v>0</v>
      </c>
      <c r="H69" s="4">
        <v>0</v>
      </c>
      <c r="I69" s="4">
        <v>0</v>
      </c>
      <c r="J69" s="4">
        <v>0</v>
      </c>
    </row>
    <row r="70" spans="1:10">
      <c r="A70" s="39" t="s">
        <v>321</v>
      </c>
      <c r="B70" s="4">
        <v>7.6003132449955985E-3</v>
      </c>
      <c r="D70" s="4">
        <v>7.6547813430667862E-3</v>
      </c>
      <c r="E70" s="4">
        <v>7.6111103805781791E-3</v>
      </c>
      <c r="F70" s="4"/>
      <c r="G70" s="4">
        <v>4.4176360135809008E-4</v>
      </c>
      <c r="H70" s="4">
        <v>9.8441342003658255E-3</v>
      </c>
      <c r="I70" s="4">
        <v>8.0740909323418937E-3</v>
      </c>
      <c r="J70" s="4">
        <v>1.517361449991679E-2</v>
      </c>
    </row>
    <row r="71" spans="1:10">
      <c r="A71" s="39" t="s">
        <v>322</v>
      </c>
      <c r="B71" s="4">
        <v>2.5105048471350594E-4</v>
      </c>
      <c r="D71" s="4">
        <v>0</v>
      </c>
      <c r="E71" s="4">
        <v>5.1900393947257296E-4</v>
      </c>
      <c r="F71" s="4"/>
      <c r="G71" s="4">
        <v>0</v>
      </c>
      <c r="H71" s="4">
        <v>4.6400875271803099E-4</v>
      </c>
      <c r="I71" s="4">
        <v>6.105896759986745E-4</v>
      </c>
      <c r="J71" s="4">
        <v>0</v>
      </c>
    </row>
    <row r="72" spans="1:10">
      <c r="A72" s="39" t="s">
        <v>323</v>
      </c>
      <c r="B72" s="4">
        <v>3.9796666756801349E-4</v>
      </c>
      <c r="D72" s="4">
        <v>1.7878217079925283E-4</v>
      </c>
      <c r="E72" s="4">
        <v>6.335185919735751E-4</v>
      </c>
      <c r="F72" s="4"/>
      <c r="G72" s="4">
        <v>4.2907854996070702E-4</v>
      </c>
      <c r="H72" s="4">
        <v>6.3513988657462421E-4</v>
      </c>
      <c r="I72" s="4">
        <v>4.4147096056201265E-4</v>
      </c>
      <c r="J72" s="4">
        <v>0</v>
      </c>
    </row>
    <row r="73" spans="1:10">
      <c r="A73" s="39" t="s">
        <v>324</v>
      </c>
      <c r="B73" s="4">
        <v>9.8367564920370237E-5</v>
      </c>
      <c r="D73" s="4">
        <v>1.9215113042722723E-4</v>
      </c>
      <c r="E73" s="4">
        <v>0</v>
      </c>
      <c r="F73" s="4"/>
      <c r="G73" s="4">
        <v>0</v>
      </c>
      <c r="H73" s="4">
        <v>0</v>
      </c>
      <c r="I73" s="4">
        <v>4.7448324261615405E-4</v>
      </c>
      <c r="J73" s="4">
        <v>0</v>
      </c>
    </row>
    <row r="74" spans="1:10">
      <c r="A74" s="39" t="s">
        <v>325</v>
      </c>
      <c r="B74" s="4">
        <v>1.8937968894589734E-3</v>
      </c>
      <c r="D74" s="4">
        <v>3.9626790456980654E-4</v>
      </c>
      <c r="E74" s="4">
        <v>3.4957214104554442E-3</v>
      </c>
      <c r="F74" s="4"/>
      <c r="G74" s="4">
        <v>4.1688982413584874E-4</v>
      </c>
      <c r="H74" s="4">
        <v>3.2016006322847018E-3</v>
      </c>
      <c r="I74" s="4">
        <v>2.6999931651320442E-3</v>
      </c>
      <c r="J74" s="4">
        <v>1.6546720710159603E-3</v>
      </c>
    </row>
    <row r="75" spans="1:10">
      <c r="A75" s="39" t="s">
        <v>326</v>
      </c>
      <c r="B75" s="4">
        <v>9.601767106590464E-5</v>
      </c>
      <c r="D75" s="4">
        <v>1.8756084946535651E-4</v>
      </c>
      <c r="E75" s="4">
        <v>0</v>
      </c>
      <c r="F75" s="4"/>
      <c r="G75" s="4">
        <v>0</v>
      </c>
      <c r="H75" s="4">
        <v>3.5795351275792059E-4</v>
      </c>
      <c r="I75" s="4">
        <v>0</v>
      </c>
      <c r="J75" s="4">
        <v>0</v>
      </c>
    </row>
    <row r="76" spans="1:10">
      <c r="A76" s="39" t="s">
        <v>327</v>
      </c>
      <c r="B76" s="4">
        <v>7.3577874363057278E-4</v>
      </c>
      <c r="D76" s="4">
        <v>8.4027108454751826E-4</v>
      </c>
      <c r="E76" s="4">
        <v>6.3181781501154709E-4</v>
      </c>
      <c r="F76" s="4"/>
      <c r="G76" s="4">
        <v>3.3495068148086451E-4</v>
      </c>
      <c r="H76" s="4">
        <v>1.380825316198771E-3</v>
      </c>
      <c r="I76" s="4">
        <v>4.4891526821039837E-4</v>
      </c>
      <c r="J76" s="4">
        <v>8.011723671299772E-4</v>
      </c>
    </row>
    <row r="77" spans="1:10">
      <c r="A77" s="39" t="s">
        <v>328</v>
      </c>
      <c r="B77" s="4">
        <v>6.1688189383006034E-3</v>
      </c>
      <c r="D77" s="4">
        <v>7.8671898204158014E-3</v>
      </c>
      <c r="E77" s="4">
        <v>4.2768326708295806E-3</v>
      </c>
      <c r="F77" s="4"/>
      <c r="G77" s="4">
        <v>2.354218016640373E-3</v>
      </c>
      <c r="H77" s="4">
        <v>9.8510355088087531E-3</v>
      </c>
      <c r="I77" s="4">
        <v>7.2367661981483002E-3</v>
      </c>
      <c r="J77" s="4">
        <v>6.1716854895241709E-3</v>
      </c>
    </row>
    <row r="78" spans="1:10">
      <c r="A78" s="39" t="s">
        <v>329</v>
      </c>
      <c r="B78" s="4">
        <v>1.8281418379272895E-2</v>
      </c>
      <c r="D78" s="4">
        <v>2.2358916586287619E-2</v>
      </c>
      <c r="E78" s="4">
        <v>1.4130731999805968E-2</v>
      </c>
      <c r="F78" s="4"/>
      <c r="G78" s="4">
        <v>4.5237130928268716E-3</v>
      </c>
      <c r="H78" s="4">
        <v>2.7287187917376516E-2</v>
      </c>
      <c r="I78" s="4">
        <v>3.3158533860952986E-2</v>
      </c>
      <c r="J78" s="4">
        <v>1.2796981663997441E-2</v>
      </c>
    </row>
    <row r="79" spans="1:10">
      <c r="A79" s="39" t="s">
        <v>330</v>
      </c>
      <c r="B79" s="4">
        <v>0</v>
      </c>
      <c r="D79" s="4">
        <v>0</v>
      </c>
      <c r="E79" s="4">
        <v>0</v>
      </c>
      <c r="F79" s="4"/>
      <c r="G79" s="4">
        <v>0</v>
      </c>
      <c r="H79" s="4">
        <v>0</v>
      </c>
      <c r="I79" s="4">
        <v>0</v>
      </c>
      <c r="J79" s="4">
        <v>0</v>
      </c>
    </row>
    <row r="80" spans="1:10">
      <c r="A80" s="39" t="s">
        <v>331</v>
      </c>
      <c r="B80" s="4">
        <v>9.47714181973205E-5</v>
      </c>
      <c r="D80" s="4">
        <v>1.8512642000997179E-4</v>
      </c>
      <c r="E80" s="4">
        <v>0</v>
      </c>
      <c r="F80" s="4"/>
      <c r="G80" s="4">
        <v>0</v>
      </c>
      <c r="H80" s="4">
        <v>3.5330748680100968E-4</v>
      </c>
      <c r="I80" s="4">
        <v>0</v>
      </c>
      <c r="J80" s="4">
        <v>0</v>
      </c>
    </row>
    <row r="81" spans="1:10">
      <c r="A81" s="39" t="s">
        <v>332</v>
      </c>
      <c r="B81" s="4">
        <v>1.958300246476619E-4</v>
      </c>
      <c r="D81" s="4">
        <v>1.8308171691319618E-4</v>
      </c>
      <c r="E81" s="4">
        <v>2.110853425499538E-4</v>
      </c>
      <c r="F81" s="4"/>
      <c r="G81" s="4">
        <v>0</v>
      </c>
      <c r="H81" s="4">
        <v>3.4940524036672376E-4</v>
      </c>
      <c r="I81" s="4">
        <v>0</v>
      </c>
      <c r="J81" s="4">
        <v>4.9250965372180306E-4</v>
      </c>
    </row>
    <row r="82" spans="1:10">
      <c r="A82" s="39" t="s">
        <v>333</v>
      </c>
      <c r="B82" s="4">
        <v>8.8931082988215077E-4</v>
      </c>
      <c r="D82" s="4">
        <v>4.0389489208531878E-4</v>
      </c>
      <c r="E82" s="4">
        <v>1.4110464590774924E-3</v>
      </c>
      <c r="F82" s="4"/>
      <c r="G82" s="4">
        <v>7.9247000308058189E-4</v>
      </c>
      <c r="H82" s="4">
        <v>4.6400875271803099E-4</v>
      </c>
      <c r="I82" s="4">
        <v>1.1256480364995793E-3</v>
      </c>
      <c r="J82" s="4">
        <v>1.3513963561519425E-3</v>
      </c>
    </row>
    <row r="83" spans="1:10">
      <c r="A83" s="39" t="s">
        <v>334</v>
      </c>
      <c r="B83" s="4">
        <v>1.0442790658302397E-3</v>
      </c>
      <c r="D83" s="4">
        <v>1.0226146347299774E-3</v>
      </c>
      <c r="E83" s="4">
        <v>1.0766109469481668E-3</v>
      </c>
      <c r="F83" s="4"/>
      <c r="G83" s="4">
        <v>0</v>
      </c>
      <c r="H83" s="4">
        <v>1.5898827088930436E-3</v>
      </c>
      <c r="I83" s="4">
        <v>5.7907975642729041E-4</v>
      </c>
      <c r="J83" s="4">
        <v>2.4009477657987517E-3</v>
      </c>
    </row>
    <row r="84" spans="1:10">
      <c r="A84" s="39" t="s">
        <v>335</v>
      </c>
      <c r="B84" s="4">
        <v>1.3245107482724497E-4</v>
      </c>
      <c r="D84" s="4">
        <v>0</v>
      </c>
      <c r="E84" s="4">
        <v>2.7381994382988129E-4</v>
      </c>
      <c r="F84" s="4"/>
      <c r="G84" s="4">
        <v>0</v>
      </c>
      <c r="H84" s="4">
        <v>4.9377710349204711E-4</v>
      </c>
      <c r="I84" s="4">
        <v>0</v>
      </c>
      <c r="J84" s="4">
        <v>0</v>
      </c>
    </row>
    <row r="85" spans="1:10">
      <c r="A85" s="39" t="s">
        <v>336</v>
      </c>
      <c r="B85" s="4">
        <v>8.1850381531683655E-3</v>
      </c>
      <c r="D85" s="4">
        <v>7.8618253359340803E-3</v>
      </c>
      <c r="E85" s="4">
        <v>8.6008095341506639E-3</v>
      </c>
      <c r="F85" s="4"/>
      <c r="G85" s="4">
        <v>0</v>
      </c>
      <c r="H85" s="4">
        <v>1.5726291119294362E-2</v>
      </c>
      <c r="I85" s="4">
        <v>1.0407450398698821E-2</v>
      </c>
      <c r="J85" s="4">
        <v>8.7257237611602766E-3</v>
      </c>
    </row>
    <row r="86" spans="1:10">
      <c r="A86" s="39" t="s">
        <v>337</v>
      </c>
      <c r="B86" s="4">
        <v>7.4610452544219023E-5</v>
      </c>
      <c r="D86" s="4">
        <v>1.4574400423212914E-4</v>
      </c>
      <c r="E86" s="4">
        <v>0</v>
      </c>
      <c r="F86" s="4"/>
      <c r="G86" s="4">
        <v>0</v>
      </c>
      <c r="H86" s="4">
        <v>0</v>
      </c>
      <c r="I86" s="4">
        <v>0</v>
      </c>
      <c r="J86" s="4">
        <v>3.5988681364433226E-4</v>
      </c>
    </row>
    <row r="87" spans="1:10">
      <c r="A87" s="39" t="s">
        <v>338</v>
      </c>
      <c r="B87" s="4">
        <v>0</v>
      </c>
      <c r="D87" s="4">
        <v>0</v>
      </c>
      <c r="E87" s="4">
        <v>0</v>
      </c>
      <c r="F87" s="4"/>
      <c r="G87" s="4">
        <v>0</v>
      </c>
      <c r="H87" s="4">
        <v>0</v>
      </c>
      <c r="I87" s="4">
        <v>0</v>
      </c>
      <c r="J87" s="4">
        <v>0</v>
      </c>
    </row>
    <row r="88" spans="1:10">
      <c r="A88" s="39" t="s">
        <v>339</v>
      </c>
      <c r="B88" s="4">
        <v>6.3630262185366531E-3</v>
      </c>
      <c r="D88" s="4">
        <v>7.7984888470679272E-3</v>
      </c>
      <c r="E88" s="4">
        <v>4.9011419959043654E-3</v>
      </c>
      <c r="F88" s="4"/>
      <c r="G88" s="4">
        <v>2.0614135672861545E-3</v>
      </c>
      <c r="H88" s="4">
        <v>9.0689721535830835E-3</v>
      </c>
      <c r="I88" s="4">
        <v>7.4844253562450112E-3</v>
      </c>
      <c r="J88" s="4">
        <v>8.320581029083637E-3</v>
      </c>
    </row>
    <row r="89" spans="1:10">
      <c r="A89" s="39" t="s">
        <v>340</v>
      </c>
      <c r="B89" s="4">
        <v>1.5370843143837428E-3</v>
      </c>
      <c r="D89" s="4">
        <v>2.2355465549517809E-3</v>
      </c>
      <c r="E89" s="4">
        <v>8.1172678165005265E-4</v>
      </c>
      <c r="F89" s="4"/>
      <c r="G89" s="4">
        <v>4.4721176677093547E-4</v>
      </c>
      <c r="H89" s="4">
        <v>6.3899513060675637E-4</v>
      </c>
      <c r="I89" s="4">
        <v>3.7437115284787823E-3</v>
      </c>
      <c r="J89" s="4">
        <v>2.1596380331553137E-3</v>
      </c>
    </row>
    <row r="90" spans="1:10">
      <c r="A90" s="39" t="s">
        <v>341</v>
      </c>
      <c r="B90" s="4">
        <v>0</v>
      </c>
      <c r="D90" s="4">
        <v>0</v>
      </c>
      <c r="E90" s="4">
        <v>0</v>
      </c>
      <c r="F90" s="4"/>
      <c r="G90" s="4">
        <v>0</v>
      </c>
      <c r="H90" s="4">
        <v>0</v>
      </c>
      <c r="I90" s="4">
        <v>0</v>
      </c>
      <c r="J90" s="4">
        <v>0</v>
      </c>
    </row>
    <row r="91" spans="1:10">
      <c r="A91" s="39" t="s">
        <v>342</v>
      </c>
      <c r="B91" s="4">
        <v>5.7430070210813785E-3</v>
      </c>
      <c r="D91" s="4">
        <v>7.5647508706029511E-3</v>
      </c>
      <c r="E91" s="4">
        <v>3.6207617601594902E-3</v>
      </c>
      <c r="F91" s="4"/>
      <c r="G91" s="4">
        <v>3.3348081895671774E-3</v>
      </c>
      <c r="H91" s="4">
        <v>5.4946505138958705E-3</v>
      </c>
      <c r="I91" s="4">
        <v>8.9085532692057805E-3</v>
      </c>
      <c r="J91" s="4">
        <v>6.5825949907035181E-3</v>
      </c>
    </row>
    <row r="92" spans="1:10">
      <c r="A92" s="39" t="s">
        <v>343</v>
      </c>
      <c r="B92" s="4">
        <v>1.1098967603961774E-3</v>
      </c>
      <c r="D92" s="4">
        <v>1.7205081428885371E-3</v>
      </c>
      <c r="E92" s="4">
        <v>4.7366699113642898E-4</v>
      </c>
      <c r="F92" s="4"/>
      <c r="G92" s="4">
        <v>1.1506345757697927E-3</v>
      </c>
      <c r="H92" s="4">
        <v>4.2147707455708497E-4</v>
      </c>
      <c r="I92" s="4">
        <v>5.5908820835903587E-4</v>
      </c>
      <c r="J92" s="4">
        <v>2.4891119706557663E-3</v>
      </c>
    </row>
    <row r="93" spans="1:10">
      <c r="A93" s="39" t="s">
        <v>344</v>
      </c>
      <c r="B93" s="4">
        <v>2.4118906951360627E-3</v>
      </c>
      <c r="D93" s="4">
        <v>2.8272022126323714E-3</v>
      </c>
      <c r="E93" s="4">
        <v>1.9940760840444971E-3</v>
      </c>
      <c r="F93" s="4"/>
      <c r="G93" s="4">
        <v>0</v>
      </c>
      <c r="H93" s="4">
        <v>2.0712251389571356E-3</v>
      </c>
      <c r="I93" s="4">
        <v>4.5995140140568675E-3</v>
      </c>
      <c r="J93" s="4">
        <v>4.354478839821414E-3</v>
      </c>
    </row>
    <row r="94" spans="1:10">
      <c r="A94" s="39" t="s">
        <v>345</v>
      </c>
      <c r="B94" s="4">
        <v>1.1349558465121044E-4</v>
      </c>
      <c r="D94" s="4">
        <v>2.2170219326749868E-4</v>
      </c>
      <c r="E94" s="4">
        <v>0</v>
      </c>
      <c r="F94" s="4"/>
      <c r="G94" s="4">
        <v>3.5788595913671499E-4</v>
      </c>
      <c r="H94" s="4">
        <v>0</v>
      </c>
      <c r="I94" s="4">
        <v>0</v>
      </c>
      <c r="J94" s="4">
        <v>0</v>
      </c>
    </row>
    <row r="95" spans="1:10">
      <c r="A95" s="39" t="s">
        <v>346</v>
      </c>
      <c r="B95" s="4">
        <v>6.7012643081504689E-4</v>
      </c>
      <c r="D95" s="4">
        <v>9.0906102316030567E-4</v>
      </c>
      <c r="E95" s="4">
        <v>4.2329085698405305E-4</v>
      </c>
      <c r="F95" s="4"/>
      <c r="G95" s="4">
        <v>3.9836874632800831E-4</v>
      </c>
      <c r="H95" s="4">
        <v>0</v>
      </c>
      <c r="I95" s="4">
        <v>9.2102196166410214E-4</v>
      </c>
      <c r="J95" s="4">
        <v>1.7019915286963217E-3</v>
      </c>
    </row>
    <row r="96" spans="1:10">
      <c r="A96" s="39" t="s">
        <v>347</v>
      </c>
      <c r="B96" s="4">
        <v>4.6839681205308084E-2</v>
      </c>
      <c r="D96" s="4">
        <v>6.2223078330958638E-3</v>
      </c>
      <c r="E96" s="4">
        <v>9.0131078116393787E-2</v>
      </c>
      <c r="F96" s="4"/>
      <c r="G96" s="4">
        <v>3.2292684194449536E-3</v>
      </c>
      <c r="H96" s="4">
        <v>2.7470501630221578E-2</v>
      </c>
      <c r="I96" s="4">
        <v>8.1579597950115157E-2</v>
      </c>
      <c r="J96" s="4">
        <v>0.10387116250295725</v>
      </c>
    </row>
    <row r="97" spans="1:10">
      <c r="A97" s="39" t="s">
        <v>348</v>
      </c>
      <c r="B97" s="4">
        <v>4.6082036017092392E-4</v>
      </c>
      <c r="D97" s="4">
        <v>7.5425707913809141E-4</v>
      </c>
      <c r="E97" s="4">
        <v>1.544190538246646E-4</v>
      </c>
      <c r="F97" s="4"/>
      <c r="G97" s="4">
        <v>8.2000618881469139E-4</v>
      </c>
      <c r="H97" s="4">
        <v>4.7002071667891129E-4</v>
      </c>
      <c r="I97" s="4">
        <v>3.602966758967501E-4</v>
      </c>
      <c r="J97" s="4">
        <v>0</v>
      </c>
    </row>
    <row r="98" spans="1:10">
      <c r="A98" s="39" t="s">
        <v>349</v>
      </c>
      <c r="B98" s="4">
        <v>4.1341835203829297E-4</v>
      </c>
      <c r="D98" s="4">
        <v>4.8787561677477559E-4</v>
      </c>
      <c r="E98" s="4">
        <v>3.3834135346069201E-4</v>
      </c>
      <c r="F98" s="4"/>
      <c r="G98" s="4">
        <v>3.4255684282976897E-4</v>
      </c>
      <c r="H98" s="4">
        <v>6.1012799567000708E-4</v>
      </c>
      <c r="I98" s="4">
        <v>0</v>
      </c>
      <c r="J98" s="4">
        <v>6.8071276538812829E-4</v>
      </c>
    </row>
    <row r="99" spans="1:10">
      <c r="A99" s="39" t="s">
        <v>350</v>
      </c>
      <c r="B99" s="4">
        <v>1.8437846862526334E-4</v>
      </c>
      <c r="D99" s="4">
        <v>3.601647677409239E-4</v>
      </c>
      <c r="E99" s="4">
        <v>0</v>
      </c>
      <c r="F99" s="4"/>
      <c r="G99" s="4">
        <v>3.7135846804086265E-4</v>
      </c>
      <c r="H99" s="4">
        <v>0</v>
      </c>
      <c r="I99" s="4">
        <v>0</v>
      </c>
      <c r="J99" s="4">
        <v>3.212980956173577E-4</v>
      </c>
    </row>
    <row r="100" spans="1:10">
      <c r="A100" s="39" t="s">
        <v>351</v>
      </c>
      <c r="B100" s="4">
        <v>4.6782486344203057E-3</v>
      </c>
      <c r="D100" s="4">
        <v>6.4857139645602751E-3</v>
      </c>
      <c r="E100" s="4">
        <v>2.8074934071259622E-3</v>
      </c>
      <c r="F100" s="4"/>
      <c r="G100" s="4">
        <v>7.6402960578755114E-4</v>
      </c>
      <c r="H100" s="4">
        <v>3.2956415515734711E-3</v>
      </c>
      <c r="I100" s="4">
        <v>7.9618613068523775E-3</v>
      </c>
      <c r="J100" s="4">
        <v>9.1710730900852761E-3</v>
      </c>
    </row>
    <row r="101" spans="1:10">
      <c r="A101" s="39" t="s">
        <v>352</v>
      </c>
      <c r="B101" s="4">
        <v>4.4420545707705397E-4</v>
      </c>
      <c r="D101" s="4">
        <v>5.8229013061754408E-4</v>
      </c>
      <c r="E101" s="4">
        <v>3.0206729952844485E-4</v>
      </c>
      <c r="F101" s="4"/>
      <c r="G101" s="4">
        <v>3.6339145311987492E-4</v>
      </c>
      <c r="H101" s="4">
        <v>0</v>
      </c>
      <c r="I101" s="4">
        <v>1.586781893390345E-3</v>
      </c>
      <c r="J101" s="4">
        <v>0</v>
      </c>
    </row>
    <row r="102" spans="1:10">
      <c r="A102" s="39" t="s">
        <v>353</v>
      </c>
      <c r="B102" s="4">
        <v>9.1523618693259003E-5</v>
      </c>
      <c r="D102" s="4">
        <v>1.7878217079925283E-4</v>
      </c>
      <c r="E102" s="4">
        <v>0</v>
      </c>
      <c r="F102" s="4"/>
      <c r="G102" s="4">
        <v>0</v>
      </c>
      <c r="H102" s="4">
        <v>0</v>
      </c>
      <c r="I102" s="4">
        <v>4.4147096056201265E-4</v>
      </c>
      <c r="J102" s="4">
        <v>0</v>
      </c>
    </row>
    <row r="103" spans="1:10">
      <c r="A103" s="39" t="s">
        <v>354</v>
      </c>
      <c r="B103" s="4">
        <v>3.061188182292787E-3</v>
      </c>
      <c r="D103" s="4">
        <v>4.7227362403896673E-3</v>
      </c>
      <c r="E103" s="4">
        <v>1.3302987936436991E-3</v>
      </c>
      <c r="F103" s="4"/>
      <c r="G103" s="4">
        <v>1.2296075477979409E-3</v>
      </c>
      <c r="H103" s="4">
        <v>6.0663276768630524E-3</v>
      </c>
      <c r="I103" s="4">
        <v>4.7287399100712198E-3</v>
      </c>
      <c r="J103" s="4">
        <v>3.0711770353438649E-4</v>
      </c>
    </row>
    <row r="104" spans="1:10">
      <c r="A104" s="39" t="s">
        <v>355</v>
      </c>
      <c r="B104" s="4">
        <v>0</v>
      </c>
      <c r="D104" s="4">
        <v>0</v>
      </c>
      <c r="E104" s="4">
        <v>0</v>
      </c>
      <c r="F104" s="4"/>
      <c r="G104" s="4">
        <v>0</v>
      </c>
      <c r="H104" s="4">
        <v>0</v>
      </c>
      <c r="I104" s="4">
        <v>0</v>
      </c>
      <c r="J104" s="4">
        <v>0</v>
      </c>
    </row>
    <row r="105" spans="1:10">
      <c r="A105" s="39" t="s">
        <v>356</v>
      </c>
      <c r="B105" s="4">
        <v>1.2290590604681706E-3</v>
      </c>
      <c r="D105" s="4">
        <v>1.4000458648981808E-4</v>
      </c>
      <c r="E105" s="4">
        <v>2.3926992116532217E-3</v>
      </c>
      <c r="F105" s="4"/>
      <c r="G105" s="4">
        <v>7.813376396907677E-4</v>
      </c>
      <c r="H105" s="4">
        <v>1.5484697609434398E-3</v>
      </c>
      <c r="I105" s="4">
        <v>6.105896759986745E-4</v>
      </c>
      <c r="J105" s="4">
        <v>2.119118998971695E-3</v>
      </c>
    </row>
    <row r="106" spans="1:10">
      <c r="A106" s="39" t="s">
        <v>357</v>
      </c>
      <c r="B106" s="4">
        <v>1.1349558465121044E-4</v>
      </c>
      <c r="D106" s="4">
        <v>2.2170219326749868E-4</v>
      </c>
      <c r="E106" s="4">
        <v>0</v>
      </c>
      <c r="F106" s="4"/>
      <c r="G106" s="4">
        <v>3.5788595913671499E-4</v>
      </c>
      <c r="H106" s="4">
        <v>0</v>
      </c>
      <c r="I106" s="4">
        <v>0</v>
      </c>
      <c r="J106" s="4">
        <v>0</v>
      </c>
    </row>
    <row r="107" spans="1:10">
      <c r="A107" s="39" t="s">
        <v>358</v>
      </c>
      <c r="B107" s="4">
        <v>5.5839839753014041E-4</v>
      </c>
      <c r="D107" s="4">
        <v>0</v>
      </c>
      <c r="E107" s="4">
        <v>1.1543931828852732E-3</v>
      </c>
      <c r="F107" s="4"/>
      <c r="G107" s="4">
        <v>4.529156937912499E-4</v>
      </c>
      <c r="H107" s="4">
        <v>0</v>
      </c>
      <c r="I107" s="4">
        <v>7.0479543308678868E-4</v>
      </c>
      <c r="J107" s="4">
        <v>1.2958522395484554E-3</v>
      </c>
    </row>
    <row r="108" spans="1:10">
      <c r="A108" s="39" t="s">
        <v>359</v>
      </c>
      <c r="B108" s="4">
        <v>0</v>
      </c>
      <c r="D108" s="4">
        <v>0</v>
      </c>
      <c r="E108" s="4">
        <v>0</v>
      </c>
      <c r="F108" s="4"/>
      <c r="G108" s="4">
        <v>0</v>
      </c>
      <c r="H108" s="4">
        <v>0</v>
      </c>
      <c r="I108" s="4">
        <v>0</v>
      </c>
      <c r="J108" s="4">
        <v>0</v>
      </c>
    </row>
    <row r="109" spans="1:10">
      <c r="A109" s="39" t="s">
        <v>360</v>
      </c>
      <c r="B109" s="4">
        <v>0</v>
      </c>
      <c r="D109" s="4">
        <v>0</v>
      </c>
      <c r="E109" s="4">
        <v>0</v>
      </c>
      <c r="F109" s="4"/>
      <c r="G109" s="4">
        <v>0</v>
      </c>
      <c r="H109" s="4">
        <v>0</v>
      </c>
      <c r="I109" s="4">
        <v>0</v>
      </c>
      <c r="J109" s="4">
        <v>0</v>
      </c>
    </row>
    <row r="110" spans="1:10">
      <c r="A110" s="39" t="s">
        <v>361</v>
      </c>
      <c r="B110" s="4">
        <v>1.0087819817548422E-3</v>
      </c>
      <c r="D110" s="4">
        <v>4.7613158148572581E-4</v>
      </c>
      <c r="E110" s="4">
        <v>1.5815828238259532E-3</v>
      </c>
      <c r="F110" s="4"/>
      <c r="G110" s="4">
        <v>4.6689134332146554E-4</v>
      </c>
      <c r="H110" s="4">
        <v>1.4166140214513564E-3</v>
      </c>
      <c r="I110" s="4">
        <v>1.3259338577906068E-3</v>
      </c>
      <c r="J110" s="4">
        <v>9.9286947509379846E-4</v>
      </c>
    </row>
    <row r="111" spans="1:10">
      <c r="A111" s="39" t="s">
        <v>362</v>
      </c>
      <c r="B111" s="4">
        <v>0</v>
      </c>
      <c r="D111" s="4">
        <v>0</v>
      </c>
      <c r="E111" s="4">
        <v>0</v>
      </c>
      <c r="F111" s="4"/>
      <c r="G111" s="4">
        <v>0</v>
      </c>
      <c r="H111" s="4">
        <v>0</v>
      </c>
      <c r="I111" s="4">
        <v>0</v>
      </c>
      <c r="J111" s="4">
        <v>0</v>
      </c>
    </row>
    <row r="112" spans="1:10">
      <c r="A112" s="39" t="s">
        <v>363</v>
      </c>
      <c r="B112" s="4">
        <v>2.649922155527896E-3</v>
      </c>
      <c r="D112" s="4">
        <v>3.8173745909569059E-3</v>
      </c>
      <c r="E112" s="4">
        <v>1.4382424133161068E-3</v>
      </c>
      <c r="F112" s="4"/>
      <c r="G112" s="4">
        <v>6.4575834603626129E-3</v>
      </c>
      <c r="H112" s="4">
        <v>2.2444138645584216E-3</v>
      </c>
      <c r="I112" s="4">
        <v>0</v>
      </c>
      <c r="J112" s="4">
        <v>0</v>
      </c>
    </row>
    <row r="113" spans="1:10">
      <c r="A113" s="39" t="s">
        <v>364</v>
      </c>
      <c r="B113" s="4">
        <v>2.0325094900410443E-3</v>
      </c>
      <c r="D113" s="4">
        <v>2.1323282200152163E-3</v>
      </c>
      <c r="E113" s="4">
        <v>1.8110027501684822E-3</v>
      </c>
      <c r="F113" s="4"/>
      <c r="G113" s="4">
        <v>7.2127741225658985E-4</v>
      </c>
      <c r="H113" s="4">
        <v>9.9264932961760899E-4</v>
      </c>
      <c r="I113" s="4">
        <v>3.6557176893453449E-3</v>
      </c>
      <c r="J113" s="4">
        <v>3.7605211070316767E-3</v>
      </c>
    </row>
    <row r="114" spans="1:10">
      <c r="A114" s="39" t="s">
        <v>365</v>
      </c>
      <c r="B114" s="4">
        <v>0</v>
      </c>
      <c r="D114" s="4">
        <v>0</v>
      </c>
      <c r="E114" s="4">
        <v>0</v>
      </c>
      <c r="F114" s="4"/>
      <c r="G114" s="4">
        <v>0</v>
      </c>
      <c r="H114" s="4">
        <v>0</v>
      </c>
      <c r="I114" s="4">
        <v>0</v>
      </c>
      <c r="J114" s="4">
        <v>0</v>
      </c>
    </row>
    <row r="115" spans="1:10">
      <c r="A115" s="39" t="s">
        <v>366</v>
      </c>
      <c r="B115" s="4">
        <v>9.3782565213894857E-5</v>
      </c>
      <c r="D115" s="4">
        <v>0</v>
      </c>
      <c r="E115" s="4">
        <v>1.9387941375775559E-4</v>
      </c>
      <c r="F115" s="4"/>
      <c r="G115" s="4">
        <v>0</v>
      </c>
      <c r="H115" s="4">
        <v>0</v>
      </c>
      <c r="I115" s="4">
        <v>0</v>
      </c>
      <c r="J115" s="4">
        <v>4.5236434600389683E-4</v>
      </c>
    </row>
    <row r="116" spans="1:10">
      <c r="A116" s="39" t="s">
        <v>367</v>
      </c>
      <c r="B116" s="4">
        <v>1.9303651687887781E-4</v>
      </c>
      <c r="D116" s="4">
        <v>1.2160868862345347E-4</v>
      </c>
      <c r="E116" s="4">
        <v>2.7036861253537794E-4</v>
      </c>
      <c r="F116" s="4"/>
      <c r="G116" s="4">
        <v>0</v>
      </c>
      <c r="H116" s="4">
        <v>4.8755334803451868E-4</v>
      </c>
      <c r="I116" s="4">
        <v>0</v>
      </c>
      <c r="J116" s="4">
        <v>3.0028928936558198E-4</v>
      </c>
    </row>
    <row r="117" spans="1:10">
      <c r="A117" s="39" t="s">
        <v>368</v>
      </c>
      <c r="B117" s="4">
        <v>1.3953565176028436E-3</v>
      </c>
      <c r="D117" s="4">
        <v>8.2123691032615889E-4</v>
      </c>
      <c r="E117" s="4">
        <v>2.0155263735614458E-3</v>
      </c>
      <c r="F117" s="4"/>
      <c r="G117" s="4">
        <v>8.443823131339301E-4</v>
      </c>
      <c r="H117" s="4">
        <v>2.0190481060899249E-3</v>
      </c>
      <c r="I117" s="4">
        <v>1.6374425757214369E-3</v>
      </c>
      <c r="J117" s="4">
        <v>1.189110016399583E-3</v>
      </c>
    </row>
    <row r="118" spans="1:10">
      <c r="A118" s="39" t="s">
        <v>369</v>
      </c>
      <c r="B118" s="4">
        <v>1.0889037057533095E-3</v>
      </c>
      <c r="D118" s="4">
        <v>6.111831339416263E-4</v>
      </c>
      <c r="E118" s="4">
        <v>1.6042925112568465E-3</v>
      </c>
      <c r="F118" s="4"/>
      <c r="G118" s="4">
        <v>0</v>
      </c>
      <c r="H118" s="4">
        <v>0</v>
      </c>
      <c r="I118" s="4">
        <v>6.4374565963061384E-4</v>
      </c>
      <c r="J118" s="4">
        <v>4.6086334652790462E-3</v>
      </c>
    </row>
    <row r="119" spans="1:10">
      <c r="A119" s="39" t="s">
        <v>370</v>
      </c>
      <c r="B119" s="4">
        <v>1.9349376114692243E-2</v>
      </c>
      <c r="D119" s="4">
        <v>2.968751234129112E-2</v>
      </c>
      <c r="E119" s="4">
        <v>8.582524580680876E-3</v>
      </c>
      <c r="F119" s="4"/>
      <c r="G119" s="4">
        <v>3.6725498318422659E-3</v>
      </c>
      <c r="H119" s="4">
        <v>1.9642538684166894E-2</v>
      </c>
      <c r="I119" s="4">
        <v>2.6358653409290136E-2</v>
      </c>
      <c r="J119" s="4">
        <v>3.5941354384505061E-2</v>
      </c>
    </row>
    <row r="120" spans="1:10">
      <c r="A120" s="39" t="s">
        <v>371</v>
      </c>
      <c r="B120" s="4">
        <v>7.4056117038876559E-3</v>
      </c>
      <c r="D120" s="4">
        <v>1.2783681449739088E-2</v>
      </c>
      <c r="E120" s="4">
        <v>1.7805611420112241E-3</v>
      </c>
      <c r="F120" s="4"/>
      <c r="G120" s="4">
        <v>3.5583014735042474E-4</v>
      </c>
      <c r="H120" s="4">
        <v>7.5545988202341549E-3</v>
      </c>
      <c r="I120" s="4">
        <v>7.9982394455784984E-3</v>
      </c>
      <c r="J120" s="4">
        <v>1.7404126916197079E-2</v>
      </c>
    </row>
    <row r="121" spans="1:10">
      <c r="A121" s="39" t="s">
        <v>372</v>
      </c>
      <c r="B121" s="4">
        <v>3.5528616921889584E-2</v>
      </c>
      <c r="D121" s="4">
        <v>3.3622549380854037E-2</v>
      </c>
      <c r="E121" s="4">
        <v>3.7527453035191921E-2</v>
      </c>
      <c r="F121" s="4"/>
      <c r="G121" s="4">
        <v>2.5151194261999403E-2</v>
      </c>
      <c r="H121" s="4">
        <v>4.3978360122604886E-2</v>
      </c>
      <c r="I121" s="4">
        <v>4.2572155364277796E-2</v>
      </c>
      <c r="J121" s="4">
        <v>3.3426384166367021E-2</v>
      </c>
    </row>
    <row r="122" spans="1:10">
      <c r="A122" s="39" t="s">
        <v>373</v>
      </c>
      <c r="B122" s="4">
        <v>1.0843833618068616E-3</v>
      </c>
      <c r="D122" s="4">
        <v>1.1224497725492114E-3</v>
      </c>
      <c r="E122" s="4">
        <v>9.1969254623722717E-4</v>
      </c>
      <c r="F122" s="4"/>
      <c r="G122" s="4">
        <v>0</v>
      </c>
      <c r="H122" s="4">
        <v>9.3928580765321264E-4</v>
      </c>
      <c r="I122" s="4">
        <v>1.8550149982550835E-3</v>
      </c>
      <c r="J122" s="4">
        <v>2.1602534094145275E-3</v>
      </c>
    </row>
    <row r="123" spans="1:10">
      <c r="A123" s="39" t="s">
        <v>374</v>
      </c>
      <c r="B123" s="4">
        <v>5.8511993483581761E-3</v>
      </c>
      <c r="D123" s="4">
        <v>6.2877253355818645E-3</v>
      </c>
      <c r="E123" s="4">
        <v>5.4419044762347756E-3</v>
      </c>
      <c r="F123" s="4"/>
      <c r="G123" s="4">
        <v>5.3817669613510869E-3</v>
      </c>
      <c r="H123" s="4">
        <v>7.2686948123683219E-3</v>
      </c>
      <c r="I123" s="4">
        <v>7.6154768193778498E-3</v>
      </c>
      <c r="J123" s="4">
        <v>2.970958621620706E-3</v>
      </c>
    </row>
    <row r="124" spans="1:10">
      <c r="A124" s="39" t="s">
        <v>375</v>
      </c>
      <c r="B124" s="4">
        <v>1.9181078705331818E-3</v>
      </c>
      <c r="D124" s="4">
        <v>2.9160118336841383E-3</v>
      </c>
      <c r="E124" s="4">
        <v>8.7927521032889026E-4</v>
      </c>
      <c r="F124" s="4"/>
      <c r="G124" s="4">
        <v>0</v>
      </c>
      <c r="H124" s="4">
        <v>8.615140553686763E-4</v>
      </c>
      <c r="I124" s="4">
        <v>4.6806962403220052E-3</v>
      </c>
      <c r="J124" s="4">
        <v>3.4567232930142661E-3</v>
      </c>
    </row>
    <row r="125" spans="1:10">
      <c r="A125" s="39" t="s">
        <v>376</v>
      </c>
      <c r="B125" s="4">
        <v>0</v>
      </c>
      <c r="D125" s="4">
        <v>0</v>
      </c>
      <c r="E125" s="4">
        <v>0</v>
      </c>
      <c r="F125" s="4"/>
      <c r="G125" s="4">
        <v>0</v>
      </c>
      <c r="H125" s="4">
        <v>0</v>
      </c>
      <c r="I125" s="4">
        <v>0</v>
      </c>
      <c r="J125" s="4">
        <v>0</v>
      </c>
    </row>
    <row r="126" spans="1:10">
      <c r="A126" s="39" t="s">
        <v>377</v>
      </c>
      <c r="B126" s="4">
        <v>1.5990921042074801E-4</v>
      </c>
      <c r="D126" s="4">
        <v>1.3056964979541621E-4</v>
      </c>
      <c r="E126" s="4">
        <v>0</v>
      </c>
      <c r="F126" s="4"/>
      <c r="G126" s="4">
        <v>0</v>
      </c>
      <c r="H126" s="4">
        <v>0</v>
      </c>
      <c r="I126" s="4">
        <v>4.4891526821039837E-4</v>
      </c>
      <c r="J126" s="4">
        <v>3.2241666112512167E-4</v>
      </c>
    </row>
    <row r="127" spans="1:10">
      <c r="A127" s="39" t="s">
        <v>378</v>
      </c>
      <c r="B127" s="4">
        <v>2.2282185722730525E-4</v>
      </c>
      <c r="D127" s="4">
        <v>4.3526005533206595E-4</v>
      </c>
      <c r="E127" s="4">
        <v>0</v>
      </c>
      <c r="F127" s="4"/>
      <c r="G127" s="4">
        <v>0</v>
      </c>
      <c r="H127" s="4">
        <v>3.4940524036672376E-4</v>
      </c>
      <c r="I127" s="4">
        <v>0</v>
      </c>
      <c r="J127" s="4">
        <v>6.227059504907037E-4</v>
      </c>
    </row>
    <row r="128" spans="1:10">
      <c r="A128" s="39" t="s">
        <v>379</v>
      </c>
      <c r="B128" s="4">
        <v>4.3295648341910966E-3</v>
      </c>
      <c r="D128" s="4">
        <v>3.6724734948218869E-3</v>
      </c>
      <c r="E128" s="4">
        <v>4.9472335023758437E-3</v>
      </c>
      <c r="F128" s="4"/>
      <c r="G128" s="4">
        <v>4.4914193899624254E-4</v>
      </c>
      <c r="H128" s="4">
        <v>5.9886019182781572E-3</v>
      </c>
      <c r="I128" s="4">
        <v>5.4074851756323542E-3</v>
      </c>
      <c r="J128" s="4">
        <v>7.0408770989418903E-3</v>
      </c>
    </row>
    <row r="129" spans="1:10">
      <c r="A129" s="39" t="s">
        <v>380</v>
      </c>
      <c r="B129" s="4">
        <v>0</v>
      </c>
      <c r="D129" s="4">
        <v>0</v>
      </c>
      <c r="E129" s="4">
        <v>0</v>
      </c>
      <c r="F129" s="4"/>
      <c r="G129" s="4">
        <v>0</v>
      </c>
      <c r="H129" s="4">
        <v>0</v>
      </c>
      <c r="I129" s="4">
        <v>0</v>
      </c>
      <c r="J129" s="4">
        <v>0</v>
      </c>
    </row>
    <row r="130" spans="1:10">
      <c r="A130" s="39" t="s">
        <v>381</v>
      </c>
      <c r="B130" s="4">
        <v>1.73063232248665E-3</v>
      </c>
      <c r="D130" s="4">
        <v>2.2515110450517972E-3</v>
      </c>
      <c r="E130" s="4">
        <v>1.1949585855062068E-3</v>
      </c>
      <c r="F130" s="4"/>
      <c r="G130" s="4">
        <v>3.6242906082072546E-4</v>
      </c>
      <c r="H130" s="4">
        <v>2.1452778368233416E-3</v>
      </c>
      <c r="I130" s="4">
        <v>3.4100669839171923E-3</v>
      </c>
      <c r="J130" s="4">
        <v>1.6076235698181066E-3</v>
      </c>
    </row>
    <row r="131" spans="1:10">
      <c r="A131" s="39" t="s">
        <v>382</v>
      </c>
      <c r="B131" s="4">
        <v>0</v>
      </c>
      <c r="D131" s="4">
        <v>0</v>
      </c>
      <c r="E131" s="4">
        <v>0</v>
      </c>
      <c r="F131" s="4"/>
      <c r="G131" s="4">
        <v>0</v>
      </c>
      <c r="H131" s="4">
        <v>0</v>
      </c>
      <c r="I131" s="4">
        <v>0</v>
      </c>
      <c r="J131" s="4">
        <v>0</v>
      </c>
    </row>
    <row r="132" spans="1:10">
      <c r="A132" s="39" t="s">
        <v>383</v>
      </c>
      <c r="B132" s="4">
        <v>1.9126424056208355E-3</v>
      </c>
      <c r="D132" s="4">
        <v>1.0263526607751673E-3</v>
      </c>
      <c r="E132" s="4">
        <v>2.6175416176083773E-3</v>
      </c>
      <c r="F132" s="4"/>
      <c r="G132" s="4">
        <v>7.9026646958732559E-4</v>
      </c>
      <c r="H132" s="4">
        <v>1.3219327322680698E-3</v>
      </c>
      <c r="I132" s="4">
        <v>2.1831865890560168E-3</v>
      </c>
      <c r="J132" s="4">
        <v>4.1232776367916288E-3</v>
      </c>
    </row>
    <row r="133" spans="1:10">
      <c r="A133" s="39" t="s">
        <v>384</v>
      </c>
      <c r="B133" s="4">
        <v>8.2113577005594237E-4</v>
      </c>
      <c r="D133" s="4">
        <v>7.2718234245678476E-4</v>
      </c>
      <c r="E133" s="4">
        <v>9.2796337677006715E-4</v>
      </c>
      <c r="F133" s="4"/>
      <c r="G133" s="4">
        <v>0</v>
      </c>
      <c r="H133" s="4">
        <v>2.2533163868562038E-3</v>
      </c>
      <c r="I133" s="4">
        <v>0</v>
      </c>
      <c r="J133" s="4">
        <v>1.0452851391474403E-3</v>
      </c>
    </row>
    <row r="134" spans="1:10">
      <c r="A134" s="39" t="s">
        <v>385</v>
      </c>
      <c r="B134" s="4">
        <v>3.3224425219553424E-4</v>
      </c>
      <c r="D134" s="4">
        <v>4.6334528107389494E-4</v>
      </c>
      <c r="E134" s="4">
        <v>1.9648882374843704E-4</v>
      </c>
      <c r="F134" s="4"/>
      <c r="G134" s="4">
        <v>0</v>
      </c>
      <c r="H134" s="4">
        <v>0</v>
      </c>
      <c r="I134" s="4">
        <v>4.2672013911899091E-4</v>
      </c>
      <c r="J134" s="4">
        <v>1.1758773389420993E-3</v>
      </c>
    </row>
    <row r="135" spans="1:10">
      <c r="A135" s="39" t="s">
        <v>386</v>
      </c>
      <c r="B135" s="4">
        <v>4.5048081354613053E-3</v>
      </c>
      <c r="D135" s="4">
        <v>5.8524062249945691E-3</v>
      </c>
      <c r="E135" s="4">
        <v>3.1191794993120042E-3</v>
      </c>
      <c r="F135" s="4"/>
      <c r="G135" s="4">
        <v>0</v>
      </c>
      <c r="H135" s="4">
        <v>5.70188864919852E-3</v>
      </c>
      <c r="I135" s="4">
        <v>5.8780653174900273E-3</v>
      </c>
      <c r="J135" s="4">
        <v>8.4736069224348159E-3</v>
      </c>
    </row>
    <row r="136" spans="1:10">
      <c r="A136" s="39" t="s">
        <v>387</v>
      </c>
      <c r="B136" s="4">
        <v>0.22936157335315335</v>
      </c>
      <c r="D136" s="4">
        <v>0.20344967559134977</v>
      </c>
      <c r="E136" s="4">
        <v>0.25713157416858362</v>
      </c>
      <c r="F136" s="4"/>
      <c r="G136" s="4">
        <v>0.2247351999420148</v>
      </c>
      <c r="H136" s="4">
        <v>0.29964063226970605</v>
      </c>
      <c r="I136" s="4">
        <v>0.25008237782081133</v>
      </c>
      <c r="J136" s="4">
        <v>0.12478576954032675</v>
      </c>
    </row>
    <row r="137" spans="1:10">
      <c r="A137" s="39" t="s">
        <v>388</v>
      </c>
      <c r="B137" s="4">
        <v>1.5112752157913712E-4</v>
      </c>
      <c r="D137" s="4">
        <v>0</v>
      </c>
      <c r="E137" s="4">
        <v>3.1243030321892375E-4</v>
      </c>
      <c r="F137" s="4"/>
      <c r="G137" s="4">
        <v>0</v>
      </c>
      <c r="H137" s="4">
        <v>0</v>
      </c>
      <c r="I137" s="4">
        <v>7.2897480531778811E-4</v>
      </c>
      <c r="J137" s="4">
        <v>0</v>
      </c>
    </row>
    <row r="138" spans="1:10">
      <c r="A138" s="39" t="s">
        <v>389</v>
      </c>
      <c r="B138" s="4">
        <v>1.3354959366547311E-3</v>
      </c>
      <c r="D138" s="4">
        <v>8.5128464161439172E-4</v>
      </c>
      <c r="E138" s="4">
        <v>1.8599746310656794E-3</v>
      </c>
      <c r="F138" s="4"/>
      <c r="G138" s="4">
        <v>4.9375023446385365E-4</v>
      </c>
      <c r="H138" s="4">
        <v>2.1267097465584666E-3</v>
      </c>
      <c r="I138" s="4">
        <v>1.8077153750762198E-3</v>
      </c>
      <c r="J138" s="4">
        <v>1.1271527524966286E-3</v>
      </c>
    </row>
    <row r="139" spans="1:10">
      <c r="A139" s="39" t="s">
        <v>390</v>
      </c>
      <c r="B139" s="4">
        <v>4.5353902717780352E-3</v>
      </c>
      <c r="D139" s="4">
        <v>4.9774643591826264E-3</v>
      </c>
      <c r="E139" s="4">
        <v>4.1083746446658386E-3</v>
      </c>
      <c r="F139" s="4"/>
      <c r="G139" s="4">
        <v>1.1103841640080366E-3</v>
      </c>
      <c r="H139" s="4">
        <v>4.2500798989204905E-3</v>
      </c>
      <c r="I139" s="4">
        <v>4.7285177826771121E-3</v>
      </c>
      <c r="J139" s="4">
        <v>9.9505817011638544E-3</v>
      </c>
    </row>
    <row r="140" spans="1:10">
      <c r="A140" s="39" t="s">
        <v>391</v>
      </c>
      <c r="B140" s="4">
        <v>8.178793731614736E-3</v>
      </c>
      <c r="D140" s="4">
        <v>9.4019953532124886E-3</v>
      </c>
      <c r="E140" s="4">
        <v>6.9579016596939373E-3</v>
      </c>
      <c r="F140" s="4"/>
      <c r="G140" s="4">
        <v>1.8498418705557888E-3</v>
      </c>
      <c r="H140" s="4">
        <v>1.2613480826033637E-2</v>
      </c>
      <c r="I140" s="4">
        <v>1.1356220960613223E-2</v>
      </c>
      <c r="J140" s="4">
        <v>8.9447461825520498E-3</v>
      </c>
    </row>
    <row r="141" spans="1:10">
      <c r="A141" s="39" t="s">
        <v>392</v>
      </c>
      <c r="B141" s="4">
        <v>2.3939036489733093E-3</v>
      </c>
      <c r="D141" s="4">
        <v>2.7866834719143664E-3</v>
      </c>
      <c r="E141" s="4">
        <v>1.7494669160705129E-3</v>
      </c>
      <c r="F141" s="4"/>
      <c r="G141" s="4">
        <v>2.4514047643740522E-3</v>
      </c>
      <c r="H141" s="4">
        <v>2.3141381868657411E-3</v>
      </c>
      <c r="I141" s="4">
        <v>3.8180632165232303E-3</v>
      </c>
      <c r="J141" s="4">
        <v>9.8500080359888967E-4</v>
      </c>
    </row>
    <row r="142" spans="1:10">
      <c r="A142" s="39" t="s">
        <v>393</v>
      </c>
      <c r="B142" s="4">
        <v>3.920725798630055E-2</v>
      </c>
      <c r="D142" s="4">
        <v>4.1140371480093682E-2</v>
      </c>
      <c r="E142" s="4">
        <v>3.7514465496159381E-2</v>
      </c>
      <c r="F142" s="4"/>
      <c r="G142" s="4">
        <v>6.0172250501590897E-3</v>
      </c>
      <c r="H142" s="4">
        <v>4.4999447212046503E-2</v>
      </c>
      <c r="I142" s="4">
        <v>5.7433668889350933E-2</v>
      </c>
      <c r="J142" s="4">
        <v>6.4256744753535738E-2</v>
      </c>
    </row>
    <row r="143" spans="1:10">
      <c r="A143" s="39" t="s">
        <v>394</v>
      </c>
      <c r="B143" s="4">
        <v>2.4778198317194204E-3</v>
      </c>
      <c r="D143" s="4">
        <v>3.5415766091073087E-3</v>
      </c>
      <c r="E143" s="4">
        <v>1.3743338648203635E-3</v>
      </c>
      <c r="F143" s="4"/>
      <c r="G143" s="4">
        <v>7.5924308007733533E-4</v>
      </c>
      <c r="H143" s="4">
        <v>4.6020004276914155E-3</v>
      </c>
      <c r="I143" s="4">
        <v>8.5360657757403669E-4</v>
      </c>
      <c r="J143" s="4">
        <v>3.9824808115588037E-3</v>
      </c>
    </row>
    <row r="144" spans="1:10">
      <c r="A144" s="39" t="s">
        <v>395</v>
      </c>
      <c r="B144" s="4">
        <v>0</v>
      </c>
      <c r="D144" s="4">
        <v>0</v>
      </c>
      <c r="E144" s="4">
        <v>0</v>
      </c>
      <c r="F144" s="4"/>
      <c r="G144" s="4">
        <v>0</v>
      </c>
      <c r="H144" s="4">
        <v>0</v>
      </c>
      <c r="I144" s="4">
        <v>0</v>
      </c>
      <c r="J144" s="4">
        <v>0</v>
      </c>
    </row>
    <row r="145" spans="1:10">
      <c r="A145" s="39" t="s">
        <v>396</v>
      </c>
      <c r="B145" s="4">
        <v>1.0485419308772091E-2</v>
      </c>
      <c r="D145" s="4">
        <v>8.6392786157167608E-3</v>
      </c>
      <c r="E145" s="4">
        <v>1.1933268179271577E-2</v>
      </c>
      <c r="F145" s="4"/>
      <c r="G145" s="4">
        <v>0</v>
      </c>
      <c r="H145" s="4">
        <v>1.0492899390360971E-2</v>
      </c>
      <c r="I145" s="4">
        <v>1.2084855900029962E-2</v>
      </c>
      <c r="J145" s="4">
        <v>2.4915649788465638E-2</v>
      </c>
    </row>
    <row r="146" spans="1:10">
      <c r="A146" s="39" t="s">
        <v>397</v>
      </c>
      <c r="B146" s="4">
        <v>8.8323217032021633E-4</v>
      </c>
      <c r="D146" s="4">
        <v>1.2349594936738575E-3</v>
      </c>
      <c r="E146" s="4">
        <v>5.189444144847212E-4</v>
      </c>
      <c r="F146" s="4"/>
      <c r="G146" s="4">
        <v>0</v>
      </c>
      <c r="H146" s="4">
        <v>1.3004046223877149E-3</v>
      </c>
      <c r="I146" s="4">
        <v>1.5194080255901104E-3</v>
      </c>
      <c r="J146" s="4">
        <v>1.0583556707134839E-3</v>
      </c>
    </row>
    <row r="147" spans="1:10">
      <c r="A147" s="39" t="s">
        <v>398</v>
      </c>
      <c r="B147" s="4">
        <v>1.5215321022227629E-3</v>
      </c>
      <c r="D147" s="4">
        <v>8.397974219237083E-4</v>
      </c>
      <c r="E147" s="4">
        <v>2.2567297833461174E-3</v>
      </c>
      <c r="F147" s="4"/>
      <c r="G147" s="4">
        <v>7.2678290623974984E-4</v>
      </c>
      <c r="H147" s="4">
        <v>2.1200331487404743E-3</v>
      </c>
      <c r="I147" s="4">
        <v>2.9918927472221547E-3</v>
      </c>
      <c r="J147" s="4">
        <v>4.9250965372180306E-4</v>
      </c>
    </row>
    <row r="148" spans="1:10">
      <c r="A148" s="39" t="s">
        <v>399</v>
      </c>
      <c r="B148" s="4">
        <v>4.5174920021976272E-3</v>
      </c>
      <c r="D148" s="4">
        <v>4.2431454916421873E-3</v>
      </c>
      <c r="E148" s="4">
        <v>4.8485201752106648E-3</v>
      </c>
      <c r="F148" s="4"/>
      <c r="G148" s="4">
        <v>2.8809984309654869E-3</v>
      </c>
      <c r="H148" s="4">
        <v>4.5114283699934652E-3</v>
      </c>
      <c r="I148" s="4">
        <v>4.946191565994045E-3</v>
      </c>
      <c r="J148" s="4">
        <v>6.5999520149207522E-3</v>
      </c>
    </row>
    <row r="149" spans="1:10">
      <c r="A149" s="39" t="s">
        <v>400</v>
      </c>
      <c r="B149" s="4">
        <v>6.2409707197066686E-3</v>
      </c>
      <c r="D149" s="4">
        <v>4.6169217681630952E-3</v>
      </c>
      <c r="E149" s="4">
        <v>8.0159413205134391E-3</v>
      </c>
      <c r="F149" s="4"/>
      <c r="G149" s="4">
        <v>4.2647284432480761E-4</v>
      </c>
      <c r="H149" s="4">
        <v>2.7396512343224014E-3</v>
      </c>
      <c r="I149" s="4">
        <v>5.0000432418186424E-3</v>
      </c>
      <c r="J149" s="4">
        <v>2.0906465012854814E-2</v>
      </c>
    </row>
    <row r="150" spans="1:10">
      <c r="A150" s="39" t="s">
        <v>401</v>
      </c>
      <c r="B150" s="4">
        <v>4.46788936864825E-2</v>
      </c>
      <c r="D150" s="4">
        <v>3.7362335839200324E-2</v>
      </c>
      <c r="E150" s="4">
        <v>5.2695820184840925E-2</v>
      </c>
      <c r="F150" s="4"/>
      <c r="G150" s="4">
        <v>5.4841643072740302E-2</v>
      </c>
      <c r="H150" s="4">
        <v>3.5343540003881263E-2</v>
      </c>
      <c r="I150" s="4">
        <v>3.5293937194774874E-2</v>
      </c>
      <c r="J150" s="4">
        <v>5.0596776585952255E-2</v>
      </c>
    </row>
    <row r="151" spans="1:10">
      <c r="A151" s="39" t="s">
        <v>402</v>
      </c>
      <c r="B151" s="4">
        <v>1.6522553831674178E-3</v>
      </c>
      <c r="D151" s="4">
        <v>1.0918348940502946E-3</v>
      </c>
      <c r="E151" s="4">
        <v>2.2602405510423916E-3</v>
      </c>
      <c r="F151" s="4"/>
      <c r="G151" s="4">
        <v>3.6339145311987492E-4</v>
      </c>
      <c r="H151" s="4">
        <v>0</v>
      </c>
      <c r="I151" s="4">
        <v>1.2524468622539715E-3</v>
      </c>
      <c r="J151" s="4">
        <v>6.1614151360609238E-3</v>
      </c>
    </row>
    <row r="152" spans="1:10">
      <c r="A152" s="39" t="s">
        <v>403</v>
      </c>
      <c r="B152" s="4">
        <v>5.1200653841198141E-4</v>
      </c>
      <c r="D152" s="4">
        <v>3.9957687390724709E-4</v>
      </c>
      <c r="E152" s="4">
        <v>6.3560422902996818E-4</v>
      </c>
      <c r="F152" s="4"/>
      <c r="G152" s="4">
        <v>0</v>
      </c>
      <c r="H152" s="4">
        <v>7.6257889660681134E-4</v>
      </c>
      <c r="I152" s="4">
        <v>6.3807024786089557E-4</v>
      </c>
      <c r="J152" s="4">
        <v>8.4494156045435544E-4</v>
      </c>
    </row>
    <row r="153" spans="1:10">
      <c r="A153" s="39" t="s">
        <v>404</v>
      </c>
      <c r="B153" s="4">
        <v>0</v>
      </c>
      <c r="D153" s="4">
        <v>0</v>
      </c>
      <c r="E153" s="4">
        <v>0</v>
      </c>
      <c r="F153" s="4"/>
      <c r="G153" s="4">
        <v>0</v>
      </c>
      <c r="H153" s="4">
        <v>0</v>
      </c>
      <c r="I153" s="4">
        <v>0</v>
      </c>
      <c r="J153" s="4">
        <v>0</v>
      </c>
    </row>
    <row r="154" spans="1:10">
      <c r="A154" s="39" t="s">
        <v>405</v>
      </c>
      <c r="B154" s="4">
        <v>0</v>
      </c>
      <c r="D154" s="4">
        <v>0</v>
      </c>
      <c r="E154" s="4">
        <v>0</v>
      </c>
      <c r="F154" s="4"/>
      <c r="G154" s="4">
        <v>0</v>
      </c>
      <c r="H154" s="4">
        <v>0</v>
      </c>
      <c r="I154" s="4">
        <v>0</v>
      </c>
      <c r="J154" s="4">
        <v>0</v>
      </c>
    </row>
    <row r="155" spans="1:10">
      <c r="A155" s="39" t="s">
        <v>406</v>
      </c>
      <c r="B155" s="4">
        <v>6.7558581061081987E-5</v>
      </c>
      <c r="D155" s="4">
        <v>1.3196888355887452E-4</v>
      </c>
      <c r="E155" s="4">
        <v>0</v>
      </c>
      <c r="F155" s="4"/>
      <c r="G155" s="4">
        <v>0</v>
      </c>
      <c r="H155" s="4">
        <v>0</v>
      </c>
      <c r="I155" s="4">
        <v>3.258738247140481E-4</v>
      </c>
      <c r="J155" s="4">
        <v>0</v>
      </c>
    </row>
    <row r="156" spans="1:10">
      <c r="A156" s="39" t="s">
        <v>407</v>
      </c>
      <c r="B156" s="4">
        <v>3.9675915049934058E-4</v>
      </c>
      <c r="D156" s="4">
        <v>7.7502903866238882E-4</v>
      </c>
      <c r="E156" s="4">
        <v>0</v>
      </c>
      <c r="F156" s="4"/>
      <c r="G156" s="4">
        <v>3.8044348798607766E-4</v>
      </c>
      <c r="H156" s="4">
        <v>4.5432306723700445E-4</v>
      </c>
      <c r="I156" s="4">
        <v>0</v>
      </c>
      <c r="J156" s="4">
        <v>7.4399332558398098E-4</v>
      </c>
    </row>
    <row r="157" spans="1:10">
      <c r="A157" s="132" t="s">
        <v>408</v>
      </c>
      <c r="B157" s="137">
        <v>3.5627696735739747E-3</v>
      </c>
      <c r="C157" s="133"/>
      <c r="D157" s="137">
        <v>2.3426566843728989E-3</v>
      </c>
      <c r="E157" s="137">
        <v>4.8861276044388354E-3</v>
      </c>
      <c r="F157" s="137"/>
      <c r="G157" s="137">
        <v>4.3149134040859141E-3</v>
      </c>
      <c r="H157" s="137">
        <v>3.4589006332601782E-3</v>
      </c>
      <c r="I157" s="137">
        <v>2.3619629862700053E-3</v>
      </c>
      <c r="J157" s="137">
        <v>3.7474228206197109E-3</v>
      </c>
    </row>
    <row r="158" spans="1:10">
      <c r="A158" s="72"/>
      <c r="B158" s="156" t="s">
        <v>146</v>
      </c>
      <c r="C158" s="156"/>
      <c r="D158" s="156"/>
      <c r="E158" s="156"/>
      <c r="F158" s="156"/>
      <c r="G158" s="156"/>
      <c r="H158" s="156"/>
      <c r="I158" s="156"/>
      <c r="J158" s="156"/>
    </row>
    <row r="159" spans="1:10">
      <c r="A159" s="39" t="s">
        <v>267</v>
      </c>
      <c r="B159" s="50">
        <v>6025.5559466635505</v>
      </c>
      <c r="D159" s="50">
        <v>4806.840266675511</v>
      </c>
      <c r="E159" s="50">
        <v>1218.7156799880397</v>
      </c>
      <c r="F159" s="50"/>
      <c r="G159" s="50">
        <v>2028.1942352377569</v>
      </c>
      <c r="H159" s="50">
        <v>1129.7972767397084</v>
      </c>
      <c r="I159" s="50">
        <v>1692.9626090723132</v>
      </c>
      <c r="J159" s="50">
        <v>1174.6018256137722</v>
      </c>
    </row>
    <row r="160" spans="1:10">
      <c r="A160" s="39" t="s">
        <v>268</v>
      </c>
      <c r="B160" s="50">
        <v>15615.221925082233</v>
      </c>
      <c r="D160" s="50">
        <v>10675.644663032585</v>
      </c>
      <c r="E160" s="50">
        <v>4367.6796061967907</v>
      </c>
      <c r="F160" s="50"/>
      <c r="G160" s="50">
        <v>4672.4309181907338</v>
      </c>
      <c r="H160" s="50">
        <v>5482.337720669866</v>
      </c>
      <c r="I160" s="50">
        <v>2822.1279028759291</v>
      </c>
      <c r="J160" s="50">
        <v>2638.3253833457052</v>
      </c>
    </row>
    <row r="161" spans="1:10">
      <c r="A161" s="39" t="s">
        <v>269</v>
      </c>
      <c r="B161" s="50">
        <v>11053.559874603226</v>
      </c>
      <c r="D161" s="50">
        <v>8876.6762316672848</v>
      </c>
      <c r="E161" s="50">
        <v>1742.8577330838798</v>
      </c>
      <c r="F161" s="50"/>
      <c r="G161" s="50">
        <v>1932.2814447143928</v>
      </c>
      <c r="H161" s="50">
        <v>2390.5535987546082</v>
      </c>
      <c r="I161" s="50">
        <v>2455.4123670945778</v>
      </c>
      <c r="J161" s="50">
        <v>4275.3124640396472</v>
      </c>
    </row>
    <row r="162" spans="1:10">
      <c r="A162" s="39" t="s">
        <v>270</v>
      </c>
      <c r="B162" s="50">
        <v>143235.45295026602</v>
      </c>
      <c r="D162" s="50">
        <v>76108.527448083172</v>
      </c>
      <c r="E162" s="50">
        <v>66441.920856493671</v>
      </c>
      <c r="F162" s="50"/>
      <c r="G162" s="50">
        <v>17826.606094983232</v>
      </c>
      <c r="H162" s="50">
        <v>46377.159229573903</v>
      </c>
      <c r="I162" s="50">
        <v>47070.924222540059</v>
      </c>
      <c r="J162" s="50">
        <v>31960.763403168756</v>
      </c>
    </row>
    <row r="163" spans="1:10">
      <c r="A163" s="39" t="s">
        <v>271</v>
      </c>
      <c r="B163" s="50">
        <v>259229.77773449413</v>
      </c>
      <c r="D163" s="50">
        <v>197983.76584588274</v>
      </c>
      <c r="E163" s="50">
        <v>58982.220907874034</v>
      </c>
      <c r="F163" s="50"/>
      <c r="G163" s="50">
        <v>23154.646169164189</v>
      </c>
      <c r="H163" s="50">
        <v>90425.719422390117</v>
      </c>
      <c r="I163" s="50">
        <v>68949.607551861991</v>
      </c>
      <c r="J163" s="50">
        <v>76699.804591077438</v>
      </c>
    </row>
    <row r="164" spans="1:10">
      <c r="A164" s="39" t="s">
        <v>272</v>
      </c>
      <c r="B164" s="50">
        <v>46985.847127715133</v>
      </c>
      <c r="D164" s="50">
        <v>27659.958024520089</v>
      </c>
      <c r="E164" s="50">
        <v>18849.489471412762</v>
      </c>
      <c r="F164" s="50"/>
      <c r="G164" s="50">
        <v>2626.8572329324243</v>
      </c>
      <c r="H164" s="50">
        <v>10990.098132218844</v>
      </c>
      <c r="I164" s="50">
        <v>14680.299615243533</v>
      </c>
      <c r="J164" s="50">
        <v>18688.592147320342</v>
      </c>
    </row>
    <row r="165" spans="1:10">
      <c r="A165" s="39" t="s">
        <v>273</v>
      </c>
      <c r="B165" s="50">
        <v>26051.676885861976</v>
      </c>
      <c r="D165" s="50">
        <v>20155.043033412796</v>
      </c>
      <c r="E165" s="50">
        <v>5312.9008705758961</v>
      </c>
      <c r="F165" s="50"/>
      <c r="G165" s="50">
        <v>3075.2728782353506</v>
      </c>
      <c r="H165" s="50">
        <v>8249.1548309569844</v>
      </c>
      <c r="I165" s="50">
        <v>6948.4421294228205</v>
      </c>
      <c r="J165" s="50">
        <v>7778.807047246828</v>
      </c>
    </row>
    <row r="166" spans="1:10">
      <c r="A166" s="39" t="s">
        <v>274</v>
      </c>
      <c r="B166" s="50">
        <v>325261.07402314537</v>
      </c>
      <c r="D166" s="50">
        <v>229579.93745345791</v>
      </c>
      <c r="E166" s="50">
        <v>94621.121096031784</v>
      </c>
      <c r="F166" s="50"/>
      <c r="G166" s="50">
        <v>15794.292227174521</v>
      </c>
      <c r="H166" s="50">
        <v>84724.627396886222</v>
      </c>
      <c r="I166" s="50">
        <v>121077.43106451385</v>
      </c>
      <c r="J166" s="50">
        <v>103664.72333457047</v>
      </c>
    </row>
    <row r="167" spans="1:10">
      <c r="A167" s="39" t="s">
        <v>275</v>
      </c>
      <c r="B167" s="50">
        <v>3604.0383567576018</v>
      </c>
      <c r="D167" s="50">
        <v>2332.060086355646</v>
      </c>
      <c r="E167" s="50">
        <v>656.03002618745029</v>
      </c>
      <c r="F167" s="50"/>
      <c r="G167" s="50">
        <v>2305.5866848527671</v>
      </c>
      <c r="H167" s="50">
        <v>471.0733031715659</v>
      </c>
      <c r="I167" s="50">
        <v>443.04445462860843</v>
      </c>
      <c r="J167" s="50">
        <v>384.33391410466049</v>
      </c>
    </row>
    <row r="168" spans="1:10">
      <c r="A168" s="39" t="s">
        <v>276</v>
      </c>
      <c r="B168" s="50">
        <v>469.01749114863878</v>
      </c>
      <c r="D168" s="50">
        <v>469.01749114863878</v>
      </c>
      <c r="E168" s="50">
        <v>0</v>
      </c>
      <c r="F168" s="50"/>
      <c r="G168" s="50">
        <v>0</v>
      </c>
      <c r="H168" s="50">
        <v>469.01749114863878</v>
      </c>
      <c r="I168" s="50">
        <v>0</v>
      </c>
      <c r="J168" s="50">
        <v>0</v>
      </c>
    </row>
    <row r="169" spans="1:10">
      <c r="A169" s="39" t="s">
        <v>277</v>
      </c>
      <c r="B169" s="50">
        <v>1297.8036619198056</v>
      </c>
      <c r="D169" s="50">
        <v>681.96789472569083</v>
      </c>
      <c r="E169" s="50">
        <v>615.83576719411474</v>
      </c>
      <c r="F169" s="50"/>
      <c r="G169" s="50">
        <v>615.83576719411474</v>
      </c>
      <c r="H169" s="50">
        <v>0</v>
      </c>
      <c r="I169" s="50">
        <v>0</v>
      </c>
      <c r="J169" s="50">
        <v>681.96789472569083</v>
      </c>
    </row>
    <row r="170" spans="1:10">
      <c r="A170" s="39" t="s">
        <v>278</v>
      </c>
      <c r="B170" s="50">
        <v>6437.7366172867105</v>
      </c>
      <c r="D170" s="50">
        <v>4744.8707294274254</v>
      </c>
      <c r="E170" s="50">
        <v>1692.8658878592851</v>
      </c>
      <c r="F170" s="50"/>
      <c r="G170" s="50">
        <v>1467.566859823688</v>
      </c>
      <c r="H170" s="50">
        <v>3090.9819446206557</v>
      </c>
      <c r="I170" s="50">
        <v>1556.9297271917242</v>
      </c>
      <c r="J170" s="50">
        <v>322.25808565064256</v>
      </c>
    </row>
    <row r="171" spans="1:10">
      <c r="A171" s="39" t="s">
        <v>279</v>
      </c>
      <c r="B171" s="50">
        <v>0</v>
      </c>
      <c r="D171" s="50">
        <v>0</v>
      </c>
      <c r="E171" s="50">
        <v>0</v>
      </c>
      <c r="F171" s="50"/>
      <c r="G171" s="50">
        <v>0</v>
      </c>
      <c r="H171" s="50">
        <v>0</v>
      </c>
      <c r="I171" s="50">
        <v>0</v>
      </c>
      <c r="J171" s="50">
        <v>0</v>
      </c>
    </row>
    <row r="172" spans="1:10">
      <c r="A172" s="39" t="s">
        <v>280</v>
      </c>
      <c r="B172" s="50">
        <v>383.56479504574122</v>
      </c>
      <c r="D172" s="50">
        <v>383.56479504574122</v>
      </c>
      <c r="E172" s="50">
        <v>0</v>
      </c>
      <c r="F172" s="50"/>
      <c r="G172" s="50">
        <v>0</v>
      </c>
      <c r="H172" s="50">
        <v>0</v>
      </c>
      <c r="I172" s="50">
        <v>0</v>
      </c>
      <c r="J172" s="50">
        <v>383.56479504574122</v>
      </c>
    </row>
    <row r="173" spans="1:10">
      <c r="A173" s="39" t="s">
        <v>281</v>
      </c>
      <c r="B173" s="50">
        <v>0</v>
      </c>
      <c r="D173" s="50">
        <v>0</v>
      </c>
      <c r="E173" s="50">
        <v>0</v>
      </c>
      <c r="F173" s="50"/>
      <c r="G173" s="50">
        <v>0</v>
      </c>
      <c r="H173" s="50">
        <v>0</v>
      </c>
      <c r="I173" s="50">
        <v>0</v>
      </c>
      <c r="J173" s="50">
        <v>0</v>
      </c>
    </row>
    <row r="174" spans="1:10">
      <c r="A174" s="39" t="s">
        <v>282</v>
      </c>
      <c r="B174" s="50">
        <v>0</v>
      </c>
      <c r="D174" s="50">
        <v>0</v>
      </c>
      <c r="E174" s="50">
        <v>0</v>
      </c>
      <c r="F174" s="50"/>
      <c r="G174" s="50">
        <v>0</v>
      </c>
      <c r="H174" s="50">
        <v>0</v>
      </c>
      <c r="I174" s="50">
        <v>0</v>
      </c>
      <c r="J174" s="50">
        <v>0</v>
      </c>
    </row>
    <row r="175" spans="1:10">
      <c r="A175" s="39" t="s">
        <v>283</v>
      </c>
      <c r="B175" s="50">
        <v>0</v>
      </c>
      <c r="D175" s="50">
        <v>0</v>
      </c>
      <c r="E175" s="50">
        <v>0</v>
      </c>
      <c r="F175" s="50"/>
      <c r="G175" s="50">
        <v>0</v>
      </c>
      <c r="H175" s="50">
        <v>0</v>
      </c>
      <c r="I175" s="50">
        <v>0</v>
      </c>
      <c r="J175" s="50">
        <v>0</v>
      </c>
    </row>
    <row r="176" spans="1:10">
      <c r="A176" s="39" t="s">
        <v>284</v>
      </c>
      <c r="B176" s="50">
        <v>1752.5466810275238</v>
      </c>
      <c r="D176" s="50">
        <v>1300.0951472676265</v>
      </c>
      <c r="E176" s="50">
        <v>452.4515337598973</v>
      </c>
      <c r="F176" s="50"/>
      <c r="G176" s="50">
        <v>0</v>
      </c>
      <c r="H176" s="50">
        <v>954.5507570114579</v>
      </c>
      <c r="I176" s="50">
        <v>0</v>
      </c>
      <c r="J176" s="50">
        <v>797.99592401606606</v>
      </c>
    </row>
    <row r="177" spans="1:10">
      <c r="A177" s="39" t="s">
        <v>285</v>
      </c>
      <c r="B177" s="50">
        <v>15869.398469972524</v>
      </c>
      <c r="D177" s="50">
        <v>10965.920804546082</v>
      </c>
      <c r="E177" s="50">
        <v>4903.4776654264424</v>
      </c>
      <c r="F177" s="50"/>
      <c r="G177" s="50">
        <v>615.94824421450539</v>
      </c>
      <c r="H177" s="50">
        <v>3120.5801495018031</v>
      </c>
      <c r="I177" s="50">
        <v>4143.1479153858445</v>
      </c>
      <c r="J177" s="50">
        <v>7989.7221608703712</v>
      </c>
    </row>
    <row r="178" spans="1:10">
      <c r="A178" s="39" t="s">
        <v>286</v>
      </c>
      <c r="B178" s="50">
        <v>0</v>
      </c>
      <c r="D178" s="50">
        <v>0</v>
      </c>
      <c r="E178" s="50">
        <v>0</v>
      </c>
      <c r="F178" s="50"/>
      <c r="G178" s="50">
        <v>0</v>
      </c>
      <c r="H178" s="50">
        <v>0</v>
      </c>
      <c r="I178" s="50">
        <v>0</v>
      </c>
      <c r="J178" s="50">
        <v>0</v>
      </c>
    </row>
    <row r="179" spans="1:10">
      <c r="A179" s="39" t="s">
        <v>287</v>
      </c>
      <c r="B179" s="50">
        <v>83449.032862903201</v>
      </c>
      <c r="D179" s="50">
        <v>41170.009839434424</v>
      </c>
      <c r="E179" s="50">
        <v>41966.129860314148</v>
      </c>
      <c r="F179" s="50"/>
      <c r="G179" s="50">
        <v>20613.360599350806</v>
      </c>
      <c r="H179" s="50">
        <v>21038.169413568183</v>
      </c>
      <c r="I179" s="50">
        <v>20664.215767041755</v>
      </c>
      <c r="J179" s="50">
        <v>21133.287082942465</v>
      </c>
    </row>
    <row r="180" spans="1:10">
      <c r="A180" s="39" t="s">
        <v>288</v>
      </c>
      <c r="B180" s="50">
        <v>10639.181281357074</v>
      </c>
      <c r="D180" s="50">
        <v>2666.3533415633092</v>
      </c>
      <c r="E180" s="50">
        <v>7972.827939793764</v>
      </c>
      <c r="F180" s="50"/>
      <c r="G180" s="50">
        <v>1753.2458461338119</v>
      </c>
      <c r="H180" s="50">
        <v>4487.7240165762632</v>
      </c>
      <c r="I180" s="50">
        <v>3623.5017992364583</v>
      </c>
      <c r="J180" s="50">
        <v>774.70961941053986</v>
      </c>
    </row>
    <row r="181" spans="1:10">
      <c r="A181" s="39" t="s">
        <v>289</v>
      </c>
      <c r="B181" s="50">
        <v>1707.7354680647991</v>
      </c>
      <c r="D181" s="50">
        <v>1707.7354680647991</v>
      </c>
      <c r="E181" s="50">
        <v>0</v>
      </c>
      <c r="F181" s="50"/>
      <c r="G181" s="50">
        <v>0</v>
      </c>
      <c r="H181" s="50">
        <v>0</v>
      </c>
      <c r="I181" s="50">
        <v>1314.0061160683779</v>
      </c>
      <c r="J181" s="50">
        <v>393.72935199642114</v>
      </c>
    </row>
    <row r="182" spans="1:10">
      <c r="A182" s="39" t="s">
        <v>290</v>
      </c>
      <c r="B182" s="50">
        <v>8002.766747783091</v>
      </c>
      <c r="D182" s="50">
        <v>4812.383925025375</v>
      </c>
      <c r="E182" s="50">
        <v>3190.3828227577155</v>
      </c>
      <c r="F182" s="50"/>
      <c r="G182" s="50">
        <v>0</v>
      </c>
      <c r="H182" s="50">
        <v>3272.7133585534675</v>
      </c>
      <c r="I182" s="50">
        <v>1848.8634636536508</v>
      </c>
      <c r="J182" s="50">
        <v>2881.1899255759718</v>
      </c>
    </row>
    <row r="183" spans="1:10">
      <c r="A183" s="39" t="s">
        <v>291</v>
      </c>
      <c r="B183" s="50">
        <v>9492.6781550215001</v>
      </c>
      <c r="D183" s="50">
        <v>2897.904906588672</v>
      </c>
      <c r="E183" s="50">
        <v>6594.7732484328271</v>
      </c>
      <c r="F183" s="50"/>
      <c r="G183" s="50">
        <v>573.62690699456152</v>
      </c>
      <c r="H183" s="50">
        <v>3991.7060668609861</v>
      </c>
      <c r="I183" s="50">
        <v>2633.3915043667748</v>
      </c>
      <c r="J183" s="50">
        <v>2293.9536767991767</v>
      </c>
    </row>
    <row r="184" spans="1:10">
      <c r="A184" s="39" t="s">
        <v>292</v>
      </c>
      <c r="B184" s="50">
        <v>156088.85124051213</v>
      </c>
      <c r="D184" s="50">
        <v>128702.90673168054</v>
      </c>
      <c r="E184" s="50">
        <v>27085.802911946808</v>
      </c>
      <c r="F184" s="50"/>
      <c r="G184" s="50">
        <v>8286.7173754067717</v>
      </c>
      <c r="H184" s="50">
        <v>42106.412811336602</v>
      </c>
      <c r="I184" s="50">
        <v>52478.159676933785</v>
      </c>
      <c r="J184" s="50">
        <v>53217.561376834987</v>
      </c>
    </row>
    <row r="185" spans="1:10">
      <c r="A185" s="39" t="s">
        <v>293</v>
      </c>
      <c r="B185" s="50">
        <v>1788.2923718522238</v>
      </c>
      <c r="D185" s="50">
        <v>1788.2923718522238</v>
      </c>
      <c r="E185" s="50">
        <v>0</v>
      </c>
      <c r="F185" s="50"/>
      <c r="G185" s="50">
        <v>0</v>
      </c>
      <c r="H185" s="50">
        <v>1788.2923718522238</v>
      </c>
      <c r="I185" s="50">
        <v>0</v>
      </c>
      <c r="J185" s="50">
        <v>0</v>
      </c>
    </row>
    <row r="186" spans="1:10">
      <c r="A186" s="39" t="s">
        <v>294</v>
      </c>
      <c r="B186" s="50">
        <v>5610.2620602152238</v>
      </c>
      <c r="D186" s="50">
        <v>2083.8355808663637</v>
      </c>
      <c r="E186" s="50">
        <v>3526.4264793488601</v>
      </c>
      <c r="F186" s="50"/>
      <c r="G186" s="50">
        <v>623.97759388723603</v>
      </c>
      <c r="H186" s="50">
        <v>2292.4129088366826</v>
      </c>
      <c r="I186" s="50">
        <v>728.61174379016336</v>
      </c>
      <c r="J186" s="50">
        <v>1965.2598137011419</v>
      </c>
    </row>
    <row r="187" spans="1:10">
      <c r="A187" s="39" t="s">
        <v>295</v>
      </c>
      <c r="B187" s="50">
        <v>0</v>
      </c>
      <c r="D187" s="50">
        <v>0</v>
      </c>
      <c r="E187" s="50">
        <v>0</v>
      </c>
      <c r="F187" s="50"/>
      <c r="G187" s="50">
        <v>0</v>
      </c>
      <c r="H187" s="50">
        <v>0</v>
      </c>
      <c r="I187" s="50">
        <v>0</v>
      </c>
      <c r="J187" s="50">
        <v>0</v>
      </c>
    </row>
    <row r="188" spans="1:10">
      <c r="A188" s="39" t="s">
        <v>296</v>
      </c>
      <c r="B188" s="50">
        <v>136407.6516876049</v>
      </c>
      <c r="D188" s="50">
        <v>82924.820680851495</v>
      </c>
      <c r="E188" s="50">
        <v>53182.689409868632</v>
      </c>
      <c r="F188" s="50"/>
      <c r="G188" s="50">
        <v>37061.815368193129</v>
      </c>
      <c r="H188" s="50">
        <v>33027.727351536159</v>
      </c>
      <c r="I188" s="50">
        <v>36059.999023692224</v>
      </c>
      <c r="J188" s="50">
        <v>30258.109944183336</v>
      </c>
    </row>
    <row r="189" spans="1:10">
      <c r="A189" s="39" t="s">
        <v>297</v>
      </c>
      <c r="B189" s="50">
        <v>129037.18227562612</v>
      </c>
      <c r="D189" s="50">
        <v>23125.69663787639</v>
      </c>
      <c r="E189" s="50">
        <v>105911.48563774973</v>
      </c>
      <c r="F189" s="50"/>
      <c r="G189" s="50">
        <v>29777.568967683226</v>
      </c>
      <c r="H189" s="50">
        <v>46100.369169317157</v>
      </c>
      <c r="I189" s="50">
        <v>25258.216439979038</v>
      </c>
      <c r="J189" s="50">
        <v>27901.027698646711</v>
      </c>
    </row>
    <row r="190" spans="1:10">
      <c r="A190" s="39" t="s">
        <v>298</v>
      </c>
      <c r="B190" s="50">
        <v>258579.63167824192</v>
      </c>
      <c r="D190" s="50">
        <v>35547.514227535466</v>
      </c>
      <c r="E190" s="50">
        <v>222477.98966621791</v>
      </c>
      <c r="F190" s="50"/>
      <c r="G190" s="50">
        <v>61816.205096201396</v>
      </c>
      <c r="H190" s="50">
        <v>96028.148795438421</v>
      </c>
      <c r="I190" s="50">
        <v>64211.754721079538</v>
      </c>
      <c r="J190" s="50">
        <v>36523.523065522451</v>
      </c>
    </row>
    <row r="191" spans="1:10">
      <c r="A191" s="39" t="s">
        <v>299</v>
      </c>
      <c r="B191" s="50">
        <v>3176.7627506172062</v>
      </c>
      <c r="D191" s="50">
        <v>1876.8678585037376</v>
      </c>
      <c r="E191" s="50">
        <v>1299.8948921134681</v>
      </c>
      <c r="F191" s="50"/>
      <c r="G191" s="50">
        <v>1237.1237211237158</v>
      </c>
      <c r="H191" s="50">
        <v>756.8871882454373</v>
      </c>
      <c r="I191" s="50">
        <v>440.2961036401806</v>
      </c>
      <c r="J191" s="50">
        <v>742.45573760787227</v>
      </c>
    </row>
    <row r="192" spans="1:10">
      <c r="A192" s="39" t="s">
        <v>300</v>
      </c>
      <c r="B192" s="50">
        <v>2628.6810798484553</v>
      </c>
      <c r="D192" s="50">
        <v>1507.8564378709673</v>
      </c>
      <c r="E192" s="50">
        <v>1120.8246419774885</v>
      </c>
      <c r="F192" s="50"/>
      <c r="G192" s="50">
        <v>552.19768696451649</v>
      </c>
      <c r="H192" s="50">
        <v>0</v>
      </c>
      <c r="I192" s="50">
        <v>1277.5586130126133</v>
      </c>
      <c r="J192" s="50">
        <v>798.92477987132588</v>
      </c>
    </row>
    <row r="193" spans="1:10">
      <c r="A193" s="39" t="s">
        <v>301</v>
      </c>
      <c r="B193" s="50">
        <v>917.41594061603314</v>
      </c>
      <c r="D193" s="50">
        <v>483.39003076397017</v>
      </c>
      <c r="E193" s="50">
        <v>434.02590985206291</v>
      </c>
      <c r="F193" s="50"/>
      <c r="G193" s="50">
        <v>0</v>
      </c>
      <c r="H193" s="50">
        <v>0</v>
      </c>
      <c r="I193" s="50">
        <v>483.39003076397017</v>
      </c>
      <c r="J193" s="50">
        <v>434.02590985206291</v>
      </c>
    </row>
    <row r="194" spans="1:10">
      <c r="A194" s="39" t="s">
        <v>302</v>
      </c>
      <c r="B194" s="50">
        <v>407.11606996521789</v>
      </c>
      <c r="D194" s="50">
        <v>0</v>
      </c>
      <c r="E194" s="50">
        <v>407.11606996521789</v>
      </c>
      <c r="F194" s="50"/>
      <c r="G194" s="50">
        <v>0</v>
      </c>
      <c r="H194" s="50">
        <v>0</v>
      </c>
      <c r="I194" s="50">
        <v>0</v>
      </c>
      <c r="J194" s="50">
        <v>407.11606996521789</v>
      </c>
    </row>
    <row r="195" spans="1:10">
      <c r="A195" s="39" t="s">
        <v>303</v>
      </c>
      <c r="B195" s="50">
        <v>1926.4063723463055</v>
      </c>
      <c r="D195" s="50">
        <v>0</v>
      </c>
      <c r="E195" s="50">
        <v>1926.4063723463055</v>
      </c>
      <c r="F195" s="50"/>
      <c r="G195" s="50">
        <v>0</v>
      </c>
      <c r="H195" s="50">
        <v>0</v>
      </c>
      <c r="I195" s="50">
        <v>1497.174235970268</v>
      </c>
      <c r="J195" s="50">
        <v>429.23213637603754</v>
      </c>
    </row>
    <row r="196" spans="1:10">
      <c r="A196" s="39" t="s">
        <v>304</v>
      </c>
      <c r="B196" s="50">
        <v>21065.531570681476</v>
      </c>
      <c r="D196" s="50">
        <v>3928.3125761837105</v>
      </c>
      <c r="E196" s="50">
        <v>17137.218994497762</v>
      </c>
      <c r="F196" s="50"/>
      <c r="G196" s="50">
        <v>1796.6654930096086</v>
      </c>
      <c r="H196" s="50">
        <v>5688.586065115569</v>
      </c>
      <c r="I196" s="50">
        <v>9088.3668660811545</v>
      </c>
      <c r="J196" s="50">
        <v>4491.9131464751399</v>
      </c>
    </row>
    <row r="197" spans="1:10">
      <c r="A197" s="39" t="s">
        <v>305</v>
      </c>
      <c r="B197" s="50">
        <v>5481.1264077232963</v>
      </c>
      <c r="D197" s="50">
        <v>3240.8125512793199</v>
      </c>
      <c r="E197" s="50">
        <v>2240.313856443976</v>
      </c>
      <c r="F197" s="50"/>
      <c r="G197" s="50">
        <v>1082.1974567307216</v>
      </c>
      <c r="H197" s="50">
        <v>1088.1779151602123</v>
      </c>
      <c r="I197" s="50">
        <v>1751.1764965378297</v>
      </c>
      <c r="J197" s="50">
        <v>1559.5745392945319</v>
      </c>
    </row>
    <row r="198" spans="1:10">
      <c r="A198" s="39" t="s">
        <v>306</v>
      </c>
      <c r="B198" s="50">
        <v>3176.9108259895634</v>
      </c>
      <c r="D198" s="50">
        <v>2345.9325117165472</v>
      </c>
      <c r="E198" s="50">
        <v>830.97831427301639</v>
      </c>
      <c r="F198" s="50"/>
      <c r="G198" s="50">
        <v>544.03852372942049</v>
      </c>
      <c r="H198" s="50">
        <v>1058.6193838663371</v>
      </c>
      <c r="I198" s="50">
        <v>0</v>
      </c>
      <c r="J198" s="50">
        <v>1574.2529183938059</v>
      </c>
    </row>
    <row r="199" spans="1:10">
      <c r="A199" s="39" t="s">
        <v>307</v>
      </c>
      <c r="B199" s="50">
        <v>13286.491649546242</v>
      </c>
      <c r="D199" s="50">
        <v>8661.7852281697506</v>
      </c>
      <c r="E199" s="50">
        <v>4624.7064213764934</v>
      </c>
      <c r="F199" s="50"/>
      <c r="G199" s="50">
        <v>2317.0351088755219</v>
      </c>
      <c r="H199" s="50">
        <v>1153.1185254197871</v>
      </c>
      <c r="I199" s="50">
        <v>3727.0803586170077</v>
      </c>
      <c r="J199" s="50">
        <v>6089.2576566339276</v>
      </c>
    </row>
    <row r="200" spans="1:10">
      <c r="A200" s="39" t="s">
        <v>308</v>
      </c>
      <c r="B200" s="50">
        <v>75181.531319556656</v>
      </c>
      <c r="D200" s="50">
        <v>42845.938166965992</v>
      </c>
      <c r="E200" s="50">
        <v>30996.415605992064</v>
      </c>
      <c r="F200" s="50"/>
      <c r="G200" s="50">
        <v>13858.105352590243</v>
      </c>
      <c r="H200" s="50">
        <v>22383.807166499188</v>
      </c>
      <c r="I200" s="50">
        <v>8381.3459224337221</v>
      </c>
      <c r="J200" s="50">
        <v>30558.272878033509</v>
      </c>
    </row>
    <row r="201" spans="1:10">
      <c r="A201" s="39" t="s">
        <v>309</v>
      </c>
      <c r="B201" s="50">
        <v>1397.5819785114836</v>
      </c>
      <c r="D201" s="50">
        <v>751.65644847864928</v>
      </c>
      <c r="E201" s="50">
        <v>645.92553003283422</v>
      </c>
      <c r="F201" s="50"/>
      <c r="G201" s="50">
        <v>0</v>
      </c>
      <c r="H201" s="50">
        <v>0</v>
      </c>
      <c r="I201" s="50">
        <v>645.92553003283422</v>
      </c>
      <c r="J201" s="50">
        <v>751.65644847864928</v>
      </c>
    </row>
    <row r="202" spans="1:10">
      <c r="A202" s="39" t="s">
        <v>310</v>
      </c>
      <c r="B202" s="50">
        <v>2226.5348016687067</v>
      </c>
      <c r="D202" s="50">
        <v>1618.1046971550122</v>
      </c>
      <c r="E202" s="50">
        <v>608.43010451369446</v>
      </c>
      <c r="F202" s="50"/>
      <c r="G202" s="50">
        <v>615.94824421450539</v>
      </c>
      <c r="H202" s="50">
        <v>0</v>
      </c>
      <c r="I202" s="50">
        <v>1375.2236523506961</v>
      </c>
      <c r="J202" s="50">
        <v>235.36290510350517</v>
      </c>
    </row>
    <row r="203" spans="1:10">
      <c r="A203" s="39" t="s">
        <v>311</v>
      </c>
      <c r="B203" s="50">
        <v>632249.28754203091</v>
      </c>
      <c r="D203" s="50">
        <v>457006.47554867907</v>
      </c>
      <c r="E203" s="50">
        <v>173569.76175965773</v>
      </c>
      <c r="F203" s="50"/>
      <c r="G203" s="50">
        <v>74859.452332922781</v>
      </c>
      <c r="H203" s="50">
        <v>218364.56114403659</v>
      </c>
      <c r="I203" s="50">
        <v>187399.20049994215</v>
      </c>
      <c r="J203" s="50">
        <v>151626.07356513027</v>
      </c>
    </row>
    <row r="204" spans="1:10">
      <c r="A204" s="39" t="s">
        <v>312</v>
      </c>
      <c r="B204" s="50">
        <v>2549.8458256561426</v>
      </c>
      <c r="D204" s="50">
        <v>471.0733031715659</v>
      </c>
      <c r="E204" s="50">
        <v>2078.7725224845772</v>
      </c>
      <c r="F204" s="50"/>
      <c r="G204" s="50">
        <v>0</v>
      </c>
      <c r="H204" s="50">
        <v>2549.8458256561426</v>
      </c>
      <c r="I204" s="50">
        <v>0</v>
      </c>
      <c r="J204" s="50">
        <v>0</v>
      </c>
    </row>
    <row r="205" spans="1:10">
      <c r="A205" s="39" t="s">
        <v>313</v>
      </c>
      <c r="B205" s="50">
        <v>1531.1644865487747</v>
      </c>
      <c r="D205" s="50">
        <v>1089.8198112762273</v>
      </c>
      <c r="E205" s="50">
        <v>441.34467527254736</v>
      </c>
      <c r="F205" s="50"/>
      <c r="G205" s="50">
        <v>607.1417139632598</v>
      </c>
      <c r="H205" s="50">
        <v>0</v>
      </c>
      <c r="I205" s="50">
        <v>482.67809731296751</v>
      </c>
      <c r="J205" s="50">
        <v>441.34467527254736</v>
      </c>
    </row>
    <row r="206" spans="1:10">
      <c r="A206" s="39" t="s">
        <v>314</v>
      </c>
      <c r="B206" s="50">
        <v>789.03832631298769</v>
      </c>
      <c r="D206" s="50">
        <v>0</v>
      </c>
      <c r="E206" s="50">
        <v>789.03832631298769</v>
      </c>
      <c r="F206" s="50"/>
      <c r="G206" s="50">
        <v>0</v>
      </c>
      <c r="H206" s="50">
        <v>789.03832631298769</v>
      </c>
      <c r="I206" s="50">
        <v>0</v>
      </c>
      <c r="J206" s="50">
        <v>0</v>
      </c>
    </row>
    <row r="207" spans="1:10">
      <c r="A207" s="39" t="s">
        <v>315</v>
      </c>
      <c r="B207" s="50">
        <v>36017.957602577932</v>
      </c>
      <c r="D207" s="50">
        <v>28849.661071966995</v>
      </c>
      <c r="E207" s="50">
        <v>7168.2965306109354</v>
      </c>
      <c r="F207" s="50"/>
      <c r="G207" s="50">
        <v>2808.4508100305807</v>
      </c>
      <c r="H207" s="50">
        <v>12163.933209409617</v>
      </c>
      <c r="I207" s="50">
        <v>13075.682542898407</v>
      </c>
      <c r="J207" s="50">
        <v>7969.891040239334</v>
      </c>
    </row>
    <row r="208" spans="1:10">
      <c r="A208" s="39" t="s">
        <v>316</v>
      </c>
      <c r="B208" s="50">
        <v>908.14019147922068</v>
      </c>
      <c r="D208" s="50">
        <v>383.56479504574122</v>
      </c>
      <c r="E208" s="50">
        <v>524.57539643347945</v>
      </c>
      <c r="F208" s="50"/>
      <c r="G208" s="50">
        <v>524.57539643347945</v>
      </c>
      <c r="H208" s="50">
        <v>0</v>
      </c>
      <c r="I208" s="50">
        <v>0</v>
      </c>
      <c r="J208" s="50">
        <v>383.56479504574122</v>
      </c>
    </row>
    <row r="209" spans="1:10">
      <c r="A209" s="39" t="s">
        <v>317</v>
      </c>
      <c r="B209" s="50">
        <v>1902.3074565771246</v>
      </c>
      <c r="D209" s="50">
        <v>460.57530577393049</v>
      </c>
      <c r="E209" s="50">
        <v>1441.7321508031941</v>
      </c>
      <c r="F209" s="50"/>
      <c r="G209" s="50">
        <v>0</v>
      </c>
      <c r="H209" s="50">
        <v>0</v>
      </c>
      <c r="I209" s="50">
        <v>890.70003943546089</v>
      </c>
      <c r="J209" s="50">
        <v>1011.6074171416637</v>
      </c>
    </row>
    <row r="210" spans="1:10">
      <c r="A210" s="39" t="s">
        <v>318</v>
      </c>
      <c r="B210" s="50">
        <v>323478.68184137793</v>
      </c>
      <c r="D210" s="50">
        <v>67503.26411799308</v>
      </c>
      <c r="E210" s="50">
        <v>254470.93148440123</v>
      </c>
      <c r="F210" s="50"/>
      <c r="G210" s="50">
        <v>95346.774541432242</v>
      </c>
      <c r="H210" s="50">
        <v>129513.57143006046</v>
      </c>
      <c r="I210" s="50">
        <v>72114.007359101481</v>
      </c>
      <c r="J210" s="50">
        <v>26504.328510784206</v>
      </c>
    </row>
    <row r="211" spans="1:10">
      <c r="A211" s="39" t="s">
        <v>319</v>
      </c>
      <c r="B211" s="50">
        <v>9843.5898108936726</v>
      </c>
      <c r="D211" s="50">
        <v>5502.5282671472378</v>
      </c>
      <c r="E211" s="50">
        <v>4341.0615437464339</v>
      </c>
      <c r="F211" s="50"/>
      <c r="G211" s="50">
        <v>1197.6887820106763</v>
      </c>
      <c r="H211" s="50">
        <v>1564.4922359511474</v>
      </c>
      <c r="I211" s="50">
        <v>4854.6520591499066</v>
      </c>
      <c r="J211" s="50">
        <v>2226.7567337819423</v>
      </c>
    </row>
    <row r="212" spans="1:10">
      <c r="A212" s="39" t="s">
        <v>320</v>
      </c>
      <c r="B212" s="50">
        <v>0</v>
      </c>
      <c r="D212" s="50">
        <v>0</v>
      </c>
      <c r="E212" s="50">
        <v>0</v>
      </c>
      <c r="F212" s="50"/>
      <c r="G212" s="50">
        <v>0</v>
      </c>
      <c r="H212" s="50">
        <v>0</v>
      </c>
      <c r="I212" s="50">
        <v>0</v>
      </c>
      <c r="J212" s="50">
        <v>0</v>
      </c>
    </row>
    <row r="213" spans="1:10">
      <c r="A213" s="39" t="s">
        <v>321</v>
      </c>
      <c r="B213" s="50">
        <v>36642.415814964203</v>
      </c>
      <c r="D213" s="50">
        <v>18892.715003495072</v>
      </c>
      <c r="E213" s="50">
        <v>17749.700811469142</v>
      </c>
      <c r="F213" s="50"/>
      <c r="G213" s="50">
        <v>675.42455103884743</v>
      </c>
      <c r="H213" s="50">
        <v>12730.769983644803</v>
      </c>
      <c r="I213" s="50">
        <v>8070.069679801074</v>
      </c>
      <c r="J213" s="50">
        <v>15166.151600479487</v>
      </c>
    </row>
    <row r="214" spans="1:10">
      <c r="A214" s="39" t="s">
        <v>322</v>
      </c>
      <c r="B214" s="50">
        <v>1210.357514866603</v>
      </c>
      <c r="D214" s="50">
        <v>0</v>
      </c>
      <c r="E214" s="50">
        <v>1210.357514866603</v>
      </c>
      <c r="F214" s="50"/>
      <c r="G214" s="50">
        <v>0</v>
      </c>
      <c r="H214" s="50">
        <v>600.07193939225772</v>
      </c>
      <c r="I214" s="50">
        <v>610.28557547434525</v>
      </c>
      <c r="J214" s="50">
        <v>0</v>
      </c>
    </row>
    <row r="215" spans="1:10">
      <c r="A215" s="39" t="s">
        <v>323</v>
      </c>
      <c r="B215" s="50">
        <v>1918.6656711977698</v>
      </c>
      <c r="D215" s="50">
        <v>441.2510885991212</v>
      </c>
      <c r="E215" s="50">
        <v>1477.4145825986488</v>
      </c>
      <c r="F215" s="50"/>
      <c r="G215" s="50">
        <v>656.03002618745029</v>
      </c>
      <c r="H215" s="50">
        <v>821.38455641119845</v>
      </c>
      <c r="I215" s="50">
        <v>441.2510885991212</v>
      </c>
      <c r="J215" s="50">
        <v>0</v>
      </c>
    </row>
    <row r="216" spans="1:10">
      <c r="A216" s="39" t="s">
        <v>324</v>
      </c>
      <c r="B216" s="50">
        <v>474.24692908427352</v>
      </c>
      <c r="D216" s="50">
        <v>474.24692908427352</v>
      </c>
      <c r="E216" s="50">
        <v>0</v>
      </c>
      <c r="F216" s="50"/>
      <c r="G216" s="50">
        <v>0</v>
      </c>
      <c r="H216" s="50">
        <v>0</v>
      </c>
      <c r="I216" s="50">
        <v>474.24692908427352</v>
      </c>
      <c r="J216" s="50">
        <v>0</v>
      </c>
    </row>
    <row r="217" spans="1:10">
      <c r="A217" s="39" t="s">
        <v>325</v>
      </c>
      <c r="B217" s="50">
        <v>9130.3201402038649</v>
      </c>
      <c r="D217" s="50">
        <v>978.02618396806361</v>
      </c>
      <c r="E217" s="50">
        <v>8152.2939562358006</v>
      </c>
      <c r="F217" s="50"/>
      <c r="G217" s="50">
        <v>637.39434718926759</v>
      </c>
      <c r="H217" s="50">
        <v>4140.4190962363791</v>
      </c>
      <c r="I217" s="50">
        <v>2698.6484497372758</v>
      </c>
      <c r="J217" s="50">
        <v>1653.8582470409428</v>
      </c>
    </row>
    <row r="218" spans="1:10">
      <c r="A218" s="39" t="s">
        <v>326</v>
      </c>
      <c r="B218" s="50">
        <v>462.91768712269339</v>
      </c>
      <c r="D218" s="50">
        <v>462.91768712269339</v>
      </c>
      <c r="E218" s="50">
        <v>0</v>
      </c>
      <c r="F218" s="50"/>
      <c r="G218" s="50">
        <v>0</v>
      </c>
      <c r="H218" s="50">
        <v>462.91768712269339</v>
      </c>
      <c r="I218" s="50">
        <v>0</v>
      </c>
      <c r="J218" s="50">
        <v>0</v>
      </c>
    </row>
    <row r="219" spans="1:10">
      <c r="A219" s="39" t="s">
        <v>327</v>
      </c>
      <c r="B219" s="50">
        <v>3547.3157227665038</v>
      </c>
      <c r="D219" s="50">
        <v>2073.8674841982966</v>
      </c>
      <c r="E219" s="50">
        <v>1473.4482385682074</v>
      </c>
      <c r="F219" s="50"/>
      <c r="G219" s="50">
        <v>512.1153326436812</v>
      </c>
      <c r="H219" s="50">
        <v>1785.7303781440619</v>
      </c>
      <c r="I219" s="50">
        <v>448.69168865475172</v>
      </c>
      <c r="J219" s="50">
        <v>800.77832332400931</v>
      </c>
    </row>
    <row r="220" spans="1:10">
      <c r="A220" s="39" t="s">
        <v>328</v>
      </c>
      <c r="B220" s="50">
        <v>29740.93584541036</v>
      </c>
      <c r="D220" s="50">
        <v>19416.958956004044</v>
      </c>
      <c r="E220" s="50">
        <v>9973.9061098959974</v>
      </c>
      <c r="F220" s="50"/>
      <c r="G220" s="50">
        <v>3599.4288394257496</v>
      </c>
      <c r="H220" s="50">
        <v>12739.694991023291</v>
      </c>
      <c r="I220" s="50">
        <v>7233.1619701670361</v>
      </c>
      <c r="J220" s="50">
        <v>6168.6500447942926</v>
      </c>
    </row>
    <row r="221" spans="1:10">
      <c r="A221" s="39" t="s">
        <v>329</v>
      </c>
      <c r="B221" s="50">
        <v>88137.85857862157</v>
      </c>
      <c r="D221" s="50">
        <v>55183.893558795462</v>
      </c>
      <c r="E221" s="50">
        <v>32953.965019826144</v>
      </c>
      <c r="F221" s="50"/>
      <c r="G221" s="50">
        <v>6916.4296817528902</v>
      </c>
      <c r="H221" s="50">
        <v>35288.721771357261</v>
      </c>
      <c r="I221" s="50">
        <v>33142.019452129069</v>
      </c>
      <c r="J221" s="50">
        <v>12790.687673382354</v>
      </c>
    </row>
    <row r="222" spans="1:10">
      <c r="A222" s="39" t="s">
        <v>330</v>
      </c>
      <c r="B222" s="50">
        <v>0</v>
      </c>
      <c r="D222" s="50">
        <v>0</v>
      </c>
      <c r="E222" s="50">
        <v>0</v>
      </c>
      <c r="F222" s="50"/>
      <c r="G222" s="50">
        <v>0</v>
      </c>
      <c r="H222" s="50">
        <v>0</v>
      </c>
      <c r="I222" s="50">
        <v>0</v>
      </c>
      <c r="J222" s="50">
        <v>0</v>
      </c>
    </row>
    <row r="223" spans="1:10">
      <c r="A223" s="39" t="s">
        <v>331</v>
      </c>
      <c r="B223" s="50">
        <v>456.90928794897246</v>
      </c>
      <c r="D223" s="50">
        <v>456.90928794897246</v>
      </c>
      <c r="E223" s="50">
        <v>0</v>
      </c>
      <c r="F223" s="50"/>
      <c r="G223" s="50">
        <v>0</v>
      </c>
      <c r="H223" s="50">
        <v>456.90928794897246</v>
      </c>
      <c r="I223" s="50">
        <v>0</v>
      </c>
      <c r="J223" s="50">
        <v>0</v>
      </c>
    </row>
    <row r="224" spans="1:10">
      <c r="A224" s="39" t="s">
        <v>332</v>
      </c>
      <c r="B224" s="50">
        <v>944.13019054433357</v>
      </c>
      <c r="D224" s="50">
        <v>451.86276981307117</v>
      </c>
      <c r="E224" s="50">
        <v>492.26742073126235</v>
      </c>
      <c r="F224" s="50"/>
      <c r="G224" s="50">
        <v>0</v>
      </c>
      <c r="H224" s="50">
        <v>451.86276981307117</v>
      </c>
      <c r="I224" s="50">
        <v>0</v>
      </c>
      <c r="J224" s="50">
        <v>492.26742073126235</v>
      </c>
    </row>
    <row r="225" spans="1:10">
      <c r="A225" s="39" t="s">
        <v>333</v>
      </c>
      <c r="B225" s="50">
        <v>4287.5202859236279</v>
      </c>
      <c r="D225" s="50">
        <v>996.85030121032798</v>
      </c>
      <c r="E225" s="50">
        <v>3290.6699847132991</v>
      </c>
      <c r="F225" s="50"/>
      <c r="G225" s="50">
        <v>1211.6292387986571</v>
      </c>
      <c r="H225" s="50">
        <v>600.07193939225772</v>
      </c>
      <c r="I225" s="50">
        <v>1125.0874142493753</v>
      </c>
      <c r="J225" s="50">
        <v>1350.7316934833375</v>
      </c>
    </row>
    <row r="226" spans="1:10">
      <c r="A226" s="39" t="s">
        <v>334</v>
      </c>
      <c r="B226" s="50">
        <v>5034.6487734843595</v>
      </c>
      <c r="D226" s="50">
        <v>2523.9083896048151</v>
      </c>
      <c r="E226" s="50">
        <v>2510.740383879544</v>
      </c>
      <c r="F226" s="50"/>
      <c r="G226" s="50">
        <v>0</v>
      </c>
      <c r="H226" s="50">
        <v>2056.0905261875928</v>
      </c>
      <c r="I226" s="50">
        <v>578.79134922933054</v>
      </c>
      <c r="J226" s="50">
        <v>2399.7668980674362</v>
      </c>
    </row>
    <row r="227" spans="1:10">
      <c r="A227" s="39" t="s">
        <v>335</v>
      </c>
      <c r="B227" s="50">
        <v>638.56938556506282</v>
      </c>
      <c r="D227" s="50">
        <v>0</v>
      </c>
      <c r="E227" s="50">
        <v>638.56938556506282</v>
      </c>
      <c r="F227" s="50"/>
      <c r="G227" s="50">
        <v>0</v>
      </c>
      <c r="H227" s="50">
        <v>638.56938556506282</v>
      </c>
      <c r="I227" s="50">
        <v>0</v>
      </c>
      <c r="J227" s="50">
        <v>0</v>
      </c>
    </row>
    <row r="228" spans="1:10">
      <c r="A228" s="39" t="s">
        <v>336</v>
      </c>
      <c r="B228" s="50">
        <v>39461.475047390049</v>
      </c>
      <c r="D228" s="50">
        <v>19403.718907475995</v>
      </c>
      <c r="E228" s="50">
        <v>20057.756139914054</v>
      </c>
      <c r="F228" s="50"/>
      <c r="G228" s="50">
        <v>0</v>
      </c>
      <c r="H228" s="50">
        <v>20337.77586332909</v>
      </c>
      <c r="I228" s="50">
        <v>10402.267030476947</v>
      </c>
      <c r="J228" s="50">
        <v>8721.4321535840081</v>
      </c>
    </row>
    <row r="229" spans="1:10">
      <c r="A229" s="39" t="s">
        <v>337</v>
      </c>
      <c r="B229" s="50">
        <v>359.70980907504827</v>
      </c>
      <c r="D229" s="50">
        <v>359.70980907504827</v>
      </c>
      <c r="E229" s="50">
        <v>0</v>
      </c>
      <c r="F229" s="50"/>
      <c r="G229" s="50">
        <v>0</v>
      </c>
      <c r="H229" s="50">
        <v>0</v>
      </c>
      <c r="I229" s="50">
        <v>0</v>
      </c>
      <c r="J229" s="50">
        <v>359.70980907504827</v>
      </c>
    </row>
    <row r="230" spans="1:10">
      <c r="A230" s="39" t="s">
        <v>338</v>
      </c>
      <c r="B230" s="50">
        <v>0</v>
      </c>
      <c r="D230" s="50">
        <v>0</v>
      </c>
      <c r="E230" s="50">
        <v>0</v>
      </c>
      <c r="F230" s="50"/>
      <c r="G230" s="50">
        <v>0</v>
      </c>
      <c r="H230" s="50">
        <v>0</v>
      </c>
      <c r="I230" s="50">
        <v>0</v>
      </c>
      <c r="J230" s="50">
        <v>0</v>
      </c>
    </row>
    <row r="231" spans="1:10">
      <c r="A231" s="39" t="s">
        <v>339</v>
      </c>
      <c r="B231" s="50">
        <v>30677.242506374401</v>
      </c>
      <c r="D231" s="50">
        <v>19247.3985398728</v>
      </c>
      <c r="E231" s="50">
        <v>11429.843966501601</v>
      </c>
      <c r="F231" s="50"/>
      <c r="G231" s="50">
        <v>3151.7520431952212</v>
      </c>
      <c r="H231" s="50">
        <v>11728.303995597253</v>
      </c>
      <c r="I231" s="50">
        <v>7480.6977831061185</v>
      </c>
      <c r="J231" s="50">
        <v>8316.4886844758094</v>
      </c>
    </row>
    <row r="232" spans="1:10">
      <c r="A232" s="39" t="s">
        <v>340</v>
      </c>
      <c r="B232" s="50">
        <v>7410.5475359707871</v>
      </c>
      <c r="D232" s="50">
        <v>5517.5376077859491</v>
      </c>
      <c r="E232" s="50">
        <v>1893.0099281848381</v>
      </c>
      <c r="F232" s="50"/>
      <c r="G232" s="50">
        <v>683.75440136296595</v>
      </c>
      <c r="H232" s="50">
        <v>826.37028943808764</v>
      </c>
      <c r="I232" s="50">
        <v>3741.84699541591</v>
      </c>
      <c r="J232" s="50">
        <v>2158.5758497538241</v>
      </c>
    </row>
    <row r="233" spans="1:10">
      <c r="A233" s="39" t="s">
        <v>341</v>
      </c>
      <c r="B233" s="50">
        <v>0</v>
      </c>
      <c r="D233" s="50">
        <v>0</v>
      </c>
      <c r="E233" s="50">
        <v>0</v>
      </c>
      <c r="F233" s="50"/>
      <c r="G233" s="50">
        <v>0</v>
      </c>
      <c r="H233" s="50">
        <v>0</v>
      </c>
      <c r="I233" s="50">
        <v>0</v>
      </c>
      <c r="J233" s="50">
        <v>0</v>
      </c>
    </row>
    <row r="234" spans="1:10">
      <c r="A234" s="39" t="s">
        <v>342</v>
      </c>
      <c r="B234" s="50">
        <v>27688.023442097568</v>
      </c>
      <c r="D234" s="50">
        <v>18670.511392228</v>
      </c>
      <c r="E234" s="50">
        <v>8443.8977677206221</v>
      </c>
      <c r="F234" s="50"/>
      <c r="G234" s="50">
        <v>5098.6801930141264</v>
      </c>
      <c r="H234" s="50">
        <v>7105.8693846661026</v>
      </c>
      <c r="I234" s="50">
        <v>8904.1164177052215</v>
      </c>
      <c r="J234" s="50">
        <v>6579.3574467121125</v>
      </c>
    </row>
    <row r="235" spans="1:10">
      <c r="A235" s="39" t="s">
        <v>343</v>
      </c>
      <c r="B235" s="50">
        <v>5351.0029514766375</v>
      </c>
      <c r="D235" s="50">
        <v>4246.374722934017</v>
      </c>
      <c r="E235" s="50">
        <v>1104.62822854262</v>
      </c>
      <c r="F235" s="50"/>
      <c r="G235" s="50">
        <v>1759.2369297965806</v>
      </c>
      <c r="H235" s="50">
        <v>545.06852307705844</v>
      </c>
      <c r="I235" s="50">
        <v>558.80975783163342</v>
      </c>
      <c r="J235" s="50">
        <v>2487.8877407713644</v>
      </c>
    </row>
    <row r="236" spans="1:10">
      <c r="A236" s="39" t="s">
        <v>344</v>
      </c>
      <c r="B236" s="50">
        <v>11628.139380914405</v>
      </c>
      <c r="D236" s="50">
        <v>6977.7990077917302</v>
      </c>
      <c r="E236" s="50">
        <v>4650.3403731226781</v>
      </c>
      <c r="F236" s="50"/>
      <c r="G236" s="50">
        <v>0</v>
      </c>
      <c r="H236" s="50">
        <v>2678.5789681154638</v>
      </c>
      <c r="I236" s="50">
        <v>4597.2232537012378</v>
      </c>
      <c r="J236" s="50">
        <v>4352.3371590977058</v>
      </c>
    </row>
    <row r="237" spans="1:10">
      <c r="A237" s="39" t="s">
        <v>345</v>
      </c>
      <c r="B237" s="50">
        <v>547.18171105519093</v>
      </c>
      <c r="D237" s="50">
        <v>547.18171105519093</v>
      </c>
      <c r="E237" s="50">
        <v>0</v>
      </c>
      <c r="F237" s="50"/>
      <c r="G237" s="50">
        <v>547.18171105519093</v>
      </c>
      <c r="H237" s="50">
        <v>0</v>
      </c>
      <c r="I237" s="50">
        <v>0</v>
      </c>
      <c r="J237" s="50">
        <v>0</v>
      </c>
    </row>
    <row r="238" spans="1:10">
      <c r="A238" s="39" t="s">
        <v>346</v>
      </c>
      <c r="B238" s="50">
        <v>3230.7946442458779</v>
      </c>
      <c r="D238" s="50">
        <v>2243.6474749091267</v>
      </c>
      <c r="E238" s="50">
        <v>987.14716933675152</v>
      </c>
      <c r="F238" s="50"/>
      <c r="G238" s="50">
        <v>609.07696063985838</v>
      </c>
      <c r="H238" s="50">
        <v>0</v>
      </c>
      <c r="I238" s="50">
        <v>920.56325220262499</v>
      </c>
      <c r="J238" s="50">
        <v>1701.1544314033945</v>
      </c>
    </row>
    <row r="239" spans="1:10">
      <c r="A239" s="39" t="s">
        <v>347</v>
      </c>
      <c r="B239" s="50">
        <v>225822.14969828608</v>
      </c>
      <c r="D239" s="50">
        <v>15357.236645455607</v>
      </c>
      <c r="E239" s="50">
        <v>210192.67759714377</v>
      </c>
      <c r="F239" s="50"/>
      <c r="G239" s="50">
        <v>4937.3175283844439</v>
      </c>
      <c r="H239" s="50">
        <v>35525.789314889087</v>
      </c>
      <c r="I239" s="50">
        <v>81538.967720868939</v>
      </c>
      <c r="J239" s="50">
        <v>103820.07513414347</v>
      </c>
    </row>
    <row r="240" spans="1:10">
      <c r="A240" s="39" t="s">
        <v>348</v>
      </c>
      <c r="B240" s="50">
        <v>2221.6941208972949</v>
      </c>
      <c r="D240" s="50">
        <v>1861.5768885980394</v>
      </c>
      <c r="E240" s="50">
        <v>360.11723229925542</v>
      </c>
      <c r="F240" s="50"/>
      <c r="G240" s="50">
        <v>1253.7300724336746</v>
      </c>
      <c r="H240" s="50">
        <v>607.84681616436478</v>
      </c>
      <c r="I240" s="50">
        <v>360.11723229925542</v>
      </c>
      <c r="J240" s="50">
        <v>0</v>
      </c>
    </row>
    <row r="241" spans="1:10">
      <c r="A241" s="39" t="s">
        <v>349</v>
      </c>
      <c r="B241" s="50">
        <v>1993.1608964800184</v>
      </c>
      <c r="D241" s="50">
        <v>1204.1225701670307</v>
      </c>
      <c r="E241" s="50">
        <v>789.03832631298769</v>
      </c>
      <c r="F241" s="50"/>
      <c r="G241" s="50">
        <v>523.74460245771581</v>
      </c>
      <c r="H241" s="50">
        <v>789.03832631298769</v>
      </c>
      <c r="I241" s="50">
        <v>0</v>
      </c>
      <c r="J241" s="50">
        <v>680.37796770931493</v>
      </c>
    </row>
    <row r="242" spans="1:10">
      <c r="A242" s="39" t="s">
        <v>350</v>
      </c>
      <c r="B242" s="50">
        <v>888.92027169297853</v>
      </c>
      <c r="D242" s="50">
        <v>888.92027169297853</v>
      </c>
      <c r="E242" s="50">
        <v>0</v>
      </c>
      <c r="F242" s="50"/>
      <c r="G242" s="50">
        <v>567.78020140155763</v>
      </c>
      <c r="H242" s="50">
        <v>0</v>
      </c>
      <c r="I242" s="50">
        <v>0</v>
      </c>
      <c r="J242" s="50">
        <v>321.14007029142084</v>
      </c>
    </row>
    <row r="243" spans="1:10">
      <c r="A243" s="39" t="s">
        <v>351</v>
      </c>
      <c r="B243" s="50">
        <v>22554.640344737076</v>
      </c>
      <c r="D243" s="50">
        <v>16007.34756945184</v>
      </c>
      <c r="E243" s="50">
        <v>6547.2927752852338</v>
      </c>
      <c r="F243" s="50"/>
      <c r="G243" s="50">
        <v>1168.1459311790218</v>
      </c>
      <c r="H243" s="50">
        <v>4262.0360193855313</v>
      </c>
      <c r="I243" s="50">
        <v>7957.8959496031075</v>
      </c>
      <c r="J243" s="50">
        <v>9166.5624445694139</v>
      </c>
    </row>
    <row r="244" spans="1:10">
      <c r="A244" s="39" t="s">
        <v>352</v>
      </c>
      <c r="B244" s="50">
        <v>2141.5908188009257</v>
      </c>
      <c r="D244" s="50">
        <v>1437.1464048505086</v>
      </c>
      <c r="E244" s="50">
        <v>704.4444139504169</v>
      </c>
      <c r="F244" s="50"/>
      <c r="G244" s="50">
        <v>555.59921261120678</v>
      </c>
      <c r="H244" s="50">
        <v>0</v>
      </c>
      <c r="I244" s="50">
        <v>1585.9916061897188</v>
      </c>
      <c r="J244" s="50">
        <v>0</v>
      </c>
    </row>
    <row r="245" spans="1:10">
      <c r="A245" s="39" t="s">
        <v>353</v>
      </c>
      <c r="B245" s="50">
        <v>441.2510885991212</v>
      </c>
      <c r="D245" s="50">
        <v>441.2510885991212</v>
      </c>
      <c r="E245" s="50">
        <v>0</v>
      </c>
      <c r="F245" s="50"/>
      <c r="G245" s="50">
        <v>0</v>
      </c>
      <c r="H245" s="50">
        <v>0</v>
      </c>
      <c r="I245" s="50">
        <v>441.2510885991212</v>
      </c>
      <c r="J245" s="50">
        <v>0</v>
      </c>
    </row>
    <row r="246" spans="1:10">
      <c r="A246" s="39" t="s">
        <v>354</v>
      </c>
      <c r="B246" s="50">
        <v>14758.514109570981</v>
      </c>
      <c r="D246" s="50">
        <v>11656.15395496233</v>
      </c>
      <c r="E246" s="50">
        <v>3102.3601546086456</v>
      </c>
      <c r="F246" s="50"/>
      <c r="G246" s="50">
        <v>1879.9808842834018</v>
      </c>
      <c r="H246" s="50">
        <v>7845.1817831467488</v>
      </c>
      <c r="I246" s="50">
        <v>4726.3847895334911</v>
      </c>
      <c r="J246" s="50">
        <v>306.96665260733778</v>
      </c>
    </row>
    <row r="247" spans="1:10">
      <c r="A247" s="39" t="s">
        <v>355</v>
      </c>
      <c r="B247" s="50">
        <v>0</v>
      </c>
      <c r="D247" s="50">
        <v>0</v>
      </c>
      <c r="E247" s="50">
        <v>0</v>
      </c>
      <c r="F247" s="50"/>
      <c r="G247" s="50">
        <v>0</v>
      </c>
      <c r="H247" s="50">
        <v>0</v>
      </c>
      <c r="I247" s="50">
        <v>0</v>
      </c>
      <c r="J247" s="50">
        <v>0</v>
      </c>
    </row>
    <row r="248" spans="1:10">
      <c r="A248" s="39" t="s">
        <v>356</v>
      </c>
      <c r="B248" s="50">
        <v>5925.5048710627216</v>
      </c>
      <c r="D248" s="50">
        <v>345.54439025616875</v>
      </c>
      <c r="E248" s="50">
        <v>5579.9604808065533</v>
      </c>
      <c r="F248" s="50"/>
      <c r="G248" s="50">
        <v>1194.6086614549124</v>
      </c>
      <c r="H248" s="50">
        <v>2002.533889924805</v>
      </c>
      <c r="I248" s="50">
        <v>610.28557547434525</v>
      </c>
      <c r="J248" s="50">
        <v>2118.0767442086594</v>
      </c>
    </row>
    <row r="249" spans="1:10">
      <c r="A249" s="39" t="s">
        <v>357</v>
      </c>
      <c r="B249" s="50">
        <v>547.18171105519093</v>
      </c>
      <c r="D249" s="50">
        <v>547.18171105519093</v>
      </c>
      <c r="E249" s="50">
        <v>0</v>
      </c>
      <c r="F249" s="50"/>
      <c r="G249" s="50">
        <v>547.18171105519093</v>
      </c>
      <c r="H249" s="50">
        <v>0</v>
      </c>
      <c r="I249" s="50">
        <v>0</v>
      </c>
      <c r="J249" s="50">
        <v>0</v>
      </c>
    </row>
    <row r="250" spans="1:10">
      <c r="A250" s="39" t="s">
        <v>358</v>
      </c>
      <c r="B250" s="50">
        <v>2692.1346019759922</v>
      </c>
      <c r="D250" s="50">
        <v>0</v>
      </c>
      <c r="E250" s="50">
        <v>2692.1346019759922</v>
      </c>
      <c r="F250" s="50"/>
      <c r="G250" s="50">
        <v>692.47529266095989</v>
      </c>
      <c r="H250" s="50">
        <v>0</v>
      </c>
      <c r="I250" s="50">
        <v>704.4444139504169</v>
      </c>
      <c r="J250" s="50">
        <v>1295.2148953646154</v>
      </c>
    </row>
    <row r="251" spans="1:10">
      <c r="A251" s="39" t="s">
        <v>359</v>
      </c>
      <c r="B251" s="50">
        <v>0</v>
      </c>
      <c r="D251" s="50">
        <v>0</v>
      </c>
      <c r="E251" s="50">
        <v>0</v>
      </c>
      <c r="F251" s="50"/>
      <c r="G251" s="50">
        <v>0</v>
      </c>
      <c r="H251" s="50">
        <v>0</v>
      </c>
      <c r="I251" s="50">
        <v>0</v>
      </c>
      <c r="J251" s="50">
        <v>0</v>
      </c>
    </row>
    <row r="252" spans="1:10">
      <c r="A252" s="39" t="s">
        <v>360</v>
      </c>
      <c r="B252" s="50">
        <v>0</v>
      </c>
      <c r="D252" s="50">
        <v>0</v>
      </c>
      <c r="E252" s="50">
        <v>0</v>
      </c>
      <c r="F252" s="50"/>
      <c r="G252" s="50">
        <v>0</v>
      </c>
      <c r="H252" s="50">
        <v>0</v>
      </c>
      <c r="I252" s="50">
        <v>0</v>
      </c>
      <c r="J252" s="50">
        <v>0</v>
      </c>
    </row>
    <row r="253" spans="1:10">
      <c r="A253" s="39" t="s">
        <v>361</v>
      </c>
      <c r="B253" s="50">
        <v>4863.5112330986522</v>
      </c>
      <c r="D253" s="50">
        <v>1175.1371946529453</v>
      </c>
      <c r="E253" s="50">
        <v>3688.3740384457069</v>
      </c>
      <c r="F253" s="50"/>
      <c r="G253" s="50">
        <v>713.84304858381734</v>
      </c>
      <c r="H253" s="50">
        <v>1832.0135519925241</v>
      </c>
      <c r="I253" s="50">
        <v>1325.2734843889102</v>
      </c>
      <c r="J253" s="50">
        <v>992.38114813340053</v>
      </c>
    </row>
    <row r="254" spans="1:10">
      <c r="A254" s="39" t="s">
        <v>362</v>
      </c>
      <c r="B254" s="50">
        <v>0</v>
      </c>
      <c r="D254" s="50">
        <v>0</v>
      </c>
      <c r="E254" s="50">
        <v>0</v>
      </c>
      <c r="F254" s="50"/>
      <c r="G254" s="50">
        <v>0</v>
      </c>
      <c r="H254" s="50">
        <v>0</v>
      </c>
      <c r="I254" s="50">
        <v>0</v>
      </c>
      <c r="J254" s="50">
        <v>0</v>
      </c>
    </row>
    <row r="255" spans="1:10">
      <c r="A255" s="39" t="s">
        <v>363</v>
      </c>
      <c r="B255" s="50">
        <v>12775.729942982849</v>
      </c>
      <c r="D255" s="50">
        <v>9421.6368797855503</v>
      </c>
      <c r="E255" s="50">
        <v>3354.0930631973006</v>
      </c>
      <c r="F255" s="50"/>
      <c r="G255" s="50">
        <v>9873.1774100506245</v>
      </c>
      <c r="H255" s="50">
        <v>2902.5525329322268</v>
      </c>
      <c r="I255" s="50">
        <v>0</v>
      </c>
      <c r="J255" s="50">
        <v>0</v>
      </c>
    </row>
    <row r="256" spans="1:10">
      <c r="A256" s="39" t="s">
        <v>364</v>
      </c>
      <c r="B256" s="50">
        <v>9799.0774171029479</v>
      </c>
      <c r="D256" s="50">
        <v>5262.785120720062</v>
      </c>
      <c r="E256" s="50">
        <v>4223.3991332282421</v>
      </c>
      <c r="F256" s="50"/>
      <c r="G256" s="50">
        <v>1102.7809236663977</v>
      </c>
      <c r="H256" s="50">
        <v>1283.7279574379809</v>
      </c>
      <c r="I256" s="50">
        <v>3653.8969810860517</v>
      </c>
      <c r="J256" s="50">
        <v>3758.671554912517</v>
      </c>
    </row>
    <row r="257" spans="1:10">
      <c r="A257" s="39" t="s">
        <v>365</v>
      </c>
      <c r="B257" s="50">
        <v>0</v>
      </c>
      <c r="D257" s="50">
        <v>0</v>
      </c>
      <c r="E257" s="50">
        <v>0</v>
      </c>
      <c r="F257" s="50"/>
      <c r="G257" s="50">
        <v>0</v>
      </c>
      <c r="H257" s="50">
        <v>0</v>
      </c>
      <c r="I257" s="50">
        <v>0</v>
      </c>
      <c r="J257" s="50">
        <v>0</v>
      </c>
    </row>
    <row r="258" spans="1:10">
      <c r="A258" s="39" t="s">
        <v>366</v>
      </c>
      <c r="B258" s="50">
        <v>452.14185784042945</v>
      </c>
      <c r="D258" s="50">
        <v>0</v>
      </c>
      <c r="E258" s="50">
        <v>452.14185784042945</v>
      </c>
      <c r="F258" s="50"/>
      <c r="G258" s="50">
        <v>0</v>
      </c>
      <c r="H258" s="50">
        <v>0</v>
      </c>
      <c r="I258" s="50">
        <v>0</v>
      </c>
      <c r="J258" s="50">
        <v>452.14185784042945</v>
      </c>
    </row>
    <row r="259" spans="1:10">
      <c r="A259" s="39" t="s">
        <v>367</v>
      </c>
      <c r="B259" s="50">
        <v>930.66220969321284</v>
      </c>
      <c r="D259" s="50">
        <v>300.14159688475303</v>
      </c>
      <c r="E259" s="50">
        <v>630.52061280845987</v>
      </c>
      <c r="F259" s="50"/>
      <c r="G259" s="50">
        <v>0</v>
      </c>
      <c r="H259" s="50">
        <v>630.52061280845987</v>
      </c>
      <c r="I259" s="50">
        <v>0</v>
      </c>
      <c r="J259" s="50">
        <v>300.14159688475303</v>
      </c>
    </row>
    <row r="260" spans="1:10">
      <c r="A260" s="39" t="s">
        <v>368</v>
      </c>
      <c r="B260" s="50">
        <v>6727.2534802153968</v>
      </c>
      <c r="D260" s="50">
        <v>2026.889365193405</v>
      </c>
      <c r="E260" s="50">
        <v>4700.3641150219919</v>
      </c>
      <c r="F260" s="50"/>
      <c r="G260" s="50">
        <v>1290.9994010378734</v>
      </c>
      <c r="H260" s="50">
        <v>2611.1018502357774</v>
      </c>
      <c r="I260" s="50">
        <v>1636.6270572719618</v>
      </c>
      <c r="J260" s="50">
        <v>1188.525171669784</v>
      </c>
    </row>
    <row r="261" spans="1:10">
      <c r="A261" s="39" t="s">
        <v>369</v>
      </c>
      <c r="B261" s="50">
        <v>5249.79182863815</v>
      </c>
      <c r="D261" s="50">
        <v>1508.4570344991703</v>
      </c>
      <c r="E261" s="50">
        <v>3741.3347941389802</v>
      </c>
      <c r="F261" s="50"/>
      <c r="G261" s="50">
        <v>0</v>
      </c>
      <c r="H261" s="50">
        <v>0</v>
      </c>
      <c r="I261" s="50">
        <v>643.42504596758693</v>
      </c>
      <c r="J261" s="50">
        <v>4606.3667826705641</v>
      </c>
    </row>
    <row r="262" spans="1:10">
      <c r="A262" s="39" t="s">
        <v>370</v>
      </c>
      <c r="B262" s="50">
        <v>93286.666285963089</v>
      </c>
      <c r="D262" s="50">
        <v>73271.552078331166</v>
      </c>
      <c r="E262" s="50">
        <v>20015.114207631934</v>
      </c>
      <c r="F262" s="50"/>
      <c r="G262" s="50">
        <v>5615.0627025723625</v>
      </c>
      <c r="H262" s="50">
        <v>25402.400738673488</v>
      </c>
      <c r="I262" s="50">
        <v>26345.525640122945</v>
      </c>
      <c r="J262" s="50">
        <v>35923.677204594271</v>
      </c>
    </row>
    <row r="263" spans="1:10">
      <c r="A263" s="39" t="s">
        <v>371</v>
      </c>
      <c r="B263" s="50">
        <v>35703.726237427494</v>
      </c>
      <c r="D263" s="50">
        <v>31551.319299817667</v>
      </c>
      <c r="E263" s="50">
        <v>4152.4069376098332</v>
      </c>
      <c r="F263" s="50"/>
      <c r="G263" s="50">
        <v>544.03852372942049</v>
      </c>
      <c r="H263" s="50">
        <v>9769.8647683552863</v>
      </c>
      <c r="I263" s="50">
        <v>7994.2559704155201</v>
      </c>
      <c r="J263" s="50">
        <v>17395.566974927293</v>
      </c>
    </row>
    <row r="264" spans="1:10">
      <c r="A264" s="39" t="s">
        <v>372</v>
      </c>
      <c r="B264" s="50">
        <v>171289.56565568576</v>
      </c>
      <c r="D264" s="50">
        <v>82983.590866218277</v>
      </c>
      <c r="E264" s="50">
        <v>87516.936463154503</v>
      </c>
      <c r="F264" s="50"/>
      <c r="G264" s="50">
        <v>38454.35441099562</v>
      </c>
      <c r="H264" s="50">
        <v>56874.314752634491</v>
      </c>
      <c r="I264" s="50">
        <v>42550.952557749944</v>
      </c>
      <c r="J264" s="50">
        <v>33409.943934305789</v>
      </c>
    </row>
    <row r="265" spans="1:10">
      <c r="A265" s="39" t="s">
        <v>373</v>
      </c>
      <c r="B265" s="50">
        <v>5227.9984739206375</v>
      </c>
      <c r="D265" s="50">
        <v>2770.3108303305457</v>
      </c>
      <c r="E265" s="50">
        <v>2144.7944804354497</v>
      </c>
      <c r="F265" s="50"/>
      <c r="G265" s="50">
        <v>0</v>
      </c>
      <c r="H265" s="50">
        <v>1214.7164314044715</v>
      </c>
      <c r="I265" s="50">
        <v>1854.0911191660939</v>
      </c>
      <c r="J265" s="50">
        <v>2159.1909233500737</v>
      </c>
    </row>
    <row r="266" spans="1:10">
      <c r="A266" s="39" t="s">
        <v>374</v>
      </c>
      <c r="B266" s="50">
        <v>28209.637238302017</v>
      </c>
      <c r="D266" s="50">
        <v>15518.693148955586</v>
      </c>
      <c r="E266" s="50">
        <v>12690.944089346438</v>
      </c>
      <c r="F266" s="50"/>
      <c r="G266" s="50">
        <v>8228.3319007981736</v>
      </c>
      <c r="H266" s="50">
        <v>9400.1239574867359</v>
      </c>
      <c r="I266" s="50">
        <v>7611.6839768441096</v>
      </c>
      <c r="J266" s="50">
        <v>2969.4974031730076</v>
      </c>
    </row>
    <row r="267" spans="1:10">
      <c r="A267" s="39" t="s">
        <v>375</v>
      </c>
      <c r="B267" s="50">
        <v>9247.5275563557479</v>
      </c>
      <c r="D267" s="50">
        <v>7196.9894437953817</v>
      </c>
      <c r="E267" s="50">
        <v>2050.5381125603681</v>
      </c>
      <c r="F267" s="50"/>
      <c r="G267" s="50">
        <v>0</v>
      </c>
      <c r="H267" s="50">
        <v>1114.1393497224033</v>
      </c>
      <c r="I267" s="50">
        <v>4678.3650476457124</v>
      </c>
      <c r="J267" s="50">
        <v>3455.0231589876312</v>
      </c>
    </row>
    <row r="268" spans="1:10">
      <c r="A268" s="39" t="s">
        <v>376</v>
      </c>
      <c r="B268" s="50">
        <v>0</v>
      </c>
      <c r="D268" s="50">
        <v>0</v>
      </c>
      <c r="E268" s="50">
        <v>0</v>
      </c>
      <c r="F268" s="50"/>
      <c r="G268" s="50">
        <v>0</v>
      </c>
      <c r="H268" s="50">
        <v>0</v>
      </c>
      <c r="I268" s="50">
        <v>0</v>
      </c>
      <c r="J268" s="50">
        <v>0</v>
      </c>
    </row>
    <row r="269" spans="1:10">
      <c r="A269" s="39" t="s">
        <v>377</v>
      </c>
      <c r="B269" s="50">
        <v>770.94977430539427</v>
      </c>
      <c r="D269" s="50">
        <v>322.25808565064256</v>
      </c>
      <c r="E269" s="50">
        <v>0</v>
      </c>
      <c r="F269" s="50"/>
      <c r="G269" s="50">
        <v>0</v>
      </c>
      <c r="H269" s="50">
        <v>0</v>
      </c>
      <c r="I269" s="50">
        <v>448.69168865475172</v>
      </c>
      <c r="J269" s="50">
        <v>322.25808565064256</v>
      </c>
    </row>
    <row r="270" spans="1:10">
      <c r="A270" s="39" t="s">
        <v>378</v>
      </c>
      <c r="B270" s="50">
        <v>1074.2624523484669</v>
      </c>
      <c r="D270" s="50">
        <v>1074.2624523484669</v>
      </c>
      <c r="E270" s="50">
        <v>0</v>
      </c>
      <c r="F270" s="50"/>
      <c r="G270" s="50">
        <v>0</v>
      </c>
      <c r="H270" s="50">
        <v>451.86276981307117</v>
      </c>
      <c r="I270" s="50">
        <v>0</v>
      </c>
      <c r="J270" s="50">
        <v>622.39968253539564</v>
      </c>
    </row>
    <row r="271" spans="1:10">
      <c r="A271" s="39" t="s">
        <v>379</v>
      </c>
      <c r="B271" s="50">
        <v>20873.575843303101</v>
      </c>
      <c r="D271" s="50">
        <v>9064.0074465878952</v>
      </c>
      <c r="E271" s="50">
        <v>11537.332941028402</v>
      </c>
      <c r="F271" s="50"/>
      <c r="G271" s="50">
        <v>686.70549489963992</v>
      </c>
      <c r="H271" s="50">
        <v>7744.664182085211</v>
      </c>
      <c r="I271" s="50">
        <v>5404.7920100878773</v>
      </c>
      <c r="J271" s="50">
        <v>7037.4141562303757</v>
      </c>
    </row>
    <row r="272" spans="1:10">
      <c r="A272" s="39" t="s">
        <v>380</v>
      </c>
      <c r="B272" s="50">
        <v>0</v>
      </c>
      <c r="D272" s="50">
        <v>0</v>
      </c>
      <c r="E272" s="50">
        <v>0</v>
      </c>
      <c r="F272" s="50"/>
      <c r="G272" s="50">
        <v>0</v>
      </c>
      <c r="H272" s="50">
        <v>0</v>
      </c>
      <c r="I272" s="50">
        <v>0</v>
      </c>
      <c r="J272" s="50">
        <v>0</v>
      </c>
    </row>
    <row r="273" spans="1:10">
      <c r="A273" s="39" t="s">
        <v>381</v>
      </c>
      <c r="B273" s="50">
        <v>8343.6757327243267</v>
      </c>
      <c r="D273" s="50">
        <v>5556.9394597942901</v>
      </c>
      <c r="E273" s="50">
        <v>2786.7362729300353</v>
      </c>
      <c r="F273" s="50"/>
      <c r="G273" s="50">
        <v>554.12778448861377</v>
      </c>
      <c r="H273" s="50">
        <v>2774.3464418225958</v>
      </c>
      <c r="I273" s="50">
        <v>3408.3686205177273</v>
      </c>
      <c r="J273" s="50">
        <v>1606.8328858953896</v>
      </c>
    </row>
    <row r="274" spans="1:10">
      <c r="A274" s="39" t="s">
        <v>382</v>
      </c>
      <c r="B274" s="50">
        <v>0</v>
      </c>
      <c r="D274" s="50">
        <v>0</v>
      </c>
      <c r="E274" s="50">
        <v>0</v>
      </c>
      <c r="F274" s="50"/>
      <c r="G274" s="50">
        <v>0</v>
      </c>
      <c r="H274" s="50">
        <v>0</v>
      </c>
      <c r="I274" s="50">
        <v>0</v>
      </c>
      <c r="J274" s="50">
        <v>0</v>
      </c>
    </row>
    <row r="275" spans="1:10">
      <c r="A275" s="39" t="s">
        <v>383</v>
      </c>
      <c r="B275" s="50">
        <v>9221.1776110989322</v>
      </c>
      <c r="D275" s="50">
        <v>2533.1341868656841</v>
      </c>
      <c r="E275" s="50">
        <v>6104.3104423599598</v>
      </c>
      <c r="F275" s="50"/>
      <c r="G275" s="50">
        <v>1208.2601956819171</v>
      </c>
      <c r="H275" s="50">
        <v>1709.5684806623726</v>
      </c>
      <c r="I275" s="50">
        <v>2182.0992660754</v>
      </c>
      <c r="J275" s="50">
        <v>4121.2496686792438</v>
      </c>
    </row>
    <row r="276" spans="1:10">
      <c r="A276" s="39" t="s">
        <v>384</v>
      </c>
      <c r="B276" s="50">
        <v>3958.8366106807875</v>
      </c>
      <c r="D276" s="50">
        <v>1794.7539107767461</v>
      </c>
      <c r="E276" s="50">
        <v>2164.0826999040419</v>
      </c>
      <c r="F276" s="50"/>
      <c r="G276" s="50">
        <v>0</v>
      </c>
      <c r="H276" s="50">
        <v>2914.0655782991944</v>
      </c>
      <c r="I276" s="50">
        <v>0</v>
      </c>
      <c r="J276" s="50">
        <v>1044.7710323815932</v>
      </c>
    </row>
    <row r="277" spans="1:10">
      <c r="A277" s="39" t="s">
        <v>385</v>
      </c>
      <c r="B277" s="50">
        <v>1601.8066162071257</v>
      </c>
      <c r="D277" s="50">
        <v>1143.5794115101794</v>
      </c>
      <c r="E277" s="50">
        <v>458.22720469694633</v>
      </c>
      <c r="F277" s="50"/>
      <c r="G277" s="50">
        <v>0</v>
      </c>
      <c r="H277" s="50">
        <v>0</v>
      </c>
      <c r="I277" s="50">
        <v>426.50761371420788</v>
      </c>
      <c r="J277" s="50">
        <v>1175.2990024929179</v>
      </c>
    </row>
    <row r="278" spans="1:10">
      <c r="A278" s="39" t="s">
        <v>386</v>
      </c>
      <c r="B278" s="50">
        <v>21718.453903843318</v>
      </c>
      <c r="D278" s="50">
        <v>14444.284942723825</v>
      </c>
      <c r="E278" s="50">
        <v>7274.168961119497</v>
      </c>
      <c r="F278" s="50"/>
      <c r="G278" s="50">
        <v>0</v>
      </c>
      <c r="H278" s="50">
        <v>7373.8768070232099</v>
      </c>
      <c r="I278" s="50">
        <v>5875.1377823295825</v>
      </c>
      <c r="J278" s="50">
        <v>8469.4393144905316</v>
      </c>
    </row>
    <row r="279" spans="1:10">
      <c r="A279" s="39" t="s">
        <v>387</v>
      </c>
      <c r="B279" s="50">
        <v>1105791.5472516194</v>
      </c>
      <c r="D279" s="50">
        <v>502132.79337917245</v>
      </c>
      <c r="E279" s="50">
        <v>599650.81078324094</v>
      </c>
      <c r="F279" s="50"/>
      <c r="G279" s="50">
        <v>343603.84390387975</v>
      </c>
      <c r="H279" s="50">
        <v>387505.48189781531</v>
      </c>
      <c r="I279" s="50">
        <v>249957.82579313999</v>
      </c>
      <c r="J279" s="50">
        <v>124724.39565678099</v>
      </c>
    </row>
    <row r="280" spans="1:10">
      <c r="A280" s="39" t="s">
        <v>388</v>
      </c>
      <c r="B280" s="50">
        <v>728.61174379016336</v>
      </c>
      <c r="D280" s="50">
        <v>0</v>
      </c>
      <c r="E280" s="50">
        <v>728.61174379016336</v>
      </c>
      <c r="F280" s="50"/>
      <c r="G280" s="50">
        <v>0</v>
      </c>
      <c r="H280" s="50">
        <v>0</v>
      </c>
      <c r="I280" s="50">
        <v>728.61174379016336</v>
      </c>
      <c r="J280" s="50">
        <v>0</v>
      </c>
    </row>
    <row r="281" spans="1:10">
      <c r="A281" s="39" t="s">
        <v>389</v>
      </c>
      <c r="B281" s="50">
        <v>6438.655335991496</v>
      </c>
      <c r="D281" s="50">
        <v>2101.0499712627548</v>
      </c>
      <c r="E281" s="50">
        <v>4337.6053647287399</v>
      </c>
      <c r="F281" s="50"/>
      <c r="G281" s="50">
        <v>754.90834784224069</v>
      </c>
      <c r="H281" s="50">
        <v>2750.3335544130668</v>
      </c>
      <c r="I281" s="50">
        <v>1806.8150532807363</v>
      </c>
      <c r="J281" s="50">
        <v>1126.598380455451</v>
      </c>
    </row>
    <row r="282" spans="1:10">
      <c r="A282" s="39" t="s">
        <v>390</v>
      </c>
      <c r="B282" s="50">
        <v>21865.895636743659</v>
      </c>
      <c r="D282" s="50">
        <v>12284.846733507948</v>
      </c>
      <c r="E282" s="50">
        <v>9581.0489032357091</v>
      </c>
      <c r="F282" s="50"/>
      <c r="G282" s="50">
        <v>1697.6969654135123</v>
      </c>
      <c r="H282" s="50">
        <v>5496.3482317478374</v>
      </c>
      <c r="I282" s="50">
        <v>4726.1627727685991</v>
      </c>
      <c r="J282" s="50">
        <v>9945.6876668137083</v>
      </c>
    </row>
    <row r="283" spans="1:10">
      <c r="A283" s="39" t="s">
        <v>391</v>
      </c>
      <c r="B283" s="50">
        <v>39431.369618348341</v>
      </c>
      <c r="D283" s="50">
        <v>23205.002300074029</v>
      </c>
      <c r="E283" s="50">
        <v>16226.367318274291</v>
      </c>
      <c r="F283" s="50"/>
      <c r="G283" s="50">
        <v>2828.2742423141112</v>
      </c>
      <c r="H283" s="50">
        <v>16312.183460824912</v>
      </c>
      <c r="I283" s="50">
        <v>11350.565062906022</v>
      </c>
      <c r="J283" s="50">
        <v>8940.3468523032843</v>
      </c>
    </row>
    <row r="284" spans="1:10">
      <c r="A284" s="39" t="s">
        <v>392</v>
      </c>
      <c r="B284" s="50">
        <v>11541.420741361944</v>
      </c>
      <c r="D284" s="50">
        <v>6877.7949728784233</v>
      </c>
      <c r="E284" s="50">
        <v>4079.8927866102358</v>
      </c>
      <c r="F284" s="50"/>
      <c r="G284" s="50">
        <v>3748.0203378043971</v>
      </c>
      <c r="H284" s="50">
        <v>2992.7224037906522</v>
      </c>
      <c r="I284" s="50">
        <v>3816.1616530482697</v>
      </c>
      <c r="J284" s="50">
        <v>984.51634671862803</v>
      </c>
    </row>
    <row r="285" spans="1:10">
      <c r="A285" s="39" t="s">
        <v>393</v>
      </c>
      <c r="B285" s="50">
        <v>189024.92618242512</v>
      </c>
      <c r="D285" s="50">
        <v>101538.27766946123</v>
      </c>
      <c r="E285" s="50">
        <v>87486.64851296354</v>
      </c>
      <c r="F285" s="50"/>
      <c r="G285" s="50">
        <v>9199.9012945138857</v>
      </c>
      <c r="H285" s="50">
        <v>58194.81939066224</v>
      </c>
      <c r="I285" s="50">
        <v>57405.064395187415</v>
      </c>
      <c r="J285" s="50">
        <v>64225.141102061214</v>
      </c>
    </row>
    <row r="286" spans="1:10">
      <c r="A286" s="39" t="s">
        <v>394</v>
      </c>
      <c r="B286" s="50">
        <v>11945.995074375413</v>
      </c>
      <c r="D286" s="50">
        <v>8740.9417121380829</v>
      </c>
      <c r="E286" s="50">
        <v>3205.0533622373287</v>
      </c>
      <c r="F286" s="50"/>
      <c r="G286" s="50">
        <v>1160.8276800399067</v>
      </c>
      <c r="H286" s="50">
        <v>5951.4638582839734</v>
      </c>
      <c r="I286" s="50">
        <v>853.18144394008414</v>
      </c>
      <c r="J286" s="50">
        <v>3980.5220921114492</v>
      </c>
    </row>
    <row r="287" spans="1:10">
      <c r="A287" s="39" t="s">
        <v>395</v>
      </c>
      <c r="B287" s="50">
        <v>0</v>
      </c>
      <c r="D287" s="50">
        <v>0</v>
      </c>
      <c r="E287" s="50">
        <v>0</v>
      </c>
      <c r="F287" s="50"/>
      <c r="G287" s="50">
        <v>0</v>
      </c>
      <c r="H287" s="50">
        <v>0</v>
      </c>
      <c r="I287" s="50">
        <v>0</v>
      </c>
      <c r="J287" s="50">
        <v>0</v>
      </c>
    </row>
    <row r="288" spans="1:10">
      <c r="A288" s="39" t="s">
        <v>396</v>
      </c>
      <c r="B288" s="50">
        <v>50552.00778195083</v>
      </c>
      <c r="D288" s="50">
        <v>21322.546184857383</v>
      </c>
      <c r="E288" s="50">
        <v>27829.308641429176</v>
      </c>
      <c r="F288" s="50"/>
      <c r="G288" s="50">
        <v>0</v>
      </c>
      <c r="H288" s="50">
        <v>13569.775246994106</v>
      </c>
      <c r="I288" s="50">
        <v>12078.837110063309</v>
      </c>
      <c r="J288" s="50">
        <v>24903.395424893439</v>
      </c>
    </row>
    <row r="289" spans="1:10">
      <c r="A289" s="39" t="s">
        <v>397</v>
      </c>
      <c r="B289" s="50">
        <v>4258.2140239201935</v>
      </c>
      <c r="D289" s="50">
        <v>3047.9953259505146</v>
      </c>
      <c r="E289" s="50">
        <v>1210.2186979696794</v>
      </c>
      <c r="F289" s="50"/>
      <c r="G289" s="50">
        <v>0</v>
      </c>
      <c r="H289" s="50">
        <v>1681.7275949642435</v>
      </c>
      <c r="I289" s="50">
        <v>1518.6512935400699</v>
      </c>
      <c r="J289" s="50">
        <v>1057.8351354158804</v>
      </c>
    </row>
    <row r="290" spans="1:10">
      <c r="A290" s="39" t="s">
        <v>398</v>
      </c>
      <c r="B290" s="50">
        <v>7335.5676494219797</v>
      </c>
      <c r="D290" s="50">
        <v>2072.6984406216889</v>
      </c>
      <c r="E290" s="50">
        <v>5262.8692088002908</v>
      </c>
      <c r="F290" s="50"/>
      <c r="G290" s="50">
        <v>1111.1984252224136</v>
      </c>
      <c r="H290" s="50">
        <v>2741.6991504762527</v>
      </c>
      <c r="I290" s="50">
        <v>2990.4026529920498</v>
      </c>
      <c r="J290" s="50">
        <v>492.26742073126235</v>
      </c>
    </row>
    <row r="291" spans="1:10">
      <c r="A291" s="39" t="s">
        <v>399</v>
      </c>
      <c r="B291" s="50">
        <v>21779.605004345645</v>
      </c>
      <c r="D291" s="50">
        <v>10472.479212560233</v>
      </c>
      <c r="E291" s="50">
        <v>11307.125791785416</v>
      </c>
      <c r="F291" s="50"/>
      <c r="G291" s="50">
        <v>4404.8379400120812</v>
      </c>
      <c r="H291" s="50">
        <v>5834.3329852148963</v>
      </c>
      <c r="I291" s="50">
        <v>4943.7281449638876</v>
      </c>
      <c r="J291" s="50">
        <v>6596.7059341547847</v>
      </c>
    </row>
    <row r="292" spans="1:10">
      <c r="A292" s="39" t="s">
        <v>400</v>
      </c>
      <c r="B292" s="50">
        <v>30088.791978552275</v>
      </c>
      <c r="D292" s="50">
        <v>11394.993958689864</v>
      </c>
      <c r="E292" s="50">
        <v>18693.798019862385</v>
      </c>
      <c r="F292" s="50"/>
      <c r="G292" s="50">
        <v>652.04609099257186</v>
      </c>
      <c r="H292" s="50">
        <v>3543.010384627928</v>
      </c>
      <c r="I292" s="50">
        <v>4997.5530002844744</v>
      </c>
      <c r="J292" s="50">
        <v>20896.182502647291</v>
      </c>
    </row>
    <row r="293" spans="1:10">
      <c r="A293" s="39" t="s">
        <v>401</v>
      </c>
      <c r="B293" s="50">
        <v>215404.6218674792</v>
      </c>
      <c r="D293" s="50">
        <v>92213.732991108773</v>
      </c>
      <c r="E293" s="50">
        <v>122890.74727948567</v>
      </c>
      <c r="F293" s="50"/>
      <c r="G293" s="50">
        <v>83848.900264222713</v>
      </c>
      <c r="H293" s="50">
        <v>45707.470970930073</v>
      </c>
      <c r="I293" s="50">
        <v>35276.35926113389</v>
      </c>
      <c r="J293" s="50">
        <v>50571.891371192469</v>
      </c>
    </row>
    <row r="294" spans="1:10">
      <c r="A294" s="39" t="s">
        <v>402</v>
      </c>
      <c r="B294" s="50">
        <v>7965.8070438606755</v>
      </c>
      <c r="D294" s="50">
        <v>2694.7504519964809</v>
      </c>
      <c r="E294" s="50">
        <v>5271.0565918641933</v>
      </c>
      <c r="F294" s="50"/>
      <c r="G294" s="50">
        <v>555.59921261120678</v>
      </c>
      <c r="H294" s="50">
        <v>0</v>
      </c>
      <c r="I294" s="50">
        <v>1251.8230886094482</v>
      </c>
      <c r="J294" s="50">
        <v>6158.3847426400189</v>
      </c>
    </row>
    <row r="295" spans="1:10">
      <c r="A295" s="39" t="s">
        <v>403</v>
      </c>
      <c r="B295" s="50">
        <v>2468.4714794913862</v>
      </c>
      <c r="D295" s="50">
        <v>986.19302921756116</v>
      </c>
      <c r="E295" s="50">
        <v>1482.2784502738248</v>
      </c>
      <c r="F295" s="50"/>
      <c r="G295" s="50">
        <v>0</v>
      </c>
      <c r="H295" s="50">
        <v>986.19302921756116</v>
      </c>
      <c r="I295" s="50">
        <v>637.7524608026456</v>
      </c>
      <c r="J295" s="50">
        <v>844.52598947117917</v>
      </c>
    </row>
    <row r="296" spans="1:10">
      <c r="A296" s="39" t="s">
        <v>404</v>
      </c>
      <c r="B296" s="50">
        <v>0</v>
      </c>
      <c r="D296" s="50">
        <v>0</v>
      </c>
      <c r="E296" s="50">
        <v>0</v>
      </c>
      <c r="F296" s="50"/>
      <c r="G296" s="50">
        <v>0</v>
      </c>
      <c r="H296" s="50">
        <v>0</v>
      </c>
      <c r="I296" s="50">
        <v>0</v>
      </c>
      <c r="J296" s="50">
        <v>0</v>
      </c>
    </row>
    <row r="297" spans="1:10">
      <c r="A297" s="39" t="s">
        <v>405</v>
      </c>
      <c r="B297" s="50">
        <v>0</v>
      </c>
      <c r="D297" s="50">
        <v>0</v>
      </c>
      <c r="E297" s="50">
        <v>0</v>
      </c>
      <c r="F297" s="50"/>
      <c r="G297" s="50">
        <v>0</v>
      </c>
      <c r="H297" s="50">
        <v>0</v>
      </c>
      <c r="I297" s="50">
        <v>0</v>
      </c>
      <c r="J297" s="50">
        <v>0</v>
      </c>
    </row>
    <row r="298" spans="1:10">
      <c r="A298" s="39" t="s">
        <v>406</v>
      </c>
      <c r="B298" s="50">
        <v>325.71152521103301</v>
      </c>
      <c r="D298" s="50">
        <v>325.71152521103301</v>
      </c>
      <c r="E298" s="50">
        <v>0</v>
      </c>
      <c r="F298" s="50"/>
      <c r="G298" s="50">
        <v>0</v>
      </c>
      <c r="H298" s="50">
        <v>0</v>
      </c>
      <c r="I298" s="50">
        <v>325.71152521103301</v>
      </c>
      <c r="J298" s="50">
        <v>0</v>
      </c>
    </row>
    <row r="299" spans="1:10">
      <c r="A299" s="39" t="s">
        <v>407</v>
      </c>
      <c r="B299" s="50">
        <v>1912.8440239698593</v>
      </c>
      <c r="D299" s="50">
        <v>1912.8440239698593</v>
      </c>
      <c r="E299" s="50">
        <v>0</v>
      </c>
      <c r="F299" s="50"/>
      <c r="G299" s="50">
        <v>581.67053890064426</v>
      </c>
      <c r="H299" s="50">
        <v>587.54608069477115</v>
      </c>
      <c r="I299" s="50">
        <v>0</v>
      </c>
      <c r="J299" s="50">
        <v>743.62740437444393</v>
      </c>
    </row>
    <row r="300" spans="1:10">
      <c r="A300" s="39" t="s">
        <v>408</v>
      </c>
      <c r="B300" s="50">
        <v>17176.724645921811</v>
      </c>
      <c r="D300" s="50">
        <v>5781.8954069768433</v>
      </c>
      <c r="E300" s="50">
        <v>11394.829238944965</v>
      </c>
      <c r="F300" s="50"/>
      <c r="G300" s="50">
        <v>6597.1900803204589</v>
      </c>
      <c r="H300" s="50">
        <v>4473.1682301407754</v>
      </c>
      <c r="I300" s="50">
        <v>2360.7866247774919</v>
      </c>
      <c r="J300" s="50">
        <v>3745.5797106830842</v>
      </c>
    </row>
    <row r="301" spans="1:10">
      <c r="A301" s="132"/>
      <c r="B301" s="133"/>
      <c r="C301" s="133"/>
      <c r="D301" s="133"/>
      <c r="E301" s="133"/>
      <c r="F301" s="133"/>
      <c r="G301" s="133"/>
      <c r="H301" s="133"/>
      <c r="I301" s="133"/>
      <c r="J301" s="133"/>
    </row>
    <row r="302" spans="1:10" ht="15" customHeight="1">
      <c r="A302" s="30" t="s">
        <v>128</v>
      </c>
      <c r="B302" s="32"/>
      <c r="C302" s="32"/>
      <c r="D302" s="32"/>
      <c r="E302" s="32"/>
      <c r="F302" s="32"/>
      <c r="J302" s="18"/>
    </row>
    <row r="303" spans="1:10">
      <c r="A303" s="29" t="s">
        <v>147</v>
      </c>
      <c r="B303" s="18"/>
      <c r="C303" s="17"/>
      <c r="J303" s="17"/>
    </row>
    <row r="304" spans="1:10">
      <c r="A304" s="16" t="s">
        <v>119</v>
      </c>
      <c r="B304" s="17"/>
      <c r="C304" s="17"/>
      <c r="G304" s="2"/>
    </row>
    <row r="305" spans="1:7">
      <c r="A305" s="16" t="s">
        <v>120</v>
      </c>
    </row>
    <row r="306" spans="1:7">
      <c r="A306" s="29" t="s">
        <v>118</v>
      </c>
    </row>
    <row r="317" spans="1:7">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B159&lt;'34'!$D$104</xm:f>
            <x14:dxf>
              <font>
                <color rgb="FFFF0000"/>
              </font>
              <numFmt numFmtId="172" formatCode="\*\*0.0%"/>
            </x14:dxf>
          </x14:cfRule>
          <x14:cfRule type="expression" priority="4" id="{761348D4-36D2-4D95-8EEE-18A116371C7A}">
            <xm:f>B159&lt;'34'!$D$103</xm:f>
            <x14:dxf>
              <font>
                <color rgb="FF00B050"/>
              </font>
              <numFmt numFmtId="171" formatCode="\*0.0%"/>
            </x14:dxf>
          </x14:cfRule>
          <xm:sqref>B16:J157</xm:sqref>
        </x14:conditionalFormatting>
        <x14:conditionalFormatting xmlns:xm="http://schemas.microsoft.com/office/excel/2006/main">
          <x14:cfRule type="expression" priority="1" id="{A6AB442B-BCE3-4191-BC05-BDABE4069671}">
            <xm:f>B159&lt;'34'!$D$104</xm:f>
            <x14:dxf>
              <font>
                <color rgb="FFFF0000"/>
              </font>
              <numFmt numFmtId="170" formatCode="\*\*#,###,###,##0"/>
            </x14:dxf>
          </x14:cfRule>
          <x14:cfRule type="expression" priority="2" id="{FC1D749C-547A-4A2A-9E50-DADA91608584}">
            <xm:f>B159&lt;'34'!$D$103</xm:f>
            <x14:dxf>
              <font>
                <color rgb="FF00B050"/>
              </font>
              <numFmt numFmtId="169" formatCode="\*#,###,###,##0"/>
            </x14:dxf>
          </x14:cfRule>
          <xm:sqref>B159:J300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zoomScaleNormal="100" workbookViewId="0">
      <pane xSplit="1" ySplit="14" topLeftCell="B15" activePane="bottomRight" state="frozen"/>
      <selection pane="bottomRight"/>
      <selection pane="bottomLeft"/>
      <selection pane="topRight"/>
    </sheetView>
  </sheetViews>
  <sheetFormatPr defaultColWidth="8.85546875" defaultRowHeight="1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c r="A1" s="34"/>
      <c r="B1" s="34"/>
      <c r="C1" s="34"/>
      <c r="D1" s="34"/>
      <c r="E1" s="34"/>
      <c r="F1" s="55"/>
      <c r="G1" s="34"/>
      <c r="H1" s="34"/>
      <c r="I1" s="34"/>
      <c r="J1" s="34"/>
      <c r="K1" s="34"/>
      <c r="L1" s="34"/>
      <c r="M1" s="34"/>
    </row>
    <row r="2" spans="1:13">
      <c r="A2" s="34"/>
      <c r="B2" s="34"/>
      <c r="C2" s="34"/>
      <c r="D2" s="34"/>
      <c r="E2" s="34"/>
      <c r="F2" s="55"/>
      <c r="G2" s="34"/>
      <c r="H2" s="34"/>
      <c r="I2" s="34"/>
      <c r="J2" s="34"/>
      <c r="K2" s="34"/>
      <c r="L2" s="34"/>
      <c r="M2" s="34"/>
    </row>
    <row r="3" spans="1:13">
      <c r="A3" s="34"/>
      <c r="B3" s="34"/>
      <c r="C3" s="34"/>
      <c r="D3" s="34"/>
      <c r="E3" s="34"/>
      <c r="F3" s="55"/>
      <c r="G3" s="34"/>
      <c r="H3" s="34"/>
      <c r="I3" s="34"/>
      <c r="J3" s="34"/>
      <c r="K3" s="34"/>
      <c r="L3" s="34"/>
      <c r="M3" s="34"/>
    </row>
    <row r="4" spans="1:13">
      <c r="A4" s="34"/>
      <c r="B4" s="34"/>
      <c r="C4" s="34"/>
      <c r="D4" s="34"/>
      <c r="E4" s="34"/>
      <c r="F4" s="55"/>
      <c r="G4" s="34"/>
      <c r="H4" s="34"/>
      <c r="I4" s="34"/>
      <c r="J4" s="34"/>
      <c r="K4" s="34"/>
      <c r="L4" s="34"/>
      <c r="M4" s="34"/>
    </row>
    <row r="5" spans="1:13">
      <c r="A5" s="34"/>
      <c r="B5" s="34"/>
      <c r="C5" s="34"/>
      <c r="D5" s="34"/>
      <c r="E5" s="34"/>
      <c r="F5" s="55"/>
      <c r="G5" s="34"/>
      <c r="H5" s="34"/>
      <c r="I5" s="34"/>
      <c r="J5" s="34"/>
      <c r="K5" s="34"/>
      <c r="L5" s="34"/>
      <c r="M5" s="34"/>
    </row>
    <row r="6" spans="1:13">
      <c r="A6" s="34"/>
      <c r="B6" s="34"/>
      <c r="C6" s="34"/>
      <c r="D6" s="34"/>
      <c r="E6" s="34"/>
      <c r="F6" s="55"/>
      <c r="G6" s="34"/>
      <c r="H6" s="34"/>
      <c r="I6" s="34"/>
      <c r="J6" s="34"/>
      <c r="K6" s="34"/>
      <c r="L6" s="34"/>
      <c r="M6" s="34"/>
    </row>
    <row r="7" spans="1:13">
      <c r="A7" s="34"/>
      <c r="B7" s="34"/>
      <c r="C7" s="34"/>
      <c r="D7" s="34"/>
      <c r="E7" s="34"/>
      <c r="F7" s="55"/>
      <c r="G7" s="34"/>
      <c r="H7" s="34"/>
      <c r="I7" s="34"/>
      <c r="J7" s="34"/>
      <c r="K7" s="34"/>
      <c r="L7" s="34"/>
      <c r="M7" s="34"/>
    </row>
    <row r="8" spans="1:13">
      <c r="A8" s="35" t="s">
        <v>0</v>
      </c>
      <c r="B8" s="35"/>
      <c r="C8" s="35"/>
      <c r="D8" s="34"/>
      <c r="E8" s="34"/>
      <c r="F8" s="55"/>
      <c r="G8" s="35"/>
      <c r="H8" s="34"/>
      <c r="I8" s="34"/>
      <c r="J8" s="34"/>
      <c r="K8" s="34"/>
      <c r="L8" s="34"/>
      <c r="M8" s="34"/>
    </row>
    <row r="9" spans="1:13">
      <c r="A9" s="34" t="s">
        <v>1</v>
      </c>
      <c r="B9" s="35" t="s">
        <v>2</v>
      </c>
      <c r="C9" s="35"/>
      <c r="D9" s="34"/>
      <c r="E9" s="34"/>
      <c r="F9" s="55"/>
      <c r="G9" s="34"/>
      <c r="H9" s="34"/>
      <c r="I9" s="34"/>
      <c r="J9" s="34"/>
      <c r="K9" s="34"/>
      <c r="L9" s="34"/>
      <c r="M9" s="34"/>
    </row>
    <row r="10" spans="1:13">
      <c r="A10" s="34" t="s">
        <v>47</v>
      </c>
      <c r="B10" s="36">
        <v>19</v>
      </c>
      <c r="C10" s="35"/>
      <c r="D10" s="34"/>
      <c r="E10" s="34"/>
      <c r="F10" s="55"/>
      <c r="G10" s="34"/>
      <c r="H10" s="34"/>
      <c r="I10" s="34"/>
      <c r="J10" s="34"/>
      <c r="K10" s="34"/>
      <c r="L10" s="34"/>
      <c r="M10" s="34"/>
    </row>
    <row r="11" spans="1:13">
      <c r="A11" s="34" t="s">
        <v>3</v>
      </c>
      <c r="B11" s="35" t="s">
        <v>27</v>
      </c>
      <c r="C11" s="35"/>
      <c r="D11" s="34"/>
      <c r="E11" s="34"/>
      <c r="F11" s="55"/>
      <c r="G11" s="34"/>
      <c r="H11" s="34"/>
      <c r="I11" s="34"/>
      <c r="J11" s="34"/>
      <c r="K11" s="34"/>
      <c r="L11" s="34"/>
      <c r="M11" s="34"/>
    </row>
    <row r="12" spans="1:13">
      <c r="A12" s="130" t="s">
        <v>48</v>
      </c>
      <c r="B12" s="131" t="s">
        <v>49</v>
      </c>
      <c r="C12" s="131"/>
      <c r="D12" s="130"/>
      <c r="E12" s="130"/>
      <c r="F12" s="184"/>
      <c r="G12" s="130"/>
      <c r="H12" s="130"/>
      <c r="I12" s="130"/>
      <c r="J12" s="130"/>
      <c r="K12" s="130"/>
      <c r="L12" s="130"/>
      <c r="M12" s="130"/>
    </row>
    <row r="13" spans="1:13" ht="24.95" customHeight="1">
      <c r="A13" s="47"/>
      <c r="B13" s="166" t="s">
        <v>409</v>
      </c>
      <c r="C13" s="56"/>
      <c r="D13" s="56"/>
      <c r="E13" s="56"/>
      <c r="F13" s="57"/>
      <c r="G13" s="165" t="s">
        <v>59</v>
      </c>
      <c r="H13" s="165"/>
      <c r="I13" s="165"/>
      <c r="J13" s="165"/>
      <c r="K13" s="165"/>
      <c r="L13" s="165"/>
      <c r="M13" s="165"/>
    </row>
    <row r="14" spans="1:13" s="97" customFormat="1" ht="24.95" customHeight="1">
      <c r="A14" s="101"/>
      <c r="B14" s="167"/>
      <c r="C14" s="42"/>
      <c r="D14" s="42" t="s">
        <v>56</v>
      </c>
      <c r="E14" s="42" t="s">
        <v>57</v>
      </c>
      <c r="F14" s="58"/>
      <c r="G14" s="42" t="s">
        <v>60</v>
      </c>
      <c r="H14" s="42" t="s">
        <v>61</v>
      </c>
      <c r="I14" s="42" t="s">
        <v>62</v>
      </c>
      <c r="J14" s="42" t="s">
        <v>63</v>
      </c>
      <c r="K14" s="42" t="s">
        <v>64</v>
      </c>
      <c r="L14" s="42" t="s">
        <v>65</v>
      </c>
      <c r="M14" s="42" t="s">
        <v>66</v>
      </c>
    </row>
    <row r="15" spans="1:13">
      <c r="A15" s="72"/>
      <c r="B15" s="156" t="s">
        <v>143</v>
      </c>
      <c r="C15" s="156"/>
      <c r="D15" s="156"/>
      <c r="E15" s="156"/>
      <c r="F15" s="156"/>
      <c r="G15" s="156"/>
      <c r="H15" s="156"/>
      <c r="I15" s="156"/>
      <c r="J15" s="156"/>
      <c r="K15" s="156"/>
      <c r="L15" s="156"/>
      <c r="M15" s="156"/>
    </row>
    <row r="16" spans="1:13">
      <c r="A16" s="39" t="s">
        <v>267</v>
      </c>
      <c r="B16" s="4">
        <v>1.1769332273103765E-3</v>
      </c>
      <c r="D16" s="4">
        <v>1.7927187742191133E-3</v>
      </c>
      <c r="E16" s="4">
        <v>4.3489758951705828E-4</v>
      </c>
      <c r="F16" s="4"/>
      <c r="G16" s="4">
        <v>1.8029999831592597E-3</v>
      </c>
      <c r="H16" s="4">
        <v>1.5508326393956593E-3</v>
      </c>
      <c r="I16" s="4">
        <v>2.5954293002257555E-3</v>
      </c>
      <c r="J16" s="4">
        <v>1.9386493641046342E-3</v>
      </c>
      <c r="K16" s="4">
        <v>6.3867589696612638E-4</v>
      </c>
      <c r="L16" s="4">
        <v>1.830511253405961E-4</v>
      </c>
      <c r="M16" s="4">
        <v>7.6493029606116103E-5</v>
      </c>
    </row>
    <row r="17" spans="1:13">
      <c r="A17" s="39" t="s">
        <v>268</v>
      </c>
      <c r="B17" s="4">
        <v>2.495128335019962E-3</v>
      </c>
      <c r="D17" s="4">
        <v>3.3509071972381886E-3</v>
      </c>
      <c r="E17" s="4">
        <v>1.6947150013128631E-3</v>
      </c>
      <c r="F17" s="4"/>
      <c r="G17" s="4">
        <v>2.9055569208994441E-3</v>
      </c>
      <c r="H17" s="4">
        <v>3.4913128793836005E-3</v>
      </c>
      <c r="I17" s="4">
        <v>5.3040778321716605E-3</v>
      </c>
      <c r="J17" s="4">
        <v>4.0696528002324957E-3</v>
      </c>
      <c r="K17" s="4">
        <v>8.9763210482676412E-4</v>
      </c>
      <c r="L17" s="4">
        <v>1.0197561104766618E-3</v>
      </c>
      <c r="M17" s="4">
        <v>3.6206751883133308E-4</v>
      </c>
    </row>
    <row r="18" spans="1:13">
      <c r="A18" s="39" t="s">
        <v>269</v>
      </c>
      <c r="B18" s="4">
        <v>1.6557853345657539E-3</v>
      </c>
      <c r="D18" s="4">
        <v>2.1376584346539662E-3</v>
      </c>
      <c r="E18" s="4">
        <v>1.1273226753449076E-3</v>
      </c>
      <c r="F18" s="4"/>
      <c r="G18" s="4">
        <v>2.1860055346669895E-3</v>
      </c>
      <c r="H18" s="4">
        <v>1.8462691189193965E-3</v>
      </c>
      <c r="I18" s="4">
        <v>3.3001259029253366E-3</v>
      </c>
      <c r="J18" s="4">
        <v>1.9191672282153239E-3</v>
      </c>
      <c r="K18" s="4">
        <v>9.792776187298811E-4</v>
      </c>
      <c r="L18" s="4">
        <v>1.1884070630270285E-3</v>
      </c>
      <c r="M18" s="4">
        <v>6.307904939512009E-4</v>
      </c>
    </row>
    <row r="19" spans="1:13">
      <c r="A19" s="39" t="s">
        <v>270</v>
      </c>
      <c r="B19" s="4">
        <v>8.2683119039600721E-3</v>
      </c>
      <c r="D19" s="4">
        <v>1.035697247081541E-2</v>
      </c>
      <c r="E19" s="4">
        <v>6.0871582032476258E-3</v>
      </c>
      <c r="F19" s="4"/>
      <c r="G19" s="4">
        <v>3.5724235626595081E-2</v>
      </c>
      <c r="H19" s="4">
        <v>1.7351445386180095E-2</v>
      </c>
      <c r="I19" s="4">
        <v>1.1893457148106903E-2</v>
      </c>
      <c r="J19" s="4">
        <v>9.9181698689380041E-3</v>
      </c>
      <c r="K19" s="4">
        <v>4.3974617429408669E-3</v>
      </c>
      <c r="L19" s="4">
        <v>1.3046285615759673E-3</v>
      </c>
      <c r="M19" s="4">
        <v>7.9339784965494421E-4</v>
      </c>
    </row>
    <row r="20" spans="1:13">
      <c r="A20" s="39" t="s">
        <v>271</v>
      </c>
      <c r="B20" s="4">
        <v>1.745117316430474E-2</v>
      </c>
      <c r="D20" s="4">
        <v>2.8045199706658128E-2</v>
      </c>
      <c r="E20" s="4">
        <v>7.3373037042661375E-3</v>
      </c>
      <c r="F20" s="4"/>
      <c r="G20" s="4">
        <v>4.2631689494729341E-2</v>
      </c>
      <c r="H20" s="4">
        <v>4.1054876982852193E-2</v>
      </c>
      <c r="I20" s="4">
        <v>3.1515855156793809E-2</v>
      </c>
      <c r="J20" s="4">
        <v>2.1156508405437254E-2</v>
      </c>
      <c r="K20" s="4">
        <v>7.7838509213395664E-3</v>
      </c>
      <c r="L20" s="4">
        <v>4.7896845580891962E-3</v>
      </c>
      <c r="M20" s="4">
        <v>4.0818024533339402E-4</v>
      </c>
    </row>
    <row r="21" spans="1:13">
      <c r="A21" s="39" t="s">
        <v>272</v>
      </c>
      <c r="B21" s="4">
        <v>8.4302533162298621E-3</v>
      </c>
      <c r="D21" s="4">
        <v>9.8034530681380249E-3</v>
      </c>
      <c r="E21" s="4">
        <v>6.8199340726015434E-3</v>
      </c>
      <c r="F21" s="4"/>
      <c r="G21" s="4">
        <v>5.1567432122617607E-2</v>
      </c>
      <c r="H21" s="4">
        <v>1.5640337946180527E-2</v>
      </c>
      <c r="I21" s="4">
        <v>1.4018538647207517E-2</v>
      </c>
      <c r="J21" s="4">
        <v>5.9995586571768879E-3</v>
      </c>
      <c r="K21" s="4">
        <v>2.9804943661426091E-3</v>
      </c>
      <c r="L21" s="4">
        <v>1.9994648383302597E-3</v>
      </c>
      <c r="M21" s="4">
        <v>1.0300781729931936E-3</v>
      </c>
    </row>
    <row r="22" spans="1:13">
      <c r="A22" s="39" t="s">
        <v>273</v>
      </c>
      <c r="B22" s="4">
        <v>2.641573490074503E-3</v>
      </c>
      <c r="D22" s="4">
        <v>4.49796912881382E-3</v>
      </c>
      <c r="E22" s="4">
        <v>8.7091589158118886E-4</v>
      </c>
      <c r="F22" s="4"/>
      <c r="G22" s="4">
        <v>6.9965091104954458E-3</v>
      </c>
      <c r="H22" s="4">
        <v>4.395984853569194E-3</v>
      </c>
      <c r="I22" s="4">
        <v>4.4079317783306936E-3</v>
      </c>
      <c r="J22" s="4">
        <v>3.976954368273054E-3</v>
      </c>
      <c r="K22" s="4">
        <v>1.6948429082666017E-3</v>
      </c>
      <c r="L22" s="4">
        <v>7.302031136607823E-4</v>
      </c>
      <c r="M22" s="4">
        <v>1.8443030725336348E-4</v>
      </c>
    </row>
    <row r="23" spans="1:13">
      <c r="A23" s="39" t="s">
        <v>274</v>
      </c>
      <c r="B23" s="4">
        <v>2.525800767146456E-2</v>
      </c>
      <c r="D23" s="4">
        <v>3.5886051398728781E-2</v>
      </c>
      <c r="E23" s="4">
        <v>1.4864746842929063E-2</v>
      </c>
      <c r="F23" s="4"/>
      <c r="G23" s="4">
        <v>0.11742079358064494</v>
      </c>
      <c r="H23" s="4">
        <v>6.2061505757606564E-2</v>
      </c>
      <c r="I23" s="4">
        <v>3.4716125291868141E-2</v>
      </c>
      <c r="J23" s="4">
        <v>2.7562047457663271E-2</v>
      </c>
      <c r="K23" s="4">
        <v>1.051135239331431E-2</v>
      </c>
      <c r="L23" s="4">
        <v>4.1202670894137658E-3</v>
      </c>
      <c r="M23" s="4">
        <v>1.6325856833862994E-3</v>
      </c>
    </row>
    <row r="24" spans="1:13">
      <c r="A24" s="39" t="s">
        <v>275</v>
      </c>
      <c r="B24" s="4">
        <v>2.6226343764457915E-4</v>
      </c>
      <c r="D24" s="4">
        <v>3.4841378923512983E-4</v>
      </c>
      <c r="E24" s="4">
        <v>1.8182409933610976E-4</v>
      </c>
      <c r="F24" s="4"/>
      <c r="G24" s="4">
        <v>0</v>
      </c>
      <c r="H24" s="4">
        <v>2.0483030512558623E-4</v>
      </c>
      <c r="I24" s="4">
        <v>1.0895417165192535E-3</v>
      </c>
      <c r="J24" s="4">
        <v>1.3642887804353473E-4</v>
      </c>
      <c r="K24" s="4">
        <v>1.5136730335130346E-4</v>
      </c>
      <c r="L24" s="4">
        <v>0</v>
      </c>
      <c r="M24" s="4">
        <v>0</v>
      </c>
    </row>
    <row r="25" spans="1:13">
      <c r="A25" s="39" t="s">
        <v>276</v>
      </c>
      <c r="B25" s="4">
        <v>5.0734573071212384E-5</v>
      </c>
      <c r="D25" s="4">
        <v>5.3175526046400943E-5</v>
      </c>
      <c r="E25" s="4">
        <v>4.8992452207744884E-5</v>
      </c>
      <c r="F25" s="4"/>
      <c r="G25" s="4">
        <v>0</v>
      </c>
      <c r="H25" s="4">
        <v>2.2947169060707332E-4</v>
      </c>
      <c r="I25" s="4">
        <v>1.4617270540082168E-4</v>
      </c>
      <c r="J25" s="4">
        <v>0</v>
      </c>
      <c r="K25" s="4">
        <v>0</v>
      </c>
      <c r="L25" s="4">
        <v>0</v>
      </c>
      <c r="M25" s="4">
        <v>0</v>
      </c>
    </row>
    <row r="26" spans="1:13">
      <c r="A26" s="39" t="s">
        <v>277</v>
      </c>
      <c r="B26" s="4">
        <v>1.0260666121828133E-3</v>
      </c>
      <c r="D26" s="4">
        <v>1.3454895337076829E-3</v>
      </c>
      <c r="E26" s="4">
        <v>6.8304521385734792E-4</v>
      </c>
      <c r="F26" s="4"/>
      <c r="G26" s="4">
        <v>0</v>
      </c>
      <c r="H26" s="4">
        <v>1.432439653975549E-3</v>
      </c>
      <c r="I26" s="4">
        <v>1.4267149305500109E-3</v>
      </c>
      <c r="J26" s="4">
        <v>1.0744675607130087E-3</v>
      </c>
      <c r="K26" s="4">
        <v>6.7662650158595869E-4</v>
      </c>
      <c r="L26" s="4">
        <v>1.4602519101313024E-3</v>
      </c>
      <c r="M26" s="4">
        <v>6.1522428567498577E-4</v>
      </c>
    </row>
    <row r="27" spans="1:13">
      <c r="A27" s="39" t="s">
        <v>278</v>
      </c>
      <c r="B27" s="4">
        <v>2.2335169960231935E-4</v>
      </c>
      <c r="D27" s="4">
        <v>2.6607396039845084E-4</v>
      </c>
      <c r="E27" s="4">
        <v>1.8461851323513503E-4</v>
      </c>
      <c r="F27" s="4"/>
      <c r="G27" s="4">
        <v>0</v>
      </c>
      <c r="H27" s="4">
        <v>6.5813353672405884E-4</v>
      </c>
      <c r="I27" s="4">
        <v>1.5080178720783979E-4</v>
      </c>
      <c r="J27" s="4">
        <v>4.2702554399652083E-4</v>
      </c>
      <c r="K27" s="4">
        <v>3.5024107887514502E-4</v>
      </c>
      <c r="L27" s="4">
        <v>0</v>
      </c>
      <c r="M27" s="4">
        <v>0</v>
      </c>
    </row>
    <row r="28" spans="1:13">
      <c r="A28" s="39" t="s">
        <v>279</v>
      </c>
      <c r="B28" s="4">
        <v>0</v>
      </c>
      <c r="D28" s="4">
        <v>0</v>
      </c>
      <c r="E28" s="4">
        <v>0</v>
      </c>
      <c r="F28" s="4"/>
      <c r="G28" s="4">
        <v>0</v>
      </c>
      <c r="H28" s="4">
        <v>0</v>
      </c>
      <c r="I28" s="4">
        <v>0</v>
      </c>
      <c r="J28" s="4">
        <v>0</v>
      </c>
      <c r="K28" s="4">
        <v>0</v>
      </c>
      <c r="L28" s="4">
        <v>0</v>
      </c>
      <c r="M28" s="4">
        <v>0</v>
      </c>
    </row>
    <row r="29" spans="1:13">
      <c r="A29" s="39" t="s">
        <v>280</v>
      </c>
      <c r="B29" s="4">
        <v>1.652354068788929E-4</v>
      </c>
      <c r="D29" s="4">
        <v>4.9450356709483629E-5</v>
      </c>
      <c r="E29" s="4">
        <v>2.7976520861087387E-4</v>
      </c>
      <c r="F29" s="4"/>
      <c r="G29" s="4">
        <v>0</v>
      </c>
      <c r="H29" s="4">
        <v>0</v>
      </c>
      <c r="I29" s="4">
        <v>0</v>
      </c>
      <c r="J29" s="4">
        <v>0</v>
      </c>
      <c r="K29" s="4">
        <v>1.5974717667287765E-4</v>
      </c>
      <c r="L29" s="4">
        <v>0</v>
      </c>
      <c r="M29" s="4">
        <v>6.7631709412703652E-4</v>
      </c>
    </row>
    <row r="30" spans="1:13">
      <c r="A30" s="39" t="s">
        <v>281</v>
      </c>
      <c r="B30" s="4">
        <v>0</v>
      </c>
      <c r="D30" s="4">
        <v>0</v>
      </c>
      <c r="E30" s="4">
        <v>0</v>
      </c>
      <c r="F30" s="4"/>
      <c r="G30" s="4">
        <v>0</v>
      </c>
      <c r="H30" s="4">
        <v>0</v>
      </c>
      <c r="I30" s="4">
        <v>0</v>
      </c>
      <c r="J30" s="4">
        <v>0</v>
      </c>
      <c r="K30" s="4">
        <v>0</v>
      </c>
      <c r="L30" s="4">
        <v>0</v>
      </c>
      <c r="M30" s="4">
        <v>0</v>
      </c>
    </row>
    <row r="31" spans="1:13">
      <c r="A31" s="39" t="s">
        <v>282</v>
      </c>
      <c r="B31" s="4">
        <v>1.0736286184712574E-4</v>
      </c>
      <c r="D31" s="4">
        <v>1.7826422138138826E-4</v>
      </c>
      <c r="E31" s="4">
        <v>3.9816372543746692E-5</v>
      </c>
      <c r="F31" s="4"/>
      <c r="G31" s="4">
        <v>0</v>
      </c>
      <c r="H31" s="4">
        <v>1.8056882757249551E-4</v>
      </c>
      <c r="I31" s="4">
        <v>1.204376892442883E-4</v>
      </c>
      <c r="J31" s="4">
        <v>2.5783767211127431E-4</v>
      </c>
      <c r="K31" s="4">
        <v>1.4947574754416965E-4</v>
      </c>
      <c r="L31" s="4">
        <v>0</v>
      </c>
      <c r="M31" s="4">
        <v>0</v>
      </c>
    </row>
    <row r="32" spans="1:13">
      <c r="A32" s="39" t="s">
        <v>283</v>
      </c>
      <c r="B32" s="4">
        <v>4.5843045704352583E-5</v>
      </c>
      <c r="D32" s="4">
        <v>9.3618042411390626E-5</v>
      </c>
      <c r="E32" s="4">
        <v>0</v>
      </c>
      <c r="F32" s="4"/>
      <c r="G32" s="4">
        <v>0</v>
      </c>
      <c r="H32" s="4">
        <v>0</v>
      </c>
      <c r="I32" s="4">
        <v>0</v>
      </c>
      <c r="J32" s="4">
        <v>1.3642887804353473E-4</v>
      </c>
      <c r="K32" s="4">
        <v>1.4947574754416965E-4</v>
      </c>
      <c r="L32" s="4">
        <v>0</v>
      </c>
      <c r="M32" s="4">
        <v>0</v>
      </c>
    </row>
    <row r="33" spans="1:13">
      <c r="A33" s="39" t="s">
        <v>284</v>
      </c>
      <c r="B33" s="4">
        <v>7.6102474896825329E-3</v>
      </c>
      <c r="D33" s="4">
        <v>1.0774229852329325E-2</v>
      </c>
      <c r="E33" s="4">
        <v>4.5844907327113604E-3</v>
      </c>
      <c r="F33" s="4"/>
      <c r="G33" s="4">
        <v>1.7941442462027775E-3</v>
      </c>
      <c r="H33" s="4">
        <v>8.4544282310094706E-4</v>
      </c>
      <c r="I33" s="4">
        <v>1.7899442204401253E-3</v>
      </c>
      <c r="J33" s="4">
        <v>1.5759445853182784E-3</v>
      </c>
      <c r="K33" s="4">
        <v>4.4808903632841375E-3</v>
      </c>
      <c r="L33" s="4">
        <v>8.5862843764518519E-3</v>
      </c>
      <c r="M33" s="4">
        <v>2.3847738518549631E-2</v>
      </c>
    </row>
    <row r="34" spans="1:13">
      <c r="A34" s="39" t="s">
        <v>285</v>
      </c>
      <c r="B34" s="4">
        <v>5.9139787523371226E-3</v>
      </c>
      <c r="D34" s="4">
        <v>5.8953208094706007E-3</v>
      </c>
      <c r="E34" s="4">
        <v>5.966702271115786E-3</v>
      </c>
      <c r="F34" s="4"/>
      <c r="G34" s="4">
        <v>9.7977057729923198E-3</v>
      </c>
      <c r="H34" s="4">
        <v>1.2001515726720872E-2</v>
      </c>
      <c r="I34" s="4">
        <v>9.9817076499552435E-3</v>
      </c>
      <c r="J34" s="4">
        <v>8.0167271163416407E-3</v>
      </c>
      <c r="K34" s="4">
        <v>3.9062102311261592E-3</v>
      </c>
      <c r="L34" s="4">
        <v>2.5959805818001921E-3</v>
      </c>
      <c r="M34" s="4">
        <v>4.4412993341856556E-4</v>
      </c>
    </row>
    <row r="35" spans="1:13">
      <c r="A35" s="39" t="s">
        <v>286</v>
      </c>
      <c r="B35" s="4">
        <v>0</v>
      </c>
      <c r="D35" s="4">
        <v>0</v>
      </c>
      <c r="E35" s="4">
        <v>0</v>
      </c>
      <c r="F35" s="4"/>
      <c r="G35" s="4">
        <v>0</v>
      </c>
      <c r="H35" s="4">
        <v>0</v>
      </c>
      <c r="I35" s="4">
        <v>0</v>
      </c>
      <c r="J35" s="4">
        <v>0</v>
      </c>
      <c r="K35" s="4">
        <v>0</v>
      </c>
      <c r="L35" s="4">
        <v>0</v>
      </c>
      <c r="M35" s="4">
        <v>0</v>
      </c>
    </row>
    <row r="36" spans="1:13">
      <c r="A36" s="39" t="s">
        <v>287</v>
      </c>
      <c r="B36" s="4">
        <v>2.0588805044433237E-2</v>
      </c>
      <c r="D36" s="4">
        <v>1.8605132598679821E-2</v>
      </c>
      <c r="E36" s="4">
        <v>2.2485540748779877E-2</v>
      </c>
      <c r="F36" s="4"/>
      <c r="G36" s="4">
        <v>3.7505397673927375E-2</v>
      </c>
      <c r="H36" s="4">
        <v>1.8896863985560276E-2</v>
      </c>
      <c r="I36" s="4">
        <v>2.3410846728877405E-2</v>
      </c>
      <c r="J36" s="4">
        <v>1.991456804258496E-2</v>
      </c>
      <c r="K36" s="4">
        <v>2.2209013578298638E-2</v>
      </c>
      <c r="L36" s="4">
        <v>1.8778757844937755E-2</v>
      </c>
      <c r="M36" s="4">
        <v>1.6044129529954789E-2</v>
      </c>
    </row>
    <row r="37" spans="1:13">
      <c r="A37" s="39" t="s">
        <v>288</v>
      </c>
      <c r="B37" s="4">
        <v>5.1624997892590722E-4</v>
      </c>
      <c r="D37" s="4">
        <v>5.5080653752927308E-4</v>
      </c>
      <c r="E37" s="4">
        <v>4.8908174906330698E-4</v>
      </c>
      <c r="F37" s="4"/>
      <c r="G37" s="4">
        <v>0</v>
      </c>
      <c r="H37" s="4">
        <v>1.6472118718339867E-3</v>
      </c>
      <c r="I37" s="4">
        <v>1.0445730957120202E-3</v>
      </c>
      <c r="J37" s="4">
        <v>4.1176655502611533E-4</v>
      </c>
      <c r="K37" s="4">
        <v>2.7452872706961449E-4</v>
      </c>
      <c r="L37" s="4">
        <v>2.952439692226037E-4</v>
      </c>
      <c r="M37" s="4">
        <v>0</v>
      </c>
    </row>
    <row r="38" spans="1:13">
      <c r="A38" s="39" t="s">
        <v>289</v>
      </c>
      <c r="B38" s="4">
        <v>2.5593406846159461E-4</v>
      </c>
      <c r="D38" s="4">
        <v>5.2265389673885514E-4</v>
      </c>
      <c r="E38" s="4">
        <v>0</v>
      </c>
      <c r="F38" s="4"/>
      <c r="G38" s="4">
        <v>0</v>
      </c>
      <c r="H38" s="4">
        <v>2.4467573396393978E-4</v>
      </c>
      <c r="I38" s="4">
        <v>7.3420787165907225E-4</v>
      </c>
      <c r="J38" s="4">
        <v>5.8143833781351467E-4</v>
      </c>
      <c r="K38" s="4">
        <v>0</v>
      </c>
      <c r="L38" s="4">
        <v>0</v>
      </c>
      <c r="M38" s="4">
        <v>0</v>
      </c>
    </row>
    <row r="39" spans="1:13">
      <c r="A39" s="39" t="s">
        <v>290</v>
      </c>
      <c r="B39" s="4">
        <v>2.4648827624417012E-3</v>
      </c>
      <c r="D39" s="4">
        <v>2.3004623697235253E-3</v>
      </c>
      <c r="E39" s="4">
        <v>2.655178326957205E-3</v>
      </c>
      <c r="F39" s="4"/>
      <c r="G39" s="4">
        <v>1.1592859019608952E-2</v>
      </c>
      <c r="H39" s="4">
        <v>2.553715638434228E-3</v>
      </c>
      <c r="I39" s="4">
        <v>3.1464008156840526E-3</v>
      </c>
      <c r="J39" s="4">
        <v>1.8606033799359581E-3</v>
      </c>
      <c r="K39" s="4">
        <v>3.0460887260169837E-3</v>
      </c>
      <c r="L39" s="4">
        <v>1.902107272011325E-3</v>
      </c>
      <c r="M39" s="4">
        <v>3.4555419943130912E-4</v>
      </c>
    </row>
    <row r="40" spans="1:13">
      <c r="A40" s="39" t="s">
        <v>291</v>
      </c>
      <c r="B40" s="4">
        <v>2.8553525084732594E-4</v>
      </c>
      <c r="D40" s="4">
        <v>4.6256445255426549E-5</v>
      </c>
      <c r="E40" s="4">
        <v>4.8115213444725004E-4</v>
      </c>
      <c r="F40" s="4"/>
      <c r="G40" s="4">
        <v>0</v>
      </c>
      <c r="H40" s="4">
        <v>6.8328158646194519E-4</v>
      </c>
      <c r="I40" s="4">
        <v>6.9701597461494273E-4</v>
      </c>
      <c r="J40" s="4">
        <v>3.8529828925154297E-4</v>
      </c>
      <c r="K40" s="4">
        <v>0</v>
      </c>
      <c r="L40" s="4">
        <v>1.597888834886194E-4</v>
      </c>
      <c r="M40" s="4">
        <v>0</v>
      </c>
    </row>
    <row r="41" spans="1:13">
      <c r="A41" s="39" t="s">
        <v>292</v>
      </c>
      <c r="B41" s="4">
        <v>1.6062662490567748E-2</v>
      </c>
      <c r="D41" s="4">
        <v>2.9203297059216229E-2</v>
      </c>
      <c r="E41" s="4">
        <v>3.4058822306461821E-3</v>
      </c>
      <c r="F41" s="4"/>
      <c r="G41" s="4">
        <v>4.3922077363666746E-2</v>
      </c>
      <c r="H41" s="4">
        <v>2.7720703011871798E-2</v>
      </c>
      <c r="I41" s="4">
        <v>2.446761912059689E-2</v>
      </c>
      <c r="J41" s="4">
        <v>2.0571263135183485E-2</v>
      </c>
      <c r="K41" s="4">
        <v>1.3774328284817493E-2</v>
      </c>
      <c r="L41" s="4">
        <v>5.2386131896172373E-3</v>
      </c>
      <c r="M41" s="4">
        <v>2.1994759326933919E-3</v>
      </c>
    </row>
    <row r="42" spans="1:13">
      <c r="A42" s="39" t="s">
        <v>293</v>
      </c>
      <c r="B42" s="4">
        <v>7.0163564141150804E-4</v>
      </c>
      <c r="D42" s="4">
        <v>7.120791348809093E-4</v>
      </c>
      <c r="E42" s="4">
        <v>7.0019132540893761E-4</v>
      </c>
      <c r="F42" s="4"/>
      <c r="G42" s="4">
        <v>0</v>
      </c>
      <c r="H42" s="4">
        <v>2.0552784554046661E-4</v>
      </c>
      <c r="I42" s="4">
        <v>3.82372829973654E-4</v>
      </c>
      <c r="J42" s="4">
        <v>1.5426051207027852E-4</v>
      </c>
      <c r="K42" s="4">
        <v>1.719163899906107E-4</v>
      </c>
      <c r="L42" s="4">
        <v>4.8428397446764493E-4</v>
      </c>
      <c r="M42" s="4">
        <v>2.3565412981466504E-3</v>
      </c>
    </row>
    <row r="43" spans="1:13">
      <c r="A43" s="39" t="s">
        <v>294</v>
      </c>
      <c r="B43" s="4">
        <v>4.6162054358504156E-3</v>
      </c>
      <c r="D43" s="4">
        <v>3.1854828318768416E-3</v>
      </c>
      <c r="E43" s="4">
        <v>6.0633434598870405E-3</v>
      </c>
      <c r="F43" s="4"/>
      <c r="G43" s="4">
        <v>3.6091294406372233E-3</v>
      </c>
      <c r="H43" s="4">
        <v>3.1020450069515421E-3</v>
      </c>
      <c r="I43" s="4">
        <v>1.034583147905266E-2</v>
      </c>
      <c r="J43" s="4">
        <v>8.1735246247452292E-3</v>
      </c>
      <c r="K43" s="4">
        <v>3.6942257197844935E-3</v>
      </c>
      <c r="L43" s="4">
        <v>1.8106434055227515E-3</v>
      </c>
      <c r="M43" s="4">
        <v>3.7012401494525775E-4</v>
      </c>
    </row>
    <row r="44" spans="1:13">
      <c r="A44" s="39" t="s">
        <v>295</v>
      </c>
      <c r="B44" s="4">
        <v>1.8127289549449833E-4</v>
      </c>
      <c r="D44" s="4">
        <v>3.7018512530523823E-4</v>
      </c>
      <c r="E44" s="4">
        <v>0</v>
      </c>
      <c r="F44" s="4"/>
      <c r="G44" s="4">
        <v>0</v>
      </c>
      <c r="H44" s="4">
        <v>0</v>
      </c>
      <c r="I44" s="4">
        <v>6.4007989384477825E-4</v>
      </c>
      <c r="J44" s="4">
        <v>2.6871856491263857E-4</v>
      </c>
      <c r="K44" s="4">
        <v>1.4238321632125886E-4</v>
      </c>
      <c r="L44" s="4">
        <v>0</v>
      </c>
      <c r="M44" s="4">
        <v>0</v>
      </c>
    </row>
    <row r="45" spans="1:13">
      <c r="A45" s="39" t="s">
        <v>296</v>
      </c>
      <c r="B45" s="4">
        <v>1.0658487933097103E-2</v>
      </c>
      <c r="D45" s="4">
        <v>1.3225605191988496E-2</v>
      </c>
      <c r="E45" s="4">
        <v>8.1671159539510006E-3</v>
      </c>
      <c r="F45" s="4"/>
      <c r="G45" s="4">
        <v>7.7648123280822778E-3</v>
      </c>
      <c r="H45" s="4">
        <v>1.0192226140241975E-2</v>
      </c>
      <c r="I45" s="4">
        <v>1.245539746359396E-2</v>
      </c>
      <c r="J45" s="4">
        <v>1.0556811955442403E-2</v>
      </c>
      <c r="K45" s="4">
        <v>1.2530162272794004E-2</v>
      </c>
      <c r="L45" s="4">
        <v>1.2991559002641097E-2</v>
      </c>
      <c r="M45" s="4">
        <v>7.1353043109552029E-3</v>
      </c>
    </row>
    <row r="46" spans="1:13">
      <c r="A46" s="39" t="s">
        <v>297</v>
      </c>
      <c r="B46" s="4">
        <v>6.3288901120478582E-3</v>
      </c>
      <c r="D46" s="4">
        <v>1.4509187924507431E-3</v>
      </c>
      <c r="E46" s="4">
        <v>1.1024172310706393E-2</v>
      </c>
      <c r="F46" s="4"/>
      <c r="G46" s="4">
        <v>2.1044521806209908E-2</v>
      </c>
      <c r="H46" s="4">
        <v>1.6147586567311228E-2</v>
      </c>
      <c r="I46" s="4">
        <v>8.1817692803244964E-3</v>
      </c>
      <c r="J46" s="4">
        <v>5.4255690815876983E-3</v>
      </c>
      <c r="K46" s="4">
        <v>2.70000443070365E-3</v>
      </c>
      <c r="L46" s="4">
        <v>3.5780863806130778E-3</v>
      </c>
      <c r="M46" s="4">
        <v>1.7726695121303617E-3</v>
      </c>
    </row>
    <row r="47" spans="1:13">
      <c r="A47" s="39" t="s">
        <v>298</v>
      </c>
      <c r="B47" s="4">
        <v>1.0158134597708656E-2</v>
      </c>
      <c r="D47" s="4">
        <v>3.7586092449028376E-3</v>
      </c>
      <c r="E47" s="4">
        <v>1.641553807355842E-2</v>
      </c>
      <c r="F47" s="4"/>
      <c r="G47" s="4">
        <v>1.5812801964456478E-2</v>
      </c>
      <c r="H47" s="4">
        <v>1.2364299544812002E-2</v>
      </c>
      <c r="I47" s="4">
        <v>9.7335799025227571E-3</v>
      </c>
      <c r="J47" s="4">
        <v>1.2481101733375608E-2</v>
      </c>
      <c r="K47" s="4">
        <v>7.2849212745668794E-3</v>
      </c>
      <c r="L47" s="4">
        <v>7.7992880041429678E-3</v>
      </c>
      <c r="M47" s="4">
        <v>9.9593850188434592E-3</v>
      </c>
    </row>
    <row r="48" spans="1:13">
      <c r="A48" s="39" t="s">
        <v>299</v>
      </c>
      <c r="B48" s="4">
        <v>6.8546251222091474E-4</v>
      </c>
      <c r="D48" s="4">
        <v>9.1420797464193042E-4</v>
      </c>
      <c r="E48" s="4">
        <v>4.7174573975302368E-4</v>
      </c>
      <c r="F48" s="4"/>
      <c r="G48" s="4">
        <v>0</v>
      </c>
      <c r="H48" s="4">
        <v>2.1877778410093693E-4</v>
      </c>
      <c r="I48" s="4">
        <v>7.7414044237800975E-4</v>
      </c>
      <c r="J48" s="4">
        <v>5.7594860128146891E-4</v>
      </c>
      <c r="K48" s="4">
        <v>5.8610703884799382E-4</v>
      </c>
      <c r="L48" s="4">
        <v>4.2805989319409031E-4</v>
      </c>
      <c r="M48" s="4">
        <v>1.3303735615618347E-3</v>
      </c>
    </row>
    <row r="49" spans="1:13">
      <c r="A49" s="39" t="s">
        <v>300</v>
      </c>
      <c r="B49" s="4">
        <v>1.3190215024014328E-4</v>
      </c>
      <c r="D49" s="4">
        <v>1.4483626697756668E-4</v>
      </c>
      <c r="E49" s="4">
        <v>1.2097290440331025E-4</v>
      </c>
      <c r="F49" s="4"/>
      <c r="G49" s="4">
        <v>0</v>
      </c>
      <c r="H49" s="4">
        <v>3.7658903462039979E-4</v>
      </c>
      <c r="I49" s="4">
        <v>3.8472962758337746E-4</v>
      </c>
      <c r="J49" s="4">
        <v>1.3439029775958079E-4</v>
      </c>
      <c r="K49" s="4">
        <v>0</v>
      </c>
      <c r="L49" s="4">
        <v>0</v>
      </c>
      <c r="M49" s="4">
        <v>0</v>
      </c>
    </row>
    <row r="50" spans="1:13">
      <c r="A50" s="39" t="s">
        <v>301</v>
      </c>
      <c r="B50" s="4">
        <v>5.2225702268522906E-4</v>
      </c>
      <c r="D50" s="4">
        <v>4.4298812730262185E-4</v>
      </c>
      <c r="E50" s="4">
        <v>5.6536612580980364E-4</v>
      </c>
      <c r="F50" s="4"/>
      <c r="G50" s="4">
        <v>3.606103875900094E-3</v>
      </c>
      <c r="H50" s="4">
        <v>1.2572035107520176E-3</v>
      </c>
      <c r="I50" s="4">
        <v>1.0096789455330826E-3</v>
      </c>
      <c r="J50" s="4">
        <v>2.7881336895462959E-4</v>
      </c>
      <c r="K50" s="4">
        <v>0</v>
      </c>
      <c r="L50" s="4">
        <v>0</v>
      </c>
      <c r="M50" s="4">
        <v>0</v>
      </c>
    </row>
    <row r="51" spans="1:13">
      <c r="A51" s="39" t="s">
        <v>302</v>
      </c>
      <c r="B51" s="4">
        <v>4.3242121362195384E-4</v>
      </c>
      <c r="D51" s="4">
        <v>4.3046482993414954E-4</v>
      </c>
      <c r="E51" s="4">
        <v>4.3968431172954097E-4</v>
      </c>
      <c r="F51" s="4"/>
      <c r="G51" s="4">
        <v>0</v>
      </c>
      <c r="H51" s="4">
        <v>2.1255759697369898E-4</v>
      </c>
      <c r="I51" s="4">
        <v>3.5501379813755767E-4</v>
      </c>
      <c r="J51" s="4">
        <v>3.0026267924311968E-4</v>
      </c>
      <c r="K51" s="4">
        <v>6.5435271315473825E-4</v>
      </c>
      <c r="L51" s="4">
        <v>4.5908206074982063E-4</v>
      </c>
      <c r="M51" s="4">
        <v>6.323642902666323E-4</v>
      </c>
    </row>
    <row r="52" spans="1:13">
      <c r="A52" s="39" t="s">
        <v>303</v>
      </c>
      <c r="B52" s="4">
        <v>1.5367155622479176E-4</v>
      </c>
      <c r="D52" s="4">
        <v>1.7992221024311662E-4</v>
      </c>
      <c r="E52" s="4">
        <v>1.3007577828964007E-4</v>
      </c>
      <c r="F52" s="4"/>
      <c r="G52" s="4">
        <v>0</v>
      </c>
      <c r="H52" s="4">
        <v>6.118677292124981E-4</v>
      </c>
      <c r="I52" s="4">
        <v>2.3295334998914004E-4</v>
      </c>
      <c r="J52" s="4">
        <v>2.725914881039E-4</v>
      </c>
      <c r="K52" s="4">
        <v>0</v>
      </c>
      <c r="L52" s="4">
        <v>0</v>
      </c>
      <c r="M52" s="4">
        <v>0</v>
      </c>
    </row>
    <row r="53" spans="1:13">
      <c r="A53" s="39" t="s">
        <v>304</v>
      </c>
      <c r="B53" s="4">
        <v>2.2848739660818237E-3</v>
      </c>
      <c r="D53" s="4">
        <v>9.6927243431887977E-4</v>
      </c>
      <c r="E53" s="4">
        <v>3.5010620347006101E-3</v>
      </c>
      <c r="F53" s="4"/>
      <c r="G53" s="4">
        <v>1.8029999831592597E-3</v>
      </c>
      <c r="H53" s="4">
        <v>4.5532290615200892E-3</v>
      </c>
      <c r="I53" s="4">
        <v>3.2155889395859773E-3</v>
      </c>
      <c r="J53" s="4">
        <v>3.1881351028573849E-3</v>
      </c>
      <c r="K53" s="4">
        <v>2.1122312393303594E-3</v>
      </c>
      <c r="L53" s="4">
        <v>1.4897371611944819E-3</v>
      </c>
      <c r="M53" s="4">
        <v>3.4420072357520991E-4</v>
      </c>
    </row>
    <row r="54" spans="1:13">
      <c r="A54" s="39" t="s">
        <v>305</v>
      </c>
      <c r="B54" s="4">
        <v>1.056007679056123E-3</v>
      </c>
      <c r="D54" s="4">
        <v>1.6542270897780338E-3</v>
      </c>
      <c r="E54" s="4">
        <v>4.8795651520382616E-4</v>
      </c>
      <c r="F54" s="4"/>
      <c r="G54" s="4">
        <v>0</v>
      </c>
      <c r="H54" s="4">
        <v>2.8959982631697606E-3</v>
      </c>
      <c r="I54" s="4">
        <v>2.2834932840042443E-3</v>
      </c>
      <c r="J54" s="4">
        <v>1.4026562447912653E-3</v>
      </c>
      <c r="K54" s="4">
        <v>6.543804869294632E-4</v>
      </c>
      <c r="L54" s="4">
        <v>0</v>
      </c>
      <c r="M54" s="4">
        <v>0</v>
      </c>
    </row>
    <row r="55" spans="1:13">
      <c r="A55" s="39" t="s">
        <v>306</v>
      </c>
      <c r="B55" s="4">
        <v>3.2138681346430547E-4</v>
      </c>
      <c r="D55" s="4">
        <v>5.1454620205824758E-4</v>
      </c>
      <c r="E55" s="4">
        <v>1.3772555050075151E-4</v>
      </c>
      <c r="F55" s="4"/>
      <c r="G55" s="4">
        <v>1.6747656345766485E-3</v>
      </c>
      <c r="H55" s="4">
        <v>2.1401128332019839E-4</v>
      </c>
      <c r="I55" s="4">
        <v>4.1626010259148674E-4</v>
      </c>
      <c r="J55" s="4">
        <v>1.6455336529112643E-4</v>
      </c>
      <c r="K55" s="4">
        <v>4.7867304477272762E-4</v>
      </c>
      <c r="L55" s="4">
        <v>2.2541043207549517E-4</v>
      </c>
      <c r="M55" s="4">
        <v>8.6167189073995992E-5</v>
      </c>
    </row>
    <row r="56" spans="1:13">
      <c r="A56" s="39" t="s">
        <v>307</v>
      </c>
      <c r="B56" s="4">
        <v>1.123883356121133E-3</v>
      </c>
      <c r="D56" s="4">
        <v>1.9311752394641623E-3</v>
      </c>
      <c r="E56" s="4">
        <v>3.5356814036402966E-4</v>
      </c>
      <c r="F56" s="4"/>
      <c r="G56" s="4">
        <v>0</v>
      </c>
      <c r="H56" s="4">
        <v>4.816711346126732E-4</v>
      </c>
      <c r="I56" s="4">
        <v>1.3267558878749365E-3</v>
      </c>
      <c r="J56" s="4">
        <v>1.1886311085514594E-3</v>
      </c>
      <c r="K56" s="4">
        <v>1.1876403872621729E-3</v>
      </c>
      <c r="L56" s="4">
        <v>9.3624054239631565E-4</v>
      </c>
      <c r="M56" s="4">
        <v>1.5475366329138543E-3</v>
      </c>
    </row>
    <row r="57" spans="1:13">
      <c r="A57" s="39" t="s">
        <v>308</v>
      </c>
      <c r="B57" s="4">
        <v>0.11885525698432757</v>
      </c>
      <c r="D57" s="4">
        <v>9.1791623344904816E-2</v>
      </c>
      <c r="E57" s="4">
        <v>0.14586342998807275</v>
      </c>
      <c r="F57" s="4"/>
      <c r="G57" s="4">
        <v>0.10296797307185933</v>
      </c>
      <c r="H57" s="4">
        <v>0.13141038379158654</v>
      </c>
      <c r="I57" s="4">
        <v>0.14332983437863817</v>
      </c>
      <c r="J57" s="4">
        <v>0.12409914340160996</v>
      </c>
      <c r="K57" s="4">
        <v>0.10635578282755306</v>
      </c>
      <c r="L57" s="4">
        <v>0.10238889047885999</v>
      </c>
      <c r="M57" s="4">
        <v>0.11070236554498757</v>
      </c>
    </row>
    <row r="58" spans="1:13">
      <c r="A58" s="39" t="s">
        <v>309</v>
      </c>
      <c r="B58" s="4">
        <v>4.8786562120742515E-5</v>
      </c>
      <c r="D58" s="4">
        <v>4.859182785564456E-5</v>
      </c>
      <c r="E58" s="4">
        <v>4.9580751416965965E-5</v>
      </c>
      <c r="F58" s="4"/>
      <c r="G58" s="4">
        <v>0</v>
      </c>
      <c r="H58" s="4">
        <v>2.322271765654068E-4</v>
      </c>
      <c r="I58" s="4">
        <v>0</v>
      </c>
      <c r="J58" s="4">
        <v>0</v>
      </c>
      <c r="K58" s="4">
        <v>1.5697373741744975E-4</v>
      </c>
      <c r="L58" s="4">
        <v>0</v>
      </c>
      <c r="M58" s="4">
        <v>0</v>
      </c>
    </row>
    <row r="59" spans="1:13">
      <c r="A59" s="39" t="s">
        <v>310</v>
      </c>
      <c r="B59" s="4">
        <v>1.2141548560567514E-3</v>
      </c>
      <c r="D59" s="4">
        <v>1.7773533449648253E-3</v>
      </c>
      <c r="E59" s="4">
        <v>5.2600266735625958E-4</v>
      </c>
      <c r="F59" s="4"/>
      <c r="G59" s="4">
        <v>6.7495733447163093E-3</v>
      </c>
      <c r="H59" s="4">
        <v>3.7510195268006881E-3</v>
      </c>
      <c r="I59" s="4">
        <v>2.1206262602075617E-3</v>
      </c>
      <c r="J59" s="4">
        <v>4.0312146586185006E-4</v>
      </c>
      <c r="K59" s="4">
        <v>1.7313157060515509E-4</v>
      </c>
      <c r="L59" s="4">
        <v>2.7889284362018487E-4</v>
      </c>
      <c r="M59" s="4">
        <v>0</v>
      </c>
    </row>
    <row r="60" spans="1:13">
      <c r="A60" s="39" t="s">
        <v>311</v>
      </c>
      <c r="B60" s="4">
        <v>3.5275094234966095E-2</v>
      </c>
      <c r="D60" s="4">
        <v>5.5688139786607131E-2</v>
      </c>
      <c r="E60" s="4">
        <v>1.5444933608128068E-2</v>
      </c>
      <c r="F60" s="4"/>
      <c r="G60" s="4">
        <v>0.11439707194376733</v>
      </c>
      <c r="H60" s="4">
        <v>8.8929519237120294E-2</v>
      </c>
      <c r="I60" s="4">
        <v>5.4406490271490505E-2</v>
      </c>
      <c r="J60" s="4">
        <v>3.7880384047343098E-2</v>
      </c>
      <c r="K60" s="4">
        <v>2.351177841994952E-2</v>
      </c>
      <c r="L60" s="4">
        <v>5.6048657679009873E-3</v>
      </c>
      <c r="M60" s="4">
        <v>7.6928151647918594E-4</v>
      </c>
    </row>
    <row r="61" spans="1:13">
      <c r="A61" s="39" t="s">
        <v>312</v>
      </c>
      <c r="B61" s="4">
        <v>3.9236433666641119E-4</v>
      </c>
      <c r="D61" s="4">
        <v>5.7740954970567299E-4</v>
      </c>
      <c r="E61" s="4">
        <v>2.1746588766114098E-4</v>
      </c>
      <c r="F61" s="4"/>
      <c r="G61" s="4">
        <v>1.8868625727412175E-3</v>
      </c>
      <c r="H61" s="4">
        <v>5.6782375153148902E-4</v>
      </c>
      <c r="I61" s="4">
        <v>7.4476149959942014E-4</v>
      </c>
      <c r="J61" s="4">
        <v>4.3656029676571596E-4</v>
      </c>
      <c r="K61" s="4">
        <v>1.5382829019005016E-4</v>
      </c>
      <c r="L61" s="4">
        <v>0</v>
      </c>
      <c r="M61" s="4">
        <v>8.3968384411579682E-5</v>
      </c>
    </row>
    <row r="62" spans="1:13">
      <c r="A62" s="39" t="s">
        <v>313</v>
      </c>
      <c r="B62" s="4">
        <v>6.5703537956612027E-5</v>
      </c>
      <c r="D62" s="4">
        <v>1.3417600223748891E-4</v>
      </c>
      <c r="E62" s="4">
        <v>0</v>
      </c>
      <c r="F62" s="4"/>
      <c r="G62" s="4">
        <v>0</v>
      </c>
      <c r="H62" s="4">
        <v>0</v>
      </c>
      <c r="I62" s="4">
        <v>1.5457204604594501E-4</v>
      </c>
      <c r="J62" s="4">
        <v>0</v>
      </c>
      <c r="K62" s="4">
        <v>1.6555355150827522E-4</v>
      </c>
      <c r="L62" s="4">
        <v>9.3436426875240184E-5</v>
      </c>
      <c r="M62" s="4">
        <v>0</v>
      </c>
    </row>
    <row r="63" spans="1:13">
      <c r="A63" s="39" t="s">
        <v>314</v>
      </c>
      <c r="B63" s="4">
        <v>2.488392843763466E-5</v>
      </c>
      <c r="D63" s="4">
        <v>0</v>
      </c>
      <c r="E63" s="4">
        <v>4.936628999489488E-5</v>
      </c>
      <c r="F63" s="4"/>
      <c r="G63" s="4">
        <v>0</v>
      </c>
      <c r="H63" s="4">
        <v>0</v>
      </c>
      <c r="I63" s="4">
        <v>0</v>
      </c>
      <c r="J63" s="4">
        <v>1.4642546691031705E-4</v>
      </c>
      <c r="K63" s="4">
        <v>0</v>
      </c>
      <c r="L63" s="4">
        <v>0</v>
      </c>
      <c r="M63" s="4">
        <v>0</v>
      </c>
    </row>
    <row r="64" spans="1:13">
      <c r="A64" s="39" t="s">
        <v>315</v>
      </c>
      <c r="B64" s="4">
        <v>2.2676425527493226E-2</v>
      </c>
      <c r="D64" s="4">
        <v>3.7047875681534434E-2</v>
      </c>
      <c r="E64" s="4">
        <v>8.9963346583508026E-3</v>
      </c>
      <c r="F64" s="4"/>
      <c r="G64" s="4">
        <v>5.4980336194821958E-3</v>
      </c>
      <c r="H64" s="4">
        <v>1.0483949383829055E-2</v>
      </c>
      <c r="I64" s="4">
        <v>1.2568588655194583E-2</v>
      </c>
      <c r="J64" s="4">
        <v>1.180850284873626E-2</v>
      </c>
      <c r="K64" s="4">
        <v>2.4815759790175678E-2</v>
      </c>
      <c r="L64" s="4">
        <v>3.2545340172128241E-2</v>
      </c>
      <c r="M64" s="4">
        <v>4.1933781104409915E-2</v>
      </c>
    </row>
    <row r="65" spans="1:13">
      <c r="A65" s="39" t="s">
        <v>316</v>
      </c>
      <c r="B65" s="4">
        <v>2.6155612137352308E-4</v>
      </c>
      <c r="D65" s="4">
        <v>3.5977646731586116E-4</v>
      </c>
      <c r="E65" s="4">
        <v>1.6938248043609993E-4</v>
      </c>
      <c r="F65" s="4"/>
      <c r="G65" s="4">
        <v>0</v>
      </c>
      <c r="H65" s="4">
        <v>7.9657704559002787E-4</v>
      </c>
      <c r="I65" s="4">
        <v>8.4734568122804565E-4</v>
      </c>
      <c r="J65" s="4">
        <v>1.4642546691031705E-4</v>
      </c>
      <c r="K65" s="4">
        <v>0</v>
      </c>
      <c r="L65" s="4">
        <v>0</v>
      </c>
      <c r="M65" s="4">
        <v>0</v>
      </c>
    </row>
    <row r="66" spans="1:13">
      <c r="A66" s="39" t="s">
        <v>317</v>
      </c>
      <c r="B66" s="4">
        <v>7.5863051349530817E-5</v>
      </c>
      <c r="D66" s="4">
        <v>1.0282053275741644E-4</v>
      </c>
      <c r="E66" s="4">
        <v>5.0615698248852708E-5</v>
      </c>
      <c r="F66" s="4"/>
      <c r="G66" s="4">
        <v>0</v>
      </c>
      <c r="H66" s="4">
        <v>2.3992480889974122E-4</v>
      </c>
      <c r="I66" s="4">
        <v>1.3769512614221981E-4</v>
      </c>
      <c r="J66" s="4">
        <v>1.5013133962155984E-4</v>
      </c>
      <c r="K66" s="4">
        <v>0</v>
      </c>
      <c r="L66" s="4">
        <v>0</v>
      </c>
      <c r="M66" s="4">
        <v>0</v>
      </c>
    </row>
    <row r="67" spans="1:13">
      <c r="A67" s="39" t="s">
        <v>318</v>
      </c>
      <c r="B67" s="4">
        <v>3.1617200921994007E-3</v>
      </c>
      <c r="D67" s="4">
        <v>2.4987180345587999E-3</v>
      </c>
      <c r="E67" s="4">
        <v>3.7516388188005585E-3</v>
      </c>
      <c r="F67" s="4"/>
      <c r="G67" s="4">
        <v>7.8636906003179408E-3</v>
      </c>
      <c r="H67" s="4">
        <v>9.0545742475531734E-3</v>
      </c>
      <c r="I67" s="4">
        <v>4.1586177989507015E-3</v>
      </c>
      <c r="J67" s="4">
        <v>4.1664079972443908E-3</v>
      </c>
      <c r="K67" s="4">
        <v>2.2339229008497843E-3</v>
      </c>
      <c r="L67" s="4">
        <v>2.8707482473380697E-4</v>
      </c>
      <c r="M67" s="4">
        <v>5.4406799071575734E-5</v>
      </c>
    </row>
    <row r="68" spans="1:13">
      <c r="A68" s="39" t="s">
        <v>319</v>
      </c>
      <c r="B68" s="4">
        <v>7.2780261395932928E-4</v>
      </c>
      <c r="D68" s="4">
        <v>9.7451518940351719E-4</v>
      </c>
      <c r="E68" s="4">
        <v>4.9715655712442668E-4</v>
      </c>
      <c r="F68" s="4"/>
      <c r="G68" s="4">
        <v>7.3850269582922965E-3</v>
      </c>
      <c r="H68" s="4">
        <v>1.1068006273963877E-3</v>
      </c>
      <c r="I68" s="4">
        <v>7.5965963003405529E-4</v>
      </c>
      <c r="J68" s="4">
        <v>4.3724378043150471E-4</v>
      </c>
      <c r="K68" s="4">
        <v>4.7485131311111417E-4</v>
      </c>
      <c r="L68" s="4">
        <v>0</v>
      </c>
      <c r="M68" s="4">
        <v>0</v>
      </c>
    </row>
    <row r="69" spans="1:13">
      <c r="A69" s="39" t="s">
        <v>320</v>
      </c>
      <c r="B69" s="4">
        <v>1.352177289766975E-4</v>
      </c>
      <c r="D69" s="4">
        <v>1.4770812391015658E-4</v>
      </c>
      <c r="E69" s="4">
        <v>1.2476065884650642E-4</v>
      </c>
      <c r="F69" s="4"/>
      <c r="G69" s="4">
        <v>0</v>
      </c>
      <c r="H69" s="4">
        <v>2.1959238685301924E-4</v>
      </c>
      <c r="I69" s="4">
        <v>2.4404983792977692E-4</v>
      </c>
      <c r="J69" s="4">
        <v>0</v>
      </c>
      <c r="K69" s="4">
        <v>4.4932914692158931E-4</v>
      </c>
      <c r="L69" s="4">
        <v>0</v>
      </c>
      <c r="M69" s="4">
        <v>0</v>
      </c>
    </row>
    <row r="70" spans="1:13">
      <c r="A70" s="39" t="s">
        <v>321</v>
      </c>
      <c r="B70" s="4">
        <v>4.8972815205002677E-3</v>
      </c>
      <c r="D70" s="4">
        <v>5.0849464859804997E-3</v>
      </c>
      <c r="E70" s="4">
        <v>4.7757045182061173E-3</v>
      </c>
      <c r="F70" s="4"/>
      <c r="G70" s="4">
        <v>1.9088457677625115E-2</v>
      </c>
      <c r="H70" s="4">
        <v>9.7932919990161051E-3</v>
      </c>
      <c r="I70" s="4">
        <v>5.9301579554731235E-3</v>
      </c>
      <c r="J70" s="4">
        <v>4.7879072977629524E-3</v>
      </c>
      <c r="K70" s="4">
        <v>4.0162065407770607E-3</v>
      </c>
      <c r="L70" s="4">
        <v>1.7636886066420344E-3</v>
      </c>
      <c r="M70" s="4">
        <v>1.3059333297870061E-3</v>
      </c>
    </row>
    <row r="71" spans="1:13">
      <c r="A71" s="39" t="s">
        <v>322</v>
      </c>
      <c r="B71" s="4">
        <v>4.0305707868525174E-4</v>
      </c>
      <c r="D71" s="4">
        <v>6.0904918692637462E-4</v>
      </c>
      <c r="E71" s="4">
        <v>2.0794213695069411E-4</v>
      </c>
      <c r="F71" s="4"/>
      <c r="G71" s="4">
        <v>0</v>
      </c>
      <c r="H71" s="4">
        <v>5.7144738288568333E-4</v>
      </c>
      <c r="I71" s="4">
        <v>6.8530937381538917E-4</v>
      </c>
      <c r="J71" s="4">
        <v>7.4671346823783173E-4</v>
      </c>
      <c r="K71" s="4">
        <v>4.5836380145479033E-4</v>
      </c>
      <c r="L71" s="4">
        <v>1.6509752635230358E-4</v>
      </c>
      <c r="M71" s="4">
        <v>0</v>
      </c>
    </row>
    <row r="72" spans="1:13">
      <c r="A72" s="39" t="s">
        <v>323</v>
      </c>
      <c r="B72" s="4">
        <v>4.4801219195979969E-4</v>
      </c>
      <c r="D72" s="4">
        <v>6.1283957524598551E-4</v>
      </c>
      <c r="E72" s="4">
        <v>1.5240427947194171E-4</v>
      </c>
      <c r="F72" s="4"/>
      <c r="G72" s="4">
        <v>0</v>
      </c>
      <c r="H72" s="4">
        <v>1.0267234906637254E-3</v>
      </c>
      <c r="I72" s="4">
        <v>6.0906038284307021E-4</v>
      </c>
      <c r="J72" s="4">
        <v>8.1015808503914766E-4</v>
      </c>
      <c r="K72" s="4">
        <v>4.5843165151416659E-4</v>
      </c>
      <c r="L72" s="4">
        <v>0</v>
      </c>
      <c r="M72" s="4">
        <v>1.0478542982151185E-4</v>
      </c>
    </row>
    <row r="73" spans="1:13">
      <c r="A73" s="39" t="s">
        <v>324</v>
      </c>
      <c r="B73" s="4">
        <v>6.8260404321679151E-5</v>
      </c>
      <c r="D73" s="4">
        <v>0</v>
      </c>
      <c r="E73" s="4">
        <v>1.3541924955130203E-4</v>
      </c>
      <c r="F73" s="4"/>
      <c r="G73" s="4">
        <v>0</v>
      </c>
      <c r="H73" s="4">
        <v>1.8689510927914006E-4</v>
      </c>
      <c r="I73" s="4">
        <v>0</v>
      </c>
      <c r="J73" s="4">
        <v>2.8331302595170171E-4</v>
      </c>
      <c r="K73" s="4">
        <v>0</v>
      </c>
      <c r="L73" s="4">
        <v>0</v>
      </c>
      <c r="M73" s="4">
        <v>0</v>
      </c>
    </row>
    <row r="74" spans="1:13">
      <c r="A74" s="39" t="s">
        <v>325</v>
      </c>
      <c r="B74" s="4">
        <v>6.9020421120157981E-4</v>
      </c>
      <c r="D74" s="4">
        <v>3.6898962171030017E-4</v>
      </c>
      <c r="E74" s="4">
        <v>9.7711837025741318E-4</v>
      </c>
      <c r="F74" s="4"/>
      <c r="G74" s="4">
        <v>4.7626379154338573E-3</v>
      </c>
      <c r="H74" s="4">
        <v>1.7026030328750295E-3</v>
      </c>
      <c r="I74" s="4">
        <v>5.9487447677003037E-4</v>
      </c>
      <c r="J74" s="4">
        <v>2.4193420241142482E-4</v>
      </c>
      <c r="K74" s="4">
        <v>7.7559653355760492E-4</v>
      </c>
      <c r="L74" s="4">
        <v>2.243124591272629E-4</v>
      </c>
      <c r="M74" s="4">
        <v>0</v>
      </c>
    </row>
    <row r="75" spans="1:13">
      <c r="A75" s="39" t="s">
        <v>326</v>
      </c>
      <c r="B75" s="4">
        <v>3.3990681050864393E-4</v>
      </c>
      <c r="D75" s="4">
        <v>3.9365388407833581E-4</v>
      </c>
      <c r="E75" s="4">
        <v>2.9190887110779957E-4</v>
      </c>
      <c r="F75" s="4"/>
      <c r="G75" s="4">
        <v>1.9214364120682056E-3</v>
      </c>
      <c r="H75" s="4">
        <v>2.2539800666292848E-4</v>
      </c>
      <c r="I75" s="4">
        <v>5.100606338246114E-4</v>
      </c>
      <c r="J75" s="4">
        <v>1.4137619291880807E-4</v>
      </c>
      <c r="K75" s="4">
        <v>5.0020812580167445E-4</v>
      </c>
      <c r="L75" s="4">
        <v>2.8474277859746769E-4</v>
      </c>
      <c r="M75" s="4">
        <v>0</v>
      </c>
    </row>
    <row r="76" spans="1:13">
      <c r="A76" s="39" t="s">
        <v>327</v>
      </c>
      <c r="B76" s="4">
        <v>2.6706727862857172E-4</v>
      </c>
      <c r="D76" s="4">
        <v>4.6368217790635375E-4</v>
      </c>
      <c r="E76" s="4">
        <v>7.9375493066443623E-5</v>
      </c>
      <c r="F76" s="4"/>
      <c r="G76" s="4">
        <v>0</v>
      </c>
      <c r="H76" s="4">
        <v>9.0385502910774005E-4</v>
      </c>
      <c r="I76" s="4">
        <v>4.0476271909235275E-4</v>
      </c>
      <c r="J76" s="4">
        <v>1.1875531497864099E-4</v>
      </c>
      <c r="K76" s="4">
        <v>1.3866008049205622E-4</v>
      </c>
      <c r="L76" s="4">
        <v>0</v>
      </c>
      <c r="M76" s="4">
        <v>2.7092506879880279E-4</v>
      </c>
    </row>
    <row r="77" spans="1:13">
      <c r="A77" s="39" t="s">
        <v>328</v>
      </c>
      <c r="B77" s="4">
        <v>1.6643383626831943E-3</v>
      </c>
      <c r="D77" s="4">
        <v>2.8102878647266617E-3</v>
      </c>
      <c r="E77" s="4">
        <v>5.7173271169842603E-4</v>
      </c>
      <c r="F77" s="4"/>
      <c r="G77" s="4">
        <v>2.1438458406371139E-3</v>
      </c>
      <c r="H77" s="4">
        <v>2.7961259952200097E-3</v>
      </c>
      <c r="I77" s="4">
        <v>3.4075186944480841E-3</v>
      </c>
      <c r="J77" s="4">
        <v>1.8871272403007335E-3</v>
      </c>
      <c r="K77" s="4">
        <v>1.7125955393205053E-3</v>
      </c>
      <c r="L77" s="4">
        <v>4.303851708591648E-4</v>
      </c>
      <c r="M77" s="4">
        <v>1.00422355086879E-4</v>
      </c>
    </row>
    <row r="78" spans="1:13">
      <c r="A78" s="39" t="s">
        <v>329</v>
      </c>
      <c r="B78" s="4">
        <v>2.1822603861034839E-3</v>
      </c>
      <c r="D78" s="4">
        <v>2.3400757303933396E-3</v>
      </c>
      <c r="E78" s="4">
        <v>2.0560115786961079E-3</v>
      </c>
      <c r="F78" s="4"/>
      <c r="G78" s="4">
        <v>6.8290717027281898E-3</v>
      </c>
      <c r="H78" s="4">
        <v>3.3683164818885765E-3</v>
      </c>
      <c r="I78" s="4">
        <v>2.133219829673448E-3</v>
      </c>
      <c r="J78" s="4">
        <v>2.5200542534153771E-3</v>
      </c>
      <c r="K78" s="4">
        <v>3.3843431345371507E-3</v>
      </c>
      <c r="L78" s="4">
        <v>8.8708772223732837E-4</v>
      </c>
      <c r="M78" s="4">
        <v>3.4487221916751571E-4</v>
      </c>
    </row>
    <row r="79" spans="1:13">
      <c r="A79" s="39" t="s">
        <v>330</v>
      </c>
      <c r="B79" s="4">
        <v>1.7710718497103599E-4</v>
      </c>
      <c r="D79" s="4">
        <v>3.6167814985308051E-4</v>
      </c>
      <c r="E79" s="4">
        <v>0</v>
      </c>
      <c r="F79" s="4"/>
      <c r="G79" s="4">
        <v>1.9978298982330075E-3</v>
      </c>
      <c r="H79" s="4">
        <v>0</v>
      </c>
      <c r="I79" s="4">
        <v>3.5797660617465905E-4</v>
      </c>
      <c r="J79" s="4">
        <v>0</v>
      </c>
      <c r="K79" s="4">
        <v>1.6396737700738806E-4</v>
      </c>
      <c r="L79" s="4">
        <v>0</v>
      </c>
      <c r="M79" s="4">
        <v>0</v>
      </c>
    </row>
    <row r="80" spans="1:13">
      <c r="A80" s="39" t="s">
        <v>331</v>
      </c>
      <c r="B80" s="4">
        <v>7.026883577246332E-5</v>
      </c>
      <c r="D80" s="4">
        <v>1.4349899197297272E-4</v>
      </c>
      <c r="E80" s="4">
        <v>0</v>
      </c>
      <c r="F80" s="4"/>
      <c r="G80" s="4">
        <v>0</v>
      </c>
      <c r="H80" s="4">
        <v>0</v>
      </c>
      <c r="I80" s="4">
        <v>2.8054042309107711E-4</v>
      </c>
      <c r="J80" s="4">
        <v>0</v>
      </c>
      <c r="K80" s="4">
        <v>0</v>
      </c>
      <c r="L80" s="4">
        <v>1.4504276731423931E-4</v>
      </c>
      <c r="M80" s="4">
        <v>0</v>
      </c>
    </row>
    <row r="81" spans="1:13">
      <c r="A81" s="39" t="s">
        <v>332</v>
      </c>
      <c r="B81" s="4">
        <v>0</v>
      </c>
      <c r="D81" s="4">
        <v>0</v>
      </c>
      <c r="E81" s="4">
        <v>0</v>
      </c>
      <c r="F81" s="4"/>
      <c r="G81" s="4">
        <v>0</v>
      </c>
      <c r="H81" s="4">
        <v>0</v>
      </c>
      <c r="I81" s="4">
        <v>0</v>
      </c>
      <c r="J81" s="4">
        <v>0</v>
      </c>
      <c r="K81" s="4">
        <v>0</v>
      </c>
      <c r="L81" s="4">
        <v>0</v>
      </c>
      <c r="M81" s="4">
        <v>0</v>
      </c>
    </row>
    <row r="82" spans="1:13">
      <c r="A82" s="39" t="s">
        <v>333</v>
      </c>
      <c r="B82" s="4">
        <v>1.1148766268737833E-4</v>
      </c>
      <c r="D82" s="4">
        <v>1.7996125258403598E-4</v>
      </c>
      <c r="E82" s="4">
        <v>4.6350809890886616E-5</v>
      </c>
      <c r="F82" s="4"/>
      <c r="G82" s="4">
        <v>0</v>
      </c>
      <c r="H82" s="4">
        <v>0</v>
      </c>
      <c r="I82" s="4">
        <v>3.4766516397840452E-4</v>
      </c>
      <c r="J82" s="4">
        <v>1.3309074185833552E-4</v>
      </c>
      <c r="K82" s="4">
        <v>1.7770535981007107E-4</v>
      </c>
      <c r="L82" s="4">
        <v>0</v>
      </c>
      <c r="M82" s="4">
        <v>0</v>
      </c>
    </row>
    <row r="83" spans="1:13">
      <c r="A83" s="39" t="s">
        <v>334</v>
      </c>
      <c r="B83" s="4">
        <v>3.31166940072754E-4</v>
      </c>
      <c r="D83" s="4">
        <v>3.2436094240906847E-4</v>
      </c>
      <c r="E83" s="4">
        <v>3.418855741880285E-4</v>
      </c>
      <c r="F83" s="4"/>
      <c r="G83" s="4">
        <v>1.2829379825219887E-3</v>
      </c>
      <c r="H83" s="4">
        <v>1.1763948681898526E-3</v>
      </c>
      <c r="I83" s="4">
        <v>0</v>
      </c>
      <c r="J83" s="4">
        <v>5.8979056674515068E-4</v>
      </c>
      <c r="K83" s="4">
        <v>3.1344826922249155E-4</v>
      </c>
      <c r="L83" s="4">
        <v>0</v>
      </c>
      <c r="M83" s="4">
        <v>0</v>
      </c>
    </row>
    <row r="84" spans="1:13">
      <c r="A84" s="39" t="s">
        <v>335</v>
      </c>
      <c r="B84" s="4">
        <v>4.7627153690549643E-5</v>
      </c>
      <c r="D84" s="4">
        <v>4.7205304152869421E-5</v>
      </c>
      <c r="E84" s="4">
        <v>4.862759858912184E-5</v>
      </c>
      <c r="F84" s="4"/>
      <c r="G84" s="4">
        <v>0</v>
      </c>
      <c r="H84" s="4">
        <v>0</v>
      </c>
      <c r="I84" s="4">
        <v>1.2976133064057546E-4</v>
      </c>
      <c r="J84" s="4">
        <v>1.4423443262347592E-4</v>
      </c>
      <c r="K84" s="4">
        <v>0</v>
      </c>
      <c r="L84" s="4">
        <v>0</v>
      </c>
      <c r="M84" s="4">
        <v>0</v>
      </c>
    </row>
    <row r="85" spans="1:13">
      <c r="A85" s="39" t="s">
        <v>336</v>
      </c>
      <c r="B85" s="4">
        <v>9.7981070176962289E-4</v>
      </c>
      <c r="D85" s="4">
        <v>1.4517354151004271E-3</v>
      </c>
      <c r="E85" s="4">
        <v>5.3350499976307156E-4</v>
      </c>
      <c r="F85" s="4"/>
      <c r="G85" s="4">
        <v>3.2029802284760196E-3</v>
      </c>
      <c r="H85" s="4">
        <v>6.4740574304374197E-4</v>
      </c>
      <c r="I85" s="4">
        <v>6.9388533671080289E-4</v>
      </c>
      <c r="J85" s="4">
        <v>7.190451017891487E-4</v>
      </c>
      <c r="K85" s="4">
        <v>2.1015853138794949E-3</v>
      </c>
      <c r="L85" s="4">
        <v>8.0053361008900468E-4</v>
      </c>
      <c r="M85" s="4">
        <v>4.4076036515107133E-4</v>
      </c>
    </row>
    <row r="86" spans="1:13">
      <c r="A86" s="39" t="s">
        <v>337</v>
      </c>
      <c r="B86" s="4">
        <v>7.4747482272213438E-5</v>
      </c>
      <c r="D86" s="4">
        <v>4.7205304152869421E-5</v>
      </c>
      <c r="E86" s="4">
        <v>1.0243059874139657E-4</v>
      </c>
      <c r="F86" s="4"/>
      <c r="G86" s="4">
        <v>0</v>
      </c>
      <c r="H86" s="4">
        <v>0</v>
      </c>
      <c r="I86" s="4">
        <v>1.2976133064057546E-4</v>
      </c>
      <c r="J86" s="4">
        <v>1.4423443262347592E-4</v>
      </c>
      <c r="K86" s="4">
        <v>1.7891419625762331E-4</v>
      </c>
      <c r="L86" s="4">
        <v>0</v>
      </c>
      <c r="M86" s="4">
        <v>0</v>
      </c>
    </row>
    <row r="87" spans="1:13">
      <c r="A87" s="39" t="s">
        <v>338</v>
      </c>
      <c r="B87" s="4">
        <v>0</v>
      </c>
      <c r="D87" s="4">
        <v>0</v>
      </c>
      <c r="E87" s="4">
        <v>0</v>
      </c>
      <c r="F87" s="4"/>
      <c r="G87" s="4">
        <v>0</v>
      </c>
      <c r="H87" s="4">
        <v>0</v>
      </c>
      <c r="I87" s="4">
        <v>0</v>
      </c>
      <c r="J87" s="4">
        <v>0</v>
      </c>
      <c r="K87" s="4">
        <v>0</v>
      </c>
      <c r="L87" s="4">
        <v>0</v>
      </c>
      <c r="M87" s="4">
        <v>0</v>
      </c>
    </row>
    <row r="88" spans="1:13">
      <c r="A88" s="39" t="s">
        <v>339</v>
      </c>
      <c r="B88" s="4">
        <v>4.5041298402790694E-3</v>
      </c>
      <c r="D88" s="4">
        <v>3.6059704949762193E-3</v>
      </c>
      <c r="E88" s="4">
        <v>5.4325134552125811E-3</v>
      </c>
      <c r="F88" s="4"/>
      <c r="G88" s="4">
        <v>5.3950440760843349E-3</v>
      </c>
      <c r="H88" s="4">
        <v>2.2388909339425412E-3</v>
      </c>
      <c r="I88" s="4">
        <v>3.6923966345698391E-3</v>
      </c>
      <c r="J88" s="4">
        <v>3.5024449604782997E-3</v>
      </c>
      <c r="K88" s="4">
        <v>2.3433868887210072E-3</v>
      </c>
      <c r="L88" s="4">
        <v>4.4463065661667443E-3</v>
      </c>
      <c r="M88" s="4">
        <v>8.6035355748549126E-3</v>
      </c>
    </row>
    <row r="89" spans="1:13">
      <c r="A89" s="39" t="s">
        <v>340</v>
      </c>
      <c r="B89" s="4">
        <v>7.7729563611640933E-4</v>
      </c>
      <c r="D89" s="4">
        <v>1.1440760840205524E-3</v>
      </c>
      <c r="E89" s="4">
        <v>4.3062207476195154E-4</v>
      </c>
      <c r="F89" s="4"/>
      <c r="G89" s="4">
        <v>2.1771350946772541E-3</v>
      </c>
      <c r="H89" s="4">
        <v>1.3923600662477994E-3</v>
      </c>
      <c r="I89" s="4">
        <v>1.535362315778174E-3</v>
      </c>
      <c r="J89" s="4">
        <v>1.2414768993492999E-3</v>
      </c>
      <c r="K89" s="4">
        <v>1.8154525157706912E-4</v>
      </c>
      <c r="L89" s="4">
        <v>0</v>
      </c>
      <c r="M89" s="4">
        <v>9.1217649226118562E-5</v>
      </c>
    </row>
    <row r="90" spans="1:13">
      <c r="A90" s="39" t="s">
        <v>341</v>
      </c>
      <c r="B90" s="4">
        <v>5.0734800490106166E-5</v>
      </c>
      <c r="D90" s="4">
        <v>1.0360770387394307E-4</v>
      </c>
      <c r="E90" s="4">
        <v>0</v>
      </c>
      <c r="F90" s="4"/>
      <c r="G90" s="4">
        <v>0</v>
      </c>
      <c r="H90" s="4">
        <v>2.1158152613515407E-4</v>
      </c>
      <c r="I90" s="4">
        <v>0</v>
      </c>
      <c r="J90" s="4">
        <v>1.6455336529112643E-4</v>
      </c>
      <c r="K90" s="4">
        <v>0</v>
      </c>
      <c r="L90" s="4">
        <v>0</v>
      </c>
      <c r="M90" s="4">
        <v>0</v>
      </c>
    </row>
    <row r="91" spans="1:13">
      <c r="A91" s="39" t="s">
        <v>342</v>
      </c>
      <c r="B91" s="4">
        <v>3.2864780771122331E-3</v>
      </c>
      <c r="D91" s="4">
        <v>5.2495726904859636E-3</v>
      </c>
      <c r="E91" s="4">
        <v>1.3715639150819869E-3</v>
      </c>
      <c r="F91" s="4"/>
      <c r="G91" s="4">
        <v>7.26872910858389E-3</v>
      </c>
      <c r="H91" s="4">
        <v>5.6510286535872041E-3</v>
      </c>
      <c r="I91" s="4">
        <v>6.1588088411445906E-3</v>
      </c>
      <c r="J91" s="4">
        <v>3.8659295728722606E-3</v>
      </c>
      <c r="K91" s="4">
        <v>1.0583791980845398E-3</v>
      </c>
      <c r="L91" s="4">
        <v>2.1254462383501747E-3</v>
      </c>
      <c r="M91" s="4">
        <v>6.9285043979163113E-4</v>
      </c>
    </row>
    <row r="92" spans="1:13">
      <c r="A92" s="39" t="s">
        <v>343</v>
      </c>
      <c r="B92" s="4">
        <v>1.5963125955453122E-3</v>
      </c>
      <c r="D92" s="4">
        <v>2.8561477819724988E-3</v>
      </c>
      <c r="E92" s="4">
        <v>3.9222782035381503E-4</v>
      </c>
      <c r="F92" s="4"/>
      <c r="G92" s="4">
        <v>1.8874498477793875E-3</v>
      </c>
      <c r="H92" s="4">
        <v>4.0722697476851186E-3</v>
      </c>
      <c r="I92" s="4">
        <v>2.6460832844023884E-3</v>
      </c>
      <c r="J92" s="4">
        <v>1.6296762511005627E-3</v>
      </c>
      <c r="K92" s="4">
        <v>1.0534581166391213E-3</v>
      </c>
      <c r="L92" s="4">
        <v>7.906719749621008E-4</v>
      </c>
      <c r="M92" s="4">
        <v>2.6775364708051539E-4</v>
      </c>
    </row>
    <row r="93" spans="1:13">
      <c r="A93" s="39" t="s">
        <v>344</v>
      </c>
      <c r="B93" s="4">
        <v>1.1622158219654437E-3</v>
      </c>
      <c r="D93" s="4">
        <v>2.2340289923494811E-3</v>
      </c>
      <c r="E93" s="4">
        <v>1.3540381154996848E-4</v>
      </c>
      <c r="F93" s="4"/>
      <c r="G93" s="4">
        <v>9.0278137019979849E-3</v>
      </c>
      <c r="H93" s="4">
        <v>1.865272566725954E-3</v>
      </c>
      <c r="I93" s="4">
        <v>2.5422262485845563E-4</v>
      </c>
      <c r="J93" s="4">
        <v>1.2380384970612935E-3</v>
      </c>
      <c r="K93" s="4">
        <v>1.0582843369871589E-3</v>
      </c>
      <c r="L93" s="4">
        <v>3.6600344621919359E-4</v>
      </c>
      <c r="M93" s="4">
        <v>4.5239713118993332E-4</v>
      </c>
    </row>
    <row r="94" spans="1:13">
      <c r="A94" s="39" t="s">
        <v>345</v>
      </c>
      <c r="B94" s="4">
        <v>1.9627564418319866E-4</v>
      </c>
      <c r="D94" s="4">
        <v>2.524893095343979E-4</v>
      </c>
      <c r="E94" s="4">
        <v>1.4410030600956565E-4</v>
      </c>
      <c r="F94" s="4"/>
      <c r="G94" s="4">
        <v>0</v>
      </c>
      <c r="H94" s="4">
        <v>2.2121286684996289E-4</v>
      </c>
      <c r="I94" s="4">
        <v>7.8239085140203253E-4</v>
      </c>
      <c r="J94" s="4">
        <v>0</v>
      </c>
      <c r="K94" s="4">
        <v>1.421555139285151E-4</v>
      </c>
      <c r="L94" s="4">
        <v>0</v>
      </c>
      <c r="M94" s="4">
        <v>5.5374004604258925E-5</v>
      </c>
    </row>
    <row r="95" spans="1:13">
      <c r="A95" s="39" t="s">
        <v>346</v>
      </c>
      <c r="B95" s="4">
        <v>8.7494556416374753E-4</v>
      </c>
      <c r="D95" s="4">
        <v>9.4940679036484711E-4</v>
      </c>
      <c r="E95" s="4">
        <v>7.6353293437478168E-4</v>
      </c>
      <c r="F95" s="4"/>
      <c r="G95" s="4">
        <v>0</v>
      </c>
      <c r="H95" s="4">
        <v>2.3272317191890641E-3</v>
      </c>
      <c r="I95" s="4">
        <v>1.4063397793848424E-3</v>
      </c>
      <c r="J95" s="4">
        <v>1.7959787012873682E-3</v>
      </c>
      <c r="K95" s="4">
        <v>1.6396737700738806E-4</v>
      </c>
      <c r="L95" s="4">
        <v>1.8008524837260628E-4</v>
      </c>
      <c r="M95" s="4">
        <v>8.9696033754716459E-5</v>
      </c>
    </row>
    <row r="96" spans="1:13">
      <c r="A96" s="39" t="s">
        <v>347</v>
      </c>
      <c r="B96" s="4">
        <v>1.7440351434637565E-2</v>
      </c>
      <c r="D96" s="4">
        <v>5.0236052954884518E-3</v>
      </c>
      <c r="E96" s="4">
        <v>2.9518285179853446E-2</v>
      </c>
      <c r="F96" s="4"/>
      <c r="G96" s="4">
        <v>7.2338899090096873E-2</v>
      </c>
      <c r="H96" s="4">
        <v>4.912496153657718E-2</v>
      </c>
      <c r="I96" s="4">
        <v>2.5776361928516168E-2</v>
      </c>
      <c r="J96" s="4">
        <v>1.5790846876924017E-2</v>
      </c>
      <c r="K96" s="4">
        <v>8.2159469804378906E-3</v>
      </c>
      <c r="L96" s="4">
        <v>2.5080144273923683E-3</v>
      </c>
      <c r="M96" s="4">
        <v>3.7456605734328757E-4</v>
      </c>
    </row>
    <row r="97" spans="1:13">
      <c r="A97" s="39" t="s">
        <v>348</v>
      </c>
      <c r="B97" s="4">
        <v>3.0649996376314032E-4</v>
      </c>
      <c r="D97" s="4">
        <v>2.4685722496213075E-4</v>
      </c>
      <c r="E97" s="4">
        <v>3.6824154077223325E-4</v>
      </c>
      <c r="F97" s="4"/>
      <c r="G97" s="4">
        <v>0</v>
      </c>
      <c r="H97" s="4">
        <v>5.2830351697517484E-4</v>
      </c>
      <c r="I97" s="4">
        <v>7.0647138255796661E-4</v>
      </c>
      <c r="J97" s="4">
        <v>1.3178881707850892E-4</v>
      </c>
      <c r="K97" s="4">
        <v>5.5764176305007223E-4</v>
      </c>
      <c r="L97" s="4">
        <v>0</v>
      </c>
      <c r="M97" s="4">
        <v>8.0900819948873611E-5</v>
      </c>
    </row>
    <row r="98" spans="1:13">
      <c r="A98" s="39" t="s">
        <v>349</v>
      </c>
      <c r="B98" s="4">
        <v>2.6422148369220801E-4</v>
      </c>
      <c r="D98" s="4">
        <v>3.0852987425551367E-4</v>
      </c>
      <c r="E98" s="4">
        <v>2.2445426868781491E-4</v>
      </c>
      <c r="F98" s="4"/>
      <c r="G98" s="4">
        <v>0</v>
      </c>
      <c r="H98" s="4">
        <v>2.1315773198817193E-4</v>
      </c>
      <c r="I98" s="4">
        <v>1.2877427510289338E-4</v>
      </c>
      <c r="J98" s="4">
        <v>1.2475057797913972E-4</v>
      </c>
      <c r="K98" s="4">
        <v>5.8834282887825677E-4</v>
      </c>
      <c r="L98" s="4">
        <v>5.2567102118573276E-4</v>
      </c>
      <c r="M98" s="4">
        <v>1.6502504573083246E-4</v>
      </c>
    </row>
    <row r="99" spans="1:13">
      <c r="A99" s="39" t="s">
        <v>350</v>
      </c>
      <c r="B99" s="4">
        <v>1.9816567552802719E-4</v>
      </c>
      <c r="D99" s="4">
        <v>3.1828499376923325E-4</v>
      </c>
      <c r="E99" s="4">
        <v>8.393191457093978E-5</v>
      </c>
      <c r="F99" s="4"/>
      <c r="G99" s="4">
        <v>0</v>
      </c>
      <c r="H99" s="4">
        <v>0</v>
      </c>
      <c r="I99" s="4">
        <v>5.0714967863703516E-4</v>
      </c>
      <c r="J99" s="4">
        <v>0</v>
      </c>
      <c r="K99" s="4">
        <v>0</v>
      </c>
      <c r="L99" s="4">
        <v>6.3781404645489267E-4</v>
      </c>
      <c r="M99" s="4">
        <v>8.9121659847015788E-5</v>
      </c>
    </row>
    <row r="100" spans="1:13">
      <c r="A100" s="39" t="s">
        <v>351</v>
      </c>
      <c r="B100" s="4">
        <v>2.1803480172939357E-3</v>
      </c>
      <c r="D100" s="4">
        <v>2.2274298907927182E-3</v>
      </c>
      <c r="E100" s="4">
        <v>2.1616487632584876E-3</v>
      </c>
      <c r="F100" s="4"/>
      <c r="G100" s="4">
        <v>1.9978298982330075E-3</v>
      </c>
      <c r="H100" s="4">
        <v>8.432453949328695E-3</v>
      </c>
      <c r="I100" s="4">
        <v>4.2549545826848726E-3</v>
      </c>
      <c r="J100" s="4">
        <v>1.8097017701524637E-3</v>
      </c>
      <c r="K100" s="4">
        <v>6.6806970245375042E-4</v>
      </c>
      <c r="L100" s="4">
        <v>0</v>
      </c>
      <c r="M100" s="4">
        <v>8.4341852122296577E-5</v>
      </c>
    </row>
    <row r="101" spans="1:13">
      <c r="A101" s="39" t="s">
        <v>352</v>
      </c>
      <c r="B101" s="4">
        <v>7.4609114470687652E-4</v>
      </c>
      <c r="D101" s="4">
        <v>7.7739850686539547E-4</v>
      </c>
      <c r="E101" s="4">
        <v>7.2492969218117059E-4</v>
      </c>
      <c r="F101" s="4"/>
      <c r="G101" s="4">
        <v>0</v>
      </c>
      <c r="H101" s="4">
        <v>4.3630440189068532E-4</v>
      </c>
      <c r="I101" s="4">
        <v>1.4011933230226783E-3</v>
      </c>
      <c r="J101" s="4">
        <v>4.520179174196649E-4</v>
      </c>
      <c r="K101" s="4">
        <v>9.42474299476483E-4</v>
      </c>
      <c r="L101" s="4">
        <v>9.5252201856804632E-4</v>
      </c>
      <c r="M101" s="4">
        <v>4.6317321064461616E-4</v>
      </c>
    </row>
    <row r="102" spans="1:13">
      <c r="A102" s="39" t="s">
        <v>353</v>
      </c>
      <c r="B102" s="4">
        <v>2.7404978619331819E-4</v>
      </c>
      <c r="D102" s="4">
        <v>3.488286953781635E-4</v>
      </c>
      <c r="E102" s="4">
        <v>2.0480352784221854E-4</v>
      </c>
      <c r="F102" s="4"/>
      <c r="G102" s="4">
        <v>0</v>
      </c>
      <c r="H102" s="4">
        <v>4.0105431348172276E-4</v>
      </c>
      <c r="I102" s="4">
        <v>1.008273999022358E-3</v>
      </c>
      <c r="J102" s="4">
        <v>0</v>
      </c>
      <c r="K102" s="4">
        <v>3.3826825268789737E-4</v>
      </c>
      <c r="L102" s="4">
        <v>0</v>
      </c>
      <c r="M102" s="4">
        <v>0</v>
      </c>
    </row>
    <row r="103" spans="1:13">
      <c r="A103" s="39" t="s">
        <v>354</v>
      </c>
      <c r="B103" s="4">
        <v>1.5766041673079967E-4</v>
      </c>
      <c r="D103" s="4">
        <v>2.7190893210112731E-4</v>
      </c>
      <c r="E103" s="4">
        <v>4.862759858912184E-5</v>
      </c>
      <c r="F103" s="4"/>
      <c r="G103" s="4">
        <v>1.8868625727412175E-3</v>
      </c>
      <c r="H103" s="4">
        <v>2.1742285269921879E-4</v>
      </c>
      <c r="I103" s="4">
        <v>0</v>
      </c>
      <c r="J103" s="4">
        <v>2.9829722359896578E-4</v>
      </c>
      <c r="K103" s="4">
        <v>0</v>
      </c>
      <c r="L103" s="4">
        <v>0</v>
      </c>
      <c r="M103" s="4">
        <v>0</v>
      </c>
    </row>
    <row r="104" spans="1:13">
      <c r="A104" s="39" t="s">
        <v>355</v>
      </c>
      <c r="B104" s="4">
        <v>7.9590755524582826E-5</v>
      </c>
      <c r="D104" s="4">
        <v>3.4706564625081901E-5</v>
      </c>
      <c r="E104" s="4">
        <v>1.2418102678794768E-4</v>
      </c>
      <c r="F104" s="4"/>
      <c r="G104" s="4">
        <v>0</v>
      </c>
      <c r="H104" s="4">
        <v>0</v>
      </c>
      <c r="I104" s="4">
        <v>0</v>
      </c>
      <c r="J104" s="4">
        <v>0</v>
      </c>
      <c r="K104" s="4">
        <v>0</v>
      </c>
      <c r="L104" s="4">
        <v>0</v>
      </c>
      <c r="M104" s="4">
        <v>3.8170762297046814E-4</v>
      </c>
    </row>
    <row r="105" spans="1:13">
      <c r="A105" s="39" t="s">
        <v>356</v>
      </c>
      <c r="B105" s="4">
        <v>3.1613196893335373E-4</v>
      </c>
      <c r="D105" s="4">
        <v>1.859537705065914E-4</v>
      </c>
      <c r="E105" s="4">
        <v>4.4651545587357953E-4</v>
      </c>
      <c r="F105" s="4"/>
      <c r="G105" s="4">
        <v>0</v>
      </c>
      <c r="H105" s="4">
        <v>2.0541234985045528E-4</v>
      </c>
      <c r="I105" s="4">
        <v>7.5245868793172288E-4</v>
      </c>
      <c r="J105" s="4">
        <v>1.5911617464143003E-4</v>
      </c>
      <c r="K105" s="4">
        <v>1.7014871993767063E-4</v>
      </c>
      <c r="L105" s="4">
        <v>2.6128676476845587E-4</v>
      </c>
      <c r="M105" s="4">
        <v>3.3855678835585515E-4</v>
      </c>
    </row>
    <row r="106" spans="1:13">
      <c r="A106" s="39" t="s">
        <v>357</v>
      </c>
      <c r="B106" s="4">
        <v>2.6178081129875127E-3</v>
      </c>
      <c r="D106" s="4">
        <v>3.3002504917639527E-3</v>
      </c>
      <c r="E106" s="4">
        <v>1.9559170369414032E-3</v>
      </c>
      <c r="F106" s="4"/>
      <c r="G106" s="4">
        <v>6.4675974551847313E-3</v>
      </c>
      <c r="H106" s="4">
        <v>1.0218180972330752E-3</v>
      </c>
      <c r="I106" s="4">
        <v>1.887012650273191E-3</v>
      </c>
      <c r="J106" s="4">
        <v>1.1557775177498111E-3</v>
      </c>
      <c r="K106" s="4">
        <v>2.4555493357456704E-3</v>
      </c>
      <c r="L106" s="4">
        <v>5.5241856552172182E-3</v>
      </c>
      <c r="M106" s="4">
        <v>2.6074926617631346E-3</v>
      </c>
    </row>
    <row r="107" spans="1:13">
      <c r="A107" s="39" t="s">
        <v>358</v>
      </c>
      <c r="B107" s="4">
        <v>3.8163906814957765E-2</v>
      </c>
      <c r="D107" s="4">
        <v>7.8306091938296074E-3</v>
      </c>
      <c r="E107" s="4">
        <v>6.8041605441532177E-2</v>
      </c>
      <c r="F107" s="4"/>
      <c r="G107" s="4">
        <v>1.1292041565366654E-2</v>
      </c>
      <c r="H107" s="4">
        <v>4.0694342701831497E-2</v>
      </c>
      <c r="I107" s="4">
        <v>6.3230242227107519E-2</v>
      </c>
      <c r="J107" s="4">
        <v>4.5473974250548999E-2</v>
      </c>
      <c r="K107" s="4">
        <v>3.5388492066118812E-2</v>
      </c>
      <c r="L107" s="4">
        <v>3.2901811489274478E-2</v>
      </c>
      <c r="M107" s="4">
        <v>2.0741341057384729E-2</v>
      </c>
    </row>
    <row r="108" spans="1:13">
      <c r="A108" s="39" t="s">
        <v>359</v>
      </c>
      <c r="B108" s="4">
        <v>2.5725581982780112E-5</v>
      </c>
      <c r="D108" s="4">
        <v>5.2535310167948777E-5</v>
      </c>
      <c r="E108" s="4">
        <v>0</v>
      </c>
      <c r="F108" s="4"/>
      <c r="G108" s="4">
        <v>0</v>
      </c>
      <c r="H108" s="4">
        <v>0</v>
      </c>
      <c r="I108" s="4">
        <v>0</v>
      </c>
      <c r="J108" s="4">
        <v>1.5137804156642551E-4</v>
      </c>
      <c r="K108" s="4">
        <v>0</v>
      </c>
      <c r="L108" s="4">
        <v>0</v>
      </c>
      <c r="M108" s="4">
        <v>0</v>
      </c>
    </row>
    <row r="109" spans="1:13">
      <c r="A109" s="39" t="s">
        <v>360</v>
      </c>
      <c r="B109" s="4">
        <v>7.2439622800617815E-5</v>
      </c>
      <c r="D109" s="4">
        <v>1.479320489164072E-4</v>
      </c>
      <c r="E109" s="4">
        <v>0</v>
      </c>
      <c r="F109" s="4"/>
      <c r="G109" s="4">
        <v>0</v>
      </c>
      <c r="H109" s="4">
        <v>2.0526458709998064E-4</v>
      </c>
      <c r="I109" s="4">
        <v>0</v>
      </c>
      <c r="J109" s="4">
        <v>1.5137804156642551E-4</v>
      </c>
      <c r="K109" s="4">
        <v>1.6244376619055346E-4</v>
      </c>
      <c r="L109" s="4">
        <v>0</v>
      </c>
      <c r="M109" s="4">
        <v>0</v>
      </c>
    </row>
    <row r="110" spans="1:13">
      <c r="A110" s="39" t="s">
        <v>361</v>
      </c>
      <c r="B110" s="4">
        <v>3.662521300953611E-4</v>
      </c>
      <c r="D110" s="4">
        <v>3.1478603695025438E-4</v>
      </c>
      <c r="E110" s="4">
        <v>4.2079141250528287E-4</v>
      </c>
      <c r="F110" s="4"/>
      <c r="G110" s="4">
        <v>0</v>
      </c>
      <c r="H110" s="4">
        <v>0</v>
      </c>
      <c r="I110" s="4">
        <v>3.3805796793450632E-4</v>
      </c>
      <c r="J110" s="4">
        <v>9.2813869258376184E-4</v>
      </c>
      <c r="K110" s="4">
        <v>3.9436653775873993E-4</v>
      </c>
      <c r="L110" s="4">
        <v>6.3268046268657562E-4</v>
      </c>
      <c r="M110" s="4">
        <v>0</v>
      </c>
    </row>
    <row r="111" spans="1:13">
      <c r="A111" s="39" t="s">
        <v>362</v>
      </c>
      <c r="B111" s="4">
        <v>3.1810669975072299E-4</v>
      </c>
      <c r="D111" s="4">
        <v>2.7428534889028112E-4</v>
      </c>
      <c r="E111" s="4">
        <v>3.6462235003592255E-4</v>
      </c>
      <c r="F111" s="4"/>
      <c r="G111" s="4">
        <v>0</v>
      </c>
      <c r="H111" s="4">
        <v>7.9827605718385693E-4</v>
      </c>
      <c r="I111" s="4">
        <v>6.2675175884099486E-4</v>
      </c>
      <c r="J111" s="4">
        <v>5.5728001742580955E-4</v>
      </c>
      <c r="K111" s="4">
        <v>1.7048395802748327E-4</v>
      </c>
      <c r="L111" s="4">
        <v>0</v>
      </c>
      <c r="M111" s="4">
        <v>0</v>
      </c>
    </row>
    <row r="112" spans="1:13">
      <c r="A112" s="39" t="s">
        <v>363</v>
      </c>
      <c r="B112" s="4">
        <v>1.6338457544874962E-5</v>
      </c>
      <c r="D112" s="4">
        <v>3.3365462260889516E-5</v>
      </c>
      <c r="E112" s="4">
        <v>0</v>
      </c>
      <c r="F112" s="4"/>
      <c r="G112" s="4">
        <v>0</v>
      </c>
      <c r="H112" s="4">
        <v>0</v>
      </c>
      <c r="I112" s="4">
        <v>9.1717379182435602E-5</v>
      </c>
      <c r="J112" s="4">
        <v>0</v>
      </c>
      <c r="K112" s="4">
        <v>0</v>
      </c>
      <c r="L112" s="4">
        <v>0</v>
      </c>
      <c r="M112" s="4">
        <v>0</v>
      </c>
    </row>
    <row r="113" spans="1:13">
      <c r="A113" s="39" t="s">
        <v>364</v>
      </c>
      <c r="B113" s="4">
        <v>1.9575991665051811E-3</v>
      </c>
      <c r="D113" s="4">
        <v>2.2974412484924362E-3</v>
      </c>
      <c r="E113" s="4">
        <v>1.5714700934339439E-3</v>
      </c>
      <c r="F113" s="4"/>
      <c r="G113" s="4">
        <v>9.0762088674481278E-3</v>
      </c>
      <c r="H113" s="4">
        <v>4.0661518992567702E-3</v>
      </c>
      <c r="I113" s="4">
        <v>2.447818509513925E-3</v>
      </c>
      <c r="J113" s="4">
        <v>2.2271198456117868E-3</v>
      </c>
      <c r="K113" s="4">
        <v>1.0802614510433736E-3</v>
      </c>
      <c r="L113" s="4">
        <v>4.5182775593769289E-4</v>
      </c>
      <c r="M113" s="4">
        <v>3.6699163555906252E-4</v>
      </c>
    </row>
    <row r="114" spans="1:13">
      <c r="A114" s="39" t="s">
        <v>365</v>
      </c>
      <c r="B114" s="4">
        <v>0</v>
      </c>
      <c r="D114" s="4">
        <v>0</v>
      </c>
      <c r="E114" s="4">
        <v>0</v>
      </c>
      <c r="F114" s="4"/>
      <c r="G114" s="4">
        <v>0</v>
      </c>
      <c r="H114" s="4">
        <v>0</v>
      </c>
      <c r="I114" s="4">
        <v>0</v>
      </c>
      <c r="J114" s="4">
        <v>0</v>
      </c>
      <c r="K114" s="4">
        <v>0</v>
      </c>
      <c r="L114" s="4">
        <v>0</v>
      </c>
      <c r="M114" s="4">
        <v>0</v>
      </c>
    </row>
    <row r="115" spans="1:13">
      <c r="A115" s="39" t="s">
        <v>366</v>
      </c>
      <c r="B115" s="4">
        <v>1.0093323676805367E-4</v>
      </c>
      <c r="D115" s="4">
        <v>2.0612007547250345E-4</v>
      </c>
      <c r="E115" s="4">
        <v>0</v>
      </c>
      <c r="F115" s="4"/>
      <c r="G115" s="4">
        <v>0</v>
      </c>
      <c r="H115" s="4">
        <v>0</v>
      </c>
      <c r="I115" s="4">
        <v>1.2446515578838288E-4</v>
      </c>
      <c r="J115" s="4">
        <v>1.6710851985163894E-4</v>
      </c>
      <c r="K115" s="4">
        <v>3.3224238668500992E-4</v>
      </c>
      <c r="L115" s="4">
        <v>0</v>
      </c>
      <c r="M115" s="4">
        <v>0</v>
      </c>
    </row>
    <row r="116" spans="1:13">
      <c r="A116" s="39" t="s">
        <v>367</v>
      </c>
      <c r="B116" s="4">
        <v>3.128147270214577E-4</v>
      </c>
      <c r="D116" s="4">
        <v>5.6702027169824286E-5</v>
      </c>
      <c r="E116" s="4">
        <v>4.7399381592986005E-4</v>
      </c>
      <c r="F116" s="4"/>
      <c r="G116" s="4">
        <v>2.1420669387590798E-3</v>
      </c>
      <c r="H116" s="4">
        <v>6.4231983370055578E-4</v>
      </c>
      <c r="I116" s="4">
        <v>2.5572096362848584E-4</v>
      </c>
      <c r="J116" s="4">
        <v>6.0764030182236951E-4</v>
      </c>
      <c r="K116" s="4">
        <v>0</v>
      </c>
      <c r="L116" s="4">
        <v>0</v>
      </c>
      <c r="M116" s="4">
        <v>0</v>
      </c>
    </row>
    <row r="117" spans="1:13">
      <c r="A117" s="39" t="s">
        <v>368</v>
      </c>
      <c r="B117" s="4">
        <v>2.7050336636655163E-4</v>
      </c>
      <c r="D117" s="4">
        <v>1.2327709727352946E-4</v>
      </c>
      <c r="E117" s="4">
        <v>4.1688254229708455E-4</v>
      </c>
      <c r="F117" s="4"/>
      <c r="G117" s="4">
        <v>0</v>
      </c>
      <c r="H117" s="4">
        <v>9.4086310709340566E-4</v>
      </c>
      <c r="I117" s="4">
        <v>5.7983878423859209E-4</v>
      </c>
      <c r="J117" s="4">
        <v>3.8811170905791651E-4</v>
      </c>
      <c r="K117" s="4">
        <v>0</v>
      </c>
      <c r="L117" s="4">
        <v>0</v>
      </c>
      <c r="M117" s="4">
        <v>0</v>
      </c>
    </row>
    <row r="118" spans="1:13">
      <c r="A118" s="39" t="s">
        <v>369</v>
      </c>
      <c r="B118" s="4">
        <v>1.753999334318902E-3</v>
      </c>
      <c r="D118" s="4">
        <v>1.8166485946299038E-3</v>
      </c>
      <c r="E118" s="4">
        <v>1.7148897276554496E-3</v>
      </c>
      <c r="F118" s="4"/>
      <c r="G118" s="4">
        <v>5.4705906538085516E-3</v>
      </c>
      <c r="H118" s="4">
        <v>2.5721855939249481E-3</v>
      </c>
      <c r="I118" s="4">
        <v>1.0041020771475609E-3</v>
      </c>
      <c r="J118" s="4">
        <v>2.2562210951852847E-3</v>
      </c>
      <c r="K118" s="4">
        <v>1.5348993795881484E-3</v>
      </c>
      <c r="L118" s="4">
        <v>1.8189739610436051E-3</v>
      </c>
      <c r="M118" s="4">
        <v>8.8930154858124207E-4</v>
      </c>
    </row>
    <row r="119" spans="1:13">
      <c r="A119" s="39" t="s">
        <v>370</v>
      </c>
      <c r="B119" s="4">
        <v>5.1687179066249008E-3</v>
      </c>
      <c r="D119" s="4">
        <v>7.0388288693643813E-3</v>
      </c>
      <c r="E119" s="4">
        <v>3.2285075031245909E-3</v>
      </c>
      <c r="F119" s="4"/>
      <c r="G119" s="4">
        <v>1.7473388308968885E-2</v>
      </c>
      <c r="H119" s="4">
        <v>1.3886745794136695E-2</v>
      </c>
      <c r="I119" s="4">
        <v>1.0770977678479832E-2</v>
      </c>
      <c r="J119" s="4">
        <v>3.980628763370235E-3</v>
      </c>
      <c r="K119" s="4">
        <v>1.4729255408190446E-3</v>
      </c>
      <c r="L119" s="4">
        <v>4.3541060425050478E-4</v>
      </c>
      <c r="M119" s="4">
        <v>1.0048338042706871E-4</v>
      </c>
    </row>
    <row r="120" spans="1:13">
      <c r="A120" s="39" t="s">
        <v>371</v>
      </c>
      <c r="B120" s="4">
        <v>2.5151806033284394E-3</v>
      </c>
      <c r="D120" s="4">
        <v>4.0908730519571539E-3</v>
      </c>
      <c r="E120" s="4">
        <v>9.1671691489873797E-4</v>
      </c>
      <c r="F120" s="4"/>
      <c r="G120" s="4">
        <v>3.1097722921300296E-3</v>
      </c>
      <c r="H120" s="4">
        <v>8.2158877972312878E-3</v>
      </c>
      <c r="I120" s="4">
        <v>4.2061838363289571E-3</v>
      </c>
      <c r="J120" s="4">
        <v>2.5229482226182087E-3</v>
      </c>
      <c r="K120" s="4">
        <v>1.3648685065731677E-3</v>
      </c>
      <c r="L120" s="4">
        <v>6.4913843904165118E-4</v>
      </c>
      <c r="M120" s="4">
        <v>8.3968384411579682E-5</v>
      </c>
    </row>
    <row r="121" spans="1:13">
      <c r="A121" s="39" t="s">
        <v>372</v>
      </c>
      <c r="B121" s="4">
        <v>4.343845091168673E-2</v>
      </c>
      <c r="D121" s="4">
        <v>5.0760249528363915E-2</v>
      </c>
      <c r="E121" s="4">
        <v>3.6431571073107405E-2</v>
      </c>
      <c r="F121" s="4"/>
      <c r="G121" s="4">
        <v>7.6034800190558693E-2</v>
      </c>
      <c r="H121" s="4">
        <v>7.438408644613044E-2</v>
      </c>
      <c r="I121" s="4">
        <v>7.167253990758031E-2</v>
      </c>
      <c r="J121" s="4">
        <v>5.4335882580862145E-2</v>
      </c>
      <c r="K121" s="4">
        <v>3.9358352582268538E-2</v>
      </c>
      <c r="L121" s="4">
        <v>2.1392084521209453E-2</v>
      </c>
      <c r="M121" s="4">
        <v>5.2993920398966216E-3</v>
      </c>
    </row>
    <row r="122" spans="1:13">
      <c r="A122" s="39" t="s">
        <v>373</v>
      </c>
      <c r="B122" s="4">
        <v>1.9255577268953463E-3</v>
      </c>
      <c r="D122" s="4">
        <v>2.8670586520845539E-3</v>
      </c>
      <c r="E122" s="4">
        <v>1.0348053700253395E-3</v>
      </c>
      <c r="F122" s="4"/>
      <c r="G122" s="4">
        <v>2.7734473195798765E-3</v>
      </c>
      <c r="H122" s="4">
        <v>1.3194255498493585E-3</v>
      </c>
      <c r="I122" s="4">
        <v>1.6913029216222004E-3</v>
      </c>
      <c r="J122" s="4">
        <v>1.3742903990759847E-3</v>
      </c>
      <c r="K122" s="4">
        <v>1.64166914197311E-3</v>
      </c>
      <c r="L122" s="4">
        <v>3.3701161083673258E-3</v>
      </c>
      <c r="M122" s="4">
        <v>1.9447906671834572E-3</v>
      </c>
    </row>
    <row r="123" spans="1:13">
      <c r="A123" s="39" t="s">
        <v>374</v>
      </c>
      <c r="B123" s="4">
        <v>1.4057151334429668E-4</v>
      </c>
      <c r="D123" s="4">
        <v>4.7716523523123285E-5</v>
      </c>
      <c r="E123" s="4">
        <v>2.3251978923349628E-4</v>
      </c>
      <c r="F123" s="4"/>
      <c r="G123" s="4">
        <v>0</v>
      </c>
      <c r="H123" s="4">
        <v>0</v>
      </c>
      <c r="I123" s="4">
        <v>3.5396099006757589E-4</v>
      </c>
      <c r="J123" s="4">
        <v>4.5613745613366574E-4</v>
      </c>
      <c r="K123" s="4">
        <v>0</v>
      </c>
      <c r="L123" s="4">
        <v>0</v>
      </c>
      <c r="M123" s="4">
        <v>0</v>
      </c>
    </row>
    <row r="124" spans="1:13">
      <c r="A124" s="39" t="s">
        <v>375</v>
      </c>
      <c r="B124" s="4">
        <v>1.8469566793014716E-4</v>
      </c>
      <c r="D124" s="4">
        <v>3.7717491514406408E-4</v>
      </c>
      <c r="E124" s="4">
        <v>0</v>
      </c>
      <c r="F124" s="4"/>
      <c r="G124" s="4">
        <v>0</v>
      </c>
      <c r="H124" s="4">
        <v>4.0681417596513723E-4</v>
      </c>
      <c r="I124" s="4">
        <v>2.336736251029989E-4</v>
      </c>
      <c r="J124" s="4">
        <v>1.1112778359242788E-4</v>
      </c>
      <c r="K124" s="4">
        <v>1.2039670257183131E-4</v>
      </c>
      <c r="L124" s="4">
        <v>0</v>
      </c>
      <c r="M124" s="4">
        <v>2.9807790555665689E-4</v>
      </c>
    </row>
    <row r="125" spans="1:13">
      <c r="A125" s="39" t="s">
        <v>376</v>
      </c>
      <c r="B125" s="4">
        <v>4.5213471496964893E-5</v>
      </c>
      <c r="D125" s="4">
        <v>4.734724633583854E-5</v>
      </c>
      <c r="E125" s="4">
        <v>0</v>
      </c>
      <c r="F125" s="4"/>
      <c r="G125" s="4">
        <v>0</v>
      </c>
      <c r="H125" s="4">
        <v>0</v>
      </c>
      <c r="I125" s="4">
        <v>1.2365831711545362E-4</v>
      </c>
      <c r="J125" s="4">
        <v>1.3642887804353473E-4</v>
      </c>
      <c r="K125" s="4">
        <v>0</v>
      </c>
      <c r="L125" s="4">
        <v>0</v>
      </c>
      <c r="M125" s="4">
        <v>0</v>
      </c>
    </row>
    <row r="126" spans="1:13">
      <c r="A126" s="39" t="s">
        <v>377</v>
      </c>
      <c r="B126" s="4">
        <v>8.5226473504459055E-4</v>
      </c>
      <c r="D126" s="4">
        <v>1.298668103425472E-3</v>
      </c>
      <c r="E126" s="4">
        <v>3.7973238556997631E-4</v>
      </c>
      <c r="F126" s="4"/>
      <c r="G126" s="4">
        <v>1.6615049256828544E-3</v>
      </c>
      <c r="H126" s="4">
        <v>4.760251373209351E-4</v>
      </c>
      <c r="I126" s="4">
        <v>8.2015251685929862E-4</v>
      </c>
      <c r="J126" s="4">
        <v>1.1579442339734866E-3</v>
      </c>
      <c r="K126" s="4">
        <v>1.1246846922929243E-3</v>
      </c>
      <c r="L126" s="4">
        <v>7.7747140826622037E-4</v>
      </c>
      <c r="M126" s="4">
        <v>5.0500756634198191E-4</v>
      </c>
    </row>
    <row r="127" spans="1:13">
      <c r="A127" s="39" t="s">
        <v>378</v>
      </c>
      <c r="B127" s="4">
        <v>9.6375497330647973E-4</v>
      </c>
      <c r="D127" s="4">
        <v>1.4781901954324119E-3</v>
      </c>
      <c r="E127" s="4">
        <v>4.7595285143415877E-4</v>
      </c>
      <c r="F127" s="4"/>
      <c r="G127" s="4">
        <v>3.4379233423395147E-3</v>
      </c>
      <c r="H127" s="4">
        <v>7.9870366484037232E-4</v>
      </c>
      <c r="I127" s="4">
        <v>9.8708499608122168E-4</v>
      </c>
      <c r="J127" s="4">
        <v>5.8524090531454599E-4</v>
      </c>
      <c r="K127" s="4">
        <v>8.4636460927659223E-4</v>
      </c>
      <c r="L127" s="4">
        <v>4.9593188692161505E-4</v>
      </c>
      <c r="M127" s="4">
        <v>1.2112333007105402E-3</v>
      </c>
    </row>
    <row r="128" spans="1:13">
      <c r="A128" s="39" t="s">
        <v>379</v>
      </c>
      <c r="B128" s="4">
        <v>9.3629273762163741E-4</v>
      </c>
      <c r="D128" s="4">
        <v>7.6491876927805083E-4</v>
      </c>
      <c r="E128" s="4">
        <v>1.0731136232638942E-3</v>
      </c>
      <c r="F128" s="4"/>
      <c r="G128" s="4">
        <v>1.9473112410382555E-3</v>
      </c>
      <c r="H128" s="4">
        <v>2.2910787588902018E-3</v>
      </c>
      <c r="I128" s="4">
        <v>7.3029600191888786E-4</v>
      </c>
      <c r="J128" s="4">
        <v>1.7954079545544743E-3</v>
      </c>
      <c r="K128" s="4">
        <v>1.1101074274900864E-3</v>
      </c>
      <c r="L128" s="4">
        <v>0</v>
      </c>
      <c r="M128" s="4">
        <v>0</v>
      </c>
    </row>
    <row r="129" spans="1:13">
      <c r="A129" s="39" t="s">
        <v>380</v>
      </c>
      <c r="B129" s="4">
        <v>0</v>
      </c>
      <c r="D129" s="4">
        <v>0</v>
      </c>
      <c r="E129" s="4">
        <v>0</v>
      </c>
      <c r="F129" s="4"/>
      <c r="G129" s="4">
        <v>0</v>
      </c>
      <c r="H129" s="4">
        <v>0</v>
      </c>
      <c r="I129" s="4">
        <v>0</v>
      </c>
      <c r="J129" s="4">
        <v>0</v>
      </c>
      <c r="K129" s="4">
        <v>0</v>
      </c>
      <c r="L129" s="4">
        <v>0</v>
      </c>
      <c r="M129" s="4">
        <v>0</v>
      </c>
    </row>
    <row r="130" spans="1:13">
      <c r="A130" s="39" t="s">
        <v>381</v>
      </c>
      <c r="B130" s="4">
        <v>1.475239710330908E-3</v>
      </c>
      <c r="D130" s="4">
        <v>1.6045547736866219E-3</v>
      </c>
      <c r="E130" s="4">
        <v>1.3195461724674049E-3</v>
      </c>
      <c r="F130" s="4"/>
      <c r="G130" s="4">
        <v>4.0130620599740522E-3</v>
      </c>
      <c r="H130" s="4">
        <v>1.1975219183421421E-3</v>
      </c>
      <c r="I130" s="4">
        <v>1.9003865513417626E-3</v>
      </c>
      <c r="J130" s="4">
        <v>1.4406407872835799E-3</v>
      </c>
      <c r="K130" s="4">
        <v>1.312810580892025E-3</v>
      </c>
      <c r="L130" s="4">
        <v>1.826910483905466E-3</v>
      </c>
      <c r="M130" s="4">
        <v>6.2661342771302346E-4</v>
      </c>
    </row>
    <row r="131" spans="1:13">
      <c r="A131" s="39" t="s">
        <v>382</v>
      </c>
      <c r="B131" s="4">
        <v>0</v>
      </c>
      <c r="D131" s="4">
        <v>0</v>
      </c>
      <c r="E131" s="4">
        <v>0</v>
      </c>
      <c r="F131" s="4"/>
      <c r="G131" s="4">
        <v>0</v>
      </c>
      <c r="H131" s="4">
        <v>0</v>
      </c>
      <c r="I131" s="4">
        <v>0</v>
      </c>
      <c r="J131" s="4">
        <v>0</v>
      </c>
      <c r="K131" s="4">
        <v>0</v>
      </c>
      <c r="L131" s="4">
        <v>0</v>
      </c>
      <c r="M131" s="4">
        <v>0</v>
      </c>
    </row>
    <row r="132" spans="1:13">
      <c r="A132" s="39" t="s">
        <v>383</v>
      </c>
      <c r="B132" s="4">
        <v>1.1102534540854947E-3</v>
      </c>
      <c r="D132" s="4">
        <v>8.7418542999882591E-4</v>
      </c>
      <c r="E132" s="4">
        <v>1.3533528659906994E-3</v>
      </c>
      <c r="F132" s="4"/>
      <c r="G132" s="4">
        <v>1.9978298982330075E-3</v>
      </c>
      <c r="H132" s="4">
        <v>1.65478754284949E-3</v>
      </c>
      <c r="I132" s="4">
        <v>1.3113799322433044E-3</v>
      </c>
      <c r="J132" s="4">
        <v>1.431426070781755E-3</v>
      </c>
      <c r="K132" s="4">
        <v>2.0177100246570618E-3</v>
      </c>
      <c r="L132" s="4">
        <v>4.357332992643782E-4</v>
      </c>
      <c r="M132" s="4">
        <v>0</v>
      </c>
    </row>
    <row r="133" spans="1:13">
      <c r="A133" s="39" t="s">
        <v>384</v>
      </c>
      <c r="B133" s="4">
        <v>1.1734472020798719E-3</v>
      </c>
      <c r="D133" s="4">
        <v>1.1065275227444566E-3</v>
      </c>
      <c r="E133" s="4">
        <v>1.2040167889582245E-3</v>
      </c>
      <c r="F133" s="4"/>
      <c r="G133" s="4">
        <v>0</v>
      </c>
      <c r="H133" s="4">
        <v>3.4618134833202222E-3</v>
      </c>
      <c r="I133" s="4">
        <v>2.7431495826952816E-3</v>
      </c>
      <c r="J133" s="4">
        <v>1.3133892127468669E-3</v>
      </c>
      <c r="K133" s="4">
        <v>4.7872803275614143E-4</v>
      </c>
      <c r="L133" s="4">
        <v>1.1764680656983909E-4</v>
      </c>
      <c r="M133" s="4">
        <v>0</v>
      </c>
    </row>
    <row r="134" spans="1:13">
      <c r="A134" s="39" t="s">
        <v>385</v>
      </c>
      <c r="B134" s="4">
        <v>1.1768388945104743E-3</v>
      </c>
      <c r="D134" s="4">
        <v>1.4801935391634744E-3</v>
      </c>
      <c r="E134" s="4">
        <v>8.9673586010201984E-4</v>
      </c>
      <c r="F134" s="4"/>
      <c r="G134" s="4">
        <v>0</v>
      </c>
      <c r="H134" s="4">
        <v>1.8839573475209908E-3</v>
      </c>
      <c r="I134" s="4">
        <v>1.2288787299090324E-3</v>
      </c>
      <c r="J134" s="4">
        <v>8.048204548176352E-4</v>
      </c>
      <c r="K134" s="4">
        <v>1.4560623757152106E-3</v>
      </c>
      <c r="L134" s="4">
        <v>1.6386663068996637E-3</v>
      </c>
      <c r="M134" s="4">
        <v>8.0770906010813287E-4</v>
      </c>
    </row>
    <row r="135" spans="1:13">
      <c r="A135" s="39" t="s">
        <v>386</v>
      </c>
      <c r="B135" s="4">
        <v>2.1470629926833174E-3</v>
      </c>
      <c r="D135" s="4">
        <v>2.3290557618976162E-3</v>
      </c>
      <c r="E135" s="4">
        <v>1.9968902649916739E-3</v>
      </c>
      <c r="F135" s="4"/>
      <c r="G135" s="4">
        <v>1.9473112410382555E-3</v>
      </c>
      <c r="H135" s="4">
        <v>4.2802102079758297E-3</v>
      </c>
      <c r="I135" s="4">
        <v>3.3471131251970204E-3</v>
      </c>
      <c r="J135" s="4">
        <v>2.2461487111053156E-3</v>
      </c>
      <c r="K135" s="4">
        <v>1.7746785207899401E-3</v>
      </c>
      <c r="L135" s="4">
        <v>1.7693361554570583E-3</v>
      </c>
      <c r="M135" s="4">
        <v>5.066889738887866E-4</v>
      </c>
    </row>
    <row r="136" spans="1:13">
      <c r="A136" s="39" t="s">
        <v>387</v>
      </c>
      <c r="B136" s="4">
        <v>2.768744248692584E-2</v>
      </c>
      <c r="D136" s="4">
        <v>2.5327259318720596E-2</v>
      </c>
      <c r="E136" s="4">
        <v>3.0170886035810793E-2</v>
      </c>
      <c r="F136" s="4"/>
      <c r="G136" s="4">
        <v>6.2720210870904014E-2</v>
      </c>
      <c r="H136" s="4">
        <v>3.5501252342600015E-2</v>
      </c>
      <c r="I136" s="4">
        <v>3.5861570526646659E-2</v>
      </c>
      <c r="J136" s="4">
        <v>3.8128515217638555E-2</v>
      </c>
      <c r="K136" s="4">
        <v>2.293050901552288E-2</v>
      </c>
      <c r="L136" s="4">
        <v>1.5956823674233202E-2</v>
      </c>
      <c r="M136" s="4">
        <v>1.2049718476197751E-2</v>
      </c>
    </row>
    <row r="137" spans="1:13">
      <c r="A137" s="39" t="s">
        <v>388</v>
      </c>
      <c r="B137" s="4">
        <v>1.4003615605299221E-4</v>
      </c>
      <c r="D137" s="4">
        <v>2.0276519630274998E-4</v>
      </c>
      <c r="E137" s="4">
        <v>4.0459773839068162E-5</v>
      </c>
      <c r="F137" s="4"/>
      <c r="G137" s="4">
        <v>0</v>
      </c>
      <c r="H137" s="4">
        <v>3.7861142806421569E-4</v>
      </c>
      <c r="I137" s="4">
        <v>2.8823784490458949E-4</v>
      </c>
      <c r="J137" s="4">
        <v>1.1875531497864099E-4</v>
      </c>
      <c r="K137" s="4">
        <v>0</v>
      </c>
      <c r="L137" s="4">
        <v>1.9842373212280371E-4</v>
      </c>
      <c r="M137" s="4">
        <v>0</v>
      </c>
    </row>
    <row r="138" spans="1:13">
      <c r="A138" s="39" t="s">
        <v>389</v>
      </c>
      <c r="B138" s="4">
        <v>5.0699078788035451E-4</v>
      </c>
      <c r="D138" s="4">
        <v>4.0123156469123463E-4</v>
      </c>
      <c r="E138" s="4">
        <v>6.160190688703905E-4</v>
      </c>
      <c r="F138" s="4"/>
      <c r="G138" s="4">
        <v>0</v>
      </c>
      <c r="H138" s="4">
        <v>3.7273564143311757E-4</v>
      </c>
      <c r="I138" s="4">
        <v>1.6042479780921271E-3</v>
      </c>
      <c r="J138" s="4">
        <v>5.8348150908897958E-4</v>
      </c>
      <c r="K138" s="4">
        <v>4.3420036593777394E-4</v>
      </c>
      <c r="L138" s="4">
        <v>1.1522938598296021E-4</v>
      </c>
      <c r="M138" s="4">
        <v>0</v>
      </c>
    </row>
    <row r="139" spans="1:13">
      <c r="A139" s="39" t="s">
        <v>390</v>
      </c>
      <c r="B139" s="4">
        <v>5.8026946067510528E-3</v>
      </c>
      <c r="D139" s="4">
        <v>8.0202239214350306E-3</v>
      </c>
      <c r="E139" s="4">
        <v>3.632005116445194E-3</v>
      </c>
      <c r="F139" s="4"/>
      <c r="G139" s="4">
        <v>2.4598518869024401E-2</v>
      </c>
      <c r="H139" s="4">
        <v>7.5103476675631164E-3</v>
      </c>
      <c r="I139" s="4">
        <v>8.603939798652184E-3</v>
      </c>
      <c r="J139" s="4">
        <v>3.2355054635050968E-3</v>
      </c>
      <c r="K139" s="4">
        <v>1.6553636069001731E-3</v>
      </c>
      <c r="L139" s="4">
        <v>2.8514421394353474E-3</v>
      </c>
      <c r="M139" s="4">
        <v>5.6234133834026532E-3</v>
      </c>
    </row>
    <row r="140" spans="1:13">
      <c r="A140" s="39" t="s">
        <v>391</v>
      </c>
      <c r="B140" s="4">
        <v>1.5988614288073573E-3</v>
      </c>
      <c r="D140" s="4">
        <v>1.5397597270389158E-3</v>
      </c>
      <c r="E140" s="4">
        <v>1.4221814277891941E-3</v>
      </c>
      <c r="F140" s="4"/>
      <c r="G140" s="4">
        <v>1.0046609209314545E-2</v>
      </c>
      <c r="H140" s="4">
        <v>3.9356049111813167E-3</v>
      </c>
      <c r="I140" s="4">
        <v>3.65915473191498E-4</v>
      </c>
      <c r="J140" s="4">
        <v>2.7285957417667143E-3</v>
      </c>
      <c r="K140" s="4">
        <v>8.5729982596278174E-4</v>
      </c>
      <c r="L140" s="4">
        <v>3.5498138650784925E-4</v>
      </c>
      <c r="M140" s="4">
        <v>1.0478542982151185E-4</v>
      </c>
    </row>
    <row r="141" spans="1:13">
      <c r="A141" s="39" t="s">
        <v>392</v>
      </c>
      <c r="B141" s="4">
        <v>1.7255167114632055E-4</v>
      </c>
      <c r="D141" s="4">
        <v>1.8930194737614724E-4</v>
      </c>
      <c r="E141" s="4">
        <v>1.5841927781607508E-4</v>
      </c>
      <c r="F141" s="4"/>
      <c r="G141" s="4">
        <v>1.8029999831592597E-3</v>
      </c>
      <c r="H141" s="4">
        <v>4.3022831178851471E-4</v>
      </c>
      <c r="I141" s="4">
        <v>0</v>
      </c>
      <c r="J141" s="4">
        <v>1.3439029775958079E-4</v>
      </c>
      <c r="K141" s="4">
        <v>1.5541578773536869E-4</v>
      </c>
      <c r="L141" s="4">
        <v>0</v>
      </c>
      <c r="M141" s="4">
        <v>0</v>
      </c>
    </row>
    <row r="142" spans="1:13">
      <c r="A142" s="39" t="s">
        <v>393</v>
      </c>
      <c r="B142" s="4">
        <v>1.9427915527072372E-2</v>
      </c>
      <c r="D142" s="4">
        <v>2.3828080710469254E-2</v>
      </c>
      <c r="E142" s="4">
        <v>1.5076592535335748E-2</v>
      </c>
      <c r="F142" s="4"/>
      <c r="G142" s="4">
        <v>5.2140549376259289E-2</v>
      </c>
      <c r="H142" s="4">
        <v>2.4125150396325599E-2</v>
      </c>
      <c r="I142" s="4">
        <v>1.8913613219383847E-2</v>
      </c>
      <c r="J142" s="4">
        <v>1.8085273467752898E-2</v>
      </c>
      <c r="K142" s="4">
        <v>1.9367579152323212E-2</v>
      </c>
      <c r="L142" s="4">
        <v>1.5611339381035271E-2</v>
      </c>
      <c r="M142" s="4">
        <v>1.4193658682641665E-2</v>
      </c>
    </row>
    <row r="143" spans="1:13">
      <c r="A143" s="39" t="s">
        <v>394</v>
      </c>
      <c r="B143" s="4">
        <v>2.0238321762954866E-3</v>
      </c>
      <c r="D143" s="4">
        <v>2.4815665750475891E-3</v>
      </c>
      <c r="E143" s="4">
        <v>1.6042589461282316E-3</v>
      </c>
      <c r="F143" s="4"/>
      <c r="G143" s="4">
        <v>1.3024998990751782E-3</v>
      </c>
      <c r="H143" s="4">
        <v>9.8399697763712317E-4</v>
      </c>
      <c r="I143" s="4">
        <v>2.1359214864311781E-3</v>
      </c>
      <c r="J143" s="4">
        <v>2.6504717282759241E-3</v>
      </c>
      <c r="K143" s="4">
        <v>2.3987099820604184E-3</v>
      </c>
      <c r="L143" s="4">
        <v>2.1678703209616337E-3</v>
      </c>
      <c r="M143" s="4">
        <v>1.7380697114941497E-3</v>
      </c>
    </row>
    <row r="144" spans="1:13">
      <c r="A144" s="39" t="s">
        <v>395</v>
      </c>
      <c r="B144" s="4">
        <v>0</v>
      </c>
      <c r="D144" s="4">
        <v>0</v>
      </c>
      <c r="E144" s="4">
        <v>0</v>
      </c>
      <c r="F144" s="4"/>
      <c r="G144" s="4">
        <v>0</v>
      </c>
      <c r="H144" s="4">
        <v>0</v>
      </c>
      <c r="I144" s="4">
        <v>0</v>
      </c>
      <c r="J144" s="4">
        <v>0</v>
      </c>
      <c r="K144" s="4">
        <v>0</v>
      </c>
      <c r="L144" s="4">
        <v>0</v>
      </c>
      <c r="M144" s="4">
        <v>0</v>
      </c>
    </row>
    <row r="145" spans="1:13">
      <c r="A145" s="39" t="s">
        <v>396</v>
      </c>
      <c r="B145" s="4">
        <v>6.5228001792219884E-3</v>
      </c>
      <c r="D145" s="4">
        <v>7.6776779927449123E-3</v>
      </c>
      <c r="E145" s="4">
        <v>5.4817718367500814E-3</v>
      </c>
      <c r="F145" s="4"/>
      <c r="G145" s="4">
        <v>1.7221753687717063E-2</v>
      </c>
      <c r="H145" s="4">
        <v>1.4832029440347205E-2</v>
      </c>
      <c r="I145" s="4">
        <v>1.228397781060059E-2</v>
      </c>
      <c r="J145" s="4">
        <v>5.6491755636265744E-3</v>
      </c>
      <c r="K145" s="4">
        <v>4.6953052747132993E-3</v>
      </c>
      <c r="L145" s="4">
        <v>1.5726720062532588E-3</v>
      </c>
      <c r="M145" s="4">
        <v>4.018459042449277E-4</v>
      </c>
    </row>
    <row r="146" spans="1:13">
      <c r="A146" s="39" t="s">
        <v>397</v>
      </c>
      <c r="B146" s="4">
        <v>1.4016255587214887E-3</v>
      </c>
      <c r="D146" s="4">
        <v>1.9897367085936497E-3</v>
      </c>
      <c r="E146" s="4">
        <v>8.4768025867188509E-4</v>
      </c>
      <c r="F146" s="4"/>
      <c r="G146" s="4">
        <v>3.9609291812693383E-3</v>
      </c>
      <c r="H146" s="4">
        <v>1.325291568494602E-3</v>
      </c>
      <c r="I146" s="4">
        <v>1.5613585710126344E-3</v>
      </c>
      <c r="J146" s="4">
        <v>1.7609735505288019E-3</v>
      </c>
      <c r="K146" s="4">
        <v>1.9435683929705245E-3</v>
      </c>
      <c r="L146" s="4">
        <v>1.1727739067363162E-3</v>
      </c>
      <c r="M146" s="4">
        <v>2.2765142655348919E-4</v>
      </c>
    </row>
    <row r="147" spans="1:13">
      <c r="A147" s="39" t="s">
        <v>398</v>
      </c>
      <c r="B147" s="4">
        <v>3.0488481648084458E-3</v>
      </c>
      <c r="D147" s="4">
        <v>3.5023575987250047E-3</v>
      </c>
      <c r="E147" s="4">
        <v>2.589531849154609E-3</v>
      </c>
      <c r="F147" s="4"/>
      <c r="G147" s="4">
        <v>1.6747656345766485E-3</v>
      </c>
      <c r="H147" s="4">
        <v>3.2277706129129739E-3</v>
      </c>
      <c r="I147" s="4">
        <v>4.4679876845785662E-3</v>
      </c>
      <c r="J147" s="4">
        <v>2.9536997207795655E-3</v>
      </c>
      <c r="K147" s="4">
        <v>3.5759936271790643E-3</v>
      </c>
      <c r="L147" s="4">
        <v>3.4202550519032995E-3</v>
      </c>
      <c r="M147" s="4">
        <v>1.481056027406524E-3</v>
      </c>
    </row>
    <row r="148" spans="1:13">
      <c r="A148" s="39" t="s">
        <v>399</v>
      </c>
      <c r="B148" s="4">
        <v>1.7267871212600788E-3</v>
      </c>
      <c r="D148" s="4">
        <v>2.231354182746244E-3</v>
      </c>
      <c r="E148" s="4">
        <v>1.0513910408899718E-3</v>
      </c>
      <c r="F148" s="4"/>
      <c r="G148" s="4">
        <v>1.8029999831592597E-3</v>
      </c>
      <c r="H148" s="4">
        <v>4.2659262168188985E-3</v>
      </c>
      <c r="I148" s="4">
        <v>4.3079388129093153E-3</v>
      </c>
      <c r="J148" s="4">
        <v>1.5054176947082018E-3</v>
      </c>
      <c r="K148" s="4">
        <v>6.5740454568491294E-4</v>
      </c>
      <c r="L148" s="4">
        <v>0</v>
      </c>
      <c r="M148" s="4">
        <v>3.1144611257958042E-4</v>
      </c>
    </row>
    <row r="149" spans="1:13">
      <c r="A149" s="39" t="s">
        <v>400</v>
      </c>
      <c r="B149" s="4">
        <v>9.5153183712644203E-3</v>
      </c>
      <c r="D149" s="4">
        <v>1.0919689244314284E-2</v>
      </c>
      <c r="E149" s="4">
        <v>8.2200356061327591E-3</v>
      </c>
      <c r="F149" s="4"/>
      <c r="G149" s="4">
        <v>8.087739035103339E-2</v>
      </c>
      <c r="H149" s="4">
        <v>2.6935448374883326E-2</v>
      </c>
      <c r="I149" s="4">
        <v>1.0847875841198437E-2</v>
      </c>
      <c r="J149" s="4">
        <v>2.7959678600883581E-3</v>
      </c>
      <c r="K149" s="4">
        <v>2.7422526587607236E-3</v>
      </c>
      <c r="L149" s="4">
        <v>1.2795145973884287E-3</v>
      </c>
      <c r="M149" s="4">
        <v>1.5466343723566717E-4</v>
      </c>
    </row>
    <row r="150" spans="1:13">
      <c r="A150" s="39" t="s">
        <v>401</v>
      </c>
      <c r="B150" s="4">
        <v>4.3876144210914077E-2</v>
      </c>
      <c r="D150" s="4">
        <v>3.2201660476649463E-2</v>
      </c>
      <c r="E150" s="4">
        <v>5.5118397323845582E-2</v>
      </c>
      <c r="F150" s="4"/>
      <c r="G150" s="4">
        <v>3.692402837151524E-2</v>
      </c>
      <c r="H150" s="4">
        <v>3.8692441593258943E-2</v>
      </c>
      <c r="I150" s="4">
        <v>4.1326809820294089E-2</v>
      </c>
      <c r="J150" s="4">
        <v>4.3530908677623638E-2</v>
      </c>
      <c r="K150" s="4">
        <v>4.520190495365576E-2</v>
      </c>
      <c r="L150" s="4">
        <v>4.7641515076189703E-2</v>
      </c>
      <c r="M150" s="4">
        <v>4.6997223851138803E-2</v>
      </c>
    </row>
    <row r="151" spans="1:13">
      <c r="A151" s="39" t="s">
        <v>402</v>
      </c>
      <c r="B151" s="4">
        <v>9.721456601769114E-4</v>
      </c>
      <c r="D151" s="4">
        <v>1.2627327911165275E-3</v>
      </c>
      <c r="E151" s="4">
        <v>7.0190732554403779E-4</v>
      </c>
      <c r="F151" s="4"/>
      <c r="G151" s="4">
        <v>6.0606324615203799E-3</v>
      </c>
      <c r="H151" s="4">
        <v>1.7645138095423933E-3</v>
      </c>
      <c r="I151" s="4">
        <v>1.3709780077308489E-3</v>
      </c>
      <c r="J151" s="4">
        <v>9.1267707616372092E-4</v>
      </c>
      <c r="K151" s="4">
        <v>1.5854008557427391E-4</v>
      </c>
      <c r="L151" s="4">
        <v>6.4659940167032795E-4</v>
      </c>
      <c r="M151" s="4">
        <v>0</v>
      </c>
    </row>
    <row r="152" spans="1:13">
      <c r="A152" s="39" t="s">
        <v>403</v>
      </c>
      <c r="B152" s="4">
        <v>5.2031157489817494E-4</v>
      </c>
      <c r="D152" s="4">
        <v>6.6629769915379101E-4</v>
      </c>
      <c r="E152" s="4">
        <v>3.849442155453818E-4</v>
      </c>
      <c r="F152" s="4"/>
      <c r="G152" s="4">
        <v>4.0829905187275235E-3</v>
      </c>
      <c r="H152" s="4">
        <v>6.5105007308356353E-4</v>
      </c>
      <c r="I152" s="4">
        <v>5.2186802307668183E-4</v>
      </c>
      <c r="J152" s="4">
        <v>0</v>
      </c>
      <c r="K152" s="4">
        <v>6.9194038345887852E-4</v>
      </c>
      <c r="L152" s="4">
        <v>2.6889238287128048E-4</v>
      </c>
      <c r="M152" s="4">
        <v>1.6276863402757091E-4</v>
      </c>
    </row>
    <row r="153" spans="1:13">
      <c r="A153" s="39" t="s">
        <v>404</v>
      </c>
      <c r="B153" s="4">
        <v>2.7489943420663824E-3</v>
      </c>
      <c r="D153" s="4">
        <v>2.9447551036666394E-3</v>
      </c>
      <c r="E153" s="4">
        <v>2.5929112226101307E-3</v>
      </c>
      <c r="F153" s="4"/>
      <c r="G153" s="4">
        <v>5.5012652541912227E-3</v>
      </c>
      <c r="H153" s="4">
        <v>4.4099020428775733E-3</v>
      </c>
      <c r="I153" s="4">
        <v>5.1293308564791754E-3</v>
      </c>
      <c r="J153" s="4">
        <v>3.2862734212481767E-3</v>
      </c>
      <c r="K153" s="4">
        <v>1.8819322279248335E-3</v>
      </c>
      <c r="L153" s="4">
        <v>1.0681327250919609E-3</v>
      </c>
      <c r="M153" s="4">
        <v>5.9386688208717389E-4</v>
      </c>
    </row>
    <row r="154" spans="1:13">
      <c r="A154" s="39" t="s">
        <v>405</v>
      </c>
      <c r="B154" s="4">
        <v>2.7964631101940047E-5</v>
      </c>
      <c r="D154" s="4">
        <v>5.7107768044123438E-5</v>
      </c>
      <c r="E154" s="4">
        <v>0</v>
      </c>
      <c r="F154" s="4"/>
      <c r="G154" s="4">
        <v>0</v>
      </c>
      <c r="H154" s="4">
        <v>0</v>
      </c>
      <c r="I154" s="4">
        <v>0</v>
      </c>
      <c r="J154" s="4">
        <v>1.6455336529112643E-4</v>
      </c>
      <c r="K154" s="4">
        <v>0</v>
      </c>
      <c r="L154" s="4">
        <v>0</v>
      </c>
      <c r="M154" s="4">
        <v>0</v>
      </c>
    </row>
    <row r="155" spans="1:13">
      <c r="A155" s="39" t="s">
        <v>406</v>
      </c>
      <c r="B155" s="4">
        <v>9.9712880982011189E-5</v>
      </c>
      <c r="D155" s="4">
        <v>2.0362793477854725E-4</v>
      </c>
      <c r="E155" s="4">
        <v>0</v>
      </c>
      <c r="F155" s="4"/>
      <c r="G155" s="4">
        <v>0</v>
      </c>
      <c r="H155" s="4">
        <v>2.0526458709998064E-4</v>
      </c>
      <c r="I155" s="4">
        <v>0</v>
      </c>
      <c r="J155" s="4">
        <v>0</v>
      </c>
      <c r="K155" s="4">
        <v>0</v>
      </c>
      <c r="L155" s="4">
        <v>0</v>
      </c>
      <c r="M155" s="4">
        <v>3.7226826889381898E-4</v>
      </c>
    </row>
    <row r="156" spans="1:13">
      <c r="A156" s="39" t="s">
        <v>407</v>
      </c>
      <c r="B156" s="4">
        <v>1.4023799581925513E-4</v>
      </c>
      <c r="D156" s="4">
        <v>2.4321246534281165E-4</v>
      </c>
      <c r="E156" s="4">
        <v>0</v>
      </c>
      <c r="F156" s="4"/>
      <c r="G156" s="4">
        <v>0</v>
      </c>
      <c r="H156" s="4">
        <v>0</v>
      </c>
      <c r="I156" s="4">
        <v>7.8723841605072859E-4</v>
      </c>
      <c r="J156" s="4">
        <v>0</v>
      </c>
      <c r="K156" s="4">
        <v>0</v>
      </c>
      <c r="L156" s="4">
        <v>0</v>
      </c>
      <c r="M156" s="4">
        <v>0</v>
      </c>
    </row>
    <row r="157" spans="1:13">
      <c r="A157" s="132" t="s">
        <v>408</v>
      </c>
      <c r="B157" s="137">
        <v>2.7175469750110315E-2</v>
      </c>
      <c r="C157" s="133"/>
      <c r="D157" s="137">
        <v>7.5185613103607831E-3</v>
      </c>
      <c r="E157" s="137">
        <v>4.6445387669232438E-2</v>
      </c>
      <c r="F157" s="137"/>
      <c r="G157" s="137">
        <v>1.4431487527167473E-2</v>
      </c>
      <c r="H157" s="137">
        <v>1.7359000642109549E-2</v>
      </c>
      <c r="I157" s="137">
        <v>3.4569601098610764E-2</v>
      </c>
      <c r="J157" s="137">
        <v>3.0850349723358889E-2</v>
      </c>
      <c r="K157" s="137">
        <v>3.2839183630135854E-2</v>
      </c>
      <c r="L157" s="137">
        <v>3.0915551093706826E-2</v>
      </c>
      <c r="M157" s="137">
        <v>1.9009742519011941E-2</v>
      </c>
    </row>
    <row r="158" spans="1:13">
      <c r="A158" s="72"/>
      <c r="B158" s="156" t="s">
        <v>146</v>
      </c>
      <c r="C158" s="156"/>
      <c r="D158" s="156"/>
      <c r="E158" s="156"/>
      <c r="F158" s="156"/>
      <c r="G158" s="156"/>
      <c r="H158" s="156"/>
      <c r="I158" s="156"/>
      <c r="J158" s="156"/>
      <c r="K158" s="156"/>
      <c r="L158" s="156"/>
      <c r="M158" s="156"/>
    </row>
    <row r="159" spans="1:13">
      <c r="A159" s="39" t="s">
        <v>267</v>
      </c>
      <c r="B159" s="50">
        <v>25773.469149384924</v>
      </c>
      <c r="D159" s="50">
        <v>19224.149252215931</v>
      </c>
      <c r="E159" s="50">
        <v>4800.6109265989544</v>
      </c>
      <c r="F159" s="50"/>
      <c r="G159" s="50">
        <v>1748.7089705700366</v>
      </c>
      <c r="H159" s="50">
        <v>3654.8916259323896</v>
      </c>
      <c r="I159" s="50">
        <v>10124.875133651038</v>
      </c>
      <c r="J159" s="50">
        <v>7214.7726178356479</v>
      </c>
      <c r="K159" s="50">
        <v>2120.0774510945485</v>
      </c>
      <c r="L159" s="50">
        <v>560.86255173281552</v>
      </c>
      <c r="M159" s="50">
        <v>349.28079856845511</v>
      </c>
    </row>
    <row r="160" spans="1:13">
      <c r="A160" s="39" t="s">
        <v>268</v>
      </c>
      <c r="B160" s="50">
        <v>54640.409221307556</v>
      </c>
      <c r="D160" s="50">
        <v>35933.321509443871</v>
      </c>
      <c r="E160" s="50">
        <v>18707.087711863671</v>
      </c>
      <c r="F160" s="50"/>
      <c r="G160" s="50">
        <v>2818.0662781680721</v>
      </c>
      <c r="H160" s="50">
        <v>8228.0768938043384</v>
      </c>
      <c r="I160" s="50">
        <v>20691.423089518696</v>
      </c>
      <c r="J160" s="50">
        <v>15145.399746269359</v>
      </c>
      <c r="K160" s="50">
        <v>2979.6796682976956</v>
      </c>
      <c r="L160" s="50">
        <v>3124.4987606761733</v>
      </c>
      <c r="M160" s="50">
        <v>1653.2647845732031</v>
      </c>
    </row>
    <row r="161" spans="1:13">
      <c r="A161" s="39" t="s">
        <v>269</v>
      </c>
      <c r="B161" s="50">
        <v>36259.773492808585</v>
      </c>
      <c r="D161" s="50">
        <v>22923.096131431139</v>
      </c>
      <c r="E161" s="50">
        <v>12443.935500017889</v>
      </c>
      <c r="F161" s="50"/>
      <c r="G161" s="50">
        <v>2120.1816549602563</v>
      </c>
      <c r="H161" s="50">
        <v>4351.1552249671849</v>
      </c>
      <c r="I161" s="50">
        <v>12873.925207494598</v>
      </c>
      <c r="J161" s="50">
        <v>7142.2689546391493</v>
      </c>
      <c r="K161" s="50">
        <v>3250.7010327037574</v>
      </c>
      <c r="L161" s="50">
        <v>3641.2396625612</v>
      </c>
      <c r="M161" s="50">
        <v>2880.3017554824301</v>
      </c>
    </row>
    <row r="162" spans="1:13">
      <c r="A162" s="39" t="s">
        <v>270</v>
      </c>
      <c r="B162" s="50">
        <v>181066.41636858831</v>
      </c>
      <c r="D162" s="50">
        <v>111062.58686155299</v>
      </c>
      <c r="E162" s="50">
        <v>67193.010232356814</v>
      </c>
      <c r="F162" s="50"/>
      <c r="G162" s="50">
        <v>34648.525729612498</v>
      </c>
      <c r="H162" s="50">
        <v>40892.647490631818</v>
      </c>
      <c r="I162" s="50">
        <v>46396.859479677376</v>
      </c>
      <c r="J162" s="50">
        <v>36910.924540758955</v>
      </c>
      <c r="K162" s="50">
        <v>14597.324758216651</v>
      </c>
      <c r="L162" s="50">
        <v>3997.3384634895401</v>
      </c>
      <c r="M162" s="50">
        <v>3622.7959062013233</v>
      </c>
    </row>
    <row r="163" spans="1:13">
      <c r="A163" s="39" t="s">
        <v>271</v>
      </c>
      <c r="B163" s="50">
        <v>382160.40021119115</v>
      </c>
      <c r="D163" s="50">
        <v>300741.59579426696</v>
      </c>
      <c r="E163" s="50">
        <v>80992.723766507348</v>
      </c>
      <c r="F163" s="50"/>
      <c r="G163" s="50">
        <v>41347.985882595829</v>
      </c>
      <c r="H163" s="50">
        <v>96755.202512879783</v>
      </c>
      <c r="I163" s="50">
        <v>122944.63122729408</v>
      </c>
      <c r="J163" s="50">
        <v>78734.917390827395</v>
      </c>
      <c r="K163" s="50">
        <v>25838.405518987012</v>
      </c>
      <c r="L163" s="50">
        <v>14675.43397095633</v>
      </c>
      <c r="M163" s="50">
        <v>1863.8237076508271</v>
      </c>
    </row>
    <row r="164" spans="1:13">
      <c r="A164" s="39" t="s">
        <v>272</v>
      </c>
      <c r="B164" s="50">
        <v>184612.74499309453</v>
      </c>
      <c r="D164" s="50">
        <v>105126.94332164386</v>
      </c>
      <c r="E164" s="50">
        <v>75281.74636233825</v>
      </c>
      <c r="F164" s="50"/>
      <c r="G164" s="50">
        <v>50014.660002421952</v>
      </c>
      <c r="H164" s="50">
        <v>36860.031659201995</v>
      </c>
      <c r="I164" s="50">
        <v>54686.888734319051</v>
      </c>
      <c r="J164" s="50">
        <v>22327.633000767015</v>
      </c>
      <c r="K164" s="50">
        <v>9893.7175002056174</v>
      </c>
      <c r="L164" s="50">
        <v>6126.2936747280801</v>
      </c>
      <c r="M164" s="50">
        <v>4703.5204214506721</v>
      </c>
    </row>
    <row r="165" spans="1:13">
      <c r="A165" s="39" t="s">
        <v>273</v>
      </c>
      <c r="B165" s="50">
        <v>57847.387831725988</v>
      </c>
      <c r="D165" s="50">
        <v>48233.795008836045</v>
      </c>
      <c r="E165" s="50">
        <v>9613.5928228899375</v>
      </c>
      <c r="F165" s="50"/>
      <c r="G165" s="50">
        <v>6785.8338094713472</v>
      </c>
      <c r="H165" s="50">
        <v>10360.143203651378</v>
      </c>
      <c r="I165" s="50">
        <v>17195.520929569786</v>
      </c>
      <c r="J165" s="50">
        <v>14800.418275663835</v>
      </c>
      <c r="K165" s="50">
        <v>5626.011956975577</v>
      </c>
      <c r="L165" s="50">
        <v>2237.3180216675078</v>
      </c>
      <c r="M165" s="50">
        <v>842.14163472654138</v>
      </c>
    </row>
    <row r="166" spans="1:13">
      <c r="A166" s="39" t="s">
        <v>274</v>
      </c>
      <c r="B166" s="50">
        <v>553120.99819214619</v>
      </c>
      <c r="D166" s="50">
        <v>384822.66046572605</v>
      </c>
      <c r="E166" s="50">
        <v>164084.29900596995</v>
      </c>
      <c r="F166" s="50"/>
      <c r="G166" s="50">
        <v>113885.0787486608</v>
      </c>
      <c r="H166" s="50">
        <v>146262.12521205586</v>
      </c>
      <c r="I166" s="50">
        <v>135429.01502798623</v>
      </c>
      <c r="J166" s="50">
        <v>102573.42507157108</v>
      </c>
      <c r="K166" s="50">
        <v>34892.315954670063</v>
      </c>
      <c r="L166" s="50">
        <v>12624.361141126761</v>
      </c>
      <c r="M166" s="50">
        <v>7454.6770360759792</v>
      </c>
    </row>
    <row r="167" spans="1:13">
      <c r="A167" s="39" t="s">
        <v>275</v>
      </c>
      <c r="B167" s="50">
        <v>5743.2643265509769</v>
      </c>
      <c r="D167" s="50">
        <v>3736.2015627374631</v>
      </c>
      <c r="E167" s="50">
        <v>2007.0627638135143</v>
      </c>
      <c r="F167" s="50"/>
      <c r="G167" s="50">
        <v>0</v>
      </c>
      <c r="H167" s="50">
        <v>482.72943702836585</v>
      </c>
      <c r="I167" s="50">
        <v>4250.3464963201732</v>
      </c>
      <c r="J167" s="50">
        <v>507.7263335059738</v>
      </c>
      <c r="K167" s="50">
        <v>502.46205969646445</v>
      </c>
      <c r="L167" s="50">
        <v>0</v>
      </c>
      <c r="M167" s="50">
        <v>0</v>
      </c>
    </row>
    <row r="168" spans="1:13">
      <c r="A168" s="39" t="s">
        <v>276</v>
      </c>
      <c r="B168" s="50">
        <v>1111.0281564964862</v>
      </c>
      <c r="D168" s="50">
        <v>570.22566170557855</v>
      </c>
      <c r="E168" s="50">
        <v>540.80249479090753</v>
      </c>
      <c r="F168" s="50"/>
      <c r="G168" s="50">
        <v>0</v>
      </c>
      <c r="H168" s="50">
        <v>540.80249479090753</v>
      </c>
      <c r="I168" s="50">
        <v>570.22566170557855</v>
      </c>
      <c r="J168" s="50">
        <v>0</v>
      </c>
      <c r="K168" s="50">
        <v>0</v>
      </c>
      <c r="L168" s="50">
        <v>0</v>
      </c>
      <c r="M168" s="50">
        <v>0</v>
      </c>
    </row>
    <row r="169" spans="1:13">
      <c r="A169" s="39" t="s">
        <v>277</v>
      </c>
      <c r="B169" s="50">
        <v>22469.665704606356</v>
      </c>
      <c r="D169" s="50">
        <v>14428.304084982759</v>
      </c>
      <c r="E169" s="50">
        <v>7539.7849885670339</v>
      </c>
      <c r="F169" s="50"/>
      <c r="G169" s="50">
        <v>0</v>
      </c>
      <c r="H169" s="50">
        <v>3375.8714918515648</v>
      </c>
      <c r="I169" s="50">
        <v>5565.6729011566567</v>
      </c>
      <c r="J169" s="50">
        <v>3998.68035928465</v>
      </c>
      <c r="K169" s="50">
        <v>2246.05405596113</v>
      </c>
      <c r="L169" s="50">
        <v>4474.1632206034119</v>
      </c>
      <c r="M169" s="50">
        <v>2809.2236757489459</v>
      </c>
    </row>
    <row r="170" spans="1:13">
      <c r="A170" s="39" t="s">
        <v>278</v>
      </c>
      <c r="B170" s="50">
        <v>4891.1425096888452</v>
      </c>
      <c r="D170" s="50">
        <v>2853.2336473444157</v>
      </c>
      <c r="E170" s="50">
        <v>2037.9088623444295</v>
      </c>
      <c r="F170" s="50"/>
      <c r="G170" s="50">
        <v>0</v>
      </c>
      <c r="H170" s="50">
        <v>1551.0421247359013</v>
      </c>
      <c r="I170" s="50">
        <v>588.28389788077982</v>
      </c>
      <c r="J170" s="50">
        <v>1589.1951680315235</v>
      </c>
      <c r="K170" s="50">
        <v>1162.6213190406406</v>
      </c>
      <c r="L170" s="50">
        <v>0</v>
      </c>
      <c r="M170" s="50">
        <v>0</v>
      </c>
    </row>
    <row r="171" spans="1:13">
      <c r="A171" s="39" t="s">
        <v>279</v>
      </c>
      <c r="B171" s="50">
        <v>0</v>
      </c>
      <c r="D171" s="50">
        <v>0</v>
      </c>
      <c r="E171" s="50">
        <v>0</v>
      </c>
      <c r="F171" s="50"/>
      <c r="G171" s="50">
        <v>0</v>
      </c>
      <c r="H171" s="50">
        <v>0</v>
      </c>
      <c r="I171" s="50">
        <v>0</v>
      </c>
      <c r="J171" s="50">
        <v>0</v>
      </c>
      <c r="K171" s="50">
        <v>0</v>
      </c>
      <c r="L171" s="50">
        <v>0</v>
      </c>
      <c r="M171" s="50">
        <v>0</v>
      </c>
    </row>
    <row r="172" spans="1:13">
      <c r="A172" s="39" t="s">
        <v>280</v>
      </c>
      <c r="B172" s="50">
        <v>3618.4632762145015</v>
      </c>
      <c r="D172" s="50">
        <v>530.27895486425007</v>
      </c>
      <c r="E172" s="50">
        <v>3088.1843213502516</v>
      </c>
      <c r="F172" s="50"/>
      <c r="G172" s="50">
        <v>0</v>
      </c>
      <c r="H172" s="50">
        <v>0</v>
      </c>
      <c r="I172" s="50">
        <v>0</v>
      </c>
      <c r="J172" s="50">
        <v>0</v>
      </c>
      <c r="K172" s="50">
        <v>530.27895486425007</v>
      </c>
      <c r="L172" s="50">
        <v>0</v>
      </c>
      <c r="M172" s="50">
        <v>3088.1843213502516</v>
      </c>
    </row>
    <row r="173" spans="1:13">
      <c r="A173" s="39" t="s">
        <v>281</v>
      </c>
      <c r="B173" s="50">
        <v>0</v>
      </c>
      <c r="D173" s="50">
        <v>0</v>
      </c>
      <c r="E173" s="50">
        <v>0</v>
      </c>
      <c r="F173" s="50"/>
      <c r="G173" s="50">
        <v>0</v>
      </c>
      <c r="H173" s="50">
        <v>0</v>
      </c>
      <c r="I173" s="50">
        <v>0</v>
      </c>
      <c r="J173" s="50">
        <v>0</v>
      </c>
      <c r="K173" s="50">
        <v>0</v>
      </c>
      <c r="L173" s="50">
        <v>0</v>
      </c>
      <c r="M173" s="50">
        <v>0</v>
      </c>
    </row>
    <row r="174" spans="1:13">
      <c r="A174" s="39" t="s">
        <v>282</v>
      </c>
      <c r="B174" s="50">
        <v>2351.1218337595951</v>
      </c>
      <c r="D174" s="50">
        <v>1911.6093653108646</v>
      </c>
      <c r="E174" s="50">
        <v>439.51246844873037</v>
      </c>
      <c r="F174" s="50"/>
      <c r="G174" s="50">
        <v>0</v>
      </c>
      <c r="H174" s="50">
        <v>425.55171914380242</v>
      </c>
      <c r="I174" s="50">
        <v>469.83231825186624</v>
      </c>
      <c r="J174" s="50">
        <v>959.55473487804261</v>
      </c>
      <c r="K174" s="50">
        <v>496.18306148588374</v>
      </c>
      <c r="L174" s="50">
        <v>0</v>
      </c>
      <c r="M174" s="50">
        <v>0</v>
      </c>
    </row>
    <row r="175" spans="1:13">
      <c r="A175" s="39" t="s">
        <v>283</v>
      </c>
      <c r="B175" s="50">
        <v>1003.9093949918575</v>
      </c>
      <c r="D175" s="50">
        <v>1003.9093949918575</v>
      </c>
      <c r="E175" s="50">
        <v>0</v>
      </c>
      <c r="F175" s="50"/>
      <c r="G175" s="50">
        <v>0</v>
      </c>
      <c r="H175" s="50">
        <v>0</v>
      </c>
      <c r="I175" s="50">
        <v>0</v>
      </c>
      <c r="J175" s="50">
        <v>507.7263335059738</v>
      </c>
      <c r="K175" s="50">
        <v>496.18306148588374</v>
      </c>
      <c r="L175" s="50">
        <v>0</v>
      </c>
      <c r="M175" s="50">
        <v>0</v>
      </c>
    </row>
    <row r="176" spans="1:13">
      <c r="A176" s="39" t="s">
        <v>284</v>
      </c>
      <c r="B176" s="50">
        <v>166655.57088804228</v>
      </c>
      <c r="D176" s="50">
        <v>115537.02997787854</v>
      </c>
      <c r="E176" s="50">
        <v>50605.836488506342</v>
      </c>
      <c r="F176" s="50"/>
      <c r="G176" s="50">
        <v>1740.1198930317917</v>
      </c>
      <c r="H176" s="50">
        <v>1992.4792758813912</v>
      </c>
      <c r="I176" s="50">
        <v>6982.6451163898955</v>
      </c>
      <c r="J176" s="50">
        <v>5864.9501306967622</v>
      </c>
      <c r="K176" s="50">
        <v>14874.265124380299</v>
      </c>
      <c r="L176" s="50">
        <v>26308.089372955012</v>
      </c>
      <c r="M176" s="50">
        <v>108893.02197470711</v>
      </c>
    </row>
    <row r="177" spans="1:13">
      <c r="A177" s="39" t="s">
        <v>285</v>
      </c>
      <c r="B177" s="50">
        <v>129509.25794814198</v>
      </c>
      <c r="D177" s="50">
        <v>63218.240786441005</v>
      </c>
      <c r="E177" s="50">
        <v>65863.359119303015</v>
      </c>
      <c r="F177" s="50"/>
      <c r="G177" s="50">
        <v>9502.6822719188622</v>
      </c>
      <c r="H177" s="50">
        <v>28284.315285743116</v>
      </c>
      <c r="I177" s="50">
        <v>38939.047026869688</v>
      </c>
      <c r="J177" s="50">
        <v>29834.618035920645</v>
      </c>
      <c r="K177" s="50">
        <v>12966.62089423522</v>
      </c>
      <c r="L177" s="50">
        <v>7953.9980464375403</v>
      </c>
      <c r="M177" s="50">
        <v>2027.9763870169431</v>
      </c>
    </row>
    <row r="178" spans="1:13">
      <c r="A178" s="39" t="s">
        <v>286</v>
      </c>
      <c r="B178" s="50">
        <v>0</v>
      </c>
      <c r="D178" s="50">
        <v>0</v>
      </c>
      <c r="E178" s="50">
        <v>0</v>
      </c>
      <c r="F178" s="50"/>
      <c r="G178" s="50">
        <v>0</v>
      </c>
      <c r="H178" s="50">
        <v>0</v>
      </c>
      <c r="I178" s="50">
        <v>0</v>
      </c>
      <c r="J178" s="50">
        <v>0</v>
      </c>
      <c r="K178" s="50">
        <v>0</v>
      </c>
      <c r="L178" s="50">
        <v>0</v>
      </c>
      <c r="M178" s="50">
        <v>0</v>
      </c>
    </row>
    <row r="179" spans="1:13">
      <c r="A179" s="39" t="s">
        <v>287</v>
      </c>
      <c r="B179" s="50">
        <v>450870.88997229998</v>
      </c>
      <c r="D179" s="50">
        <v>199511.40752128552</v>
      </c>
      <c r="E179" s="50">
        <v>248206.3253763901</v>
      </c>
      <c r="F179" s="50"/>
      <c r="G179" s="50">
        <v>36376.054337100984</v>
      </c>
      <c r="H179" s="50">
        <v>44534.779693650111</v>
      </c>
      <c r="I179" s="50">
        <v>91326.664102277442</v>
      </c>
      <c r="J179" s="50">
        <v>74112.97930919296</v>
      </c>
      <c r="K179" s="50">
        <v>73722.570590292438</v>
      </c>
      <c r="L179" s="50">
        <v>57537.488631590611</v>
      </c>
      <c r="M179" s="50">
        <v>73260.353308195728</v>
      </c>
    </row>
    <row r="180" spans="1:13">
      <c r="A180" s="39" t="s">
        <v>288</v>
      </c>
      <c r="B180" s="50">
        <v>11305.274247056834</v>
      </c>
      <c r="D180" s="50">
        <v>5906.5522372137648</v>
      </c>
      <c r="E180" s="50">
        <v>5398.7220098430698</v>
      </c>
      <c r="F180" s="50"/>
      <c r="G180" s="50">
        <v>0</v>
      </c>
      <c r="H180" s="50">
        <v>3882.0313188975206</v>
      </c>
      <c r="I180" s="50">
        <v>4074.9220798022052</v>
      </c>
      <c r="J180" s="50">
        <v>1532.4081399913173</v>
      </c>
      <c r="K180" s="50">
        <v>911.29501943432217</v>
      </c>
      <c r="L180" s="50">
        <v>904.61768893146711</v>
      </c>
      <c r="M180" s="50">
        <v>0</v>
      </c>
    </row>
    <row r="181" spans="1:13">
      <c r="A181" s="39" t="s">
        <v>289</v>
      </c>
      <c r="B181" s="50">
        <v>5604.6585011843863</v>
      </c>
      <c r="D181" s="50">
        <v>5604.6585011843863</v>
      </c>
      <c r="E181" s="50">
        <v>0</v>
      </c>
      <c r="F181" s="50"/>
      <c r="G181" s="50">
        <v>0</v>
      </c>
      <c r="H181" s="50">
        <v>576.63429851602052</v>
      </c>
      <c r="I181" s="50">
        <v>2864.1747328833767</v>
      </c>
      <c r="J181" s="50">
        <v>2163.8494697849892</v>
      </c>
      <c r="K181" s="50">
        <v>0</v>
      </c>
      <c r="L181" s="50">
        <v>0</v>
      </c>
      <c r="M181" s="50">
        <v>0</v>
      </c>
    </row>
    <row r="182" spans="1:13">
      <c r="A182" s="39" t="s">
        <v>290</v>
      </c>
      <c r="B182" s="50">
        <v>53978.066351157875</v>
      </c>
      <c r="D182" s="50">
        <v>24668.917724663774</v>
      </c>
      <c r="E182" s="50">
        <v>29309.148626494112</v>
      </c>
      <c r="F182" s="50"/>
      <c r="G182" s="50">
        <v>11243.780782860526</v>
      </c>
      <c r="H182" s="50">
        <v>6018.4146663066231</v>
      </c>
      <c r="I182" s="50">
        <v>12274.237397430872</v>
      </c>
      <c r="J182" s="50">
        <v>6924.3209044221403</v>
      </c>
      <c r="K182" s="50">
        <v>10111.457239483767</v>
      </c>
      <c r="L182" s="50">
        <v>5827.9933339105373</v>
      </c>
      <c r="M182" s="50">
        <v>1577.862026743421</v>
      </c>
    </row>
    <row r="183" spans="1:13">
      <c r="A183" s="39" t="s">
        <v>291</v>
      </c>
      <c r="B183" s="50">
        <v>6252.889975409531</v>
      </c>
      <c r="D183" s="50">
        <v>496.02917103080938</v>
      </c>
      <c r="E183" s="50">
        <v>5311.1910704055026</v>
      </c>
      <c r="F183" s="50"/>
      <c r="G183" s="50">
        <v>0</v>
      </c>
      <c r="H183" s="50">
        <v>1610.3092526391092</v>
      </c>
      <c r="I183" s="50">
        <v>2719.0876316771669</v>
      </c>
      <c r="J183" s="50">
        <v>1433.9052736722306</v>
      </c>
      <c r="K183" s="50">
        <v>0</v>
      </c>
      <c r="L183" s="50">
        <v>489.58781742102337</v>
      </c>
      <c r="M183" s="50">
        <v>0</v>
      </c>
    </row>
    <row r="184" spans="1:13">
      <c r="A184" s="39" t="s">
        <v>292</v>
      </c>
      <c r="B184" s="50">
        <v>351753.63100565621</v>
      </c>
      <c r="D184" s="50">
        <v>313160.40719644621</v>
      </c>
      <c r="E184" s="50">
        <v>37595.783111389173</v>
      </c>
      <c r="F184" s="50"/>
      <c r="G184" s="50">
        <v>42599.518252536109</v>
      </c>
      <c r="H184" s="50">
        <v>65330.173436722791</v>
      </c>
      <c r="I184" s="50">
        <v>95449.176131373693</v>
      </c>
      <c r="J184" s="50">
        <v>76556.900247178084</v>
      </c>
      <c r="K184" s="50">
        <v>45723.727698720788</v>
      </c>
      <c r="L184" s="50">
        <v>16050.936346897737</v>
      </c>
      <c r="M184" s="50">
        <v>10043.198892227174</v>
      </c>
    </row>
    <row r="185" spans="1:13">
      <c r="A185" s="39" t="s">
        <v>293</v>
      </c>
      <c r="B185" s="50">
        <v>15365.004690499294</v>
      </c>
      <c r="D185" s="50">
        <v>7635.9525906690051</v>
      </c>
      <c r="E185" s="50">
        <v>7729.0520998302882</v>
      </c>
      <c r="F185" s="50"/>
      <c r="G185" s="50">
        <v>0</v>
      </c>
      <c r="H185" s="50">
        <v>484.37335046965711</v>
      </c>
      <c r="I185" s="50">
        <v>1491.6519427623311</v>
      </c>
      <c r="J185" s="50">
        <v>574.08757824134398</v>
      </c>
      <c r="K185" s="50">
        <v>570.67452149677899</v>
      </c>
      <c r="L185" s="50">
        <v>1483.8299692386283</v>
      </c>
      <c r="M185" s="50">
        <v>10760.387328290555</v>
      </c>
    </row>
    <row r="186" spans="1:13">
      <c r="A186" s="39" t="s">
        <v>294</v>
      </c>
      <c r="B186" s="50">
        <v>101089.53135770196</v>
      </c>
      <c r="D186" s="50">
        <v>34159.399835061413</v>
      </c>
      <c r="E186" s="50">
        <v>66930.131522640513</v>
      </c>
      <c r="F186" s="50"/>
      <c r="G186" s="50">
        <v>3500.4531823299799</v>
      </c>
      <c r="H186" s="50">
        <v>7310.6781680779641</v>
      </c>
      <c r="I186" s="50">
        <v>40359.508875889253</v>
      </c>
      <c r="J186" s="50">
        <v>30418.147162497658</v>
      </c>
      <c r="K186" s="50">
        <v>12262.940694917164</v>
      </c>
      <c r="L186" s="50">
        <v>5547.7510930902117</v>
      </c>
      <c r="M186" s="50">
        <v>1690.052180899708</v>
      </c>
    </row>
    <row r="187" spans="1:13">
      <c r="A187" s="39" t="s">
        <v>295</v>
      </c>
      <c r="B187" s="50">
        <v>3969.6656286304669</v>
      </c>
      <c r="D187" s="50">
        <v>3969.6656286304669</v>
      </c>
      <c r="E187" s="50">
        <v>0</v>
      </c>
      <c r="F187" s="50"/>
      <c r="G187" s="50">
        <v>0</v>
      </c>
      <c r="H187" s="50">
        <v>0</v>
      </c>
      <c r="I187" s="50">
        <v>2496.9776676926954</v>
      </c>
      <c r="J187" s="50">
        <v>1000.0484770133794</v>
      </c>
      <c r="K187" s="50">
        <v>472.63948392439215</v>
      </c>
      <c r="L187" s="50">
        <v>0</v>
      </c>
      <c r="M187" s="50">
        <v>0</v>
      </c>
    </row>
    <row r="188" spans="1:13">
      <c r="A188" s="39" t="s">
        <v>296</v>
      </c>
      <c r="B188" s="50">
        <v>233408.49212877659</v>
      </c>
      <c r="D188" s="50">
        <v>141824.25699893586</v>
      </c>
      <c r="E188" s="50">
        <v>90152.594616300965</v>
      </c>
      <c r="F188" s="50"/>
      <c r="G188" s="50">
        <v>7531.0022738424532</v>
      </c>
      <c r="H188" s="50">
        <v>24020.310782275028</v>
      </c>
      <c r="I188" s="50">
        <v>48589.011477952205</v>
      </c>
      <c r="J188" s="50">
        <v>39287.660387696094</v>
      </c>
      <c r="K188" s="50">
        <v>41593.732626041339</v>
      </c>
      <c r="L188" s="50">
        <v>39805.704114908061</v>
      </c>
      <c r="M188" s="50">
        <v>32581.070466061192</v>
      </c>
    </row>
    <row r="189" spans="1:13">
      <c r="A189" s="39" t="s">
        <v>297</v>
      </c>
      <c r="B189" s="50">
        <v>138595.33427013701</v>
      </c>
      <c r="D189" s="50">
        <v>15558.870593670059</v>
      </c>
      <c r="E189" s="50">
        <v>121690.17103602715</v>
      </c>
      <c r="F189" s="50"/>
      <c r="G189" s="50">
        <v>20410.839937664819</v>
      </c>
      <c r="H189" s="50">
        <v>38055.478988940173</v>
      </c>
      <c r="I189" s="50">
        <v>31917.414328497372</v>
      </c>
      <c r="J189" s="50">
        <v>20191.504441595302</v>
      </c>
      <c r="K189" s="50">
        <v>8962.6343166881379</v>
      </c>
      <c r="L189" s="50">
        <v>10963.137506076966</v>
      </c>
      <c r="M189" s="50">
        <v>8094.3247506742864</v>
      </c>
    </row>
    <row r="190" spans="1:13">
      <c r="A190" s="39" t="s">
        <v>298</v>
      </c>
      <c r="B190" s="50">
        <v>222451.33589069793</v>
      </c>
      <c r="D190" s="50">
        <v>40305.298379130683</v>
      </c>
      <c r="E190" s="50">
        <v>181202.68619891879</v>
      </c>
      <c r="F190" s="50"/>
      <c r="G190" s="50">
        <v>15336.654965819836</v>
      </c>
      <c r="H190" s="50">
        <v>29139.298283316442</v>
      </c>
      <c r="I190" s="50">
        <v>37971.090604504607</v>
      </c>
      <c r="J190" s="50">
        <v>46448.993146302259</v>
      </c>
      <c r="K190" s="50">
        <v>24182.214172437038</v>
      </c>
      <c r="L190" s="50">
        <v>23896.758698224989</v>
      </c>
      <c r="M190" s="50">
        <v>45476.326020092871</v>
      </c>
    </row>
    <row r="191" spans="1:13">
      <c r="A191" s="39" t="s">
        <v>299</v>
      </c>
      <c r="B191" s="50">
        <v>15010.831967212889</v>
      </c>
      <c r="D191" s="50">
        <v>9803.4732523721741</v>
      </c>
      <c r="E191" s="50">
        <v>5207.3587148407123</v>
      </c>
      <c r="F191" s="50"/>
      <c r="G191" s="50">
        <v>0</v>
      </c>
      <c r="H191" s="50">
        <v>515.59985954522892</v>
      </c>
      <c r="I191" s="50">
        <v>3019.9533134287085</v>
      </c>
      <c r="J191" s="50">
        <v>2143.4191632303905</v>
      </c>
      <c r="K191" s="50">
        <v>1945.5757182822447</v>
      </c>
      <c r="L191" s="50">
        <v>1311.5612566959164</v>
      </c>
      <c r="M191" s="50">
        <v>6074.722656030398</v>
      </c>
    </row>
    <row r="192" spans="1:13">
      <c r="A192" s="39" t="s">
        <v>300</v>
      </c>
      <c r="B192" s="50">
        <v>2888.5037154748834</v>
      </c>
      <c r="D192" s="50">
        <v>1553.1460112718273</v>
      </c>
      <c r="E192" s="50">
        <v>1335.3577042030558</v>
      </c>
      <c r="F192" s="50"/>
      <c r="G192" s="50">
        <v>0</v>
      </c>
      <c r="H192" s="50">
        <v>887.518146115641</v>
      </c>
      <c r="I192" s="50">
        <v>1500.8459059774575</v>
      </c>
      <c r="J192" s="50">
        <v>500.13966338178477</v>
      </c>
      <c r="K192" s="50">
        <v>0</v>
      </c>
      <c r="L192" s="50">
        <v>0</v>
      </c>
      <c r="M192" s="50">
        <v>0</v>
      </c>
    </row>
    <row r="193" spans="1:13">
      <c r="A193" s="39" t="s">
        <v>301</v>
      </c>
      <c r="B193" s="50">
        <v>11436.821520442682</v>
      </c>
      <c r="D193" s="50">
        <v>4750.3657565781514</v>
      </c>
      <c r="E193" s="50">
        <v>6240.7860298913092</v>
      </c>
      <c r="F193" s="50"/>
      <c r="G193" s="50">
        <v>3497.5187218495157</v>
      </c>
      <c r="H193" s="50">
        <v>2962.8874623962929</v>
      </c>
      <c r="I193" s="50">
        <v>3938.7985824579009</v>
      </c>
      <c r="J193" s="50">
        <v>1037.6167537389701</v>
      </c>
      <c r="K193" s="50">
        <v>0</v>
      </c>
      <c r="L193" s="50">
        <v>0</v>
      </c>
      <c r="M193" s="50">
        <v>0</v>
      </c>
    </row>
    <row r="194" spans="1:13">
      <c r="A194" s="39" t="s">
        <v>302</v>
      </c>
      <c r="B194" s="50">
        <v>9469.521762330105</v>
      </c>
      <c r="D194" s="50">
        <v>4616.0726698968547</v>
      </c>
      <c r="E194" s="50">
        <v>4853.4490924332513</v>
      </c>
      <c r="F194" s="50"/>
      <c r="G194" s="50">
        <v>0</v>
      </c>
      <c r="H194" s="50">
        <v>500.94056668179422</v>
      </c>
      <c r="I194" s="50">
        <v>1384.923248170664</v>
      </c>
      <c r="J194" s="50">
        <v>1117.4413467810084</v>
      </c>
      <c r="K194" s="50">
        <v>2172.1164659756641</v>
      </c>
      <c r="L194" s="50">
        <v>1406.6121449284576</v>
      </c>
      <c r="M194" s="50">
        <v>2887.4879897925171</v>
      </c>
    </row>
    <row r="195" spans="1:13">
      <c r="A195" s="39" t="s">
        <v>303</v>
      </c>
      <c r="B195" s="50">
        <v>3365.228393244397</v>
      </c>
      <c r="D195" s="50">
        <v>1929.388743646578</v>
      </c>
      <c r="E195" s="50">
        <v>1435.8396495978191</v>
      </c>
      <c r="F195" s="50"/>
      <c r="G195" s="50">
        <v>0</v>
      </c>
      <c r="H195" s="50">
        <v>1442.0061732441286</v>
      </c>
      <c r="I195" s="50">
        <v>908.76048151286318</v>
      </c>
      <c r="J195" s="50">
        <v>1014.461738487405</v>
      </c>
      <c r="K195" s="50">
        <v>0</v>
      </c>
      <c r="L195" s="50">
        <v>0</v>
      </c>
      <c r="M195" s="50">
        <v>0</v>
      </c>
    </row>
    <row r="196" spans="1:13">
      <c r="A196" s="39" t="s">
        <v>304</v>
      </c>
      <c r="B196" s="50">
        <v>50036.083023691055</v>
      </c>
      <c r="D196" s="50">
        <v>10393.954819556855</v>
      </c>
      <c r="E196" s="50">
        <v>38646.424040079153</v>
      </c>
      <c r="F196" s="50"/>
      <c r="G196" s="50">
        <v>1748.7089705700366</v>
      </c>
      <c r="H196" s="50">
        <v>10730.725124786373</v>
      </c>
      <c r="I196" s="50">
        <v>12544.143079384001</v>
      </c>
      <c r="J196" s="50">
        <v>11864.791162314918</v>
      </c>
      <c r="K196" s="50">
        <v>7011.5278238522487</v>
      </c>
      <c r="L196" s="50">
        <v>4564.505047888043</v>
      </c>
      <c r="M196" s="50">
        <v>1571.6818148954167</v>
      </c>
    </row>
    <row r="197" spans="1:13">
      <c r="A197" s="39" t="s">
        <v>305</v>
      </c>
      <c r="B197" s="50">
        <v>23125.340253894457</v>
      </c>
      <c r="D197" s="50">
        <v>17739.039122186863</v>
      </c>
      <c r="E197" s="50">
        <v>5386.3011317075961</v>
      </c>
      <c r="F197" s="50"/>
      <c r="G197" s="50">
        <v>0</v>
      </c>
      <c r="H197" s="50">
        <v>6825.0819152855702</v>
      </c>
      <c r="I197" s="50">
        <v>8908.0000626727488</v>
      </c>
      <c r="J197" s="50">
        <v>5220.0496152278938</v>
      </c>
      <c r="K197" s="50">
        <v>2172.2086607082442</v>
      </c>
      <c r="L197" s="50">
        <v>0</v>
      </c>
      <c r="M197" s="50">
        <v>0</v>
      </c>
    </row>
    <row r="198" spans="1:13">
      <c r="A198" s="39" t="s">
        <v>306</v>
      </c>
      <c r="B198" s="50">
        <v>7037.9975088059737</v>
      </c>
      <c r="D198" s="50">
        <v>5517.7159562225925</v>
      </c>
      <c r="E198" s="50">
        <v>1520.2815525833821</v>
      </c>
      <c r="F198" s="50"/>
      <c r="G198" s="50">
        <v>1624.335949052482</v>
      </c>
      <c r="H198" s="50">
        <v>504.3665108614469</v>
      </c>
      <c r="I198" s="50">
        <v>1623.8475698386319</v>
      </c>
      <c r="J198" s="50">
        <v>612.39290407909402</v>
      </c>
      <c r="K198" s="50">
        <v>1588.9497842177916</v>
      </c>
      <c r="L198" s="50">
        <v>690.65005683972709</v>
      </c>
      <c r="M198" s="50">
        <v>393.45473391680088</v>
      </c>
    </row>
    <row r="199" spans="1:13">
      <c r="A199" s="39" t="s">
        <v>307</v>
      </c>
      <c r="B199" s="50">
        <v>24611.738656314021</v>
      </c>
      <c r="D199" s="50">
        <v>20708.881710581845</v>
      </c>
      <c r="E199" s="50">
        <v>3902.8569457321801</v>
      </c>
      <c r="F199" s="50"/>
      <c r="G199" s="50">
        <v>0</v>
      </c>
      <c r="H199" s="50">
        <v>1135.1681358958504</v>
      </c>
      <c r="I199" s="50">
        <v>5175.728615070193</v>
      </c>
      <c r="J199" s="50">
        <v>4423.5452441630114</v>
      </c>
      <c r="K199" s="50">
        <v>3942.3588975321418</v>
      </c>
      <c r="L199" s="50">
        <v>2868.6098414695648</v>
      </c>
      <c r="M199" s="50">
        <v>7066.3279221832636</v>
      </c>
    </row>
    <row r="200" spans="1:13">
      <c r="A200" s="39" t="s">
        <v>308</v>
      </c>
      <c r="B200" s="50">
        <v>2602791.9239975186</v>
      </c>
      <c r="D200" s="50">
        <v>984323.86198124348</v>
      </c>
      <c r="E200" s="50">
        <v>1610111.4208738974</v>
      </c>
      <c r="F200" s="50"/>
      <c r="G200" s="50">
        <v>99867.454173053935</v>
      </c>
      <c r="H200" s="50">
        <v>309698.60904371634</v>
      </c>
      <c r="I200" s="50">
        <v>559135.50636280759</v>
      </c>
      <c r="J200" s="50">
        <v>461840.65994023182</v>
      </c>
      <c r="K200" s="50">
        <v>353046.82396392833</v>
      </c>
      <c r="L200" s="50">
        <v>313716.150480991</v>
      </c>
      <c r="M200" s="50">
        <v>505486.7200328366</v>
      </c>
    </row>
    <row r="201" spans="1:13">
      <c r="A201" s="39" t="s">
        <v>309</v>
      </c>
      <c r="B201" s="50">
        <v>1068.3689818130283</v>
      </c>
      <c r="D201" s="50">
        <v>521.07255447346631</v>
      </c>
      <c r="E201" s="50">
        <v>547.29642733956211</v>
      </c>
      <c r="F201" s="50"/>
      <c r="G201" s="50">
        <v>0</v>
      </c>
      <c r="H201" s="50">
        <v>547.29642733956211</v>
      </c>
      <c r="I201" s="50">
        <v>0</v>
      </c>
      <c r="J201" s="50">
        <v>0</v>
      </c>
      <c r="K201" s="50">
        <v>521.07255447346631</v>
      </c>
      <c r="L201" s="50">
        <v>0</v>
      </c>
      <c r="M201" s="50">
        <v>0</v>
      </c>
    </row>
    <row r="202" spans="1:13">
      <c r="A202" s="39" t="s">
        <v>310</v>
      </c>
      <c r="B202" s="50">
        <v>26588.579537912992</v>
      </c>
      <c r="D202" s="50">
        <v>19059.378676062701</v>
      </c>
      <c r="E202" s="50">
        <v>5806.2730472586572</v>
      </c>
      <c r="F202" s="50"/>
      <c r="G202" s="50">
        <v>6546.3336470720578</v>
      </c>
      <c r="H202" s="50">
        <v>8840.1349758508841</v>
      </c>
      <c r="I202" s="50">
        <v>8272.6491867358291</v>
      </c>
      <c r="J202" s="50">
        <v>1500.2350437440259</v>
      </c>
      <c r="K202" s="50">
        <v>574.70829986878391</v>
      </c>
      <c r="L202" s="50">
        <v>854.51838464140724</v>
      </c>
      <c r="M202" s="50">
        <v>0</v>
      </c>
    </row>
    <row r="203" spans="1:13">
      <c r="A203" s="39" t="s">
        <v>311</v>
      </c>
      <c r="B203" s="50">
        <v>772483.5461432545</v>
      </c>
      <c r="D203" s="50">
        <v>597169.57630586624</v>
      </c>
      <c r="E203" s="50">
        <v>170488.68245535946</v>
      </c>
      <c r="F203" s="50"/>
      <c r="G203" s="50">
        <v>110952.40586995699</v>
      </c>
      <c r="H203" s="50">
        <v>209582.74084597785</v>
      </c>
      <c r="I203" s="50">
        <v>212241.9286902273</v>
      </c>
      <c r="J203" s="50">
        <v>140973.58843644848</v>
      </c>
      <c r="K203" s="50">
        <v>78047.083818336308</v>
      </c>
      <c r="L203" s="50">
        <v>17173.122049131114</v>
      </c>
      <c r="M203" s="50">
        <v>3512.676433178146</v>
      </c>
    </row>
    <row r="204" spans="1:13">
      <c r="A204" s="39" t="s">
        <v>312</v>
      </c>
      <c r="B204" s="50">
        <v>8592.3227348256132</v>
      </c>
      <c r="D204" s="50">
        <v>6191.8285917610074</v>
      </c>
      <c r="E204" s="50">
        <v>2400.4941430646072</v>
      </c>
      <c r="F204" s="50"/>
      <c r="G204" s="50">
        <v>1830.0463327813425</v>
      </c>
      <c r="H204" s="50">
        <v>1338.2064716452483</v>
      </c>
      <c r="I204" s="50">
        <v>2905.3448641960422</v>
      </c>
      <c r="J204" s="50">
        <v>1624.679188231738</v>
      </c>
      <c r="K204" s="50">
        <v>510.63127780701427</v>
      </c>
      <c r="L204" s="50">
        <v>0</v>
      </c>
      <c r="M204" s="50">
        <v>383.41460016422946</v>
      </c>
    </row>
    <row r="205" spans="1:13">
      <c r="A205" s="39" t="s">
        <v>313</v>
      </c>
      <c r="B205" s="50">
        <v>1438.8310816919457</v>
      </c>
      <c r="D205" s="50">
        <v>1438.8310816919457</v>
      </c>
      <c r="E205" s="50">
        <v>0</v>
      </c>
      <c r="F205" s="50"/>
      <c r="G205" s="50">
        <v>0</v>
      </c>
      <c r="H205" s="50">
        <v>0</v>
      </c>
      <c r="I205" s="50">
        <v>602.99183076650286</v>
      </c>
      <c r="J205" s="50">
        <v>0</v>
      </c>
      <c r="K205" s="50">
        <v>549.5531507742644</v>
      </c>
      <c r="L205" s="50">
        <v>286.28610015117852</v>
      </c>
      <c r="M205" s="50">
        <v>0</v>
      </c>
    </row>
    <row r="206" spans="1:13">
      <c r="A206" s="39" t="s">
        <v>314</v>
      </c>
      <c r="B206" s="50">
        <v>544.92909794766626</v>
      </c>
      <c r="D206" s="50">
        <v>0</v>
      </c>
      <c r="E206" s="50">
        <v>544.92909794766626</v>
      </c>
      <c r="F206" s="50"/>
      <c r="G206" s="50">
        <v>0</v>
      </c>
      <c r="H206" s="50">
        <v>0</v>
      </c>
      <c r="I206" s="50">
        <v>0</v>
      </c>
      <c r="J206" s="50">
        <v>544.92909794766626</v>
      </c>
      <c r="K206" s="50">
        <v>0</v>
      </c>
      <c r="L206" s="50">
        <v>0</v>
      </c>
      <c r="M206" s="50">
        <v>0</v>
      </c>
    </row>
    <row r="207" spans="1:13">
      <c r="A207" s="39" t="s">
        <v>315</v>
      </c>
      <c r="B207" s="50">
        <v>496587.35108261363</v>
      </c>
      <c r="D207" s="50">
        <v>397281.43745780247</v>
      </c>
      <c r="E207" s="50">
        <v>99305.913624811539</v>
      </c>
      <c r="F207" s="50"/>
      <c r="G207" s="50">
        <v>5332.4796454171201</v>
      </c>
      <c r="H207" s="50">
        <v>24707.823292001249</v>
      </c>
      <c r="I207" s="50">
        <v>49030.574914523488</v>
      </c>
      <c r="J207" s="50">
        <v>43945.885516045477</v>
      </c>
      <c r="K207" s="50">
        <v>82375.635299292655</v>
      </c>
      <c r="L207" s="50">
        <v>99717.838401642424</v>
      </c>
      <c r="M207" s="50">
        <v>191477.11401369303</v>
      </c>
    </row>
    <row r="208" spans="1:13">
      <c r="A208" s="39" t="s">
        <v>316</v>
      </c>
      <c r="B208" s="50">
        <v>5727.7749226766527</v>
      </c>
      <c r="D208" s="50">
        <v>3858.0487941438564</v>
      </c>
      <c r="E208" s="50">
        <v>1869.726128532797</v>
      </c>
      <c r="F208" s="50"/>
      <c r="G208" s="50">
        <v>0</v>
      </c>
      <c r="H208" s="50">
        <v>1877.3159007483196</v>
      </c>
      <c r="I208" s="50">
        <v>3305.5299239806673</v>
      </c>
      <c r="J208" s="50">
        <v>544.92909794766626</v>
      </c>
      <c r="K208" s="50">
        <v>0</v>
      </c>
      <c r="L208" s="50">
        <v>0</v>
      </c>
      <c r="M208" s="50">
        <v>0</v>
      </c>
    </row>
    <row r="209" spans="1:13">
      <c r="A209" s="39" t="s">
        <v>317</v>
      </c>
      <c r="B209" s="50">
        <v>1661.3126115944931</v>
      </c>
      <c r="D209" s="50">
        <v>1102.5919382039888</v>
      </c>
      <c r="E209" s="50">
        <v>558.7206733905042</v>
      </c>
      <c r="F209" s="50"/>
      <c r="G209" s="50">
        <v>0</v>
      </c>
      <c r="H209" s="50">
        <v>565.4376575687819</v>
      </c>
      <c r="I209" s="50">
        <v>537.15428063520699</v>
      </c>
      <c r="J209" s="50">
        <v>558.7206733905042</v>
      </c>
      <c r="K209" s="50">
        <v>0</v>
      </c>
      <c r="L209" s="50">
        <v>0</v>
      </c>
      <c r="M209" s="50">
        <v>0</v>
      </c>
    </row>
    <row r="210" spans="1:13">
      <c r="A210" s="39" t="s">
        <v>318</v>
      </c>
      <c r="B210" s="50">
        <v>69237.993595877866</v>
      </c>
      <c r="D210" s="50">
        <v>26794.904547416147</v>
      </c>
      <c r="E210" s="50">
        <v>41412.412347896745</v>
      </c>
      <c r="F210" s="50"/>
      <c r="G210" s="50">
        <v>7626.90317415749</v>
      </c>
      <c r="H210" s="50">
        <v>21339.17403663963</v>
      </c>
      <c r="I210" s="50">
        <v>16222.936968189482</v>
      </c>
      <c r="J210" s="50">
        <v>15505.478654276076</v>
      </c>
      <c r="K210" s="50">
        <v>7415.481924514429</v>
      </c>
      <c r="L210" s="50">
        <v>879.58770228191497</v>
      </c>
      <c r="M210" s="50">
        <v>248.43113581886453</v>
      </c>
    </row>
    <row r="211" spans="1:13">
      <c r="A211" s="39" t="s">
        <v>319</v>
      </c>
      <c r="B211" s="50">
        <v>15938.030962546432</v>
      </c>
      <c r="D211" s="50">
        <v>10450.175297464097</v>
      </c>
      <c r="E211" s="50">
        <v>5487.8556650823348</v>
      </c>
      <c r="F211" s="50"/>
      <c r="G211" s="50">
        <v>7162.6528067064146</v>
      </c>
      <c r="H211" s="50">
        <v>2608.4286865565014</v>
      </c>
      <c r="I211" s="50">
        <v>2963.463076224552</v>
      </c>
      <c r="J211" s="50">
        <v>1627.2228040747957</v>
      </c>
      <c r="K211" s="50">
        <v>1576.2635889841699</v>
      </c>
      <c r="L211" s="50">
        <v>0</v>
      </c>
      <c r="M211" s="50">
        <v>0</v>
      </c>
    </row>
    <row r="212" spans="1:13">
      <c r="A212" s="39" t="s">
        <v>320</v>
      </c>
      <c r="B212" s="50">
        <v>2961.1110344765088</v>
      </c>
      <c r="D212" s="50">
        <v>1583.9422561135025</v>
      </c>
      <c r="E212" s="50">
        <v>1377.1687783630061</v>
      </c>
      <c r="F212" s="50"/>
      <c r="G212" s="50">
        <v>0</v>
      </c>
      <c r="H212" s="50">
        <v>517.51965714389655</v>
      </c>
      <c r="I212" s="50">
        <v>952.04833173912084</v>
      </c>
      <c r="J212" s="50">
        <v>0</v>
      </c>
      <c r="K212" s="50">
        <v>1491.5430455934913</v>
      </c>
      <c r="L212" s="50">
        <v>0</v>
      </c>
      <c r="M212" s="50">
        <v>0</v>
      </c>
    </row>
    <row r="213" spans="1:13">
      <c r="A213" s="39" t="s">
        <v>321</v>
      </c>
      <c r="B213" s="50">
        <v>107244.77077847024</v>
      </c>
      <c r="D213" s="50">
        <v>54528.223607520609</v>
      </c>
      <c r="E213" s="50">
        <v>52716.547170949605</v>
      </c>
      <c r="F213" s="50"/>
      <c r="G213" s="50">
        <v>18513.675810867186</v>
      </c>
      <c r="H213" s="50">
        <v>23080.131284483989</v>
      </c>
      <c r="I213" s="50">
        <v>23133.787083612766</v>
      </c>
      <c r="J213" s="50">
        <v>17818.416836089193</v>
      </c>
      <c r="K213" s="50">
        <v>13331.752406011776</v>
      </c>
      <c r="L213" s="50">
        <v>5403.8831530961843</v>
      </c>
      <c r="M213" s="50">
        <v>5963.1242043091479</v>
      </c>
    </row>
    <row r="214" spans="1:13">
      <c r="A214" s="39" t="s">
        <v>322</v>
      </c>
      <c r="B214" s="50">
        <v>8826.4813516017894</v>
      </c>
      <c r="D214" s="50">
        <v>6531.1149968368281</v>
      </c>
      <c r="E214" s="50">
        <v>2295.3663547649608</v>
      </c>
      <c r="F214" s="50"/>
      <c r="G214" s="50">
        <v>0</v>
      </c>
      <c r="H214" s="50">
        <v>1346.7463872721673</v>
      </c>
      <c r="I214" s="50">
        <v>2673.4197064038149</v>
      </c>
      <c r="J214" s="50">
        <v>2778.9284559456964</v>
      </c>
      <c r="K214" s="50">
        <v>1521.5334796231075</v>
      </c>
      <c r="L214" s="50">
        <v>505.85332235700309</v>
      </c>
      <c r="M214" s="50">
        <v>0</v>
      </c>
    </row>
    <row r="215" spans="1:13">
      <c r="A215" s="39" t="s">
        <v>323</v>
      </c>
      <c r="B215" s="50">
        <v>9810.9460588617803</v>
      </c>
      <c r="D215" s="50">
        <v>6571.7610768734448</v>
      </c>
      <c r="E215" s="50">
        <v>1682.3124959278412</v>
      </c>
      <c r="F215" s="50"/>
      <c r="G215" s="50">
        <v>0</v>
      </c>
      <c r="H215" s="50">
        <v>2419.7086086847194</v>
      </c>
      <c r="I215" s="50">
        <v>2375.9692951772545</v>
      </c>
      <c r="J215" s="50">
        <v>3015.0405103081503</v>
      </c>
      <c r="K215" s="50">
        <v>1521.7587071314922</v>
      </c>
      <c r="L215" s="50">
        <v>0</v>
      </c>
      <c r="M215" s="50">
        <v>478.46893756016306</v>
      </c>
    </row>
    <row r="216" spans="1:13">
      <c r="A216" s="39" t="s">
        <v>324</v>
      </c>
      <c r="B216" s="50">
        <v>1494.8234819827896</v>
      </c>
      <c r="D216" s="50">
        <v>0</v>
      </c>
      <c r="E216" s="50">
        <v>1494.8234819827896</v>
      </c>
      <c r="F216" s="50"/>
      <c r="G216" s="50">
        <v>0</v>
      </c>
      <c r="H216" s="50">
        <v>440.46104813620406</v>
      </c>
      <c r="I216" s="50">
        <v>0</v>
      </c>
      <c r="J216" s="50">
        <v>1054.3624338465856</v>
      </c>
      <c r="K216" s="50">
        <v>0</v>
      </c>
      <c r="L216" s="50">
        <v>0</v>
      </c>
      <c r="M216" s="50">
        <v>0</v>
      </c>
    </row>
    <row r="217" spans="1:13">
      <c r="A217" s="39" t="s">
        <v>325</v>
      </c>
      <c r="B217" s="50">
        <v>15114.669661279122</v>
      </c>
      <c r="D217" s="50">
        <v>3956.845692859637</v>
      </c>
      <c r="E217" s="50">
        <v>10785.907390397966</v>
      </c>
      <c r="F217" s="50"/>
      <c r="G217" s="50">
        <v>4619.2278003812435</v>
      </c>
      <c r="H217" s="50">
        <v>4012.5732519835251</v>
      </c>
      <c r="I217" s="50">
        <v>2320.6294993158385</v>
      </c>
      <c r="J217" s="50">
        <v>900.36924221312961</v>
      </c>
      <c r="K217" s="50">
        <v>2574.5839630922928</v>
      </c>
      <c r="L217" s="50">
        <v>687.28590429309111</v>
      </c>
      <c r="M217" s="50">
        <v>0</v>
      </c>
    </row>
    <row r="218" spans="1:13">
      <c r="A218" s="39" t="s">
        <v>326</v>
      </c>
      <c r="B218" s="50">
        <v>7443.5639091698904</v>
      </c>
      <c r="D218" s="50">
        <v>4221.331940104671</v>
      </c>
      <c r="E218" s="50">
        <v>3222.2319690652198</v>
      </c>
      <c r="F218" s="50"/>
      <c r="G218" s="50">
        <v>1863.579102355867</v>
      </c>
      <c r="H218" s="50">
        <v>531.20192735640205</v>
      </c>
      <c r="I218" s="50">
        <v>1989.767252614392</v>
      </c>
      <c r="J218" s="50">
        <v>526.13799296065713</v>
      </c>
      <c r="K218" s="50">
        <v>1660.4352432962412</v>
      </c>
      <c r="L218" s="50">
        <v>872.44239058633138</v>
      </c>
      <c r="M218" s="50">
        <v>0</v>
      </c>
    </row>
    <row r="219" spans="1:13">
      <c r="A219" s="39" t="s">
        <v>327</v>
      </c>
      <c r="B219" s="50">
        <v>5848.462858231851</v>
      </c>
      <c r="D219" s="50">
        <v>4972.2775941514146</v>
      </c>
      <c r="E219" s="50">
        <v>876.18526408043613</v>
      </c>
      <c r="F219" s="50"/>
      <c r="G219" s="50">
        <v>0</v>
      </c>
      <c r="H219" s="50">
        <v>2130.1409920222509</v>
      </c>
      <c r="I219" s="50">
        <v>1578.9958097531978</v>
      </c>
      <c r="J219" s="50">
        <v>441.95335711264966</v>
      </c>
      <c r="K219" s="50">
        <v>460.28057644667126</v>
      </c>
      <c r="L219" s="50">
        <v>0</v>
      </c>
      <c r="M219" s="50">
        <v>1237.0921228970817</v>
      </c>
    </row>
    <row r="220" spans="1:13">
      <c r="A220" s="39" t="s">
        <v>328</v>
      </c>
      <c r="B220" s="50">
        <v>36447.074863186615</v>
      </c>
      <c r="D220" s="50">
        <v>30136.011364487091</v>
      </c>
      <c r="E220" s="50">
        <v>6311.063498699521</v>
      </c>
      <c r="F220" s="50"/>
      <c r="G220" s="50">
        <v>2079.2914520566774</v>
      </c>
      <c r="H220" s="50">
        <v>6589.7100856504485</v>
      </c>
      <c r="I220" s="50">
        <v>13292.86884981514</v>
      </c>
      <c r="J220" s="50">
        <v>7023.0306685611849</v>
      </c>
      <c r="K220" s="50">
        <v>5684.9416159368229</v>
      </c>
      <c r="L220" s="50">
        <v>1318.685830020961</v>
      </c>
      <c r="M220" s="50">
        <v>458.54636114537612</v>
      </c>
    </row>
    <row r="221" spans="1:13">
      <c r="A221" s="39" t="s">
        <v>329</v>
      </c>
      <c r="B221" s="50">
        <v>47788.964940430218</v>
      </c>
      <c r="D221" s="50">
        <v>25093.710039470701</v>
      </c>
      <c r="E221" s="50">
        <v>22695.254900959528</v>
      </c>
      <c r="F221" s="50"/>
      <c r="G221" s="50">
        <v>6623.4381912204008</v>
      </c>
      <c r="H221" s="50">
        <v>7938.2077668561242</v>
      </c>
      <c r="I221" s="50">
        <v>8321.7772128076504</v>
      </c>
      <c r="J221" s="50">
        <v>9378.4976074818496</v>
      </c>
      <c r="K221" s="50">
        <v>11234.288941202056</v>
      </c>
      <c r="L221" s="50">
        <v>2718.0072374815309</v>
      </c>
      <c r="M221" s="50">
        <v>1574.7479833806169</v>
      </c>
    </row>
    <row r="222" spans="1:13">
      <c r="A222" s="39" t="s">
        <v>330</v>
      </c>
      <c r="B222" s="50">
        <v>3878.4414120221186</v>
      </c>
      <c r="D222" s="50">
        <v>3878.4414120221186</v>
      </c>
      <c r="E222" s="50">
        <v>0</v>
      </c>
      <c r="F222" s="50"/>
      <c r="G222" s="50">
        <v>1937.6722669688957</v>
      </c>
      <c r="H222" s="50">
        <v>0</v>
      </c>
      <c r="I222" s="50">
        <v>1396.4812826808006</v>
      </c>
      <c r="J222" s="50">
        <v>0</v>
      </c>
      <c r="K222" s="50">
        <v>544.28786237242196</v>
      </c>
      <c r="L222" s="50">
        <v>0</v>
      </c>
      <c r="M222" s="50">
        <v>0</v>
      </c>
    </row>
    <row r="223" spans="1:13">
      <c r="A223" s="39" t="s">
        <v>331</v>
      </c>
      <c r="B223" s="50">
        <v>1538.8057953666473</v>
      </c>
      <c r="D223" s="50">
        <v>1538.8057953666473</v>
      </c>
      <c r="E223" s="50">
        <v>0</v>
      </c>
      <c r="F223" s="50"/>
      <c r="G223" s="50">
        <v>0</v>
      </c>
      <c r="H223" s="50">
        <v>0</v>
      </c>
      <c r="I223" s="50">
        <v>1094.3995868011975</v>
      </c>
      <c r="J223" s="50">
        <v>0</v>
      </c>
      <c r="K223" s="50">
        <v>0</v>
      </c>
      <c r="L223" s="50">
        <v>444.4062085654499</v>
      </c>
      <c r="M223" s="50">
        <v>0</v>
      </c>
    </row>
    <row r="224" spans="1:13">
      <c r="A224" s="39" t="s">
        <v>332</v>
      </c>
      <c r="B224" s="50">
        <v>0</v>
      </c>
      <c r="D224" s="50">
        <v>0</v>
      </c>
      <c r="E224" s="50">
        <v>0</v>
      </c>
      <c r="F224" s="50"/>
      <c r="G224" s="50">
        <v>0</v>
      </c>
      <c r="H224" s="50">
        <v>0</v>
      </c>
      <c r="I224" s="50">
        <v>0</v>
      </c>
      <c r="J224" s="50">
        <v>0</v>
      </c>
      <c r="K224" s="50">
        <v>0</v>
      </c>
      <c r="L224" s="50">
        <v>0</v>
      </c>
      <c r="M224" s="50">
        <v>0</v>
      </c>
    </row>
    <row r="225" spans="1:13">
      <c r="A225" s="39" t="s">
        <v>333</v>
      </c>
      <c r="B225" s="50">
        <v>2441.4501758751089</v>
      </c>
      <c r="D225" s="50">
        <v>1929.8074126535539</v>
      </c>
      <c r="E225" s="50">
        <v>511.64276322155479</v>
      </c>
      <c r="F225" s="50"/>
      <c r="G225" s="50">
        <v>0</v>
      </c>
      <c r="H225" s="50">
        <v>0</v>
      </c>
      <c r="I225" s="50">
        <v>1356.2559277940941</v>
      </c>
      <c r="J225" s="50">
        <v>495.30330642871536</v>
      </c>
      <c r="K225" s="50">
        <v>589.89094165229915</v>
      </c>
      <c r="L225" s="50">
        <v>0</v>
      </c>
      <c r="M225" s="50">
        <v>0</v>
      </c>
    </row>
    <row r="226" spans="1:13">
      <c r="A226" s="39" t="s">
        <v>334</v>
      </c>
      <c r="B226" s="50">
        <v>7252.1709092765959</v>
      </c>
      <c r="D226" s="50">
        <v>3478.2718060045336</v>
      </c>
      <c r="E226" s="50">
        <v>3773.899103272061</v>
      </c>
      <c r="F226" s="50"/>
      <c r="G226" s="50">
        <v>1244.3068106912226</v>
      </c>
      <c r="H226" s="50">
        <v>2772.443423819368</v>
      </c>
      <c r="I226" s="50">
        <v>0</v>
      </c>
      <c r="J226" s="50">
        <v>2194.9326732304421</v>
      </c>
      <c r="K226" s="50">
        <v>1040.4880015355625</v>
      </c>
      <c r="L226" s="50">
        <v>0</v>
      </c>
      <c r="M226" s="50">
        <v>0</v>
      </c>
    </row>
    <row r="227" spans="1:13">
      <c r="A227" s="39" t="s">
        <v>335</v>
      </c>
      <c r="B227" s="50">
        <v>1042.9792853428203</v>
      </c>
      <c r="D227" s="50">
        <v>506.20422209071717</v>
      </c>
      <c r="E227" s="50">
        <v>536.77506325210322</v>
      </c>
      <c r="F227" s="50"/>
      <c r="G227" s="50">
        <v>0</v>
      </c>
      <c r="H227" s="50">
        <v>0</v>
      </c>
      <c r="I227" s="50">
        <v>506.20422209071717</v>
      </c>
      <c r="J227" s="50">
        <v>536.77506325210322</v>
      </c>
      <c r="K227" s="50">
        <v>0</v>
      </c>
      <c r="L227" s="50">
        <v>0</v>
      </c>
      <c r="M227" s="50">
        <v>0</v>
      </c>
    </row>
    <row r="228" spans="1:13">
      <c r="A228" s="39" t="s">
        <v>336</v>
      </c>
      <c r="B228" s="50">
        <v>21456.715052566793</v>
      </c>
      <c r="D228" s="50">
        <v>15567.627614529119</v>
      </c>
      <c r="E228" s="50">
        <v>5889.0874380376763</v>
      </c>
      <c r="F228" s="50"/>
      <c r="G228" s="50">
        <v>3106.5337273493114</v>
      </c>
      <c r="H228" s="50">
        <v>1525.7596266178584</v>
      </c>
      <c r="I228" s="50">
        <v>2706.8748860380028</v>
      </c>
      <c r="J228" s="50">
        <v>2675.9593598676151</v>
      </c>
      <c r="K228" s="50">
        <v>6976.1887941477853</v>
      </c>
      <c r="L228" s="50">
        <v>2452.8083204459135</v>
      </c>
      <c r="M228" s="50">
        <v>2012.5903381003079</v>
      </c>
    </row>
    <row r="229" spans="1:13">
      <c r="A229" s="39" t="s">
        <v>337</v>
      </c>
      <c r="B229" s="50">
        <v>1636.8829459762032</v>
      </c>
      <c r="D229" s="50">
        <v>506.20422209071717</v>
      </c>
      <c r="E229" s="50">
        <v>1130.6787238854863</v>
      </c>
      <c r="F229" s="50"/>
      <c r="G229" s="50">
        <v>0</v>
      </c>
      <c r="H229" s="50">
        <v>0</v>
      </c>
      <c r="I229" s="50">
        <v>506.20422209071717</v>
      </c>
      <c r="J229" s="50">
        <v>536.77506325210322</v>
      </c>
      <c r="K229" s="50">
        <v>593.90366063338308</v>
      </c>
      <c r="L229" s="50">
        <v>0</v>
      </c>
      <c r="M229" s="50">
        <v>0</v>
      </c>
    </row>
    <row r="230" spans="1:13">
      <c r="A230" s="39" t="s">
        <v>338</v>
      </c>
      <c r="B230" s="50">
        <v>0</v>
      </c>
      <c r="D230" s="50">
        <v>0</v>
      </c>
      <c r="E230" s="50">
        <v>0</v>
      </c>
      <c r="F230" s="50"/>
      <c r="G230" s="50">
        <v>0</v>
      </c>
      <c r="H230" s="50">
        <v>0</v>
      </c>
      <c r="I230" s="50">
        <v>0</v>
      </c>
      <c r="J230" s="50">
        <v>0</v>
      </c>
      <c r="K230" s="50">
        <v>0</v>
      </c>
      <c r="L230" s="50">
        <v>0</v>
      </c>
      <c r="M230" s="50">
        <v>0</v>
      </c>
    </row>
    <row r="231" spans="1:13">
      <c r="A231" s="39" t="s">
        <v>339</v>
      </c>
      <c r="B231" s="50">
        <v>98635.206135311688</v>
      </c>
      <c r="D231" s="50">
        <v>38668.482748893788</v>
      </c>
      <c r="E231" s="50">
        <v>59966.723386417914</v>
      </c>
      <c r="F231" s="50"/>
      <c r="G231" s="50">
        <v>5232.5912704326802</v>
      </c>
      <c r="H231" s="50">
        <v>5276.4582831009538</v>
      </c>
      <c r="I231" s="50">
        <v>14404.189266754875</v>
      </c>
      <c r="J231" s="50">
        <v>13034.509728377803</v>
      </c>
      <c r="K231" s="50">
        <v>7778.846400135114</v>
      </c>
      <c r="L231" s="50">
        <v>13623.335239521735</v>
      </c>
      <c r="M231" s="50">
        <v>39285.275946988557</v>
      </c>
    </row>
    <row r="232" spans="1:13">
      <c r="A232" s="39" t="s">
        <v>340</v>
      </c>
      <c r="B232" s="50">
        <v>17021.870597689071</v>
      </c>
      <c r="D232" s="50">
        <v>12268.45488059448</v>
      </c>
      <c r="E232" s="50">
        <v>4753.41571709459</v>
      </c>
      <c r="F232" s="50"/>
      <c r="G232" s="50">
        <v>2111.5783171189696</v>
      </c>
      <c r="H232" s="50">
        <v>3281.4147814137064</v>
      </c>
      <c r="I232" s="50">
        <v>5989.5107644870704</v>
      </c>
      <c r="J232" s="50">
        <v>4620.2132809290206</v>
      </c>
      <c r="K232" s="50">
        <v>602.63741915133642</v>
      </c>
      <c r="L232" s="50">
        <v>0</v>
      </c>
      <c r="M232" s="50">
        <v>416.51603458896682</v>
      </c>
    </row>
    <row r="233" spans="1:13">
      <c r="A233" s="39" t="s">
        <v>341</v>
      </c>
      <c r="B233" s="50">
        <v>1111.0331367058191</v>
      </c>
      <c r="D233" s="50">
        <v>1111.0331367058191</v>
      </c>
      <c r="E233" s="50">
        <v>0</v>
      </c>
      <c r="F233" s="50"/>
      <c r="G233" s="50">
        <v>0</v>
      </c>
      <c r="H233" s="50">
        <v>498.64023262672509</v>
      </c>
      <c r="I233" s="50">
        <v>0</v>
      </c>
      <c r="J233" s="50">
        <v>612.39290407909402</v>
      </c>
      <c r="K233" s="50">
        <v>0</v>
      </c>
      <c r="L233" s="50">
        <v>0</v>
      </c>
      <c r="M233" s="50">
        <v>0</v>
      </c>
    </row>
    <row r="234" spans="1:13">
      <c r="A234" s="39" t="s">
        <v>342</v>
      </c>
      <c r="B234" s="50">
        <v>71970.048397863968</v>
      </c>
      <c r="D234" s="50">
        <v>56293.586235363568</v>
      </c>
      <c r="E234" s="50">
        <v>15139.988990472812</v>
      </c>
      <c r="F234" s="50"/>
      <c r="G234" s="50">
        <v>7049.8568583189144</v>
      </c>
      <c r="H234" s="50">
        <v>13317.940814005844</v>
      </c>
      <c r="I234" s="50">
        <v>24025.763477044464</v>
      </c>
      <c r="J234" s="50">
        <v>14387.234402091935</v>
      </c>
      <c r="K234" s="50">
        <v>3513.2778350105341</v>
      </c>
      <c r="L234" s="50">
        <v>6512.2964887210064</v>
      </c>
      <c r="M234" s="50">
        <v>3163.6785226712591</v>
      </c>
    </row>
    <row r="235" spans="1:13">
      <c r="A235" s="39" t="s">
        <v>343</v>
      </c>
      <c r="B235" s="50">
        <v>34957.38966269471</v>
      </c>
      <c r="D235" s="50">
        <v>30627.78838300594</v>
      </c>
      <c r="E235" s="50">
        <v>4329.601279688768</v>
      </c>
      <c r="F235" s="50"/>
      <c r="G235" s="50">
        <v>1830.6159240941722</v>
      </c>
      <c r="H235" s="50">
        <v>9597.2345572712111</v>
      </c>
      <c r="I235" s="50">
        <v>10322.478383628117</v>
      </c>
      <c r="J235" s="50">
        <v>6064.9149918906087</v>
      </c>
      <c r="K235" s="50">
        <v>3496.9423605437642</v>
      </c>
      <c r="L235" s="50">
        <v>2422.5925988476884</v>
      </c>
      <c r="M235" s="50">
        <v>1222.6108464191502</v>
      </c>
    </row>
    <row r="236" spans="1:13">
      <c r="A236" s="39" t="s">
        <v>344</v>
      </c>
      <c r="B236" s="50">
        <v>25451.175085614232</v>
      </c>
      <c r="D236" s="50">
        <v>23956.522015792085</v>
      </c>
      <c r="E236" s="50">
        <v>1494.65306982215</v>
      </c>
      <c r="F236" s="50"/>
      <c r="G236" s="50">
        <v>8755.9727968807711</v>
      </c>
      <c r="H236" s="50">
        <v>4395.9411937994482</v>
      </c>
      <c r="I236" s="50">
        <v>991.73278679445605</v>
      </c>
      <c r="J236" s="50">
        <v>4607.4171089466417</v>
      </c>
      <c r="K236" s="50">
        <v>3512.9629446655272</v>
      </c>
      <c r="L236" s="50">
        <v>1121.4223698846381</v>
      </c>
      <c r="M236" s="50">
        <v>2065.7258846427476</v>
      </c>
    </row>
    <row r="237" spans="1:13">
      <c r="A237" s="39" t="s">
        <v>345</v>
      </c>
      <c r="B237" s="50">
        <v>4298.2083798346703</v>
      </c>
      <c r="D237" s="50">
        <v>2707.5591782054657</v>
      </c>
      <c r="E237" s="50">
        <v>1590.6492016292036</v>
      </c>
      <c r="F237" s="50"/>
      <c r="G237" s="50">
        <v>0</v>
      </c>
      <c r="H237" s="50">
        <v>521.338688688866</v>
      </c>
      <c r="I237" s="50">
        <v>3052.1384941857082</v>
      </c>
      <c r="J237" s="50">
        <v>0</v>
      </c>
      <c r="K237" s="50">
        <v>471.88362839467902</v>
      </c>
      <c r="L237" s="50">
        <v>0</v>
      </c>
      <c r="M237" s="50">
        <v>252.84756856541642</v>
      </c>
    </row>
    <row r="238" spans="1:13">
      <c r="A238" s="39" t="s">
        <v>346</v>
      </c>
      <c r="B238" s="50">
        <v>19160.290475356451</v>
      </c>
      <c r="D238" s="50">
        <v>10180.926368103248</v>
      </c>
      <c r="E238" s="50">
        <v>8428.2475597257089</v>
      </c>
      <c r="F238" s="50"/>
      <c r="G238" s="50">
        <v>0</v>
      </c>
      <c r="H238" s="50">
        <v>5484.6535377169703</v>
      </c>
      <c r="I238" s="50">
        <v>5486.1886087667035</v>
      </c>
      <c r="J238" s="50">
        <v>6683.8171957148088</v>
      </c>
      <c r="K238" s="50">
        <v>544.28786237242196</v>
      </c>
      <c r="L238" s="50">
        <v>551.77520347807388</v>
      </c>
      <c r="M238" s="50">
        <v>409.56806730747547</v>
      </c>
    </row>
    <row r="239" spans="1:13">
      <c r="A239" s="39" t="s">
        <v>347</v>
      </c>
      <c r="B239" s="50">
        <v>381923.41691490228</v>
      </c>
      <c r="D239" s="50">
        <v>53870.433764358284</v>
      </c>
      <c r="E239" s="50">
        <v>325837.17588830233</v>
      </c>
      <c r="F239" s="50"/>
      <c r="G239" s="50">
        <v>70160.667188891093</v>
      </c>
      <c r="H239" s="50">
        <v>115774.20153747455</v>
      </c>
      <c r="I239" s="50">
        <v>100554.63498979606</v>
      </c>
      <c r="J239" s="50">
        <v>58766.361658537644</v>
      </c>
      <c r="K239" s="50">
        <v>27272.743523525427</v>
      </c>
      <c r="L239" s="50">
        <v>7684.4726789452861</v>
      </c>
      <c r="M239" s="50">
        <v>1710.3353377317487</v>
      </c>
    </row>
    <row r="240" spans="1:13">
      <c r="A240" s="39" t="s">
        <v>348</v>
      </c>
      <c r="B240" s="50">
        <v>6711.9928106623584</v>
      </c>
      <c r="D240" s="50">
        <v>2647.1637408533197</v>
      </c>
      <c r="E240" s="50">
        <v>4064.8290698090391</v>
      </c>
      <c r="F240" s="50"/>
      <c r="G240" s="50">
        <v>0</v>
      </c>
      <c r="H240" s="50">
        <v>1245.0680048207148</v>
      </c>
      <c r="I240" s="50">
        <v>2755.9735621675572</v>
      </c>
      <c r="J240" s="50">
        <v>490.45813358524299</v>
      </c>
      <c r="K240" s="50">
        <v>1851.0855556738982</v>
      </c>
      <c r="L240" s="50">
        <v>0</v>
      </c>
      <c r="M240" s="50">
        <v>369.40755441494565</v>
      </c>
    </row>
    <row r="241" spans="1:13">
      <c r="A241" s="39" t="s">
        <v>349</v>
      </c>
      <c r="B241" s="50">
        <v>5786.1432581934851</v>
      </c>
      <c r="D241" s="50">
        <v>3308.5079694326173</v>
      </c>
      <c r="E241" s="50">
        <v>2477.6352887608673</v>
      </c>
      <c r="F241" s="50"/>
      <c r="G241" s="50">
        <v>0</v>
      </c>
      <c r="H241" s="50">
        <v>502.35492203072522</v>
      </c>
      <c r="I241" s="50">
        <v>502.35367834131102</v>
      </c>
      <c r="J241" s="50">
        <v>464.26500362986224</v>
      </c>
      <c r="K241" s="50">
        <v>1952.99739812183</v>
      </c>
      <c r="L241" s="50">
        <v>1610.6385020340508</v>
      </c>
      <c r="M241" s="50">
        <v>753.53375403570499</v>
      </c>
    </row>
    <row r="242" spans="1:13">
      <c r="A242" s="39" t="s">
        <v>350</v>
      </c>
      <c r="B242" s="50">
        <v>4339.5978685728132</v>
      </c>
      <c r="D242" s="50">
        <v>3413.1166097848313</v>
      </c>
      <c r="E242" s="50">
        <v>926.4812587879826</v>
      </c>
      <c r="F242" s="50"/>
      <c r="G242" s="50">
        <v>0</v>
      </c>
      <c r="H242" s="50">
        <v>0</v>
      </c>
      <c r="I242" s="50">
        <v>1978.4114981766581</v>
      </c>
      <c r="J242" s="50">
        <v>0</v>
      </c>
      <c r="K242" s="50">
        <v>0</v>
      </c>
      <c r="L242" s="50">
        <v>1954.2409966620896</v>
      </c>
      <c r="M242" s="50">
        <v>406.9453737340661</v>
      </c>
    </row>
    <row r="243" spans="1:13">
      <c r="A243" s="39" t="s">
        <v>351</v>
      </c>
      <c r="B243" s="50">
        <v>47747.086287188547</v>
      </c>
      <c r="D243" s="50">
        <v>23885.756809847833</v>
      </c>
      <c r="E243" s="50">
        <v>23861.329477340732</v>
      </c>
      <c r="F243" s="50"/>
      <c r="G243" s="50">
        <v>1937.6722669688957</v>
      </c>
      <c r="H243" s="50">
        <v>19873.005340841948</v>
      </c>
      <c r="I243" s="50">
        <v>16598.750675001371</v>
      </c>
      <c r="J243" s="50">
        <v>6734.8882265643151</v>
      </c>
      <c r="K243" s="50">
        <v>2217.6498575564069</v>
      </c>
      <c r="L243" s="50">
        <v>0</v>
      </c>
      <c r="M243" s="50">
        <v>385.11992025562114</v>
      </c>
    </row>
    <row r="244" spans="1:13">
      <c r="A244" s="39" t="s">
        <v>352</v>
      </c>
      <c r="B244" s="50">
        <v>16338.528520157814</v>
      </c>
      <c r="D244" s="50">
        <v>8336.4023065692272</v>
      </c>
      <c r="E244" s="50">
        <v>8002.1262135885936</v>
      </c>
      <c r="F244" s="50"/>
      <c r="G244" s="50">
        <v>0</v>
      </c>
      <c r="H244" s="50">
        <v>1028.2510596689012</v>
      </c>
      <c r="I244" s="50">
        <v>5466.1120734347014</v>
      </c>
      <c r="J244" s="50">
        <v>1682.2054332020389</v>
      </c>
      <c r="K244" s="50">
        <v>3128.5328286973026</v>
      </c>
      <c r="L244" s="50">
        <v>2918.4957422235916</v>
      </c>
      <c r="M244" s="50">
        <v>2114.9313829312846</v>
      </c>
    </row>
    <row r="245" spans="1:13">
      <c r="A245" s="39" t="s">
        <v>353</v>
      </c>
      <c r="B245" s="50">
        <v>6001.3716546948472</v>
      </c>
      <c r="D245" s="50">
        <v>3740.6507924404405</v>
      </c>
      <c r="E245" s="50">
        <v>2260.7208622544076</v>
      </c>
      <c r="F245" s="50"/>
      <c r="G245" s="50">
        <v>0</v>
      </c>
      <c r="H245" s="50">
        <v>945.17616837083096</v>
      </c>
      <c r="I245" s="50">
        <v>3933.3178290467768</v>
      </c>
      <c r="J245" s="50">
        <v>0</v>
      </c>
      <c r="K245" s="50">
        <v>1122.8776572772404</v>
      </c>
      <c r="L245" s="50">
        <v>0</v>
      </c>
      <c r="M245" s="50">
        <v>0</v>
      </c>
    </row>
    <row r="246" spans="1:13">
      <c r="A246" s="39" t="s">
        <v>354</v>
      </c>
      <c r="B246" s="50">
        <v>3452.5798001103049</v>
      </c>
      <c r="D246" s="50">
        <v>2915.8047368582015</v>
      </c>
      <c r="E246" s="50">
        <v>536.77506325210322</v>
      </c>
      <c r="F246" s="50"/>
      <c r="G246" s="50">
        <v>1830.0463327813425</v>
      </c>
      <c r="H246" s="50">
        <v>512.40665396775137</v>
      </c>
      <c r="I246" s="50">
        <v>0</v>
      </c>
      <c r="J246" s="50">
        <v>1110.1268133612111</v>
      </c>
      <c r="K246" s="50">
        <v>0</v>
      </c>
      <c r="L246" s="50">
        <v>0</v>
      </c>
      <c r="M246" s="50">
        <v>0</v>
      </c>
    </row>
    <row r="247" spans="1:13">
      <c r="A247" s="39" t="s">
        <v>355</v>
      </c>
      <c r="B247" s="50">
        <v>1742.9449984829973</v>
      </c>
      <c r="D247" s="50">
        <v>372.17448044793207</v>
      </c>
      <c r="E247" s="50">
        <v>1370.7705180350652</v>
      </c>
      <c r="F247" s="50"/>
      <c r="G247" s="50">
        <v>0</v>
      </c>
      <c r="H247" s="50">
        <v>0</v>
      </c>
      <c r="I247" s="50">
        <v>0</v>
      </c>
      <c r="J247" s="50">
        <v>0</v>
      </c>
      <c r="K247" s="50">
        <v>0</v>
      </c>
      <c r="L247" s="50">
        <v>0</v>
      </c>
      <c r="M247" s="50">
        <v>1742.9449984829973</v>
      </c>
    </row>
    <row r="248" spans="1:13">
      <c r="A248" s="39" t="s">
        <v>356</v>
      </c>
      <c r="B248" s="50">
        <v>6922.9225238700765</v>
      </c>
      <c r="D248" s="50">
        <v>1994.0679428585577</v>
      </c>
      <c r="E248" s="50">
        <v>4928.8545810115174</v>
      </c>
      <c r="F248" s="50"/>
      <c r="G248" s="50">
        <v>0</v>
      </c>
      <c r="H248" s="50">
        <v>484.10115847451169</v>
      </c>
      <c r="I248" s="50">
        <v>2935.371908561297</v>
      </c>
      <c r="J248" s="50">
        <v>592.15814943820044</v>
      </c>
      <c r="K248" s="50">
        <v>564.80676065279636</v>
      </c>
      <c r="L248" s="50">
        <v>800.57394539026029</v>
      </c>
      <c r="M248" s="50">
        <v>1545.91060135301</v>
      </c>
    </row>
    <row r="249" spans="1:13">
      <c r="A249" s="39" t="s">
        <v>357</v>
      </c>
      <c r="B249" s="50">
        <v>57326.953707714703</v>
      </c>
      <c r="D249" s="50">
        <v>35390.106321056919</v>
      </c>
      <c r="E249" s="50">
        <v>21590.362709273322</v>
      </c>
      <c r="F249" s="50"/>
      <c r="G249" s="50">
        <v>6272.8484711907331</v>
      </c>
      <c r="H249" s="50">
        <v>2408.1479277213798</v>
      </c>
      <c r="I249" s="50">
        <v>7361.3130043550473</v>
      </c>
      <c r="J249" s="50">
        <v>4301.2790975858652</v>
      </c>
      <c r="K249" s="50">
        <v>8151.1683805420053</v>
      </c>
      <c r="L249" s="50">
        <v>16925.92087082798</v>
      </c>
      <c r="M249" s="50">
        <v>11906.275955491694</v>
      </c>
    </row>
    <row r="250" spans="1:13">
      <c r="A250" s="39" t="s">
        <v>358</v>
      </c>
      <c r="B250" s="50">
        <v>835745.18255649472</v>
      </c>
      <c r="D250" s="50">
        <v>83971.229644497187</v>
      </c>
      <c r="E250" s="50">
        <v>751076.30490359885</v>
      </c>
      <c r="F250" s="50"/>
      <c r="G250" s="50">
        <v>10952.021389820595</v>
      </c>
      <c r="H250" s="50">
        <v>95905.521063643842</v>
      </c>
      <c r="I250" s="50">
        <v>246663.74351414121</v>
      </c>
      <c r="J250" s="50">
        <v>169233.48302262495</v>
      </c>
      <c r="K250" s="50">
        <v>117471.70108346209</v>
      </c>
      <c r="L250" s="50">
        <v>100810.05464550429</v>
      </c>
      <c r="M250" s="50">
        <v>94708.657837298888</v>
      </c>
    </row>
    <row r="251" spans="1:13">
      <c r="A251" s="39" t="s">
        <v>359</v>
      </c>
      <c r="B251" s="50">
        <v>563.36033191822025</v>
      </c>
      <c r="D251" s="50">
        <v>563.36033191822025</v>
      </c>
      <c r="E251" s="50">
        <v>0</v>
      </c>
      <c r="F251" s="50"/>
      <c r="G251" s="50">
        <v>0</v>
      </c>
      <c r="H251" s="50">
        <v>0</v>
      </c>
      <c r="I251" s="50">
        <v>0</v>
      </c>
      <c r="J251" s="50">
        <v>563.36033191822025</v>
      </c>
      <c r="K251" s="50">
        <v>0</v>
      </c>
      <c r="L251" s="50">
        <v>0</v>
      </c>
      <c r="M251" s="50">
        <v>0</v>
      </c>
    </row>
    <row r="252" spans="1:13">
      <c r="A252" s="39" t="s">
        <v>360</v>
      </c>
      <c r="B252" s="50">
        <v>1586.3435071091253</v>
      </c>
      <c r="D252" s="50">
        <v>1586.3435071091253</v>
      </c>
      <c r="E252" s="50">
        <v>0</v>
      </c>
      <c r="F252" s="50"/>
      <c r="G252" s="50">
        <v>0</v>
      </c>
      <c r="H252" s="50">
        <v>483.75292177532475</v>
      </c>
      <c r="I252" s="50">
        <v>0</v>
      </c>
      <c r="J252" s="50">
        <v>563.36033191822025</v>
      </c>
      <c r="K252" s="50">
        <v>539.23025341558025</v>
      </c>
      <c r="L252" s="50">
        <v>0</v>
      </c>
      <c r="M252" s="50">
        <v>0</v>
      </c>
    </row>
    <row r="253" spans="1:13">
      <c r="A253" s="39" t="s">
        <v>361</v>
      </c>
      <c r="B253" s="50">
        <v>8020.4957739883148</v>
      </c>
      <c r="D253" s="50">
        <v>3375.5956839807222</v>
      </c>
      <c r="E253" s="50">
        <v>4644.9000900075916</v>
      </c>
      <c r="F253" s="50"/>
      <c r="G253" s="50">
        <v>0</v>
      </c>
      <c r="H253" s="50">
        <v>0</v>
      </c>
      <c r="I253" s="50">
        <v>1318.7778657561435</v>
      </c>
      <c r="J253" s="50">
        <v>3454.110758135882</v>
      </c>
      <c r="K253" s="50">
        <v>1309.0952831321192</v>
      </c>
      <c r="L253" s="50">
        <v>1938.5118669641697</v>
      </c>
      <c r="M253" s="50">
        <v>0</v>
      </c>
    </row>
    <row r="254" spans="1:13">
      <c r="A254" s="39" t="s">
        <v>362</v>
      </c>
      <c r="B254" s="50">
        <v>6966.1668325689789</v>
      </c>
      <c r="D254" s="50">
        <v>2941.2881488116823</v>
      </c>
      <c r="E254" s="50">
        <v>4024.8786837572961</v>
      </c>
      <c r="F254" s="50"/>
      <c r="G254" s="50">
        <v>0</v>
      </c>
      <c r="H254" s="50">
        <v>1881.3200099532096</v>
      </c>
      <c r="I254" s="50">
        <v>2444.9840716174672</v>
      </c>
      <c r="J254" s="50">
        <v>2073.943171279785</v>
      </c>
      <c r="K254" s="50">
        <v>565.91957971851639</v>
      </c>
      <c r="L254" s="50">
        <v>0</v>
      </c>
      <c r="M254" s="50">
        <v>0</v>
      </c>
    </row>
    <row r="255" spans="1:13">
      <c r="A255" s="39" t="s">
        <v>363</v>
      </c>
      <c r="B255" s="50">
        <v>357.79322200266131</v>
      </c>
      <c r="D255" s="50">
        <v>357.79322200266131</v>
      </c>
      <c r="E255" s="50">
        <v>0</v>
      </c>
      <c r="F255" s="50"/>
      <c r="G255" s="50">
        <v>0</v>
      </c>
      <c r="H255" s="50">
        <v>0</v>
      </c>
      <c r="I255" s="50">
        <v>357.79322200266131</v>
      </c>
      <c r="J255" s="50">
        <v>0</v>
      </c>
      <c r="K255" s="50">
        <v>0</v>
      </c>
      <c r="L255" s="50">
        <v>0</v>
      </c>
      <c r="M255" s="50">
        <v>0</v>
      </c>
    </row>
    <row r="256" spans="1:13">
      <c r="A256" s="39" t="s">
        <v>364</v>
      </c>
      <c r="B256" s="50">
        <v>42869.145465528905</v>
      </c>
      <c r="D256" s="50">
        <v>24636.520849989</v>
      </c>
      <c r="E256" s="50">
        <v>17346.650529242739</v>
      </c>
      <c r="F256" s="50"/>
      <c r="G256" s="50">
        <v>8802.9107118809679</v>
      </c>
      <c r="H256" s="50">
        <v>9582.8164489457322</v>
      </c>
      <c r="I256" s="50">
        <v>9549.0394427282372</v>
      </c>
      <c r="J256" s="50">
        <v>8288.3287593263994</v>
      </c>
      <c r="K256" s="50">
        <v>3585.9157274025042</v>
      </c>
      <c r="L256" s="50">
        <v>1384.3851965805181</v>
      </c>
      <c r="M256" s="50">
        <v>1675.7491786645585</v>
      </c>
    </row>
    <row r="257" spans="1:13">
      <c r="A257" s="39" t="s">
        <v>365</v>
      </c>
      <c r="B257" s="50">
        <v>0</v>
      </c>
      <c r="D257" s="50">
        <v>0</v>
      </c>
      <c r="E257" s="50">
        <v>0</v>
      </c>
      <c r="F257" s="50"/>
      <c r="G257" s="50">
        <v>0</v>
      </c>
      <c r="H257" s="50">
        <v>0</v>
      </c>
      <c r="I257" s="50">
        <v>0</v>
      </c>
      <c r="J257" s="50">
        <v>0</v>
      </c>
      <c r="K257" s="50">
        <v>0</v>
      </c>
      <c r="L257" s="50">
        <v>0</v>
      </c>
      <c r="M257" s="50">
        <v>0</v>
      </c>
    </row>
    <row r="258" spans="1:13">
      <c r="A258" s="39" t="s">
        <v>366</v>
      </c>
      <c r="B258" s="50">
        <v>2210.3205208454565</v>
      </c>
      <c r="D258" s="50">
        <v>2210.3205208454565</v>
      </c>
      <c r="E258" s="50">
        <v>0</v>
      </c>
      <c r="F258" s="50"/>
      <c r="G258" s="50">
        <v>0</v>
      </c>
      <c r="H258" s="50">
        <v>0</v>
      </c>
      <c r="I258" s="50">
        <v>485.5436288471376</v>
      </c>
      <c r="J258" s="50">
        <v>621.90202909100026</v>
      </c>
      <c r="K258" s="50">
        <v>1102.8748629073184</v>
      </c>
      <c r="L258" s="50">
        <v>0</v>
      </c>
      <c r="M258" s="50">
        <v>0</v>
      </c>
    </row>
    <row r="259" spans="1:13">
      <c r="A259" s="39" t="s">
        <v>367</v>
      </c>
      <c r="B259" s="50">
        <v>6850.2787832623926</v>
      </c>
      <c r="D259" s="50">
        <v>608.04195777484222</v>
      </c>
      <c r="E259" s="50">
        <v>5232.1740721075384</v>
      </c>
      <c r="F259" s="50"/>
      <c r="G259" s="50">
        <v>2077.5661155614262</v>
      </c>
      <c r="H259" s="50">
        <v>1513.7735186417544</v>
      </c>
      <c r="I259" s="50">
        <v>997.57786720298225</v>
      </c>
      <c r="J259" s="50">
        <v>2261.3612818562297</v>
      </c>
      <c r="K259" s="50">
        <v>0</v>
      </c>
      <c r="L259" s="50">
        <v>0</v>
      </c>
      <c r="M259" s="50">
        <v>0</v>
      </c>
    </row>
    <row r="260" spans="1:13">
      <c r="A260" s="39" t="s">
        <v>368</v>
      </c>
      <c r="B260" s="50">
        <v>5923.7091842377786</v>
      </c>
      <c r="D260" s="50">
        <v>1321.9571030590512</v>
      </c>
      <c r="E260" s="50">
        <v>4601.7520811787272</v>
      </c>
      <c r="F260" s="50"/>
      <c r="G260" s="50">
        <v>0</v>
      </c>
      <c r="H260" s="50">
        <v>2217.3589876238725</v>
      </c>
      <c r="I260" s="50">
        <v>2261.9746519595496</v>
      </c>
      <c r="J260" s="50">
        <v>1444.375544654356</v>
      </c>
      <c r="K260" s="50">
        <v>0</v>
      </c>
      <c r="L260" s="50">
        <v>0</v>
      </c>
      <c r="M260" s="50">
        <v>0</v>
      </c>
    </row>
    <row r="261" spans="1:13">
      <c r="A261" s="39" t="s">
        <v>369</v>
      </c>
      <c r="B261" s="50">
        <v>38410.545884935054</v>
      </c>
      <c r="D261" s="50">
        <v>19480.759740024398</v>
      </c>
      <c r="E261" s="50">
        <v>18929.786144910668</v>
      </c>
      <c r="F261" s="50"/>
      <c r="G261" s="50">
        <v>5305.8630282785789</v>
      </c>
      <c r="H261" s="50">
        <v>6061.9433385434177</v>
      </c>
      <c r="I261" s="50">
        <v>3917.0429923382626</v>
      </c>
      <c r="J261" s="50">
        <v>8396.6303957415239</v>
      </c>
      <c r="K261" s="50">
        <v>5095.081213838941</v>
      </c>
      <c r="L261" s="50">
        <v>5573.2756377663745</v>
      </c>
      <c r="M261" s="50">
        <v>4060.7092784279566</v>
      </c>
    </row>
    <row r="262" spans="1:13">
      <c r="A262" s="39" t="s">
        <v>370</v>
      </c>
      <c r="B262" s="50">
        <v>113188.91201050195</v>
      </c>
      <c r="D262" s="50">
        <v>75480.604482657349</v>
      </c>
      <c r="E262" s="50">
        <v>35637.834675785663</v>
      </c>
      <c r="F262" s="50"/>
      <c r="G262" s="50">
        <v>16947.238584332521</v>
      </c>
      <c r="H262" s="50">
        <v>32727.290892085213</v>
      </c>
      <c r="I262" s="50">
        <v>42018.021470461565</v>
      </c>
      <c r="J262" s="50">
        <v>14814.092705720708</v>
      </c>
      <c r="K262" s="50">
        <v>4889.3597536174439</v>
      </c>
      <c r="L262" s="50">
        <v>1334.0835905656495</v>
      </c>
      <c r="M262" s="50">
        <v>458.82501371887366</v>
      </c>
    </row>
    <row r="263" spans="1:13">
      <c r="A263" s="39" t="s">
        <v>371</v>
      </c>
      <c r="B263" s="50">
        <v>55079.530580643128</v>
      </c>
      <c r="D263" s="50">
        <v>43868.316243270572</v>
      </c>
      <c r="E263" s="50">
        <v>10119.166774752495</v>
      </c>
      <c r="F263" s="50"/>
      <c r="G263" s="50">
        <v>3016.1324206721188</v>
      </c>
      <c r="H263" s="50">
        <v>19362.61769767907</v>
      </c>
      <c r="I263" s="50">
        <v>16408.494012265208</v>
      </c>
      <c r="J263" s="50">
        <v>9389.267646741162</v>
      </c>
      <c r="K263" s="50">
        <v>4530.6656447195382</v>
      </c>
      <c r="L263" s="50">
        <v>1988.9385584018262</v>
      </c>
      <c r="M263" s="50">
        <v>383.41460016422946</v>
      </c>
    </row>
    <row r="264" spans="1:13">
      <c r="A264" s="39" t="s">
        <v>372</v>
      </c>
      <c r="B264" s="50">
        <v>951251.56507641298</v>
      </c>
      <c r="D264" s="50">
        <v>544325.53897810762</v>
      </c>
      <c r="E264" s="50">
        <v>402149.38501025154</v>
      </c>
      <c r="F264" s="50"/>
      <c r="G264" s="50">
        <v>73745.279207240936</v>
      </c>
      <c r="H264" s="50">
        <v>175303.10347384479</v>
      </c>
      <c r="I264" s="50">
        <v>279597.4897149966</v>
      </c>
      <c r="J264" s="50">
        <v>202213.48175119446</v>
      </c>
      <c r="K264" s="50">
        <v>130649.60838239055</v>
      </c>
      <c r="L264" s="50">
        <v>65544.63453379678</v>
      </c>
      <c r="M264" s="50">
        <v>24197.96801294963</v>
      </c>
    </row>
    <row r="265" spans="1:13">
      <c r="A265" s="39" t="s">
        <v>373</v>
      </c>
      <c r="B265" s="50">
        <v>42167.475195607825</v>
      </c>
      <c r="D265" s="50">
        <v>30744.790669433747</v>
      </c>
      <c r="E265" s="50">
        <v>11422.684526174105</v>
      </c>
      <c r="F265" s="50"/>
      <c r="G265" s="50">
        <v>2689.9346935403464</v>
      </c>
      <c r="H265" s="50">
        <v>3109.5279211204074</v>
      </c>
      <c r="I265" s="50">
        <v>6597.8414026205483</v>
      </c>
      <c r="J265" s="50">
        <v>5114.484818035764</v>
      </c>
      <c r="K265" s="50">
        <v>5449.5022382839661</v>
      </c>
      <c r="L265" s="50">
        <v>10325.923518130767</v>
      </c>
      <c r="M265" s="50">
        <v>8880.2606038760423</v>
      </c>
    </row>
    <row r="266" spans="1:13">
      <c r="A266" s="39" t="s">
        <v>374</v>
      </c>
      <c r="B266" s="50">
        <v>3078.3526867885203</v>
      </c>
      <c r="D266" s="50">
        <v>511.68626289695851</v>
      </c>
      <c r="E266" s="50">
        <v>2566.6664238915614</v>
      </c>
      <c r="F266" s="50"/>
      <c r="G266" s="50">
        <v>0</v>
      </c>
      <c r="H266" s="50">
        <v>0</v>
      </c>
      <c r="I266" s="50">
        <v>1380.8162011217082</v>
      </c>
      <c r="J266" s="50">
        <v>1697.536485666812</v>
      </c>
      <c r="K266" s="50">
        <v>0</v>
      </c>
      <c r="L266" s="50">
        <v>0</v>
      </c>
      <c r="M266" s="50">
        <v>0</v>
      </c>
    </row>
    <row r="267" spans="1:13">
      <c r="A267" s="39" t="s">
        <v>375</v>
      </c>
      <c r="B267" s="50">
        <v>4044.6203649982731</v>
      </c>
      <c r="D267" s="50">
        <v>4044.6203649982731</v>
      </c>
      <c r="E267" s="50">
        <v>0</v>
      </c>
      <c r="F267" s="50"/>
      <c r="G267" s="50">
        <v>0</v>
      </c>
      <c r="H267" s="50">
        <v>958.75060098359654</v>
      </c>
      <c r="I267" s="50">
        <v>911.57030399158111</v>
      </c>
      <c r="J267" s="50">
        <v>413.5671488555684</v>
      </c>
      <c r="K267" s="50">
        <v>399.6554990115971</v>
      </c>
      <c r="L267" s="50">
        <v>0</v>
      </c>
      <c r="M267" s="50">
        <v>1361.0768121559299</v>
      </c>
    </row>
    <row r="268" spans="1:13">
      <c r="A268" s="39" t="s">
        <v>376</v>
      </c>
      <c r="B268" s="50">
        <v>990.1224519140103</v>
      </c>
      <c r="D268" s="50">
        <v>507.7263335059738</v>
      </c>
      <c r="E268" s="50">
        <v>0</v>
      </c>
      <c r="F268" s="50"/>
      <c r="G268" s="50">
        <v>0</v>
      </c>
      <c r="H268" s="50">
        <v>0</v>
      </c>
      <c r="I268" s="50">
        <v>482.39611840803656</v>
      </c>
      <c r="J268" s="50">
        <v>507.7263335059738</v>
      </c>
      <c r="K268" s="50">
        <v>0</v>
      </c>
      <c r="L268" s="50">
        <v>0</v>
      </c>
      <c r="M268" s="50">
        <v>0</v>
      </c>
    </row>
    <row r="269" spans="1:13">
      <c r="A269" s="39" t="s">
        <v>377</v>
      </c>
      <c r="B269" s="50">
        <v>18663.606690736862</v>
      </c>
      <c r="D269" s="50">
        <v>13926.216319242971</v>
      </c>
      <c r="E269" s="50">
        <v>4191.6705985311346</v>
      </c>
      <c r="F269" s="50"/>
      <c r="G269" s="50">
        <v>1611.4745398371235</v>
      </c>
      <c r="H269" s="50">
        <v>1121.8620526361815</v>
      </c>
      <c r="I269" s="50">
        <v>3199.4482851171224</v>
      </c>
      <c r="J269" s="50">
        <v>4309.3426314928402</v>
      </c>
      <c r="K269" s="50">
        <v>3733.3781767059586</v>
      </c>
      <c r="L269" s="50">
        <v>2382.1465021214599</v>
      </c>
      <c r="M269" s="50">
        <v>2305.9545028261773</v>
      </c>
    </row>
    <row r="270" spans="1:13">
      <c r="A270" s="39" t="s">
        <v>378</v>
      </c>
      <c r="B270" s="50">
        <v>21105.1132686989</v>
      </c>
      <c r="D270" s="50">
        <v>15851.314410724017</v>
      </c>
      <c r="E270" s="50">
        <v>5253.7988579748853</v>
      </c>
      <c r="F270" s="50"/>
      <c r="G270" s="50">
        <v>3334.4023544287502</v>
      </c>
      <c r="H270" s="50">
        <v>1882.3277651443768</v>
      </c>
      <c r="I270" s="50">
        <v>3850.6586678178774</v>
      </c>
      <c r="J270" s="50">
        <v>2178.0008993275787</v>
      </c>
      <c r="K270" s="50">
        <v>2809.4977938817051</v>
      </c>
      <c r="L270" s="50">
        <v>1519.5187850770376</v>
      </c>
      <c r="M270" s="50">
        <v>5530.7070030215782</v>
      </c>
    </row>
    <row r="271" spans="1:13">
      <c r="A271" s="39" t="s">
        <v>379</v>
      </c>
      <c r="B271" s="50">
        <v>20503.722240072802</v>
      </c>
      <c r="D271" s="50">
        <v>8202.5763314872711</v>
      </c>
      <c r="E271" s="50">
        <v>11845.549640878797</v>
      </c>
      <c r="F271" s="50"/>
      <c r="G271" s="50">
        <v>1888.6748017205491</v>
      </c>
      <c r="H271" s="50">
        <v>5399.4508224191604</v>
      </c>
      <c r="I271" s="50">
        <v>2848.9143701160192</v>
      </c>
      <c r="J271" s="50">
        <v>6681.6931355436163</v>
      </c>
      <c r="K271" s="50">
        <v>3684.9891102734582</v>
      </c>
      <c r="L271" s="50">
        <v>0</v>
      </c>
      <c r="M271" s="50">
        <v>0</v>
      </c>
    </row>
    <row r="272" spans="1:13">
      <c r="A272" s="39" t="s">
        <v>380</v>
      </c>
      <c r="B272" s="50">
        <v>0</v>
      </c>
      <c r="D272" s="50">
        <v>0</v>
      </c>
      <c r="E272" s="50">
        <v>0</v>
      </c>
      <c r="F272" s="50"/>
      <c r="G272" s="50">
        <v>0</v>
      </c>
      <c r="H272" s="50">
        <v>0</v>
      </c>
      <c r="I272" s="50">
        <v>0</v>
      </c>
      <c r="J272" s="50">
        <v>0</v>
      </c>
      <c r="K272" s="50">
        <v>0</v>
      </c>
      <c r="L272" s="50">
        <v>0</v>
      </c>
      <c r="M272" s="50">
        <v>0</v>
      </c>
    </row>
    <row r="273" spans="1:13">
      <c r="A273" s="39" t="s">
        <v>381</v>
      </c>
      <c r="B273" s="50">
        <v>32306.034259099197</v>
      </c>
      <c r="D273" s="50">
        <v>17206.379994622086</v>
      </c>
      <c r="E273" s="50">
        <v>14565.791870065965</v>
      </c>
      <c r="F273" s="50"/>
      <c r="G273" s="50">
        <v>3892.2227893947911</v>
      </c>
      <c r="H273" s="50">
        <v>2822.2341470223228</v>
      </c>
      <c r="I273" s="50">
        <v>7413.4851357081579</v>
      </c>
      <c r="J273" s="50">
        <v>5361.4108340995363</v>
      </c>
      <c r="K273" s="50">
        <v>4357.8599463808077</v>
      </c>
      <c r="L273" s="50">
        <v>5597.5928794981955</v>
      </c>
      <c r="M273" s="50">
        <v>2861.2285269953827</v>
      </c>
    </row>
    <row r="274" spans="1:13">
      <c r="A274" s="39" t="s">
        <v>382</v>
      </c>
      <c r="B274" s="50">
        <v>0</v>
      </c>
      <c r="D274" s="50">
        <v>0</v>
      </c>
      <c r="E274" s="50">
        <v>0</v>
      </c>
      <c r="F274" s="50"/>
      <c r="G274" s="50">
        <v>0</v>
      </c>
      <c r="H274" s="50">
        <v>0</v>
      </c>
      <c r="I274" s="50">
        <v>0</v>
      </c>
      <c r="J274" s="50">
        <v>0</v>
      </c>
      <c r="K274" s="50">
        <v>0</v>
      </c>
      <c r="L274" s="50">
        <v>0</v>
      </c>
      <c r="M274" s="50">
        <v>0</v>
      </c>
    </row>
    <row r="275" spans="1:13">
      <c r="A275" s="39" t="s">
        <v>383</v>
      </c>
      <c r="B275" s="50">
        <v>24313.259650476572</v>
      </c>
      <c r="D275" s="50">
        <v>9374.2930693244143</v>
      </c>
      <c r="E275" s="50">
        <v>14938.966581152155</v>
      </c>
      <c r="F275" s="50"/>
      <c r="G275" s="50">
        <v>1937.6722669688957</v>
      </c>
      <c r="H275" s="50">
        <v>3899.8851193992768</v>
      </c>
      <c r="I275" s="50">
        <v>5115.7463875376252</v>
      </c>
      <c r="J275" s="50">
        <v>5327.1178435621841</v>
      </c>
      <c r="K275" s="50">
        <v>6697.7657156674259</v>
      </c>
      <c r="L275" s="50">
        <v>1335.072317341165</v>
      </c>
      <c r="M275" s="50">
        <v>0</v>
      </c>
    </row>
    <row r="276" spans="1:13">
      <c r="A276" s="39" t="s">
        <v>384</v>
      </c>
      <c r="B276" s="50">
        <v>25697.129250359631</v>
      </c>
      <c r="D276" s="50">
        <v>11865.804360859691</v>
      </c>
      <c r="E276" s="50">
        <v>13290.522394709034</v>
      </c>
      <c r="F276" s="50"/>
      <c r="G276" s="50">
        <v>0</v>
      </c>
      <c r="H276" s="50">
        <v>8158.5548235929973</v>
      </c>
      <c r="I276" s="50">
        <v>10701.137956368466</v>
      </c>
      <c r="J276" s="50">
        <v>4887.8382569522655</v>
      </c>
      <c r="K276" s="50">
        <v>1589.1323162097935</v>
      </c>
      <c r="L276" s="50">
        <v>360.46589723610623</v>
      </c>
      <c r="M276" s="50">
        <v>0</v>
      </c>
    </row>
    <row r="277" spans="1:13">
      <c r="A277" s="39" t="s">
        <v>385</v>
      </c>
      <c r="B277" s="50">
        <v>25771.403370756507</v>
      </c>
      <c r="D277" s="50">
        <v>15872.797188415243</v>
      </c>
      <c r="E277" s="50">
        <v>9898.6061823412674</v>
      </c>
      <c r="F277" s="50"/>
      <c r="G277" s="50">
        <v>0</v>
      </c>
      <c r="H277" s="50">
        <v>4439.9761509736627</v>
      </c>
      <c r="I277" s="50">
        <v>4793.9058458060799</v>
      </c>
      <c r="J277" s="50">
        <v>2995.1762743718668</v>
      </c>
      <c r="K277" s="50">
        <v>4833.3826668656966</v>
      </c>
      <c r="L277" s="50">
        <v>5020.8189904119026</v>
      </c>
      <c r="M277" s="50">
        <v>3688.1434423272981</v>
      </c>
    </row>
    <row r="278" spans="1:13">
      <c r="A278" s="39" t="s">
        <v>386</v>
      </c>
      <c r="B278" s="50">
        <v>47018.182951781186</v>
      </c>
      <c r="D278" s="50">
        <v>24975.537840817411</v>
      </c>
      <c r="E278" s="50">
        <v>22042.645110963764</v>
      </c>
      <c r="F278" s="50"/>
      <c r="G278" s="50">
        <v>1888.6748017205491</v>
      </c>
      <c r="H278" s="50">
        <v>10087.293785909325</v>
      </c>
      <c r="I278" s="50">
        <v>13057.224270326526</v>
      </c>
      <c r="J278" s="50">
        <v>8359.1455559339665</v>
      </c>
      <c r="K278" s="50">
        <v>5891.0253741235674</v>
      </c>
      <c r="L278" s="50">
        <v>5421.1870545801894</v>
      </c>
      <c r="M278" s="50">
        <v>2313.6321091870582</v>
      </c>
    </row>
    <row r="279" spans="1:13">
      <c r="A279" s="39" t="s">
        <v>387</v>
      </c>
      <c r="B279" s="50">
        <v>606322.7957230272</v>
      </c>
      <c r="D279" s="50">
        <v>271595.86896430375</v>
      </c>
      <c r="E279" s="50">
        <v>333040.90126028162</v>
      </c>
      <c r="F279" s="50"/>
      <c r="G279" s="50">
        <v>60831.611985825606</v>
      </c>
      <c r="H279" s="50">
        <v>83666.81652228102</v>
      </c>
      <c r="I279" s="50">
        <v>139897.44341999033</v>
      </c>
      <c r="J279" s="50">
        <v>141897.0199791638</v>
      </c>
      <c r="K279" s="50">
        <v>76117.566573063727</v>
      </c>
      <c r="L279" s="50">
        <v>48891.176313878925</v>
      </c>
      <c r="M279" s="50">
        <v>55021.16092882408</v>
      </c>
    </row>
    <row r="280" spans="1:13">
      <c r="A280" s="39" t="s">
        <v>388</v>
      </c>
      <c r="B280" s="50">
        <v>3066.6289846182053</v>
      </c>
      <c r="D280" s="50">
        <v>2174.3446060449969</v>
      </c>
      <c r="E280" s="50">
        <v>446.61464459998956</v>
      </c>
      <c r="F280" s="50"/>
      <c r="G280" s="50">
        <v>0</v>
      </c>
      <c r="H280" s="50">
        <v>892.28437857320887</v>
      </c>
      <c r="I280" s="50">
        <v>1124.4275419861358</v>
      </c>
      <c r="J280" s="50">
        <v>441.95335711264966</v>
      </c>
      <c r="K280" s="50">
        <v>0</v>
      </c>
      <c r="L280" s="50">
        <v>607.96370694621112</v>
      </c>
      <c r="M280" s="50">
        <v>0</v>
      </c>
    </row>
    <row r="281" spans="1:13">
      <c r="A281" s="39" t="s">
        <v>389</v>
      </c>
      <c r="B281" s="50">
        <v>11102.508729673849</v>
      </c>
      <c r="D281" s="50">
        <v>4302.5909000614238</v>
      </c>
      <c r="E281" s="50">
        <v>6799.9178296124255</v>
      </c>
      <c r="F281" s="50"/>
      <c r="G281" s="50">
        <v>0</v>
      </c>
      <c r="H281" s="50">
        <v>878.43674420685022</v>
      </c>
      <c r="I281" s="50">
        <v>6258.236531498701</v>
      </c>
      <c r="J281" s="50">
        <v>2171.4532254948726</v>
      </c>
      <c r="K281" s="50">
        <v>1441.3232274060576</v>
      </c>
      <c r="L281" s="50">
        <v>353.05900106736885</v>
      </c>
      <c r="M281" s="50">
        <v>0</v>
      </c>
    </row>
    <row r="282" spans="1:13">
      <c r="A282" s="39" t="s">
        <v>390</v>
      </c>
      <c r="B282" s="50">
        <v>127072.26456013744</v>
      </c>
      <c r="D282" s="50">
        <v>86004.555716787974</v>
      </c>
      <c r="E282" s="50">
        <v>40091.837406668834</v>
      </c>
      <c r="F282" s="50"/>
      <c r="G282" s="50">
        <v>23857.820860112395</v>
      </c>
      <c r="H282" s="50">
        <v>17699.851099802767</v>
      </c>
      <c r="I282" s="50">
        <v>33564.318670220251</v>
      </c>
      <c r="J282" s="50">
        <v>12041.082134383481</v>
      </c>
      <c r="K282" s="50">
        <v>5494.9608604655568</v>
      </c>
      <c r="L282" s="50">
        <v>8736.7237511733056</v>
      </c>
      <c r="M282" s="50">
        <v>25677.507183979684</v>
      </c>
    </row>
    <row r="283" spans="1:13">
      <c r="A283" s="39" t="s">
        <v>391</v>
      </c>
      <c r="B283" s="50">
        <v>35013.206147370198</v>
      </c>
      <c r="D283" s="50">
        <v>16511.552860844575</v>
      </c>
      <c r="E283" s="50">
        <v>15698.729692736348</v>
      </c>
      <c r="F283" s="50"/>
      <c r="G283" s="50">
        <v>9744.0908553730387</v>
      </c>
      <c r="H283" s="50">
        <v>9275.1526292742528</v>
      </c>
      <c r="I283" s="50">
        <v>1427.4511254120835</v>
      </c>
      <c r="J283" s="50">
        <v>10154.594331158753</v>
      </c>
      <c r="K283" s="50">
        <v>2845.7971225855918</v>
      </c>
      <c r="L283" s="50">
        <v>1087.6511460063161</v>
      </c>
      <c r="M283" s="50">
        <v>478.46893756016306</v>
      </c>
    </row>
    <row r="284" spans="1:13">
      <c r="A284" s="39" t="s">
        <v>392</v>
      </c>
      <c r="B284" s="50">
        <v>3778.6809563765437</v>
      </c>
      <c r="D284" s="50">
        <v>2029.9719858065073</v>
      </c>
      <c r="E284" s="50">
        <v>1748.7089705700366</v>
      </c>
      <c r="F284" s="50"/>
      <c r="G284" s="50">
        <v>1748.7089705700366</v>
      </c>
      <c r="H284" s="50">
        <v>1013.9313643847679</v>
      </c>
      <c r="I284" s="50">
        <v>0</v>
      </c>
      <c r="J284" s="50">
        <v>500.13966338178477</v>
      </c>
      <c r="K284" s="50">
        <v>515.9009580399545</v>
      </c>
      <c r="L284" s="50">
        <v>0</v>
      </c>
      <c r="M284" s="50">
        <v>0</v>
      </c>
    </row>
    <row r="285" spans="1:13">
      <c r="A285" s="39" t="s">
        <v>393</v>
      </c>
      <c r="B285" s="50">
        <v>425448.75941530947</v>
      </c>
      <c r="D285" s="50">
        <v>255519.4861343716</v>
      </c>
      <c r="E285" s="50">
        <v>166422.75470274626</v>
      </c>
      <c r="F285" s="50"/>
      <c r="G285" s="50">
        <v>50570.51984268416</v>
      </c>
      <c r="H285" s="50">
        <v>56856.43177606228</v>
      </c>
      <c r="I285" s="50">
        <v>73782.77349175961</v>
      </c>
      <c r="J285" s="50">
        <v>67305.17556044794</v>
      </c>
      <c r="K285" s="50">
        <v>64290.46099622429</v>
      </c>
      <c r="L285" s="50">
        <v>47832.623945484243</v>
      </c>
      <c r="M285" s="50">
        <v>64810.77380264696</v>
      </c>
    </row>
    <row r="286" spans="1:13">
      <c r="A286" s="39" t="s">
        <v>394</v>
      </c>
      <c r="B286" s="50">
        <v>44319.571364713047</v>
      </c>
      <c r="D286" s="50">
        <v>26610.981546062809</v>
      </c>
      <c r="E286" s="50">
        <v>17708.589818650245</v>
      </c>
      <c r="F286" s="50"/>
      <c r="G286" s="50">
        <v>1263.2796888263431</v>
      </c>
      <c r="H286" s="50">
        <v>2319.0138137086001</v>
      </c>
      <c r="I286" s="50">
        <v>8332.3164855682771</v>
      </c>
      <c r="J286" s="50">
        <v>9863.8522280404322</v>
      </c>
      <c r="K286" s="50">
        <v>7962.4907857630023</v>
      </c>
      <c r="L286" s="50">
        <v>6642.2824649564109</v>
      </c>
      <c r="M286" s="50">
        <v>7936.3358978499864</v>
      </c>
    </row>
    <row r="287" spans="1:13">
      <c r="A287" s="39" t="s">
        <v>395</v>
      </c>
      <c r="B287" s="50">
        <v>0</v>
      </c>
      <c r="D287" s="50">
        <v>0</v>
      </c>
      <c r="E287" s="50">
        <v>0</v>
      </c>
      <c r="F287" s="50"/>
      <c r="G287" s="50">
        <v>0</v>
      </c>
      <c r="H287" s="50">
        <v>0</v>
      </c>
      <c r="I287" s="50">
        <v>0</v>
      </c>
      <c r="J287" s="50">
        <v>0</v>
      </c>
      <c r="K287" s="50">
        <v>0</v>
      </c>
      <c r="L287" s="50">
        <v>0</v>
      </c>
      <c r="M287" s="50">
        <v>0</v>
      </c>
    </row>
    <row r="288" spans="1:13">
      <c r="A288" s="39" t="s">
        <v>396</v>
      </c>
      <c r="B288" s="50">
        <v>142841.73926414744</v>
      </c>
      <c r="D288" s="50">
        <v>82331.277925771283</v>
      </c>
      <c r="E288" s="50">
        <v>60510.461338375972</v>
      </c>
      <c r="F288" s="50"/>
      <c r="G288" s="50">
        <v>16703.181055991332</v>
      </c>
      <c r="H288" s="50">
        <v>34955.067890647719</v>
      </c>
      <c r="I288" s="50">
        <v>47920.296448087705</v>
      </c>
      <c r="J288" s="50">
        <v>21023.666230960309</v>
      </c>
      <c r="K288" s="50">
        <v>15586.013009432412</v>
      </c>
      <c r="L288" s="50">
        <v>4818.6146510968874</v>
      </c>
      <c r="M288" s="50">
        <v>1834.8999779309156</v>
      </c>
    </row>
    <row r="289" spans="1:13">
      <c r="A289" s="39" t="s">
        <v>397</v>
      </c>
      <c r="B289" s="50">
        <v>30693.969936810194</v>
      </c>
      <c r="D289" s="50">
        <v>21336.863321063211</v>
      </c>
      <c r="E289" s="50">
        <v>9357.1066157469777</v>
      </c>
      <c r="F289" s="50"/>
      <c r="G289" s="50">
        <v>3841.6597092483171</v>
      </c>
      <c r="H289" s="50">
        <v>3123.3525349951956</v>
      </c>
      <c r="I289" s="50">
        <v>6090.9232121960249</v>
      </c>
      <c r="J289" s="50">
        <v>6553.5439199732946</v>
      </c>
      <c r="K289" s="50">
        <v>6451.6534038162054</v>
      </c>
      <c r="L289" s="50">
        <v>3593.340192331053</v>
      </c>
      <c r="M289" s="50">
        <v>1039.4969642501001</v>
      </c>
    </row>
    <row r="290" spans="1:13">
      <c r="A290" s="39" t="s">
        <v>398</v>
      </c>
      <c r="B290" s="50">
        <v>66766.229632606555</v>
      </c>
      <c r="D290" s="50">
        <v>37557.393931934559</v>
      </c>
      <c r="E290" s="50">
        <v>28584.510904353974</v>
      </c>
      <c r="F290" s="50"/>
      <c r="G290" s="50">
        <v>1624.335949052482</v>
      </c>
      <c r="H290" s="50">
        <v>7606.9792986582297</v>
      </c>
      <c r="I290" s="50">
        <v>17429.80145947868</v>
      </c>
      <c r="J290" s="50">
        <v>10992.329124267071</v>
      </c>
      <c r="K290" s="50">
        <v>11870.470594324363</v>
      </c>
      <c r="L290" s="50">
        <v>10479.547571304163</v>
      </c>
      <c r="M290" s="50">
        <v>6762.7656355215495</v>
      </c>
    </row>
    <row r="291" spans="1:13">
      <c r="A291" s="39" t="s">
        <v>399</v>
      </c>
      <c r="B291" s="50">
        <v>37814.630061094431</v>
      </c>
      <c r="D291" s="50">
        <v>23927.838800235149</v>
      </c>
      <c r="E291" s="50">
        <v>11605.76522079498</v>
      </c>
      <c r="F291" s="50"/>
      <c r="G291" s="50">
        <v>1748.7089705700366</v>
      </c>
      <c r="H291" s="50">
        <v>10053.630295511866</v>
      </c>
      <c r="I291" s="50">
        <v>16805.444309471954</v>
      </c>
      <c r="J291" s="50">
        <v>5602.4810691861594</v>
      </c>
      <c r="K291" s="50">
        <v>2182.2469897083975</v>
      </c>
      <c r="L291" s="50">
        <v>0</v>
      </c>
      <c r="M291" s="50">
        <v>1422.1184266460145</v>
      </c>
    </row>
    <row r="292" spans="1:13">
      <c r="A292" s="39" t="s">
        <v>400</v>
      </c>
      <c r="B292" s="50">
        <v>208374.40799322817</v>
      </c>
      <c r="D292" s="50">
        <v>117096.85804565425</v>
      </c>
      <c r="E292" s="50">
        <v>90736.747452782947</v>
      </c>
      <c r="F292" s="50"/>
      <c r="G292" s="50">
        <v>78442.051771585597</v>
      </c>
      <c r="H292" s="50">
        <v>63479.541380079885</v>
      </c>
      <c r="I292" s="50">
        <v>42318.004327041526</v>
      </c>
      <c r="J292" s="50">
        <v>10405.32276275271</v>
      </c>
      <c r="K292" s="50">
        <v>9102.8768341809391</v>
      </c>
      <c r="L292" s="50">
        <v>3920.3901136111049</v>
      </c>
      <c r="M292" s="50">
        <v>706.22080397632271</v>
      </c>
    </row>
    <row r="293" spans="1:13">
      <c r="A293" s="39" t="s">
        <v>401</v>
      </c>
      <c r="B293" s="50">
        <v>960836.53938316146</v>
      </c>
      <c r="D293" s="50">
        <v>345313.23935174529</v>
      </c>
      <c r="E293" s="50">
        <v>608423.65381539322</v>
      </c>
      <c r="F293" s="50"/>
      <c r="G293" s="50">
        <v>35812.190929536911</v>
      </c>
      <c r="H293" s="50">
        <v>91187.58347850389</v>
      </c>
      <c r="I293" s="50">
        <v>161217.56391754744</v>
      </c>
      <c r="J293" s="50">
        <v>162002.27528090132</v>
      </c>
      <c r="K293" s="50">
        <v>150047.21470465511</v>
      </c>
      <c r="L293" s="50">
        <v>145972.01554664937</v>
      </c>
      <c r="M293" s="50">
        <v>214597.69552536728</v>
      </c>
    </row>
    <row r="294" spans="1:13">
      <c r="A294" s="39" t="s">
        <v>402</v>
      </c>
      <c r="B294" s="50">
        <v>21288.859554536568</v>
      </c>
      <c r="D294" s="50">
        <v>13540.865411344404</v>
      </c>
      <c r="E294" s="50">
        <v>7747.9941431921634</v>
      </c>
      <c r="F294" s="50"/>
      <c r="G294" s="50">
        <v>5878.1377991019644</v>
      </c>
      <c r="H294" s="50">
        <v>4158.4801496386426</v>
      </c>
      <c r="I294" s="50">
        <v>5348.2409010521369</v>
      </c>
      <c r="J294" s="50">
        <v>3396.5696427386115</v>
      </c>
      <c r="K294" s="50">
        <v>526.27202954935524</v>
      </c>
      <c r="L294" s="50">
        <v>1981.1590324558606</v>
      </c>
      <c r="M294" s="50">
        <v>0</v>
      </c>
    </row>
    <row r="295" spans="1:13">
      <c r="A295" s="39" t="s">
        <v>403</v>
      </c>
      <c r="B295" s="50">
        <v>11394.218476057604</v>
      </c>
      <c r="D295" s="50">
        <v>7145.0171656287785</v>
      </c>
      <c r="E295" s="50">
        <v>4249.2013104288289</v>
      </c>
      <c r="F295" s="50"/>
      <c r="G295" s="50">
        <v>3960.045598192638</v>
      </c>
      <c r="H295" s="50">
        <v>1534.3483234290552</v>
      </c>
      <c r="I295" s="50">
        <v>2035.8283577353166</v>
      </c>
      <c r="J295" s="50">
        <v>0</v>
      </c>
      <c r="K295" s="50">
        <v>2296.8883144664651</v>
      </c>
      <c r="L295" s="50">
        <v>823.87730596080291</v>
      </c>
      <c r="M295" s="50">
        <v>743.23057627333026</v>
      </c>
    </row>
    <row r="296" spans="1:13">
      <c r="A296" s="39" t="s">
        <v>404</v>
      </c>
      <c r="B296" s="50">
        <v>60199.779582225201</v>
      </c>
      <c r="D296" s="50">
        <v>31577.965511501316</v>
      </c>
      <c r="E296" s="50">
        <v>28621.814070723904</v>
      </c>
      <c r="F296" s="50"/>
      <c r="G296" s="50">
        <v>5335.6139707959692</v>
      </c>
      <c r="H296" s="50">
        <v>10392.942241643985</v>
      </c>
      <c r="I296" s="50">
        <v>20009.728038639958</v>
      </c>
      <c r="J296" s="50">
        <v>12230.017420036531</v>
      </c>
      <c r="K296" s="50">
        <v>6247.052847718749</v>
      </c>
      <c r="L296" s="50">
        <v>3272.7230967289952</v>
      </c>
      <c r="M296" s="50">
        <v>2711.7019666610463</v>
      </c>
    </row>
    <row r="297" spans="1:13">
      <c r="A297" s="39" t="s">
        <v>405</v>
      </c>
      <c r="B297" s="50">
        <v>612.39290407909402</v>
      </c>
      <c r="D297" s="50">
        <v>612.39290407909402</v>
      </c>
      <c r="E297" s="50">
        <v>0</v>
      </c>
      <c r="F297" s="50"/>
      <c r="G297" s="50">
        <v>0</v>
      </c>
      <c r="H297" s="50">
        <v>0</v>
      </c>
      <c r="I297" s="50">
        <v>0</v>
      </c>
      <c r="J297" s="50">
        <v>612.39290407909402</v>
      </c>
      <c r="K297" s="50">
        <v>0</v>
      </c>
      <c r="L297" s="50">
        <v>0</v>
      </c>
      <c r="M297" s="50">
        <v>0</v>
      </c>
    </row>
    <row r="298" spans="1:13">
      <c r="A298" s="39" t="s">
        <v>406</v>
      </c>
      <c r="B298" s="50">
        <v>2183.5961481512486</v>
      </c>
      <c r="D298" s="50">
        <v>2183.5961481512486</v>
      </c>
      <c r="E298" s="50">
        <v>0</v>
      </c>
      <c r="F298" s="50"/>
      <c r="G298" s="50">
        <v>0</v>
      </c>
      <c r="H298" s="50">
        <v>483.75292177532475</v>
      </c>
      <c r="I298" s="50">
        <v>0</v>
      </c>
      <c r="J298" s="50">
        <v>0</v>
      </c>
      <c r="K298" s="50">
        <v>0</v>
      </c>
      <c r="L298" s="50">
        <v>0</v>
      </c>
      <c r="M298" s="50">
        <v>1699.8432263759241</v>
      </c>
    </row>
    <row r="299" spans="1:13">
      <c r="A299" s="39" t="s">
        <v>407</v>
      </c>
      <c r="B299" s="50">
        <v>3071.0490408016685</v>
      </c>
      <c r="D299" s="50">
        <v>2608.0793044554466</v>
      </c>
      <c r="E299" s="50">
        <v>0</v>
      </c>
      <c r="F299" s="50"/>
      <c r="G299" s="50">
        <v>0</v>
      </c>
      <c r="H299" s="50">
        <v>0</v>
      </c>
      <c r="I299" s="50">
        <v>3071.0490408016685</v>
      </c>
      <c r="J299" s="50">
        <v>0</v>
      </c>
      <c r="K299" s="50">
        <v>0</v>
      </c>
      <c r="L299" s="50">
        <v>0</v>
      </c>
      <c r="M299" s="50">
        <v>0</v>
      </c>
    </row>
    <row r="300" spans="1:13">
      <c r="A300" s="39" t="s">
        <v>408</v>
      </c>
      <c r="B300" s="50">
        <v>595111.18810464418</v>
      </c>
      <c r="D300" s="50">
        <v>80624.996441659328</v>
      </c>
      <c r="E300" s="50">
        <v>512686.75869792566</v>
      </c>
      <c r="F300" s="50"/>
      <c r="G300" s="50">
        <v>13996.933961811472</v>
      </c>
      <c r="H300" s="50">
        <v>40910.453178316529</v>
      </c>
      <c r="I300" s="50">
        <v>134857.41819787383</v>
      </c>
      <c r="J300" s="50">
        <v>114810.99292936921</v>
      </c>
      <c r="K300" s="50">
        <v>109009.30042502728</v>
      </c>
      <c r="L300" s="50">
        <v>94724.218943641812</v>
      </c>
      <c r="M300" s="50">
        <v>86801.870468604335</v>
      </c>
    </row>
    <row r="301" spans="1:13">
      <c r="A301" s="132"/>
      <c r="B301" s="178"/>
      <c r="C301" s="133"/>
      <c r="D301" s="178"/>
      <c r="E301" s="178"/>
      <c r="F301" s="178"/>
      <c r="G301" s="178"/>
      <c r="H301" s="178"/>
      <c r="I301" s="178"/>
      <c r="J301" s="178"/>
      <c r="K301" s="178"/>
      <c r="L301" s="178"/>
      <c r="M301" s="178"/>
    </row>
    <row r="302" spans="1:13">
      <c r="A302" s="29" t="s">
        <v>147</v>
      </c>
      <c r="B302" s="50"/>
      <c r="D302" s="50"/>
      <c r="E302" s="50"/>
      <c r="F302" s="50"/>
      <c r="G302" s="50"/>
      <c r="H302" s="50"/>
      <c r="I302" s="50"/>
      <c r="J302" s="50"/>
      <c r="K302" s="50"/>
      <c r="L302" s="50"/>
      <c r="M302" s="50"/>
    </row>
    <row r="303" spans="1:13">
      <c r="A303" s="16" t="s">
        <v>119</v>
      </c>
      <c r="B303" s="50"/>
      <c r="D303" s="50"/>
      <c r="E303" s="50"/>
      <c r="F303" s="50"/>
      <c r="G303" s="50"/>
      <c r="H303" s="50"/>
      <c r="I303" s="50"/>
      <c r="J303" s="50"/>
      <c r="K303" s="50"/>
      <c r="L303" s="50"/>
      <c r="M303" s="50"/>
    </row>
    <row r="304" spans="1:13">
      <c r="A304" s="16" t="s">
        <v>120</v>
      </c>
      <c r="G304" s="2"/>
    </row>
    <row r="305" spans="1:7">
      <c r="A305" s="29" t="s">
        <v>118</v>
      </c>
    </row>
    <row r="317" spans="1:7">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B159&lt;'34'!$C$104</xm:f>
            <x14:dxf>
              <font>
                <color rgb="FFFF0000"/>
              </font>
              <numFmt numFmtId="172" formatCode="\*\*0.0%"/>
            </x14:dxf>
          </x14:cfRule>
          <x14:cfRule type="expression" priority="6" id="{13BD7B6E-8586-471F-B860-D92892121B20}">
            <xm:f>B159&lt;'34'!$C$103</xm:f>
            <x14:dxf>
              <font>
                <color rgb="FF00B050"/>
              </font>
              <numFmt numFmtId="171" formatCode="\*0.0%"/>
            </x14:dxf>
          </x14:cfRule>
          <xm:sqref>B16:M157</xm:sqref>
        </x14:conditionalFormatting>
        <x14:conditionalFormatting xmlns:xm="http://schemas.microsoft.com/office/excel/2006/main">
          <x14:cfRule type="expression" priority="1" id="{1B74E5F0-8EDD-4EBE-8C17-A1C68CFFA7CA}">
            <xm:f>B159&lt;'34'!$C$104</xm:f>
            <x14:dxf>
              <font>
                <color rgb="FFFF0000"/>
              </font>
              <numFmt numFmtId="170" formatCode="\*\*#,###,###,##0"/>
            </x14:dxf>
          </x14:cfRule>
          <x14:cfRule type="expression" priority="2" id="{206D6C66-1C2C-4EEB-B8E8-DF77C6BC4FA6}">
            <xm:f>B159&lt;'34'!$C$103</xm:f>
            <x14:dxf>
              <font>
                <color rgb="FF00B050"/>
              </font>
              <numFmt numFmtId="169" formatCode="\*#,###,###,##0"/>
            </x14:dxf>
          </x14:cfRule>
          <xm:sqref>B159:M300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zoomScaleNormal="100" workbookViewId="0">
      <pane xSplit="1" ySplit="14" topLeftCell="B15" activePane="bottomRight" state="frozen"/>
      <selection pane="bottomRight"/>
      <selection pane="bottomLeft"/>
      <selection pane="topRight"/>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10">
      <c r="A1" s="34"/>
      <c r="B1" s="34"/>
      <c r="C1" s="34"/>
      <c r="D1" s="34"/>
      <c r="E1" s="34"/>
      <c r="F1" s="34"/>
      <c r="G1" s="34"/>
      <c r="H1" s="34"/>
    </row>
    <row r="2" spans="1:10">
      <c r="A2" s="34"/>
      <c r="B2" s="34"/>
      <c r="C2" s="34"/>
      <c r="D2" s="34"/>
      <c r="E2" s="34"/>
      <c r="F2" s="34"/>
      <c r="G2" s="34"/>
      <c r="H2" s="34"/>
    </row>
    <row r="3" spans="1:10">
      <c r="A3" s="34"/>
      <c r="B3" s="34"/>
      <c r="C3" s="34"/>
      <c r="D3" s="34"/>
      <c r="E3" s="34"/>
      <c r="F3" s="34"/>
      <c r="G3" s="34"/>
      <c r="H3" s="34"/>
    </row>
    <row r="4" spans="1:10">
      <c r="A4" s="34"/>
      <c r="B4" s="34"/>
      <c r="C4" s="34"/>
      <c r="D4" s="34"/>
      <c r="E4" s="34"/>
      <c r="F4" s="34"/>
      <c r="G4" s="34"/>
      <c r="H4" s="34"/>
    </row>
    <row r="5" spans="1:10">
      <c r="A5" s="34"/>
      <c r="B5" s="34"/>
      <c r="C5" s="34"/>
      <c r="D5" s="34"/>
      <c r="E5" s="34"/>
      <c r="F5" s="34"/>
      <c r="G5" s="34"/>
      <c r="H5" s="34"/>
    </row>
    <row r="6" spans="1:10">
      <c r="A6" s="34"/>
      <c r="B6" s="34"/>
      <c r="C6" s="34"/>
      <c r="D6" s="34"/>
      <c r="E6" s="34"/>
      <c r="F6" s="34"/>
      <c r="G6" s="34"/>
      <c r="H6" s="34"/>
    </row>
    <row r="7" spans="1:10">
      <c r="A7" s="34"/>
      <c r="B7" s="34"/>
      <c r="C7" s="34"/>
      <c r="D7" s="34"/>
      <c r="E7" s="34"/>
      <c r="F7" s="34"/>
      <c r="G7" s="34"/>
      <c r="H7" s="34"/>
    </row>
    <row r="8" spans="1:10">
      <c r="A8" s="35" t="s">
        <v>0</v>
      </c>
      <c r="B8" s="34"/>
      <c r="C8" s="34"/>
      <c r="D8" s="34"/>
      <c r="E8" s="34"/>
      <c r="F8" s="34"/>
      <c r="G8" s="34"/>
      <c r="H8" s="34"/>
    </row>
    <row r="9" spans="1:10">
      <c r="A9" s="34" t="s">
        <v>1</v>
      </c>
      <c r="B9" s="35" t="s">
        <v>2</v>
      </c>
      <c r="C9" s="34"/>
      <c r="D9" s="34"/>
      <c r="E9" s="34"/>
      <c r="F9" s="34"/>
      <c r="G9" s="34"/>
      <c r="H9" s="34"/>
    </row>
    <row r="10" spans="1:10">
      <c r="A10" s="34" t="s">
        <v>47</v>
      </c>
      <c r="B10" s="36">
        <v>20</v>
      </c>
      <c r="C10" s="34"/>
      <c r="D10" s="34"/>
      <c r="E10" s="34"/>
      <c r="F10" s="34"/>
      <c r="G10" s="34"/>
      <c r="H10" s="34"/>
    </row>
    <row r="11" spans="1:10">
      <c r="A11" s="34" t="s">
        <v>3</v>
      </c>
      <c r="B11" s="35" t="s">
        <v>28</v>
      </c>
      <c r="C11" s="34"/>
      <c r="D11" s="34"/>
      <c r="E11" s="34"/>
      <c r="F11" s="114" t="s">
        <v>145</v>
      </c>
      <c r="G11" s="34"/>
      <c r="H11" s="34"/>
    </row>
    <row r="12" spans="1:10">
      <c r="A12" s="130" t="s">
        <v>48</v>
      </c>
      <c r="B12" s="131" t="s">
        <v>49</v>
      </c>
      <c r="C12" s="130"/>
      <c r="D12" s="130"/>
      <c r="E12" s="130"/>
      <c r="F12" s="130"/>
      <c r="G12" s="130"/>
      <c r="H12" s="130"/>
    </row>
    <row r="13" spans="1:10" ht="24.95" customHeight="1">
      <c r="A13" s="102"/>
      <c r="B13" s="38"/>
      <c r="C13" s="155" t="s">
        <v>162</v>
      </c>
      <c r="D13" s="155"/>
      <c r="E13" s="155"/>
      <c r="F13" s="155"/>
      <c r="G13" s="155"/>
      <c r="H13" s="155"/>
    </row>
    <row r="14" spans="1:10" ht="45">
      <c r="A14" s="43"/>
      <c r="B14" s="69" t="s">
        <v>136</v>
      </c>
      <c r="C14" s="69" t="s">
        <v>152</v>
      </c>
      <c r="D14" s="69" t="s">
        <v>410</v>
      </c>
      <c r="E14" s="69" t="s">
        <v>411</v>
      </c>
      <c r="F14" s="69" t="s">
        <v>412</v>
      </c>
      <c r="G14" s="69" t="s">
        <v>156</v>
      </c>
      <c r="H14" s="69" t="s">
        <v>413</v>
      </c>
      <c r="I14" s="113" t="s">
        <v>145</v>
      </c>
    </row>
    <row r="15" spans="1:10">
      <c r="A15" s="72"/>
      <c r="B15" s="156" t="s">
        <v>143</v>
      </c>
      <c r="C15" s="156"/>
      <c r="D15" s="156"/>
      <c r="E15" s="156"/>
      <c r="F15" s="156"/>
      <c r="G15" s="156"/>
      <c r="H15" s="156"/>
    </row>
    <row r="16" spans="1:10">
      <c r="A16" s="39" t="s">
        <v>267</v>
      </c>
      <c r="B16" s="4">
        <v>1.1769332273103765E-3</v>
      </c>
      <c r="C16" s="10">
        <v>2.1801143710953202E-4</v>
      </c>
      <c r="D16" s="4">
        <v>3.28595284689334E-4</v>
      </c>
      <c r="E16" s="4">
        <v>3.388848349732969E-4</v>
      </c>
      <c r="F16" s="4">
        <v>3.1646054145770231E-4</v>
      </c>
      <c r="G16" s="4">
        <v>3.4458024822321069E-4</v>
      </c>
      <c r="H16" s="4">
        <v>3.6525838994719983E-4</v>
      </c>
      <c r="I16" s="4"/>
      <c r="J16" s="4"/>
    </row>
    <row r="17" spans="1:10">
      <c r="A17" s="39" t="s">
        <v>268</v>
      </c>
      <c r="B17" s="4">
        <v>2.495128335019962E-3</v>
      </c>
      <c r="C17" s="10">
        <v>8.0618148519766232E-4</v>
      </c>
      <c r="D17" s="4">
        <v>3.4764131683004201E-4</v>
      </c>
      <c r="E17" s="4">
        <v>3.610771997510465E-4</v>
      </c>
      <c r="F17" s="4">
        <v>8.6062987569418027E-4</v>
      </c>
      <c r="G17" s="4">
        <v>6.5862763189510922E-4</v>
      </c>
      <c r="H17" s="4">
        <v>4.0450573251761844E-4</v>
      </c>
      <c r="I17" s="4"/>
      <c r="J17" s="4"/>
    </row>
    <row r="18" spans="1:10">
      <c r="A18" s="39" t="s">
        <v>269</v>
      </c>
      <c r="B18" s="4">
        <v>1.6557853345657539E-3</v>
      </c>
      <c r="C18" s="10">
        <v>8.4038383312772999E-4</v>
      </c>
      <c r="D18" s="4">
        <v>2.8050797155469953E-4</v>
      </c>
      <c r="E18" s="4">
        <v>3.8242942435759403E-4</v>
      </c>
      <c r="F18" s="4">
        <v>3.6858171119817938E-4</v>
      </c>
      <c r="G18" s="4">
        <v>2.5124882341084518E-4</v>
      </c>
      <c r="H18" s="4">
        <v>2.443057377470593E-4</v>
      </c>
      <c r="I18" s="4"/>
      <c r="J18" s="4"/>
    </row>
    <row r="19" spans="1:10">
      <c r="A19" s="39" t="s">
        <v>270</v>
      </c>
      <c r="B19" s="4">
        <v>8.2683119039600721E-3</v>
      </c>
      <c r="C19" s="10">
        <v>2.2106632954565979E-3</v>
      </c>
      <c r="D19" s="4">
        <v>1.0145076539333096E-3</v>
      </c>
      <c r="E19" s="4">
        <v>1.5857020364866705E-3</v>
      </c>
      <c r="F19" s="4">
        <v>9.42743018131442E-4</v>
      </c>
      <c r="G19" s="4">
        <v>1.5766682940466005E-3</v>
      </c>
      <c r="H19" s="4">
        <v>2.5870999680818818E-3</v>
      </c>
      <c r="I19" s="4"/>
      <c r="J19" s="4"/>
    </row>
    <row r="20" spans="1:10">
      <c r="A20" s="39" t="s">
        <v>271</v>
      </c>
      <c r="B20" s="4">
        <v>1.745117316430474E-2</v>
      </c>
      <c r="C20" s="10">
        <v>9.7209511085155978E-3</v>
      </c>
      <c r="D20" s="4">
        <v>2.9083646179490579E-3</v>
      </c>
      <c r="E20" s="4">
        <v>2.0169697206002088E-3</v>
      </c>
      <c r="F20" s="4">
        <v>1.3334449276558638E-3</v>
      </c>
      <c r="G20" s="4">
        <v>1.6639275341283775E-3</v>
      </c>
      <c r="H20" s="4">
        <v>2.555070725779973E-3</v>
      </c>
      <c r="I20" s="4"/>
      <c r="J20" s="4"/>
    </row>
    <row r="21" spans="1:10">
      <c r="A21" s="39" t="s">
        <v>272</v>
      </c>
      <c r="B21" s="4">
        <v>8.4302533162298621E-3</v>
      </c>
      <c r="C21" s="10">
        <v>2.2345016164309318E-3</v>
      </c>
      <c r="D21" s="4">
        <v>1.3508790592609485E-3</v>
      </c>
      <c r="E21" s="4">
        <v>9.7057977860409705E-4</v>
      </c>
      <c r="F21" s="4">
        <v>3.739344685375849E-4</v>
      </c>
      <c r="G21" s="4">
        <v>1.0120146353529058E-3</v>
      </c>
      <c r="H21" s="4">
        <v>2.2505070142418695E-3</v>
      </c>
      <c r="I21" s="4"/>
      <c r="J21" s="4"/>
    </row>
    <row r="22" spans="1:10">
      <c r="A22" s="39" t="s">
        <v>273</v>
      </c>
      <c r="B22" s="4">
        <v>2.641573490074503E-3</v>
      </c>
      <c r="C22" s="10">
        <v>1.3453584601350972E-3</v>
      </c>
      <c r="D22" s="4">
        <v>4.1412022132964968E-4</v>
      </c>
      <c r="E22" s="4">
        <v>3.6788558273656054E-4</v>
      </c>
      <c r="F22" s="4">
        <v>9.5330432652279668E-5</v>
      </c>
      <c r="G22" s="4">
        <v>2.3941308402268411E-4</v>
      </c>
      <c r="H22" s="4">
        <v>3.0550987763403102E-4</v>
      </c>
      <c r="I22" s="4"/>
      <c r="J22" s="4"/>
    </row>
    <row r="23" spans="1:10">
      <c r="A23" s="39" t="s">
        <v>274</v>
      </c>
      <c r="B23" s="4">
        <v>2.525800767146456E-2</v>
      </c>
      <c r="C23" s="10">
        <v>1.1027071844219312E-2</v>
      </c>
      <c r="D23" s="4">
        <v>4.327333275901451E-3</v>
      </c>
      <c r="E23" s="4">
        <v>3.8996249835084179E-3</v>
      </c>
      <c r="F23" s="4">
        <v>1.1353557438784387E-3</v>
      </c>
      <c r="G23" s="4">
        <v>2.6842802581463938E-3</v>
      </c>
      <c r="H23" s="4">
        <v>4.4126279149210388E-3</v>
      </c>
      <c r="I23" s="4"/>
      <c r="J23" s="4"/>
    </row>
    <row r="24" spans="1:10">
      <c r="A24" s="39" t="s">
        <v>275</v>
      </c>
      <c r="B24" s="4">
        <v>2.6226343764457915E-4</v>
      </c>
      <c r="C24" s="10">
        <v>7.1852006554998192E-5</v>
      </c>
      <c r="D24" s="4">
        <v>4.7500703449235869E-5</v>
      </c>
      <c r="E24" s="4">
        <v>2.7414739604314379E-5</v>
      </c>
      <c r="F24" s="4">
        <v>7.2196490313239118E-5</v>
      </c>
      <c r="G24" s="4">
        <v>1.7089620332113047E-4</v>
      </c>
      <c r="H24" s="4">
        <v>2.2043610464176658E-5</v>
      </c>
      <c r="I24" s="4"/>
      <c r="J24" s="4"/>
    </row>
    <row r="25" spans="1:10">
      <c r="A25" s="39" t="s">
        <v>276</v>
      </c>
      <c r="B25" s="4">
        <v>5.0734573071212384E-5</v>
      </c>
      <c r="C25" s="10">
        <v>0</v>
      </c>
      <c r="D25" s="4">
        <v>2.6039084006754968E-5</v>
      </c>
      <c r="E25" s="4">
        <v>0</v>
      </c>
      <c r="F25" s="4">
        <v>0</v>
      </c>
      <c r="G25" s="4">
        <v>0</v>
      </c>
      <c r="H25" s="4">
        <v>0</v>
      </c>
      <c r="I25" s="4"/>
      <c r="J25" s="4"/>
    </row>
    <row r="26" spans="1:10">
      <c r="A26" s="39" t="s">
        <v>277</v>
      </c>
      <c r="B26" s="4">
        <v>1.0260666121828133E-3</v>
      </c>
      <c r="C26" s="10">
        <v>3.0801413991245099E-4</v>
      </c>
      <c r="D26" s="4">
        <v>3.3869372560668448E-4</v>
      </c>
      <c r="E26" s="4">
        <v>2.2584170933742431E-4</v>
      </c>
      <c r="F26" s="4">
        <v>7.1534463084259534E-5</v>
      </c>
      <c r="G26" s="4">
        <v>2.2142382913276453E-4</v>
      </c>
      <c r="H26" s="4">
        <v>6.4955402488599162E-5</v>
      </c>
      <c r="I26" s="4"/>
      <c r="J26" s="4"/>
    </row>
    <row r="27" spans="1:10">
      <c r="A27" s="39" t="s">
        <v>278</v>
      </c>
      <c r="B27" s="4">
        <v>2.2335169960231935E-4</v>
      </c>
      <c r="C27" s="10">
        <v>1.5287324400098013E-4</v>
      </c>
      <c r="D27" s="4">
        <v>5.4281042253394445E-5</v>
      </c>
      <c r="E27" s="4">
        <v>5.075296086699644E-5</v>
      </c>
      <c r="F27" s="4">
        <v>0</v>
      </c>
      <c r="G27" s="4">
        <v>4.7589279636558505E-5</v>
      </c>
      <c r="H27" s="4">
        <v>0</v>
      </c>
      <c r="I27" s="4"/>
      <c r="J27" s="4"/>
    </row>
    <row r="28" spans="1:10">
      <c r="A28" s="39" t="s">
        <v>279</v>
      </c>
      <c r="B28" s="4">
        <v>0</v>
      </c>
      <c r="C28" s="10">
        <v>0</v>
      </c>
      <c r="D28" s="4">
        <v>0</v>
      </c>
      <c r="E28" s="4">
        <v>0</v>
      </c>
      <c r="F28" s="4">
        <v>0</v>
      </c>
      <c r="G28" s="4">
        <v>0</v>
      </c>
      <c r="H28" s="4">
        <v>0</v>
      </c>
      <c r="I28" s="4"/>
      <c r="J28" s="4"/>
    </row>
    <row r="29" spans="1:10">
      <c r="A29" s="39" t="s">
        <v>280</v>
      </c>
      <c r="B29" s="4">
        <v>1.652354068788929E-4</v>
      </c>
      <c r="C29" s="10">
        <v>2.4214936611979118E-5</v>
      </c>
      <c r="D29" s="4">
        <v>0</v>
      </c>
      <c r="E29" s="4">
        <v>2.4214936611979118E-5</v>
      </c>
      <c r="F29" s="4">
        <v>0</v>
      </c>
      <c r="G29" s="4">
        <v>0</v>
      </c>
      <c r="H29" s="4">
        <v>0</v>
      </c>
      <c r="I29" s="4"/>
      <c r="J29" s="4"/>
    </row>
    <row r="30" spans="1:10">
      <c r="A30" s="39" t="s">
        <v>281</v>
      </c>
      <c r="B30" s="4">
        <v>0</v>
      </c>
      <c r="C30" s="10">
        <v>0</v>
      </c>
      <c r="D30" s="4">
        <v>0</v>
      </c>
      <c r="E30" s="4">
        <v>0</v>
      </c>
      <c r="F30" s="4">
        <v>0</v>
      </c>
      <c r="G30" s="4">
        <v>0</v>
      </c>
      <c r="H30" s="4">
        <v>0</v>
      </c>
      <c r="I30" s="4"/>
      <c r="J30" s="4"/>
    </row>
    <row r="31" spans="1:10">
      <c r="A31" s="39" t="s">
        <v>282</v>
      </c>
      <c r="B31" s="4">
        <v>1.0736286184712574E-4</v>
      </c>
      <c r="C31" s="10">
        <v>2.3747483096626889E-5</v>
      </c>
      <c r="D31" s="4">
        <v>0</v>
      </c>
      <c r="E31" s="4">
        <v>0</v>
      </c>
      <c r="F31" s="4">
        <v>8.5908192186247702E-5</v>
      </c>
      <c r="G31" s="4">
        <v>2.1454669660878038E-5</v>
      </c>
      <c r="H31" s="4">
        <v>2.0070128120368264E-5</v>
      </c>
      <c r="I31" s="4"/>
      <c r="J31" s="4"/>
    </row>
    <row r="32" spans="1:10">
      <c r="A32" s="39" t="s">
        <v>283</v>
      </c>
      <c r="B32" s="4">
        <v>4.5843045704352583E-5</v>
      </c>
      <c r="C32" s="10">
        <v>0</v>
      </c>
      <c r="D32" s="4">
        <v>4.5843045704352583E-5</v>
      </c>
      <c r="E32" s="4">
        <v>2.2657963835080405E-5</v>
      </c>
      <c r="F32" s="4">
        <v>0</v>
      </c>
      <c r="G32" s="4">
        <v>0</v>
      </c>
      <c r="H32" s="4">
        <v>0</v>
      </c>
      <c r="I32" s="4"/>
      <c r="J32" s="4"/>
    </row>
    <row r="33" spans="1:10">
      <c r="A33" s="39" t="s">
        <v>284</v>
      </c>
      <c r="B33" s="4">
        <v>7.6102474896825329E-3</v>
      </c>
      <c r="C33" s="10">
        <v>4.8879137881695676E-3</v>
      </c>
      <c r="D33" s="4">
        <v>2.0032130628383341E-3</v>
      </c>
      <c r="E33" s="4">
        <v>2.4386694566515458E-4</v>
      </c>
      <c r="F33" s="4">
        <v>2.5734266819639531E-5</v>
      </c>
      <c r="G33" s="4">
        <v>2.9648599243866996E-4</v>
      </c>
      <c r="H33" s="4">
        <v>1.191291417530674E-4</v>
      </c>
      <c r="I33" s="4"/>
      <c r="J33" s="4"/>
    </row>
    <row r="34" spans="1:10">
      <c r="A34" s="39" t="s">
        <v>285</v>
      </c>
      <c r="B34" s="4">
        <v>5.9139787523371226E-3</v>
      </c>
      <c r="C34" s="10">
        <v>1.1137694068911487E-3</v>
      </c>
      <c r="D34" s="4">
        <v>2.5774418046042115E-4</v>
      </c>
      <c r="E34" s="4">
        <v>2.1580432287191071E-3</v>
      </c>
      <c r="F34" s="4">
        <v>1.7109083770731506E-3</v>
      </c>
      <c r="G34" s="4">
        <v>1.4482320754818109E-3</v>
      </c>
      <c r="H34" s="4">
        <v>1.7251009133244073E-4</v>
      </c>
      <c r="I34" s="4"/>
      <c r="J34" s="4"/>
    </row>
    <row r="35" spans="1:10">
      <c r="A35" s="39" t="s">
        <v>286</v>
      </c>
      <c r="B35" s="4">
        <v>0</v>
      </c>
      <c r="C35" s="10">
        <v>0</v>
      </c>
      <c r="D35" s="4">
        <v>0</v>
      </c>
      <c r="E35" s="4">
        <v>0</v>
      </c>
      <c r="F35" s="4">
        <v>0</v>
      </c>
      <c r="G35" s="4">
        <v>0</v>
      </c>
      <c r="H35" s="4">
        <v>0</v>
      </c>
      <c r="I35" s="4"/>
      <c r="J35" s="4"/>
    </row>
    <row r="36" spans="1:10">
      <c r="A36" s="39" t="s">
        <v>287</v>
      </c>
      <c r="B36" s="4">
        <v>2.0588805044433237E-2</v>
      </c>
      <c r="C36" s="10">
        <v>2.0473037455972475E-3</v>
      </c>
      <c r="D36" s="4">
        <v>2.8683618049664774E-3</v>
      </c>
      <c r="E36" s="4">
        <v>1.8901807901848622E-3</v>
      </c>
      <c r="F36" s="4">
        <v>3.4407293771411538E-3</v>
      </c>
      <c r="G36" s="4">
        <v>1.4663077830641908E-3</v>
      </c>
      <c r="H36" s="4">
        <v>2.3586838600473821E-3</v>
      </c>
      <c r="I36" s="4"/>
      <c r="J36" s="4"/>
    </row>
    <row r="37" spans="1:10">
      <c r="A37" s="39" t="s">
        <v>288</v>
      </c>
      <c r="B37" s="4">
        <v>5.1624997892590722E-4</v>
      </c>
      <c r="C37" s="10">
        <v>2.0512743531199965E-4</v>
      </c>
      <c r="D37" s="4">
        <v>9.927070473645599E-5</v>
      </c>
      <c r="E37" s="4">
        <v>1.2506406952349119E-4</v>
      </c>
      <c r="F37" s="4">
        <v>7.3875991760016633E-5</v>
      </c>
      <c r="G37" s="4">
        <v>5.3046061838194904E-5</v>
      </c>
      <c r="H37" s="4">
        <v>2.265093650054142E-5</v>
      </c>
      <c r="I37" s="4"/>
      <c r="J37" s="4"/>
    </row>
    <row r="38" spans="1:10">
      <c r="A38" s="39" t="s">
        <v>289</v>
      </c>
      <c r="B38" s="4">
        <v>2.5593406846159461E-4</v>
      </c>
      <c r="C38" s="10">
        <v>1.3807919140659629E-4</v>
      </c>
      <c r="D38" s="4">
        <v>1.1365172580477192E-4</v>
      </c>
      <c r="E38" s="4">
        <v>4.5186001921134297E-5</v>
      </c>
      <c r="F38" s="4">
        <v>7.0812181424651871E-5</v>
      </c>
      <c r="G38" s="4">
        <v>6.1511447018091693E-5</v>
      </c>
      <c r="H38" s="4">
        <v>1.2634160355786436E-4</v>
      </c>
      <c r="I38" s="4"/>
      <c r="J38" s="4"/>
    </row>
    <row r="39" spans="1:10">
      <c r="A39" s="39" t="s">
        <v>290</v>
      </c>
      <c r="B39" s="4">
        <v>2.4648827624417012E-3</v>
      </c>
      <c r="C39" s="10">
        <v>5.0146468512299671E-4</v>
      </c>
      <c r="D39" s="4">
        <v>2.6088072409925274E-4</v>
      </c>
      <c r="E39" s="4">
        <v>1.5576585349548296E-4</v>
      </c>
      <c r="F39" s="4">
        <v>5.5422191462680878E-4</v>
      </c>
      <c r="G39" s="4">
        <v>1.0751951111113707E-4</v>
      </c>
      <c r="H39" s="4">
        <v>2.1408195938171657E-4</v>
      </c>
      <c r="I39" s="4"/>
      <c r="J39" s="4"/>
    </row>
    <row r="40" spans="1:10">
      <c r="A40" s="39" t="s">
        <v>291</v>
      </c>
      <c r="B40" s="4">
        <v>2.8553525084732594E-4</v>
      </c>
      <c r="C40" s="10">
        <v>5.670970880439698E-5</v>
      </c>
      <c r="D40" s="4">
        <v>1.4357626219441412E-5</v>
      </c>
      <c r="E40" s="4">
        <v>1.9701146084414144E-5</v>
      </c>
      <c r="F40" s="4">
        <v>1.8156059158098146E-4</v>
      </c>
      <c r="G40" s="4">
        <v>2.180547476473059E-5</v>
      </c>
      <c r="H40" s="4">
        <v>0</v>
      </c>
      <c r="I40" s="4"/>
      <c r="J40" s="4"/>
    </row>
    <row r="41" spans="1:10">
      <c r="A41" s="39" t="s">
        <v>292</v>
      </c>
      <c r="B41" s="4">
        <v>1.6062662490567748E-2</v>
      </c>
      <c r="C41" s="10">
        <v>9.5923539810213506E-3</v>
      </c>
      <c r="D41" s="4">
        <v>2.5130719093290873E-3</v>
      </c>
      <c r="E41" s="4">
        <v>1.5435601107206167E-3</v>
      </c>
      <c r="F41" s="4">
        <v>1.0589997041404277E-3</v>
      </c>
      <c r="G41" s="4">
        <v>1.3563546431997248E-3</v>
      </c>
      <c r="H41" s="4">
        <v>1.9526076375166875E-3</v>
      </c>
      <c r="I41" s="4"/>
      <c r="J41" s="4"/>
    </row>
    <row r="42" spans="1:10">
      <c r="A42" s="39" t="s">
        <v>293</v>
      </c>
      <c r="B42" s="4">
        <v>7.0163564141150804E-4</v>
      </c>
      <c r="C42" s="10">
        <v>3.7762471651672813E-4</v>
      </c>
      <c r="D42" s="4">
        <v>2.2592980746154932E-4</v>
      </c>
      <c r="E42" s="4">
        <v>6.4854574111001197E-5</v>
      </c>
      <c r="F42" s="4">
        <v>4.9158024607418499E-5</v>
      </c>
      <c r="G42" s="4">
        <v>4.5172989473216721E-5</v>
      </c>
      <c r="H42" s="4">
        <v>4.5172989473216721E-5</v>
      </c>
      <c r="I42" s="4"/>
      <c r="J42" s="4"/>
    </row>
    <row r="43" spans="1:10">
      <c r="A43" s="39" t="s">
        <v>294</v>
      </c>
      <c r="B43" s="4">
        <v>4.6162054358504156E-3</v>
      </c>
      <c r="C43" s="10">
        <v>3.4275980103738908E-4</v>
      </c>
      <c r="D43" s="4">
        <v>2.8098551274384633E-4</v>
      </c>
      <c r="E43" s="4">
        <v>2.2893233411190226E-3</v>
      </c>
      <c r="F43" s="4">
        <v>1.6752005971222041E-3</v>
      </c>
      <c r="G43" s="4">
        <v>4.477186582905314E-4</v>
      </c>
      <c r="H43" s="4">
        <v>2.3130650401642077E-4</v>
      </c>
      <c r="I43" s="4"/>
      <c r="J43" s="4"/>
    </row>
    <row r="44" spans="1:10">
      <c r="A44" s="39" t="s">
        <v>295</v>
      </c>
      <c r="B44" s="4">
        <v>1.8127289549449833E-4</v>
      </c>
      <c r="C44" s="10">
        <v>6.8396679965741374E-5</v>
      </c>
      <c r="D44" s="4">
        <v>6.8115577489534797E-5</v>
      </c>
      <c r="E44" s="4">
        <v>4.5172989473216721E-5</v>
      </c>
      <c r="F44" s="4">
        <v>0</v>
      </c>
      <c r="G44" s="4">
        <v>6.8115577489534797E-5</v>
      </c>
      <c r="H44" s="4">
        <v>4.5885176032636166E-5</v>
      </c>
      <c r="I44" s="4"/>
      <c r="J44" s="4"/>
    </row>
    <row r="45" spans="1:10">
      <c r="A45" s="39" t="s">
        <v>296</v>
      </c>
      <c r="B45" s="4">
        <v>1.0658487933097103E-2</v>
      </c>
      <c r="C45" s="10">
        <v>2.1401616464490321E-3</v>
      </c>
      <c r="D45" s="4">
        <v>1.3261537726796217E-3</v>
      </c>
      <c r="E45" s="4">
        <v>2.2140629324557404E-3</v>
      </c>
      <c r="F45" s="4">
        <v>1.0183494295866108E-3</v>
      </c>
      <c r="G45" s="4">
        <v>1.1204016657768519E-3</v>
      </c>
      <c r="H45" s="4">
        <v>5.8252369381864603E-4</v>
      </c>
      <c r="I45" s="4"/>
      <c r="J45" s="4"/>
    </row>
    <row r="46" spans="1:10">
      <c r="A46" s="39" t="s">
        <v>297</v>
      </c>
      <c r="B46" s="4">
        <v>6.3288901120478582E-3</v>
      </c>
      <c r="C46" s="10">
        <v>9.1573844569207193E-4</v>
      </c>
      <c r="D46" s="4">
        <v>7.3942651635138489E-4</v>
      </c>
      <c r="E46" s="4">
        <v>6.7254469059976191E-4</v>
      </c>
      <c r="F46" s="4">
        <v>2.9804556359360841E-3</v>
      </c>
      <c r="G46" s="4">
        <v>6.6176253821563925E-4</v>
      </c>
      <c r="H46" s="4">
        <v>1.035178836557309E-3</v>
      </c>
      <c r="I46" s="4"/>
      <c r="J46" s="4"/>
    </row>
    <row r="47" spans="1:10">
      <c r="A47" s="39" t="s">
        <v>298</v>
      </c>
      <c r="B47" s="4">
        <v>1.0158134597708656E-2</v>
      </c>
      <c r="C47" s="10">
        <v>1.1666330173403581E-3</v>
      </c>
      <c r="D47" s="4">
        <v>1.097231014150717E-3</v>
      </c>
      <c r="E47" s="4">
        <v>8.6248001558407743E-4</v>
      </c>
      <c r="F47" s="4">
        <v>5.011242430872696E-3</v>
      </c>
      <c r="G47" s="4">
        <v>7.958027040237388E-4</v>
      </c>
      <c r="H47" s="4">
        <v>5.5801117762269863E-4</v>
      </c>
      <c r="I47" s="4"/>
      <c r="J47" s="4"/>
    </row>
    <row r="48" spans="1:10">
      <c r="A48" s="39" t="s">
        <v>299</v>
      </c>
      <c r="B48" s="4">
        <v>6.8546251222091474E-4</v>
      </c>
      <c r="C48" s="10">
        <v>4.5013253021673646E-4</v>
      </c>
      <c r="D48" s="4">
        <v>2.3318248843864185E-4</v>
      </c>
      <c r="E48" s="4">
        <v>0</v>
      </c>
      <c r="F48" s="4">
        <v>1.8637705755615242E-5</v>
      </c>
      <c r="G48" s="4">
        <v>0</v>
      </c>
      <c r="H48" s="4">
        <v>0</v>
      </c>
      <c r="I48" s="4"/>
      <c r="J48" s="4"/>
    </row>
    <row r="49" spans="1:10">
      <c r="A49" s="39" t="s">
        <v>300</v>
      </c>
      <c r="B49" s="4">
        <v>1.3190215024014328E-4</v>
      </c>
      <c r="C49" s="10">
        <v>4.0528094605740399E-5</v>
      </c>
      <c r="D49" s="4">
        <v>0</v>
      </c>
      <c r="E49" s="4">
        <v>4.6648568759182286E-5</v>
      </c>
      <c r="F49" s="4">
        <v>0</v>
      </c>
      <c r="G49" s="4">
        <v>2.0450380713674801E-5</v>
      </c>
      <c r="H49" s="4">
        <v>4.2337227407470809E-5</v>
      </c>
      <c r="I49" s="4"/>
      <c r="J49" s="4"/>
    </row>
    <row r="50" spans="1:10">
      <c r="A50" s="39" t="s">
        <v>301</v>
      </c>
      <c r="B50" s="4">
        <v>5.2225702268522906E-4</v>
      </c>
      <c r="C50" s="10">
        <v>1.7345540154111241E-4</v>
      </c>
      <c r="D50" s="4">
        <v>0</v>
      </c>
      <c r="E50" s="4">
        <v>2.1925209280216557E-5</v>
      </c>
      <c r="F50" s="4">
        <v>4.4740684353714887E-5</v>
      </c>
      <c r="G50" s="4">
        <v>0</v>
      </c>
      <c r="H50" s="4">
        <v>2.0652059240171345E-4</v>
      </c>
      <c r="I50" s="4"/>
      <c r="J50" s="4"/>
    </row>
    <row r="51" spans="1:10">
      <c r="A51" s="39" t="s">
        <v>302</v>
      </c>
      <c r="B51" s="4">
        <v>4.3242121362195384E-4</v>
      </c>
      <c r="C51" s="10">
        <v>2.6961585011896276E-4</v>
      </c>
      <c r="D51" s="4">
        <v>2.7531310394178751E-5</v>
      </c>
      <c r="E51" s="4">
        <v>0</v>
      </c>
      <c r="F51" s="4">
        <v>0</v>
      </c>
      <c r="G51" s="4">
        <v>4.3912211490175127E-5</v>
      </c>
      <c r="H51" s="4">
        <v>0</v>
      </c>
      <c r="I51" s="4"/>
      <c r="J51" s="4"/>
    </row>
    <row r="52" spans="1:10">
      <c r="A52" s="39" t="s">
        <v>303</v>
      </c>
      <c r="B52" s="4">
        <v>1.5367155622479176E-4</v>
      </c>
      <c r="C52" s="10">
        <v>4.5931370481506101E-5</v>
      </c>
      <c r="D52" s="4">
        <v>0</v>
      </c>
      <c r="E52" s="4">
        <v>2.3263031322786234E-5</v>
      </c>
      <c r="F52" s="4">
        <v>0</v>
      </c>
      <c r="G52" s="4">
        <v>0</v>
      </c>
      <c r="H52" s="4">
        <v>0</v>
      </c>
      <c r="I52" s="4"/>
      <c r="J52" s="4"/>
    </row>
    <row r="53" spans="1:10">
      <c r="A53" s="39" t="s">
        <v>304</v>
      </c>
      <c r="B53" s="4">
        <v>2.2848739660818237E-3</v>
      </c>
      <c r="C53" s="10">
        <v>7.9842239278371237E-4</v>
      </c>
      <c r="D53" s="4">
        <v>4.372364336498179E-4</v>
      </c>
      <c r="E53" s="4">
        <v>1.6653477363197256E-4</v>
      </c>
      <c r="F53" s="4">
        <v>6.0819793092503421E-4</v>
      </c>
      <c r="G53" s="4">
        <v>1.0219230074295163E-3</v>
      </c>
      <c r="H53" s="4">
        <v>4.3959108400907015E-5</v>
      </c>
      <c r="I53" s="4"/>
      <c r="J53" s="4"/>
    </row>
    <row r="54" spans="1:10">
      <c r="A54" s="39" t="s">
        <v>305</v>
      </c>
      <c r="B54" s="4">
        <v>1.056007679056123E-3</v>
      </c>
      <c r="C54" s="10">
        <v>1.8907516784668241E-4</v>
      </c>
      <c r="D54" s="4">
        <v>3.2076403262276687E-4</v>
      </c>
      <c r="E54" s="4">
        <v>2.2382666548788379E-4</v>
      </c>
      <c r="F54" s="4">
        <v>7.6461188918172052E-5</v>
      </c>
      <c r="G54" s="4">
        <v>1.9086071176804733E-4</v>
      </c>
      <c r="H54" s="4">
        <v>1.6809386723761757E-4</v>
      </c>
      <c r="I54" s="4"/>
      <c r="J54" s="4"/>
    </row>
    <row r="55" spans="1:10">
      <c r="A55" s="39" t="s">
        <v>306</v>
      </c>
      <c r="B55" s="4">
        <v>3.2138681346430547E-4</v>
      </c>
      <c r="C55" s="10">
        <v>2.0628128195678618E-4</v>
      </c>
      <c r="D55" s="4">
        <v>1.3434151979140727E-5</v>
      </c>
      <c r="E55" s="4">
        <v>9.6969963918260504E-5</v>
      </c>
      <c r="F55" s="4">
        <v>5.0187490674910106E-5</v>
      </c>
      <c r="G55" s="4">
        <v>1.1517311032962451E-4</v>
      </c>
      <c r="H55" s="4">
        <v>0</v>
      </c>
      <c r="I55" s="4"/>
      <c r="J55" s="4"/>
    </row>
    <row r="56" spans="1:10">
      <c r="A56" s="39" t="s">
        <v>307</v>
      </c>
      <c r="B56" s="4">
        <v>1.123883356121133E-3</v>
      </c>
      <c r="C56" s="10">
        <v>2.23025382991091E-4</v>
      </c>
      <c r="D56" s="4">
        <v>2.4802470941723243E-4</v>
      </c>
      <c r="E56" s="4">
        <v>9.451175755277953E-5</v>
      </c>
      <c r="F56" s="4">
        <v>1.7405395599207863E-4</v>
      </c>
      <c r="G56" s="4">
        <v>4.5870213176789609E-5</v>
      </c>
      <c r="H56" s="4">
        <v>3.0026928539605726E-5</v>
      </c>
      <c r="I56" s="4"/>
      <c r="J56" s="4"/>
    </row>
    <row r="57" spans="1:10">
      <c r="A57" s="39" t="s">
        <v>308</v>
      </c>
      <c r="B57" s="4">
        <v>0.11885525698432757</v>
      </c>
      <c r="C57" s="10">
        <v>8.0400501119792644E-3</v>
      </c>
      <c r="D57" s="4">
        <v>5.6315395619046388E-3</v>
      </c>
      <c r="E57" s="4">
        <v>5.6821007921161598E-2</v>
      </c>
      <c r="F57" s="4">
        <v>2.5881782113266725E-2</v>
      </c>
      <c r="G57" s="4">
        <v>2.779775560157623E-2</v>
      </c>
      <c r="H57" s="4">
        <v>4.4963376314086341E-3</v>
      </c>
      <c r="I57" s="4"/>
      <c r="J57" s="4"/>
    </row>
    <row r="58" spans="1:10">
      <c r="A58" s="39" t="s">
        <v>309</v>
      </c>
      <c r="B58" s="4">
        <v>4.8786562120742515E-5</v>
      </c>
      <c r="C58" s="10">
        <v>2.3794530710816401E-5</v>
      </c>
      <c r="D58" s="4">
        <v>0</v>
      </c>
      <c r="E58" s="4">
        <v>0</v>
      </c>
      <c r="F58" s="4">
        <v>0</v>
      </c>
      <c r="G58" s="4">
        <v>0</v>
      </c>
      <c r="H58" s="4">
        <v>2.4992031409926117E-5</v>
      </c>
      <c r="I58" s="4"/>
      <c r="J58" s="4"/>
    </row>
    <row r="59" spans="1:10">
      <c r="A59" s="39" t="s">
        <v>310</v>
      </c>
      <c r="B59" s="4">
        <v>1.2141548560567514E-3</v>
      </c>
      <c r="C59" s="10">
        <v>2.8292127589883503E-4</v>
      </c>
      <c r="D59" s="4">
        <v>1.9503507338015463E-4</v>
      </c>
      <c r="E59" s="4">
        <v>4.5022246081033125E-5</v>
      </c>
      <c r="F59" s="4">
        <v>4.5593524516859507E-5</v>
      </c>
      <c r="G59" s="4">
        <v>4.9434083170365317E-5</v>
      </c>
      <c r="H59" s="4">
        <v>4.54116271651416E-4</v>
      </c>
      <c r="I59" s="4"/>
      <c r="J59" s="4"/>
    </row>
    <row r="60" spans="1:10">
      <c r="A60" s="39" t="s">
        <v>311</v>
      </c>
      <c r="B60" s="4">
        <v>3.5275094234966095E-2</v>
      </c>
      <c r="C60" s="10">
        <v>1.7596584602453572E-2</v>
      </c>
      <c r="D60" s="4">
        <v>6.5289445328966201E-3</v>
      </c>
      <c r="E60" s="4">
        <v>4.0390762237783031E-3</v>
      </c>
      <c r="F60" s="4">
        <v>2.4965498025795352E-3</v>
      </c>
      <c r="G60" s="4">
        <v>2.7196843730429737E-3</v>
      </c>
      <c r="H60" s="4">
        <v>6.8178592047595443E-3</v>
      </c>
      <c r="I60" s="4"/>
      <c r="J60" s="4"/>
    </row>
    <row r="61" spans="1:10">
      <c r="A61" s="39" t="s">
        <v>312</v>
      </c>
      <c r="B61" s="4">
        <v>3.9236433666641119E-4</v>
      </c>
      <c r="C61" s="10">
        <v>1.2921329253512743E-4</v>
      </c>
      <c r="D61" s="4">
        <v>5.0532874499938125E-5</v>
      </c>
      <c r="E61" s="4">
        <v>1.4097575013026061E-4</v>
      </c>
      <c r="F61" s="4">
        <v>4.427966620499189E-5</v>
      </c>
      <c r="G61" s="4">
        <v>4.5907360370328894E-5</v>
      </c>
      <c r="H61" s="4">
        <v>1.5088330732372025E-4</v>
      </c>
      <c r="I61" s="4"/>
      <c r="J61" s="4"/>
    </row>
    <row r="62" spans="1:10">
      <c r="A62" s="39" t="s">
        <v>313</v>
      </c>
      <c r="B62" s="4">
        <v>6.5703537956612027E-5</v>
      </c>
      <c r="C62" s="10">
        <v>0</v>
      </c>
      <c r="D62" s="4">
        <v>2.5095083613715862E-5</v>
      </c>
      <c r="E62" s="4">
        <v>0</v>
      </c>
      <c r="F62" s="4">
        <v>0</v>
      </c>
      <c r="G62" s="4">
        <v>2.7535335554265068E-5</v>
      </c>
      <c r="H62" s="4">
        <v>0</v>
      </c>
      <c r="I62" s="4"/>
      <c r="J62" s="4"/>
    </row>
    <row r="63" spans="1:10">
      <c r="A63" s="39" t="s">
        <v>314</v>
      </c>
      <c r="B63" s="4">
        <v>2.488392843763466E-5</v>
      </c>
      <c r="C63" s="10">
        <v>0</v>
      </c>
      <c r="D63" s="4">
        <v>2.488392843763466E-5</v>
      </c>
      <c r="E63" s="4">
        <v>2.488392843763466E-5</v>
      </c>
      <c r="F63" s="4">
        <v>0</v>
      </c>
      <c r="G63" s="4">
        <v>0</v>
      </c>
      <c r="H63" s="4">
        <v>0</v>
      </c>
      <c r="I63" s="4"/>
      <c r="J63" s="4"/>
    </row>
    <row r="64" spans="1:10">
      <c r="A64" s="39" t="s">
        <v>315</v>
      </c>
      <c r="B64" s="4">
        <v>2.2676425527493226E-2</v>
      </c>
      <c r="C64" s="10">
        <v>1.4269324517400078E-2</v>
      </c>
      <c r="D64" s="4">
        <v>3.7461762958740643E-3</v>
      </c>
      <c r="E64" s="4">
        <v>1.2532082449822992E-3</v>
      </c>
      <c r="F64" s="4">
        <v>1.5888335598267156E-3</v>
      </c>
      <c r="G64" s="4">
        <v>1.8852367915829435E-3</v>
      </c>
      <c r="H64" s="4">
        <v>3.8044407765378398E-4</v>
      </c>
      <c r="I64" s="4"/>
      <c r="J64" s="4"/>
    </row>
    <row r="65" spans="1:10">
      <c r="A65" s="39" t="s">
        <v>316</v>
      </c>
      <c r="B65" s="4">
        <v>2.6155612137352308E-4</v>
      </c>
      <c r="C65" s="10">
        <v>8.0103257250901735E-5</v>
      </c>
      <c r="D65" s="4">
        <v>4.9846342616688719E-5</v>
      </c>
      <c r="E65" s="4">
        <v>4.1100489407205012E-5</v>
      </c>
      <c r="F65" s="4">
        <v>4.3609275326481851E-5</v>
      </c>
      <c r="G65" s="4">
        <v>2.488392843763466E-5</v>
      </c>
      <c r="H65" s="4">
        <v>2.488392843763466E-5</v>
      </c>
      <c r="I65" s="4"/>
      <c r="J65" s="4"/>
    </row>
    <row r="66" spans="1:10">
      <c r="A66" s="39" t="s">
        <v>317</v>
      </c>
      <c r="B66" s="4">
        <v>7.5863051349530817E-5</v>
      </c>
      <c r="C66" s="10">
        <v>5.0042609277566766E-5</v>
      </c>
      <c r="D66" s="4">
        <v>0</v>
      </c>
      <c r="E66" s="4">
        <v>0</v>
      </c>
      <c r="F66" s="4">
        <v>0</v>
      </c>
      <c r="G66" s="4">
        <v>0</v>
      </c>
      <c r="H66" s="4">
        <v>2.5820442071964051E-5</v>
      </c>
      <c r="I66" s="4"/>
      <c r="J66" s="4"/>
    </row>
    <row r="67" spans="1:10">
      <c r="A67" s="39" t="s">
        <v>318</v>
      </c>
      <c r="B67" s="4">
        <v>3.1617200921994007E-3</v>
      </c>
      <c r="C67" s="10">
        <v>7.4645909154174228E-4</v>
      </c>
      <c r="D67" s="4">
        <v>2.6757692473342335E-4</v>
      </c>
      <c r="E67" s="4">
        <v>6.8355134675129664E-4</v>
      </c>
      <c r="F67" s="4">
        <v>7.3946329474619543E-4</v>
      </c>
      <c r="G67" s="4">
        <v>3.3912629254944873E-4</v>
      </c>
      <c r="H67" s="4">
        <v>3.7334066075654746E-4</v>
      </c>
      <c r="I67" s="4"/>
      <c r="J67" s="4"/>
    </row>
    <row r="68" spans="1:10">
      <c r="A68" s="39" t="s">
        <v>319</v>
      </c>
      <c r="B68" s="4">
        <v>7.2780261395932928E-4</v>
      </c>
      <c r="C68" s="10">
        <v>1.320853140797884E-4</v>
      </c>
      <c r="D68" s="4">
        <v>4.4748311244111463E-5</v>
      </c>
      <c r="E68" s="4">
        <v>4.7512610554733516E-5</v>
      </c>
      <c r="F68" s="4">
        <v>7.381544998287351E-5</v>
      </c>
      <c r="G68" s="4">
        <v>6.6031823462191086E-5</v>
      </c>
      <c r="H68" s="4">
        <v>4.7417253937932194E-4</v>
      </c>
      <c r="I68" s="4"/>
      <c r="J68" s="4"/>
    </row>
    <row r="69" spans="1:10">
      <c r="A69" s="39" t="s">
        <v>320</v>
      </c>
      <c r="B69" s="4">
        <v>1.352177289766975E-4</v>
      </c>
      <c r="C69" s="10">
        <v>2.4482744860674734E-5</v>
      </c>
      <c r="D69" s="4">
        <v>0</v>
      </c>
      <c r="E69" s="4">
        <v>4.2624379363981117E-5</v>
      </c>
      <c r="F69" s="4">
        <v>1.8992090022231352E-5</v>
      </c>
      <c r="G69" s="4">
        <v>2.0882095638306008E-5</v>
      </c>
      <c r="H69" s="4">
        <v>2.3632289341749765E-5</v>
      </c>
      <c r="I69" s="4"/>
      <c r="J69" s="4"/>
    </row>
    <row r="70" spans="1:10">
      <c r="A70" s="39" t="s">
        <v>321</v>
      </c>
      <c r="B70" s="4">
        <v>4.8972815205002677E-3</v>
      </c>
      <c r="C70" s="10">
        <v>3.1305645771437722E-3</v>
      </c>
      <c r="D70" s="4">
        <v>5.8048599241314932E-4</v>
      </c>
      <c r="E70" s="4">
        <v>1.6993513089651646E-4</v>
      </c>
      <c r="F70" s="4">
        <v>1.1402110201562343E-4</v>
      </c>
      <c r="G70" s="4">
        <v>2.703489652529274E-4</v>
      </c>
      <c r="H70" s="4">
        <v>1.1150163925142055E-3</v>
      </c>
      <c r="I70" s="4"/>
      <c r="J70" s="4"/>
    </row>
    <row r="71" spans="1:10">
      <c r="A71" s="39" t="s">
        <v>322</v>
      </c>
      <c r="B71" s="4">
        <v>4.0305707868525174E-4</v>
      </c>
      <c r="C71" s="10">
        <v>7.0510536221494915E-5</v>
      </c>
      <c r="D71" s="4">
        <v>1.5058130986466466E-4</v>
      </c>
      <c r="E71" s="4">
        <v>7.4047143129491404E-5</v>
      </c>
      <c r="F71" s="4">
        <v>4.0866354914472253E-5</v>
      </c>
      <c r="G71" s="4">
        <v>4.9409750252690432E-5</v>
      </c>
      <c r="H71" s="4">
        <v>8.8261495350440788E-5</v>
      </c>
      <c r="I71" s="4"/>
      <c r="J71" s="4"/>
    </row>
    <row r="72" spans="1:10">
      <c r="A72" s="39" t="s">
        <v>323</v>
      </c>
      <c r="B72" s="4">
        <v>4.4801219195979969E-4</v>
      </c>
      <c r="C72" s="10">
        <v>2.9602190050333335E-4</v>
      </c>
      <c r="D72" s="4">
        <v>1.1401790354058431E-4</v>
      </c>
      <c r="E72" s="4">
        <v>1.0389629374024473E-4</v>
      </c>
      <c r="F72" s="4">
        <v>3.8545557508684113E-5</v>
      </c>
      <c r="G72" s="4">
        <v>6.6481905198550125E-5</v>
      </c>
      <c r="H72" s="4">
        <v>2.4308006148533365E-5</v>
      </c>
      <c r="I72" s="4"/>
      <c r="J72" s="4"/>
    </row>
    <row r="73" spans="1:10">
      <c r="A73" s="39" t="s">
        <v>324</v>
      </c>
      <c r="B73" s="4">
        <v>6.8260404321679151E-5</v>
      </c>
      <c r="C73" s="10">
        <v>2.3263031322786234E-5</v>
      </c>
      <c r="D73" s="4">
        <v>2.0113444561258258E-5</v>
      </c>
      <c r="E73" s="4">
        <v>2.488392843763466E-5</v>
      </c>
      <c r="F73" s="4">
        <v>0</v>
      </c>
      <c r="G73" s="4">
        <v>0</v>
      </c>
      <c r="H73" s="4">
        <v>0</v>
      </c>
      <c r="I73" s="4"/>
      <c r="J73" s="4"/>
    </row>
    <row r="74" spans="1:10">
      <c r="A74" s="39" t="s">
        <v>325</v>
      </c>
      <c r="B74" s="4">
        <v>6.9020421120157981E-4</v>
      </c>
      <c r="C74" s="10">
        <v>1.3734352419706201E-4</v>
      </c>
      <c r="D74" s="4">
        <v>4.244900038502054E-5</v>
      </c>
      <c r="E74" s="4">
        <v>1.5359688883658616E-4</v>
      </c>
      <c r="F74" s="4">
        <v>1.3174383286940178E-4</v>
      </c>
      <c r="G74" s="4">
        <v>2.514803237445025E-4</v>
      </c>
      <c r="H74" s="4">
        <v>1.7605970524619727E-4</v>
      </c>
      <c r="I74" s="4"/>
      <c r="J74" s="4"/>
    </row>
    <row r="75" spans="1:10">
      <c r="A75" s="39" t="s">
        <v>326</v>
      </c>
      <c r="B75" s="4">
        <v>3.3990681050864393E-4</v>
      </c>
      <c r="C75" s="10">
        <v>0</v>
      </c>
      <c r="D75" s="4">
        <v>4.5990866908718122E-5</v>
      </c>
      <c r="E75" s="4">
        <v>2.4025841553447531E-5</v>
      </c>
      <c r="F75" s="4">
        <v>1.1218097586268134E-4</v>
      </c>
      <c r="G75" s="4">
        <v>2.1036998439953565E-5</v>
      </c>
      <c r="H75" s="4">
        <v>2.4257083712457171E-5</v>
      </c>
      <c r="I75" s="4"/>
      <c r="J75" s="4"/>
    </row>
    <row r="76" spans="1:10">
      <c r="A76" s="39" t="s">
        <v>327</v>
      </c>
      <c r="B76" s="4">
        <v>2.6706727862857172E-4</v>
      </c>
      <c r="C76" s="10">
        <v>1.4778157230893254E-4</v>
      </c>
      <c r="D76" s="4">
        <v>6.4281625687652002E-5</v>
      </c>
      <c r="E76" s="4">
        <v>2.690366073115236E-5</v>
      </c>
      <c r="F76" s="4">
        <v>5.5315559629729407E-5</v>
      </c>
      <c r="G76" s="4">
        <v>0</v>
      </c>
      <c r="H76" s="4">
        <v>1.8992090022231352E-5</v>
      </c>
      <c r="I76" s="4"/>
      <c r="J76" s="4"/>
    </row>
    <row r="77" spans="1:10">
      <c r="A77" s="39" t="s">
        <v>328</v>
      </c>
      <c r="B77" s="4">
        <v>1.6643383626831943E-3</v>
      </c>
      <c r="C77" s="10">
        <v>5.9880652790901003E-4</v>
      </c>
      <c r="D77" s="4">
        <v>2.3674021805717368E-4</v>
      </c>
      <c r="E77" s="4">
        <v>1.9027604114303952E-4</v>
      </c>
      <c r="F77" s="4">
        <v>6.9112812160623328E-4</v>
      </c>
      <c r="G77" s="4">
        <v>1.5175417985279846E-4</v>
      </c>
      <c r="H77" s="4">
        <v>1.5609085936762856E-5</v>
      </c>
      <c r="I77" s="4"/>
      <c r="J77" s="4"/>
    </row>
    <row r="78" spans="1:10">
      <c r="A78" s="39" t="s">
        <v>329</v>
      </c>
      <c r="B78" s="4">
        <v>2.1822603861034839E-3</v>
      </c>
      <c r="C78" s="10">
        <v>9.1368089810934193E-4</v>
      </c>
      <c r="D78" s="4">
        <v>1.4505384834806402E-4</v>
      </c>
      <c r="E78" s="4">
        <v>2.2441436899258319E-4</v>
      </c>
      <c r="F78" s="4">
        <v>6.4265402589312477E-4</v>
      </c>
      <c r="G78" s="4">
        <v>1.4926389472409048E-4</v>
      </c>
      <c r="H78" s="4">
        <v>1.2053818240320116E-4</v>
      </c>
      <c r="I78" s="4"/>
      <c r="J78" s="4"/>
    </row>
    <row r="79" spans="1:10">
      <c r="A79" s="39" t="s">
        <v>330</v>
      </c>
      <c r="B79" s="4">
        <v>1.7710718497103599E-4</v>
      </c>
      <c r="C79" s="10">
        <v>2.3115575374438257E-5</v>
      </c>
      <c r="D79" s="4">
        <v>1.5279156339107231E-4</v>
      </c>
      <c r="E79" s="4">
        <v>2.3115575374438257E-5</v>
      </c>
      <c r="F79" s="4">
        <v>2.3115575374438257E-5</v>
      </c>
      <c r="G79" s="4">
        <v>0</v>
      </c>
      <c r="H79" s="4">
        <v>2.4315621579963685E-5</v>
      </c>
      <c r="I79" s="4"/>
      <c r="J79" s="4"/>
    </row>
    <row r="80" spans="1:10">
      <c r="A80" s="39" t="s">
        <v>331</v>
      </c>
      <c r="B80" s="4">
        <v>7.026883577246332E-5</v>
      </c>
      <c r="C80" s="10">
        <v>2.5734266819639531E-5</v>
      </c>
      <c r="D80" s="4">
        <v>4.6027865258101406E-5</v>
      </c>
      <c r="E80" s="4">
        <v>0</v>
      </c>
      <c r="F80" s="4">
        <v>0</v>
      </c>
      <c r="G80" s="4">
        <v>2.4240970514361908E-5</v>
      </c>
      <c r="H80" s="4">
        <v>0</v>
      </c>
      <c r="I80" s="4"/>
      <c r="J80" s="4"/>
    </row>
    <row r="81" spans="1:10">
      <c r="A81" s="39" t="s">
        <v>332</v>
      </c>
      <c r="B81" s="4">
        <v>0</v>
      </c>
      <c r="C81" s="10">
        <v>0</v>
      </c>
      <c r="D81" s="4">
        <v>0</v>
      </c>
      <c r="E81" s="4">
        <v>0</v>
      </c>
      <c r="F81" s="4">
        <v>0</v>
      </c>
      <c r="G81" s="4">
        <v>0</v>
      </c>
      <c r="H81" s="4">
        <v>0</v>
      </c>
      <c r="I81" s="4"/>
      <c r="J81" s="4"/>
    </row>
    <row r="82" spans="1:10">
      <c r="A82" s="39" t="s">
        <v>333</v>
      </c>
      <c r="B82" s="4">
        <v>1.1148766268737833E-4</v>
      </c>
      <c r="C82" s="10">
        <v>2.3363923772082266E-5</v>
      </c>
      <c r="D82" s="4">
        <v>4.5594325228980903E-5</v>
      </c>
      <c r="E82" s="4">
        <v>4.3275547220153144E-5</v>
      </c>
      <c r="F82" s="4">
        <v>2.2617790238244274E-5</v>
      </c>
      <c r="G82" s="4">
        <v>2.2617790238244274E-5</v>
      </c>
      <c r="H82" s="4">
        <v>2.3363923772082266E-5</v>
      </c>
      <c r="I82" s="4"/>
      <c r="J82" s="4"/>
    </row>
    <row r="83" spans="1:10">
      <c r="A83" s="39" t="s">
        <v>334</v>
      </c>
      <c r="B83" s="4">
        <v>3.31166940072754E-4</v>
      </c>
      <c r="C83" s="10">
        <v>1.3950774931538253E-4</v>
      </c>
      <c r="D83" s="4">
        <v>2.4031962270608262E-5</v>
      </c>
      <c r="E83" s="4">
        <v>2.6181835348931624E-5</v>
      </c>
      <c r="F83" s="4">
        <v>2.7208338170760581E-5</v>
      </c>
      <c r="G83" s="4">
        <v>2.7208338170760581E-5</v>
      </c>
      <c r="H83" s="4">
        <v>7.3247584408558423E-5</v>
      </c>
      <c r="I83" s="4"/>
      <c r="J83" s="4"/>
    </row>
    <row r="84" spans="1:10">
      <c r="A84" s="39" t="s">
        <v>335</v>
      </c>
      <c r="B84" s="4">
        <v>4.7627153690549643E-5</v>
      </c>
      <c r="C84" s="10">
        <v>0</v>
      </c>
      <c r="D84" s="4">
        <v>0</v>
      </c>
      <c r="E84" s="4">
        <v>2.3115575374438257E-5</v>
      </c>
      <c r="F84" s="4">
        <v>0</v>
      </c>
      <c r="G84" s="4">
        <v>0</v>
      </c>
      <c r="H84" s="4">
        <v>2.4511578316111389E-5</v>
      </c>
      <c r="I84" s="4"/>
      <c r="J84" s="4"/>
    </row>
    <row r="85" spans="1:10">
      <c r="A85" s="39" t="s">
        <v>336</v>
      </c>
      <c r="B85" s="4">
        <v>9.7981070176962289E-4</v>
      </c>
      <c r="C85" s="10">
        <v>6.5275614475706473E-4</v>
      </c>
      <c r="D85" s="4">
        <v>1.60039048994199E-4</v>
      </c>
      <c r="E85" s="4">
        <v>7.1183954471296161E-5</v>
      </c>
      <c r="F85" s="4">
        <v>5.2774073952994383E-5</v>
      </c>
      <c r="G85" s="4">
        <v>7.1183954471296161E-5</v>
      </c>
      <c r="H85" s="4">
        <v>7.1183954471296161E-5</v>
      </c>
      <c r="I85" s="4"/>
      <c r="J85" s="4"/>
    </row>
    <row r="86" spans="1:10">
      <c r="A86" s="39" t="s">
        <v>337</v>
      </c>
      <c r="B86" s="4">
        <v>7.4747482272213438E-5</v>
      </c>
      <c r="C86" s="10">
        <v>0</v>
      </c>
      <c r="D86" s="4">
        <v>2.3115575374438257E-5</v>
      </c>
      <c r="E86" s="4">
        <v>0</v>
      </c>
      <c r="F86" s="4">
        <v>5.1631906897775187E-5</v>
      </c>
      <c r="G86" s="4">
        <v>2.4511578316111389E-5</v>
      </c>
      <c r="H86" s="4">
        <v>0</v>
      </c>
      <c r="I86" s="4"/>
      <c r="J86" s="4"/>
    </row>
    <row r="87" spans="1:10">
      <c r="A87" s="39" t="s">
        <v>338</v>
      </c>
      <c r="B87" s="4">
        <v>0</v>
      </c>
      <c r="C87" s="10">
        <v>0</v>
      </c>
      <c r="D87" s="4">
        <v>0</v>
      </c>
      <c r="E87" s="4">
        <v>0</v>
      </c>
      <c r="F87" s="4">
        <v>0</v>
      </c>
      <c r="G87" s="4">
        <v>0</v>
      </c>
      <c r="H87" s="4">
        <v>0</v>
      </c>
      <c r="I87" s="4"/>
      <c r="J87" s="4"/>
    </row>
    <row r="88" spans="1:10">
      <c r="A88" s="39" t="s">
        <v>339</v>
      </c>
      <c r="B88" s="4">
        <v>4.5041298402790694E-3</v>
      </c>
      <c r="C88" s="10">
        <v>4.3395938032238403E-4</v>
      </c>
      <c r="D88" s="4">
        <v>1.0755884665318459E-3</v>
      </c>
      <c r="E88" s="4">
        <v>4.5317076528628608E-4</v>
      </c>
      <c r="F88" s="4">
        <v>1.4008962320139781E-3</v>
      </c>
      <c r="G88" s="4">
        <v>5.9505327339267082E-4</v>
      </c>
      <c r="H88" s="4">
        <v>2.1185743403340367E-4</v>
      </c>
      <c r="I88" s="4"/>
      <c r="J88" s="4"/>
    </row>
    <row r="89" spans="1:10">
      <c r="A89" s="39" t="s">
        <v>340</v>
      </c>
      <c r="B89" s="4">
        <v>7.7729563611640933E-4</v>
      </c>
      <c r="C89" s="10">
        <v>1.955246582902493E-4</v>
      </c>
      <c r="D89" s="4">
        <v>1.4643213438635225E-4</v>
      </c>
      <c r="E89" s="4">
        <v>1.4193888944077148E-4</v>
      </c>
      <c r="F89" s="4">
        <v>2.6389620110941429E-4</v>
      </c>
      <c r="G89" s="4">
        <v>2.5492373243395572E-4</v>
      </c>
      <c r="H89" s="4">
        <v>2.841189312792195E-5</v>
      </c>
      <c r="I89" s="4"/>
      <c r="J89" s="4"/>
    </row>
    <row r="90" spans="1:10">
      <c r="A90" s="39" t="s">
        <v>341</v>
      </c>
      <c r="B90" s="4">
        <v>5.0734800490106166E-5</v>
      </c>
      <c r="C90" s="10">
        <v>0</v>
      </c>
      <c r="D90" s="4">
        <v>2.7964631101940047E-5</v>
      </c>
      <c r="E90" s="4">
        <v>0</v>
      </c>
      <c r="F90" s="4">
        <v>2.7964631101940047E-5</v>
      </c>
      <c r="G90" s="4">
        <v>2.2770169388166119E-5</v>
      </c>
      <c r="H90" s="4">
        <v>2.2770169388166119E-5</v>
      </c>
      <c r="I90" s="4"/>
      <c r="J90" s="4"/>
    </row>
    <row r="91" spans="1:10">
      <c r="A91" s="39" t="s">
        <v>342</v>
      </c>
      <c r="B91" s="4">
        <v>3.2864780771122331E-3</v>
      </c>
      <c r="C91" s="10">
        <v>9.5910914162002081E-4</v>
      </c>
      <c r="D91" s="4">
        <v>6.8290187497003271E-4</v>
      </c>
      <c r="E91" s="4">
        <v>5.2755958267260844E-4</v>
      </c>
      <c r="F91" s="4">
        <v>5.2049283215290464E-4</v>
      </c>
      <c r="G91" s="4">
        <v>3.9378670949335575E-4</v>
      </c>
      <c r="H91" s="4">
        <v>3.3542407593762773E-4</v>
      </c>
      <c r="I91" s="4"/>
      <c r="J91" s="4"/>
    </row>
    <row r="92" spans="1:10">
      <c r="A92" s="39" t="s">
        <v>343</v>
      </c>
      <c r="B92" s="4">
        <v>1.5963125955453122E-3</v>
      </c>
      <c r="C92" s="10">
        <v>6.4653552487107277E-4</v>
      </c>
      <c r="D92" s="4">
        <v>3.6137530372759059E-4</v>
      </c>
      <c r="E92" s="4">
        <v>3.9612506323179767E-4</v>
      </c>
      <c r="F92" s="4">
        <v>2.828621801609776E-4</v>
      </c>
      <c r="G92" s="4">
        <v>1.5578982875442162E-4</v>
      </c>
      <c r="H92" s="4">
        <v>1.3051100396538795E-4</v>
      </c>
      <c r="I92" s="4"/>
      <c r="J92" s="4"/>
    </row>
    <row r="93" spans="1:10">
      <c r="A93" s="39" t="s">
        <v>344</v>
      </c>
      <c r="B93" s="4">
        <v>1.1622158219654437E-3</v>
      </c>
      <c r="C93" s="10">
        <v>1.6872958922684302E-4</v>
      </c>
      <c r="D93" s="4">
        <v>1.0791280164211698E-4</v>
      </c>
      <c r="E93" s="4">
        <v>4.8783466205207303E-5</v>
      </c>
      <c r="F93" s="4">
        <v>9.4632519364165754E-5</v>
      </c>
      <c r="G93" s="4">
        <v>1.5958455178547327E-4</v>
      </c>
      <c r="H93" s="4">
        <v>3.5528387302458217E-4</v>
      </c>
      <c r="I93" s="4"/>
      <c r="J93" s="4"/>
    </row>
    <row r="94" spans="1:10">
      <c r="A94" s="39" t="s">
        <v>345</v>
      </c>
      <c r="B94" s="4">
        <v>1.9627564418319866E-4</v>
      </c>
      <c r="C94" s="10">
        <v>6.248432242213037E-5</v>
      </c>
      <c r="D94" s="4">
        <v>6.8115577489534797E-5</v>
      </c>
      <c r="E94" s="4">
        <v>6.5439775483085334E-5</v>
      </c>
      <c r="F94" s="4">
        <v>8.7324324276084344E-5</v>
      </c>
      <c r="G94" s="4">
        <v>6.8115577489534797E-5</v>
      </c>
      <c r="H94" s="4">
        <v>6.7016057629545921E-5</v>
      </c>
      <c r="I94" s="4"/>
      <c r="J94" s="4"/>
    </row>
    <row r="95" spans="1:10">
      <c r="A95" s="39" t="s">
        <v>346</v>
      </c>
      <c r="B95" s="4">
        <v>8.7494556416374753E-4</v>
      </c>
      <c r="C95" s="10">
        <v>2.5166495131529669E-4</v>
      </c>
      <c r="D95" s="4">
        <v>3.4254295827923187E-5</v>
      </c>
      <c r="E95" s="4">
        <v>1.7149844174906684E-4</v>
      </c>
      <c r="F95" s="4">
        <v>3.1571848472623944E-4</v>
      </c>
      <c r="G95" s="4">
        <v>2.6931271978802499E-4</v>
      </c>
      <c r="H95" s="4">
        <v>2.2770169388166119E-5</v>
      </c>
      <c r="I95" s="4"/>
      <c r="J95" s="4"/>
    </row>
    <row r="96" spans="1:10">
      <c r="A96" s="39" t="s">
        <v>347</v>
      </c>
      <c r="B96" s="4">
        <v>1.7440351434637565E-2</v>
      </c>
      <c r="C96" s="10">
        <v>9.2459692797356215E-3</v>
      </c>
      <c r="D96" s="4">
        <v>3.5866238020116873E-3</v>
      </c>
      <c r="E96" s="4">
        <v>1.6865232030683324E-3</v>
      </c>
      <c r="F96" s="4">
        <v>6.4937336744556992E-4</v>
      </c>
      <c r="G96" s="4">
        <v>5.3740697562111518E-4</v>
      </c>
      <c r="H96" s="4">
        <v>2.5763391952213113E-3</v>
      </c>
      <c r="I96" s="4"/>
      <c r="J96" s="4"/>
    </row>
    <row r="97" spans="1:10">
      <c r="A97" s="39" t="s">
        <v>348</v>
      </c>
      <c r="B97" s="4">
        <v>3.0649996376314032E-4</v>
      </c>
      <c r="C97" s="10">
        <v>0</v>
      </c>
      <c r="D97" s="4">
        <v>0</v>
      </c>
      <c r="E97" s="4">
        <v>3.8949210940301104E-5</v>
      </c>
      <c r="F97" s="4">
        <v>1.1141266255224295E-4</v>
      </c>
      <c r="G97" s="4">
        <v>0</v>
      </c>
      <c r="H97" s="4">
        <v>4.1759280404109557E-5</v>
      </c>
      <c r="I97" s="4"/>
      <c r="J97" s="4"/>
    </row>
    <row r="98" spans="1:10">
      <c r="A98" s="39" t="s">
        <v>349</v>
      </c>
      <c r="B98" s="4">
        <v>2.6422148369220801E-4</v>
      </c>
      <c r="C98" s="10">
        <v>1.6026994950332465E-4</v>
      </c>
      <c r="D98" s="4">
        <v>6.4125933192825233E-5</v>
      </c>
      <c r="E98" s="4">
        <v>0</v>
      </c>
      <c r="F98" s="4">
        <v>4.4140183005902601E-5</v>
      </c>
      <c r="G98" s="4">
        <v>2.1200440882922323E-5</v>
      </c>
      <c r="H98" s="4">
        <v>0</v>
      </c>
      <c r="I98" s="4"/>
      <c r="J98" s="4"/>
    </row>
    <row r="99" spans="1:10">
      <c r="A99" s="39" t="s">
        <v>350</v>
      </c>
      <c r="B99" s="4">
        <v>1.9816567552802719E-4</v>
      </c>
      <c r="C99" s="10">
        <v>1.5370763016500665E-4</v>
      </c>
      <c r="D99" s="4">
        <v>9.0343221395656757E-5</v>
      </c>
      <c r="E99" s="4">
        <v>2.2942588016318083E-5</v>
      </c>
      <c r="F99" s="4">
        <v>4.5885176032636166E-5</v>
      </c>
      <c r="G99" s="4">
        <v>6.8115577489534797E-5</v>
      </c>
      <c r="H99" s="4">
        <v>6.7400633379338667E-5</v>
      </c>
      <c r="I99" s="4"/>
      <c r="J99" s="4"/>
    </row>
    <row r="100" spans="1:10">
      <c r="A100" s="39" t="s">
        <v>351</v>
      </c>
      <c r="B100" s="4">
        <v>2.1803480172939357E-3</v>
      </c>
      <c r="C100" s="10">
        <v>9.6693541412374445E-4</v>
      </c>
      <c r="D100" s="4">
        <v>2.342280920730383E-4</v>
      </c>
      <c r="E100" s="4">
        <v>1.1495211173529896E-4</v>
      </c>
      <c r="F100" s="4">
        <v>1.0356201956697422E-4</v>
      </c>
      <c r="G100" s="4">
        <v>6.8643373297067438E-5</v>
      </c>
      <c r="H100" s="4">
        <v>2.9566494082603097E-4</v>
      </c>
      <c r="I100" s="4"/>
      <c r="J100" s="4"/>
    </row>
    <row r="101" spans="1:10">
      <c r="A101" s="39" t="s">
        <v>352</v>
      </c>
      <c r="B101" s="4">
        <v>7.4609114470687652E-4</v>
      </c>
      <c r="C101" s="10">
        <v>1.4196659172512765E-4</v>
      </c>
      <c r="D101" s="4">
        <v>4.9002016019453033E-5</v>
      </c>
      <c r="E101" s="4">
        <v>6.6239540542266072E-5</v>
      </c>
      <c r="F101" s="4">
        <v>3.6182511959399787E-4</v>
      </c>
      <c r="G101" s="4">
        <v>1.5682500395022459E-5</v>
      </c>
      <c r="H101" s="4">
        <v>1.5168736887900658E-5</v>
      </c>
      <c r="I101" s="4"/>
      <c r="J101" s="4"/>
    </row>
    <row r="102" spans="1:10">
      <c r="A102" s="39" t="s">
        <v>353</v>
      </c>
      <c r="B102" s="4">
        <v>2.7404978619331819E-4</v>
      </c>
      <c r="C102" s="10">
        <v>7.2454383408256784E-5</v>
      </c>
      <c r="D102" s="4">
        <v>6.4558889226107151E-5</v>
      </c>
      <c r="E102" s="4">
        <v>4.9803446907715374E-5</v>
      </c>
      <c r="F102" s="4">
        <v>7.235638749330045E-5</v>
      </c>
      <c r="G102" s="4">
        <v>4.9803446907715374E-5</v>
      </c>
      <c r="H102" s="4">
        <v>4.5879484245960549E-5</v>
      </c>
      <c r="I102" s="4"/>
      <c r="J102" s="4"/>
    </row>
    <row r="103" spans="1:10">
      <c r="A103" s="39" t="s">
        <v>354</v>
      </c>
      <c r="B103" s="4">
        <v>1.5766041673079967E-4</v>
      </c>
      <c r="C103" s="10">
        <v>1.3147858138186803E-4</v>
      </c>
      <c r="D103" s="4">
        <v>2.339880648018891E-5</v>
      </c>
      <c r="E103" s="4">
        <v>8.356819658556774E-5</v>
      </c>
      <c r="F103" s="4">
        <v>8.356819658556774E-5</v>
      </c>
      <c r="G103" s="4">
        <v>8.356819658556774E-5</v>
      </c>
      <c r="H103" s="4">
        <v>8.356819658556774E-5</v>
      </c>
      <c r="I103" s="4"/>
      <c r="J103" s="4"/>
    </row>
    <row r="104" spans="1:10">
      <c r="A104" s="39" t="s">
        <v>355</v>
      </c>
      <c r="B104" s="4">
        <v>7.9590755524582826E-5</v>
      </c>
      <c r="C104" s="10">
        <v>2.9404584017954231E-5</v>
      </c>
      <c r="D104" s="4">
        <v>1.7935479327351844E-5</v>
      </c>
      <c r="E104" s="4">
        <v>0</v>
      </c>
      <c r="F104" s="4">
        <v>0</v>
      </c>
      <c r="G104" s="4">
        <v>0</v>
      </c>
      <c r="H104" s="4">
        <v>0</v>
      </c>
      <c r="I104" s="4"/>
      <c r="J104" s="4"/>
    </row>
    <row r="105" spans="1:10">
      <c r="A105" s="39" t="s">
        <v>356</v>
      </c>
      <c r="B105" s="4">
        <v>3.1613196893335373E-4</v>
      </c>
      <c r="C105" s="10">
        <v>1.5165638234896015E-4</v>
      </c>
      <c r="D105" s="4">
        <v>6.8115577489534797E-5</v>
      </c>
      <c r="E105" s="4">
        <v>9.5156198131520571E-5</v>
      </c>
      <c r="F105" s="4">
        <v>9.2386128453589175E-5</v>
      </c>
      <c r="G105" s="4">
        <v>4.5885176032636166E-5</v>
      </c>
      <c r="H105" s="4">
        <v>2.2230401456898641E-5</v>
      </c>
      <c r="I105" s="4"/>
      <c r="J105" s="4"/>
    </row>
    <row r="106" spans="1:10">
      <c r="A106" s="39" t="s">
        <v>357</v>
      </c>
      <c r="B106" s="4">
        <v>2.6178081129875127E-3</v>
      </c>
      <c r="C106" s="10">
        <v>8.3783566016566128E-4</v>
      </c>
      <c r="D106" s="4">
        <v>3.8014956240779236E-4</v>
      </c>
      <c r="E106" s="4">
        <v>4.5144485800279691E-4</v>
      </c>
      <c r="F106" s="4">
        <v>2.4941997349863165E-5</v>
      </c>
      <c r="G106" s="4">
        <v>7.9974502211283672E-5</v>
      </c>
      <c r="H106" s="4">
        <v>3.3302192402457091E-4</v>
      </c>
      <c r="I106" s="4"/>
      <c r="J106" s="4"/>
    </row>
    <row r="107" spans="1:10">
      <c r="A107" s="39" t="s">
        <v>358</v>
      </c>
      <c r="B107" s="4">
        <v>3.8163906814957765E-2</v>
      </c>
      <c r="C107" s="10">
        <v>3.2540234555064233E-4</v>
      </c>
      <c r="D107" s="4">
        <v>4.3335982016421315E-4</v>
      </c>
      <c r="E107" s="4">
        <v>1.244224052495632E-2</v>
      </c>
      <c r="F107" s="4">
        <v>2.3666594312964546E-2</v>
      </c>
      <c r="G107" s="4">
        <v>3.3491359333908646E-3</v>
      </c>
      <c r="H107" s="4">
        <v>3.8607059799019953E-4</v>
      </c>
      <c r="I107" s="4"/>
      <c r="J107" s="4"/>
    </row>
    <row r="108" spans="1:10">
      <c r="A108" s="39" t="s">
        <v>359</v>
      </c>
      <c r="B108" s="4">
        <v>2.5725581982780112E-5</v>
      </c>
      <c r="C108" s="10">
        <v>0</v>
      </c>
      <c r="D108" s="4">
        <v>0</v>
      </c>
      <c r="E108" s="4">
        <v>2.5725581982780112E-5</v>
      </c>
      <c r="F108" s="4">
        <v>0</v>
      </c>
      <c r="G108" s="4">
        <v>0</v>
      </c>
      <c r="H108" s="4">
        <v>2.5725581982780112E-5</v>
      </c>
      <c r="I108" s="4"/>
      <c r="J108" s="4"/>
    </row>
    <row r="109" spans="1:10">
      <c r="A109" s="39" t="s">
        <v>360</v>
      </c>
      <c r="B109" s="4">
        <v>7.2439622800617815E-5</v>
      </c>
      <c r="C109" s="10">
        <v>4.6714040817837703E-5</v>
      </c>
      <c r="D109" s="4">
        <v>0</v>
      </c>
      <c r="E109" s="4">
        <v>2.5725581982780112E-5</v>
      </c>
      <c r="F109" s="4">
        <v>0</v>
      </c>
      <c r="G109" s="4">
        <v>0</v>
      </c>
      <c r="H109" s="4">
        <v>2.5725581982780112E-5</v>
      </c>
      <c r="I109" s="4"/>
      <c r="J109" s="4"/>
    </row>
    <row r="110" spans="1:10">
      <c r="A110" s="39" t="s">
        <v>361</v>
      </c>
      <c r="B110" s="4">
        <v>3.662521300953611E-4</v>
      </c>
      <c r="C110" s="10">
        <v>1.3583020758913981E-4</v>
      </c>
      <c r="D110" s="4">
        <v>1.195565099118653E-4</v>
      </c>
      <c r="E110" s="4">
        <v>5.0832925122185391E-5</v>
      </c>
      <c r="F110" s="4">
        <v>1.2193165666949558E-4</v>
      </c>
      <c r="G110" s="4">
        <v>4.7434727313431405E-5</v>
      </c>
      <c r="H110" s="4">
        <v>2.5725581982780112E-5</v>
      </c>
      <c r="I110" s="4"/>
      <c r="J110" s="4"/>
    </row>
    <row r="111" spans="1:10">
      <c r="A111" s="39" t="s">
        <v>362</v>
      </c>
      <c r="B111" s="4">
        <v>3.1810669975072299E-4</v>
      </c>
      <c r="C111" s="10">
        <v>6.3043220115473672E-5</v>
      </c>
      <c r="D111" s="4">
        <v>0</v>
      </c>
      <c r="E111" s="4">
        <v>4.0030196189807687E-5</v>
      </c>
      <c r="F111" s="4">
        <v>1.1062186248077859E-4</v>
      </c>
      <c r="G111" s="4">
        <v>1.7895537404984905E-4</v>
      </c>
      <c r="H111" s="4">
        <v>0</v>
      </c>
      <c r="I111" s="4"/>
      <c r="J111" s="4"/>
    </row>
    <row r="112" spans="1:10">
      <c r="A112" s="39" t="s">
        <v>363</v>
      </c>
      <c r="B112" s="4">
        <v>1.6338457544874962E-5</v>
      </c>
      <c r="C112" s="10">
        <v>0</v>
      </c>
      <c r="D112" s="4">
        <v>0</v>
      </c>
      <c r="E112" s="4">
        <v>0</v>
      </c>
      <c r="F112" s="4">
        <v>0</v>
      </c>
      <c r="G112" s="4">
        <v>0</v>
      </c>
      <c r="H112" s="4">
        <v>1.6338457544874962E-5</v>
      </c>
      <c r="I112" s="4"/>
      <c r="J112" s="4"/>
    </row>
    <row r="113" spans="1:10">
      <c r="A113" s="39" t="s">
        <v>364</v>
      </c>
      <c r="B113" s="4">
        <v>1.9575991665051811E-3</v>
      </c>
      <c r="C113" s="10">
        <v>2.2556155513456859E-4</v>
      </c>
      <c r="D113" s="4">
        <v>2.0174990137303476E-4</v>
      </c>
      <c r="E113" s="4">
        <v>9.2966444288984309E-5</v>
      </c>
      <c r="F113" s="4">
        <v>9.1458749612679299E-4</v>
      </c>
      <c r="G113" s="4">
        <v>6.8579075351317764E-5</v>
      </c>
      <c r="H113" s="4">
        <v>2.4099922126781479E-4</v>
      </c>
      <c r="I113" s="4"/>
      <c r="J113" s="4"/>
    </row>
    <row r="114" spans="1:10">
      <c r="A114" s="39" t="s">
        <v>365</v>
      </c>
      <c r="B114" s="4">
        <v>0</v>
      </c>
      <c r="C114" s="10">
        <v>0</v>
      </c>
      <c r="D114" s="4">
        <v>0</v>
      </c>
      <c r="E114" s="4">
        <v>0</v>
      </c>
      <c r="F114" s="4">
        <v>0</v>
      </c>
      <c r="G114" s="4">
        <v>0</v>
      </c>
      <c r="H114" s="4">
        <v>0</v>
      </c>
      <c r="I114" s="4"/>
      <c r="J114" s="4"/>
    </row>
    <row r="115" spans="1:10">
      <c r="A115" s="39" t="s">
        <v>366</v>
      </c>
      <c r="B115" s="4">
        <v>1.0093323676805367E-4</v>
      </c>
      <c r="C115" s="10">
        <v>5.2785985179540795E-5</v>
      </c>
      <c r="D115" s="4">
        <v>2.5975132391563754E-5</v>
      </c>
      <c r="E115" s="4">
        <v>0</v>
      </c>
      <c r="F115" s="4">
        <v>0</v>
      </c>
      <c r="G115" s="4">
        <v>0</v>
      </c>
      <c r="H115" s="4">
        <v>0</v>
      </c>
      <c r="I115" s="4"/>
      <c r="J115" s="4"/>
    </row>
    <row r="116" spans="1:10">
      <c r="A116" s="39" t="s">
        <v>367</v>
      </c>
      <c r="B116" s="4">
        <v>3.128147270214577E-4</v>
      </c>
      <c r="C116" s="10">
        <v>1.2757199502576595E-4</v>
      </c>
      <c r="D116" s="4">
        <v>2.3001712852638272E-5</v>
      </c>
      <c r="E116" s="4">
        <v>2.3001712852638272E-5</v>
      </c>
      <c r="F116" s="4">
        <v>2.4541677818560968E-5</v>
      </c>
      <c r="G116" s="4">
        <v>2.3001712852638272E-5</v>
      </c>
      <c r="H116" s="4">
        <v>2.7765947205486805E-5</v>
      </c>
      <c r="I116" s="4"/>
      <c r="J116" s="4"/>
    </row>
    <row r="117" spans="1:10">
      <c r="A117" s="39" t="s">
        <v>368</v>
      </c>
      <c r="B117" s="4">
        <v>2.7050336636655163E-4</v>
      </c>
      <c r="C117" s="10">
        <v>4.6282995009016154E-5</v>
      </c>
      <c r="D117" s="4">
        <v>0</v>
      </c>
      <c r="E117" s="4">
        <v>9.2541511284636272E-5</v>
      </c>
      <c r="F117" s="4">
        <v>2.2444379955399714E-5</v>
      </c>
      <c r="G117" s="4">
        <v>5.7777134167916658E-5</v>
      </c>
      <c r="H117" s="4">
        <v>1.7126542033084644E-5</v>
      </c>
      <c r="I117" s="4"/>
      <c r="J117" s="4"/>
    </row>
    <row r="118" spans="1:10">
      <c r="A118" s="39" t="s">
        <v>369</v>
      </c>
      <c r="B118" s="4">
        <v>1.753999334318902E-3</v>
      </c>
      <c r="C118" s="10">
        <v>7.72463689905995E-4</v>
      </c>
      <c r="D118" s="4">
        <v>5.9052128169212517E-5</v>
      </c>
      <c r="E118" s="4">
        <v>1.8476538152629592E-4</v>
      </c>
      <c r="F118" s="4">
        <v>2.1707857897252026E-4</v>
      </c>
      <c r="G118" s="4">
        <v>1.9679175322011037E-4</v>
      </c>
      <c r="H118" s="4">
        <v>4.6530590655278017E-4</v>
      </c>
      <c r="I118" s="4"/>
      <c r="J118" s="4"/>
    </row>
    <row r="119" spans="1:10">
      <c r="A119" s="39" t="s">
        <v>370</v>
      </c>
      <c r="B119" s="4">
        <v>5.1687179066249008E-3</v>
      </c>
      <c r="C119" s="10">
        <v>2.495964997920853E-3</v>
      </c>
      <c r="D119" s="4">
        <v>7.8360153947543674E-4</v>
      </c>
      <c r="E119" s="4">
        <v>7.2048752166133372E-4</v>
      </c>
      <c r="F119" s="4">
        <v>2.8347221890215839E-4</v>
      </c>
      <c r="G119" s="4">
        <v>3.903738447451168E-4</v>
      </c>
      <c r="H119" s="4">
        <v>1.0944242298818235E-3</v>
      </c>
      <c r="I119" s="4"/>
      <c r="J119" s="4"/>
    </row>
    <row r="120" spans="1:10">
      <c r="A120" s="39" t="s">
        <v>371</v>
      </c>
      <c r="B120" s="4">
        <v>2.5151806033284394E-3</v>
      </c>
      <c r="C120" s="10">
        <v>1.490363071970749E-3</v>
      </c>
      <c r="D120" s="4">
        <v>3.4002156637611753E-4</v>
      </c>
      <c r="E120" s="4">
        <v>1.7029219105194686E-4</v>
      </c>
      <c r="F120" s="4">
        <v>1.7997136939547177E-4</v>
      </c>
      <c r="G120" s="4">
        <v>1.9830169482096488E-4</v>
      </c>
      <c r="H120" s="4">
        <v>3.6391233466029555E-4</v>
      </c>
      <c r="I120" s="4"/>
      <c r="J120" s="4"/>
    </row>
    <row r="121" spans="1:10">
      <c r="A121" s="39" t="s">
        <v>372</v>
      </c>
      <c r="B121" s="4">
        <v>4.343845091168673E-2</v>
      </c>
      <c r="C121" s="10">
        <v>7.1288311841536433E-3</v>
      </c>
      <c r="D121" s="4">
        <v>4.2365411638539841E-3</v>
      </c>
      <c r="E121" s="4">
        <v>5.8537866594959662E-3</v>
      </c>
      <c r="F121" s="4">
        <v>2.5114602498915984E-3</v>
      </c>
      <c r="G121" s="4">
        <v>3.957597586173674E-3</v>
      </c>
      <c r="H121" s="4">
        <v>4.443408724173128E-3</v>
      </c>
      <c r="I121" s="4"/>
      <c r="J121" s="4"/>
    </row>
    <row r="122" spans="1:10">
      <c r="A122" s="39" t="s">
        <v>373</v>
      </c>
      <c r="B122" s="4">
        <v>1.9255577268953463E-3</v>
      </c>
      <c r="C122" s="10">
        <v>1.0959190168032009E-3</v>
      </c>
      <c r="D122" s="4">
        <v>5.1740372600535918E-4</v>
      </c>
      <c r="E122" s="4">
        <v>3.8461899785168604E-5</v>
      </c>
      <c r="F122" s="4">
        <v>1.80822526483755E-4</v>
      </c>
      <c r="G122" s="4">
        <v>1.1933511500045701E-4</v>
      </c>
      <c r="H122" s="4">
        <v>4.7919133407188603E-5</v>
      </c>
      <c r="I122" s="4"/>
      <c r="J122" s="4"/>
    </row>
    <row r="123" spans="1:10">
      <c r="A123" s="39" t="s">
        <v>374</v>
      </c>
      <c r="B123" s="4">
        <v>1.4057151334429668E-4</v>
      </c>
      <c r="C123" s="10">
        <v>2.3365910164098918E-5</v>
      </c>
      <c r="D123" s="4">
        <v>0</v>
      </c>
      <c r="E123" s="4">
        <v>2.705870368811391E-5</v>
      </c>
      <c r="F123" s="4">
        <v>0</v>
      </c>
      <c r="G123" s="4">
        <v>0</v>
      </c>
      <c r="H123" s="4">
        <v>2.7092583501897906E-5</v>
      </c>
      <c r="I123" s="4"/>
      <c r="J123" s="4"/>
    </row>
    <row r="124" spans="1:10">
      <c r="A124" s="39" t="s">
        <v>375</v>
      </c>
      <c r="B124" s="4">
        <v>1.8469566793014716E-4</v>
      </c>
      <c r="C124" s="10">
        <v>4.3780890824637625E-5</v>
      </c>
      <c r="D124" s="4">
        <v>5.8665013671232367E-5</v>
      </c>
      <c r="E124" s="4">
        <v>6.215292616850636E-5</v>
      </c>
      <c r="F124" s="4">
        <v>0</v>
      </c>
      <c r="G124" s="4">
        <v>0</v>
      </c>
      <c r="H124" s="4">
        <v>2.0602993038610652E-5</v>
      </c>
      <c r="I124" s="4"/>
      <c r="J124" s="4"/>
    </row>
    <row r="125" spans="1:10">
      <c r="A125" s="39" t="s">
        <v>376</v>
      </c>
      <c r="B125" s="4">
        <v>4.5213471496964893E-5</v>
      </c>
      <c r="C125" s="10">
        <v>0</v>
      </c>
      <c r="D125" s="4">
        <v>0</v>
      </c>
      <c r="E125" s="4">
        <v>0</v>
      </c>
      <c r="F125" s="4">
        <v>0</v>
      </c>
      <c r="G125" s="4">
        <v>2.3185081869272181E-5</v>
      </c>
      <c r="H125" s="4">
        <v>0</v>
      </c>
      <c r="I125" s="4"/>
      <c r="J125" s="4"/>
    </row>
    <row r="126" spans="1:10">
      <c r="A126" s="39" t="s">
        <v>377</v>
      </c>
      <c r="B126" s="4">
        <v>8.5226473504459055E-4</v>
      </c>
      <c r="C126" s="10">
        <v>6.0817095420263347E-4</v>
      </c>
      <c r="D126" s="4">
        <v>2.4989749433300396E-4</v>
      </c>
      <c r="E126" s="4">
        <v>7.398711613485997E-5</v>
      </c>
      <c r="F126" s="4">
        <v>8.0286599719684717E-5</v>
      </c>
      <c r="G126" s="4">
        <v>7.4988472286242864E-5</v>
      </c>
      <c r="H126" s="4">
        <v>6.0704358694501483E-5</v>
      </c>
      <c r="I126" s="4"/>
      <c r="J126" s="4"/>
    </row>
    <row r="127" spans="1:10">
      <c r="A127" s="39" t="s">
        <v>378</v>
      </c>
      <c r="B127" s="4">
        <v>9.6375497330647973E-4</v>
      </c>
      <c r="C127" s="10">
        <v>6.758335142865215E-4</v>
      </c>
      <c r="D127" s="4">
        <v>1.1242627227590955E-4</v>
      </c>
      <c r="E127" s="4">
        <v>4.8758106616586737E-5</v>
      </c>
      <c r="F127" s="4">
        <v>1.6717352985258648E-4</v>
      </c>
      <c r="G127" s="4">
        <v>1.0194694679812145E-4</v>
      </c>
      <c r="H127" s="4">
        <v>4.7900839125053289E-5</v>
      </c>
      <c r="I127" s="4"/>
      <c r="J127" s="4"/>
    </row>
    <row r="128" spans="1:10">
      <c r="A128" s="39" t="s">
        <v>379</v>
      </c>
      <c r="B128" s="4">
        <v>9.3629273762163741E-4</v>
      </c>
      <c r="C128" s="10">
        <v>1.5210920555831876E-4</v>
      </c>
      <c r="D128" s="4">
        <v>1.7371845819786093E-4</v>
      </c>
      <c r="E128" s="4">
        <v>1.376468723328719E-4</v>
      </c>
      <c r="F128" s="4">
        <v>2.0712931627099571E-4</v>
      </c>
      <c r="G128" s="4">
        <v>2.0066878243785437E-4</v>
      </c>
      <c r="H128" s="4">
        <v>2.4198566641958549E-5</v>
      </c>
      <c r="I128" s="4"/>
      <c r="J128" s="4"/>
    </row>
    <row r="129" spans="1:10">
      <c r="A129" s="39" t="s">
        <v>380</v>
      </c>
      <c r="B129" s="4">
        <v>0</v>
      </c>
      <c r="C129" s="10">
        <v>0</v>
      </c>
      <c r="D129" s="4">
        <v>0</v>
      </c>
      <c r="E129" s="4">
        <v>0</v>
      </c>
      <c r="F129" s="4">
        <v>0</v>
      </c>
      <c r="G129" s="4">
        <v>0</v>
      </c>
      <c r="H129" s="4">
        <v>0</v>
      </c>
      <c r="I129" s="4"/>
      <c r="J129" s="4"/>
    </row>
    <row r="130" spans="1:10">
      <c r="A130" s="39" t="s">
        <v>381</v>
      </c>
      <c r="B130" s="4">
        <v>1.475239710330908E-3</v>
      </c>
      <c r="C130" s="10">
        <v>9.9307503354371872E-5</v>
      </c>
      <c r="D130" s="4">
        <v>1.3604691423960318E-4</v>
      </c>
      <c r="E130" s="4">
        <v>9.4155049855564876E-5</v>
      </c>
      <c r="F130" s="4">
        <v>3.9420962048036833E-4</v>
      </c>
      <c r="G130" s="4">
        <v>2.4932782864600737E-4</v>
      </c>
      <c r="H130" s="4">
        <v>3.2019729309574666E-4</v>
      </c>
      <c r="I130" s="4"/>
      <c r="J130" s="4"/>
    </row>
    <row r="131" spans="1:10">
      <c r="A131" s="39" t="s">
        <v>382</v>
      </c>
      <c r="B131" s="4">
        <v>0</v>
      </c>
      <c r="C131" s="10">
        <v>0</v>
      </c>
      <c r="D131" s="4">
        <v>0</v>
      </c>
      <c r="E131" s="4">
        <v>0</v>
      </c>
      <c r="F131" s="4">
        <v>0</v>
      </c>
      <c r="G131" s="4">
        <v>0</v>
      </c>
      <c r="H131" s="4">
        <v>0</v>
      </c>
      <c r="I131" s="4"/>
      <c r="J131" s="4"/>
    </row>
    <row r="132" spans="1:10">
      <c r="A132" s="39" t="s">
        <v>383</v>
      </c>
      <c r="B132" s="4">
        <v>1.1102534540854947E-3</v>
      </c>
      <c r="C132" s="10">
        <v>6.5498974988689794E-4</v>
      </c>
      <c r="D132" s="4">
        <v>1.2307258497423624E-4</v>
      </c>
      <c r="E132" s="4">
        <v>7.3711588969648184E-5</v>
      </c>
      <c r="F132" s="4">
        <v>0</v>
      </c>
      <c r="G132" s="4">
        <v>4.5913949529308004E-5</v>
      </c>
      <c r="H132" s="4">
        <v>2.1713771948620879E-4</v>
      </c>
      <c r="I132" s="4"/>
      <c r="J132" s="4"/>
    </row>
    <row r="133" spans="1:10">
      <c r="A133" s="39" t="s">
        <v>384</v>
      </c>
      <c r="B133" s="4">
        <v>1.1734472020798719E-3</v>
      </c>
      <c r="C133" s="10">
        <v>1.1210859373755582E-4</v>
      </c>
      <c r="D133" s="4">
        <v>1.6475128275382224E-4</v>
      </c>
      <c r="E133" s="4">
        <v>2.2373441613215877E-4</v>
      </c>
      <c r="F133" s="4">
        <v>6.3787918829431194E-4</v>
      </c>
      <c r="G133" s="4">
        <v>9.1287038243697145E-5</v>
      </c>
      <c r="H133" s="4">
        <v>9.4257040056106329E-5</v>
      </c>
      <c r="I133" s="4"/>
      <c r="J133" s="4"/>
    </row>
    <row r="134" spans="1:10">
      <c r="A134" s="39" t="s">
        <v>385</v>
      </c>
      <c r="B134" s="4">
        <v>1.1768388945104743E-3</v>
      </c>
      <c r="C134" s="10">
        <v>5.2495201708064741E-4</v>
      </c>
      <c r="D134" s="4">
        <v>1.1289959815845025E-4</v>
      </c>
      <c r="E134" s="4">
        <v>2.3482589909749386E-4</v>
      </c>
      <c r="F134" s="4">
        <v>8.6693620233351256E-5</v>
      </c>
      <c r="G134" s="4">
        <v>6.7836561060398125E-5</v>
      </c>
      <c r="H134" s="4">
        <v>5.4439714780691922E-5</v>
      </c>
      <c r="I134" s="4"/>
      <c r="J134" s="4"/>
    </row>
    <row r="135" spans="1:10">
      <c r="A135" s="39" t="s">
        <v>386</v>
      </c>
      <c r="B135" s="4">
        <v>2.1470629926833174E-3</v>
      </c>
      <c r="C135" s="10">
        <v>3.2384813759880622E-4</v>
      </c>
      <c r="D135" s="4">
        <v>2.2353819513753668E-4</v>
      </c>
      <c r="E135" s="4">
        <v>1.137611697171396E-4</v>
      </c>
      <c r="F135" s="4">
        <v>3.6119663290516712E-4</v>
      </c>
      <c r="G135" s="4">
        <v>3.7506792040712951E-4</v>
      </c>
      <c r="H135" s="4">
        <v>1.610880886971406E-4</v>
      </c>
      <c r="I135" s="4"/>
      <c r="J135" s="4"/>
    </row>
    <row r="136" spans="1:10">
      <c r="A136" s="39" t="s">
        <v>387</v>
      </c>
      <c r="B136" s="4">
        <v>2.768744248692584E-2</v>
      </c>
      <c r="C136" s="10">
        <v>5.9264419347085234E-3</v>
      </c>
      <c r="D136" s="4">
        <v>2.630781554938851E-3</v>
      </c>
      <c r="E136" s="4">
        <v>7.8733658197966214E-3</v>
      </c>
      <c r="F136" s="4">
        <v>3.4482702288785917E-3</v>
      </c>
      <c r="G136" s="4">
        <v>3.5085053351839634E-3</v>
      </c>
      <c r="H136" s="4">
        <v>3.2130569573033483E-3</v>
      </c>
      <c r="I136" s="4"/>
      <c r="J136" s="4"/>
    </row>
    <row r="137" spans="1:10">
      <c r="A137" s="39" t="s">
        <v>388</v>
      </c>
      <c r="B137" s="4">
        <v>1.4003615605299221E-4</v>
      </c>
      <c r="C137" s="10">
        <v>4.4664335002553609E-5</v>
      </c>
      <c r="D137" s="4">
        <v>5.22451187792382E-5</v>
      </c>
      <c r="E137" s="4">
        <v>2.4482744860674734E-5</v>
      </c>
      <c r="F137" s="4">
        <v>8.541007734969365E-5</v>
      </c>
      <c r="G137" s="4">
        <v>2.4482744860674734E-5</v>
      </c>
      <c r="H137" s="4">
        <v>6.5058780623611446E-5</v>
      </c>
      <c r="I137" s="4"/>
      <c r="J137" s="4"/>
    </row>
    <row r="138" spans="1:10">
      <c r="A138" s="39" t="s">
        <v>389</v>
      </c>
      <c r="B138" s="4">
        <v>5.0699078788035451E-4</v>
      </c>
      <c r="C138" s="10">
        <v>1.6541190251246168E-4</v>
      </c>
      <c r="D138" s="4">
        <v>7.9718967074023236E-5</v>
      </c>
      <c r="E138" s="4">
        <v>1.0561456348139541E-4</v>
      </c>
      <c r="F138" s="4">
        <v>1.2334433608394784E-4</v>
      </c>
      <c r="G138" s="4">
        <v>8.1611686362765304E-5</v>
      </c>
      <c r="H138" s="4">
        <v>7.8834603322319605E-5</v>
      </c>
      <c r="I138" s="4"/>
      <c r="J138" s="4"/>
    </row>
    <row r="139" spans="1:10">
      <c r="A139" s="39" t="s">
        <v>390</v>
      </c>
      <c r="B139" s="4">
        <v>5.8026946067510528E-3</v>
      </c>
      <c r="C139" s="10">
        <v>1.8447835793612526E-3</v>
      </c>
      <c r="D139" s="4">
        <v>1.1569980779391974E-3</v>
      </c>
      <c r="E139" s="4">
        <v>5.3522574061298214E-4</v>
      </c>
      <c r="F139" s="4">
        <v>5.0536928673878948E-4</v>
      </c>
      <c r="G139" s="4">
        <v>4.3951157396156742E-4</v>
      </c>
      <c r="H139" s="4">
        <v>9.1139816386495861E-4</v>
      </c>
      <c r="I139" s="4"/>
      <c r="J139" s="4"/>
    </row>
    <row r="140" spans="1:10">
      <c r="A140" s="39" t="s">
        <v>391</v>
      </c>
      <c r="B140" s="4">
        <v>1.5988614288073573E-3</v>
      </c>
      <c r="C140" s="10">
        <v>6.7984940525316539E-4</v>
      </c>
      <c r="D140" s="4">
        <v>2.7585165223456169E-4</v>
      </c>
      <c r="E140" s="4">
        <v>2.3483030205433074E-4</v>
      </c>
      <c r="F140" s="4">
        <v>7.0653748963988964E-4</v>
      </c>
      <c r="G140" s="4">
        <v>2.0776549331266749E-4</v>
      </c>
      <c r="H140" s="4">
        <v>1.5994764194440867E-4</v>
      </c>
      <c r="I140" s="4"/>
      <c r="J140" s="4"/>
    </row>
    <row r="141" spans="1:10">
      <c r="A141" s="39" t="s">
        <v>392</v>
      </c>
      <c r="B141" s="4">
        <v>1.7255167114632055E-4</v>
      </c>
      <c r="C141" s="10">
        <v>2.3558372215987423E-5</v>
      </c>
      <c r="D141" s="4">
        <v>2.2838640181424579E-5</v>
      </c>
      <c r="E141" s="4">
        <v>0</v>
      </c>
      <c r="F141" s="4">
        <v>0</v>
      </c>
      <c r="G141" s="4">
        <v>2.2043610464176658E-5</v>
      </c>
      <c r="H141" s="4">
        <v>7.9853964572274724E-5</v>
      </c>
      <c r="I141" s="4"/>
      <c r="J141" s="4"/>
    </row>
    <row r="142" spans="1:10">
      <c r="A142" s="39" t="s">
        <v>393</v>
      </c>
      <c r="B142" s="4">
        <v>1.9427915527072372E-2</v>
      </c>
      <c r="C142" s="10">
        <v>8.570696620826419E-3</v>
      </c>
      <c r="D142" s="4">
        <v>3.9572591280974947E-3</v>
      </c>
      <c r="E142" s="4">
        <v>1.506879510485129E-3</v>
      </c>
      <c r="F142" s="4">
        <v>1.4200816273904817E-3</v>
      </c>
      <c r="G142" s="4">
        <v>2.3878190524080369E-3</v>
      </c>
      <c r="H142" s="4">
        <v>1.5447274008899331E-3</v>
      </c>
      <c r="I142" s="4"/>
      <c r="J142" s="4"/>
    </row>
    <row r="143" spans="1:10">
      <c r="A143" s="39" t="s">
        <v>394</v>
      </c>
      <c r="B143" s="4">
        <v>2.0238321762954866E-3</v>
      </c>
      <c r="C143" s="10">
        <v>6.0007518627837948E-4</v>
      </c>
      <c r="D143" s="4">
        <v>3.2520160524953349E-4</v>
      </c>
      <c r="E143" s="4">
        <v>1.7673933335703664E-4</v>
      </c>
      <c r="F143" s="4">
        <v>4.1910542109797557E-4</v>
      </c>
      <c r="G143" s="4">
        <v>1.0357140674778963E-4</v>
      </c>
      <c r="H143" s="4">
        <v>4.7756200668999451E-5</v>
      </c>
      <c r="I143" s="4"/>
      <c r="J143" s="4"/>
    </row>
    <row r="144" spans="1:10">
      <c r="A144" s="39" t="s">
        <v>395</v>
      </c>
      <c r="B144" s="4">
        <v>0</v>
      </c>
      <c r="C144" s="10">
        <v>0</v>
      </c>
      <c r="D144" s="4">
        <v>0</v>
      </c>
      <c r="E144" s="4">
        <v>0</v>
      </c>
      <c r="F144" s="4">
        <v>0</v>
      </c>
      <c r="G144" s="4">
        <v>0</v>
      </c>
      <c r="H144" s="4">
        <v>0</v>
      </c>
      <c r="I144" s="4"/>
      <c r="J144" s="4"/>
    </row>
    <row r="145" spans="1:10">
      <c r="A145" s="39" t="s">
        <v>396</v>
      </c>
      <c r="B145" s="4">
        <v>6.5228001792219884E-3</v>
      </c>
      <c r="C145" s="10">
        <v>3.3004725448543969E-3</v>
      </c>
      <c r="D145" s="4">
        <v>8.5231577591565332E-4</v>
      </c>
      <c r="E145" s="4">
        <v>4.3033561042022555E-4</v>
      </c>
      <c r="F145" s="4">
        <v>2.097335869142464E-4</v>
      </c>
      <c r="G145" s="4">
        <v>2.275649212999282E-4</v>
      </c>
      <c r="H145" s="4">
        <v>1.0996542269629071E-3</v>
      </c>
      <c r="I145" s="4"/>
      <c r="J145" s="4"/>
    </row>
    <row r="146" spans="1:10">
      <c r="A146" s="39" t="s">
        <v>397</v>
      </c>
      <c r="B146" s="4">
        <v>1.4016255587214887E-3</v>
      </c>
      <c r="C146" s="10">
        <v>2.4943329349234845E-4</v>
      </c>
      <c r="D146" s="4">
        <v>1.1971275727736337E-4</v>
      </c>
      <c r="E146" s="4">
        <v>9.2238345488540547E-5</v>
      </c>
      <c r="F146" s="4">
        <v>2.5647127760621435E-5</v>
      </c>
      <c r="G146" s="4">
        <v>9.8796644356187921E-5</v>
      </c>
      <c r="H146" s="4">
        <v>1.4909423370811022E-4</v>
      </c>
      <c r="I146" s="4"/>
      <c r="J146" s="4"/>
    </row>
    <row r="147" spans="1:10">
      <c r="A147" s="39" t="s">
        <v>398</v>
      </c>
      <c r="B147" s="4">
        <v>3.0488481648084458E-3</v>
      </c>
      <c r="C147" s="10">
        <v>3.5560430626414396E-4</v>
      </c>
      <c r="D147" s="4">
        <v>4.4133368881392411E-4</v>
      </c>
      <c r="E147" s="4">
        <v>2.1252864722615377E-4</v>
      </c>
      <c r="F147" s="4">
        <v>1.7464427871089168E-3</v>
      </c>
      <c r="G147" s="4">
        <v>1.2303037531460838E-4</v>
      </c>
      <c r="H147" s="4">
        <v>6.9548804599333712E-5</v>
      </c>
      <c r="I147" s="4"/>
      <c r="J147" s="4"/>
    </row>
    <row r="148" spans="1:10">
      <c r="A148" s="39" t="s">
        <v>399</v>
      </c>
      <c r="B148" s="4">
        <v>1.7267871212600788E-3</v>
      </c>
      <c r="C148" s="10">
        <v>2.6752834181806642E-4</v>
      </c>
      <c r="D148" s="4">
        <v>2.7568491658543602E-4</v>
      </c>
      <c r="E148" s="4">
        <v>4.5605255411170084E-4</v>
      </c>
      <c r="F148" s="4">
        <v>3.7129007737073008E-4</v>
      </c>
      <c r="G148" s="4">
        <v>3.0299309639944495E-4</v>
      </c>
      <c r="H148" s="4">
        <v>4.1553799232689758E-4</v>
      </c>
      <c r="I148" s="4"/>
      <c r="J148" s="4"/>
    </row>
    <row r="149" spans="1:10">
      <c r="A149" s="39" t="s">
        <v>400</v>
      </c>
      <c r="B149" s="4">
        <v>9.5153183712644203E-3</v>
      </c>
      <c r="C149" s="10">
        <v>2.8467826497342971E-3</v>
      </c>
      <c r="D149" s="4">
        <v>1.8172766521614718E-3</v>
      </c>
      <c r="E149" s="4">
        <v>1.0978724975801647E-3</v>
      </c>
      <c r="F149" s="4">
        <v>4.3719724695939175E-4</v>
      </c>
      <c r="G149" s="4">
        <v>6.0074710622728879E-4</v>
      </c>
      <c r="H149" s="4">
        <v>4.0272311922307583E-3</v>
      </c>
      <c r="I149" s="4"/>
      <c r="J149" s="4"/>
    </row>
    <row r="150" spans="1:10">
      <c r="A150" s="39" t="s">
        <v>401</v>
      </c>
      <c r="B150" s="4">
        <v>4.3876144210914077E-2</v>
      </c>
      <c r="C150" s="10">
        <v>2.6878913603136305E-3</v>
      </c>
      <c r="D150" s="4">
        <v>4.0664208218539931E-3</v>
      </c>
      <c r="E150" s="4">
        <v>4.090264603945612E-3</v>
      </c>
      <c r="F150" s="4">
        <v>2.4299884256767648E-3</v>
      </c>
      <c r="G150" s="4">
        <v>3.3773513527498356E-3</v>
      </c>
      <c r="H150" s="4">
        <v>3.4594911058503128E-3</v>
      </c>
      <c r="I150" s="4"/>
      <c r="J150" s="4"/>
    </row>
    <row r="151" spans="1:10">
      <c r="A151" s="39" t="s">
        <v>402</v>
      </c>
      <c r="B151" s="4">
        <v>9.721456601769114E-4</v>
      </c>
      <c r="C151" s="10">
        <v>6.0697019920822833E-4</v>
      </c>
      <c r="D151" s="4">
        <v>8.2300215024091707E-5</v>
      </c>
      <c r="E151" s="4">
        <v>8.6183282788958115E-5</v>
      </c>
      <c r="F151" s="4">
        <v>4.9470846103624195E-5</v>
      </c>
      <c r="G151" s="4">
        <v>9.3814510066623087E-5</v>
      </c>
      <c r="H151" s="4">
        <v>1.6413065595695115E-4</v>
      </c>
      <c r="I151" s="4"/>
      <c r="J151" s="4"/>
    </row>
    <row r="152" spans="1:10">
      <c r="A152" s="39" t="s">
        <v>403</v>
      </c>
      <c r="B152" s="4">
        <v>5.2031157489817494E-4</v>
      </c>
      <c r="C152" s="10">
        <v>2.4801864719683999E-5</v>
      </c>
      <c r="D152" s="4">
        <v>2.3394555754695573E-5</v>
      </c>
      <c r="E152" s="4">
        <v>0</v>
      </c>
      <c r="F152" s="4">
        <v>2.4389387627632696E-5</v>
      </c>
      <c r="G152" s="4">
        <v>0</v>
      </c>
      <c r="H152" s="4">
        <v>3.9917301329920587E-5</v>
      </c>
      <c r="I152" s="4"/>
      <c r="J152" s="4"/>
    </row>
    <row r="153" spans="1:10">
      <c r="A153" s="39" t="s">
        <v>404</v>
      </c>
      <c r="B153" s="4">
        <v>2.7489943420663824E-3</v>
      </c>
      <c r="C153" s="10">
        <v>2.9329895269868193E-4</v>
      </c>
      <c r="D153" s="4">
        <v>2.3664649393405956E-4</v>
      </c>
      <c r="E153" s="4">
        <v>6.9310765085218626E-4</v>
      </c>
      <c r="F153" s="4">
        <v>5.2577370526098914E-4</v>
      </c>
      <c r="G153" s="4">
        <v>8.5929790922671884E-4</v>
      </c>
      <c r="H153" s="4">
        <v>6.2204023844478356E-5</v>
      </c>
      <c r="I153" s="4"/>
      <c r="J153" s="4"/>
    </row>
    <row r="154" spans="1:10">
      <c r="A154" s="39" t="s">
        <v>405</v>
      </c>
      <c r="B154" s="4">
        <v>2.7964631101940047E-5</v>
      </c>
      <c r="C154" s="10">
        <v>0</v>
      </c>
      <c r="D154" s="4">
        <v>0</v>
      </c>
      <c r="E154" s="4">
        <v>2.7964631101940047E-5</v>
      </c>
      <c r="F154" s="4">
        <v>0</v>
      </c>
      <c r="G154" s="4">
        <v>0</v>
      </c>
      <c r="H154" s="4">
        <v>0</v>
      </c>
      <c r="I154" s="4"/>
      <c r="J154" s="4"/>
    </row>
    <row r="155" spans="1:10">
      <c r="A155" s="39" t="s">
        <v>406</v>
      </c>
      <c r="B155" s="4">
        <v>9.9712880982011189E-5</v>
      </c>
      <c r="C155" s="10">
        <v>0</v>
      </c>
      <c r="D155" s="4">
        <v>0</v>
      </c>
      <c r="E155" s="4">
        <v>0</v>
      </c>
      <c r="F155" s="4">
        <v>0</v>
      </c>
      <c r="G155" s="4">
        <v>0</v>
      </c>
      <c r="H155" s="4">
        <v>0</v>
      </c>
      <c r="I155" s="4"/>
      <c r="J155" s="4"/>
    </row>
    <row r="156" spans="1:10">
      <c r="A156" s="39" t="s">
        <v>407</v>
      </c>
      <c r="B156" s="4">
        <v>1.4023799581925513E-4</v>
      </c>
      <c r="C156" s="10">
        <v>0</v>
      </c>
      <c r="D156" s="4">
        <v>2.5107343139405279E-5</v>
      </c>
      <c r="E156" s="4">
        <v>2.6592315625040161E-5</v>
      </c>
      <c r="F156" s="4">
        <v>4.5558603507202234E-5</v>
      </c>
      <c r="G156" s="4">
        <v>0</v>
      </c>
      <c r="H156" s="4">
        <v>0</v>
      </c>
      <c r="I156" s="4"/>
      <c r="J156" s="4"/>
    </row>
    <row r="157" spans="1:10">
      <c r="A157" s="132" t="s">
        <v>408</v>
      </c>
      <c r="B157" s="137">
        <v>2.7175469750110315E-2</v>
      </c>
      <c r="C157" s="140">
        <v>6.306656665766438E-4</v>
      </c>
      <c r="D157" s="137">
        <v>7.8605185712368514E-4</v>
      </c>
      <c r="E157" s="137">
        <v>8.3903388831710213E-3</v>
      </c>
      <c r="F157" s="137">
        <v>1.4133162773323105E-2</v>
      </c>
      <c r="G157" s="137">
        <v>1.9089053495790914E-3</v>
      </c>
      <c r="H157" s="137">
        <v>3.7835681664712774E-4</v>
      </c>
      <c r="I157" s="4"/>
      <c r="J157" s="4"/>
    </row>
    <row r="158" spans="1:10">
      <c r="A158" s="72"/>
      <c r="B158" s="156" t="s">
        <v>146</v>
      </c>
      <c r="C158" s="156"/>
      <c r="D158" s="156"/>
      <c r="E158" s="156"/>
      <c r="F158" s="156"/>
      <c r="G158" s="156"/>
      <c r="H158" s="156"/>
    </row>
    <row r="159" spans="1:10">
      <c r="A159" s="39" t="s">
        <v>267</v>
      </c>
      <c r="B159" s="50">
        <v>25773.469149384924</v>
      </c>
      <c r="C159" s="11">
        <v>4774.1969707120834</v>
      </c>
      <c r="D159" s="50">
        <v>7195.8546466803782</v>
      </c>
      <c r="E159" s="50">
        <v>7421.1838332909156</v>
      </c>
      <c r="F159" s="50">
        <v>6930.1178800917596</v>
      </c>
      <c r="G159" s="50">
        <v>7545.9067608822361</v>
      </c>
      <c r="H159" s="50">
        <v>7998.7340202568212</v>
      </c>
    </row>
    <row r="160" spans="1:10">
      <c r="A160" s="39" t="s">
        <v>268</v>
      </c>
      <c r="B160" s="50">
        <v>54640.409221307556</v>
      </c>
      <c r="C160" s="11">
        <v>17654.437104330089</v>
      </c>
      <c r="D160" s="50">
        <v>7612.9406039853093</v>
      </c>
      <c r="E160" s="50">
        <v>7907.1708168161822</v>
      </c>
      <c r="F160" s="50">
        <v>18846.793544043034</v>
      </c>
      <c r="G160" s="50">
        <v>14423.179291465811</v>
      </c>
      <c r="H160" s="50">
        <v>8858.2051860473221</v>
      </c>
    </row>
    <row r="161" spans="1:8">
      <c r="A161" s="39" t="s">
        <v>269</v>
      </c>
      <c r="B161" s="50">
        <v>36259.773492808585</v>
      </c>
      <c r="C161" s="11">
        <v>18403.428753777043</v>
      </c>
      <c r="D161" s="50">
        <v>6142.7984045818876</v>
      </c>
      <c r="E161" s="50">
        <v>8374.7597075005142</v>
      </c>
      <c r="F161" s="50">
        <v>8071.5108913214262</v>
      </c>
      <c r="G161" s="50">
        <v>5502.0570825391187</v>
      </c>
      <c r="H161" s="50">
        <v>5350.0115798676816</v>
      </c>
    </row>
    <row r="162" spans="1:8">
      <c r="A162" s="39" t="s">
        <v>270</v>
      </c>
      <c r="B162" s="50">
        <v>181066.41636858831</v>
      </c>
      <c r="C162" s="11">
        <v>48410.955628583513</v>
      </c>
      <c r="D162" s="50">
        <v>22216.537959608086</v>
      </c>
      <c r="E162" s="50">
        <v>34725.030757185188</v>
      </c>
      <c r="F162" s="50">
        <v>20644.97588290201</v>
      </c>
      <c r="G162" s="50">
        <v>34527.202302112404</v>
      </c>
      <c r="H162" s="50">
        <v>56654.481041471088</v>
      </c>
    </row>
    <row r="163" spans="1:8">
      <c r="A163" s="39" t="s">
        <v>271</v>
      </c>
      <c r="B163" s="50">
        <v>382160.40021119115</v>
      </c>
      <c r="C163" s="11">
        <v>212877.52583089724</v>
      </c>
      <c r="D163" s="50">
        <v>63689.803309550793</v>
      </c>
      <c r="E163" s="50">
        <v>44169.291564596046</v>
      </c>
      <c r="F163" s="50">
        <v>29200.893396375279</v>
      </c>
      <c r="G163" s="50">
        <v>36438.078195544345</v>
      </c>
      <c r="H163" s="50">
        <v>55953.077878410651</v>
      </c>
    </row>
    <row r="164" spans="1:8">
      <c r="A164" s="39" t="s">
        <v>272</v>
      </c>
      <c r="B164" s="50">
        <v>184612.74499309453</v>
      </c>
      <c r="C164" s="11">
        <v>48932.98713890904</v>
      </c>
      <c r="D164" s="50">
        <v>29582.680606255344</v>
      </c>
      <c r="E164" s="50">
        <v>21254.568568886727</v>
      </c>
      <c r="F164" s="50">
        <v>8188.7300529102167</v>
      </c>
      <c r="G164" s="50">
        <v>22161.943751559666</v>
      </c>
      <c r="H164" s="50">
        <v>49283.486740017725</v>
      </c>
    </row>
    <row r="165" spans="1:8">
      <c r="A165" s="39" t="s">
        <v>273</v>
      </c>
      <c r="B165" s="50">
        <v>57847.387831725988</v>
      </c>
      <c r="C165" s="11">
        <v>29461.7859047085</v>
      </c>
      <c r="D165" s="50">
        <v>9068.7513113787336</v>
      </c>
      <c r="E165" s="50">
        <v>8056.2664874646807</v>
      </c>
      <c r="F165" s="50">
        <v>2087.6256256066235</v>
      </c>
      <c r="G165" s="50">
        <v>5242.8681524431859</v>
      </c>
      <c r="H165" s="50">
        <v>6690.3110756992392</v>
      </c>
    </row>
    <row r="166" spans="1:8">
      <c r="A166" s="39" t="s">
        <v>274</v>
      </c>
      <c r="B166" s="50">
        <v>553120.99819214619</v>
      </c>
      <c r="C166" s="11">
        <v>241480.05119587624</v>
      </c>
      <c r="D166" s="50">
        <v>94763.566953098241</v>
      </c>
      <c r="E166" s="50">
        <v>85397.252685533706</v>
      </c>
      <c r="F166" s="50">
        <v>24862.970608196643</v>
      </c>
      <c r="G166" s="50">
        <v>58782.61639340593</v>
      </c>
      <c r="H166" s="50">
        <v>96631.420367690909</v>
      </c>
    </row>
    <row r="167" spans="1:8">
      <c r="A167" s="39" t="s">
        <v>275</v>
      </c>
      <c r="B167" s="50">
        <v>5743.2643265509769</v>
      </c>
      <c r="C167" s="11">
        <v>1573.4753946056103</v>
      </c>
      <c r="D167" s="50">
        <v>1040.2101720933961</v>
      </c>
      <c r="E167" s="50">
        <v>600.35091969060613</v>
      </c>
      <c r="F167" s="50">
        <v>1581.0191883480784</v>
      </c>
      <c r="G167" s="50">
        <v>3742.4281359698648</v>
      </c>
      <c r="H167" s="50">
        <v>482.72943702836585</v>
      </c>
    </row>
    <row r="168" spans="1:8">
      <c r="A168" s="39" t="s">
        <v>276</v>
      </c>
      <c r="B168" s="50">
        <v>1111.0281564964862</v>
      </c>
      <c r="C168" s="11">
        <v>0</v>
      </c>
      <c r="D168" s="50">
        <v>570.22566170557855</v>
      </c>
      <c r="E168" s="50">
        <v>0</v>
      </c>
      <c r="F168" s="50">
        <v>0</v>
      </c>
      <c r="G168" s="50">
        <v>0</v>
      </c>
      <c r="H168" s="50">
        <v>0</v>
      </c>
    </row>
    <row r="169" spans="1:8">
      <c r="A169" s="39" t="s">
        <v>277</v>
      </c>
      <c r="B169" s="50">
        <v>22469.665704606356</v>
      </c>
      <c r="C169" s="11">
        <v>6745.151507660129</v>
      </c>
      <c r="D169" s="50">
        <v>7416.9987603825748</v>
      </c>
      <c r="E169" s="50">
        <v>4945.6708275238816</v>
      </c>
      <c r="F169" s="50">
        <v>1566.5215618334873</v>
      </c>
      <c r="G169" s="50">
        <v>4848.9243881182338</v>
      </c>
      <c r="H169" s="50">
        <v>1422.4477848685096</v>
      </c>
    </row>
    <row r="170" spans="1:8">
      <c r="A170" s="39" t="s">
        <v>278</v>
      </c>
      <c r="B170" s="50">
        <v>4891.1425096888452</v>
      </c>
      <c r="C170" s="11">
        <v>3347.7462838141059</v>
      </c>
      <c r="D170" s="50">
        <v>1188.6917077797646</v>
      </c>
      <c r="E170" s="50">
        <v>1111.4308278429726</v>
      </c>
      <c r="F170" s="50">
        <v>0</v>
      </c>
      <c r="G170" s="50">
        <v>1042.1498876000669</v>
      </c>
      <c r="H170" s="50">
        <v>0</v>
      </c>
    </row>
    <row r="171" spans="1:8">
      <c r="A171" s="39" t="s">
        <v>279</v>
      </c>
      <c r="B171" s="50">
        <v>0</v>
      </c>
      <c r="C171" s="11">
        <v>0</v>
      </c>
      <c r="D171" s="50">
        <v>0</v>
      </c>
      <c r="E171" s="50">
        <v>0</v>
      </c>
      <c r="F171" s="50">
        <v>0</v>
      </c>
      <c r="G171" s="50">
        <v>0</v>
      </c>
      <c r="H171" s="50">
        <v>0</v>
      </c>
    </row>
    <row r="172" spans="1:8">
      <c r="A172" s="39" t="s">
        <v>280</v>
      </c>
      <c r="B172" s="50">
        <v>3618.4632762145015</v>
      </c>
      <c r="C172" s="11">
        <v>530.27895486425007</v>
      </c>
      <c r="D172" s="50">
        <v>0</v>
      </c>
      <c r="E172" s="50">
        <v>530.27895486425007</v>
      </c>
      <c r="F172" s="50">
        <v>0</v>
      </c>
      <c r="G172" s="50">
        <v>0</v>
      </c>
      <c r="H172" s="50">
        <v>0</v>
      </c>
    </row>
    <row r="173" spans="1:8">
      <c r="A173" s="39" t="s">
        <v>281</v>
      </c>
      <c r="B173" s="50">
        <v>0</v>
      </c>
      <c r="C173" s="11">
        <v>0</v>
      </c>
      <c r="D173" s="50">
        <v>0</v>
      </c>
      <c r="E173" s="50">
        <v>0</v>
      </c>
      <c r="F173" s="50">
        <v>0</v>
      </c>
      <c r="G173" s="50">
        <v>0</v>
      </c>
      <c r="H173" s="50">
        <v>0</v>
      </c>
    </row>
    <row r="174" spans="1:8">
      <c r="A174" s="39" t="s">
        <v>282</v>
      </c>
      <c r="B174" s="50">
        <v>2351.1218337595951</v>
      </c>
      <c r="C174" s="11">
        <v>520.04226642931224</v>
      </c>
      <c r="D174" s="50">
        <v>0</v>
      </c>
      <c r="E174" s="50">
        <v>0</v>
      </c>
      <c r="F174" s="50">
        <v>1881.289515507729</v>
      </c>
      <c r="G174" s="50">
        <v>469.83231825186624</v>
      </c>
      <c r="H174" s="50">
        <v>439.51246844873037</v>
      </c>
    </row>
    <row r="175" spans="1:8">
      <c r="A175" s="39" t="s">
        <v>283</v>
      </c>
      <c r="B175" s="50">
        <v>1003.9093949918575</v>
      </c>
      <c r="C175" s="11">
        <v>0</v>
      </c>
      <c r="D175" s="50">
        <v>1003.9093949918575</v>
      </c>
      <c r="E175" s="50">
        <v>496.18306148588374</v>
      </c>
      <c r="F175" s="50">
        <v>0</v>
      </c>
      <c r="G175" s="50">
        <v>0</v>
      </c>
      <c r="H175" s="50">
        <v>0</v>
      </c>
    </row>
    <row r="176" spans="1:8">
      <c r="A176" s="39" t="s">
        <v>284</v>
      </c>
      <c r="B176" s="50">
        <v>166655.57088804228</v>
      </c>
      <c r="C176" s="11">
        <v>107039.62833315349</v>
      </c>
      <c r="D176" s="50">
        <v>43868.036755744579</v>
      </c>
      <c r="E176" s="50">
        <v>5340.4025434979549</v>
      </c>
      <c r="F176" s="50">
        <v>563.55051974678145</v>
      </c>
      <c r="G176" s="50">
        <v>6492.6984828236573</v>
      </c>
      <c r="H176" s="50">
        <v>2608.7896819618632</v>
      </c>
    </row>
    <row r="177" spans="1:8">
      <c r="A177" s="39" t="s">
        <v>285</v>
      </c>
      <c r="B177" s="50">
        <v>129509.25794814198</v>
      </c>
      <c r="C177" s="11">
        <v>24390.254928598089</v>
      </c>
      <c r="D177" s="50">
        <v>5644.2978491746735</v>
      </c>
      <c r="E177" s="50">
        <v>47258.637353232756</v>
      </c>
      <c r="F177" s="50">
        <v>37466.90402707972</v>
      </c>
      <c r="G177" s="50">
        <v>31714.59846016964</v>
      </c>
      <c r="H177" s="50">
        <v>3777.7704068012563</v>
      </c>
    </row>
    <row r="178" spans="1:8">
      <c r="A178" s="39" t="s">
        <v>286</v>
      </c>
      <c r="B178" s="50">
        <v>0</v>
      </c>
      <c r="C178" s="11">
        <v>0</v>
      </c>
      <c r="D178" s="50">
        <v>0</v>
      </c>
      <c r="E178" s="50">
        <v>0</v>
      </c>
      <c r="F178" s="50">
        <v>0</v>
      </c>
      <c r="G178" s="50">
        <v>0</v>
      </c>
      <c r="H178" s="50">
        <v>0</v>
      </c>
    </row>
    <row r="179" spans="1:8">
      <c r="A179" s="39" t="s">
        <v>287</v>
      </c>
      <c r="B179" s="50">
        <v>450870.88997229998</v>
      </c>
      <c r="C179" s="11">
        <v>44833.571439865183</v>
      </c>
      <c r="D179" s="50">
        <v>62813.78822018901</v>
      </c>
      <c r="E179" s="50">
        <v>41392.761417672358</v>
      </c>
      <c r="F179" s="50">
        <v>75347.972506297243</v>
      </c>
      <c r="G179" s="50">
        <v>32110.43543793296</v>
      </c>
      <c r="H179" s="50">
        <v>51652.433875971838</v>
      </c>
    </row>
    <row r="180" spans="1:8">
      <c r="A180" s="39" t="s">
        <v>288</v>
      </c>
      <c r="B180" s="50">
        <v>11305.274247056834</v>
      </c>
      <c r="C180" s="11">
        <v>4492.0523127622155</v>
      </c>
      <c r="D180" s="50">
        <v>2173.9130025326549</v>
      </c>
      <c r="E180" s="50">
        <v>2738.7576990467496</v>
      </c>
      <c r="F180" s="50">
        <v>1617.7983171214155</v>
      </c>
      <c r="G180" s="50">
        <v>1161.647072712421</v>
      </c>
      <c r="H180" s="50">
        <v>496.02917103080938</v>
      </c>
    </row>
    <row r="181" spans="1:8">
      <c r="A181" s="39" t="s">
        <v>289</v>
      </c>
      <c r="B181" s="50">
        <v>5604.6585011843863</v>
      </c>
      <c r="C181" s="11">
        <v>3023.7737344052543</v>
      </c>
      <c r="D181" s="50">
        <v>2488.8406417904334</v>
      </c>
      <c r="E181" s="50">
        <v>989.52090014472731</v>
      </c>
      <c r="F181" s="50">
        <v>1550.70443335152</v>
      </c>
      <c r="G181" s="50">
        <v>1347.029164668766</v>
      </c>
      <c r="H181" s="50">
        <v>2766.7342088929813</v>
      </c>
    </row>
    <row r="182" spans="1:8">
      <c r="A182" s="39" t="s">
        <v>290</v>
      </c>
      <c r="B182" s="50">
        <v>53978.066351157875</v>
      </c>
      <c r="C182" s="11">
        <v>10981.493504996595</v>
      </c>
      <c r="D182" s="50">
        <v>5712.9845077167784</v>
      </c>
      <c r="E182" s="50">
        <v>3411.0910682401181</v>
      </c>
      <c r="F182" s="50">
        <v>12136.815485438003</v>
      </c>
      <c r="G182" s="50">
        <v>2354.5522704909095</v>
      </c>
      <c r="H182" s="50">
        <v>4688.1459776387619</v>
      </c>
    </row>
    <row r="183" spans="1:8">
      <c r="A183" s="39" t="s">
        <v>291</v>
      </c>
      <c r="B183" s="50">
        <v>6252.889975409531</v>
      </c>
      <c r="C183" s="11">
        <v>1241.8766812123308</v>
      </c>
      <c r="D183" s="50">
        <v>314.41531927077307</v>
      </c>
      <c r="E183" s="50">
        <v>431.43219091074837</v>
      </c>
      <c r="F183" s="50">
        <v>3975.965838393698</v>
      </c>
      <c r="G183" s="50">
        <v>477.51454211281776</v>
      </c>
      <c r="H183" s="50">
        <v>0</v>
      </c>
    </row>
    <row r="184" spans="1:8">
      <c r="A184" s="39" t="s">
        <v>292</v>
      </c>
      <c r="B184" s="50">
        <v>351753.63100565621</v>
      </c>
      <c r="C184" s="11">
        <v>210061.39827050301</v>
      </c>
      <c r="D184" s="50">
        <v>55033.35263403014</v>
      </c>
      <c r="E184" s="50">
        <v>33802.171585208882</v>
      </c>
      <c r="F184" s="50">
        <v>23190.86212413746</v>
      </c>
      <c r="G184" s="50">
        <v>29702.589527548545</v>
      </c>
      <c r="H184" s="50">
        <v>42759.836784791594</v>
      </c>
    </row>
    <row r="185" spans="1:8">
      <c r="A185" s="39" t="s">
        <v>293</v>
      </c>
      <c r="B185" s="50">
        <v>15365.004690499294</v>
      </c>
      <c r="C185" s="11">
        <v>8269.5421926620893</v>
      </c>
      <c r="D185" s="50">
        <v>4947.6000740024128</v>
      </c>
      <c r="E185" s="50">
        <v>1420.2397606415598</v>
      </c>
      <c r="F185" s="50">
        <v>1076.5035783375706</v>
      </c>
      <c r="G185" s="50">
        <v>989.23594266610462</v>
      </c>
      <c r="H185" s="50">
        <v>989.23594266610462</v>
      </c>
    </row>
    <row r="186" spans="1:8">
      <c r="A186" s="39" t="s">
        <v>294</v>
      </c>
      <c r="B186" s="50">
        <v>101089.53135770196</v>
      </c>
      <c r="C186" s="11">
        <v>7506.0410843144318</v>
      </c>
      <c r="D186" s="50">
        <v>6153.2560013430584</v>
      </c>
      <c r="E186" s="50">
        <v>50133.51916330737</v>
      </c>
      <c r="F186" s="50">
        <v>36684.945166880047</v>
      </c>
      <c r="G186" s="50">
        <v>9804.5180128234497</v>
      </c>
      <c r="H186" s="50">
        <v>5065.3434765735756</v>
      </c>
    </row>
    <row r="187" spans="1:8">
      <c r="A187" s="39" t="s">
        <v>295</v>
      </c>
      <c r="B187" s="50">
        <v>3969.6656286304669</v>
      </c>
      <c r="C187" s="11">
        <v>1497.8077601275036</v>
      </c>
      <c r="D187" s="50">
        <v>1491.6519427623311</v>
      </c>
      <c r="E187" s="50">
        <v>989.23594266610462</v>
      </c>
      <c r="F187" s="50">
        <v>0</v>
      </c>
      <c r="G187" s="50">
        <v>1491.6519427623311</v>
      </c>
      <c r="H187" s="50">
        <v>1004.8320001924532</v>
      </c>
    </row>
    <row r="188" spans="1:8">
      <c r="A188" s="39" t="s">
        <v>296</v>
      </c>
      <c r="B188" s="50">
        <v>233408.49212877659</v>
      </c>
      <c r="C188" s="11">
        <v>46867.051494081526</v>
      </c>
      <c r="D188" s="50">
        <v>29041.225580493316</v>
      </c>
      <c r="E188" s="50">
        <v>48485.403725793542</v>
      </c>
      <c r="F188" s="50">
        <v>22300.668379228831</v>
      </c>
      <c r="G188" s="50">
        <v>24535.49368625645</v>
      </c>
      <c r="H188" s="50">
        <v>12756.591540652693</v>
      </c>
    </row>
    <row r="189" spans="1:8">
      <c r="A189" s="39" t="s">
        <v>297</v>
      </c>
      <c r="B189" s="50">
        <v>138595.33427013701</v>
      </c>
      <c r="C189" s="11">
        <v>20053.607147184528</v>
      </c>
      <c r="D189" s="50">
        <v>16192.580908750051</v>
      </c>
      <c r="E189" s="50">
        <v>14727.946694451159</v>
      </c>
      <c r="F189" s="50">
        <v>65268.512776597207</v>
      </c>
      <c r="G189" s="50">
        <v>14491.830094640974</v>
      </c>
      <c r="H189" s="50">
        <v>22669.212822784881</v>
      </c>
    </row>
    <row r="190" spans="1:8">
      <c r="A190" s="39" t="s">
        <v>298</v>
      </c>
      <c r="B190" s="50">
        <v>222451.33589069793</v>
      </c>
      <c r="C190" s="11">
        <v>25547.906528044772</v>
      </c>
      <c r="D190" s="50">
        <v>24028.083358295811</v>
      </c>
      <c r="E190" s="50">
        <v>18887.30945630365</v>
      </c>
      <c r="F190" s="50">
        <v>109740.38220277497</v>
      </c>
      <c r="G190" s="50">
        <v>17427.153864986391</v>
      </c>
      <c r="H190" s="50">
        <v>12219.795938922742</v>
      </c>
    </row>
    <row r="191" spans="1:8">
      <c r="A191" s="39" t="s">
        <v>299</v>
      </c>
      <c r="B191" s="50">
        <v>15010.831967212889</v>
      </c>
      <c r="C191" s="11">
        <v>9857.3790011760248</v>
      </c>
      <c r="D191" s="50">
        <v>5106.425354040266</v>
      </c>
      <c r="E191" s="50">
        <v>0</v>
      </c>
      <c r="F191" s="50">
        <v>408.14408427011375</v>
      </c>
      <c r="G191" s="50">
        <v>0</v>
      </c>
      <c r="H191" s="50">
        <v>0</v>
      </c>
    </row>
    <row r="192" spans="1:8">
      <c r="A192" s="39" t="s">
        <v>300</v>
      </c>
      <c r="B192" s="50">
        <v>2888.5037154748834</v>
      </c>
      <c r="C192" s="11">
        <v>887.518146115641</v>
      </c>
      <c r="D192" s="50">
        <v>0</v>
      </c>
      <c r="E192" s="50">
        <v>1021.5494132367469</v>
      </c>
      <c r="F192" s="50">
        <v>0</v>
      </c>
      <c r="G192" s="50">
        <v>447.83955808741479</v>
      </c>
      <c r="H192" s="50">
        <v>927.13605082812535</v>
      </c>
    </row>
    <row r="193" spans="1:8">
      <c r="A193" s="39" t="s">
        <v>301</v>
      </c>
      <c r="B193" s="50">
        <v>11436.821520442682</v>
      </c>
      <c r="C193" s="11">
        <v>3798.4716011718806</v>
      </c>
      <c r="D193" s="50">
        <v>0</v>
      </c>
      <c r="E193" s="50">
        <v>480.13658877560636</v>
      </c>
      <c r="F193" s="50">
        <v>979.76896323001188</v>
      </c>
      <c r="G193" s="50">
        <v>0</v>
      </c>
      <c r="H193" s="50">
        <v>4522.5608330748264</v>
      </c>
    </row>
    <row r="194" spans="1:8">
      <c r="A194" s="39" t="s">
        <v>302</v>
      </c>
      <c r="B194" s="50">
        <v>9469.521762330105</v>
      </c>
      <c r="C194" s="11">
        <v>5904.2736104125033</v>
      </c>
      <c r="D194" s="50">
        <v>602.90368444103706</v>
      </c>
      <c r="E194" s="50">
        <v>0</v>
      </c>
      <c r="F194" s="50">
        <v>0</v>
      </c>
      <c r="G194" s="50">
        <v>961.62637086022949</v>
      </c>
      <c r="H194" s="50">
        <v>0</v>
      </c>
    </row>
    <row r="195" spans="1:8">
      <c r="A195" s="39" t="s">
        <v>303</v>
      </c>
      <c r="B195" s="50">
        <v>3365.228393244397</v>
      </c>
      <c r="C195" s="11">
        <v>1005.8436049081624</v>
      </c>
      <c r="D195" s="50">
        <v>0</v>
      </c>
      <c r="E195" s="50">
        <v>509.43333589891927</v>
      </c>
      <c r="F195" s="50">
        <v>0</v>
      </c>
      <c r="G195" s="50">
        <v>0</v>
      </c>
      <c r="H195" s="50">
        <v>0</v>
      </c>
    </row>
    <row r="196" spans="1:8">
      <c r="A196" s="39" t="s">
        <v>304</v>
      </c>
      <c r="B196" s="50">
        <v>50036.083023691055</v>
      </c>
      <c r="C196" s="11">
        <v>17484.522002676298</v>
      </c>
      <c r="D196" s="50">
        <v>9574.9694818403023</v>
      </c>
      <c r="E196" s="50">
        <v>3646.9178972134914</v>
      </c>
      <c r="F196" s="50">
        <v>13318.82747948135</v>
      </c>
      <c r="G196" s="50">
        <v>22378.925578660212</v>
      </c>
      <c r="H196" s="50">
        <v>962.65335867389831</v>
      </c>
    </row>
    <row r="197" spans="1:8">
      <c r="A197" s="39" t="s">
        <v>305</v>
      </c>
      <c r="B197" s="50">
        <v>23125.340253894457</v>
      </c>
      <c r="C197" s="11">
        <v>4140.5263207222915</v>
      </c>
      <c r="D197" s="50">
        <v>7024.3593325409493</v>
      </c>
      <c r="E197" s="50">
        <v>4901.543710296105</v>
      </c>
      <c r="F197" s="50">
        <v>1674.4111288380695</v>
      </c>
      <c r="G197" s="50">
        <v>4179.6276563837364</v>
      </c>
      <c r="H197" s="50">
        <v>3681.0602342753191</v>
      </c>
    </row>
    <row r="198" spans="1:8">
      <c r="A198" s="39" t="s">
        <v>306</v>
      </c>
      <c r="B198" s="50">
        <v>7037.9975088059737</v>
      </c>
      <c r="C198" s="11">
        <v>4517.3202125992248</v>
      </c>
      <c r="D198" s="50">
        <v>294.1923072167811</v>
      </c>
      <c r="E198" s="50">
        <v>2123.5294538975259</v>
      </c>
      <c r="F198" s="50">
        <v>1099.0476881605796</v>
      </c>
      <c r="G198" s="50">
        <v>2522.1571938307297</v>
      </c>
      <c r="H198" s="50">
        <v>0</v>
      </c>
    </row>
    <row r="199" spans="1:8">
      <c r="A199" s="39" t="s">
        <v>307</v>
      </c>
      <c r="B199" s="50">
        <v>24611.738656314021</v>
      </c>
      <c r="C199" s="11">
        <v>4883.9965553413367</v>
      </c>
      <c r="D199" s="50">
        <v>5431.4527350534263</v>
      </c>
      <c r="E199" s="50">
        <v>2069.697592876546</v>
      </c>
      <c r="F199" s="50">
        <v>3811.5792476536267</v>
      </c>
      <c r="G199" s="50">
        <v>1004.5043310481047</v>
      </c>
      <c r="H199" s="50">
        <v>657.55481994071044</v>
      </c>
    </row>
    <row r="200" spans="1:8">
      <c r="A200" s="39" t="s">
        <v>308</v>
      </c>
      <c r="B200" s="50">
        <v>2602791.9239975186</v>
      </c>
      <c r="C200" s="11">
        <v>176067.74854522743</v>
      </c>
      <c r="D200" s="50">
        <v>123324.16809574276</v>
      </c>
      <c r="E200" s="50">
        <v>1244314.0024517372</v>
      </c>
      <c r="F200" s="50">
        <v>566780.93314759224</v>
      </c>
      <c r="G200" s="50">
        <v>608738.52466264751</v>
      </c>
      <c r="H200" s="50">
        <v>98464.565821768439</v>
      </c>
    </row>
    <row r="201" spans="1:8">
      <c r="A201" s="39" t="s">
        <v>309</v>
      </c>
      <c r="B201" s="50">
        <v>1068.3689818130283</v>
      </c>
      <c r="C201" s="11">
        <v>521.07255447346631</v>
      </c>
      <c r="D201" s="50">
        <v>0</v>
      </c>
      <c r="E201" s="50">
        <v>0</v>
      </c>
      <c r="F201" s="50">
        <v>0</v>
      </c>
      <c r="G201" s="50">
        <v>0</v>
      </c>
      <c r="H201" s="50">
        <v>547.29642733956211</v>
      </c>
    </row>
    <row r="202" spans="1:8">
      <c r="A202" s="39" t="s">
        <v>310</v>
      </c>
      <c r="B202" s="50">
        <v>26588.579537912992</v>
      </c>
      <c r="C202" s="11">
        <v>6195.6469635471185</v>
      </c>
      <c r="D202" s="50">
        <v>4271.0413217739915</v>
      </c>
      <c r="E202" s="50">
        <v>985.93483766051622</v>
      </c>
      <c r="F202" s="50">
        <v>998.44517112703602</v>
      </c>
      <c r="G202" s="50">
        <v>1082.5489398673772</v>
      </c>
      <c r="H202" s="50">
        <v>9944.6183063322569</v>
      </c>
    </row>
    <row r="203" spans="1:8">
      <c r="A203" s="39" t="s">
        <v>311</v>
      </c>
      <c r="B203" s="50">
        <v>772483.5461432545</v>
      </c>
      <c r="C203" s="11">
        <v>385344.74162337248</v>
      </c>
      <c r="D203" s="50">
        <v>142976.29346501568</v>
      </c>
      <c r="E203" s="50">
        <v>88451.072694637347</v>
      </c>
      <c r="F203" s="50">
        <v>54671.537707990901</v>
      </c>
      <c r="G203" s="50">
        <v>59557.925342014307</v>
      </c>
      <c r="H203" s="50">
        <v>149303.1888311026</v>
      </c>
    </row>
    <row r="204" spans="1:8">
      <c r="A204" s="39" t="s">
        <v>312</v>
      </c>
      <c r="B204" s="50">
        <v>8592.3227348256132</v>
      </c>
      <c r="C204" s="11">
        <v>2829.6208583176553</v>
      </c>
      <c r="D204" s="50">
        <v>1106.6111923190942</v>
      </c>
      <c r="E204" s="50">
        <v>3087.2050023577708</v>
      </c>
      <c r="F204" s="50">
        <v>969.67320184126038</v>
      </c>
      <c r="G204" s="50">
        <v>1005.3178113921502</v>
      </c>
      <c r="H204" s="50">
        <v>3304.1689844648527</v>
      </c>
    </row>
    <row r="205" spans="1:8">
      <c r="A205" s="39" t="s">
        <v>313</v>
      </c>
      <c r="B205" s="50">
        <v>1438.8310816919457</v>
      </c>
      <c r="C205" s="11">
        <v>0</v>
      </c>
      <c r="D205" s="50">
        <v>549.5531507742644</v>
      </c>
      <c r="E205" s="50">
        <v>0</v>
      </c>
      <c r="F205" s="50">
        <v>0</v>
      </c>
      <c r="G205" s="50">
        <v>602.99183076650286</v>
      </c>
      <c r="H205" s="50">
        <v>0</v>
      </c>
    </row>
    <row r="206" spans="1:8">
      <c r="A206" s="39" t="s">
        <v>314</v>
      </c>
      <c r="B206" s="50">
        <v>544.92909794766626</v>
      </c>
      <c r="C206" s="11">
        <v>0</v>
      </c>
      <c r="D206" s="50">
        <v>544.92909794766626</v>
      </c>
      <c r="E206" s="50">
        <v>544.92909794766626</v>
      </c>
      <c r="F206" s="50">
        <v>0</v>
      </c>
      <c r="G206" s="50">
        <v>0</v>
      </c>
      <c r="H206" s="50">
        <v>0</v>
      </c>
    </row>
    <row r="207" spans="1:8">
      <c r="A207" s="39" t="s">
        <v>315</v>
      </c>
      <c r="B207" s="50">
        <v>496587.35108261363</v>
      </c>
      <c r="C207" s="11">
        <v>312481.61467259336</v>
      </c>
      <c r="D207" s="50">
        <v>82036.904855270055</v>
      </c>
      <c r="E207" s="50">
        <v>27443.803344408596</v>
      </c>
      <c r="F207" s="50">
        <v>34793.607477021433</v>
      </c>
      <c r="G207" s="50">
        <v>41284.493597133078</v>
      </c>
      <c r="H207" s="50">
        <v>8331.2829232326276</v>
      </c>
    </row>
    <row r="208" spans="1:8">
      <c r="A208" s="39" t="s">
        <v>316</v>
      </c>
      <c r="B208" s="50">
        <v>5727.7749226766527</v>
      </c>
      <c r="C208" s="11">
        <v>1754.1681903563995</v>
      </c>
      <c r="D208" s="50">
        <v>1091.5769423698137</v>
      </c>
      <c r="E208" s="50">
        <v>900.05292669153687</v>
      </c>
      <c r="F208" s="50">
        <v>954.9924211271383</v>
      </c>
      <c r="G208" s="50">
        <v>544.92909794766626</v>
      </c>
      <c r="H208" s="50">
        <v>544.92909794766626</v>
      </c>
    </row>
    <row r="209" spans="1:8">
      <c r="A209" s="39" t="s">
        <v>317</v>
      </c>
      <c r="B209" s="50">
        <v>1661.3126115944931</v>
      </c>
      <c r="C209" s="11">
        <v>1095.8749540257113</v>
      </c>
      <c r="D209" s="50">
        <v>0</v>
      </c>
      <c r="E209" s="50">
        <v>0</v>
      </c>
      <c r="F209" s="50">
        <v>0</v>
      </c>
      <c r="G209" s="50">
        <v>0</v>
      </c>
      <c r="H209" s="50">
        <v>565.4376575687819</v>
      </c>
    </row>
    <row r="210" spans="1:8">
      <c r="A210" s="39" t="s">
        <v>318</v>
      </c>
      <c r="B210" s="50">
        <v>69237.993595877866</v>
      </c>
      <c r="C210" s="11">
        <v>16346.586127995684</v>
      </c>
      <c r="D210" s="50">
        <v>5859.623515315614</v>
      </c>
      <c r="E210" s="50">
        <v>14968.97966571645</v>
      </c>
      <c r="F210" s="50">
        <v>16193.386312830771</v>
      </c>
      <c r="G210" s="50">
        <v>7426.4714734436675</v>
      </c>
      <c r="H210" s="50">
        <v>8175.7263529805205</v>
      </c>
    </row>
    <row r="211" spans="1:8">
      <c r="A211" s="39" t="s">
        <v>319</v>
      </c>
      <c r="B211" s="50">
        <v>15938.030962546432</v>
      </c>
      <c r="C211" s="11">
        <v>2892.5147905816375</v>
      </c>
      <c r="D211" s="50">
        <v>979.93598326120855</v>
      </c>
      <c r="E211" s="50">
        <v>1040.4709238583057</v>
      </c>
      <c r="F211" s="50">
        <v>1616.4725225994841</v>
      </c>
      <c r="G211" s="50">
        <v>1446.0201525363195</v>
      </c>
      <c r="H211" s="50">
        <v>10383.827248302818</v>
      </c>
    </row>
    <row r="212" spans="1:8">
      <c r="A212" s="39" t="s">
        <v>320</v>
      </c>
      <c r="B212" s="50">
        <v>2961.1110344765088</v>
      </c>
      <c r="C212" s="11">
        <v>536.14364410535597</v>
      </c>
      <c r="D212" s="50">
        <v>0</v>
      </c>
      <c r="E212" s="50">
        <v>933.42434477766142</v>
      </c>
      <c r="F212" s="50">
        <v>415.90468763376492</v>
      </c>
      <c r="G212" s="50">
        <v>457.29361294211486</v>
      </c>
      <c r="H212" s="50">
        <v>517.51965714389655</v>
      </c>
    </row>
    <row r="213" spans="1:8">
      <c r="A213" s="39" t="s">
        <v>321</v>
      </c>
      <c r="B213" s="50">
        <v>107244.77077847024</v>
      </c>
      <c r="C213" s="11">
        <v>68555.724043547787</v>
      </c>
      <c r="D213" s="50">
        <v>12711.968249295505</v>
      </c>
      <c r="E213" s="50">
        <v>3721.3817673982849</v>
      </c>
      <c r="F213" s="50">
        <v>2496.9295513003249</v>
      </c>
      <c r="G213" s="50">
        <v>5920.3279793858092</v>
      </c>
      <c r="H213" s="50">
        <v>24417.562463757946</v>
      </c>
    </row>
    <row r="214" spans="1:8">
      <c r="A214" s="39" t="s">
        <v>322</v>
      </c>
      <c r="B214" s="50">
        <v>8826.4813516017894</v>
      </c>
      <c r="C214" s="11">
        <v>1544.0987541530558</v>
      </c>
      <c r="D214" s="50">
        <v>3297.5555912718087</v>
      </c>
      <c r="E214" s="50">
        <v>1621.5463330994448</v>
      </c>
      <c r="F214" s="50">
        <v>894.9256535504386</v>
      </c>
      <c r="G214" s="50">
        <v>1082.0160772644228</v>
      </c>
      <c r="H214" s="50">
        <v>1932.8241184011226</v>
      </c>
    </row>
    <row r="215" spans="1:8">
      <c r="A215" s="39" t="s">
        <v>323</v>
      </c>
      <c r="B215" s="50">
        <v>9810.9460588617803</v>
      </c>
      <c r="C215" s="11">
        <v>6482.5354090822429</v>
      </c>
      <c r="D215" s="50">
        <v>2496.8595084161298</v>
      </c>
      <c r="E215" s="50">
        <v>2275.2080231170671</v>
      </c>
      <c r="F215" s="50">
        <v>844.1028889686728</v>
      </c>
      <c r="G215" s="50">
        <v>1455.8764192110748</v>
      </c>
      <c r="H215" s="50">
        <v>532.317069494262</v>
      </c>
    </row>
    <row r="216" spans="1:8">
      <c r="A216" s="39" t="s">
        <v>324</v>
      </c>
      <c r="B216" s="50">
        <v>1494.8234819827896</v>
      </c>
      <c r="C216" s="11">
        <v>509.43333589891927</v>
      </c>
      <c r="D216" s="50">
        <v>440.46104813620406</v>
      </c>
      <c r="E216" s="50">
        <v>544.92909794766626</v>
      </c>
      <c r="F216" s="50">
        <v>0</v>
      </c>
      <c r="G216" s="50">
        <v>0</v>
      </c>
      <c r="H216" s="50">
        <v>0</v>
      </c>
    </row>
    <row r="217" spans="1:8">
      <c r="A217" s="39" t="s">
        <v>325</v>
      </c>
      <c r="B217" s="50">
        <v>15114.669661279122</v>
      </c>
      <c r="C217" s="11">
        <v>3007.6634779445067</v>
      </c>
      <c r="D217" s="50">
        <v>929.58374906772406</v>
      </c>
      <c r="E217" s="50">
        <v>3363.593264265347</v>
      </c>
      <c r="F217" s="50">
        <v>2885.0367491458401</v>
      </c>
      <c r="G217" s="50">
        <v>5507.1266706594442</v>
      </c>
      <c r="H217" s="50">
        <v>3855.5028240493471</v>
      </c>
    </row>
    <row r="218" spans="1:8">
      <c r="A218" s="39" t="s">
        <v>326</v>
      </c>
      <c r="B218" s="50">
        <v>7443.5639091698904</v>
      </c>
      <c r="C218" s="11">
        <v>0</v>
      </c>
      <c r="D218" s="50">
        <v>1007.1465074821274</v>
      </c>
      <c r="E218" s="50">
        <v>526.13799296065713</v>
      </c>
      <c r="F218" s="50">
        <v>2456.6329282351303</v>
      </c>
      <c r="G218" s="50">
        <v>460.68580417843526</v>
      </c>
      <c r="H218" s="50">
        <v>531.20192735640205</v>
      </c>
    </row>
    <row r="219" spans="1:8">
      <c r="A219" s="39" t="s">
        <v>327</v>
      </c>
      <c r="B219" s="50">
        <v>5848.462858231851</v>
      </c>
      <c r="C219" s="11">
        <v>3236.2445943141138</v>
      </c>
      <c r="D219" s="50">
        <v>1407.6928563901388</v>
      </c>
      <c r="E219" s="50">
        <v>589.15888664685724</v>
      </c>
      <c r="F219" s="50">
        <v>1211.3464353928207</v>
      </c>
      <c r="G219" s="50">
        <v>0</v>
      </c>
      <c r="H219" s="50">
        <v>415.90468763376492</v>
      </c>
    </row>
    <row r="220" spans="1:8">
      <c r="A220" s="39" t="s">
        <v>328</v>
      </c>
      <c r="B220" s="50">
        <v>36447.074863186615</v>
      </c>
      <c r="C220" s="11">
        <v>13113.166673680082</v>
      </c>
      <c r="D220" s="50">
        <v>5184.3354957860574</v>
      </c>
      <c r="E220" s="50">
        <v>4166.8240495464752</v>
      </c>
      <c r="F220" s="50">
        <v>15134.902224825273</v>
      </c>
      <c r="G220" s="50">
        <v>3323.2400802079292</v>
      </c>
      <c r="H220" s="50">
        <v>341.82083189258316</v>
      </c>
    </row>
    <row r="221" spans="1:8">
      <c r="A221" s="39" t="s">
        <v>329</v>
      </c>
      <c r="B221" s="50">
        <v>47788.964940430218</v>
      </c>
      <c r="C221" s="11">
        <v>20008.549247622908</v>
      </c>
      <c r="D221" s="50">
        <v>3176.5106113470897</v>
      </c>
      <c r="E221" s="50">
        <v>4914.4137336720032</v>
      </c>
      <c r="F221" s="50">
        <v>14073.375894005945</v>
      </c>
      <c r="G221" s="50">
        <v>3268.7057315732113</v>
      </c>
      <c r="H221" s="50">
        <v>2639.6460337783919</v>
      </c>
    </row>
    <row r="222" spans="1:8">
      <c r="A222" s="39" t="s">
        <v>330</v>
      </c>
      <c r="B222" s="50">
        <v>3878.4414120221186</v>
      </c>
      <c r="C222" s="11">
        <v>506.20422209071717</v>
      </c>
      <c r="D222" s="50">
        <v>3345.9575734346963</v>
      </c>
      <c r="E222" s="50">
        <v>506.20422209071717</v>
      </c>
      <c r="F222" s="50">
        <v>506.20422209071717</v>
      </c>
      <c r="G222" s="50">
        <v>0</v>
      </c>
      <c r="H222" s="50">
        <v>532.48383858742216</v>
      </c>
    </row>
    <row r="223" spans="1:8">
      <c r="A223" s="39" t="s">
        <v>331</v>
      </c>
      <c r="B223" s="50">
        <v>1538.8057953666473</v>
      </c>
      <c r="C223" s="11">
        <v>563.55051974678145</v>
      </c>
      <c r="D223" s="50">
        <v>1007.9567283122313</v>
      </c>
      <c r="E223" s="50">
        <v>0</v>
      </c>
      <c r="F223" s="50">
        <v>0</v>
      </c>
      <c r="G223" s="50">
        <v>530.84906705441597</v>
      </c>
      <c r="H223" s="50">
        <v>0</v>
      </c>
    </row>
    <row r="224" spans="1:8">
      <c r="A224" s="39" t="s">
        <v>332</v>
      </c>
      <c r="B224" s="50">
        <v>0</v>
      </c>
      <c r="C224" s="11">
        <v>0</v>
      </c>
      <c r="D224" s="50">
        <v>0</v>
      </c>
      <c r="E224" s="50">
        <v>0</v>
      </c>
      <c r="F224" s="50">
        <v>0</v>
      </c>
      <c r="G224" s="50">
        <v>0</v>
      </c>
      <c r="H224" s="50">
        <v>0</v>
      </c>
    </row>
    <row r="225" spans="1:8">
      <c r="A225" s="39" t="s">
        <v>333</v>
      </c>
      <c r="B225" s="50">
        <v>2441.4501758751089</v>
      </c>
      <c r="C225" s="11">
        <v>511.64276322155479</v>
      </c>
      <c r="D225" s="50">
        <v>998.46270579143288</v>
      </c>
      <c r="E225" s="50">
        <v>947.68416365496046</v>
      </c>
      <c r="F225" s="50">
        <v>495.30330642871536</v>
      </c>
      <c r="G225" s="50">
        <v>495.30330642871536</v>
      </c>
      <c r="H225" s="50">
        <v>511.64276322155479</v>
      </c>
    </row>
    <row r="226" spans="1:8">
      <c r="A226" s="39" t="s">
        <v>334</v>
      </c>
      <c r="B226" s="50">
        <v>7252.1709092765959</v>
      </c>
      <c r="C226" s="11">
        <v>3055.0574914917574</v>
      </c>
      <c r="D226" s="50">
        <v>526.27202954935524</v>
      </c>
      <c r="E226" s="50">
        <v>573.35175010910791</v>
      </c>
      <c r="F226" s="50">
        <v>595.83096829774365</v>
      </c>
      <c r="G226" s="50">
        <v>595.83096829774365</v>
      </c>
      <c r="H226" s="50">
        <v>1604.0369268316131</v>
      </c>
    </row>
    <row r="227" spans="1:8">
      <c r="A227" s="39" t="s">
        <v>335</v>
      </c>
      <c r="B227" s="50">
        <v>1042.9792853428203</v>
      </c>
      <c r="C227" s="11">
        <v>0</v>
      </c>
      <c r="D227" s="50">
        <v>0</v>
      </c>
      <c r="E227" s="50">
        <v>506.20422209071717</v>
      </c>
      <c r="F227" s="50">
        <v>0</v>
      </c>
      <c r="G227" s="50">
        <v>0</v>
      </c>
      <c r="H227" s="50">
        <v>536.77506325210322</v>
      </c>
    </row>
    <row r="228" spans="1:8">
      <c r="A228" s="39" t="s">
        <v>336</v>
      </c>
      <c r="B228" s="50">
        <v>21456.715052566793</v>
      </c>
      <c r="C228" s="11">
        <v>14294.600550461764</v>
      </c>
      <c r="D228" s="50">
        <v>3504.6690808238382</v>
      </c>
      <c r="E228" s="50">
        <v>1558.8458307782514</v>
      </c>
      <c r="F228" s="50">
        <v>1155.6908542919061</v>
      </c>
      <c r="G228" s="50">
        <v>1558.8458307782514</v>
      </c>
      <c r="H228" s="50">
        <v>1558.8458307782514</v>
      </c>
    </row>
    <row r="229" spans="1:8">
      <c r="A229" s="39" t="s">
        <v>337</v>
      </c>
      <c r="B229" s="50">
        <v>1636.8829459762032</v>
      </c>
      <c r="C229" s="11">
        <v>0</v>
      </c>
      <c r="D229" s="50">
        <v>506.20422209071717</v>
      </c>
      <c r="E229" s="50">
        <v>0</v>
      </c>
      <c r="F229" s="50">
        <v>1130.6787238854863</v>
      </c>
      <c r="G229" s="50">
        <v>536.77506325210322</v>
      </c>
      <c r="H229" s="50">
        <v>0</v>
      </c>
    </row>
    <row r="230" spans="1:8">
      <c r="A230" s="39" t="s">
        <v>338</v>
      </c>
      <c r="B230" s="50">
        <v>0</v>
      </c>
      <c r="C230" s="11">
        <v>0</v>
      </c>
      <c r="D230" s="50">
        <v>0</v>
      </c>
      <c r="E230" s="50">
        <v>0</v>
      </c>
      <c r="F230" s="50">
        <v>0</v>
      </c>
      <c r="G230" s="50">
        <v>0</v>
      </c>
      <c r="H230" s="50">
        <v>0</v>
      </c>
    </row>
    <row r="231" spans="1:8">
      <c r="A231" s="39" t="s">
        <v>339</v>
      </c>
      <c r="B231" s="50">
        <v>98635.206135311688</v>
      </c>
      <c r="C231" s="11">
        <v>9503.2058245013686</v>
      </c>
      <c r="D231" s="50">
        <v>23554.13673122691</v>
      </c>
      <c r="E231" s="50">
        <v>9923.9128163632868</v>
      </c>
      <c r="F231" s="50">
        <v>30677.998529971082</v>
      </c>
      <c r="G231" s="50">
        <v>13030.974764027123</v>
      </c>
      <c r="H231" s="50">
        <v>4639.4314591713119</v>
      </c>
    </row>
    <row r="232" spans="1:8">
      <c r="A232" s="39" t="s">
        <v>340</v>
      </c>
      <c r="B232" s="50">
        <v>17021.870597689071</v>
      </c>
      <c r="C232" s="11">
        <v>4281.762662019577</v>
      </c>
      <c r="D232" s="50">
        <v>3206.6934729254226</v>
      </c>
      <c r="E232" s="50">
        <v>3108.2966333271333</v>
      </c>
      <c r="F232" s="50">
        <v>5779.0199478663344</v>
      </c>
      <c r="G232" s="50">
        <v>5582.5333169898922</v>
      </c>
      <c r="H232" s="50">
        <v>622.18742237532695</v>
      </c>
    </row>
    <row r="233" spans="1:8">
      <c r="A233" s="39" t="s">
        <v>341</v>
      </c>
      <c r="B233" s="50">
        <v>1111.0331367058191</v>
      </c>
      <c r="C233" s="11">
        <v>0</v>
      </c>
      <c r="D233" s="50">
        <v>612.39290407909402</v>
      </c>
      <c r="E233" s="50">
        <v>0</v>
      </c>
      <c r="F233" s="50">
        <v>612.39290407909402</v>
      </c>
      <c r="G233" s="50">
        <v>498.64023262672509</v>
      </c>
      <c r="H233" s="50">
        <v>498.64023262672509</v>
      </c>
    </row>
    <row r="234" spans="1:8">
      <c r="A234" s="39" t="s">
        <v>342</v>
      </c>
      <c r="B234" s="50">
        <v>71970.048397863968</v>
      </c>
      <c r="C234" s="11">
        <v>21003.374956902044</v>
      </c>
      <c r="D234" s="50">
        <v>14954.756988907455</v>
      </c>
      <c r="E234" s="50">
        <v>11552.941418391189</v>
      </c>
      <c r="F234" s="50">
        <v>11398.187799171672</v>
      </c>
      <c r="G234" s="50">
        <v>8623.4710458117479</v>
      </c>
      <c r="H234" s="50">
        <v>7345.3972345531847</v>
      </c>
    </row>
    <row r="235" spans="1:8">
      <c r="A235" s="39" t="s">
        <v>343</v>
      </c>
      <c r="B235" s="50">
        <v>34957.38966269471</v>
      </c>
      <c r="C235" s="11">
        <v>14158.376208246482</v>
      </c>
      <c r="D235" s="50">
        <v>7913.698947269535</v>
      </c>
      <c r="E235" s="50">
        <v>8674.6782736642654</v>
      </c>
      <c r="F235" s="50">
        <v>6194.3528356041006</v>
      </c>
      <c r="G235" s="50">
        <v>3411.6160985326319</v>
      </c>
      <c r="H235" s="50">
        <v>2858.0392296717032</v>
      </c>
    </row>
    <row r="236" spans="1:8">
      <c r="A236" s="39" t="s">
        <v>344</v>
      </c>
      <c r="B236" s="50">
        <v>25451.175085614232</v>
      </c>
      <c r="C236" s="11">
        <v>3694.9818066268208</v>
      </c>
      <c r="D236" s="50">
        <v>2363.1648758042293</v>
      </c>
      <c r="E236" s="50">
        <v>1068.3011848627134</v>
      </c>
      <c r="F236" s="50">
        <v>2072.3421361250184</v>
      </c>
      <c r="G236" s="50">
        <v>3494.7161204385288</v>
      </c>
      <c r="H236" s="50">
        <v>7780.3036979414255</v>
      </c>
    </row>
    <row r="237" spans="1:8">
      <c r="A237" s="39" t="s">
        <v>345</v>
      </c>
      <c r="B237" s="50">
        <v>4298.2083798346703</v>
      </c>
      <c r="C237" s="11">
        <v>1368.3340047653351</v>
      </c>
      <c r="D237" s="50">
        <v>1491.6519427623311</v>
      </c>
      <c r="E237" s="50">
        <v>1433.0549902226435</v>
      </c>
      <c r="F237" s="50">
        <v>1912.3011616078807</v>
      </c>
      <c r="G237" s="50">
        <v>1491.6519427623311</v>
      </c>
      <c r="H237" s="50">
        <v>1467.5737363416315</v>
      </c>
    </row>
    <row r="238" spans="1:8">
      <c r="A238" s="39" t="s">
        <v>346</v>
      </c>
      <c r="B238" s="50">
        <v>19160.290475356451</v>
      </c>
      <c r="C238" s="11">
        <v>5511.1697997763476</v>
      </c>
      <c r="D238" s="50">
        <v>750.12924800538451</v>
      </c>
      <c r="E238" s="50">
        <v>3755.6164572635575</v>
      </c>
      <c r="F238" s="50">
        <v>6913.8677005304617</v>
      </c>
      <c r="G238" s="50">
        <v>5897.6354086425345</v>
      </c>
      <c r="H238" s="50">
        <v>498.64023262672509</v>
      </c>
    </row>
    <row r="239" spans="1:8">
      <c r="A239" s="39" t="s">
        <v>347</v>
      </c>
      <c r="B239" s="50">
        <v>381923.41691490228</v>
      </c>
      <c r="C239" s="11">
        <v>202475.97608575545</v>
      </c>
      <c r="D239" s="50">
        <v>78542.890766070632</v>
      </c>
      <c r="E239" s="50">
        <v>36932.897071262996</v>
      </c>
      <c r="F239" s="50">
        <v>14220.521660806913</v>
      </c>
      <c r="G239" s="50">
        <v>11768.587873492314</v>
      </c>
      <c r="H239" s="50">
        <v>56418.832628366748</v>
      </c>
    </row>
    <row r="240" spans="1:8">
      <c r="A240" s="39" t="s">
        <v>348</v>
      </c>
      <c r="B240" s="50">
        <v>6711.9928106623584</v>
      </c>
      <c r="C240" s="11">
        <v>0</v>
      </c>
      <c r="D240" s="50">
        <v>0</v>
      </c>
      <c r="E240" s="50">
        <v>852.94242975604504</v>
      </c>
      <c r="F240" s="50">
        <v>2439.8077601252121</v>
      </c>
      <c r="G240" s="50">
        <v>0</v>
      </c>
      <c r="H240" s="50">
        <v>914.47968348674988</v>
      </c>
    </row>
    <row r="241" spans="1:8">
      <c r="A241" s="39" t="s">
        <v>349</v>
      </c>
      <c r="B241" s="50">
        <v>5786.1432581934851</v>
      </c>
      <c r="C241" s="11">
        <v>3509.7255334843912</v>
      </c>
      <c r="D241" s="50">
        <v>1404.2833717914425</v>
      </c>
      <c r="E241" s="50">
        <v>0</v>
      </c>
      <c r="F241" s="50">
        <v>966.61868197117326</v>
      </c>
      <c r="G241" s="50">
        <v>464.26500362986224</v>
      </c>
      <c r="H241" s="50">
        <v>0</v>
      </c>
    </row>
    <row r="242" spans="1:8">
      <c r="A242" s="39" t="s">
        <v>350</v>
      </c>
      <c r="B242" s="50">
        <v>4339.5978685728132</v>
      </c>
      <c r="C242" s="11">
        <v>3366.0183705886088</v>
      </c>
      <c r="D242" s="50">
        <v>1978.4114981766581</v>
      </c>
      <c r="E242" s="50">
        <v>502.41600009622658</v>
      </c>
      <c r="F242" s="50">
        <v>1004.8320001924532</v>
      </c>
      <c r="G242" s="50">
        <v>1491.6519427623311</v>
      </c>
      <c r="H242" s="50">
        <v>1475.9954980804316</v>
      </c>
    </row>
    <row r="243" spans="1:8">
      <c r="A243" s="39" t="s">
        <v>351</v>
      </c>
      <c r="B243" s="50">
        <v>47747.086287188547</v>
      </c>
      <c r="C243" s="11">
        <v>21174.761224405396</v>
      </c>
      <c r="D243" s="50">
        <v>5129.3228578138551</v>
      </c>
      <c r="E243" s="50">
        <v>2517.3175815904297</v>
      </c>
      <c r="F243" s="50">
        <v>2267.8878074138261</v>
      </c>
      <c r="G243" s="50">
        <v>1503.2100572304767</v>
      </c>
      <c r="H243" s="50">
        <v>6474.7184072192294</v>
      </c>
    </row>
    <row r="244" spans="1:8">
      <c r="A244" s="39" t="s">
        <v>352</v>
      </c>
      <c r="B244" s="50">
        <v>16338.528520157814</v>
      </c>
      <c r="C244" s="11">
        <v>3108.903281142535</v>
      </c>
      <c r="D244" s="50">
        <v>1073.0871716666875</v>
      </c>
      <c r="E244" s="50">
        <v>1450.5689150581727</v>
      </c>
      <c r="F244" s="50">
        <v>7923.5493917014983</v>
      </c>
      <c r="G244" s="50">
        <v>343.42852316271302</v>
      </c>
      <c r="H244" s="50">
        <v>332.17769975691624</v>
      </c>
    </row>
    <row r="245" spans="1:8">
      <c r="A245" s="39" t="s">
        <v>353</v>
      </c>
      <c r="B245" s="50">
        <v>6001.3716546948472</v>
      </c>
      <c r="C245" s="11">
        <v>1586.6667472529002</v>
      </c>
      <c r="D245" s="50">
        <v>1413.7646054824418</v>
      </c>
      <c r="E245" s="50">
        <v>1090.637576222091</v>
      </c>
      <c r="F245" s="50">
        <v>1584.5207506642366</v>
      </c>
      <c r="G245" s="50">
        <v>1090.637576222091</v>
      </c>
      <c r="H245" s="50">
        <v>1004.707356682622</v>
      </c>
    </row>
    <row r="246" spans="1:8">
      <c r="A246" s="39" t="s">
        <v>354</v>
      </c>
      <c r="B246" s="50">
        <v>3452.5798001103049</v>
      </c>
      <c r="C246" s="11">
        <v>2879.2280500011971</v>
      </c>
      <c r="D246" s="50">
        <v>512.40665396775137</v>
      </c>
      <c r="E246" s="50">
        <v>1830.0463327813425</v>
      </c>
      <c r="F246" s="50">
        <v>1830.0463327813425</v>
      </c>
      <c r="G246" s="50">
        <v>1830.0463327813425</v>
      </c>
      <c r="H246" s="50">
        <v>1830.0463327813425</v>
      </c>
    </row>
    <row r="247" spans="1:8">
      <c r="A247" s="39" t="s">
        <v>355</v>
      </c>
      <c r="B247" s="50">
        <v>1742.9449984829973</v>
      </c>
      <c r="C247" s="11">
        <v>643.92619857386421</v>
      </c>
      <c r="D247" s="50">
        <v>392.76614203452044</v>
      </c>
      <c r="E247" s="50">
        <v>0</v>
      </c>
      <c r="F247" s="50">
        <v>0</v>
      </c>
      <c r="G247" s="50">
        <v>0</v>
      </c>
      <c r="H247" s="50">
        <v>0</v>
      </c>
    </row>
    <row r="248" spans="1:8">
      <c r="A248" s="39" t="s">
        <v>356</v>
      </c>
      <c r="B248" s="50">
        <v>6922.9225238700765</v>
      </c>
      <c r="C248" s="11">
        <v>3321.0984285920395</v>
      </c>
      <c r="D248" s="50">
        <v>1491.6519427623311</v>
      </c>
      <c r="E248" s="50">
        <v>2083.8100922005315</v>
      </c>
      <c r="F248" s="50">
        <v>2023.1487872690975</v>
      </c>
      <c r="G248" s="50">
        <v>1004.8320001924532</v>
      </c>
      <c r="H248" s="50">
        <v>486.81994256987809</v>
      </c>
    </row>
    <row r="249" spans="1:8">
      <c r="A249" s="39" t="s">
        <v>357</v>
      </c>
      <c r="B249" s="50">
        <v>57326.953707714703</v>
      </c>
      <c r="C249" s="11">
        <v>18347.626728903244</v>
      </c>
      <c r="D249" s="50">
        <v>8324.8333818054252</v>
      </c>
      <c r="E249" s="50">
        <v>9886.1174537263068</v>
      </c>
      <c r="F249" s="50">
        <v>546.2007396033955</v>
      </c>
      <c r="G249" s="50">
        <v>1751.3486047041126</v>
      </c>
      <c r="H249" s="50">
        <v>7292.792900860617</v>
      </c>
    </row>
    <row r="250" spans="1:8">
      <c r="A250" s="39" t="s">
        <v>358</v>
      </c>
      <c r="B250" s="50">
        <v>835745.18255649472</v>
      </c>
      <c r="C250" s="11">
        <v>7125.9329922675815</v>
      </c>
      <c r="D250" s="50">
        <v>9490.0761542012697</v>
      </c>
      <c r="E250" s="50">
        <v>272470.59975699038</v>
      </c>
      <c r="F250" s="50">
        <v>518270.89612394921</v>
      </c>
      <c r="G250" s="50">
        <v>73342.182592302866</v>
      </c>
      <c r="H250" s="50">
        <v>8454.4971761264751</v>
      </c>
    </row>
    <row r="251" spans="1:8">
      <c r="A251" s="39" t="s">
        <v>359</v>
      </c>
      <c r="B251" s="50">
        <v>563.36033191822025</v>
      </c>
      <c r="C251" s="11">
        <v>0</v>
      </c>
      <c r="D251" s="50">
        <v>0</v>
      </c>
      <c r="E251" s="50">
        <v>563.36033191822025</v>
      </c>
      <c r="F251" s="50">
        <v>0</v>
      </c>
      <c r="G251" s="50">
        <v>0</v>
      </c>
      <c r="H251" s="50">
        <v>563.36033191822025</v>
      </c>
    </row>
    <row r="252" spans="1:8">
      <c r="A252" s="39" t="s">
        <v>360</v>
      </c>
      <c r="B252" s="50">
        <v>1586.3435071091253</v>
      </c>
      <c r="C252" s="11">
        <v>1022.9831751909051</v>
      </c>
      <c r="D252" s="50">
        <v>0</v>
      </c>
      <c r="E252" s="50">
        <v>563.36033191822025</v>
      </c>
      <c r="F252" s="50">
        <v>0</v>
      </c>
      <c r="G252" s="50">
        <v>0</v>
      </c>
      <c r="H252" s="50">
        <v>563.36033191822025</v>
      </c>
    </row>
    <row r="253" spans="1:8">
      <c r="A253" s="39" t="s">
        <v>361</v>
      </c>
      <c r="B253" s="50">
        <v>8020.4957739883148</v>
      </c>
      <c r="C253" s="11">
        <v>2974.5236039036754</v>
      </c>
      <c r="D253" s="50">
        <v>2618.1485476991988</v>
      </c>
      <c r="E253" s="50">
        <v>1113.1819520498027</v>
      </c>
      <c r="F253" s="50">
        <v>2670.1614998893078</v>
      </c>
      <c r="G253" s="50">
        <v>1038.7653714358107</v>
      </c>
      <c r="H253" s="50">
        <v>563.36033191822025</v>
      </c>
    </row>
    <row r="254" spans="1:8">
      <c r="A254" s="39" t="s">
        <v>362</v>
      </c>
      <c r="B254" s="50">
        <v>6966.1668325689789</v>
      </c>
      <c r="C254" s="11">
        <v>1380.5732143677053</v>
      </c>
      <c r="D254" s="50">
        <v>0</v>
      </c>
      <c r="E254" s="50">
        <v>876.61474975908197</v>
      </c>
      <c r="F254" s="50">
        <v>2422.4901580962542</v>
      </c>
      <c r="G254" s="50">
        <v>3918.9146037883802</v>
      </c>
      <c r="H254" s="50">
        <v>0</v>
      </c>
    </row>
    <row r="255" spans="1:8">
      <c r="A255" s="39" t="s">
        <v>363</v>
      </c>
      <c r="B255" s="50">
        <v>357.79322200266131</v>
      </c>
      <c r="C255" s="11">
        <v>0</v>
      </c>
      <c r="D255" s="50">
        <v>0</v>
      </c>
      <c r="E255" s="50">
        <v>0</v>
      </c>
      <c r="F255" s="50">
        <v>0</v>
      </c>
      <c r="G255" s="50">
        <v>0</v>
      </c>
      <c r="H255" s="50">
        <v>357.79322200266131</v>
      </c>
    </row>
    <row r="256" spans="1:8">
      <c r="A256" s="39" t="s">
        <v>364</v>
      </c>
      <c r="B256" s="50">
        <v>42869.145465528905</v>
      </c>
      <c r="C256" s="11">
        <v>4939.5357762424483</v>
      </c>
      <c r="D256" s="50">
        <v>4418.0882468688187</v>
      </c>
      <c r="E256" s="50">
        <v>2035.8570292775557</v>
      </c>
      <c r="F256" s="50">
        <v>20028.402690020033</v>
      </c>
      <c r="G256" s="50">
        <v>1501.802006983705</v>
      </c>
      <c r="H256" s="50">
        <v>5277.6027137636174</v>
      </c>
    </row>
    <row r="257" spans="1:8">
      <c r="A257" s="39" t="s">
        <v>365</v>
      </c>
      <c r="B257" s="50">
        <v>0</v>
      </c>
      <c r="C257" s="11">
        <v>0</v>
      </c>
      <c r="D257" s="50">
        <v>0</v>
      </c>
      <c r="E257" s="50">
        <v>0</v>
      </c>
      <c r="F257" s="50">
        <v>0</v>
      </c>
      <c r="G257" s="50">
        <v>0</v>
      </c>
      <c r="H257" s="50">
        <v>0</v>
      </c>
    </row>
    <row r="258" spans="1:8">
      <c r="A258" s="39" t="s">
        <v>366</v>
      </c>
      <c r="B258" s="50">
        <v>2210.3205208454565</v>
      </c>
      <c r="C258" s="11">
        <v>1155.9516963029919</v>
      </c>
      <c r="D258" s="50">
        <v>568.82519569532678</v>
      </c>
      <c r="E258" s="50">
        <v>0</v>
      </c>
      <c r="F258" s="50">
        <v>0</v>
      </c>
      <c r="G258" s="50">
        <v>0</v>
      </c>
      <c r="H258" s="50">
        <v>0</v>
      </c>
    </row>
    <row r="259" spans="1:8">
      <c r="A259" s="39" t="s">
        <v>367</v>
      </c>
      <c r="B259" s="50">
        <v>6850.2787832623926</v>
      </c>
      <c r="C259" s="11">
        <v>2793.6783513504915</v>
      </c>
      <c r="D259" s="50">
        <v>503.71076526174346</v>
      </c>
      <c r="E259" s="50">
        <v>503.71076526174346</v>
      </c>
      <c r="F259" s="50">
        <v>537.43420735628399</v>
      </c>
      <c r="G259" s="50">
        <v>503.71076526174346</v>
      </c>
      <c r="H259" s="50">
        <v>608.04195777484222</v>
      </c>
    </row>
    <row r="260" spans="1:8">
      <c r="A260" s="39" t="s">
        <v>368</v>
      </c>
      <c r="B260" s="50">
        <v>5923.7091842377786</v>
      </c>
      <c r="C260" s="11">
        <v>1013.5437731943939</v>
      </c>
      <c r="D260" s="50">
        <v>0</v>
      </c>
      <c r="E260" s="50">
        <v>2026.5514905910936</v>
      </c>
      <c r="F260" s="50">
        <v>491.50582287453426</v>
      </c>
      <c r="G260" s="50">
        <v>1265.2520554795833</v>
      </c>
      <c r="H260" s="50">
        <v>375.05135591600055</v>
      </c>
    </row>
    <row r="261" spans="1:8">
      <c r="A261" s="39" t="s">
        <v>369</v>
      </c>
      <c r="B261" s="50">
        <v>38410.545884935054</v>
      </c>
      <c r="C261" s="11">
        <v>16916.056594230096</v>
      </c>
      <c r="D261" s="50">
        <v>1293.1729415549526</v>
      </c>
      <c r="E261" s="50">
        <v>4046.1470116915089</v>
      </c>
      <c r="F261" s="50">
        <v>4753.7684622316401</v>
      </c>
      <c r="G261" s="50">
        <v>4309.5105676155026</v>
      </c>
      <c r="H261" s="50">
        <v>10189.65829945256</v>
      </c>
    </row>
    <row r="262" spans="1:8">
      <c r="A262" s="39" t="s">
        <v>370</v>
      </c>
      <c r="B262" s="50">
        <v>113188.91201050195</v>
      </c>
      <c r="C262" s="11">
        <v>54658.731165972022</v>
      </c>
      <c r="D262" s="50">
        <v>17159.962548796877</v>
      </c>
      <c r="E262" s="50">
        <v>15777.838947152197</v>
      </c>
      <c r="F262" s="50">
        <v>6207.7119746877033</v>
      </c>
      <c r="G262" s="50">
        <v>8548.7332762776368</v>
      </c>
      <c r="H262" s="50">
        <v>23966.618046513744</v>
      </c>
    </row>
    <row r="263" spans="1:8">
      <c r="A263" s="39" t="s">
        <v>371</v>
      </c>
      <c r="B263" s="50">
        <v>55079.530580643128</v>
      </c>
      <c r="C263" s="11">
        <v>32637.218293685593</v>
      </c>
      <c r="D263" s="50">
        <v>7446.0769292303412</v>
      </c>
      <c r="E263" s="50">
        <v>3729.2009696154664</v>
      </c>
      <c r="F263" s="50">
        <v>3941.1637204661106</v>
      </c>
      <c r="G263" s="50">
        <v>4342.576532925983</v>
      </c>
      <c r="H263" s="50">
        <v>7969.256974656133</v>
      </c>
    </row>
    <row r="264" spans="1:8">
      <c r="A264" s="39" t="s">
        <v>372</v>
      </c>
      <c r="B264" s="50">
        <v>951251.56507641298</v>
      </c>
      <c r="C264" s="11">
        <v>156113.1135840583</v>
      </c>
      <c r="D264" s="50">
        <v>92775.325271613459</v>
      </c>
      <c r="E264" s="50">
        <v>128191.12110581344</v>
      </c>
      <c r="F264" s="50">
        <v>54998.059166374063</v>
      </c>
      <c r="G264" s="50">
        <v>86666.785273815796</v>
      </c>
      <c r="H264" s="50">
        <v>97305.484298628435</v>
      </c>
    </row>
    <row r="265" spans="1:8">
      <c r="A265" s="39" t="s">
        <v>373</v>
      </c>
      <c r="B265" s="50">
        <v>42167.475195607825</v>
      </c>
      <c r="C265" s="11">
        <v>23999.352141965417</v>
      </c>
      <c r="D265" s="50">
        <v>11330.53996652879</v>
      </c>
      <c r="E265" s="50">
        <v>842.27088210022691</v>
      </c>
      <c r="F265" s="50">
        <v>3959.8030709807363</v>
      </c>
      <c r="G265" s="50">
        <v>2613.3002565756215</v>
      </c>
      <c r="H265" s="50">
        <v>1049.3733016254923</v>
      </c>
    </row>
    <row r="266" spans="1:8">
      <c r="A266" s="39" t="s">
        <v>374</v>
      </c>
      <c r="B266" s="50">
        <v>3078.3526867885203</v>
      </c>
      <c r="C266" s="11">
        <v>511.68626289695851</v>
      </c>
      <c r="D266" s="50">
        <v>0</v>
      </c>
      <c r="E266" s="50">
        <v>592.55414712158267</v>
      </c>
      <c r="F266" s="50">
        <v>0</v>
      </c>
      <c r="G266" s="50">
        <v>0</v>
      </c>
      <c r="H266" s="50">
        <v>593.29607564827086</v>
      </c>
    </row>
    <row r="267" spans="1:8">
      <c r="A267" s="39" t="s">
        <v>375</v>
      </c>
      <c r="B267" s="50">
        <v>4044.6203649982731</v>
      </c>
      <c r="C267" s="11">
        <v>958.75060098359654</v>
      </c>
      <c r="D267" s="50">
        <v>1284.6955841828849</v>
      </c>
      <c r="E267" s="50">
        <v>1361.0768121559299</v>
      </c>
      <c r="F267" s="50">
        <v>0</v>
      </c>
      <c r="G267" s="50">
        <v>0</v>
      </c>
      <c r="H267" s="50">
        <v>451.18159054709719</v>
      </c>
    </row>
    <row r="268" spans="1:8">
      <c r="A268" s="39" t="s">
        <v>376</v>
      </c>
      <c r="B268" s="50">
        <v>990.1224519140103</v>
      </c>
      <c r="C268" s="11">
        <v>0</v>
      </c>
      <c r="D268" s="50">
        <v>0</v>
      </c>
      <c r="E268" s="50">
        <v>0</v>
      </c>
      <c r="F268" s="50">
        <v>0</v>
      </c>
      <c r="G268" s="50">
        <v>507.7263335059738</v>
      </c>
      <c r="H268" s="50">
        <v>0</v>
      </c>
    </row>
    <row r="269" spans="1:8">
      <c r="A269" s="39" t="s">
        <v>377</v>
      </c>
      <c r="B269" s="50">
        <v>18663.606690736862</v>
      </c>
      <c r="C269" s="11">
        <v>13318.236720629095</v>
      </c>
      <c r="D269" s="50">
        <v>5472.4645470492333</v>
      </c>
      <c r="E269" s="50">
        <v>1620.2318117159343</v>
      </c>
      <c r="F269" s="50">
        <v>1758.1831772335643</v>
      </c>
      <c r="G269" s="50">
        <v>1642.1603470621524</v>
      </c>
      <c r="H269" s="50">
        <v>1329.3548688581038</v>
      </c>
    </row>
    <row r="270" spans="1:8">
      <c r="A270" s="39" t="s">
        <v>378</v>
      </c>
      <c r="B270" s="50">
        <v>21105.1132686989</v>
      </c>
      <c r="C270" s="11">
        <v>14799.968108972842</v>
      </c>
      <c r="D270" s="50">
        <v>2462.0046344560856</v>
      </c>
      <c r="E270" s="50">
        <v>1067.7458393598536</v>
      </c>
      <c r="F270" s="50">
        <v>3660.9059157042202</v>
      </c>
      <c r="G270" s="50">
        <v>2232.5195917698802</v>
      </c>
      <c r="H270" s="50">
        <v>1048.9726781191766</v>
      </c>
    </row>
    <row r="271" spans="1:8">
      <c r="A271" s="39" t="s">
        <v>379</v>
      </c>
      <c r="B271" s="50">
        <v>20503.722240072802</v>
      </c>
      <c r="C271" s="11">
        <v>3331.0147303377216</v>
      </c>
      <c r="D271" s="50">
        <v>3804.2322360744588</v>
      </c>
      <c r="E271" s="50">
        <v>3014.3064493879137</v>
      </c>
      <c r="F271" s="50">
        <v>4535.8911779927739</v>
      </c>
      <c r="G271" s="50">
        <v>4394.4129993049746</v>
      </c>
      <c r="H271" s="50">
        <v>529.92047155567218</v>
      </c>
    </row>
    <row r="272" spans="1:8">
      <c r="A272" s="39" t="s">
        <v>380</v>
      </c>
      <c r="B272" s="50">
        <v>0</v>
      </c>
      <c r="C272" s="11">
        <v>0</v>
      </c>
      <c r="D272" s="50">
        <v>0</v>
      </c>
      <c r="E272" s="50">
        <v>0</v>
      </c>
      <c r="F272" s="50">
        <v>0</v>
      </c>
      <c r="G272" s="50">
        <v>0</v>
      </c>
      <c r="H272" s="50">
        <v>0</v>
      </c>
    </row>
    <row r="273" spans="1:8">
      <c r="A273" s="39" t="s">
        <v>381</v>
      </c>
      <c r="B273" s="50">
        <v>32306.034259099197</v>
      </c>
      <c r="C273" s="11">
        <v>2174.7188494758689</v>
      </c>
      <c r="D273" s="50">
        <v>2979.269227564032</v>
      </c>
      <c r="E273" s="50">
        <v>2061.8861090844534</v>
      </c>
      <c r="F273" s="50">
        <v>8632.7323046697493</v>
      </c>
      <c r="G273" s="50">
        <v>5459.9895309067933</v>
      </c>
      <c r="H273" s="50">
        <v>7011.948395899477</v>
      </c>
    </row>
    <row r="274" spans="1:8">
      <c r="A274" s="39" t="s">
        <v>382</v>
      </c>
      <c r="B274" s="50">
        <v>0</v>
      </c>
      <c r="C274" s="11">
        <v>0</v>
      </c>
      <c r="D274" s="50">
        <v>0</v>
      </c>
      <c r="E274" s="50">
        <v>0</v>
      </c>
      <c r="F274" s="50">
        <v>0</v>
      </c>
      <c r="G274" s="50">
        <v>0</v>
      </c>
      <c r="H274" s="50">
        <v>0</v>
      </c>
    </row>
    <row r="275" spans="1:8">
      <c r="A275" s="39" t="s">
        <v>383</v>
      </c>
      <c r="B275" s="50">
        <v>24313.259650476572</v>
      </c>
      <c r="C275" s="11">
        <v>14343.513905586609</v>
      </c>
      <c r="D275" s="50">
        <v>2695.1465031006574</v>
      </c>
      <c r="E275" s="50">
        <v>1614.19808717862</v>
      </c>
      <c r="F275" s="50">
        <v>0</v>
      </c>
      <c r="G275" s="50">
        <v>1005.4621063119705</v>
      </c>
      <c r="H275" s="50">
        <v>4755.0635707132942</v>
      </c>
    </row>
    <row r="276" spans="1:8">
      <c r="A276" s="39" t="s">
        <v>384</v>
      </c>
      <c r="B276" s="50">
        <v>25697.129250359631</v>
      </c>
      <c r="C276" s="11">
        <v>2455.0478438602477</v>
      </c>
      <c r="D276" s="50">
        <v>3607.8615208111842</v>
      </c>
      <c r="E276" s="50">
        <v>4899.5235566725532</v>
      </c>
      <c r="F276" s="50">
        <v>13968.8125027356</v>
      </c>
      <c r="G276" s="50">
        <v>1999.0799896859251</v>
      </c>
      <c r="H276" s="50">
        <v>2064.1195758829072</v>
      </c>
    </row>
    <row r="277" spans="1:8">
      <c r="A277" s="39" t="s">
        <v>385</v>
      </c>
      <c r="B277" s="50">
        <v>25771.403370756507</v>
      </c>
      <c r="C277" s="11">
        <v>11495.838763984029</v>
      </c>
      <c r="D277" s="50">
        <v>2472.3699209041083</v>
      </c>
      <c r="E277" s="50">
        <v>5142.4141365241194</v>
      </c>
      <c r="F277" s="50">
        <v>1898.489476449733</v>
      </c>
      <c r="G277" s="50">
        <v>1485.5418074023503</v>
      </c>
      <c r="H277" s="50">
        <v>1192.1664516244109</v>
      </c>
    </row>
    <row r="278" spans="1:8">
      <c r="A278" s="39" t="s">
        <v>386</v>
      </c>
      <c r="B278" s="50">
        <v>47018.182951781186</v>
      </c>
      <c r="C278" s="11">
        <v>7091.8976453431687</v>
      </c>
      <c r="D278" s="50">
        <v>4895.226545054561</v>
      </c>
      <c r="E278" s="50">
        <v>2491.2373362107642</v>
      </c>
      <c r="F278" s="50">
        <v>7909.7862640154899</v>
      </c>
      <c r="G278" s="50">
        <v>8213.5513308843128</v>
      </c>
      <c r="H278" s="50">
        <v>3527.6418305031325</v>
      </c>
    </row>
    <row r="279" spans="1:8">
      <c r="A279" s="39" t="s">
        <v>387</v>
      </c>
      <c r="B279" s="50">
        <v>606322.7957230272</v>
      </c>
      <c r="C279" s="11">
        <v>129782.1871499851</v>
      </c>
      <c r="D279" s="50">
        <v>57611.057001032612</v>
      </c>
      <c r="E279" s="50">
        <v>172417.55636561327</v>
      </c>
      <c r="F279" s="50">
        <v>75513.108390903959</v>
      </c>
      <c r="G279" s="50">
        <v>76832.187178083113</v>
      </c>
      <c r="H279" s="50">
        <v>70362.211247550804</v>
      </c>
    </row>
    <row r="280" spans="1:8">
      <c r="A280" s="39" t="s">
        <v>388</v>
      </c>
      <c r="B280" s="50">
        <v>3066.6289846182053</v>
      </c>
      <c r="C280" s="11">
        <v>978.09700121800563</v>
      </c>
      <c r="D280" s="50">
        <v>1144.1073510515671</v>
      </c>
      <c r="E280" s="50">
        <v>536.14364410535597</v>
      </c>
      <c r="F280" s="50">
        <v>1870.3813797912146</v>
      </c>
      <c r="G280" s="50">
        <v>536.14364410535597</v>
      </c>
      <c r="H280" s="50">
        <v>1424.7116458179953</v>
      </c>
    </row>
    <row r="281" spans="1:8">
      <c r="A281" s="39" t="s">
        <v>389</v>
      </c>
      <c r="B281" s="50">
        <v>11102.508729673849</v>
      </c>
      <c r="C281" s="11">
        <v>3622.3283253619211</v>
      </c>
      <c r="D281" s="50">
        <v>1745.7526823323597</v>
      </c>
      <c r="E281" s="50">
        <v>2312.8361324577086</v>
      </c>
      <c r="F281" s="50">
        <v>2701.0975364132855</v>
      </c>
      <c r="G281" s="50">
        <v>1787.2010339166884</v>
      </c>
      <c r="H281" s="50">
        <v>1726.3861445012742</v>
      </c>
    </row>
    <row r="282" spans="1:8">
      <c r="A282" s="39" t="s">
        <v>390</v>
      </c>
      <c r="B282" s="50">
        <v>127072.26456013744</v>
      </c>
      <c r="C282" s="11">
        <v>40398.615288155474</v>
      </c>
      <c r="D282" s="50">
        <v>25336.912558591208</v>
      </c>
      <c r="E282" s="50">
        <v>11720.821363137133</v>
      </c>
      <c r="F282" s="50">
        <v>11066.999740142368</v>
      </c>
      <c r="G282" s="50">
        <v>9624.7924091523328</v>
      </c>
      <c r="H282" s="50">
        <v>19958.560022016361</v>
      </c>
    </row>
    <row r="283" spans="1:8">
      <c r="A283" s="39" t="s">
        <v>391</v>
      </c>
      <c r="B283" s="50">
        <v>35013.206147370198</v>
      </c>
      <c r="C283" s="11">
        <v>14887.911451495871</v>
      </c>
      <c r="D283" s="50">
        <v>6040.8304258024</v>
      </c>
      <c r="E283" s="50">
        <v>5142.5105561591236</v>
      </c>
      <c r="F283" s="50">
        <v>15472.349466870233</v>
      </c>
      <c r="G283" s="50">
        <v>4549.8227154637189</v>
      </c>
      <c r="H283" s="50">
        <v>3502.667372720829</v>
      </c>
    </row>
    <row r="284" spans="1:8">
      <c r="A284" s="39" t="s">
        <v>392</v>
      </c>
      <c r="B284" s="50">
        <v>3778.6809563765437</v>
      </c>
      <c r="C284" s="11">
        <v>515.9009580399545</v>
      </c>
      <c r="D284" s="50">
        <v>500.13966338178477</v>
      </c>
      <c r="E284" s="50">
        <v>0</v>
      </c>
      <c r="F284" s="50">
        <v>0</v>
      </c>
      <c r="G284" s="50">
        <v>482.72943702836585</v>
      </c>
      <c r="H284" s="50">
        <v>1748.7089705700366</v>
      </c>
    </row>
    <row r="285" spans="1:8">
      <c r="A285" s="39" t="s">
        <v>393</v>
      </c>
      <c r="B285" s="50">
        <v>425448.75941530947</v>
      </c>
      <c r="C285" s="11">
        <v>187688.29005738767</v>
      </c>
      <c r="D285" s="50">
        <v>86659.373435503861</v>
      </c>
      <c r="E285" s="50">
        <v>32998.909091965543</v>
      </c>
      <c r="F285" s="50">
        <v>31098.136380089461</v>
      </c>
      <c r="G285" s="50">
        <v>52290.46071049734</v>
      </c>
      <c r="H285" s="50">
        <v>33827.733882601067</v>
      </c>
    </row>
    <row r="286" spans="1:8">
      <c r="A286" s="39" t="s">
        <v>394</v>
      </c>
      <c r="B286" s="50">
        <v>44319.571364713047</v>
      </c>
      <c r="C286" s="11">
        <v>13140.948816783286</v>
      </c>
      <c r="D286" s="50">
        <v>7121.537013092543</v>
      </c>
      <c r="E286" s="50">
        <v>3870.3858894104997</v>
      </c>
      <c r="F286" s="50">
        <v>9177.9213895539378</v>
      </c>
      <c r="G286" s="50">
        <v>2268.0933757583434</v>
      </c>
      <c r="H286" s="50">
        <v>1045.8052641160582</v>
      </c>
    </row>
    <row r="287" spans="1:8">
      <c r="A287" s="39" t="s">
        <v>395</v>
      </c>
      <c r="B287" s="50">
        <v>0</v>
      </c>
      <c r="C287" s="11">
        <v>0</v>
      </c>
      <c r="D287" s="50">
        <v>0</v>
      </c>
      <c r="E287" s="50">
        <v>0</v>
      </c>
      <c r="F287" s="50">
        <v>0</v>
      </c>
      <c r="G287" s="50">
        <v>0</v>
      </c>
      <c r="H287" s="50">
        <v>0</v>
      </c>
    </row>
    <row r="288" spans="1:8">
      <c r="A288" s="39" t="s">
        <v>396</v>
      </c>
      <c r="B288" s="50">
        <v>142841.73926414744</v>
      </c>
      <c r="C288" s="11">
        <v>72276.51096876018</v>
      </c>
      <c r="D288" s="50">
        <v>18664.724426463214</v>
      </c>
      <c r="E288" s="50">
        <v>9423.8494773352777</v>
      </c>
      <c r="F288" s="50">
        <v>4592.9216768545157</v>
      </c>
      <c r="G288" s="50">
        <v>4983.4071657653822</v>
      </c>
      <c r="H288" s="50">
        <v>24081.14890118995</v>
      </c>
    </row>
    <row r="289" spans="1:8">
      <c r="A289" s="39" t="s">
        <v>397</v>
      </c>
      <c r="B289" s="50">
        <v>30693.969936810194</v>
      </c>
      <c r="C289" s="11">
        <v>5462.2990884079682</v>
      </c>
      <c r="D289" s="50">
        <v>2621.5701833203971</v>
      </c>
      <c r="E289" s="50">
        <v>2019.9125121754034</v>
      </c>
      <c r="F289" s="50">
        <v>561.6422756788985</v>
      </c>
      <c r="G289" s="50">
        <v>2163.5316314384709</v>
      </c>
      <c r="H289" s="50">
        <v>3264.9903526037406</v>
      </c>
    </row>
    <row r="290" spans="1:8">
      <c r="A290" s="39" t="s">
        <v>398</v>
      </c>
      <c r="B290" s="50">
        <v>66766.229632606555</v>
      </c>
      <c r="C290" s="11">
        <v>7787.3208132905756</v>
      </c>
      <c r="D290" s="50">
        <v>9664.6946056781053</v>
      </c>
      <c r="E290" s="50">
        <v>4654.1302476111105</v>
      </c>
      <c r="F290" s="50">
        <v>38245.066287730122</v>
      </c>
      <c r="G290" s="50">
        <v>2694.2221606358676</v>
      </c>
      <c r="H290" s="50">
        <v>1523.0379499217015</v>
      </c>
    </row>
    <row r="291" spans="1:8">
      <c r="A291" s="39" t="s">
        <v>399</v>
      </c>
      <c r="B291" s="50">
        <v>37814.630061094431</v>
      </c>
      <c r="C291" s="11">
        <v>5858.5596059611289</v>
      </c>
      <c r="D291" s="50">
        <v>6037.1791089654507</v>
      </c>
      <c r="E291" s="50">
        <v>9987.0206407184596</v>
      </c>
      <c r="F291" s="50">
        <v>8130.8209612333749</v>
      </c>
      <c r="G291" s="50">
        <v>6635.1964931552548</v>
      </c>
      <c r="H291" s="50">
        <v>9099.798847645483</v>
      </c>
    </row>
    <row r="292" spans="1:8">
      <c r="A292" s="39" t="s">
        <v>400</v>
      </c>
      <c r="B292" s="50">
        <v>208374.40799322817</v>
      </c>
      <c r="C292" s="11">
        <v>62341.229812676473</v>
      </c>
      <c r="D292" s="50">
        <v>39796.245567319165</v>
      </c>
      <c r="E292" s="50">
        <v>24042.131099488823</v>
      </c>
      <c r="F292" s="50">
        <v>9574.1113388859449</v>
      </c>
      <c r="G292" s="50">
        <v>13155.663082361159</v>
      </c>
      <c r="H292" s="50">
        <v>88191.680277055755</v>
      </c>
    </row>
    <row r="293" spans="1:8">
      <c r="A293" s="39" t="s">
        <v>401</v>
      </c>
      <c r="B293" s="50">
        <v>960836.53938316146</v>
      </c>
      <c r="C293" s="11">
        <v>58861.695331907176</v>
      </c>
      <c r="D293" s="50">
        <v>89049.887596411092</v>
      </c>
      <c r="E293" s="50">
        <v>89572.038698855016</v>
      </c>
      <c r="F293" s="50">
        <v>53213.920950866472</v>
      </c>
      <c r="G293" s="50">
        <v>73960.067467596324</v>
      </c>
      <c r="H293" s="50">
        <v>75758.832549037048</v>
      </c>
    </row>
    <row r="294" spans="1:8">
      <c r="A294" s="39" t="s">
        <v>402</v>
      </c>
      <c r="B294" s="50">
        <v>21288.859554536568</v>
      </c>
      <c r="C294" s="11">
        <v>13291.941582480098</v>
      </c>
      <c r="D294" s="50">
        <v>1802.2790109840175</v>
      </c>
      <c r="E294" s="50">
        <v>1887.3136798338949</v>
      </c>
      <c r="F294" s="50">
        <v>1083.3540053580966</v>
      </c>
      <c r="G294" s="50">
        <v>2054.42868368362</v>
      </c>
      <c r="H294" s="50">
        <v>3594.2705156196721</v>
      </c>
    </row>
    <row r="295" spans="1:8">
      <c r="A295" s="39" t="s">
        <v>403</v>
      </c>
      <c r="B295" s="50">
        <v>11394.218476057604</v>
      </c>
      <c r="C295" s="11">
        <v>543.13199794759339</v>
      </c>
      <c r="D295" s="50">
        <v>512.31356802215748</v>
      </c>
      <c r="E295" s="50">
        <v>0</v>
      </c>
      <c r="F295" s="50">
        <v>534.09922925679268</v>
      </c>
      <c r="G295" s="50">
        <v>0</v>
      </c>
      <c r="H295" s="50">
        <v>874.14248360081081</v>
      </c>
    </row>
    <row r="296" spans="1:8">
      <c r="A296" s="39" t="s">
        <v>404</v>
      </c>
      <c r="B296" s="50">
        <v>60199.779582225201</v>
      </c>
      <c r="C296" s="11">
        <v>6422.9060183826959</v>
      </c>
      <c r="D296" s="50">
        <v>5182.2830464715325</v>
      </c>
      <c r="E296" s="50">
        <v>15178.251613530585</v>
      </c>
      <c r="F296" s="50">
        <v>11513.832779680952</v>
      </c>
      <c r="G296" s="50">
        <v>18817.625027205777</v>
      </c>
      <c r="H296" s="50">
        <v>1362.1957918437402</v>
      </c>
    </row>
    <row r="297" spans="1:8">
      <c r="A297" s="39" t="s">
        <v>405</v>
      </c>
      <c r="B297" s="50">
        <v>612.39290407909402</v>
      </c>
      <c r="C297" s="11">
        <v>0</v>
      </c>
      <c r="D297" s="50">
        <v>0</v>
      </c>
      <c r="E297" s="50">
        <v>612.39290407909402</v>
      </c>
      <c r="F297" s="50">
        <v>0</v>
      </c>
      <c r="G297" s="50">
        <v>0</v>
      </c>
      <c r="H297" s="50">
        <v>0</v>
      </c>
    </row>
    <row r="298" spans="1:8">
      <c r="A298" s="39" t="s">
        <v>406</v>
      </c>
      <c r="B298" s="50">
        <v>2183.5961481512486</v>
      </c>
      <c r="C298" s="11">
        <v>0</v>
      </c>
      <c r="D298" s="50">
        <v>0</v>
      </c>
      <c r="E298" s="50">
        <v>0</v>
      </c>
      <c r="F298" s="50">
        <v>0</v>
      </c>
      <c r="G298" s="50">
        <v>0</v>
      </c>
      <c r="H298" s="50">
        <v>0</v>
      </c>
    </row>
    <row r="299" spans="1:8">
      <c r="A299" s="39" t="s">
        <v>407</v>
      </c>
      <c r="B299" s="50">
        <v>3071.0490408016685</v>
      </c>
      <c r="C299" s="11">
        <v>0</v>
      </c>
      <c r="D299" s="50">
        <v>549.82162013158245</v>
      </c>
      <c r="E299" s="50">
        <v>582.34079085264398</v>
      </c>
      <c r="F299" s="50">
        <v>997.68044162141746</v>
      </c>
      <c r="G299" s="50">
        <v>0</v>
      </c>
      <c r="H299" s="50">
        <v>0</v>
      </c>
    </row>
    <row r="300" spans="1:8">
      <c r="A300" s="39" t="s">
        <v>408</v>
      </c>
      <c r="B300" s="50">
        <v>595111.18810464418</v>
      </c>
      <c r="C300" s="11">
        <v>13810.844764945061</v>
      </c>
      <c r="D300" s="50">
        <v>17213.6216560834</v>
      </c>
      <c r="E300" s="50">
        <v>183738.66532129515</v>
      </c>
      <c r="F300" s="50">
        <v>309499.83080511418</v>
      </c>
      <c r="G300" s="50">
        <v>41802.807495635388</v>
      </c>
      <c r="H300" s="50">
        <v>8285.574334237559</v>
      </c>
    </row>
    <row r="301" spans="1:8">
      <c r="A301" s="132"/>
      <c r="B301" s="133"/>
      <c r="C301" s="133"/>
      <c r="D301" s="133"/>
      <c r="E301" s="133"/>
      <c r="F301" s="133"/>
      <c r="G301" s="133"/>
      <c r="H301" s="133"/>
    </row>
    <row r="302" spans="1:8">
      <c r="A302" s="29" t="s">
        <v>147</v>
      </c>
    </row>
    <row r="303" spans="1:8">
      <c r="A303" s="16" t="s">
        <v>119</v>
      </c>
    </row>
    <row r="304" spans="1:8">
      <c r="A304" s="16" t="s">
        <v>120</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B159&lt;'34'!$C$104</xm:f>
            <x14:dxf>
              <font>
                <color rgb="FFFF0000"/>
              </font>
              <numFmt numFmtId="172" formatCode="\*\*0.0%"/>
            </x14:dxf>
          </x14:cfRule>
          <x14:cfRule type="expression" priority="4" id="{F21496D9-2B6E-4F74-B1F7-AA89522F249C}">
            <xm:f>B159&lt;'34'!$C$103</xm:f>
            <x14:dxf>
              <font>
                <color rgb="FF00B050"/>
              </font>
              <numFmt numFmtId="171" formatCode="\*0.0%"/>
            </x14:dxf>
          </x14:cfRule>
          <xm:sqref>B16:H157</xm:sqref>
        </x14:conditionalFormatting>
        <x14:conditionalFormatting xmlns:xm="http://schemas.microsoft.com/office/excel/2006/main">
          <x14:cfRule type="expression" priority="1" id="{71EB8C14-2491-4F1A-9873-8E6392295B92}">
            <xm:f>B159&lt;'34'!$C$104</xm:f>
            <x14:dxf>
              <font>
                <color rgb="FFFF0000"/>
              </font>
              <numFmt numFmtId="170" formatCode="\*\*#,###,###,##0"/>
            </x14:dxf>
          </x14:cfRule>
          <x14:cfRule type="expression" priority="2" id="{C526C75A-03EC-46CB-8006-F1B9253BC6BE}">
            <xm:f>B159&lt;'34'!$C$103</xm:f>
            <x14:dxf>
              <font>
                <color rgb="FF00B050"/>
              </font>
              <numFmt numFmtId="169"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07"/>
  <sheetViews>
    <sheetView zoomScaleNormal="100" workbookViewId="0">
      <pane xSplit="1" ySplit="14" topLeftCell="B15" activePane="bottomRight" state="frozen"/>
      <selection pane="bottomRight"/>
      <selection pane="bottomLeft"/>
      <selection pane="topRight"/>
    </sheetView>
  </sheetViews>
  <sheetFormatPr defaultColWidth="8.85546875" defaultRowHeight="15"/>
  <cols>
    <col min="1" max="1" width="30.7109375" style="1" customWidth="1"/>
    <col min="2" max="2" width="14.85546875" style="1" customWidth="1"/>
    <col min="3" max="8" width="19" style="1" customWidth="1"/>
    <col min="9" max="16384" width="8.85546875" style="1"/>
  </cols>
  <sheetData>
    <row r="1" spans="1:9">
      <c r="A1" s="35"/>
      <c r="B1" s="35"/>
      <c r="C1" s="35"/>
      <c r="D1" s="35"/>
      <c r="E1" s="35"/>
      <c r="F1" s="35"/>
      <c r="G1" s="35"/>
      <c r="H1" s="35"/>
    </row>
    <row r="2" spans="1:9">
      <c r="A2" s="35"/>
      <c r="B2" s="35"/>
      <c r="C2" s="35"/>
      <c r="D2" s="35"/>
      <c r="E2" s="35"/>
      <c r="F2" s="35"/>
      <c r="G2" s="35"/>
      <c r="H2" s="35"/>
    </row>
    <row r="3" spans="1:9">
      <c r="A3" s="35"/>
      <c r="B3" s="35"/>
      <c r="C3" s="35"/>
      <c r="D3" s="35"/>
      <c r="E3" s="35"/>
      <c r="F3" s="35"/>
      <c r="G3" s="35"/>
      <c r="H3" s="35"/>
    </row>
    <row r="4" spans="1:9">
      <c r="A4" s="35"/>
      <c r="B4" s="35"/>
      <c r="C4" s="35"/>
      <c r="D4" s="35"/>
      <c r="E4" s="35"/>
      <c r="F4" s="35"/>
      <c r="G4" s="35"/>
      <c r="H4" s="35"/>
    </row>
    <row r="5" spans="1:9">
      <c r="A5" s="35"/>
      <c r="B5" s="35"/>
      <c r="C5" s="35"/>
      <c r="D5" s="35"/>
      <c r="E5" s="35"/>
      <c r="F5" s="35"/>
      <c r="G5" s="35"/>
      <c r="H5" s="35"/>
    </row>
    <row r="6" spans="1:9">
      <c r="A6" s="35"/>
      <c r="B6" s="35"/>
      <c r="C6" s="35"/>
      <c r="D6" s="35"/>
      <c r="E6" s="35"/>
      <c r="F6" s="35"/>
      <c r="G6" s="35"/>
      <c r="H6" s="35"/>
    </row>
    <row r="7" spans="1:9">
      <c r="A7" s="35"/>
      <c r="B7" s="35"/>
      <c r="C7" s="35"/>
      <c r="D7" s="35"/>
      <c r="E7" s="35"/>
      <c r="F7" s="35"/>
      <c r="G7" s="35"/>
      <c r="H7" s="35"/>
    </row>
    <row r="8" spans="1:9">
      <c r="A8" s="35" t="s">
        <v>0</v>
      </c>
      <c r="B8" s="35"/>
      <c r="C8" s="35"/>
      <c r="D8" s="35"/>
      <c r="E8" s="35"/>
      <c r="F8" s="35"/>
      <c r="G8" s="35"/>
      <c r="H8" s="35"/>
    </row>
    <row r="9" spans="1:9">
      <c r="A9" s="34" t="s">
        <v>1</v>
      </c>
      <c r="B9" s="35" t="s">
        <v>2</v>
      </c>
      <c r="C9" s="35"/>
      <c r="D9" s="35"/>
      <c r="E9" s="35"/>
      <c r="F9" s="35"/>
      <c r="G9" s="35"/>
      <c r="H9" s="35"/>
    </row>
    <row r="10" spans="1:9">
      <c r="A10" s="34" t="s">
        <v>47</v>
      </c>
      <c r="B10" s="36">
        <v>21</v>
      </c>
      <c r="C10" s="35"/>
      <c r="D10" s="35"/>
      <c r="E10" s="35"/>
      <c r="F10" s="35"/>
      <c r="G10" s="35"/>
      <c r="H10" s="35"/>
    </row>
    <row r="11" spans="1:9">
      <c r="A11" s="34" t="s">
        <v>3</v>
      </c>
      <c r="B11" s="35" t="s">
        <v>29</v>
      </c>
      <c r="C11" s="35"/>
      <c r="D11" s="35"/>
      <c r="E11" s="35"/>
      <c r="F11" s="115" t="s">
        <v>145</v>
      </c>
      <c r="G11" s="35"/>
      <c r="H11" s="35"/>
    </row>
    <row r="12" spans="1:9">
      <c r="A12" s="130" t="s">
        <v>48</v>
      </c>
      <c r="B12" s="131" t="s">
        <v>121</v>
      </c>
      <c r="C12" s="131"/>
      <c r="D12" s="131"/>
      <c r="E12" s="131"/>
      <c r="F12" s="131"/>
      <c r="G12" s="131"/>
      <c r="H12" s="131"/>
    </row>
    <row r="13" spans="1:9" ht="24.95" customHeight="1">
      <c r="A13" s="47"/>
      <c r="B13" s="38"/>
      <c r="C13" s="155" t="s">
        <v>162</v>
      </c>
      <c r="D13" s="155"/>
      <c r="E13" s="155"/>
      <c r="F13" s="155"/>
      <c r="G13" s="155"/>
      <c r="H13" s="155"/>
    </row>
    <row r="14" spans="1:9" ht="45">
      <c r="A14" s="43"/>
      <c r="B14" s="42" t="s">
        <v>55</v>
      </c>
      <c r="C14" s="69" t="s">
        <v>152</v>
      </c>
      <c r="D14" s="69" t="s">
        <v>410</v>
      </c>
      <c r="E14" s="69" t="s">
        <v>411</v>
      </c>
      <c r="F14" s="69" t="s">
        <v>412</v>
      </c>
      <c r="G14" s="69" t="s">
        <v>156</v>
      </c>
      <c r="H14" s="69" t="s">
        <v>413</v>
      </c>
      <c r="I14" s="113" t="s">
        <v>145</v>
      </c>
    </row>
    <row r="15" spans="1:9">
      <c r="A15" s="72"/>
      <c r="B15" s="168" t="s">
        <v>143</v>
      </c>
      <c r="C15" s="168"/>
      <c r="D15" s="168"/>
      <c r="E15" s="168"/>
      <c r="F15" s="168"/>
      <c r="G15" s="168"/>
      <c r="H15" s="168"/>
    </row>
    <row r="16" spans="1:9">
      <c r="A16" s="39" t="s">
        <v>267</v>
      </c>
      <c r="B16" s="4">
        <v>1.2498114999062518E-3</v>
      </c>
      <c r="C16" s="10">
        <v>0</v>
      </c>
      <c r="D16" s="4">
        <v>1.8518931964246199E-4</v>
      </c>
      <c r="E16" s="4">
        <v>3.177090314494631E-4</v>
      </c>
      <c r="F16" s="4">
        <v>2.5266313763485407E-4</v>
      </c>
      <c r="G16" s="4">
        <v>2.057965933188689E-4</v>
      </c>
      <c r="H16" s="4">
        <v>3.3812492827037574E-4</v>
      </c>
    </row>
    <row r="17" spans="1:8">
      <c r="A17" s="39" t="s">
        <v>268</v>
      </c>
      <c r="B17" s="4">
        <v>3.2388851930521684E-3</v>
      </c>
      <c r="C17" s="10">
        <v>6.8330983890216334E-4</v>
      </c>
      <c r="D17" s="4">
        <v>9.9190211708068913E-4</v>
      </c>
      <c r="E17" s="4">
        <v>8.5280019948872428E-4</v>
      </c>
      <c r="F17" s="4">
        <v>1.1591375091138791E-3</v>
      </c>
      <c r="G17" s="4">
        <v>1.0587767759370269E-3</v>
      </c>
      <c r="H17" s="4">
        <v>9.9857859930410848E-4</v>
      </c>
    </row>
    <row r="18" spans="1:8">
      <c r="A18" s="39" t="s">
        <v>269</v>
      </c>
      <c r="B18" s="4">
        <v>2.2927123021454872E-3</v>
      </c>
      <c r="C18" s="10">
        <v>7.5983338882985342E-4</v>
      </c>
      <c r="D18" s="4">
        <v>2.421329399612346E-4</v>
      </c>
      <c r="E18" s="4">
        <v>4.4042746492250183E-4</v>
      </c>
      <c r="F18" s="4">
        <v>5.2025400803201391E-4</v>
      </c>
      <c r="G18" s="4">
        <v>2.6024720820468013E-4</v>
      </c>
      <c r="H18" s="4">
        <v>4.6563421396887022E-4</v>
      </c>
    </row>
    <row r="19" spans="1:8">
      <c r="A19" s="39" t="s">
        <v>270</v>
      </c>
      <c r="B19" s="4">
        <v>2.9709676231725667E-2</v>
      </c>
      <c r="C19" s="10">
        <v>9.9966101076469985E-3</v>
      </c>
      <c r="D19" s="4">
        <v>4.0440939763218831E-3</v>
      </c>
      <c r="E19" s="4">
        <v>2.3361109178253814E-3</v>
      </c>
      <c r="F19" s="4">
        <v>2.9959571523618229E-3</v>
      </c>
      <c r="G19" s="4">
        <v>3.6193467839775004E-3</v>
      </c>
      <c r="H19" s="4">
        <v>9.77135497866638E-3</v>
      </c>
    </row>
    <row r="20" spans="1:8">
      <c r="A20" s="39" t="s">
        <v>271</v>
      </c>
      <c r="B20" s="4">
        <v>5.3769039769701266E-2</v>
      </c>
      <c r="C20" s="10">
        <v>2.9186658613380469E-2</v>
      </c>
      <c r="D20" s="4">
        <v>8.6490684789133059E-3</v>
      </c>
      <c r="E20" s="4">
        <v>3.7893576546557872E-3</v>
      </c>
      <c r="F20" s="4">
        <v>2.8724544104978701E-3</v>
      </c>
      <c r="G20" s="4">
        <v>3.1571657484787173E-3</v>
      </c>
      <c r="H20" s="4">
        <v>1.1437966747573256E-2</v>
      </c>
    </row>
    <row r="21" spans="1:8">
      <c r="A21" s="39" t="s">
        <v>272</v>
      </c>
      <c r="B21" s="4">
        <v>9.7457317785874433E-3</v>
      </c>
      <c r="C21" s="10">
        <v>2.6544248454960818E-3</v>
      </c>
      <c r="D21" s="4">
        <v>1.8020293767504448E-3</v>
      </c>
      <c r="E21" s="4">
        <v>1.7435826435519036E-3</v>
      </c>
      <c r="F21" s="4">
        <v>1.5669371768376873E-3</v>
      </c>
      <c r="G21" s="4">
        <v>2.4647440053220072E-3</v>
      </c>
      <c r="H21" s="4">
        <v>2.2676226070562308E-3</v>
      </c>
    </row>
    <row r="22" spans="1:8">
      <c r="A22" s="39" t="s">
        <v>273</v>
      </c>
      <c r="B22" s="4">
        <v>5.4035985479183911E-3</v>
      </c>
      <c r="C22" s="10">
        <v>2.6548349615737122E-3</v>
      </c>
      <c r="D22" s="4">
        <v>1.3134747188065542E-3</v>
      </c>
      <c r="E22" s="4">
        <v>7.6192649860546107E-4</v>
      </c>
      <c r="F22" s="4">
        <v>3.8630076298761933E-4</v>
      </c>
      <c r="G22" s="4">
        <v>1.0747537983712696E-3</v>
      </c>
      <c r="H22" s="4">
        <v>8.9362156807587783E-4</v>
      </c>
    </row>
    <row r="23" spans="1:8">
      <c r="A23" s="39" t="s">
        <v>274</v>
      </c>
      <c r="B23" s="4">
        <v>6.7465149172016195E-2</v>
      </c>
      <c r="C23" s="10">
        <v>3.3795200435562021E-2</v>
      </c>
      <c r="D23" s="4">
        <v>9.8315613870040789E-3</v>
      </c>
      <c r="E23" s="4">
        <v>5.6340781947025404E-3</v>
      </c>
      <c r="F23" s="4">
        <v>4.5179768006094216E-3</v>
      </c>
      <c r="G23" s="4">
        <v>5.4137844749284833E-3</v>
      </c>
      <c r="H23" s="4">
        <v>1.5021969824073198E-2</v>
      </c>
    </row>
    <row r="24" spans="1:8">
      <c r="A24" s="39" t="s">
        <v>275</v>
      </c>
      <c r="B24" s="4">
        <v>7.4754406468883995E-4</v>
      </c>
      <c r="C24" s="10">
        <v>3.6463013851758749E-4</v>
      </c>
      <c r="D24" s="4">
        <v>3.0628505543408397E-4</v>
      </c>
      <c r="E24" s="4">
        <v>3.5286418985373217E-4</v>
      </c>
      <c r="F24" s="4">
        <v>2.6692084217811042E-4</v>
      </c>
      <c r="G24" s="4">
        <v>2.1679145593996366E-4</v>
      </c>
      <c r="H24" s="4">
        <v>2.1679145593996366E-4</v>
      </c>
    </row>
    <row r="25" spans="1:8">
      <c r="A25" s="39" t="s">
        <v>276</v>
      </c>
      <c r="B25" s="4">
        <v>9.7282882987639814E-5</v>
      </c>
      <c r="C25" s="10">
        <v>0</v>
      </c>
      <c r="D25" s="4">
        <v>0</v>
      </c>
      <c r="E25" s="4">
        <v>9.7282882987639814E-5</v>
      </c>
      <c r="F25" s="4">
        <v>0</v>
      </c>
      <c r="G25" s="4">
        <v>0</v>
      </c>
      <c r="H25" s="4">
        <v>9.7282882987639814E-5</v>
      </c>
    </row>
    <row r="26" spans="1:8">
      <c r="A26" s="39" t="s">
        <v>277</v>
      </c>
      <c r="B26" s="4">
        <v>2.6918842935745238E-4</v>
      </c>
      <c r="C26" s="10">
        <v>0</v>
      </c>
      <c r="D26" s="4">
        <v>0</v>
      </c>
      <c r="E26" s="4">
        <v>1.2773570284729954E-4</v>
      </c>
      <c r="F26" s="4">
        <v>0</v>
      </c>
      <c r="G26" s="4">
        <v>0</v>
      </c>
      <c r="H26" s="4">
        <v>0</v>
      </c>
    </row>
    <row r="27" spans="1:8">
      <c r="A27" s="39" t="s">
        <v>278</v>
      </c>
      <c r="B27" s="4">
        <v>1.3353053774411774E-3</v>
      </c>
      <c r="C27" s="10">
        <v>7.3036072183190544E-4</v>
      </c>
      <c r="D27" s="4">
        <v>2.9827401536051517E-4</v>
      </c>
      <c r="E27" s="4">
        <v>1.0096563313717187E-4</v>
      </c>
      <c r="F27" s="4">
        <v>0</v>
      </c>
      <c r="G27" s="4">
        <v>2.0455463362280726E-4</v>
      </c>
      <c r="H27" s="4">
        <v>1.3607273391376851E-4</v>
      </c>
    </row>
    <row r="28" spans="1:8">
      <c r="A28" s="39" t="s">
        <v>279</v>
      </c>
      <c r="B28" s="4">
        <v>0</v>
      </c>
      <c r="C28" s="10">
        <v>0</v>
      </c>
      <c r="D28" s="4">
        <v>0</v>
      </c>
      <c r="E28" s="4">
        <v>0</v>
      </c>
      <c r="F28" s="4">
        <v>0</v>
      </c>
      <c r="G28" s="4">
        <v>0</v>
      </c>
      <c r="H28" s="4">
        <v>0</v>
      </c>
    </row>
    <row r="29" spans="1:8">
      <c r="A29" s="39" t="s">
        <v>280</v>
      </c>
      <c r="B29" s="4">
        <v>7.9558416858247668E-5</v>
      </c>
      <c r="C29" s="10">
        <v>0</v>
      </c>
      <c r="D29" s="4">
        <v>0</v>
      </c>
      <c r="E29" s="4">
        <v>0</v>
      </c>
      <c r="F29" s="4">
        <v>0</v>
      </c>
      <c r="G29" s="4">
        <v>0</v>
      </c>
      <c r="H29" s="4">
        <v>0</v>
      </c>
    </row>
    <row r="30" spans="1:8">
      <c r="A30" s="39" t="s">
        <v>281</v>
      </c>
      <c r="B30" s="4">
        <v>0</v>
      </c>
      <c r="C30" s="10">
        <v>0</v>
      </c>
      <c r="D30" s="4">
        <v>0</v>
      </c>
      <c r="E30" s="4">
        <v>0</v>
      </c>
      <c r="F30" s="4">
        <v>0</v>
      </c>
      <c r="G30" s="4">
        <v>0</v>
      </c>
      <c r="H30" s="4">
        <v>0</v>
      </c>
    </row>
    <row r="31" spans="1:8">
      <c r="A31" s="39" t="s">
        <v>282</v>
      </c>
      <c r="B31" s="4">
        <v>0</v>
      </c>
      <c r="C31" s="10">
        <v>0</v>
      </c>
      <c r="D31" s="4">
        <v>0</v>
      </c>
      <c r="E31" s="4">
        <v>0</v>
      </c>
      <c r="F31" s="4">
        <v>0</v>
      </c>
      <c r="G31" s="4">
        <v>0</v>
      </c>
      <c r="H31" s="4">
        <v>0</v>
      </c>
    </row>
    <row r="32" spans="1:8">
      <c r="A32" s="39" t="s">
        <v>283</v>
      </c>
      <c r="B32" s="4">
        <v>0</v>
      </c>
      <c r="C32" s="10">
        <v>0</v>
      </c>
      <c r="D32" s="4">
        <v>0</v>
      </c>
      <c r="E32" s="4">
        <v>0</v>
      </c>
      <c r="F32" s="4">
        <v>0</v>
      </c>
      <c r="G32" s="4">
        <v>0</v>
      </c>
      <c r="H32" s="4">
        <v>0</v>
      </c>
    </row>
    <row r="33" spans="1:8">
      <c r="A33" s="39" t="s">
        <v>284</v>
      </c>
      <c r="B33" s="4">
        <v>3.635105234204269E-4</v>
      </c>
      <c r="C33" s="10">
        <v>2.0203192933288845E-4</v>
      </c>
      <c r="D33" s="4">
        <v>0</v>
      </c>
      <c r="E33" s="4">
        <v>0</v>
      </c>
      <c r="F33" s="4">
        <v>8.980631081724793E-5</v>
      </c>
      <c r="G33" s="4">
        <v>7.1672283270290512E-5</v>
      </c>
      <c r="H33" s="4">
        <v>7.1672283270290512E-5</v>
      </c>
    </row>
    <row r="34" spans="1:8">
      <c r="A34" s="39" t="s">
        <v>285</v>
      </c>
      <c r="B34" s="4">
        <v>3.2916060990768191E-3</v>
      </c>
      <c r="C34" s="10">
        <v>8.7516082790530371E-4</v>
      </c>
      <c r="D34" s="4">
        <v>6.7769085216211854E-4</v>
      </c>
      <c r="E34" s="4">
        <v>9.2564588132474507E-4</v>
      </c>
      <c r="F34" s="4">
        <v>7.9642587377289607E-4</v>
      </c>
      <c r="G34" s="4">
        <v>7.9915503645923511E-4</v>
      </c>
      <c r="H34" s="4">
        <v>4.8129911191949009E-4</v>
      </c>
    </row>
    <row r="35" spans="1:8">
      <c r="A35" s="39" t="s">
        <v>286</v>
      </c>
      <c r="B35" s="4">
        <v>0</v>
      </c>
      <c r="C35" s="10">
        <v>0</v>
      </c>
      <c r="D35" s="4">
        <v>0</v>
      </c>
      <c r="E35" s="4">
        <v>0</v>
      </c>
      <c r="F35" s="4">
        <v>0</v>
      </c>
      <c r="G35" s="4">
        <v>0</v>
      </c>
      <c r="H35" s="4">
        <v>0</v>
      </c>
    </row>
    <row r="36" spans="1:8">
      <c r="A36" s="39" t="s">
        <v>287</v>
      </c>
      <c r="B36" s="4">
        <v>1.7308869397497061E-2</v>
      </c>
      <c r="C36" s="10">
        <v>1.3920072207060613E-3</v>
      </c>
      <c r="D36" s="4">
        <v>1.1248230871429537E-3</v>
      </c>
      <c r="E36" s="4">
        <v>5.4951654297095791E-4</v>
      </c>
      <c r="F36" s="4">
        <v>7.219412368185726E-4</v>
      </c>
      <c r="G36" s="4">
        <v>9.1196172965459323E-4</v>
      </c>
      <c r="H36" s="4">
        <v>1.7257397168659082E-3</v>
      </c>
    </row>
    <row r="37" spans="1:8">
      <c r="A37" s="39" t="s">
        <v>288</v>
      </c>
      <c r="B37" s="4">
        <v>2.2067625348977391E-3</v>
      </c>
      <c r="C37" s="10">
        <v>6.0667049542767243E-4</v>
      </c>
      <c r="D37" s="4">
        <v>5.1234896616168465E-4</v>
      </c>
      <c r="E37" s="4">
        <v>3.9051656299039615E-4</v>
      </c>
      <c r="F37" s="4">
        <v>6.4629595443333105E-4</v>
      </c>
      <c r="G37" s="4">
        <v>3.9117124506475809E-4</v>
      </c>
      <c r="H37" s="4">
        <v>2.7254911735053328E-4</v>
      </c>
    </row>
    <row r="38" spans="1:8">
      <c r="A38" s="39" t="s">
        <v>289</v>
      </c>
      <c r="B38" s="4">
        <v>3.5421585089870334E-4</v>
      </c>
      <c r="C38" s="10">
        <v>2.6370310157006622E-4</v>
      </c>
      <c r="D38" s="4">
        <v>1.8203636802189616E-4</v>
      </c>
      <c r="E38" s="4">
        <v>9.0512749328637134E-5</v>
      </c>
      <c r="F38" s="4">
        <v>2.7254911735053328E-4</v>
      </c>
      <c r="G38" s="4">
        <v>1.8203636802189616E-4</v>
      </c>
      <c r="H38" s="4">
        <v>2.626922322054443E-4</v>
      </c>
    </row>
    <row r="39" spans="1:8">
      <c r="A39" s="39" t="s">
        <v>290</v>
      </c>
      <c r="B39" s="4">
        <v>1.6599215078211839E-3</v>
      </c>
      <c r="C39" s="10">
        <v>2.4487850951842389E-4</v>
      </c>
      <c r="D39" s="4">
        <v>2.8827834393522171E-4</v>
      </c>
      <c r="E39" s="4">
        <v>2.5922944703615845E-4</v>
      </c>
      <c r="F39" s="4">
        <v>1.4703251942320999E-4</v>
      </c>
      <c r="G39" s="4">
        <v>2.6156627798154243E-4</v>
      </c>
      <c r="H39" s="4">
        <v>2.9109350601992857E-4</v>
      </c>
    </row>
    <row r="40" spans="1:8">
      <c r="A40" s="39" t="s">
        <v>291</v>
      </c>
      <c r="B40" s="4">
        <v>1.968956628744615E-3</v>
      </c>
      <c r="C40" s="10">
        <v>5.5763898618140103E-4</v>
      </c>
      <c r="D40" s="4">
        <v>7.9558416858247668E-5</v>
      </c>
      <c r="E40" s="4">
        <v>7.86797019707893E-5</v>
      </c>
      <c r="F40" s="4">
        <v>1.2725755256990676E-3</v>
      </c>
      <c r="G40" s="4">
        <v>2.969802356931832E-4</v>
      </c>
      <c r="H40" s="4">
        <v>0</v>
      </c>
    </row>
    <row r="41" spans="1:8">
      <c r="A41" s="39" t="s">
        <v>292</v>
      </c>
      <c r="B41" s="4">
        <v>3.2375708235780003E-2</v>
      </c>
      <c r="C41" s="10">
        <v>1.794165749670425E-2</v>
      </c>
      <c r="D41" s="4">
        <v>4.7334352828712588E-3</v>
      </c>
      <c r="E41" s="4">
        <v>8.1777349680382013E-4</v>
      </c>
      <c r="F41" s="4">
        <v>8.973017414287194E-4</v>
      </c>
      <c r="G41" s="4">
        <v>2.064024580446704E-3</v>
      </c>
      <c r="H41" s="4">
        <v>5.3957926429970045E-3</v>
      </c>
    </row>
    <row r="42" spans="1:8">
      <c r="A42" s="39" t="s">
        <v>293</v>
      </c>
      <c r="B42" s="4">
        <v>3.7092483935413601E-4</v>
      </c>
      <c r="C42" s="10">
        <v>3.7092483935413601E-4</v>
      </c>
      <c r="D42" s="4">
        <v>1.3253488404360749E-4</v>
      </c>
      <c r="E42" s="4">
        <v>2.6506976808721497E-4</v>
      </c>
      <c r="F42" s="4">
        <v>0</v>
      </c>
      <c r="G42" s="4">
        <v>0</v>
      </c>
      <c r="H42" s="4">
        <v>0</v>
      </c>
    </row>
    <row r="43" spans="1:8">
      <c r="A43" s="39" t="s">
        <v>294</v>
      </c>
      <c r="B43" s="4">
        <v>1.1636718839574064E-3</v>
      </c>
      <c r="C43" s="10">
        <v>6.8321563628582498E-5</v>
      </c>
      <c r="D43" s="4">
        <v>2.6195935199762569E-4</v>
      </c>
      <c r="E43" s="4">
        <v>6.6290626395091733E-4</v>
      </c>
      <c r="F43" s="4">
        <v>1.3897489265062235E-4</v>
      </c>
      <c r="G43" s="4">
        <v>2.6451838784954782E-4</v>
      </c>
      <c r="H43" s="4">
        <v>2.1066320577672963E-4</v>
      </c>
    </row>
    <row r="44" spans="1:8">
      <c r="A44" s="39" t="s">
        <v>295</v>
      </c>
      <c r="B44" s="4">
        <v>0</v>
      </c>
      <c r="C44" s="10">
        <v>0</v>
      </c>
      <c r="D44" s="4">
        <v>0</v>
      </c>
      <c r="E44" s="4">
        <v>0</v>
      </c>
      <c r="F44" s="4">
        <v>0</v>
      </c>
      <c r="G44" s="4">
        <v>0</v>
      </c>
      <c r="H44" s="4">
        <v>0</v>
      </c>
    </row>
    <row r="45" spans="1:8">
      <c r="A45" s="39" t="s">
        <v>296</v>
      </c>
      <c r="B45" s="4">
        <v>2.8293464248518804E-2</v>
      </c>
      <c r="C45" s="10">
        <v>7.9601348994248853E-4</v>
      </c>
      <c r="D45" s="4">
        <v>5.523205135555977E-4</v>
      </c>
      <c r="E45" s="4">
        <v>5.6382637522965336E-4</v>
      </c>
      <c r="F45" s="4">
        <v>3.392930144156803E-4</v>
      </c>
      <c r="G45" s="4">
        <v>1.0849309222093692E-3</v>
      </c>
      <c r="H45" s="4">
        <v>1.30436442109636E-3</v>
      </c>
    </row>
    <row r="46" spans="1:8">
      <c r="A46" s="39" t="s">
        <v>297</v>
      </c>
      <c r="B46" s="4">
        <v>2.6764692876659082E-2</v>
      </c>
      <c r="C46" s="10">
        <v>3.6986497965968319E-3</v>
      </c>
      <c r="D46" s="4">
        <v>2.404777587644482E-3</v>
      </c>
      <c r="E46" s="4">
        <v>1.477955936288559E-3</v>
      </c>
      <c r="F46" s="4">
        <v>1.6074553717367782E-2</v>
      </c>
      <c r="G46" s="4">
        <v>2.0772515184055559E-3</v>
      </c>
      <c r="H46" s="4">
        <v>2.4662278685575879E-3</v>
      </c>
    </row>
    <row r="47" spans="1:8">
      <c r="A47" s="39" t="s">
        <v>298</v>
      </c>
      <c r="B47" s="4">
        <v>5.3634187479735779E-2</v>
      </c>
      <c r="C47" s="10">
        <v>4.7062953109913343E-3</v>
      </c>
      <c r="D47" s="4">
        <v>4.0576014858744206E-3</v>
      </c>
      <c r="E47" s="4">
        <v>3.238853010706678E-3</v>
      </c>
      <c r="F47" s="4">
        <v>3.8101547664179489E-2</v>
      </c>
      <c r="G47" s="4">
        <v>5.2375905764384311E-3</v>
      </c>
      <c r="H47" s="4">
        <v>4.1824839962121951E-3</v>
      </c>
    </row>
    <row r="48" spans="1:8">
      <c r="A48" s="39" t="s">
        <v>299</v>
      </c>
      <c r="B48" s="4">
        <v>6.5891921896329769E-4</v>
      </c>
      <c r="C48" s="10">
        <v>1.806567738724346E-4</v>
      </c>
      <c r="D48" s="4">
        <v>6.2470335906924458E-5</v>
      </c>
      <c r="E48" s="4">
        <v>0</v>
      </c>
      <c r="F48" s="4">
        <v>0</v>
      </c>
      <c r="G48" s="4">
        <v>8.8965415219078155E-5</v>
      </c>
      <c r="H48" s="4">
        <v>0</v>
      </c>
    </row>
    <row r="49" spans="1:8">
      <c r="A49" s="39" t="s">
        <v>300</v>
      </c>
      <c r="B49" s="4">
        <v>5.4523696605949514E-4</v>
      </c>
      <c r="C49" s="10">
        <v>2.3247971462242076E-4</v>
      </c>
      <c r="D49" s="4">
        <v>8.2952134036469059E-5</v>
      </c>
      <c r="E49" s="4">
        <v>1.1526912678018333E-4</v>
      </c>
      <c r="F49" s="4">
        <v>0</v>
      </c>
      <c r="G49" s="4">
        <v>0</v>
      </c>
      <c r="H49" s="4">
        <v>1.1453599062042215E-4</v>
      </c>
    </row>
    <row r="50" spans="1:8">
      <c r="A50" s="39" t="s">
        <v>301</v>
      </c>
      <c r="B50" s="4">
        <v>1.9028899622351342E-4</v>
      </c>
      <c r="C50" s="10">
        <v>0</v>
      </c>
      <c r="D50" s="4">
        <v>0</v>
      </c>
      <c r="E50" s="4">
        <v>0</v>
      </c>
      <c r="F50" s="4">
        <v>0</v>
      </c>
      <c r="G50" s="4">
        <v>0</v>
      </c>
      <c r="H50" s="4">
        <v>1.9028899622351342E-4</v>
      </c>
    </row>
    <row r="51" spans="1:8">
      <c r="A51" s="39" t="s">
        <v>302</v>
      </c>
      <c r="B51" s="4">
        <v>8.444338589552199E-5</v>
      </c>
      <c r="C51" s="10">
        <v>8.444338589552199E-5</v>
      </c>
      <c r="D51" s="4">
        <v>0</v>
      </c>
      <c r="E51" s="4">
        <v>0</v>
      </c>
      <c r="F51" s="4">
        <v>0</v>
      </c>
      <c r="G51" s="4">
        <v>0</v>
      </c>
      <c r="H51" s="4">
        <v>0</v>
      </c>
    </row>
    <row r="52" spans="1:8">
      <c r="A52" s="39" t="s">
        <v>303</v>
      </c>
      <c r="B52" s="4">
        <v>3.9957223183435049E-4</v>
      </c>
      <c r="C52" s="10">
        <v>1.4611477138262331E-4</v>
      </c>
      <c r="D52" s="4">
        <v>2.5345746045172716E-4</v>
      </c>
      <c r="E52" s="4">
        <v>2.5345746045172716E-4</v>
      </c>
      <c r="F52" s="4">
        <v>1.6442679424919253E-4</v>
      </c>
      <c r="G52" s="4">
        <v>1.6442679424919253E-4</v>
      </c>
      <c r="H52" s="4">
        <v>1.4611477138262331E-4</v>
      </c>
    </row>
    <row r="53" spans="1:8">
      <c r="A53" s="39" t="s">
        <v>304</v>
      </c>
      <c r="B53" s="4">
        <v>4.3693799944309096E-3</v>
      </c>
      <c r="C53" s="10">
        <v>1.0716371780845613E-3</v>
      </c>
      <c r="D53" s="4">
        <v>1.8135614087929705E-4</v>
      </c>
      <c r="E53" s="4">
        <v>4.0375727024094429E-4</v>
      </c>
      <c r="F53" s="4">
        <v>1.4649307457861179E-3</v>
      </c>
      <c r="G53" s="4">
        <v>1.5628739919182318E-3</v>
      </c>
      <c r="H53" s="4">
        <v>3.9652728716325691E-4</v>
      </c>
    </row>
    <row r="54" spans="1:8">
      <c r="A54" s="39" t="s">
        <v>305</v>
      </c>
      <c r="B54" s="4">
        <v>1.1368867665407015E-3</v>
      </c>
      <c r="C54" s="10">
        <v>2.0650395686630101E-4</v>
      </c>
      <c r="D54" s="4">
        <v>3.4988850683384087E-4</v>
      </c>
      <c r="E54" s="4">
        <v>2.5995861219668562E-4</v>
      </c>
      <c r="F54" s="4">
        <v>9.553181794749308E-5</v>
      </c>
      <c r="G54" s="4">
        <v>4.2275845590149718E-4</v>
      </c>
      <c r="H54" s="4">
        <v>3.6168547867844041E-4</v>
      </c>
    </row>
    <row r="55" spans="1:8">
      <c r="A55" s="39" t="s">
        <v>306</v>
      </c>
      <c r="B55" s="4">
        <v>6.5894993252813103E-4</v>
      </c>
      <c r="C55" s="10">
        <v>2.3801984830905786E-4</v>
      </c>
      <c r="D55" s="4">
        <v>0</v>
      </c>
      <c r="E55" s="4">
        <v>7.9558416858247668E-5</v>
      </c>
      <c r="F55" s="4">
        <v>1.5416886940246668E-4</v>
      </c>
      <c r="G55" s="4">
        <v>7.4610452544219023E-5</v>
      </c>
      <c r="H55" s="4">
        <v>3.0808645462410665E-4</v>
      </c>
    </row>
    <row r="56" spans="1:8">
      <c r="A56" s="39" t="s">
        <v>307</v>
      </c>
      <c r="B56" s="4">
        <v>2.7558635591469496E-3</v>
      </c>
      <c r="C56" s="10">
        <v>2.7961625154239217E-4</v>
      </c>
      <c r="D56" s="4">
        <v>3.296313336627084E-4</v>
      </c>
      <c r="E56" s="4">
        <v>0</v>
      </c>
      <c r="F56" s="4">
        <v>1.4640069082418153E-4</v>
      </c>
      <c r="G56" s="4">
        <v>3.0776523109447796E-4</v>
      </c>
      <c r="H56" s="4">
        <v>1.8197413055645785E-4</v>
      </c>
    </row>
    <row r="57" spans="1:8">
      <c r="A57" s="39" t="s">
        <v>308</v>
      </c>
      <c r="B57" s="4">
        <v>1.5594037007617972E-2</v>
      </c>
      <c r="C57" s="10">
        <v>1.7410792859426196E-3</v>
      </c>
      <c r="D57" s="4">
        <v>1.8208976849389709E-3</v>
      </c>
      <c r="E57" s="4">
        <v>4.2740728769677791E-3</v>
      </c>
      <c r="F57" s="4">
        <v>2.3173103556514557E-3</v>
      </c>
      <c r="G57" s="4">
        <v>3.9236049674645302E-3</v>
      </c>
      <c r="H57" s="4">
        <v>2.8986070532549071E-3</v>
      </c>
    </row>
    <row r="58" spans="1:8">
      <c r="A58" s="39" t="s">
        <v>309</v>
      </c>
      <c r="B58" s="4">
        <v>2.8988429354349763E-4</v>
      </c>
      <c r="C58" s="10">
        <v>8.0899971306941859E-5</v>
      </c>
      <c r="D58" s="4">
        <v>0</v>
      </c>
      <c r="E58" s="4">
        <v>2.0898432223655575E-4</v>
      </c>
      <c r="F58" s="4">
        <v>0</v>
      </c>
      <c r="G58" s="4">
        <v>0</v>
      </c>
      <c r="H58" s="4">
        <v>0</v>
      </c>
    </row>
    <row r="59" spans="1:8">
      <c r="A59" s="39" t="s">
        <v>310</v>
      </c>
      <c r="B59" s="4">
        <v>4.6182440669360794E-4</v>
      </c>
      <c r="C59" s="10">
        <v>0</v>
      </c>
      <c r="D59" s="4">
        <v>0</v>
      </c>
      <c r="E59" s="4">
        <v>0</v>
      </c>
      <c r="F59" s="4">
        <v>1.2619963174210285E-4</v>
      </c>
      <c r="G59" s="4">
        <v>0</v>
      </c>
      <c r="H59" s="4">
        <v>1.2775903265699738E-4</v>
      </c>
    </row>
    <row r="60" spans="1:8">
      <c r="A60" s="39" t="s">
        <v>311</v>
      </c>
      <c r="B60" s="4">
        <v>0.13114016986517357</v>
      </c>
      <c r="C60" s="10">
        <v>6.8363161863049193E-2</v>
      </c>
      <c r="D60" s="4">
        <v>1.8206713372054963E-2</v>
      </c>
      <c r="E60" s="4">
        <v>6.9470350674153605E-3</v>
      </c>
      <c r="F60" s="4">
        <v>1.0404984533710969E-2</v>
      </c>
      <c r="G60" s="4">
        <v>7.74077893130395E-3</v>
      </c>
      <c r="H60" s="4">
        <v>2.6005765857622022E-2</v>
      </c>
    </row>
    <row r="61" spans="1:8">
      <c r="A61" s="39" t="s">
        <v>312</v>
      </c>
      <c r="B61" s="4">
        <v>5.288850795016843E-4</v>
      </c>
      <c r="C61" s="10">
        <v>2.9444272074033223E-4</v>
      </c>
      <c r="D61" s="4">
        <v>2.675146732460674E-4</v>
      </c>
      <c r="E61" s="4">
        <v>2.9444272074033223E-4</v>
      </c>
      <c r="F61" s="4">
        <v>2.9444272074033223E-4</v>
      </c>
      <c r="G61" s="4">
        <v>1.6366110991613989E-4</v>
      </c>
      <c r="H61" s="4">
        <v>0</v>
      </c>
    </row>
    <row r="62" spans="1:8">
      <c r="A62" s="39" t="s">
        <v>313</v>
      </c>
      <c r="B62" s="4">
        <v>3.1759177086329089E-4</v>
      </c>
      <c r="C62" s="10">
        <v>1.2593239576577848E-4</v>
      </c>
      <c r="D62" s="4">
        <v>2.2604874056689989E-4</v>
      </c>
      <c r="E62" s="4">
        <v>1.0011634480112144E-4</v>
      </c>
      <c r="F62" s="4">
        <v>0</v>
      </c>
      <c r="G62" s="4">
        <v>1.2593239576577848E-4</v>
      </c>
      <c r="H62" s="4">
        <v>1.2593239576577848E-4</v>
      </c>
    </row>
    <row r="63" spans="1:8">
      <c r="A63" s="39" t="s">
        <v>314</v>
      </c>
      <c r="B63" s="4">
        <v>1.6366110991613989E-4</v>
      </c>
      <c r="C63" s="10">
        <v>0</v>
      </c>
      <c r="D63" s="4">
        <v>1.6366110991613989E-4</v>
      </c>
      <c r="E63" s="4">
        <v>1.6366110991613989E-4</v>
      </c>
      <c r="F63" s="4">
        <v>1.6366110991613989E-4</v>
      </c>
      <c r="G63" s="4">
        <v>0</v>
      </c>
      <c r="H63" s="4">
        <v>0</v>
      </c>
    </row>
    <row r="64" spans="1:8">
      <c r="A64" s="39" t="s">
        <v>315</v>
      </c>
      <c r="B64" s="4">
        <v>7.4707890878954698E-3</v>
      </c>
      <c r="C64" s="10">
        <v>3.2461490725491692E-3</v>
      </c>
      <c r="D64" s="4">
        <v>9.3381482595979539E-4</v>
      </c>
      <c r="E64" s="4">
        <v>5.5097121714812037E-4</v>
      </c>
      <c r="F64" s="4">
        <v>1.0175981063196072E-3</v>
      </c>
      <c r="G64" s="4">
        <v>1.8047931083712014E-3</v>
      </c>
      <c r="H64" s="4">
        <v>7.7886349433475344E-4</v>
      </c>
    </row>
    <row r="65" spans="1:8">
      <c r="A65" s="39" t="s">
        <v>316</v>
      </c>
      <c r="B65" s="4">
        <v>1.88365034676388E-4</v>
      </c>
      <c r="C65" s="10">
        <v>7.9558416858247668E-5</v>
      </c>
      <c r="D65" s="4">
        <v>0</v>
      </c>
      <c r="E65" s="4">
        <v>0</v>
      </c>
      <c r="F65" s="4">
        <v>0</v>
      </c>
      <c r="G65" s="4">
        <v>0</v>
      </c>
      <c r="H65" s="4">
        <v>0</v>
      </c>
    </row>
    <row r="66" spans="1:8">
      <c r="A66" s="39" t="s">
        <v>317</v>
      </c>
      <c r="B66" s="4">
        <v>3.9457367197859614E-4</v>
      </c>
      <c r="C66" s="10">
        <v>1.0210534744097601E-4</v>
      </c>
      <c r="D66" s="4">
        <v>0</v>
      </c>
      <c r="E66" s="4">
        <v>1.0772069923844886E-4</v>
      </c>
      <c r="F66" s="4">
        <v>0</v>
      </c>
      <c r="G66" s="4">
        <v>0</v>
      </c>
      <c r="H66" s="4">
        <v>0</v>
      </c>
    </row>
    <row r="67" spans="1:8">
      <c r="A67" s="39" t="s">
        <v>318</v>
      </c>
      <c r="B67" s="4">
        <v>6.7095448140968697E-2</v>
      </c>
      <c r="C67" s="10">
        <v>1.7604791945973027E-2</v>
      </c>
      <c r="D67" s="4">
        <v>6.2902880742655909E-3</v>
      </c>
      <c r="E67" s="4">
        <v>1.2873469751727179E-2</v>
      </c>
      <c r="F67" s="4">
        <v>2.4815816207501836E-2</v>
      </c>
      <c r="G67" s="4">
        <v>1.615162431942839E-3</v>
      </c>
      <c r="H67" s="4">
        <v>2.0934385491336235E-3</v>
      </c>
    </row>
    <row r="68" spans="1:8">
      <c r="A68" s="39" t="s">
        <v>319</v>
      </c>
      <c r="B68" s="4">
        <v>2.0417421819520385E-3</v>
      </c>
      <c r="C68" s="10">
        <v>1.2658449066049819E-4</v>
      </c>
      <c r="D68" s="4">
        <v>3.9829249624311871E-4</v>
      </c>
      <c r="E68" s="4">
        <v>2.0003856707192583E-4</v>
      </c>
      <c r="F68" s="4">
        <v>1.0366906506760584E-4</v>
      </c>
      <c r="G68" s="4">
        <v>0</v>
      </c>
      <c r="H68" s="4">
        <v>9.8064396721015117E-4</v>
      </c>
    </row>
    <row r="69" spans="1:8">
      <c r="A69" s="39" t="s">
        <v>320</v>
      </c>
      <c r="B69" s="4">
        <v>0</v>
      </c>
      <c r="C69" s="10">
        <v>0</v>
      </c>
      <c r="D69" s="4">
        <v>0</v>
      </c>
      <c r="E69" s="4">
        <v>0</v>
      </c>
      <c r="F69" s="4">
        <v>0</v>
      </c>
      <c r="G69" s="4">
        <v>0</v>
      </c>
      <c r="H69" s="4">
        <v>0</v>
      </c>
    </row>
    <row r="70" spans="1:8">
      <c r="A70" s="39" t="s">
        <v>321</v>
      </c>
      <c r="B70" s="4">
        <v>7.6003132449955985E-3</v>
      </c>
      <c r="C70" s="10">
        <v>5.0279403128184888E-3</v>
      </c>
      <c r="D70" s="4">
        <v>6.5778611693011028E-4</v>
      </c>
      <c r="E70" s="4">
        <v>6.4133246091325818E-4</v>
      </c>
      <c r="F70" s="4">
        <v>0</v>
      </c>
      <c r="G70" s="4">
        <v>6.4675969453131213E-4</v>
      </c>
      <c r="H70" s="4">
        <v>1.5320331787010897E-3</v>
      </c>
    </row>
    <row r="71" spans="1:8">
      <c r="A71" s="39" t="s">
        <v>322</v>
      </c>
      <c r="B71" s="4">
        <v>2.5105048471350594E-4</v>
      </c>
      <c r="C71" s="10">
        <v>0</v>
      </c>
      <c r="D71" s="4">
        <v>1.2658449066049819E-4</v>
      </c>
      <c r="E71" s="4">
        <v>0</v>
      </c>
      <c r="F71" s="4">
        <v>0</v>
      </c>
      <c r="G71" s="4">
        <v>0</v>
      </c>
      <c r="H71" s="4">
        <v>1.2446599405300778E-4</v>
      </c>
    </row>
    <row r="72" spans="1:8">
      <c r="A72" s="39" t="s">
        <v>323</v>
      </c>
      <c r="B72" s="4">
        <v>3.9796666756801349E-4</v>
      </c>
      <c r="C72" s="10">
        <v>0</v>
      </c>
      <c r="D72" s="4">
        <v>3.9796666756801349E-4</v>
      </c>
      <c r="E72" s="4">
        <v>0</v>
      </c>
      <c r="F72" s="4">
        <v>0</v>
      </c>
      <c r="G72" s="4">
        <v>1.3607273391376851E-4</v>
      </c>
      <c r="H72" s="4">
        <v>0</v>
      </c>
    </row>
    <row r="73" spans="1:8">
      <c r="A73" s="39" t="s">
        <v>324</v>
      </c>
      <c r="B73" s="4">
        <v>9.8367564920370237E-5</v>
      </c>
      <c r="C73" s="10">
        <v>0</v>
      </c>
      <c r="D73" s="4">
        <v>0</v>
      </c>
      <c r="E73" s="4">
        <v>0</v>
      </c>
      <c r="F73" s="4">
        <v>0</v>
      </c>
      <c r="G73" s="4">
        <v>9.8367564920370237E-5</v>
      </c>
      <c r="H73" s="4">
        <v>0</v>
      </c>
    </row>
    <row r="74" spans="1:8">
      <c r="A74" s="39" t="s">
        <v>325</v>
      </c>
      <c r="B74" s="4">
        <v>1.8937968894589734E-3</v>
      </c>
      <c r="C74" s="10">
        <v>9.1543030296390953E-5</v>
      </c>
      <c r="D74" s="4">
        <v>2.1604276230357788E-4</v>
      </c>
      <c r="E74" s="4">
        <v>2.6276511463013268E-4</v>
      </c>
      <c r="F74" s="4">
        <v>8.579466130277431E-4</v>
      </c>
      <c r="G74" s="4">
        <v>6.4041515049179196E-4</v>
      </c>
      <c r="H74" s="4">
        <v>0</v>
      </c>
    </row>
    <row r="75" spans="1:8">
      <c r="A75" s="39" t="s">
        <v>326</v>
      </c>
      <c r="B75" s="4">
        <v>9.601767106590464E-5</v>
      </c>
      <c r="C75" s="10">
        <v>9.601767106590464E-5</v>
      </c>
      <c r="D75" s="4">
        <v>0</v>
      </c>
      <c r="E75" s="4">
        <v>0</v>
      </c>
      <c r="F75" s="4">
        <v>9.601767106590464E-5</v>
      </c>
      <c r="G75" s="4">
        <v>0</v>
      </c>
      <c r="H75" s="4">
        <v>0</v>
      </c>
    </row>
    <row r="76" spans="1:8">
      <c r="A76" s="39" t="s">
        <v>327</v>
      </c>
      <c r="B76" s="4">
        <v>7.3577874363057278E-4</v>
      </c>
      <c r="C76" s="10">
        <v>3.1476823828257189E-4</v>
      </c>
      <c r="D76" s="4">
        <v>9.5156595359151378E-5</v>
      </c>
      <c r="E76" s="4">
        <v>0</v>
      </c>
      <c r="F76" s="4">
        <v>2.196317393407133E-4</v>
      </c>
      <c r="G76" s="4">
        <v>1.9948499020287335E-4</v>
      </c>
      <c r="H76" s="4">
        <v>0</v>
      </c>
    </row>
    <row r="77" spans="1:8">
      <c r="A77" s="39" t="s">
        <v>328</v>
      </c>
      <c r="B77" s="4">
        <v>6.1688189383006034E-3</v>
      </c>
      <c r="C77" s="10">
        <v>1.4452199109144016E-3</v>
      </c>
      <c r="D77" s="4">
        <v>7.3599072335896252E-4</v>
      </c>
      <c r="E77" s="4">
        <v>8.5218024450311319E-4</v>
      </c>
      <c r="F77" s="4">
        <v>3.9438741518874861E-3</v>
      </c>
      <c r="G77" s="4">
        <v>2.3620835277103565E-4</v>
      </c>
      <c r="H77" s="4">
        <v>0</v>
      </c>
    </row>
    <row r="78" spans="1:8">
      <c r="A78" s="39" t="s">
        <v>329</v>
      </c>
      <c r="B78" s="4">
        <v>1.8281418379272895E-2</v>
      </c>
      <c r="C78" s="10">
        <v>3.4791215192848208E-3</v>
      </c>
      <c r="D78" s="4">
        <v>1.1728728652074718E-3</v>
      </c>
      <c r="E78" s="4">
        <v>1.6559514086452193E-3</v>
      </c>
      <c r="F78" s="4">
        <v>1.0642037386339681E-2</v>
      </c>
      <c r="G78" s="4">
        <v>7.0046874119378678E-4</v>
      </c>
      <c r="H78" s="4">
        <v>4.8652481677520141E-4</v>
      </c>
    </row>
    <row r="79" spans="1:8">
      <c r="A79" s="39" t="s">
        <v>330</v>
      </c>
      <c r="B79" s="4">
        <v>0</v>
      </c>
      <c r="C79" s="10">
        <v>0</v>
      </c>
      <c r="D79" s="4">
        <v>0</v>
      </c>
      <c r="E79" s="4">
        <v>0</v>
      </c>
      <c r="F79" s="4">
        <v>0</v>
      </c>
      <c r="G79" s="4">
        <v>0</v>
      </c>
      <c r="H79" s="4">
        <v>0</v>
      </c>
    </row>
    <row r="80" spans="1:8">
      <c r="A80" s="39" t="s">
        <v>331</v>
      </c>
      <c r="B80" s="4">
        <v>9.47714181973205E-5</v>
      </c>
      <c r="C80" s="10">
        <v>0</v>
      </c>
      <c r="D80" s="4">
        <v>0</v>
      </c>
      <c r="E80" s="4">
        <v>9.47714181973205E-5</v>
      </c>
      <c r="F80" s="4">
        <v>9.47714181973205E-5</v>
      </c>
      <c r="G80" s="4">
        <v>0</v>
      </c>
      <c r="H80" s="4">
        <v>0</v>
      </c>
    </row>
    <row r="81" spans="1:8">
      <c r="A81" s="39" t="s">
        <v>332</v>
      </c>
      <c r="B81" s="4">
        <v>1.958300246476619E-4</v>
      </c>
      <c r="C81" s="10">
        <v>0</v>
      </c>
      <c r="D81" s="4">
        <v>0</v>
      </c>
      <c r="E81" s="4">
        <v>0</v>
      </c>
      <c r="F81" s="4">
        <v>9.3724677206685883E-5</v>
      </c>
      <c r="G81" s="4">
        <v>0</v>
      </c>
      <c r="H81" s="4">
        <v>1.0210534744097601E-4</v>
      </c>
    </row>
    <row r="82" spans="1:8">
      <c r="A82" s="39" t="s">
        <v>333</v>
      </c>
      <c r="B82" s="4">
        <v>8.8931082988215077E-4</v>
      </c>
      <c r="C82" s="10">
        <v>2.1349666025554241E-4</v>
      </c>
      <c r="D82" s="4">
        <v>1.8055428489579365E-4</v>
      </c>
      <c r="E82" s="4">
        <v>0</v>
      </c>
      <c r="F82" s="4">
        <v>4.4821781701958078E-4</v>
      </c>
      <c r="G82" s="4">
        <v>2.1349666025554241E-4</v>
      </c>
      <c r="H82" s="4">
        <v>0</v>
      </c>
    </row>
    <row r="83" spans="1:8">
      <c r="A83" s="39" t="s">
        <v>334</v>
      </c>
      <c r="B83" s="4">
        <v>1.0442790658302397E-3</v>
      </c>
      <c r="C83" s="10">
        <v>7.4042497449256493E-4</v>
      </c>
      <c r="D83" s="4">
        <v>2.7398392652481308E-4</v>
      </c>
      <c r="E83" s="4">
        <v>9.47714181973205E-5</v>
      </c>
      <c r="F83" s="4">
        <v>2.0908267314035428E-4</v>
      </c>
      <c r="G83" s="4">
        <v>1.89542836394641E-4</v>
      </c>
      <c r="H83" s="4">
        <v>1.89542836394641E-4</v>
      </c>
    </row>
    <row r="84" spans="1:8">
      <c r="A84" s="39" t="s">
        <v>335</v>
      </c>
      <c r="B84" s="4">
        <v>1.3245107482724497E-4</v>
      </c>
      <c r="C84" s="10">
        <v>0</v>
      </c>
      <c r="D84" s="4">
        <v>1.3245107482724497E-4</v>
      </c>
      <c r="E84" s="4">
        <v>0</v>
      </c>
      <c r="F84" s="4">
        <v>1.3245107482724497E-4</v>
      </c>
      <c r="G84" s="4">
        <v>1.3245107482724497E-4</v>
      </c>
      <c r="H84" s="4">
        <v>0</v>
      </c>
    </row>
    <row r="85" spans="1:8">
      <c r="A85" s="39" t="s">
        <v>336</v>
      </c>
      <c r="B85" s="4">
        <v>8.1850381531683655E-3</v>
      </c>
      <c r="C85" s="10">
        <v>5.1962228022640108E-3</v>
      </c>
      <c r="D85" s="4">
        <v>1.2357006051908041E-3</v>
      </c>
      <c r="E85" s="4">
        <v>1.4394023670174025E-4</v>
      </c>
      <c r="F85" s="4">
        <v>0</v>
      </c>
      <c r="G85" s="4">
        <v>3.829551441860015E-4</v>
      </c>
      <c r="H85" s="4">
        <v>2.1282061340935335E-4</v>
      </c>
    </row>
    <row r="86" spans="1:8">
      <c r="A86" s="39" t="s">
        <v>337</v>
      </c>
      <c r="B86" s="4">
        <v>7.4610452544219023E-5</v>
      </c>
      <c r="C86" s="10">
        <v>0</v>
      </c>
      <c r="D86" s="4">
        <v>0</v>
      </c>
      <c r="E86" s="4">
        <v>0</v>
      </c>
      <c r="F86" s="4">
        <v>0</v>
      </c>
      <c r="G86" s="4">
        <v>0</v>
      </c>
      <c r="H86" s="4">
        <v>0</v>
      </c>
    </row>
    <row r="87" spans="1:8">
      <c r="A87" s="39" t="s">
        <v>338</v>
      </c>
      <c r="B87" s="4">
        <v>0</v>
      </c>
      <c r="C87" s="10">
        <v>0</v>
      </c>
      <c r="D87" s="4">
        <v>0</v>
      </c>
      <c r="E87" s="4">
        <v>0</v>
      </c>
      <c r="F87" s="4">
        <v>0</v>
      </c>
      <c r="G87" s="4">
        <v>0</v>
      </c>
      <c r="H87" s="4">
        <v>0</v>
      </c>
    </row>
    <row r="88" spans="1:8">
      <c r="A88" s="39" t="s">
        <v>339</v>
      </c>
      <c r="B88" s="4">
        <v>6.3630262185366531E-3</v>
      </c>
      <c r="C88" s="10">
        <v>1.1210367555471883E-3</v>
      </c>
      <c r="D88" s="4">
        <v>9.1523618693259003E-5</v>
      </c>
      <c r="E88" s="4">
        <v>4.9871523081842909E-4</v>
      </c>
      <c r="F88" s="4">
        <v>3.9364194382202049E-3</v>
      </c>
      <c r="G88" s="4">
        <v>7.0780009770849523E-4</v>
      </c>
      <c r="H88" s="4">
        <v>7.0653329022039841E-5</v>
      </c>
    </row>
    <row r="89" spans="1:8">
      <c r="A89" s="39" t="s">
        <v>340</v>
      </c>
      <c r="B89" s="4">
        <v>1.5370843143837428E-3</v>
      </c>
      <c r="C89" s="10">
        <v>4.6151959639843587E-4</v>
      </c>
      <c r="D89" s="4">
        <v>4.5897186920211867E-4</v>
      </c>
      <c r="E89" s="4">
        <v>0</v>
      </c>
      <c r="F89" s="4">
        <v>7.5841612973838999E-4</v>
      </c>
      <c r="G89" s="4">
        <v>2.7780788495818424E-4</v>
      </c>
      <c r="H89" s="4">
        <v>1.418232809552015E-4</v>
      </c>
    </row>
    <row r="90" spans="1:8">
      <c r="A90" s="39" t="s">
        <v>341</v>
      </c>
      <c r="B90" s="4">
        <v>0</v>
      </c>
      <c r="C90" s="10">
        <v>0</v>
      </c>
      <c r="D90" s="4">
        <v>0</v>
      </c>
      <c r="E90" s="4">
        <v>0</v>
      </c>
      <c r="F90" s="4">
        <v>0</v>
      </c>
      <c r="G90" s="4">
        <v>0</v>
      </c>
      <c r="H90" s="4">
        <v>0</v>
      </c>
    </row>
    <row r="91" spans="1:8">
      <c r="A91" s="39" t="s">
        <v>342</v>
      </c>
      <c r="B91" s="4">
        <v>5.7430070210813785E-3</v>
      </c>
      <c r="C91" s="10">
        <v>9.6011631852798904E-4</v>
      </c>
      <c r="D91" s="4">
        <v>8.1610069115002214E-4</v>
      </c>
      <c r="E91" s="4">
        <v>4.2271835467494749E-4</v>
      </c>
      <c r="F91" s="4">
        <v>5.1848347222030521E-4</v>
      </c>
      <c r="G91" s="4">
        <v>1.1011270385093788E-3</v>
      </c>
      <c r="H91" s="4">
        <v>1.1746674707512291E-3</v>
      </c>
    </row>
    <row r="92" spans="1:8">
      <c r="A92" s="39" t="s">
        <v>343</v>
      </c>
      <c r="B92" s="4">
        <v>1.1098967603961774E-3</v>
      </c>
      <c r="C92" s="10">
        <v>4.7114936306307095E-4</v>
      </c>
      <c r="D92" s="4">
        <v>1.4183187189028654E-4</v>
      </c>
      <c r="E92" s="4">
        <v>1.2775903265699738E-4</v>
      </c>
      <c r="F92" s="4">
        <v>2.8186808509127062E-4</v>
      </c>
      <c r="G92" s="4">
        <v>0</v>
      </c>
      <c r="H92" s="4">
        <v>9.5307299930760703E-5</v>
      </c>
    </row>
    <row r="93" spans="1:8">
      <c r="A93" s="39" t="s">
        <v>344</v>
      </c>
      <c r="B93" s="4">
        <v>2.4118906951360627E-3</v>
      </c>
      <c r="C93" s="10">
        <v>1.8481352320159539E-4</v>
      </c>
      <c r="D93" s="4">
        <v>1.7808551126488327E-4</v>
      </c>
      <c r="E93" s="4">
        <v>0</v>
      </c>
      <c r="F93" s="4">
        <v>5.1660591431608558E-4</v>
      </c>
      <c r="G93" s="4">
        <v>6.3670548562213874E-5</v>
      </c>
      <c r="H93" s="4">
        <v>1.957059912862316E-4</v>
      </c>
    </row>
    <row r="94" spans="1:8">
      <c r="A94" s="39" t="s">
        <v>345</v>
      </c>
      <c r="B94" s="4">
        <v>1.1349558465121044E-4</v>
      </c>
      <c r="C94" s="10">
        <v>0</v>
      </c>
      <c r="D94" s="4">
        <v>0</v>
      </c>
      <c r="E94" s="4">
        <v>0</v>
      </c>
      <c r="F94" s="4">
        <v>0</v>
      </c>
      <c r="G94" s="4">
        <v>0</v>
      </c>
      <c r="H94" s="4">
        <v>1.1349558465121044E-4</v>
      </c>
    </row>
    <row r="95" spans="1:8">
      <c r="A95" s="39" t="s">
        <v>346</v>
      </c>
      <c r="B95" s="4">
        <v>6.7012643081504689E-4</v>
      </c>
      <c r="C95" s="10">
        <v>0</v>
      </c>
      <c r="D95" s="4">
        <v>9.1325537189330329E-5</v>
      </c>
      <c r="E95" s="4">
        <v>1.2633380163985512E-4</v>
      </c>
      <c r="F95" s="4">
        <v>3.1037780517212177E-4</v>
      </c>
      <c r="G95" s="4">
        <v>1.4208928681373967E-4</v>
      </c>
      <c r="H95" s="4">
        <v>0</v>
      </c>
    </row>
    <row r="96" spans="1:8">
      <c r="A96" s="39" t="s">
        <v>347</v>
      </c>
      <c r="B96" s="4">
        <v>4.6839681205308084E-2</v>
      </c>
      <c r="C96" s="10">
        <v>2.6323556429705585E-2</v>
      </c>
      <c r="D96" s="4">
        <v>9.0908812476892028E-3</v>
      </c>
      <c r="E96" s="4">
        <v>2.3066419735225476E-3</v>
      </c>
      <c r="F96" s="4">
        <v>9.8437442704293128E-4</v>
      </c>
      <c r="G96" s="4">
        <v>2.0364293564136002E-3</v>
      </c>
      <c r="H96" s="4">
        <v>1.1367349482137769E-2</v>
      </c>
    </row>
    <row r="97" spans="1:8">
      <c r="A97" s="39" t="s">
        <v>348</v>
      </c>
      <c r="B97" s="4">
        <v>4.6082036017092392E-4</v>
      </c>
      <c r="C97" s="10">
        <v>0</v>
      </c>
      <c r="D97" s="4">
        <v>0</v>
      </c>
      <c r="E97" s="4">
        <v>0</v>
      </c>
      <c r="F97" s="4">
        <v>4.6082036017092392E-4</v>
      </c>
      <c r="G97" s="4">
        <v>0</v>
      </c>
      <c r="H97" s="4">
        <v>0</v>
      </c>
    </row>
    <row r="98" spans="1:8">
      <c r="A98" s="39" t="s">
        <v>349</v>
      </c>
      <c r="B98" s="4">
        <v>4.1341835203829297E-4</v>
      </c>
      <c r="C98" s="10">
        <v>1.6366110991613989E-4</v>
      </c>
      <c r="D98" s="4">
        <v>1.4112294630619037E-4</v>
      </c>
      <c r="E98" s="4">
        <v>0</v>
      </c>
      <c r="F98" s="4">
        <v>6.9450663035899846E-5</v>
      </c>
      <c r="G98" s="4">
        <v>6.9450663035899846E-5</v>
      </c>
      <c r="H98" s="4">
        <v>1.7808495885186256E-4</v>
      </c>
    </row>
    <row r="99" spans="1:8">
      <c r="A99" s="39" t="s">
        <v>350</v>
      </c>
      <c r="B99" s="4">
        <v>1.8437846862526334E-4</v>
      </c>
      <c r="C99" s="10">
        <v>6.6610376948397925E-5</v>
      </c>
      <c r="D99" s="4">
        <v>0</v>
      </c>
      <c r="E99" s="4">
        <v>1.177680916768654E-4</v>
      </c>
      <c r="F99" s="4">
        <v>0</v>
      </c>
      <c r="G99" s="4">
        <v>0</v>
      </c>
      <c r="H99" s="4">
        <v>0</v>
      </c>
    </row>
    <row r="100" spans="1:8">
      <c r="A100" s="39" t="s">
        <v>351</v>
      </c>
      <c r="B100" s="4">
        <v>4.6782486344203057E-3</v>
      </c>
      <c r="C100" s="10">
        <v>3.2053213764328256E-3</v>
      </c>
      <c r="D100" s="4">
        <v>6.1717589502983841E-4</v>
      </c>
      <c r="E100" s="4">
        <v>0</v>
      </c>
      <c r="F100" s="4">
        <v>1.3994503646225665E-4</v>
      </c>
      <c r="G100" s="4">
        <v>0</v>
      </c>
      <c r="H100" s="4">
        <v>4.897975802582176E-4</v>
      </c>
    </row>
    <row r="101" spans="1:8">
      <c r="A101" s="39" t="s">
        <v>352</v>
      </c>
      <c r="B101" s="4">
        <v>4.4420545707705397E-4</v>
      </c>
      <c r="C101" s="10">
        <v>9.1523618693259003E-5</v>
      </c>
      <c r="D101" s="4">
        <v>9.1523618693259003E-5</v>
      </c>
      <c r="E101" s="4">
        <v>2.0676514850510026E-4</v>
      </c>
      <c r="F101" s="4">
        <v>1.4611477138262331E-4</v>
      </c>
      <c r="G101" s="4">
        <v>9.1523618693259003E-5</v>
      </c>
      <c r="H101" s="4">
        <v>0</v>
      </c>
    </row>
    <row r="102" spans="1:8">
      <c r="A102" s="39" t="s">
        <v>353</v>
      </c>
      <c r="B102" s="4">
        <v>9.1523618693259003E-5</v>
      </c>
      <c r="C102" s="10">
        <v>9.1523618693259003E-5</v>
      </c>
      <c r="D102" s="4">
        <v>9.1523618693259003E-5</v>
      </c>
      <c r="E102" s="4">
        <v>9.1523618693259003E-5</v>
      </c>
      <c r="F102" s="4">
        <v>9.1523618693259003E-5</v>
      </c>
      <c r="G102" s="4">
        <v>0</v>
      </c>
      <c r="H102" s="4">
        <v>0</v>
      </c>
    </row>
    <row r="103" spans="1:8">
      <c r="A103" s="39" t="s">
        <v>354</v>
      </c>
      <c r="B103" s="4">
        <v>3.061188182292787E-3</v>
      </c>
      <c r="C103" s="10">
        <v>5.2839093935504839E-4</v>
      </c>
      <c r="D103" s="4">
        <v>1.8077704657754582E-4</v>
      </c>
      <c r="E103" s="4">
        <v>5.0870949594838087E-4</v>
      </c>
      <c r="F103" s="4">
        <v>1.6640867683844255E-3</v>
      </c>
      <c r="G103" s="4">
        <v>3.8119917155183142E-4</v>
      </c>
      <c r="H103" s="4">
        <v>9.1523618693259003E-5</v>
      </c>
    </row>
    <row r="104" spans="1:8">
      <c r="A104" s="39" t="s">
        <v>355</v>
      </c>
      <c r="B104" s="4">
        <v>0</v>
      </c>
      <c r="C104" s="10">
        <v>0</v>
      </c>
      <c r="D104" s="4">
        <v>0</v>
      </c>
      <c r="E104" s="4">
        <v>0</v>
      </c>
      <c r="F104" s="4">
        <v>0</v>
      </c>
      <c r="G104" s="4">
        <v>0</v>
      </c>
      <c r="H104" s="4">
        <v>0</v>
      </c>
    </row>
    <row r="105" spans="1:8">
      <c r="A105" s="39" t="s">
        <v>356</v>
      </c>
      <c r="B105" s="4">
        <v>1.2290590604681706E-3</v>
      </c>
      <c r="C105" s="10">
        <v>3.6508680072313936E-4</v>
      </c>
      <c r="D105" s="4">
        <v>3.1606806722389743E-4</v>
      </c>
      <c r="E105" s="4">
        <v>1.9570197346177663E-4</v>
      </c>
      <c r="F105" s="4">
        <v>3.3484383612711305E-4</v>
      </c>
      <c r="G105" s="4">
        <v>8.9030666202534659E-5</v>
      </c>
      <c r="H105" s="4">
        <v>0</v>
      </c>
    </row>
    <row r="106" spans="1:8">
      <c r="A106" s="39" t="s">
        <v>357</v>
      </c>
      <c r="B106" s="4">
        <v>1.1349558465121044E-4</v>
      </c>
      <c r="C106" s="10">
        <v>0</v>
      </c>
      <c r="D106" s="4">
        <v>0</v>
      </c>
      <c r="E106" s="4">
        <v>0</v>
      </c>
      <c r="F106" s="4">
        <v>0</v>
      </c>
      <c r="G106" s="4">
        <v>0</v>
      </c>
      <c r="H106" s="4">
        <v>1.1349558465121044E-4</v>
      </c>
    </row>
    <row r="107" spans="1:8">
      <c r="A107" s="39" t="s">
        <v>358</v>
      </c>
      <c r="B107" s="4">
        <v>5.5839839753014041E-4</v>
      </c>
      <c r="C107" s="10">
        <v>0</v>
      </c>
      <c r="D107" s="4">
        <v>0</v>
      </c>
      <c r="E107" s="4">
        <v>0</v>
      </c>
      <c r="F107" s="4">
        <v>1.7905564948905551E-4</v>
      </c>
      <c r="G107" s="4">
        <v>1.4611477138262331E-4</v>
      </c>
      <c r="H107" s="4">
        <v>0</v>
      </c>
    </row>
    <row r="108" spans="1:8">
      <c r="A108" s="39" t="s">
        <v>359</v>
      </c>
      <c r="B108" s="4">
        <v>0</v>
      </c>
      <c r="C108" s="10">
        <v>0</v>
      </c>
      <c r="D108" s="4">
        <v>0</v>
      </c>
      <c r="E108" s="4">
        <v>0</v>
      </c>
      <c r="F108" s="4">
        <v>0</v>
      </c>
      <c r="G108" s="4">
        <v>0</v>
      </c>
      <c r="H108" s="4">
        <v>0</v>
      </c>
    </row>
    <row r="109" spans="1:8">
      <c r="A109" s="39" t="s">
        <v>360</v>
      </c>
      <c r="B109" s="4">
        <v>0</v>
      </c>
      <c r="C109" s="10">
        <v>0</v>
      </c>
      <c r="D109" s="4">
        <v>0</v>
      </c>
      <c r="E109" s="4">
        <v>0</v>
      </c>
      <c r="F109" s="4">
        <v>0</v>
      </c>
      <c r="G109" s="4">
        <v>0</v>
      </c>
      <c r="H109" s="4">
        <v>0</v>
      </c>
    </row>
    <row r="110" spans="1:8">
      <c r="A110" s="39" t="s">
        <v>361</v>
      </c>
      <c r="B110" s="4">
        <v>1.0087819817548422E-3</v>
      </c>
      <c r="C110" s="10">
        <v>1.2656480288589911E-4</v>
      </c>
      <c r="D110" s="4">
        <v>0</v>
      </c>
      <c r="E110" s="4">
        <v>0</v>
      </c>
      <c r="F110" s="4">
        <v>4.992310509325861E-4</v>
      </c>
      <c r="G110" s="4">
        <v>2.5612231475530565E-4</v>
      </c>
      <c r="H110" s="4">
        <v>0</v>
      </c>
    </row>
    <row r="111" spans="1:8">
      <c r="A111" s="39" t="s">
        <v>362</v>
      </c>
      <c r="B111" s="4">
        <v>0</v>
      </c>
      <c r="C111" s="10">
        <v>0</v>
      </c>
      <c r="D111" s="4">
        <v>0</v>
      </c>
      <c r="E111" s="4">
        <v>0</v>
      </c>
      <c r="F111" s="4">
        <v>0</v>
      </c>
      <c r="G111" s="4">
        <v>0</v>
      </c>
      <c r="H111" s="4">
        <v>0</v>
      </c>
    </row>
    <row r="112" spans="1:8">
      <c r="A112" s="39" t="s">
        <v>363</v>
      </c>
      <c r="B112" s="4">
        <v>2.649922155527896E-3</v>
      </c>
      <c r="C112" s="10">
        <v>4.9131347385321378E-4</v>
      </c>
      <c r="D112" s="4">
        <v>2.1876412061334208E-4</v>
      </c>
      <c r="E112" s="4">
        <v>7.1528892585545904E-4</v>
      </c>
      <c r="F112" s="4">
        <v>8.584415865531531E-4</v>
      </c>
      <c r="G112" s="4">
        <v>9.5156595359151378E-5</v>
      </c>
      <c r="H112" s="4">
        <v>1.2309127939331865E-4</v>
      </c>
    </row>
    <row r="113" spans="1:8">
      <c r="A113" s="39" t="s">
        <v>364</v>
      </c>
      <c r="B113" s="4">
        <v>2.0325094900410443E-3</v>
      </c>
      <c r="C113" s="10">
        <v>2.2265976551431147E-4</v>
      </c>
      <c r="D113" s="4">
        <v>1.7326108759853169E-4</v>
      </c>
      <c r="E113" s="4">
        <v>3.4082476332478184E-4</v>
      </c>
      <c r="F113" s="4">
        <v>8.585060951119051E-4</v>
      </c>
      <c r="G113" s="4">
        <v>0</v>
      </c>
      <c r="H113" s="4">
        <v>1.7170818719770245E-4</v>
      </c>
    </row>
    <row r="114" spans="1:8">
      <c r="A114" s="39" t="s">
        <v>365</v>
      </c>
      <c r="B114" s="4">
        <v>0</v>
      </c>
      <c r="C114" s="10">
        <v>0</v>
      </c>
      <c r="D114" s="4">
        <v>0</v>
      </c>
      <c r="E114" s="4">
        <v>0</v>
      </c>
      <c r="F114" s="4">
        <v>0</v>
      </c>
      <c r="G114" s="4">
        <v>0</v>
      </c>
      <c r="H114" s="4">
        <v>0</v>
      </c>
    </row>
    <row r="115" spans="1:8">
      <c r="A115" s="39" t="s">
        <v>366</v>
      </c>
      <c r="B115" s="4">
        <v>9.3782565213894857E-5</v>
      </c>
      <c r="C115" s="10">
        <v>9.3782565213894857E-5</v>
      </c>
      <c r="D115" s="4">
        <v>0</v>
      </c>
      <c r="E115" s="4">
        <v>0</v>
      </c>
      <c r="F115" s="4">
        <v>0</v>
      </c>
      <c r="G115" s="4">
        <v>0</v>
      </c>
      <c r="H115" s="4">
        <v>0</v>
      </c>
    </row>
    <row r="116" spans="1:8">
      <c r="A116" s="39" t="s">
        <v>367</v>
      </c>
      <c r="B116" s="4">
        <v>1.9303651687887781E-4</v>
      </c>
      <c r="C116" s="10">
        <v>6.2254906054685479E-5</v>
      </c>
      <c r="D116" s="4">
        <v>1.3078161082419234E-4</v>
      </c>
      <c r="E116" s="4">
        <v>0</v>
      </c>
      <c r="F116" s="4">
        <v>0</v>
      </c>
      <c r="G116" s="4">
        <v>0</v>
      </c>
      <c r="H116" s="4">
        <v>0</v>
      </c>
    </row>
    <row r="117" spans="1:8">
      <c r="A117" s="39" t="s">
        <v>368</v>
      </c>
      <c r="B117" s="4">
        <v>1.3953565176028436E-3</v>
      </c>
      <c r="C117" s="10">
        <v>2.0151616384334251E-4</v>
      </c>
      <c r="D117" s="4">
        <v>6.3670548562213874E-5</v>
      </c>
      <c r="E117" s="4">
        <v>6.3670548562213874E-5</v>
      </c>
      <c r="F117" s="4">
        <v>0</v>
      </c>
      <c r="G117" s="4">
        <v>0</v>
      </c>
      <c r="H117" s="4">
        <v>6.6148039684771332E-4</v>
      </c>
    </row>
    <row r="118" spans="1:8">
      <c r="A118" s="39" t="s">
        <v>369</v>
      </c>
      <c r="B118" s="4">
        <v>1.0889037057533095E-3</v>
      </c>
      <c r="C118" s="10">
        <v>1.9060202495850762E-4</v>
      </c>
      <c r="D118" s="4">
        <v>0</v>
      </c>
      <c r="E118" s="4">
        <v>0</v>
      </c>
      <c r="F118" s="4">
        <v>0</v>
      </c>
      <c r="G118" s="4">
        <v>0</v>
      </c>
      <c r="H118" s="4">
        <v>8.9830168079480194E-4</v>
      </c>
    </row>
    <row r="119" spans="1:8">
      <c r="A119" s="39" t="s">
        <v>370</v>
      </c>
      <c r="B119" s="4">
        <v>1.9349376114692243E-2</v>
      </c>
      <c r="C119" s="10">
        <v>1.2003587794456334E-2</v>
      </c>
      <c r="D119" s="4">
        <v>2.8093516363500528E-3</v>
      </c>
      <c r="E119" s="4">
        <v>1.0912578166595906E-3</v>
      </c>
      <c r="F119" s="4">
        <v>1.1242915736722702E-3</v>
      </c>
      <c r="G119" s="4">
        <v>1.0243884844694728E-3</v>
      </c>
      <c r="H119" s="4">
        <v>2.9043526506870045E-3</v>
      </c>
    </row>
    <row r="120" spans="1:8">
      <c r="A120" s="39" t="s">
        <v>371</v>
      </c>
      <c r="B120" s="4">
        <v>7.4056117038876559E-3</v>
      </c>
      <c r="C120" s="10">
        <v>4.5661273082903617E-3</v>
      </c>
      <c r="D120" s="4">
        <v>9.9335896264120781E-4</v>
      </c>
      <c r="E120" s="4">
        <v>2.672333123998283E-4</v>
      </c>
      <c r="F120" s="4">
        <v>2.6029189845264643E-4</v>
      </c>
      <c r="G120" s="4">
        <v>3.5270256489210308E-4</v>
      </c>
      <c r="H120" s="4">
        <v>2.0916941683364644E-3</v>
      </c>
    </row>
    <row r="121" spans="1:8">
      <c r="A121" s="39" t="s">
        <v>372</v>
      </c>
      <c r="B121" s="4">
        <v>3.5528616921889584E-2</v>
      </c>
      <c r="C121" s="10">
        <v>3.4618372945418841E-3</v>
      </c>
      <c r="D121" s="4">
        <v>2.6413310046351063E-3</v>
      </c>
      <c r="E121" s="4">
        <v>2.9237085541439422E-3</v>
      </c>
      <c r="F121" s="4">
        <v>1.6563138284803203E-3</v>
      </c>
      <c r="G121" s="4">
        <v>3.2917439829747157E-3</v>
      </c>
      <c r="H121" s="4">
        <v>1.1291931879631158E-2</v>
      </c>
    </row>
    <row r="122" spans="1:8">
      <c r="A122" s="39" t="s">
        <v>373</v>
      </c>
      <c r="B122" s="4">
        <v>1.0843833618068616E-3</v>
      </c>
      <c r="C122" s="10">
        <v>5.9439495321165863E-4</v>
      </c>
      <c r="D122" s="4">
        <v>2.4254466355427102E-4</v>
      </c>
      <c r="E122" s="4">
        <v>0</v>
      </c>
      <c r="F122" s="4">
        <v>0</v>
      </c>
      <c r="G122" s="4">
        <v>0</v>
      </c>
      <c r="H122" s="4">
        <v>1.6671551031122682E-4</v>
      </c>
    </row>
    <row r="123" spans="1:8">
      <c r="A123" s="39" t="s">
        <v>374</v>
      </c>
      <c r="B123" s="4">
        <v>5.8511993483581761E-3</v>
      </c>
      <c r="C123" s="10">
        <v>2.4061337331636456E-4</v>
      </c>
      <c r="D123" s="4">
        <v>6.583712178882291E-5</v>
      </c>
      <c r="E123" s="4">
        <v>0</v>
      </c>
      <c r="F123" s="4">
        <v>7.5653984348412001E-5</v>
      </c>
      <c r="G123" s="4">
        <v>1.2042449591621785E-4</v>
      </c>
      <c r="H123" s="4">
        <v>0</v>
      </c>
    </row>
    <row r="124" spans="1:8">
      <c r="A124" s="39" t="s">
        <v>375</v>
      </c>
      <c r="B124" s="4">
        <v>1.9181078705331818E-3</v>
      </c>
      <c r="C124" s="10">
        <v>3.845994780982801E-4</v>
      </c>
      <c r="D124" s="4">
        <v>5.6616678248846248E-4</v>
      </c>
      <c r="E124" s="4">
        <v>9.3262819554737011E-5</v>
      </c>
      <c r="F124" s="4">
        <v>0</v>
      </c>
      <c r="G124" s="4">
        <v>0</v>
      </c>
      <c r="H124" s="4">
        <v>0</v>
      </c>
    </row>
    <row r="125" spans="1:8">
      <c r="A125" s="39" t="s">
        <v>376</v>
      </c>
      <c r="B125" s="4">
        <v>0</v>
      </c>
      <c r="C125" s="10">
        <v>0</v>
      </c>
      <c r="D125" s="4">
        <v>0</v>
      </c>
      <c r="E125" s="4">
        <v>0</v>
      </c>
      <c r="F125" s="4">
        <v>0</v>
      </c>
      <c r="G125" s="4">
        <v>0</v>
      </c>
      <c r="H125" s="4">
        <v>0</v>
      </c>
    </row>
    <row r="126" spans="1:8">
      <c r="A126" s="39" t="s">
        <v>377</v>
      </c>
      <c r="B126" s="4">
        <v>1.5990921042074801E-4</v>
      </c>
      <c r="C126" s="10">
        <v>0</v>
      </c>
      <c r="D126" s="4">
        <v>0</v>
      </c>
      <c r="E126" s="4">
        <v>0</v>
      </c>
      <c r="F126" s="4">
        <v>0</v>
      </c>
      <c r="G126" s="4">
        <v>0</v>
      </c>
      <c r="H126" s="4">
        <v>0</v>
      </c>
    </row>
    <row r="127" spans="1:8">
      <c r="A127" s="39" t="s">
        <v>378</v>
      </c>
      <c r="B127" s="4">
        <v>2.2282185722730525E-4</v>
      </c>
      <c r="C127" s="10">
        <v>1.5597958326137138E-4</v>
      </c>
      <c r="D127" s="4">
        <v>1.6056695117261973E-4</v>
      </c>
      <c r="E127" s="4">
        <v>0</v>
      </c>
      <c r="F127" s="4">
        <v>9.3724677206685883E-5</v>
      </c>
      <c r="G127" s="4">
        <v>9.3724677206685883E-5</v>
      </c>
      <c r="H127" s="4">
        <v>0</v>
      </c>
    </row>
    <row r="128" spans="1:8">
      <c r="A128" s="39" t="s">
        <v>379</v>
      </c>
      <c r="B128" s="4">
        <v>4.3295648341910966E-3</v>
      </c>
      <c r="C128" s="10">
        <v>6.5517332335381757E-4</v>
      </c>
      <c r="D128" s="4">
        <v>3.3829936059321498E-4</v>
      </c>
      <c r="E128" s="4">
        <v>8.2759608793857298E-5</v>
      </c>
      <c r="F128" s="4">
        <v>5.2560735697523538E-4</v>
      </c>
      <c r="G128" s="4">
        <v>4.7194619029372348E-4</v>
      </c>
      <c r="H128" s="4">
        <v>2.9632889361319061E-4</v>
      </c>
    </row>
    <row r="129" spans="1:8">
      <c r="A129" s="39" t="s">
        <v>380</v>
      </c>
      <c r="B129" s="4">
        <v>0</v>
      </c>
      <c r="C129" s="10">
        <v>0</v>
      </c>
      <c r="D129" s="4">
        <v>0</v>
      </c>
      <c r="E129" s="4">
        <v>0</v>
      </c>
      <c r="F129" s="4">
        <v>0</v>
      </c>
      <c r="G129" s="4">
        <v>0</v>
      </c>
      <c r="H129" s="4">
        <v>0</v>
      </c>
    </row>
    <row r="130" spans="1:8">
      <c r="A130" s="39" t="s">
        <v>381</v>
      </c>
      <c r="B130" s="4">
        <v>1.73063232248665E-3</v>
      </c>
      <c r="C130" s="10">
        <v>3.0903674460471139E-4</v>
      </c>
      <c r="D130" s="4">
        <v>2.4280590670140072E-4</v>
      </c>
      <c r="E130" s="4">
        <v>3.4014535255758109E-4</v>
      </c>
      <c r="F130" s="4">
        <v>6.2425821214374369E-4</v>
      </c>
      <c r="G130" s="4">
        <v>5.5960536790575471E-4</v>
      </c>
      <c r="H130" s="4">
        <v>1.1072981365462132E-4</v>
      </c>
    </row>
    <row r="131" spans="1:8">
      <c r="A131" s="39" t="s">
        <v>382</v>
      </c>
      <c r="B131" s="4">
        <v>0</v>
      </c>
      <c r="C131" s="10">
        <v>0</v>
      </c>
      <c r="D131" s="4">
        <v>0</v>
      </c>
      <c r="E131" s="4">
        <v>0</v>
      </c>
      <c r="F131" s="4">
        <v>0</v>
      </c>
      <c r="G131" s="4">
        <v>0</v>
      </c>
      <c r="H131" s="4">
        <v>0</v>
      </c>
    </row>
    <row r="132" spans="1:8">
      <c r="A132" s="39" t="s">
        <v>383</v>
      </c>
      <c r="B132" s="4">
        <v>1.9126424056208355E-3</v>
      </c>
      <c r="C132" s="10">
        <v>4.9060842265088176E-4</v>
      </c>
      <c r="D132" s="4">
        <v>9.384679771440119E-5</v>
      </c>
      <c r="E132" s="4">
        <v>1.0826215768017895E-4</v>
      </c>
      <c r="F132" s="4">
        <v>9.384679771440119E-5</v>
      </c>
      <c r="G132" s="4">
        <v>3.030080249183371E-4</v>
      </c>
      <c r="H132" s="4">
        <v>7.604441017933604E-4</v>
      </c>
    </row>
    <row r="133" spans="1:8">
      <c r="A133" s="39" t="s">
        <v>384</v>
      </c>
      <c r="B133" s="4">
        <v>8.2113577005594237E-4</v>
      </c>
      <c r="C133" s="10">
        <v>0</v>
      </c>
      <c r="D133" s="4">
        <v>0</v>
      </c>
      <c r="E133" s="4">
        <v>4.9901679543758661E-5</v>
      </c>
      <c r="F133" s="4">
        <v>6.8738311160559268E-4</v>
      </c>
      <c r="G133" s="4">
        <v>0</v>
      </c>
      <c r="H133" s="4">
        <v>8.3850978906591182E-5</v>
      </c>
    </row>
    <row r="134" spans="1:8">
      <c r="A134" s="39" t="s">
        <v>385</v>
      </c>
      <c r="B134" s="4">
        <v>3.3224425219553424E-4</v>
      </c>
      <c r="C134" s="10">
        <v>9.5044778451895657E-5</v>
      </c>
      <c r="D134" s="4">
        <v>1.6654614472159875E-4</v>
      </c>
      <c r="E134" s="4">
        <v>0</v>
      </c>
      <c r="F134" s="4">
        <v>0</v>
      </c>
      <c r="G134" s="4">
        <v>0</v>
      </c>
      <c r="H134" s="4">
        <v>0</v>
      </c>
    </row>
    <row r="135" spans="1:8">
      <c r="A135" s="39" t="s">
        <v>386</v>
      </c>
      <c r="B135" s="4">
        <v>4.5048081354613053E-3</v>
      </c>
      <c r="C135" s="10">
        <v>3.3981864153023533E-4</v>
      </c>
      <c r="D135" s="4">
        <v>1.2309127939331865E-4</v>
      </c>
      <c r="E135" s="4">
        <v>0</v>
      </c>
      <c r="F135" s="4">
        <v>6.2798666983606929E-4</v>
      </c>
      <c r="G135" s="4">
        <v>5.2061284669241523E-4</v>
      </c>
      <c r="H135" s="4">
        <v>2.7969880714471179E-4</v>
      </c>
    </row>
    <row r="136" spans="1:8">
      <c r="A136" s="39" t="s">
        <v>387</v>
      </c>
      <c r="B136" s="4">
        <v>0.22936157335315335</v>
      </c>
      <c r="C136" s="10">
        <v>2.5930053419873283E-2</v>
      </c>
      <c r="D136" s="4">
        <v>1.3108808205892067E-2</v>
      </c>
      <c r="E136" s="4">
        <v>8.1784330144896833E-2</v>
      </c>
      <c r="F136" s="4">
        <v>5.4842931764714532E-2</v>
      </c>
      <c r="G136" s="4">
        <v>2.5958911821841676E-2</v>
      </c>
      <c r="H136" s="4">
        <v>2.4848674949214646E-2</v>
      </c>
    </row>
    <row r="137" spans="1:8">
      <c r="A137" s="39" t="s">
        <v>388</v>
      </c>
      <c r="B137" s="4">
        <v>1.5112752157913712E-4</v>
      </c>
      <c r="C137" s="10">
        <v>0</v>
      </c>
      <c r="D137" s="4">
        <v>1.5112752157913712E-4</v>
      </c>
      <c r="E137" s="4">
        <v>0</v>
      </c>
      <c r="F137" s="4">
        <v>0</v>
      </c>
      <c r="G137" s="4">
        <v>0</v>
      </c>
      <c r="H137" s="4">
        <v>0</v>
      </c>
    </row>
    <row r="138" spans="1:8">
      <c r="A138" s="39" t="s">
        <v>389</v>
      </c>
      <c r="B138" s="4">
        <v>1.3354959366547311E-3</v>
      </c>
      <c r="C138" s="10">
        <v>4.6696189141312301E-4</v>
      </c>
      <c r="D138" s="4">
        <v>7.0172265097785322E-4</v>
      </c>
      <c r="E138" s="4">
        <v>5.9754823202907851E-4</v>
      </c>
      <c r="F138" s="4">
        <v>3.793525654345043E-4</v>
      </c>
      <c r="G138" s="4">
        <v>4.5525779551644751E-4</v>
      </c>
      <c r="H138" s="4">
        <v>4.510639770949995E-4</v>
      </c>
    </row>
    <row r="139" spans="1:8">
      <c r="A139" s="39" t="s">
        <v>390</v>
      </c>
      <c r="B139" s="4">
        <v>4.5353902717780352E-3</v>
      </c>
      <c r="C139" s="10">
        <v>5.7967323179872242E-4</v>
      </c>
      <c r="D139" s="4">
        <v>1.0059869018198655E-3</v>
      </c>
      <c r="E139" s="4">
        <v>9.139343858685998E-4</v>
      </c>
      <c r="F139" s="4">
        <v>3.7319181114998766E-4</v>
      </c>
      <c r="G139" s="4">
        <v>6.312820258160697E-4</v>
      </c>
      <c r="H139" s="4">
        <v>8.9513490854097879E-4</v>
      </c>
    </row>
    <row r="140" spans="1:8">
      <c r="A140" s="39" t="s">
        <v>391</v>
      </c>
      <c r="B140" s="4">
        <v>8.178793731614736E-3</v>
      </c>
      <c r="C140" s="10">
        <v>2.0201508486259218E-3</v>
      </c>
      <c r="D140" s="4">
        <v>6.7100473160095311E-4</v>
      </c>
      <c r="E140" s="4">
        <v>1.0907519071394257E-4</v>
      </c>
      <c r="F140" s="4">
        <v>5.2342753677659809E-3</v>
      </c>
      <c r="G140" s="4">
        <v>2.814266767813742E-4</v>
      </c>
      <c r="H140" s="4">
        <v>1.2186789980495952E-4</v>
      </c>
    </row>
    <row r="141" spans="1:8">
      <c r="A141" s="39" t="s">
        <v>392</v>
      </c>
      <c r="B141" s="4">
        <v>2.3939036489733093E-3</v>
      </c>
      <c r="C141" s="10">
        <v>1.6060009643528203E-3</v>
      </c>
      <c r="D141" s="4">
        <v>3.0983420350670128E-4</v>
      </c>
      <c r="E141" s="4">
        <v>2.2973321295132016E-4</v>
      </c>
      <c r="F141" s="4">
        <v>1.3524639223417672E-4</v>
      </c>
      <c r="G141" s="4">
        <v>8.9030666202534659E-5</v>
      </c>
      <c r="H141" s="4">
        <v>4.1263434777141263E-4</v>
      </c>
    </row>
    <row r="142" spans="1:8">
      <c r="A142" s="39" t="s">
        <v>393</v>
      </c>
      <c r="B142" s="4">
        <v>3.920725798630055E-2</v>
      </c>
      <c r="C142" s="10">
        <v>1.4850764243907865E-2</v>
      </c>
      <c r="D142" s="4">
        <v>4.4372491136669438E-3</v>
      </c>
      <c r="E142" s="4">
        <v>2.4215860165101764E-3</v>
      </c>
      <c r="F142" s="4">
        <v>5.3084230546865709E-3</v>
      </c>
      <c r="G142" s="4">
        <v>8.1099289450719744E-3</v>
      </c>
      <c r="H142" s="4">
        <v>6.6865043715536041E-3</v>
      </c>
    </row>
    <row r="143" spans="1:8">
      <c r="A143" s="39" t="s">
        <v>394</v>
      </c>
      <c r="B143" s="4">
        <v>2.4778198317194204E-3</v>
      </c>
      <c r="C143" s="10">
        <v>4.4484288403577957E-4</v>
      </c>
      <c r="D143" s="4">
        <v>4.8622406341713466E-4</v>
      </c>
      <c r="E143" s="4">
        <v>8.765194123940193E-4</v>
      </c>
      <c r="F143" s="4">
        <v>5.4487742669380478E-4</v>
      </c>
      <c r="G143" s="4">
        <v>5.787308410143433E-4</v>
      </c>
      <c r="H143" s="4">
        <v>7.1672283270290512E-5</v>
      </c>
    </row>
    <row r="144" spans="1:8">
      <c r="A144" s="39" t="s">
        <v>395</v>
      </c>
      <c r="B144" s="4">
        <v>0</v>
      </c>
      <c r="C144" s="10">
        <v>0</v>
      </c>
      <c r="D144" s="4">
        <v>0</v>
      </c>
      <c r="E144" s="4">
        <v>0</v>
      </c>
      <c r="F144" s="4">
        <v>0</v>
      </c>
      <c r="G144" s="4">
        <v>0</v>
      </c>
      <c r="H144" s="4">
        <v>0</v>
      </c>
    </row>
    <row r="145" spans="1:8">
      <c r="A145" s="39" t="s">
        <v>396</v>
      </c>
      <c r="B145" s="4">
        <v>1.0485419308772091E-2</v>
      </c>
      <c r="C145" s="10">
        <v>6.4195078172485784E-3</v>
      </c>
      <c r="D145" s="4">
        <v>8.2730438660912672E-4</v>
      </c>
      <c r="E145" s="4">
        <v>4.3074941825238717E-4</v>
      </c>
      <c r="F145" s="4">
        <v>3.20327643422016E-4</v>
      </c>
      <c r="G145" s="4">
        <v>2.7887023403364247E-4</v>
      </c>
      <c r="H145" s="4">
        <v>2.058317014480256E-3</v>
      </c>
    </row>
    <row r="146" spans="1:8">
      <c r="A146" s="39" t="s">
        <v>397</v>
      </c>
      <c r="B146" s="4">
        <v>8.8323217032021633E-4</v>
      </c>
      <c r="C146" s="10">
        <v>6.684227396593385E-5</v>
      </c>
      <c r="D146" s="4">
        <v>0</v>
      </c>
      <c r="E146" s="4">
        <v>3.5831612836226739E-4</v>
      </c>
      <c r="F146" s="4">
        <v>8.0899971306941859E-5</v>
      </c>
      <c r="G146" s="4">
        <v>8.0899971306941859E-5</v>
      </c>
      <c r="H146" s="4">
        <v>2.2675574831857722E-4</v>
      </c>
    </row>
    <row r="147" spans="1:8">
      <c r="A147" s="39" t="s">
        <v>398</v>
      </c>
      <c r="B147" s="4">
        <v>1.5215321022227629E-3</v>
      </c>
      <c r="C147" s="10">
        <v>4.855578428229415E-4</v>
      </c>
      <c r="D147" s="4">
        <v>3.5319484522479795E-4</v>
      </c>
      <c r="E147" s="4">
        <v>1.467188589557297E-4</v>
      </c>
      <c r="F147" s="4">
        <v>3.8935451958496784E-4</v>
      </c>
      <c r="G147" s="4">
        <v>4.0425082528020191E-4</v>
      </c>
      <c r="H147" s="4">
        <v>1.2799821839050332E-4</v>
      </c>
    </row>
    <row r="148" spans="1:8">
      <c r="A148" s="39" t="s">
        <v>399</v>
      </c>
      <c r="B148" s="4">
        <v>4.5174920021976272E-3</v>
      </c>
      <c r="C148" s="10">
        <v>8.1487944219345613E-4</v>
      </c>
      <c r="D148" s="4">
        <v>6.6151547910299772E-4</v>
      </c>
      <c r="E148" s="4">
        <v>7.5758546795476464E-4</v>
      </c>
      <c r="F148" s="4">
        <v>6.7341987432313719E-4</v>
      </c>
      <c r="G148" s="4">
        <v>7.3390660969289035E-4</v>
      </c>
      <c r="H148" s="4">
        <v>6.1094953841621261E-4</v>
      </c>
    </row>
    <row r="149" spans="1:8">
      <c r="A149" s="39" t="s">
        <v>400</v>
      </c>
      <c r="B149" s="4">
        <v>6.2409707197066686E-3</v>
      </c>
      <c r="C149" s="10">
        <v>1.7576472460460401E-3</v>
      </c>
      <c r="D149" s="4">
        <v>9.0726168412407166E-4</v>
      </c>
      <c r="E149" s="4">
        <v>4.9897120044009135E-4</v>
      </c>
      <c r="F149" s="4">
        <v>2.9940963506225874E-4</v>
      </c>
      <c r="G149" s="4">
        <v>1.5950496325500317E-4</v>
      </c>
      <c r="H149" s="4">
        <v>3.091791910100351E-3</v>
      </c>
    </row>
    <row r="150" spans="1:8">
      <c r="A150" s="39" t="s">
        <v>401</v>
      </c>
      <c r="B150" s="4">
        <v>4.46788936864825E-2</v>
      </c>
      <c r="C150" s="10">
        <v>1.1907735119817378E-3</v>
      </c>
      <c r="D150" s="4">
        <v>1.3179301359222963E-3</v>
      </c>
      <c r="E150" s="4">
        <v>1.321067954643986E-3</v>
      </c>
      <c r="F150" s="4">
        <v>9.8731244487955524E-4</v>
      </c>
      <c r="G150" s="4">
        <v>9.5193379836152497E-4</v>
      </c>
      <c r="H150" s="4">
        <v>3.988277273500887E-3</v>
      </c>
    </row>
    <row r="151" spans="1:8">
      <c r="A151" s="39" t="s">
        <v>402</v>
      </c>
      <c r="B151" s="4">
        <v>1.6522553831674178E-3</v>
      </c>
      <c r="C151" s="10">
        <v>1.0143295552446489E-3</v>
      </c>
      <c r="D151" s="4">
        <v>3.5706458149755994E-4</v>
      </c>
      <c r="E151" s="4">
        <v>8.2759608793857298E-5</v>
      </c>
      <c r="F151" s="4">
        <v>1.7582654524867146E-4</v>
      </c>
      <c r="G151" s="4">
        <v>0</v>
      </c>
      <c r="H151" s="4">
        <v>3.9516407236533138E-4</v>
      </c>
    </row>
    <row r="152" spans="1:8">
      <c r="A152" s="39" t="s">
        <v>403</v>
      </c>
      <c r="B152" s="4">
        <v>5.1200653841198141E-4</v>
      </c>
      <c r="C152" s="10">
        <v>0</v>
      </c>
      <c r="D152" s="4">
        <v>1.0818513161848728E-4</v>
      </c>
      <c r="E152" s="4">
        <v>1.0818513161848728E-4</v>
      </c>
      <c r="F152" s="4">
        <v>0</v>
      </c>
      <c r="G152" s="4">
        <v>8.2759608793857298E-5</v>
      </c>
      <c r="H152" s="4">
        <v>9.6369502004319975E-5</v>
      </c>
    </row>
    <row r="153" spans="1:8">
      <c r="A153" s="39" t="s">
        <v>404</v>
      </c>
      <c r="B153" s="4">
        <v>0</v>
      </c>
      <c r="C153" s="10">
        <v>0</v>
      </c>
      <c r="D153" s="4">
        <v>0</v>
      </c>
      <c r="E153" s="4">
        <v>0</v>
      </c>
      <c r="F153" s="4">
        <v>0</v>
      </c>
      <c r="G153" s="4">
        <v>0</v>
      </c>
      <c r="H153" s="4">
        <v>0</v>
      </c>
    </row>
    <row r="154" spans="1:8">
      <c r="A154" s="39" t="s">
        <v>405</v>
      </c>
      <c r="B154" s="4">
        <v>0</v>
      </c>
      <c r="C154" s="10">
        <v>0</v>
      </c>
      <c r="D154" s="4">
        <v>0</v>
      </c>
      <c r="E154" s="4">
        <v>0</v>
      </c>
      <c r="F154" s="4">
        <v>0</v>
      </c>
      <c r="G154" s="4">
        <v>0</v>
      </c>
      <c r="H154" s="4">
        <v>0</v>
      </c>
    </row>
    <row r="155" spans="1:8">
      <c r="A155" s="39" t="s">
        <v>406</v>
      </c>
      <c r="B155" s="4">
        <v>6.7558581061081987E-5</v>
      </c>
      <c r="C155" s="10">
        <v>0</v>
      </c>
      <c r="D155" s="4">
        <v>0</v>
      </c>
      <c r="E155" s="4">
        <v>0</v>
      </c>
      <c r="F155" s="4">
        <v>0</v>
      </c>
      <c r="G155" s="4">
        <v>0</v>
      </c>
      <c r="H155" s="4">
        <v>0</v>
      </c>
    </row>
    <row r="156" spans="1:8">
      <c r="A156" s="39" t="s">
        <v>407</v>
      </c>
      <c r="B156" s="4">
        <v>3.9675915049934058E-4</v>
      </c>
      <c r="C156" s="10">
        <v>2.4251710381363397E-4</v>
      </c>
      <c r="D156" s="4">
        <v>7.5562344714917343E-5</v>
      </c>
      <c r="E156" s="4">
        <v>0</v>
      </c>
      <c r="F156" s="4">
        <v>0</v>
      </c>
      <c r="G156" s="4">
        <v>1.2064920400867442E-4</v>
      </c>
      <c r="H156" s="4">
        <v>0</v>
      </c>
    </row>
    <row r="157" spans="1:8">
      <c r="A157" s="132" t="s">
        <v>408</v>
      </c>
      <c r="B157" s="137">
        <v>3.5627696735739747E-3</v>
      </c>
      <c r="C157" s="140">
        <v>1.2753118140802243E-4</v>
      </c>
      <c r="D157" s="137">
        <v>6.592451123952237E-4</v>
      </c>
      <c r="E157" s="137">
        <v>3.2499027400778206E-4</v>
      </c>
      <c r="F157" s="137">
        <v>7.8847851167631472E-4</v>
      </c>
      <c r="G157" s="137">
        <v>7.9351864557307373E-4</v>
      </c>
      <c r="H157" s="137">
        <v>9.1249097154849656E-4</v>
      </c>
    </row>
    <row r="158" spans="1:8">
      <c r="A158" s="72"/>
      <c r="B158" s="156" t="s">
        <v>146</v>
      </c>
      <c r="C158" s="156"/>
      <c r="D158" s="156"/>
      <c r="E158" s="156"/>
      <c r="F158" s="156"/>
      <c r="G158" s="156"/>
      <c r="H158" s="156"/>
    </row>
    <row r="159" spans="1:8">
      <c r="A159" s="39" t="s">
        <v>267</v>
      </c>
      <c r="B159" s="50">
        <v>6025.5559466635505</v>
      </c>
      <c r="C159" s="11">
        <v>0</v>
      </c>
      <c r="D159" s="50">
        <v>892.82952374331251</v>
      </c>
      <c r="E159" s="50">
        <v>1531.7298199789539</v>
      </c>
      <c r="F159" s="50">
        <v>1218.13239163871</v>
      </c>
      <c r="G159" s="50">
        <v>992.18073026902528</v>
      </c>
      <c r="H159" s="50">
        <v>1630.1583658076224</v>
      </c>
    </row>
    <row r="160" spans="1:8">
      <c r="A160" s="39" t="s">
        <v>268</v>
      </c>
      <c r="B160" s="50">
        <v>15615.221925082233</v>
      </c>
      <c r="C160" s="11">
        <v>3294.3541194167942</v>
      </c>
      <c r="D160" s="50">
        <v>4782.1305057058826</v>
      </c>
      <c r="E160" s="50">
        <v>4111.496264621177</v>
      </c>
      <c r="F160" s="50">
        <v>5588.4010601325172</v>
      </c>
      <c r="G160" s="50">
        <v>5104.5447244765755</v>
      </c>
      <c r="H160" s="50">
        <v>4814.3189734605285</v>
      </c>
    </row>
    <row r="161" spans="1:8">
      <c r="A161" s="39" t="s">
        <v>269</v>
      </c>
      <c r="B161" s="50">
        <v>11053.559874603226</v>
      </c>
      <c r="C161" s="11">
        <v>3663.2872996293181</v>
      </c>
      <c r="D161" s="50">
        <v>1167.364499667337</v>
      </c>
      <c r="E161" s="50">
        <v>2123.3764696010526</v>
      </c>
      <c r="F161" s="50">
        <v>2508.2339473656552</v>
      </c>
      <c r="G161" s="50">
        <v>1254.6964987263464</v>
      </c>
      <c r="H161" s="50">
        <v>2244.902537031056</v>
      </c>
    </row>
    <row r="162" spans="1:8">
      <c r="A162" s="39" t="s">
        <v>270</v>
      </c>
      <c r="B162" s="50">
        <v>143235.45295026602</v>
      </c>
      <c r="C162" s="11">
        <v>48195.374650599355</v>
      </c>
      <c r="D162" s="50">
        <v>19497.271796363213</v>
      </c>
      <c r="E162" s="50">
        <v>11262.792056261474</v>
      </c>
      <c r="F162" s="50">
        <v>14444.024108209182</v>
      </c>
      <c r="G162" s="50">
        <v>17449.492614581544</v>
      </c>
      <c r="H162" s="50">
        <v>47109.380977115441</v>
      </c>
    </row>
    <row r="163" spans="1:8">
      <c r="A163" s="39" t="s">
        <v>271</v>
      </c>
      <c r="B163" s="50">
        <v>259229.77773449413</v>
      </c>
      <c r="C163" s="11">
        <v>140713.89516281878</v>
      </c>
      <c r="D163" s="50">
        <v>41698.644963760948</v>
      </c>
      <c r="E163" s="50">
        <v>18269.144228356774</v>
      </c>
      <c r="F163" s="50">
        <v>13848.596173097834</v>
      </c>
      <c r="G163" s="50">
        <v>15221.238444177685</v>
      </c>
      <c r="H163" s="50">
        <v>55144.402622915273</v>
      </c>
    </row>
    <row r="164" spans="1:8">
      <c r="A164" s="39" t="s">
        <v>272</v>
      </c>
      <c r="B164" s="50">
        <v>46985.847127715133</v>
      </c>
      <c r="C164" s="11">
        <v>12797.438184838376</v>
      </c>
      <c r="D164" s="50">
        <v>8687.8931966584787</v>
      </c>
      <c r="E164" s="50">
        <v>8406.1114553207299</v>
      </c>
      <c r="F164" s="50">
        <v>7554.4733142963878</v>
      </c>
      <c r="G164" s="50">
        <v>11882.954269012058</v>
      </c>
      <c r="H164" s="50">
        <v>10932.598144409207</v>
      </c>
    </row>
    <row r="165" spans="1:8">
      <c r="A165" s="39" t="s">
        <v>273</v>
      </c>
      <c r="B165" s="50">
        <v>26051.676885861976</v>
      </c>
      <c r="C165" s="11">
        <v>12799.415424902636</v>
      </c>
      <c r="D165" s="50">
        <v>6332.4872617116471</v>
      </c>
      <c r="E165" s="50">
        <v>3673.3785414336849</v>
      </c>
      <c r="F165" s="50">
        <v>1862.4223411252938</v>
      </c>
      <c r="G165" s="50">
        <v>5181.5726943311092</v>
      </c>
      <c r="H165" s="50">
        <v>4308.3030952990175</v>
      </c>
    </row>
    <row r="166" spans="1:8">
      <c r="A166" s="39" t="s">
        <v>274</v>
      </c>
      <c r="B166" s="50">
        <v>325261.07402314537</v>
      </c>
      <c r="C166" s="11">
        <v>162932.46699079179</v>
      </c>
      <c r="D166" s="50">
        <v>47399.646414594361</v>
      </c>
      <c r="E166" s="50">
        <v>27162.858857198706</v>
      </c>
      <c r="F166" s="50">
        <v>21781.942300772622</v>
      </c>
      <c r="G166" s="50">
        <v>26100.784989822088</v>
      </c>
      <c r="H166" s="50">
        <v>72423.497152037919</v>
      </c>
    </row>
    <row r="167" spans="1:8">
      <c r="A167" s="39" t="s">
        <v>275</v>
      </c>
      <c r="B167" s="50">
        <v>3604.0383567576018</v>
      </c>
      <c r="C167" s="11">
        <v>1757.9445377500588</v>
      </c>
      <c r="D167" s="50">
        <v>1476.6528690794198</v>
      </c>
      <c r="E167" s="50">
        <v>1701.2188779646035</v>
      </c>
      <c r="F167" s="50">
        <v>1286.8712345784929</v>
      </c>
      <c r="G167" s="50">
        <v>1045.1888517771533</v>
      </c>
      <c r="H167" s="50">
        <v>1045.1888517771533</v>
      </c>
    </row>
    <row r="168" spans="1:8">
      <c r="A168" s="39" t="s">
        <v>276</v>
      </c>
      <c r="B168" s="50">
        <v>469.01749114863878</v>
      </c>
      <c r="C168" s="11">
        <v>0</v>
      </c>
      <c r="D168" s="50">
        <v>0</v>
      </c>
      <c r="E168" s="50">
        <v>469.01749114863878</v>
      </c>
      <c r="F168" s="50">
        <v>0</v>
      </c>
      <c r="G168" s="50">
        <v>0</v>
      </c>
      <c r="H168" s="50">
        <v>469.01749114863878</v>
      </c>
    </row>
    <row r="169" spans="1:8">
      <c r="A169" s="39" t="s">
        <v>277</v>
      </c>
      <c r="B169" s="50">
        <v>1297.8036619198056</v>
      </c>
      <c r="C169" s="11">
        <v>0</v>
      </c>
      <c r="D169" s="50">
        <v>0</v>
      </c>
      <c r="E169" s="50">
        <v>615.83576719411474</v>
      </c>
      <c r="F169" s="50">
        <v>0</v>
      </c>
      <c r="G169" s="50">
        <v>0</v>
      </c>
      <c r="H169" s="50">
        <v>0</v>
      </c>
    </row>
    <row r="170" spans="1:8">
      <c r="A170" s="39" t="s">
        <v>278</v>
      </c>
      <c r="B170" s="50">
        <v>6437.7366172867105</v>
      </c>
      <c r="C170" s="11">
        <v>3521.194508911005</v>
      </c>
      <c r="D170" s="50">
        <v>1438.0302686649788</v>
      </c>
      <c r="E170" s="50">
        <v>486.77266228064826</v>
      </c>
      <c r="F170" s="50">
        <v>0</v>
      </c>
      <c r="G170" s="50">
        <v>986.19302921756116</v>
      </c>
      <c r="H170" s="50">
        <v>656.03002618745029</v>
      </c>
    </row>
    <row r="171" spans="1:8">
      <c r="A171" s="39" t="s">
        <v>279</v>
      </c>
      <c r="B171" s="50">
        <v>0</v>
      </c>
      <c r="C171" s="11">
        <v>0</v>
      </c>
      <c r="D171" s="50">
        <v>0</v>
      </c>
      <c r="E171" s="50">
        <v>0</v>
      </c>
      <c r="F171" s="50">
        <v>0</v>
      </c>
      <c r="G171" s="50">
        <v>0</v>
      </c>
      <c r="H171" s="50">
        <v>0</v>
      </c>
    </row>
    <row r="172" spans="1:8">
      <c r="A172" s="39" t="s">
        <v>280</v>
      </c>
      <c r="B172" s="50">
        <v>383.56479504574122</v>
      </c>
      <c r="C172" s="11">
        <v>0</v>
      </c>
      <c r="D172" s="50">
        <v>0</v>
      </c>
      <c r="E172" s="50">
        <v>0</v>
      </c>
      <c r="F172" s="50">
        <v>0</v>
      </c>
      <c r="G172" s="50">
        <v>0</v>
      </c>
      <c r="H172" s="50">
        <v>0</v>
      </c>
    </row>
    <row r="173" spans="1:8">
      <c r="A173" s="39" t="s">
        <v>281</v>
      </c>
      <c r="B173" s="50">
        <v>0</v>
      </c>
      <c r="C173" s="11">
        <v>0</v>
      </c>
      <c r="D173" s="50">
        <v>0</v>
      </c>
      <c r="E173" s="50">
        <v>0</v>
      </c>
      <c r="F173" s="50">
        <v>0</v>
      </c>
      <c r="G173" s="50">
        <v>0</v>
      </c>
      <c r="H173" s="50">
        <v>0</v>
      </c>
    </row>
    <row r="174" spans="1:8">
      <c r="A174" s="39" t="s">
        <v>282</v>
      </c>
      <c r="B174" s="50">
        <v>0</v>
      </c>
      <c r="C174" s="11">
        <v>0</v>
      </c>
      <c r="D174" s="50">
        <v>0</v>
      </c>
      <c r="E174" s="50">
        <v>0</v>
      </c>
      <c r="F174" s="50">
        <v>0</v>
      </c>
      <c r="G174" s="50">
        <v>0</v>
      </c>
      <c r="H174" s="50">
        <v>0</v>
      </c>
    </row>
    <row r="175" spans="1:8">
      <c r="A175" s="39" t="s">
        <v>283</v>
      </c>
      <c r="B175" s="50">
        <v>0</v>
      </c>
      <c r="C175" s="11">
        <v>0</v>
      </c>
      <c r="D175" s="50">
        <v>0</v>
      </c>
      <c r="E175" s="50">
        <v>0</v>
      </c>
      <c r="F175" s="50">
        <v>0</v>
      </c>
      <c r="G175" s="50">
        <v>0</v>
      </c>
      <c r="H175" s="50">
        <v>0</v>
      </c>
    </row>
    <row r="176" spans="1:8">
      <c r="A176" s="39" t="s">
        <v>284</v>
      </c>
      <c r="B176" s="50">
        <v>1752.5466810275238</v>
      </c>
      <c r="C176" s="11">
        <v>974.03063845948759</v>
      </c>
      <c r="D176" s="50">
        <v>0</v>
      </c>
      <c r="E176" s="50">
        <v>0</v>
      </c>
      <c r="F176" s="50">
        <v>432.97165231186762</v>
      </c>
      <c r="G176" s="50">
        <v>345.54439025616875</v>
      </c>
      <c r="H176" s="50">
        <v>345.54439025616875</v>
      </c>
    </row>
    <row r="177" spans="1:8">
      <c r="A177" s="39" t="s">
        <v>285</v>
      </c>
      <c r="B177" s="50">
        <v>15869.398469972524</v>
      </c>
      <c r="C177" s="11">
        <v>4219.3006955587707</v>
      </c>
      <c r="D177" s="50">
        <v>3267.2640190550674</v>
      </c>
      <c r="E177" s="50">
        <v>4462.6978109413385</v>
      </c>
      <c r="F177" s="50">
        <v>3839.7059557772941</v>
      </c>
      <c r="G177" s="50">
        <v>3852.8637179320799</v>
      </c>
      <c r="H177" s="50">
        <v>2320.4257011300542</v>
      </c>
    </row>
    <row r="178" spans="1:8">
      <c r="A178" s="39" t="s">
        <v>286</v>
      </c>
      <c r="B178" s="50">
        <v>0</v>
      </c>
      <c r="C178" s="11">
        <v>0</v>
      </c>
      <c r="D178" s="50">
        <v>0</v>
      </c>
      <c r="E178" s="50">
        <v>0</v>
      </c>
      <c r="F178" s="50">
        <v>0</v>
      </c>
      <c r="G178" s="50">
        <v>0</v>
      </c>
      <c r="H178" s="50">
        <v>0</v>
      </c>
    </row>
    <row r="179" spans="1:8">
      <c r="A179" s="39" t="s">
        <v>287</v>
      </c>
      <c r="B179" s="50">
        <v>83449.032862903201</v>
      </c>
      <c r="C179" s="11">
        <v>6711.1059444989605</v>
      </c>
      <c r="D179" s="50">
        <v>5422.9653369224643</v>
      </c>
      <c r="E179" s="50">
        <v>2649.3136553288396</v>
      </c>
      <c r="F179" s="50">
        <v>3480.6027252750423</v>
      </c>
      <c r="G179" s="50">
        <v>4396.7241649336693</v>
      </c>
      <c r="H179" s="50">
        <v>8320.0876405240615</v>
      </c>
    </row>
    <row r="180" spans="1:8">
      <c r="A180" s="39" t="s">
        <v>288</v>
      </c>
      <c r="B180" s="50">
        <v>10639.181281357074</v>
      </c>
      <c r="C180" s="11">
        <v>2924.8626786229238</v>
      </c>
      <c r="D180" s="50">
        <v>2470.1223824985054</v>
      </c>
      <c r="E180" s="50">
        <v>1882.747437172643</v>
      </c>
      <c r="F180" s="50">
        <v>3115.9038237625941</v>
      </c>
      <c r="G180" s="50">
        <v>1885.9037719212363</v>
      </c>
      <c r="H180" s="50">
        <v>1314.0061160683779</v>
      </c>
    </row>
    <row r="181" spans="1:8">
      <c r="A181" s="39" t="s">
        <v>289</v>
      </c>
      <c r="B181" s="50">
        <v>1707.7354680647991</v>
      </c>
      <c r="C181" s="11">
        <v>1271.3579543301707</v>
      </c>
      <c r="D181" s="50">
        <v>877.62860233374954</v>
      </c>
      <c r="E181" s="50">
        <v>436.37751373462828</v>
      </c>
      <c r="F181" s="50">
        <v>1314.0061160683779</v>
      </c>
      <c r="G181" s="50">
        <v>877.62860233374954</v>
      </c>
      <c r="H181" s="50">
        <v>1266.4843794656776</v>
      </c>
    </row>
    <row r="182" spans="1:8">
      <c r="A182" s="39" t="s">
        <v>290</v>
      </c>
      <c r="B182" s="50">
        <v>8002.766747783091</v>
      </c>
      <c r="C182" s="11">
        <v>1180.6013621650345</v>
      </c>
      <c r="D182" s="50">
        <v>1389.8394195632625</v>
      </c>
      <c r="E182" s="50">
        <v>1249.7896972913068</v>
      </c>
      <c r="F182" s="50">
        <v>708.86903491438682</v>
      </c>
      <c r="G182" s="50">
        <v>1261.0559607241221</v>
      </c>
      <c r="H182" s="50">
        <v>1403.4117995914503</v>
      </c>
    </row>
    <row r="183" spans="1:8">
      <c r="A183" s="39" t="s">
        <v>291</v>
      </c>
      <c r="B183" s="50">
        <v>9492.6781550215001</v>
      </c>
      <c r="C183" s="11">
        <v>2688.4733494041411</v>
      </c>
      <c r="D183" s="50">
        <v>383.56479504574122</v>
      </c>
      <c r="E183" s="50">
        <v>379.32835961852379</v>
      </c>
      <c r="F183" s="50">
        <v>6135.3052256517758</v>
      </c>
      <c r="G183" s="50">
        <v>1431.7927346298468</v>
      </c>
      <c r="H183" s="50">
        <v>0</v>
      </c>
    </row>
    <row r="184" spans="1:8">
      <c r="A184" s="39" t="s">
        <v>292</v>
      </c>
      <c r="B184" s="50">
        <v>156088.85124051213</v>
      </c>
      <c r="C184" s="11">
        <v>86499.812996100751</v>
      </c>
      <c r="D184" s="50">
        <v>22820.704657455448</v>
      </c>
      <c r="E184" s="50">
        <v>3942.6265137260448</v>
      </c>
      <c r="F184" s="50">
        <v>4326.0458432515134</v>
      </c>
      <c r="G184" s="50">
        <v>9951.0170819385694</v>
      </c>
      <c r="H184" s="50">
        <v>26014.043277256456</v>
      </c>
    </row>
    <row r="185" spans="1:8">
      <c r="A185" s="39" t="s">
        <v>293</v>
      </c>
      <c r="B185" s="50">
        <v>1788.2923718522238</v>
      </c>
      <c r="C185" s="11">
        <v>1788.2923718522238</v>
      </c>
      <c r="D185" s="50">
        <v>638.97344419476519</v>
      </c>
      <c r="E185" s="50">
        <v>1277.9468883895304</v>
      </c>
      <c r="F185" s="50">
        <v>0</v>
      </c>
      <c r="G185" s="50">
        <v>0</v>
      </c>
      <c r="H185" s="50">
        <v>0</v>
      </c>
    </row>
    <row r="186" spans="1:8">
      <c r="A186" s="39" t="s">
        <v>294</v>
      </c>
      <c r="B186" s="50">
        <v>5610.2620602152238</v>
      </c>
      <c r="C186" s="11">
        <v>329.38999524203223</v>
      </c>
      <c r="D186" s="50">
        <v>1262.9510380820011</v>
      </c>
      <c r="E186" s="50">
        <v>3195.9849794385673</v>
      </c>
      <c r="F186" s="50">
        <v>670.02183202082824</v>
      </c>
      <c r="G186" s="50">
        <v>1275.2885895419063</v>
      </c>
      <c r="H186" s="50">
        <v>1015.643504965665</v>
      </c>
    </row>
    <row r="187" spans="1:8">
      <c r="A187" s="39" t="s">
        <v>295</v>
      </c>
      <c r="B187" s="50">
        <v>0</v>
      </c>
      <c r="C187" s="11">
        <v>0</v>
      </c>
      <c r="D187" s="50">
        <v>0</v>
      </c>
      <c r="E187" s="50">
        <v>0</v>
      </c>
      <c r="F187" s="50">
        <v>0</v>
      </c>
      <c r="G187" s="50">
        <v>0</v>
      </c>
      <c r="H187" s="50">
        <v>0</v>
      </c>
    </row>
    <row r="188" spans="1:8">
      <c r="A188" s="39" t="s">
        <v>296</v>
      </c>
      <c r="B188" s="50">
        <v>136407.6516876049</v>
      </c>
      <c r="C188" s="11">
        <v>3837.7177824873165</v>
      </c>
      <c r="D188" s="50">
        <v>2662.8320792126119</v>
      </c>
      <c r="E188" s="50">
        <v>2718.3038149397953</v>
      </c>
      <c r="F188" s="50">
        <v>1635.7899097801201</v>
      </c>
      <c r="G188" s="50">
        <v>5230.6383566867462</v>
      </c>
      <c r="H188" s="50">
        <v>6288.5649513891276</v>
      </c>
    </row>
    <row r="189" spans="1:8">
      <c r="A189" s="39" t="s">
        <v>297</v>
      </c>
      <c r="B189" s="50">
        <v>129037.18227562612</v>
      </c>
      <c r="C189" s="11">
        <v>17831.826061915475</v>
      </c>
      <c r="D189" s="50">
        <v>11593.845867733924</v>
      </c>
      <c r="E189" s="50">
        <v>7125.4794674862751</v>
      </c>
      <c r="F189" s="50">
        <v>77498.184925417503</v>
      </c>
      <c r="G189" s="50">
        <v>10014.786422099136</v>
      </c>
      <c r="H189" s="50">
        <v>11890.108228584249</v>
      </c>
    </row>
    <row r="190" spans="1:8">
      <c r="A190" s="39" t="s">
        <v>298</v>
      </c>
      <c r="B190" s="50">
        <v>258579.63167824192</v>
      </c>
      <c r="C190" s="11">
        <v>22689.85819063575</v>
      </c>
      <c r="D190" s="50">
        <v>19562.393820376441</v>
      </c>
      <c r="E190" s="50">
        <v>15615.066768466006</v>
      </c>
      <c r="F190" s="50">
        <v>183694.10676906272</v>
      </c>
      <c r="G190" s="50">
        <v>25251.323936781529</v>
      </c>
      <c r="H190" s="50">
        <v>20164.47385633106</v>
      </c>
    </row>
    <row r="191" spans="1:8">
      <c r="A191" s="39" t="s">
        <v>299</v>
      </c>
      <c r="B191" s="50">
        <v>3176.7627506172062</v>
      </c>
      <c r="C191" s="11">
        <v>870.97734193816677</v>
      </c>
      <c r="D191" s="50">
        <v>301.1802212111773</v>
      </c>
      <c r="E191" s="50">
        <v>0</v>
      </c>
      <c r="F191" s="50">
        <v>0</v>
      </c>
      <c r="G191" s="50">
        <v>428.9175501753013</v>
      </c>
      <c r="H191" s="50">
        <v>0</v>
      </c>
    </row>
    <row r="192" spans="1:8">
      <c r="A192" s="39" t="s">
        <v>300</v>
      </c>
      <c r="B192" s="50">
        <v>2628.6810798484553</v>
      </c>
      <c r="C192" s="11">
        <v>1120.8246419774885</v>
      </c>
      <c r="D192" s="50">
        <v>399.92648856997266</v>
      </c>
      <c r="E192" s="50">
        <v>555.73226233647813</v>
      </c>
      <c r="F192" s="50">
        <v>0</v>
      </c>
      <c r="G192" s="50">
        <v>0</v>
      </c>
      <c r="H192" s="50">
        <v>552.19768696451649</v>
      </c>
    </row>
    <row r="193" spans="1:8">
      <c r="A193" s="39" t="s">
        <v>301</v>
      </c>
      <c r="B193" s="50">
        <v>917.41594061603314</v>
      </c>
      <c r="C193" s="11">
        <v>0</v>
      </c>
      <c r="D193" s="50">
        <v>0</v>
      </c>
      <c r="E193" s="50">
        <v>0</v>
      </c>
      <c r="F193" s="50">
        <v>0</v>
      </c>
      <c r="G193" s="50">
        <v>0</v>
      </c>
      <c r="H193" s="50">
        <v>917.41594061603314</v>
      </c>
    </row>
    <row r="194" spans="1:8">
      <c r="A194" s="39" t="s">
        <v>302</v>
      </c>
      <c r="B194" s="50">
        <v>407.11606996521789</v>
      </c>
      <c r="C194" s="11">
        <v>407.11606996521789</v>
      </c>
      <c r="D194" s="50">
        <v>0</v>
      </c>
      <c r="E194" s="50">
        <v>0</v>
      </c>
      <c r="F194" s="50">
        <v>0</v>
      </c>
      <c r="G194" s="50">
        <v>0</v>
      </c>
      <c r="H194" s="50">
        <v>0</v>
      </c>
    </row>
    <row r="195" spans="1:8">
      <c r="A195" s="39" t="s">
        <v>303</v>
      </c>
      <c r="B195" s="50">
        <v>1926.4063723463055</v>
      </c>
      <c r="C195" s="11">
        <v>704.4444139504169</v>
      </c>
      <c r="D195" s="50">
        <v>1221.9619583958886</v>
      </c>
      <c r="E195" s="50">
        <v>1221.9619583958886</v>
      </c>
      <c r="F195" s="50">
        <v>792.7298220198511</v>
      </c>
      <c r="G195" s="50">
        <v>792.7298220198511</v>
      </c>
      <c r="H195" s="50">
        <v>704.4444139504169</v>
      </c>
    </row>
    <row r="196" spans="1:8">
      <c r="A196" s="39" t="s">
        <v>304</v>
      </c>
      <c r="B196" s="50">
        <v>21065.531570681476</v>
      </c>
      <c r="C196" s="11">
        <v>5166.546932523448</v>
      </c>
      <c r="D196" s="50">
        <v>874.34911042278748</v>
      </c>
      <c r="E196" s="50">
        <v>1946.5831614539093</v>
      </c>
      <c r="F196" s="50">
        <v>7062.6827864713414</v>
      </c>
      <c r="G196" s="50">
        <v>7534.8840017835364</v>
      </c>
      <c r="H196" s="50">
        <v>1911.7261709947052</v>
      </c>
    </row>
    <row r="197" spans="1:8">
      <c r="A197" s="39" t="s">
        <v>305</v>
      </c>
      <c r="B197" s="50">
        <v>5481.1264077232963</v>
      </c>
      <c r="C197" s="11">
        <v>995.59105144946113</v>
      </c>
      <c r="D197" s="50">
        <v>1686.872598931936</v>
      </c>
      <c r="E197" s="50">
        <v>1253.3051277937816</v>
      </c>
      <c r="F197" s="50">
        <v>460.57530577393049</v>
      </c>
      <c r="G197" s="50">
        <v>2038.19114174469</v>
      </c>
      <c r="H197" s="50">
        <v>1743.7478268012437</v>
      </c>
    </row>
    <row r="198" spans="1:8">
      <c r="A198" s="39" t="s">
        <v>306</v>
      </c>
      <c r="B198" s="50">
        <v>3176.9108259895634</v>
      </c>
      <c r="C198" s="11">
        <v>1147.5345782225393</v>
      </c>
      <c r="D198" s="50">
        <v>0</v>
      </c>
      <c r="E198" s="50">
        <v>383.56479504574122</v>
      </c>
      <c r="F198" s="50">
        <v>743.27460412078949</v>
      </c>
      <c r="G198" s="50">
        <v>359.70980907504827</v>
      </c>
      <c r="H198" s="50">
        <v>1485.3377240376037</v>
      </c>
    </row>
    <row r="199" spans="1:8">
      <c r="A199" s="39" t="s">
        <v>307</v>
      </c>
      <c r="B199" s="50">
        <v>13286.491649546242</v>
      </c>
      <c r="C199" s="11">
        <v>1348.0779840731279</v>
      </c>
      <c r="D199" s="50">
        <v>1589.2092870860565</v>
      </c>
      <c r="E199" s="50">
        <v>0</v>
      </c>
      <c r="F199" s="50">
        <v>705.82288069638378</v>
      </c>
      <c r="G199" s="50">
        <v>1483.7890502181458</v>
      </c>
      <c r="H199" s="50">
        <v>877.32854482107246</v>
      </c>
    </row>
    <row r="200" spans="1:8">
      <c r="A200" s="39" t="s">
        <v>308</v>
      </c>
      <c r="B200" s="50">
        <v>75181.531319556656</v>
      </c>
      <c r="C200" s="11">
        <v>8394.0423382335703</v>
      </c>
      <c r="D200" s="50">
        <v>8778.8605518295444</v>
      </c>
      <c r="E200" s="50">
        <v>20606.039584544043</v>
      </c>
      <c r="F200" s="50">
        <v>11172.151316264913</v>
      </c>
      <c r="G200" s="50">
        <v>18916.373585807076</v>
      </c>
      <c r="H200" s="50">
        <v>13974.682556602429</v>
      </c>
    </row>
    <row r="201" spans="1:8">
      <c r="A201" s="39" t="s">
        <v>309</v>
      </c>
      <c r="B201" s="50">
        <v>1397.5819785114836</v>
      </c>
      <c r="C201" s="11">
        <v>390.03265950906916</v>
      </c>
      <c r="D201" s="50">
        <v>0</v>
      </c>
      <c r="E201" s="50">
        <v>1007.5493190024144</v>
      </c>
      <c r="F201" s="50">
        <v>0</v>
      </c>
      <c r="G201" s="50">
        <v>0</v>
      </c>
      <c r="H201" s="50">
        <v>0</v>
      </c>
    </row>
    <row r="202" spans="1:8">
      <c r="A202" s="39" t="s">
        <v>310</v>
      </c>
      <c r="B202" s="50">
        <v>2226.5348016687067</v>
      </c>
      <c r="C202" s="11">
        <v>0</v>
      </c>
      <c r="D202" s="50">
        <v>0</v>
      </c>
      <c r="E202" s="50">
        <v>0</v>
      </c>
      <c r="F202" s="50">
        <v>608.43010451369446</v>
      </c>
      <c r="G202" s="50">
        <v>0</v>
      </c>
      <c r="H202" s="50">
        <v>615.94824421450539</v>
      </c>
    </row>
    <row r="203" spans="1:8">
      <c r="A203" s="39" t="s">
        <v>311</v>
      </c>
      <c r="B203" s="50">
        <v>632249.28754203091</v>
      </c>
      <c r="C203" s="11">
        <v>329590.54747657344</v>
      </c>
      <c r="D203" s="50">
        <v>87777.69290522096</v>
      </c>
      <c r="E203" s="50">
        <v>33492.849493931477</v>
      </c>
      <c r="F203" s="50">
        <v>50164.217913459106</v>
      </c>
      <c r="G203" s="50">
        <v>37319.625019312982</v>
      </c>
      <c r="H203" s="50">
        <v>125378.26474047349</v>
      </c>
    </row>
    <row r="204" spans="1:8">
      <c r="A204" s="39" t="s">
        <v>312</v>
      </c>
      <c r="B204" s="50">
        <v>2549.8458256561426</v>
      </c>
      <c r="C204" s="11">
        <v>1419.5589391214476</v>
      </c>
      <c r="D204" s="50">
        <v>1289.7341961715892</v>
      </c>
      <c r="E204" s="50">
        <v>1419.5589391214476</v>
      </c>
      <c r="F204" s="50">
        <v>1419.5589391214476</v>
      </c>
      <c r="G204" s="50">
        <v>789.03832631298769</v>
      </c>
      <c r="H204" s="50">
        <v>0</v>
      </c>
    </row>
    <row r="205" spans="1:8">
      <c r="A205" s="39" t="s">
        <v>313</v>
      </c>
      <c r="B205" s="50">
        <v>1531.1644865487747</v>
      </c>
      <c r="C205" s="11">
        <v>607.1417139632598</v>
      </c>
      <c r="D205" s="50">
        <v>1089.8198112762273</v>
      </c>
      <c r="E205" s="50">
        <v>482.67809731296751</v>
      </c>
      <c r="F205" s="50">
        <v>0</v>
      </c>
      <c r="G205" s="50">
        <v>607.1417139632598</v>
      </c>
      <c r="H205" s="50">
        <v>607.1417139632598</v>
      </c>
    </row>
    <row r="206" spans="1:8">
      <c r="A206" s="39" t="s">
        <v>314</v>
      </c>
      <c r="B206" s="50">
        <v>789.03832631298769</v>
      </c>
      <c r="C206" s="11">
        <v>0</v>
      </c>
      <c r="D206" s="50">
        <v>789.03832631298769</v>
      </c>
      <c r="E206" s="50">
        <v>789.03832631298769</v>
      </c>
      <c r="F206" s="50">
        <v>789.03832631298769</v>
      </c>
      <c r="G206" s="50">
        <v>0</v>
      </c>
      <c r="H206" s="50">
        <v>0</v>
      </c>
    </row>
    <row r="207" spans="1:8">
      <c r="A207" s="39" t="s">
        <v>315</v>
      </c>
      <c r="B207" s="50">
        <v>36017.957602577932</v>
      </c>
      <c r="C207" s="11">
        <v>15650.242336002028</v>
      </c>
      <c r="D207" s="50">
        <v>4502.0816963731695</v>
      </c>
      <c r="E207" s="50">
        <v>2656.3268894359967</v>
      </c>
      <c r="F207" s="50">
        <v>4906.0152841509353</v>
      </c>
      <c r="G207" s="50">
        <v>8701.217621584703</v>
      </c>
      <c r="H207" s="50">
        <v>3755.0347074578476</v>
      </c>
    </row>
    <row r="208" spans="1:8">
      <c r="A208" s="39" t="s">
        <v>316</v>
      </c>
      <c r="B208" s="50">
        <v>908.14019147922068</v>
      </c>
      <c r="C208" s="11">
        <v>383.56479504574122</v>
      </c>
      <c r="D208" s="50">
        <v>0</v>
      </c>
      <c r="E208" s="50">
        <v>0</v>
      </c>
      <c r="F208" s="50">
        <v>0</v>
      </c>
      <c r="G208" s="50">
        <v>0</v>
      </c>
      <c r="H208" s="50">
        <v>0</v>
      </c>
    </row>
    <row r="209" spans="1:8">
      <c r="A209" s="39" t="s">
        <v>317</v>
      </c>
      <c r="B209" s="50">
        <v>1902.3074565771246</v>
      </c>
      <c r="C209" s="11">
        <v>492.26742073126235</v>
      </c>
      <c r="D209" s="50">
        <v>0</v>
      </c>
      <c r="E209" s="50">
        <v>519.33999641040145</v>
      </c>
      <c r="F209" s="50">
        <v>0</v>
      </c>
      <c r="G209" s="50">
        <v>0</v>
      </c>
      <c r="H209" s="50">
        <v>0</v>
      </c>
    </row>
    <row r="210" spans="1:8">
      <c r="A210" s="39" t="s">
        <v>318</v>
      </c>
      <c r="B210" s="50">
        <v>323478.68184137793</v>
      </c>
      <c r="C210" s="11">
        <v>84875.726305758348</v>
      </c>
      <c r="D210" s="50">
        <v>30326.559417128825</v>
      </c>
      <c r="E210" s="50">
        <v>62065.209211574343</v>
      </c>
      <c r="F210" s="50">
        <v>119641.3130553196</v>
      </c>
      <c r="G210" s="50">
        <v>7786.9755537941128</v>
      </c>
      <c r="H210" s="50">
        <v>10092.826878015609</v>
      </c>
    </row>
    <row r="211" spans="1:8">
      <c r="A211" s="39" t="s">
        <v>319</v>
      </c>
      <c r="B211" s="50">
        <v>9843.5898108936726</v>
      </c>
      <c r="C211" s="11">
        <v>610.28557547434525</v>
      </c>
      <c r="D211" s="50">
        <v>1920.2365472146898</v>
      </c>
      <c r="E211" s="50">
        <v>964.42029655888973</v>
      </c>
      <c r="F211" s="50">
        <v>499.80637204091886</v>
      </c>
      <c r="G211" s="50">
        <v>0</v>
      </c>
      <c r="H211" s="50">
        <v>4727.8530311379673</v>
      </c>
    </row>
    <row r="212" spans="1:8">
      <c r="A212" s="39" t="s">
        <v>320</v>
      </c>
      <c r="B212" s="50">
        <v>0</v>
      </c>
      <c r="C212" s="11">
        <v>0</v>
      </c>
      <c r="D212" s="50">
        <v>0</v>
      </c>
      <c r="E212" s="50">
        <v>0</v>
      </c>
      <c r="F212" s="50">
        <v>0</v>
      </c>
      <c r="G212" s="50">
        <v>0</v>
      </c>
      <c r="H212" s="50">
        <v>0</v>
      </c>
    </row>
    <row r="213" spans="1:8">
      <c r="A213" s="39" t="s">
        <v>321</v>
      </c>
      <c r="B213" s="50">
        <v>36642.415814964203</v>
      </c>
      <c r="C213" s="11">
        <v>24240.563999967471</v>
      </c>
      <c r="D213" s="50">
        <v>3171.2998710591596</v>
      </c>
      <c r="E213" s="50">
        <v>3091.9739688217933</v>
      </c>
      <c r="F213" s="50">
        <v>0</v>
      </c>
      <c r="G213" s="50">
        <v>3118.1395944410569</v>
      </c>
      <c r="H213" s="50">
        <v>7386.1951431081052</v>
      </c>
    </row>
    <row r="214" spans="1:8">
      <c r="A214" s="39" t="s">
        <v>322</v>
      </c>
      <c r="B214" s="50">
        <v>1210.357514866603</v>
      </c>
      <c r="C214" s="11">
        <v>0</v>
      </c>
      <c r="D214" s="50">
        <v>610.28557547434525</v>
      </c>
      <c r="E214" s="50">
        <v>0</v>
      </c>
      <c r="F214" s="50">
        <v>0</v>
      </c>
      <c r="G214" s="50">
        <v>0</v>
      </c>
      <c r="H214" s="50">
        <v>600.07193939225772</v>
      </c>
    </row>
    <row r="215" spans="1:8">
      <c r="A215" s="39" t="s">
        <v>323</v>
      </c>
      <c r="B215" s="50">
        <v>1918.6656711977698</v>
      </c>
      <c r="C215" s="11">
        <v>0</v>
      </c>
      <c r="D215" s="50">
        <v>1918.6656711977698</v>
      </c>
      <c r="E215" s="50">
        <v>0</v>
      </c>
      <c r="F215" s="50">
        <v>0</v>
      </c>
      <c r="G215" s="50">
        <v>656.03002618745029</v>
      </c>
      <c r="H215" s="50">
        <v>0</v>
      </c>
    </row>
    <row r="216" spans="1:8">
      <c r="A216" s="39" t="s">
        <v>324</v>
      </c>
      <c r="B216" s="50">
        <v>474.24692908427352</v>
      </c>
      <c r="C216" s="11">
        <v>0</v>
      </c>
      <c r="D216" s="50">
        <v>0</v>
      </c>
      <c r="E216" s="50">
        <v>0</v>
      </c>
      <c r="F216" s="50">
        <v>0</v>
      </c>
      <c r="G216" s="50">
        <v>474.24692908427352</v>
      </c>
      <c r="H216" s="50">
        <v>0</v>
      </c>
    </row>
    <row r="217" spans="1:8">
      <c r="A217" s="39" t="s">
        <v>325</v>
      </c>
      <c r="B217" s="50">
        <v>9130.3201402038649</v>
      </c>
      <c r="C217" s="11">
        <v>441.34467527254736</v>
      </c>
      <c r="D217" s="50">
        <v>1041.5792711377594</v>
      </c>
      <c r="E217" s="50">
        <v>1266.8357581556011</v>
      </c>
      <c r="F217" s="50">
        <v>4136.3080083972191</v>
      </c>
      <c r="G217" s="50">
        <v>3087.5514576947821</v>
      </c>
      <c r="H217" s="50">
        <v>0</v>
      </c>
    </row>
    <row r="218" spans="1:8">
      <c r="A218" s="39" t="s">
        <v>326</v>
      </c>
      <c r="B218" s="50">
        <v>462.91768712269339</v>
      </c>
      <c r="C218" s="11">
        <v>462.91768712269339</v>
      </c>
      <c r="D218" s="50">
        <v>0</v>
      </c>
      <c r="E218" s="50">
        <v>0</v>
      </c>
      <c r="F218" s="50">
        <v>462.91768712269339</v>
      </c>
      <c r="G218" s="50">
        <v>0</v>
      </c>
      <c r="H218" s="50">
        <v>0</v>
      </c>
    </row>
    <row r="219" spans="1:8">
      <c r="A219" s="39" t="s">
        <v>327</v>
      </c>
      <c r="B219" s="50">
        <v>3547.3157227665038</v>
      </c>
      <c r="C219" s="11">
        <v>1517.5517509213414</v>
      </c>
      <c r="D219" s="50">
        <v>458.76629321589718</v>
      </c>
      <c r="E219" s="50">
        <v>0</v>
      </c>
      <c r="F219" s="50">
        <v>1058.8823459855844</v>
      </c>
      <c r="G219" s="50">
        <v>961.75140737399681</v>
      </c>
      <c r="H219" s="50">
        <v>0</v>
      </c>
    </row>
    <row r="220" spans="1:8">
      <c r="A220" s="39" t="s">
        <v>328</v>
      </c>
      <c r="B220" s="50">
        <v>29740.93584541036</v>
      </c>
      <c r="C220" s="11">
        <v>6967.6534654226207</v>
      </c>
      <c r="D220" s="50">
        <v>3548.3377134531529</v>
      </c>
      <c r="E220" s="50">
        <v>4108.5073551332316</v>
      </c>
      <c r="F220" s="50">
        <v>19014.094805961417</v>
      </c>
      <c r="G220" s="50">
        <v>1138.8010470361939</v>
      </c>
      <c r="H220" s="50">
        <v>0</v>
      </c>
    </row>
    <row r="221" spans="1:8">
      <c r="A221" s="39" t="s">
        <v>329</v>
      </c>
      <c r="B221" s="50">
        <v>88137.85857862157</v>
      </c>
      <c r="C221" s="11">
        <v>16773.442524144048</v>
      </c>
      <c r="D221" s="50">
        <v>5654.6215714620239</v>
      </c>
      <c r="E221" s="50">
        <v>7983.6262176308464</v>
      </c>
      <c r="F221" s="50">
        <v>51307.090439386127</v>
      </c>
      <c r="G221" s="50">
        <v>3377.080135099372</v>
      </c>
      <c r="H221" s="50">
        <v>2345.6197219653577</v>
      </c>
    </row>
    <row r="222" spans="1:8">
      <c r="A222" s="39" t="s">
        <v>330</v>
      </c>
      <c r="B222" s="50">
        <v>0</v>
      </c>
      <c r="C222" s="11">
        <v>0</v>
      </c>
      <c r="D222" s="50">
        <v>0</v>
      </c>
      <c r="E222" s="50">
        <v>0</v>
      </c>
      <c r="F222" s="50">
        <v>0</v>
      </c>
      <c r="G222" s="50">
        <v>0</v>
      </c>
      <c r="H222" s="50">
        <v>0</v>
      </c>
    </row>
    <row r="223" spans="1:8">
      <c r="A223" s="39" t="s">
        <v>331</v>
      </c>
      <c r="B223" s="50">
        <v>456.90928794897246</v>
      </c>
      <c r="C223" s="11">
        <v>0</v>
      </c>
      <c r="D223" s="50">
        <v>0</v>
      </c>
      <c r="E223" s="50">
        <v>456.90928794897246</v>
      </c>
      <c r="F223" s="50">
        <v>456.90928794897246</v>
      </c>
      <c r="G223" s="50">
        <v>0</v>
      </c>
      <c r="H223" s="50">
        <v>0</v>
      </c>
    </row>
    <row r="224" spans="1:8">
      <c r="A224" s="39" t="s">
        <v>332</v>
      </c>
      <c r="B224" s="50">
        <v>944.13019054433357</v>
      </c>
      <c r="C224" s="11">
        <v>0</v>
      </c>
      <c r="D224" s="50">
        <v>0</v>
      </c>
      <c r="E224" s="50">
        <v>0</v>
      </c>
      <c r="F224" s="50">
        <v>451.86276981307117</v>
      </c>
      <c r="G224" s="50">
        <v>0</v>
      </c>
      <c r="H224" s="50">
        <v>492.26742073126235</v>
      </c>
    </row>
    <row r="225" spans="1:8">
      <c r="A225" s="39" t="s">
        <v>333</v>
      </c>
      <c r="B225" s="50">
        <v>4287.5202859236279</v>
      </c>
      <c r="C225" s="11">
        <v>1029.3040757682952</v>
      </c>
      <c r="D225" s="50">
        <v>870.48322497515869</v>
      </c>
      <c r="E225" s="50">
        <v>0</v>
      </c>
      <c r="F225" s="50">
        <v>2160.9350953687608</v>
      </c>
      <c r="G225" s="50">
        <v>1029.3040757682952</v>
      </c>
      <c r="H225" s="50">
        <v>0</v>
      </c>
    </row>
    <row r="226" spans="1:8">
      <c r="A226" s="39" t="s">
        <v>334</v>
      </c>
      <c r="B226" s="50">
        <v>5034.6487734843595</v>
      </c>
      <c r="C226" s="11">
        <v>3569.7159999300188</v>
      </c>
      <c r="D226" s="50">
        <v>1320.9235775840204</v>
      </c>
      <c r="E226" s="50">
        <v>456.90928794897246</v>
      </c>
      <c r="F226" s="50">
        <v>1008.023485605368</v>
      </c>
      <c r="G226" s="50">
        <v>913.81857589794492</v>
      </c>
      <c r="H226" s="50">
        <v>913.81857589794492</v>
      </c>
    </row>
    <row r="227" spans="1:8">
      <c r="A227" s="39" t="s">
        <v>335</v>
      </c>
      <c r="B227" s="50">
        <v>638.56938556506282</v>
      </c>
      <c r="C227" s="11">
        <v>0</v>
      </c>
      <c r="D227" s="50">
        <v>638.56938556506282</v>
      </c>
      <c r="E227" s="50">
        <v>0</v>
      </c>
      <c r="F227" s="50">
        <v>638.56938556506282</v>
      </c>
      <c r="G227" s="50">
        <v>638.56938556506282</v>
      </c>
      <c r="H227" s="50">
        <v>0</v>
      </c>
    </row>
    <row r="228" spans="1:8">
      <c r="A228" s="39" t="s">
        <v>336</v>
      </c>
      <c r="B228" s="50">
        <v>39461.475047390049</v>
      </c>
      <c r="C228" s="11">
        <v>25051.882790900243</v>
      </c>
      <c r="D228" s="50">
        <v>5957.5248991241524</v>
      </c>
      <c r="E228" s="50">
        <v>693.96060868970039</v>
      </c>
      <c r="F228" s="50">
        <v>0</v>
      </c>
      <c r="G228" s="50">
        <v>1846.2925381375073</v>
      </c>
      <c r="H228" s="50">
        <v>1026.0447377844607</v>
      </c>
    </row>
    <row r="229" spans="1:8">
      <c r="A229" s="39" t="s">
        <v>337</v>
      </c>
      <c r="B229" s="50">
        <v>359.70980907504827</v>
      </c>
      <c r="C229" s="11">
        <v>0</v>
      </c>
      <c r="D229" s="50">
        <v>0</v>
      </c>
      <c r="E229" s="50">
        <v>0</v>
      </c>
      <c r="F229" s="50">
        <v>0</v>
      </c>
      <c r="G229" s="50">
        <v>0</v>
      </c>
      <c r="H229" s="50">
        <v>0</v>
      </c>
    </row>
    <row r="230" spans="1:8">
      <c r="A230" s="39" t="s">
        <v>338</v>
      </c>
      <c r="B230" s="50">
        <v>0</v>
      </c>
      <c r="C230" s="11">
        <v>0</v>
      </c>
      <c r="D230" s="50">
        <v>0</v>
      </c>
      <c r="E230" s="50">
        <v>0</v>
      </c>
      <c r="F230" s="50">
        <v>0</v>
      </c>
      <c r="G230" s="50">
        <v>0</v>
      </c>
      <c r="H230" s="50">
        <v>0</v>
      </c>
    </row>
    <row r="231" spans="1:8">
      <c r="A231" s="39" t="s">
        <v>339</v>
      </c>
      <c r="B231" s="50">
        <v>30677.242506374401</v>
      </c>
      <c r="C231" s="11">
        <v>5404.7107818438662</v>
      </c>
      <c r="D231" s="50">
        <v>441.2510885991212</v>
      </c>
      <c r="E231" s="50">
        <v>2404.3918022638436</v>
      </c>
      <c r="F231" s="50">
        <v>18978.154350723224</v>
      </c>
      <c r="G231" s="50">
        <v>3412.4258643134381</v>
      </c>
      <c r="H231" s="50">
        <v>340.63183677879601</v>
      </c>
    </row>
    <row r="232" spans="1:8">
      <c r="A232" s="39" t="s">
        <v>340</v>
      </c>
      <c r="B232" s="50">
        <v>7410.5475359707871</v>
      </c>
      <c r="C232" s="11">
        <v>2225.0652588722</v>
      </c>
      <c r="D232" s="50">
        <v>2212.7822283836849</v>
      </c>
      <c r="E232" s="50">
        <v>0</v>
      </c>
      <c r="F232" s="50">
        <v>3656.4544500778688</v>
      </c>
      <c r="G232" s="50">
        <v>1339.3595381106456</v>
      </c>
      <c r="H232" s="50">
        <v>683.75440136296595</v>
      </c>
    </row>
    <row r="233" spans="1:8">
      <c r="A233" s="39" t="s">
        <v>341</v>
      </c>
      <c r="B233" s="50">
        <v>0</v>
      </c>
      <c r="C233" s="11">
        <v>0</v>
      </c>
      <c r="D233" s="50">
        <v>0</v>
      </c>
      <c r="E233" s="50">
        <v>0</v>
      </c>
      <c r="F233" s="50">
        <v>0</v>
      </c>
      <c r="G233" s="50">
        <v>0</v>
      </c>
      <c r="H233" s="50">
        <v>0</v>
      </c>
    </row>
    <row r="234" spans="1:8">
      <c r="A234" s="39" t="s">
        <v>342</v>
      </c>
      <c r="B234" s="50">
        <v>27688.023442097568</v>
      </c>
      <c r="C234" s="11">
        <v>4628.8857103883183</v>
      </c>
      <c r="D234" s="50">
        <v>3934.5616302971348</v>
      </c>
      <c r="E234" s="50">
        <v>2037.9978068424882</v>
      </c>
      <c r="F234" s="50">
        <v>2499.6978900563549</v>
      </c>
      <c r="G234" s="50">
        <v>5308.7226157063642</v>
      </c>
      <c r="H234" s="50">
        <v>5663.273673084479</v>
      </c>
    </row>
    <row r="235" spans="1:8">
      <c r="A235" s="39" t="s">
        <v>343</v>
      </c>
      <c r="B235" s="50">
        <v>5351.0029514766375</v>
      </c>
      <c r="C235" s="11">
        <v>2271.492018263858</v>
      </c>
      <c r="D235" s="50">
        <v>683.79581973685117</v>
      </c>
      <c r="E235" s="50">
        <v>615.94824421450539</v>
      </c>
      <c r="F235" s="50">
        <v>1358.9344604556536</v>
      </c>
      <c r="G235" s="50">
        <v>0</v>
      </c>
      <c r="H235" s="50">
        <v>459.49286584522417</v>
      </c>
    </row>
    <row r="236" spans="1:8">
      <c r="A236" s="39" t="s">
        <v>344</v>
      </c>
      <c r="B236" s="50">
        <v>11628.139380914405</v>
      </c>
      <c r="C236" s="11">
        <v>891.01774454367433</v>
      </c>
      <c r="D236" s="50">
        <v>858.58084318893407</v>
      </c>
      <c r="E236" s="50">
        <v>0</v>
      </c>
      <c r="F236" s="50">
        <v>2490.6458608536918</v>
      </c>
      <c r="G236" s="50">
        <v>306.96665260733778</v>
      </c>
      <c r="H236" s="50">
        <v>943.53220440113751</v>
      </c>
    </row>
    <row r="237" spans="1:8">
      <c r="A237" s="39" t="s">
        <v>345</v>
      </c>
      <c r="B237" s="50">
        <v>547.18171105519093</v>
      </c>
      <c r="C237" s="11">
        <v>0</v>
      </c>
      <c r="D237" s="50">
        <v>0</v>
      </c>
      <c r="E237" s="50">
        <v>0</v>
      </c>
      <c r="F237" s="50">
        <v>0</v>
      </c>
      <c r="G237" s="50">
        <v>0</v>
      </c>
      <c r="H237" s="50">
        <v>547.18171105519093</v>
      </c>
    </row>
    <row r="238" spans="1:8">
      <c r="A238" s="39" t="s">
        <v>346</v>
      </c>
      <c r="B238" s="50">
        <v>3230.7946442458779</v>
      </c>
      <c r="C238" s="11">
        <v>0</v>
      </c>
      <c r="D238" s="50">
        <v>440.2961036401806</v>
      </c>
      <c r="E238" s="50">
        <v>609.07696063985838</v>
      </c>
      <c r="F238" s="50">
        <v>1496.3847186616081</v>
      </c>
      <c r="G238" s="50">
        <v>685.03686130423091</v>
      </c>
      <c r="H238" s="50">
        <v>0</v>
      </c>
    </row>
    <row r="239" spans="1:8">
      <c r="A239" s="39" t="s">
        <v>347</v>
      </c>
      <c r="B239" s="50">
        <v>225822.14969828608</v>
      </c>
      <c r="C239" s="11">
        <v>126910.38768185735</v>
      </c>
      <c r="D239" s="50">
        <v>43828.700221221115</v>
      </c>
      <c r="E239" s="50">
        <v>11120.717213295829</v>
      </c>
      <c r="F239" s="50">
        <v>4745.8382188489813</v>
      </c>
      <c r="G239" s="50">
        <v>9817.9757662804459</v>
      </c>
      <c r="H239" s="50">
        <v>54803.944654882624</v>
      </c>
    </row>
    <row r="240" spans="1:8">
      <c r="A240" s="39" t="s">
        <v>348</v>
      </c>
      <c r="B240" s="50">
        <v>2221.6941208972949</v>
      </c>
      <c r="C240" s="11">
        <v>0</v>
      </c>
      <c r="D240" s="50">
        <v>0</v>
      </c>
      <c r="E240" s="50">
        <v>0</v>
      </c>
      <c r="F240" s="50">
        <v>2221.6941208972949</v>
      </c>
      <c r="G240" s="50">
        <v>0</v>
      </c>
      <c r="H240" s="50">
        <v>0</v>
      </c>
    </row>
    <row r="241" spans="1:8">
      <c r="A241" s="39" t="s">
        <v>349</v>
      </c>
      <c r="B241" s="50">
        <v>1993.1608964800184</v>
      </c>
      <c r="C241" s="11">
        <v>789.03832631298769</v>
      </c>
      <c r="D241" s="50">
        <v>680.37796770931493</v>
      </c>
      <c r="E241" s="50">
        <v>0</v>
      </c>
      <c r="F241" s="50">
        <v>334.83357745314618</v>
      </c>
      <c r="G241" s="50">
        <v>334.83357745314618</v>
      </c>
      <c r="H241" s="50">
        <v>858.57817991086199</v>
      </c>
    </row>
    <row r="242" spans="1:8">
      <c r="A242" s="39" t="s">
        <v>350</v>
      </c>
      <c r="B242" s="50">
        <v>888.92027169297853</v>
      </c>
      <c r="C242" s="11">
        <v>321.14007029142084</v>
      </c>
      <c r="D242" s="50">
        <v>0</v>
      </c>
      <c r="E242" s="50">
        <v>567.78020140155763</v>
      </c>
      <c r="F242" s="50">
        <v>0</v>
      </c>
      <c r="G242" s="50">
        <v>0</v>
      </c>
      <c r="H242" s="50">
        <v>0</v>
      </c>
    </row>
    <row r="243" spans="1:8">
      <c r="A243" s="39" t="s">
        <v>351</v>
      </c>
      <c r="B243" s="50">
        <v>22554.640344737076</v>
      </c>
      <c r="C243" s="11">
        <v>15453.404999218952</v>
      </c>
      <c r="D243" s="50">
        <v>2975.5110148317494</v>
      </c>
      <c r="E243" s="50">
        <v>0</v>
      </c>
      <c r="F243" s="50">
        <v>674.69906199810919</v>
      </c>
      <c r="G243" s="50">
        <v>0</v>
      </c>
      <c r="H243" s="50">
        <v>2361.3982769463214</v>
      </c>
    </row>
    <row r="244" spans="1:8">
      <c r="A244" s="39" t="s">
        <v>352</v>
      </c>
      <c r="B244" s="50">
        <v>2141.5908188009257</v>
      </c>
      <c r="C244" s="11">
        <v>441.2510885991212</v>
      </c>
      <c r="D244" s="50">
        <v>441.2510885991212</v>
      </c>
      <c r="E244" s="50">
        <v>996.85030121032798</v>
      </c>
      <c r="F244" s="50">
        <v>704.4444139504169</v>
      </c>
      <c r="G244" s="50">
        <v>441.2510885991212</v>
      </c>
      <c r="H244" s="50">
        <v>0</v>
      </c>
    </row>
    <row r="245" spans="1:8">
      <c r="A245" s="39" t="s">
        <v>353</v>
      </c>
      <c r="B245" s="50">
        <v>441.2510885991212</v>
      </c>
      <c r="C245" s="11">
        <v>441.2510885991212</v>
      </c>
      <c r="D245" s="50">
        <v>441.2510885991212</v>
      </c>
      <c r="E245" s="50">
        <v>441.2510885991212</v>
      </c>
      <c r="F245" s="50">
        <v>441.2510885991212</v>
      </c>
      <c r="G245" s="50">
        <v>0</v>
      </c>
      <c r="H245" s="50">
        <v>0</v>
      </c>
    </row>
    <row r="246" spans="1:8">
      <c r="A246" s="39" t="s">
        <v>354</v>
      </c>
      <c r="B246" s="50">
        <v>14758.514109570981</v>
      </c>
      <c r="C246" s="11">
        <v>2547.4634911206781</v>
      </c>
      <c r="D246" s="50">
        <v>871.55719731120394</v>
      </c>
      <c r="E246" s="50">
        <v>2452.5758713741297</v>
      </c>
      <c r="F246" s="50">
        <v>8022.8481845102506</v>
      </c>
      <c r="G246" s="50">
        <v>1837.8266924089351</v>
      </c>
      <c r="H246" s="50">
        <v>441.2510885991212</v>
      </c>
    </row>
    <row r="247" spans="1:8">
      <c r="A247" s="39" t="s">
        <v>355</v>
      </c>
      <c r="B247" s="50">
        <v>0</v>
      </c>
      <c r="C247" s="11">
        <v>0</v>
      </c>
      <c r="D247" s="50">
        <v>0</v>
      </c>
      <c r="E247" s="50">
        <v>0</v>
      </c>
      <c r="F247" s="50">
        <v>0</v>
      </c>
      <c r="G247" s="50">
        <v>0</v>
      </c>
      <c r="H247" s="50">
        <v>0</v>
      </c>
    </row>
    <row r="248" spans="1:8">
      <c r="A248" s="39" t="s">
        <v>356</v>
      </c>
      <c r="B248" s="50">
        <v>5925.5048710627216</v>
      </c>
      <c r="C248" s="11">
        <v>1760.1461846932066</v>
      </c>
      <c r="D248" s="50">
        <v>1523.8184495456037</v>
      </c>
      <c r="E248" s="50">
        <v>943.51283377921641</v>
      </c>
      <c r="F248" s="50">
        <v>1614.3396569248266</v>
      </c>
      <c r="G248" s="50">
        <v>429.23213637603754</v>
      </c>
      <c r="H248" s="50">
        <v>0</v>
      </c>
    </row>
    <row r="249" spans="1:8">
      <c r="A249" s="39" t="s">
        <v>357</v>
      </c>
      <c r="B249" s="50">
        <v>547.18171105519093</v>
      </c>
      <c r="C249" s="11">
        <v>0</v>
      </c>
      <c r="D249" s="50">
        <v>0</v>
      </c>
      <c r="E249" s="50">
        <v>0</v>
      </c>
      <c r="F249" s="50">
        <v>0</v>
      </c>
      <c r="G249" s="50">
        <v>0</v>
      </c>
      <c r="H249" s="50">
        <v>547.18171105519093</v>
      </c>
    </row>
    <row r="250" spans="1:8">
      <c r="A250" s="39" t="s">
        <v>358</v>
      </c>
      <c r="B250" s="50">
        <v>2692.1346019759922</v>
      </c>
      <c r="C250" s="11">
        <v>0</v>
      </c>
      <c r="D250" s="50">
        <v>0</v>
      </c>
      <c r="E250" s="50">
        <v>0</v>
      </c>
      <c r="F250" s="50">
        <v>863.25804622810051</v>
      </c>
      <c r="G250" s="50">
        <v>704.4444139504169</v>
      </c>
      <c r="H250" s="50">
        <v>0</v>
      </c>
    </row>
    <row r="251" spans="1:8">
      <c r="A251" s="39" t="s">
        <v>359</v>
      </c>
      <c r="B251" s="50">
        <v>0</v>
      </c>
      <c r="C251" s="11">
        <v>0</v>
      </c>
      <c r="D251" s="50">
        <v>0</v>
      </c>
      <c r="E251" s="50">
        <v>0</v>
      </c>
      <c r="F251" s="50">
        <v>0</v>
      </c>
      <c r="G251" s="50">
        <v>0</v>
      </c>
      <c r="H251" s="50">
        <v>0</v>
      </c>
    </row>
    <row r="252" spans="1:8">
      <c r="A252" s="39" t="s">
        <v>360</v>
      </c>
      <c r="B252" s="50">
        <v>0</v>
      </c>
      <c r="C252" s="11">
        <v>0</v>
      </c>
      <c r="D252" s="50">
        <v>0</v>
      </c>
      <c r="E252" s="50">
        <v>0</v>
      </c>
      <c r="F252" s="50">
        <v>0</v>
      </c>
      <c r="G252" s="50">
        <v>0</v>
      </c>
      <c r="H252" s="50">
        <v>0</v>
      </c>
    </row>
    <row r="253" spans="1:8">
      <c r="A253" s="39" t="s">
        <v>361</v>
      </c>
      <c r="B253" s="50">
        <v>4863.5112330986522</v>
      </c>
      <c r="C253" s="11">
        <v>610.19065733083255</v>
      </c>
      <c r="D253" s="50">
        <v>0</v>
      </c>
      <c r="E253" s="50">
        <v>0</v>
      </c>
      <c r="F253" s="50">
        <v>2406.8786596471377</v>
      </c>
      <c r="G253" s="50">
        <v>1234.809678789823</v>
      </c>
      <c r="H253" s="50">
        <v>0</v>
      </c>
    </row>
    <row r="254" spans="1:8">
      <c r="A254" s="39" t="s">
        <v>362</v>
      </c>
      <c r="B254" s="50">
        <v>0</v>
      </c>
      <c r="C254" s="11">
        <v>0</v>
      </c>
      <c r="D254" s="50">
        <v>0</v>
      </c>
      <c r="E254" s="50">
        <v>0</v>
      </c>
      <c r="F254" s="50">
        <v>0</v>
      </c>
      <c r="G254" s="50">
        <v>0</v>
      </c>
      <c r="H254" s="50">
        <v>0</v>
      </c>
    </row>
    <row r="255" spans="1:8">
      <c r="A255" s="39" t="s">
        <v>363</v>
      </c>
      <c r="B255" s="50">
        <v>12775.729942982849</v>
      </c>
      <c r="C255" s="11">
        <v>2368.7066603837625</v>
      </c>
      <c r="D255" s="50">
        <v>1054.6994070523608</v>
      </c>
      <c r="E255" s="50">
        <v>3448.5307913187212</v>
      </c>
      <c r="F255" s="50">
        <v>4138.6943607949197</v>
      </c>
      <c r="G255" s="50">
        <v>458.76629321589718</v>
      </c>
      <c r="H255" s="50">
        <v>593.44420385511739</v>
      </c>
    </row>
    <row r="256" spans="1:8">
      <c r="A256" s="39" t="s">
        <v>364</v>
      </c>
      <c r="B256" s="50">
        <v>9799.0774171029479</v>
      </c>
      <c r="C256" s="11">
        <v>1073.4809803543239</v>
      </c>
      <c r="D256" s="50">
        <v>835.32146790378931</v>
      </c>
      <c r="E256" s="50">
        <v>1643.1747344106539</v>
      </c>
      <c r="F256" s="50">
        <v>4139.0053676386142</v>
      </c>
      <c r="G256" s="50">
        <v>0</v>
      </c>
      <c r="H256" s="50">
        <v>827.83466829801307</v>
      </c>
    </row>
    <row r="257" spans="1:8">
      <c r="A257" s="39" t="s">
        <v>365</v>
      </c>
      <c r="B257" s="50">
        <v>0</v>
      </c>
      <c r="C257" s="11">
        <v>0</v>
      </c>
      <c r="D257" s="50">
        <v>0</v>
      </c>
      <c r="E257" s="50">
        <v>0</v>
      </c>
      <c r="F257" s="50">
        <v>0</v>
      </c>
      <c r="G257" s="50">
        <v>0</v>
      </c>
      <c r="H257" s="50">
        <v>0</v>
      </c>
    </row>
    <row r="258" spans="1:8">
      <c r="A258" s="39" t="s">
        <v>366</v>
      </c>
      <c r="B258" s="50">
        <v>452.14185784042945</v>
      </c>
      <c r="C258" s="11">
        <v>452.14185784042945</v>
      </c>
      <c r="D258" s="50">
        <v>0</v>
      </c>
      <c r="E258" s="50">
        <v>0</v>
      </c>
      <c r="F258" s="50">
        <v>0</v>
      </c>
      <c r="G258" s="50">
        <v>0</v>
      </c>
      <c r="H258" s="50">
        <v>0</v>
      </c>
    </row>
    <row r="259" spans="1:8">
      <c r="A259" s="39" t="s">
        <v>367</v>
      </c>
      <c r="B259" s="50">
        <v>930.66220969321284</v>
      </c>
      <c r="C259" s="11">
        <v>300.14159688475303</v>
      </c>
      <c r="D259" s="50">
        <v>630.52061280845987</v>
      </c>
      <c r="E259" s="50">
        <v>0</v>
      </c>
      <c r="F259" s="50">
        <v>0</v>
      </c>
      <c r="G259" s="50">
        <v>0</v>
      </c>
      <c r="H259" s="50">
        <v>0</v>
      </c>
    </row>
    <row r="260" spans="1:8">
      <c r="A260" s="39" t="s">
        <v>368</v>
      </c>
      <c r="B260" s="50">
        <v>6727.2534802153968</v>
      </c>
      <c r="C260" s="11">
        <v>971.54404443082763</v>
      </c>
      <c r="D260" s="50">
        <v>306.96665260733778</v>
      </c>
      <c r="E260" s="50">
        <v>306.96665260733778</v>
      </c>
      <c r="F260" s="50">
        <v>0</v>
      </c>
      <c r="G260" s="50">
        <v>0</v>
      </c>
      <c r="H260" s="50">
        <v>3189.1106291837432</v>
      </c>
    </row>
    <row r="261" spans="1:8">
      <c r="A261" s="39" t="s">
        <v>369</v>
      </c>
      <c r="B261" s="50">
        <v>5249.79182863815</v>
      </c>
      <c r="C261" s="11">
        <v>918.92510592277119</v>
      </c>
      <c r="D261" s="50">
        <v>0</v>
      </c>
      <c r="E261" s="50">
        <v>0</v>
      </c>
      <c r="F261" s="50">
        <v>0</v>
      </c>
      <c r="G261" s="50">
        <v>0</v>
      </c>
      <c r="H261" s="50">
        <v>4330.8667227153792</v>
      </c>
    </row>
    <row r="262" spans="1:8">
      <c r="A262" s="39" t="s">
        <v>370</v>
      </c>
      <c r="B262" s="50">
        <v>93286.666285963089</v>
      </c>
      <c r="C262" s="11">
        <v>57871.358858203581</v>
      </c>
      <c r="D262" s="50">
        <v>13544.366858480496</v>
      </c>
      <c r="E262" s="50">
        <v>5261.1414017309817</v>
      </c>
      <c r="F262" s="50">
        <v>5420.4028191713887</v>
      </c>
      <c r="G262" s="50">
        <v>4938.7528637332052</v>
      </c>
      <c r="H262" s="50">
        <v>14002.383068861043</v>
      </c>
    </row>
    <row r="263" spans="1:8">
      <c r="A263" s="39" t="s">
        <v>371</v>
      </c>
      <c r="B263" s="50">
        <v>35703.726237427494</v>
      </c>
      <c r="C263" s="11">
        <v>22014.084170097332</v>
      </c>
      <c r="D263" s="50">
        <v>4789.1542084252224</v>
      </c>
      <c r="E263" s="50">
        <v>1288.3777071967788</v>
      </c>
      <c r="F263" s="50">
        <v>1254.9119580891474</v>
      </c>
      <c r="G263" s="50">
        <v>1700.4396562589732</v>
      </c>
      <c r="H263" s="50">
        <v>10084.416918524632</v>
      </c>
    </row>
    <row r="264" spans="1:8">
      <c r="A264" s="39" t="s">
        <v>372</v>
      </c>
      <c r="B264" s="50">
        <v>171289.56565568576</v>
      </c>
      <c r="C264" s="11">
        <v>16690.112307394495</v>
      </c>
      <c r="D264" s="50">
        <v>12734.310528651475</v>
      </c>
      <c r="E264" s="50">
        <v>14095.701204585306</v>
      </c>
      <c r="F264" s="50">
        <v>7985.3735059161163</v>
      </c>
      <c r="G264" s="50">
        <v>15870.063231931414</v>
      </c>
      <c r="H264" s="50">
        <v>54440.343437178271</v>
      </c>
    </row>
    <row r="265" spans="1:8">
      <c r="A265" s="39" t="s">
        <v>373</v>
      </c>
      <c r="B265" s="50">
        <v>5227.9984739206375</v>
      </c>
      <c r="C265" s="11">
        <v>2865.6801807792335</v>
      </c>
      <c r="D265" s="50">
        <v>1169.3494898395256</v>
      </c>
      <c r="E265" s="50">
        <v>0</v>
      </c>
      <c r="F265" s="50">
        <v>0</v>
      </c>
      <c r="G265" s="50">
        <v>0</v>
      </c>
      <c r="H265" s="50">
        <v>803.76411533436249</v>
      </c>
    </row>
    <row r="266" spans="1:8">
      <c r="A266" s="39" t="s">
        <v>374</v>
      </c>
      <c r="B266" s="50">
        <v>28209.637238302017</v>
      </c>
      <c r="C266" s="11">
        <v>1160.0384078254592</v>
      </c>
      <c r="D266" s="50">
        <v>317.41207432929775</v>
      </c>
      <c r="E266" s="50">
        <v>0</v>
      </c>
      <c r="F266" s="50">
        <v>364.74085517180703</v>
      </c>
      <c r="G266" s="50">
        <v>580.58718258421845</v>
      </c>
      <c r="H266" s="50">
        <v>0</v>
      </c>
    </row>
    <row r="267" spans="1:8">
      <c r="A267" s="39" t="s">
        <v>375</v>
      </c>
      <c r="B267" s="50">
        <v>9247.5275563557479</v>
      </c>
      <c r="C267" s="11">
        <v>1854.2201544093805</v>
      </c>
      <c r="D267" s="50">
        <v>2729.5873203940096</v>
      </c>
      <c r="E267" s="50">
        <v>449.63607473031561</v>
      </c>
      <c r="F267" s="50">
        <v>0</v>
      </c>
      <c r="G267" s="50">
        <v>0</v>
      </c>
      <c r="H267" s="50">
        <v>0</v>
      </c>
    </row>
    <row r="268" spans="1:8">
      <c r="A268" s="39" t="s">
        <v>376</v>
      </c>
      <c r="B268" s="50">
        <v>0</v>
      </c>
      <c r="C268" s="11">
        <v>0</v>
      </c>
      <c r="D268" s="50">
        <v>0</v>
      </c>
      <c r="E268" s="50">
        <v>0</v>
      </c>
      <c r="F268" s="50">
        <v>0</v>
      </c>
      <c r="G268" s="50">
        <v>0</v>
      </c>
      <c r="H268" s="50">
        <v>0</v>
      </c>
    </row>
    <row r="269" spans="1:8">
      <c r="A269" s="39" t="s">
        <v>377</v>
      </c>
      <c r="B269" s="50">
        <v>770.94977430539427</v>
      </c>
      <c r="C269" s="11">
        <v>0</v>
      </c>
      <c r="D269" s="50">
        <v>0</v>
      </c>
      <c r="E269" s="50">
        <v>0</v>
      </c>
      <c r="F269" s="50">
        <v>0</v>
      </c>
      <c r="G269" s="50">
        <v>0</v>
      </c>
      <c r="H269" s="50">
        <v>0</v>
      </c>
    </row>
    <row r="270" spans="1:8">
      <c r="A270" s="39" t="s">
        <v>378</v>
      </c>
      <c r="B270" s="50">
        <v>1074.2624523484669</v>
      </c>
      <c r="C270" s="11">
        <v>752.00436669782425</v>
      </c>
      <c r="D270" s="50">
        <v>774.12085546371372</v>
      </c>
      <c r="E270" s="50">
        <v>0</v>
      </c>
      <c r="F270" s="50">
        <v>451.86276981307117</v>
      </c>
      <c r="G270" s="50">
        <v>451.86276981307117</v>
      </c>
      <c r="H270" s="50">
        <v>0</v>
      </c>
    </row>
    <row r="271" spans="1:8">
      <c r="A271" s="39" t="s">
        <v>379</v>
      </c>
      <c r="B271" s="50">
        <v>20873.575843303101</v>
      </c>
      <c r="C271" s="11">
        <v>3158.7031443750034</v>
      </c>
      <c r="D271" s="50">
        <v>1630.9993340018286</v>
      </c>
      <c r="E271" s="50">
        <v>398.99829130135328</v>
      </c>
      <c r="F271" s="50">
        <v>2534.0433622748737</v>
      </c>
      <c r="G271" s="50">
        <v>2275.3336592301011</v>
      </c>
      <c r="H271" s="50">
        <v>1428.652502567887</v>
      </c>
    </row>
    <row r="272" spans="1:8">
      <c r="A272" s="39" t="s">
        <v>380</v>
      </c>
      <c r="B272" s="50">
        <v>0</v>
      </c>
      <c r="C272" s="11">
        <v>0</v>
      </c>
      <c r="D272" s="50">
        <v>0</v>
      </c>
      <c r="E272" s="50">
        <v>0</v>
      </c>
      <c r="F272" s="50">
        <v>0</v>
      </c>
      <c r="G272" s="50">
        <v>0</v>
      </c>
      <c r="H272" s="50">
        <v>0</v>
      </c>
    </row>
    <row r="273" spans="1:8">
      <c r="A273" s="39" t="s">
        <v>381</v>
      </c>
      <c r="B273" s="50">
        <v>8343.6757327243267</v>
      </c>
      <c r="C273" s="11">
        <v>1489.9192352847936</v>
      </c>
      <c r="D273" s="50">
        <v>1170.6089879309022</v>
      </c>
      <c r="E273" s="50">
        <v>1639.8991783857327</v>
      </c>
      <c r="F273" s="50">
        <v>3009.6560823119653</v>
      </c>
      <c r="G273" s="50">
        <v>2697.9536135027502</v>
      </c>
      <c r="H273" s="50">
        <v>533.84745394773336</v>
      </c>
    </row>
    <row r="274" spans="1:8">
      <c r="A274" s="39" t="s">
        <v>382</v>
      </c>
      <c r="B274" s="50">
        <v>0</v>
      </c>
      <c r="C274" s="11">
        <v>0</v>
      </c>
      <c r="D274" s="50">
        <v>0</v>
      </c>
      <c r="E274" s="50">
        <v>0</v>
      </c>
      <c r="F274" s="50">
        <v>0</v>
      </c>
      <c r="G274" s="50">
        <v>0</v>
      </c>
      <c r="H274" s="50">
        <v>0</v>
      </c>
    </row>
    <row r="275" spans="1:8">
      <c r="A275" s="39" t="s">
        <v>383</v>
      </c>
      <c r="B275" s="50">
        <v>9221.1776110989322</v>
      </c>
      <c r="C275" s="11">
        <v>2365.307487416293</v>
      </c>
      <c r="D275" s="50">
        <v>452.4515337598973</v>
      </c>
      <c r="E275" s="50">
        <v>521.95046057534364</v>
      </c>
      <c r="F275" s="50">
        <v>452.4515337598973</v>
      </c>
      <c r="G275" s="50">
        <v>1460.8537420006264</v>
      </c>
      <c r="H275" s="50">
        <v>3666.2316517410086</v>
      </c>
    </row>
    <row r="276" spans="1:8">
      <c r="A276" s="39" t="s">
        <v>384</v>
      </c>
      <c r="B276" s="50">
        <v>3958.8366106807875</v>
      </c>
      <c r="C276" s="11">
        <v>0</v>
      </c>
      <c r="D276" s="50">
        <v>0</v>
      </c>
      <c r="E276" s="50">
        <v>240.58456970987083</v>
      </c>
      <c r="F276" s="50">
        <v>3313.9920668691675</v>
      </c>
      <c r="G276" s="50">
        <v>0</v>
      </c>
      <c r="H276" s="50">
        <v>404.25997410174978</v>
      </c>
    </row>
    <row r="277" spans="1:8">
      <c r="A277" s="39" t="s">
        <v>385</v>
      </c>
      <c r="B277" s="50">
        <v>1601.8066162071257</v>
      </c>
      <c r="C277" s="11">
        <v>458.22720469694633</v>
      </c>
      <c r="D277" s="50">
        <v>802.9475747313835</v>
      </c>
      <c r="E277" s="50">
        <v>0</v>
      </c>
      <c r="F277" s="50">
        <v>0</v>
      </c>
      <c r="G277" s="50">
        <v>0</v>
      </c>
      <c r="H277" s="50">
        <v>0</v>
      </c>
    </row>
    <row r="278" spans="1:8">
      <c r="A278" s="39" t="s">
        <v>386</v>
      </c>
      <c r="B278" s="50">
        <v>21718.453903843318</v>
      </c>
      <c r="C278" s="11">
        <v>1638.3240483970812</v>
      </c>
      <c r="D278" s="50">
        <v>593.44420385511739</v>
      </c>
      <c r="E278" s="50">
        <v>0</v>
      </c>
      <c r="F278" s="50">
        <v>3027.6316173598993</v>
      </c>
      <c r="G278" s="50">
        <v>2509.9639701924862</v>
      </c>
      <c r="H278" s="50">
        <v>1348.4759988141707</v>
      </c>
    </row>
    <row r="279" spans="1:8">
      <c r="A279" s="39" t="s">
        <v>387</v>
      </c>
      <c r="B279" s="50">
        <v>1105791.5472516194</v>
      </c>
      <c r="C279" s="11">
        <v>125013.24207141697</v>
      </c>
      <c r="D279" s="50">
        <v>63199.816327990069</v>
      </c>
      <c r="E279" s="50">
        <v>394296.30539120716</v>
      </c>
      <c r="F279" s="50">
        <v>264407.19552678679</v>
      </c>
      <c r="G279" s="50">
        <v>125152.37338490297</v>
      </c>
      <c r="H279" s="50">
        <v>119799.73069393338</v>
      </c>
    </row>
    <row r="280" spans="1:8">
      <c r="A280" s="39" t="s">
        <v>388</v>
      </c>
      <c r="B280" s="50">
        <v>728.61174379016336</v>
      </c>
      <c r="C280" s="11">
        <v>0</v>
      </c>
      <c r="D280" s="50">
        <v>728.61174379016336</v>
      </c>
      <c r="E280" s="50">
        <v>0</v>
      </c>
      <c r="F280" s="50">
        <v>0</v>
      </c>
      <c r="G280" s="50">
        <v>0</v>
      </c>
      <c r="H280" s="50">
        <v>0</v>
      </c>
    </row>
    <row r="281" spans="1:8">
      <c r="A281" s="39" t="s">
        <v>389</v>
      </c>
      <c r="B281" s="50">
        <v>6438.655335991496</v>
      </c>
      <c r="C281" s="11">
        <v>2251.3034980720358</v>
      </c>
      <c r="D281" s="50">
        <v>3383.1254495780177</v>
      </c>
      <c r="E281" s="50">
        <v>2880.8826796610388</v>
      </c>
      <c r="F281" s="50">
        <v>1828.9238870881004</v>
      </c>
      <c r="G281" s="50">
        <v>2194.8760411028661</v>
      </c>
      <c r="H281" s="50">
        <v>2174.6569220353276</v>
      </c>
    </row>
    <row r="282" spans="1:8">
      <c r="A282" s="39" t="s">
        <v>390</v>
      </c>
      <c r="B282" s="50">
        <v>21865.895636743659</v>
      </c>
      <c r="C282" s="11">
        <v>2794.7042327970812</v>
      </c>
      <c r="D282" s="50">
        <v>4850.0356725642341</v>
      </c>
      <c r="E282" s="50">
        <v>4406.2346794247915</v>
      </c>
      <c r="F282" s="50">
        <v>1799.2218323240127</v>
      </c>
      <c r="G282" s="50">
        <v>3043.5190946499984</v>
      </c>
      <c r="H282" s="50">
        <v>4315.5991696586307</v>
      </c>
    </row>
    <row r="283" spans="1:8">
      <c r="A283" s="39" t="s">
        <v>391</v>
      </c>
      <c r="B283" s="50">
        <v>39431.369618348341</v>
      </c>
      <c r="C283" s="11">
        <v>9739.4942837447088</v>
      </c>
      <c r="D283" s="50">
        <v>3235.0290832183737</v>
      </c>
      <c r="E283" s="50">
        <v>525.8702325023869</v>
      </c>
      <c r="F283" s="50">
        <v>25235.340746250626</v>
      </c>
      <c r="G283" s="50">
        <v>1356.8063551639334</v>
      </c>
      <c r="H283" s="50">
        <v>587.54608069477115</v>
      </c>
    </row>
    <row r="284" spans="1:8">
      <c r="A284" s="39" t="s">
        <v>392</v>
      </c>
      <c r="B284" s="50">
        <v>11541.420741361944</v>
      </c>
      <c r="C284" s="11">
        <v>7742.8065446904648</v>
      </c>
      <c r="D284" s="50">
        <v>1493.7639216470693</v>
      </c>
      <c r="E284" s="50">
        <v>1107.5832855984961</v>
      </c>
      <c r="F284" s="50">
        <v>652.04609099257186</v>
      </c>
      <c r="G284" s="50">
        <v>429.23213637603754</v>
      </c>
      <c r="H284" s="50">
        <v>1989.3810772249831</v>
      </c>
    </row>
    <row r="285" spans="1:8">
      <c r="A285" s="39" t="s">
        <v>393</v>
      </c>
      <c r="B285" s="50">
        <v>189024.92618242512</v>
      </c>
      <c r="C285" s="11">
        <v>71598.085638586024</v>
      </c>
      <c r="D285" s="50">
        <v>21392.740253781431</v>
      </c>
      <c r="E285" s="50">
        <v>11674.882190822129</v>
      </c>
      <c r="F285" s="50">
        <v>25592.819482755469</v>
      </c>
      <c r="G285" s="50">
        <v>39099.360652116564</v>
      </c>
      <c r="H285" s="50">
        <v>32236.786252509908</v>
      </c>
    </row>
    <row r="286" spans="1:8">
      <c r="A286" s="39" t="s">
        <v>394</v>
      </c>
      <c r="B286" s="50">
        <v>11945.995074375413</v>
      </c>
      <c r="C286" s="11">
        <v>2144.6639636727732</v>
      </c>
      <c r="D286" s="50">
        <v>2344.1697383595788</v>
      </c>
      <c r="E286" s="50">
        <v>4225.850664770639</v>
      </c>
      <c r="F286" s="50">
        <v>2626.9476788010511</v>
      </c>
      <c r="G286" s="50">
        <v>2790.1608049319011</v>
      </c>
      <c r="H286" s="50">
        <v>345.54439025616875</v>
      </c>
    </row>
    <row r="287" spans="1:8">
      <c r="A287" s="39" t="s">
        <v>395</v>
      </c>
      <c r="B287" s="50">
        <v>0</v>
      </c>
      <c r="C287" s="11">
        <v>0</v>
      </c>
      <c r="D287" s="50">
        <v>0</v>
      </c>
      <c r="E287" s="50">
        <v>0</v>
      </c>
      <c r="F287" s="50">
        <v>0</v>
      </c>
      <c r="G287" s="50">
        <v>0</v>
      </c>
      <c r="H287" s="50">
        <v>0</v>
      </c>
    </row>
    <row r="288" spans="1:8">
      <c r="A288" s="39" t="s">
        <v>396</v>
      </c>
      <c r="B288" s="50">
        <v>50552.00778195083</v>
      </c>
      <c r="C288" s="11">
        <v>30949.549996760939</v>
      </c>
      <c r="D288" s="50">
        <v>3988.5765707927844</v>
      </c>
      <c r="E288" s="50">
        <v>2076.7169440089365</v>
      </c>
      <c r="F288" s="50">
        <v>1544.3545981510254</v>
      </c>
      <c r="G288" s="50">
        <v>1344.4813055048005</v>
      </c>
      <c r="H288" s="50">
        <v>9923.4999259092929</v>
      </c>
    </row>
    <row r="289" spans="1:8">
      <c r="A289" s="39" t="s">
        <v>397</v>
      </c>
      <c r="B289" s="50">
        <v>4258.2140239201935</v>
      </c>
      <c r="C289" s="11">
        <v>322.25808565064256</v>
      </c>
      <c r="D289" s="50">
        <v>0</v>
      </c>
      <c r="E289" s="50">
        <v>1727.5036101049404</v>
      </c>
      <c r="F289" s="50">
        <v>390.03265950906916</v>
      </c>
      <c r="G289" s="50">
        <v>390.03265950906916</v>
      </c>
      <c r="H289" s="50">
        <v>1093.228417104207</v>
      </c>
    </row>
    <row r="290" spans="1:8">
      <c r="A290" s="39" t="s">
        <v>398</v>
      </c>
      <c r="B290" s="50">
        <v>7335.5676494219797</v>
      </c>
      <c r="C290" s="11">
        <v>2340.9577744246722</v>
      </c>
      <c r="D290" s="50">
        <v>1702.8130243119297</v>
      </c>
      <c r="E290" s="50">
        <v>707.35682391680768</v>
      </c>
      <c r="F290" s="50">
        <v>1877.1450262871736</v>
      </c>
      <c r="G290" s="50">
        <v>1948.9626750861871</v>
      </c>
      <c r="H290" s="50">
        <v>617.10139972554998</v>
      </c>
    </row>
    <row r="291" spans="1:8">
      <c r="A291" s="39" t="s">
        <v>399</v>
      </c>
      <c r="B291" s="50">
        <v>21779.605004345645</v>
      </c>
      <c r="C291" s="11">
        <v>3928.6737792786853</v>
      </c>
      <c r="D291" s="50">
        <v>3189.2797667632635</v>
      </c>
      <c r="E291" s="50">
        <v>3652.4496869192922</v>
      </c>
      <c r="F291" s="50">
        <v>3246.6729011803536</v>
      </c>
      <c r="G291" s="50">
        <v>3538.2898434383019</v>
      </c>
      <c r="H291" s="50">
        <v>2945.4926799691762</v>
      </c>
    </row>
    <row r="292" spans="1:8">
      <c r="A292" s="39" t="s">
        <v>400</v>
      </c>
      <c r="B292" s="50">
        <v>30088.791978552275</v>
      </c>
      <c r="C292" s="11">
        <v>8473.9193201086273</v>
      </c>
      <c r="D292" s="50">
        <v>4374.0644380083304</v>
      </c>
      <c r="E292" s="50">
        <v>2405.625875783001</v>
      </c>
      <c r="F292" s="50">
        <v>1443.5052863356455</v>
      </c>
      <c r="G292" s="50">
        <v>769.00082927355675</v>
      </c>
      <c r="H292" s="50">
        <v>14906.059938757839</v>
      </c>
    </row>
    <row r="293" spans="1:8">
      <c r="A293" s="39" t="s">
        <v>401</v>
      </c>
      <c r="B293" s="50">
        <v>215404.6218674792</v>
      </c>
      <c r="C293" s="11">
        <v>5740.9236647200014</v>
      </c>
      <c r="D293" s="50">
        <v>6353.9675930245221</v>
      </c>
      <c r="E293" s="50">
        <v>6369.0955561289156</v>
      </c>
      <c r="F293" s="50">
        <v>4760.0029075625998</v>
      </c>
      <c r="G293" s="50">
        <v>4589.4363749873955</v>
      </c>
      <c r="H293" s="50">
        <v>19228.169883289574</v>
      </c>
    </row>
    <row r="294" spans="1:8">
      <c r="A294" s="39" t="s">
        <v>402</v>
      </c>
      <c r="B294" s="50">
        <v>7965.8070438606755</v>
      </c>
      <c r="C294" s="11">
        <v>4890.2570379128701</v>
      </c>
      <c r="D294" s="50">
        <v>1721.4696876664511</v>
      </c>
      <c r="E294" s="50">
        <v>398.99829130135328</v>
      </c>
      <c r="F294" s="50">
        <v>847.68997995610493</v>
      </c>
      <c r="G294" s="50">
        <v>0</v>
      </c>
      <c r="H294" s="50">
        <v>1905.1538782666928</v>
      </c>
    </row>
    <row r="295" spans="1:8">
      <c r="A295" s="39" t="s">
        <v>403</v>
      </c>
      <c r="B295" s="50">
        <v>2468.4714794913862</v>
      </c>
      <c r="C295" s="11">
        <v>0</v>
      </c>
      <c r="D295" s="50">
        <v>521.57910469959029</v>
      </c>
      <c r="E295" s="50">
        <v>521.57910469959029</v>
      </c>
      <c r="F295" s="50">
        <v>0</v>
      </c>
      <c r="G295" s="50">
        <v>398.99829130135328</v>
      </c>
      <c r="H295" s="50">
        <v>464.61392451797082</v>
      </c>
    </row>
    <row r="296" spans="1:8">
      <c r="A296" s="39" t="s">
        <v>404</v>
      </c>
      <c r="B296" s="50">
        <v>0</v>
      </c>
      <c r="C296" s="11">
        <v>0</v>
      </c>
      <c r="D296" s="50">
        <v>0</v>
      </c>
      <c r="E296" s="50">
        <v>0</v>
      </c>
      <c r="F296" s="50">
        <v>0</v>
      </c>
      <c r="G296" s="50">
        <v>0</v>
      </c>
      <c r="H296" s="50">
        <v>0</v>
      </c>
    </row>
    <row r="297" spans="1:8">
      <c r="A297" s="39" t="s">
        <v>405</v>
      </c>
      <c r="B297" s="50">
        <v>0</v>
      </c>
      <c r="C297" s="11">
        <v>0</v>
      </c>
      <c r="D297" s="50">
        <v>0</v>
      </c>
      <c r="E297" s="50">
        <v>0</v>
      </c>
      <c r="F297" s="50">
        <v>0</v>
      </c>
      <c r="G297" s="50">
        <v>0</v>
      </c>
      <c r="H297" s="50">
        <v>0</v>
      </c>
    </row>
    <row r="298" spans="1:8">
      <c r="A298" s="39" t="s">
        <v>406</v>
      </c>
      <c r="B298" s="50">
        <v>325.71152521103301</v>
      </c>
      <c r="C298" s="11">
        <v>0</v>
      </c>
      <c r="D298" s="50">
        <v>0</v>
      </c>
      <c r="E298" s="50">
        <v>0</v>
      </c>
      <c r="F298" s="50">
        <v>0</v>
      </c>
      <c r="G298" s="50">
        <v>0</v>
      </c>
      <c r="H298" s="50">
        <v>0</v>
      </c>
    </row>
    <row r="299" spans="1:8">
      <c r="A299" s="39" t="s">
        <v>407</v>
      </c>
      <c r="B299" s="50">
        <v>1912.8440239698593</v>
      </c>
      <c r="C299" s="11">
        <v>1169.2166195954155</v>
      </c>
      <c r="D299" s="50">
        <v>364.29904475592014</v>
      </c>
      <c r="E299" s="50">
        <v>0</v>
      </c>
      <c r="F299" s="50">
        <v>0</v>
      </c>
      <c r="G299" s="50">
        <v>581.67053890064426</v>
      </c>
      <c r="H299" s="50">
        <v>0</v>
      </c>
    </row>
    <row r="300" spans="1:8">
      <c r="A300" s="39" t="s">
        <v>408</v>
      </c>
      <c r="B300" s="50">
        <v>17176.724645921811</v>
      </c>
      <c r="C300" s="11">
        <v>614.8497342005403</v>
      </c>
      <c r="D300" s="50">
        <v>3178.333938837884</v>
      </c>
      <c r="E300" s="50">
        <v>1566.8339412001696</v>
      </c>
      <c r="F300" s="50">
        <v>3801.3903578291747</v>
      </c>
      <c r="G300" s="50">
        <v>3825.68970919206</v>
      </c>
      <c r="H300" s="50">
        <v>4399.2757310228526</v>
      </c>
    </row>
    <row r="301" spans="1:8">
      <c r="A301" s="132"/>
      <c r="B301" s="133"/>
      <c r="C301" s="133"/>
      <c r="D301" s="133"/>
      <c r="E301" s="133"/>
      <c r="F301" s="133"/>
      <c r="G301" s="133"/>
      <c r="H301" s="133"/>
    </row>
    <row r="302" spans="1:8">
      <c r="A302" s="30" t="s">
        <v>128</v>
      </c>
    </row>
    <row r="303" spans="1:8">
      <c r="A303" s="29" t="s">
        <v>147</v>
      </c>
    </row>
    <row r="304" spans="1:8">
      <c r="A304" s="16" t="s">
        <v>119</v>
      </c>
    </row>
    <row r="305" spans="1:2">
      <c r="A305" s="16" t="s">
        <v>120</v>
      </c>
    </row>
    <row r="307" spans="1:2">
      <c r="B307" s="2"/>
    </row>
  </sheetData>
  <mergeCells count="3">
    <mergeCell ref="C13:H13"/>
    <mergeCell ref="B158:H158"/>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856CFFA5-67BE-421E-B84A-463464E7087B}">
            <xm:f>B159&lt;'34'!$D$104</xm:f>
            <x14:dxf>
              <font>
                <color rgb="FFFF0000"/>
              </font>
              <numFmt numFmtId="172" formatCode="\*\*0.0%"/>
            </x14:dxf>
          </x14:cfRule>
          <x14:cfRule type="expression" priority="4" id="{342589F1-803E-4942-A383-323899D134F4}">
            <xm:f>B159&lt;'34'!$D$103</xm:f>
            <x14:dxf>
              <font>
                <color rgb="FF00B050"/>
              </font>
              <numFmt numFmtId="171" formatCode="\*0.0%"/>
            </x14:dxf>
          </x14:cfRule>
          <xm:sqref>B16:H157</xm:sqref>
        </x14:conditionalFormatting>
        <x14:conditionalFormatting xmlns:xm="http://schemas.microsoft.com/office/excel/2006/main">
          <x14:cfRule type="expression" priority="1" id="{7A0A0826-6017-40B9-A83D-421F0F934F47}">
            <xm:f>B159&lt;'34'!$D$104</xm:f>
            <x14:dxf>
              <font>
                <color rgb="FFFF0000"/>
              </font>
              <numFmt numFmtId="170" formatCode="\*\*#,###,###,##0"/>
            </x14:dxf>
          </x14:cfRule>
          <x14:cfRule type="expression" priority="2" id="{A665FECB-A5F9-43EF-96DE-C93366155551}">
            <xm:f>B159&lt;'34'!$D$103</xm:f>
            <x14:dxf>
              <font>
                <color rgb="FF00B050"/>
              </font>
              <numFmt numFmtId="169" formatCode="\*#,###,###,##0"/>
            </x14:dxf>
          </x14:cfRule>
          <xm:sqref>B159:H300</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44"/>
  <sheetViews>
    <sheetView zoomScaleNormal="100" workbookViewId="0">
      <pane xSplit="2" ySplit="13" topLeftCell="C14" activePane="bottomRight" state="frozen"/>
      <selection pane="bottomRight"/>
      <selection pane="bottomLeft"/>
      <selection pane="topRight"/>
    </sheetView>
  </sheetViews>
  <sheetFormatPr defaultColWidth="8.85546875" defaultRowHeight="15"/>
  <cols>
    <col min="1" max="2" width="15.7109375" style="1" customWidth="1"/>
    <col min="3" max="5" width="14.85546875" style="1" customWidth="1"/>
    <col min="6" max="6" width="14.85546875" style="1" bestFit="1" customWidth="1"/>
    <col min="7" max="7" width="12.85546875" style="1" hidden="1" customWidth="1"/>
    <col min="8" max="13" width="11.85546875" style="1" bestFit="1" customWidth="1"/>
    <col min="14" max="16" width="8.85546875" style="1"/>
    <col min="17" max="17" width="29.85546875" style="1" bestFit="1" customWidth="1"/>
    <col min="18" max="18" width="34" style="1" bestFit="1" customWidth="1"/>
    <col min="19" max="19" width="26" style="1" bestFit="1" customWidth="1"/>
    <col min="20" max="20" width="27.85546875" style="1" bestFit="1" customWidth="1"/>
    <col min="21" max="21" width="36.140625" style="1" bestFit="1" customWidth="1"/>
    <col min="22" max="22" width="13.42578125" style="1" bestFit="1" customWidth="1"/>
    <col min="23" max="23" width="32.85546875" style="1" bestFit="1" customWidth="1"/>
    <col min="24" max="24" width="11.85546875" style="1" bestFit="1" customWidth="1"/>
    <col min="25" max="26" width="8.85546875" style="1"/>
    <col min="27" max="27" width="19.85546875" style="1" bestFit="1" customWidth="1"/>
    <col min="28" max="28" width="8.85546875" style="1"/>
    <col min="29" max="29" width="24.42578125" style="1" bestFit="1" customWidth="1"/>
    <col min="30" max="30" width="25.85546875" style="1" bestFit="1" customWidth="1"/>
    <col min="31" max="31" width="17" style="1" bestFit="1" customWidth="1"/>
    <col min="32" max="16384" width="8.85546875" style="1"/>
  </cols>
  <sheetData>
    <row r="1" spans="1:7">
      <c r="A1" s="34"/>
      <c r="B1" s="34"/>
      <c r="C1" s="34"/>
      <c r="D1" s="34"/>
      <c r="E1" s="34"/>
    </row>
    <row r="2" spans="1:7">
      <c r="A2" s="34"/>
      <c r="B2" s="34"/>
      <c r="C2" s="34"/>
      <c r="D2" s="34"/>
      <c r="E2" s="34"/>
    </row>
    <row r="3" spans="1:7">
      <c r="A3" s="34"/>
      <c r="B3" s="34"/>
      <c r="C3" s="34"/>
      <c r="D3" s="34"/>
      <c r="E3" s="34"/>
    </row>
    <row r="4" spans="1:7">
      <c r="A4" s="34"/>
      <c r="B4" s="34"/>
      <c r="C4" s="34"/>
      <c r="D4" s="34"/>
      <c r="E4" s="34"/>
    </row>
    <row r="5" spans="1:7">
      <c r="A5" s="34"/>
      <c r="B5" s="34"/>
      <c r="C5" s="34"/>
      <c r="D5" s="34"/>
      <c r="E5" s="34"/>
    </row>
    <row r="6" spans="1:7">
      <c r="A6" s="34"/>
      <c r="B6" s="34"/>
      <c r="C6" s="34"/>
      <c r="D6" s="34"/>
      <c r="E6" s="34"/>
    </row>
    <row r="7" spans="1:7">
      <c r="A7" s="34"/>
      <c r="B7" s="34"/>
      <c r="C7" s="34"/>
      <c r="D7" s="34"/>
      <c r="E7" s="34"/>
    </row>
    <row r="8" spans="1:7">
      <c r="A8" s="35" t="s">
        <v>0</v>
      </c>
      <c r="B8" s="34"/>
      <c r="C8" s="34"/>
      <c r="D8" s="34"/>
      <c r="E8" s="34"/>
    </row>
    <row r="9" spans="1:7">
      <c r="A9" s="34" t="s">
        <v>1</v>
      </c>
      <c r="B9" s="34"/>
      <c r="C9" s="35" t="s">
        <v>2</v>
      </c>
      <c r="D9" s="34"/>
      <c r="E9" s="34"/>
    </row>
    <row r="10" spans="1:7">
      <c r="A10" s="34" t="s">
        <v>47</v>
      </c>
      <c r="B10" s="34"/>
      <c r="C10" s="36">
        <v>22</v>
      </c>
      <c r="D10" s="34"/>
      <c r="E10" s="34"/>
    </row>
    <row r="11" spans="1:7">
      <c r="A11" s="34" t="s">
        <v>3</v>
      </c>
      <c r="B11" s="34"/>
      <c r="C11" s="35" t="s">
        <v>30</v>
      </c>
      <c r="D11" s="34"/>
      <c r="E11" s="34"/>
    </row>
    <row r="12" spans="1:7">
      <c r="A12" s="34" t="s">
        <v>48</v>
      </c>
      <c r="B12" s="34"/>
      <c r="C12" s="35" t="s">
        <v>414</v>
      </c>
      <c r="D12" s="34"/>
      <c r="E12" s="34"/>
    </row>
    <row r="13" spans="1:7" ht="45.75" customHeight="1">
      <c r="A13" s="43"/>
      <c r="B13" s="43"/>
      <c r="C13" s="60" t="s">
        <v>415</v>
      </c>
      <c r="D13" s="60" t="s">
        <v>416</v>
      </c>
      <c r="E13" s="60" t="s">
        <v>417</v>
      </c>
    </row>
    <row r="14" spans="1:7" ht="17.25">
      <c r="A14" s="40" t="s">
        <v>144</v>
      </c>
      <c r="B14" s="40" t="s">
        <v>55</v>
      </c>
      <c r="C14" s="33">
        <v>0.50655715204221297</v>
      </c>
      <c r="D14" s="48">
        <v>1238.2795403422174</v>
      </c>
      <c r="E14" s="48">
        <v>500</v>
      </c>
      <c r="G14" s="11">
        <v>9334466.4823298752</v>
      </c>
    </row>
    <row r="15" spans="1:7">
      <c r="A15" s="39" t="s">
        <v>59</v>
      </c>
      <c r="B15" s="39" t="s">
        <v>60</v>
      </c>
      <c r="C15" s="108">
        <v>0.50923802463371615</v>
      </c>
      <c r="D15" s="116">
        <v>1244.7665006808193</v>
      </c>
      <c r="E15" s="116">
        <v>300</v>
      </c>
      <c r="G15" s="11">
        <v>416039.84519842407</v>
      </c>
    </row>
    <row r="16" spans="1:7">
      <c r="A16" s="39"/>
      <c r="B16" s="39" t="s">
        <v>61</v>
      </c>
      <c r="C16" s="108">
        <v>0.61143855044004825</v>
      </c>
      <c r="D16" s="116">
        <v>1188.6154743206389</v>
      </c>
      <c r="E16" s="116">
        <v>400</v>
      </c>
      <c r="G16" s="11">
        <v>1260059.6360001438</v>
      </c>
    </row>
    <row r="17" spans="1:7">
      <c r="A17" s="39"/>
      <c r="B17" s="39" t="s">
        <v>62</v>
      </c>
      <c r="C17" s="108">
        <v>0.62909369142157257</v>
      </c>
      <c r="D17" s="116">
        <v>1115.4868848921549</v>
      </c>
      <c r="E17" s="116">
        <v>500</v>
      </c>
      <c r="G17" s="11">
        <v>2190017.1422991236</v>
      </c>
    </row>
    <row r="18" spans="1:7">
      <c r="A18" s="39"/>
      <c r="B18" s="39" t="s">
        <v>63</v>
      </c>
      <c r="C18" s="108">
        <v>0.55584951505241353</v>
      </c>
      <c r="D18" s="116">
        <v>1213.9958529782009</v>
      </c>
      <c r="E18" s="116">
        <v>500</v>
      </c>
      <c r="G18" s="11">
        <v>1811247.6291843036</v>
      </c>
    </row>
    <row r="19" spans="1:7">
      <c r="A19" s="39"/>
      <c r="B19" s="39" t="s">
        <v>64</v>
      </c>
      <c r="C19" s="108">
        <v>0.46666064878621483</v>
      </c>
      <c r="D19" s="116">
        <v>1407.109934915587</v>
      </c>
      <c r="E19" s="116">
        <v>550</v>
      </c>
      <c r="G19" s="11">
        <v>1338563.6309108657</v>
      </c>
    </row>
    <row r="20" spans="1:7">
      <c r="A20" s="39"/>
      <c r="B20" s="39" t="s">
        <v>65</v>
      </c>
      <c r="C20" s="108">
        <v>0.41116978777097457</v>
      </c>
      <c r="D20" s="116">
        <v>1439.3403404548756</v>
      </c>
      <c r="E20" s="116">
        <v>590</v>
      </c>
      <c r="G20" s="11">
        <v>1061022.9578682964</v>
      </c>
    </row>
    <row r="21" spans="1:7">
      <c r="A21" s="39"/>
      <c r="B21" s="39" t="s">
        <v>66</v>
      </c>
      <c r="C21" s="108">
        <v>0.37416681459742246</v>
      </c>
      <c r="D21" s="116">
        <v>1185.3675079790969</v>
      </c>
      <c r="E21" s="116">
        <v>563</v>
      </c>
      <c r="G21" s="11">
        <v>1257515.6408687267</v>
      </c>
    </row>
    <row r="22" spans="1:7">
      <c r="A22" s="39"/>
      <c r="B22" s="39"/>
    </row>
    <row r="23" spans="1:7">
      <c r="A23" s="40" t="s">
        <v>56</v>
      </c>
      <c r="B23" s="40" t="s">
        <v>55</v>
      </c>
      <c r="C23" s="33">
        <v>0.53332493696105476</v>
      </c>
      <c r="D23" s="48">
        <v>1376.7645347091295</v>
      </c>
      <c r="E23" s="48">
        <v>500</v>
      </c>
      <c r="G23" s="11">
        <v>4879051.6049462585</v>
      </c>
    </row>
    <row r="24" spans="1:7">
      <c r="A24" s="39" t="s">
        <v>59</v>
      </c>
      <c r="B24" s="39" t="s">
        <v>60</v>
      </c>
      <c r="C24" s="108">
        <v>0.49761135295379672</v>
      </c>
      <c r="D24" s="116">
        <v>1001.1460537196585</v>
      </c>
      <c r="E24" s="116">
        <v>300</v>
      </c>
      <c r="G24" s="11">
        <v>206936.14578557588</v>
      </c>
    </row>
    <row r="25" spans="1:7">
      <c r="A25" s="39"/>
      <c r="B25" s="39" t="s">
        <v>61</v>
      </c>
      <c r="C25" s="108">
        <v>0.63250077507666946</v>
      </c>
      <c r="D25" s="116">
        <v>1368.8462871412571</v>
      </c>
      <c r="E25" s="116">
        <v>400</v>
      </c>
      <c r="G25" s="11">
        <v>665370.96064178075</v>
      </c>
    </row>
    <row r="26" spans="1:7">
      <c r="A26" s="39"/>
      <c r="B26" s="39" t="s">
        <v>62</v>
      </c>
      <c r="C26" s="108">
        <v>0.6540535652036773</v>
      </c>
      <c r="D26" s="116">
        <v>1015.052859661097</v>
      </c>
      <c r="E26" s="116">
        <v>485</v>
      </c>
      <c r="G26" s="11">
        <v>1139312.8019790126</v>
      </c>
    </row>
    <row r="27" spans="1:7">
      <c r="A27" s="39"/>
      <c r="B27" s="39" t="s">
        <v>63</v>
      </c>
      <c r="C27" s="108">
        <v>0.5912520209236295</v>
      </c>
      <c r="D27" s="116">
        <v>1338.1730687389988</v>
      </c>
      <c r="E27" s="116">
        <v>500</v>
      </c>
      <c r="G27" s="11">
        <v>957613.34190442902</v>
      </c>
    </row>
    <row r="28" spans="1:7">
      <c r="A28" s="39"/>
      <c r="B28" s="39" t="s">
        <v>64</v>
      </c>
      <c r="C28" s="108">
        <v>0.50645480062399195</v>
      </c>
      <c r="D28" s="116">
        <v>1660.7239137570132</v>
      </c>
      <c r="E28" s="116">
        <v>600</v>
      </c>
      <c r="G28" s="11">
        <v>719346.56911027199</v>
      </c>
    </row>
    <row r="29" spans="1:7">
      <c r="A29" s="39"/>
      <c r="B29" s="39" t="s">
        <v>65</v>
      </c>
      <c r="C29" s="108">
        <v>0.44415909202677484</v>
      </c>
      <c r="D29" s="116">
        <v>1767.7427161339758</v>
      </c>
      <c r="E29" s="116">
        <v>652</v>
      </c>
      <c r="G29" s="11">
        <v>568486.62041424401</v>
      </c>
    </row>
    <row r="30" spans="1:7">
      <c r="A30" s="39"/>
      <c r="B30" s="39" t="s">
        <v>66</v>
      </c>
      <c r="C30" s="108">
        <v>0.38424925445014668</v>
      </c>
      <c r="D30" s="116">
        <v>1546.4229015919384</v>
      </c>
      <c r="E30" s="116">
        <v>700</v>
      </c>
      <c r="G30" s="11">
        <v>621985.16511082812</v>
      </c>
    </row>
    <row r="31" spans="1:7">
      <c r="A31" s="39"/>
      <c r="B31" s="39"/>
    </row>
    <row r="32" spans="1:7">
      <c r="A32" s="40" t="s">
        <v>57</v>
      </c>
      <c r="B32" s="40" t="s">
        <v>55</v>
      </c>
      <c r="C32" s="33">
        <v>0.47961531098208482</v>
      </c>
      <c r="D32" s="48">
        <v>1073.7258264774489</v>
      </c>
      <c r="E32" s="48">
        <v>500</v>
      </c>
      <c r="G32" s="11">
        <v>4400172.4095901307</v>
      </c>
    </row>
    <row r="33" spans="1:7">
      <c r="A33" s="39" t="s">
        <v>59</v>
      </c>
      <c r="B33" s="39" t="s">
        <v>60</v>
      </c>
      <c r="C33" s="108">
        <v>0.51202065500510174</v>
      </c>
      <c r="D33" s="116">
        <v>1532.3550261843748</v>
      </c>
      <c r="E33" s="116">
        <v>300</v>
      </c>
      <c r="G33" s="11">
        <v>198799.30697308475</v>
      </c>
    </row>
    <row r="34" spans="1:7">
      <c r="A34" s="39"/>
      <c r="B34" s="39" t="s">
        <v>61</v>
      </c>
      <c r="C34" s="108">
        <v>0.59491955690631726</v>
      </c>
      <c r="D34" s="118">
        <v>938.86178224027856</v>
      </c>
      <c r="E34" s="118">
        <v>400</v>
      </c>
      <c r="G34" s="11">
        <v>579406.91012632358</v>
      </c>
    </row>
    <row r="35" spans="1:7">
      <c r="A35" s="39"/>
      <c r="B35" s="39" t="s">
        <v>62</v>
      </c>
      <c r="C35" s="108">
        <v>0.60558445666376048</v>
      </c>
      <c r="D35" s="118">
        <v>1197.8575848704422</v>
      </c>
      <c r="E35" s="118">
        <v>501</v>
      </c>
      <c r="G35" s="11">
        <v>1040441.9809808496</v>
      </c>
    </row>
    <row r="36" spans="1:7">
      <c r="A36" s="39"/>
      <c r="B36" s="39" t="s">
        <v>63</v>
      </c>
      <c r="C36" s="108">
        <v>0.52070875653907633</v>
      </c>
      <c r="D36" s="118">
        <v>1070.0510076276641</v>
      </c>
      <c r="E36" s="118">
        <v>500</v>
      </c>
      <c r="G36" s="11">
        <v>846399.40623386949</v>
      </c>
    </row>
    <row r="37" spans="1:7">
      <c r="A37" s="39"/>
      <c r="B37" s="39" t="s">
        <v>64</v>
      </c>
      <c r="C37" s="108">
        <v>0.42581566508695096</v>
      </c>
      <c r="D37" s="118">
        <v>1111.2053855506963</v>
      </c>
      <c r="E37" s="118">
        <v>520</v>
      </c>
      <c r="G37" s="11">
        <v>611041.8376376481</v>
      </c>
    </row>
    <row r="38" spans="1:7">
      <c r="A38" s="39"/>
      <c r="B38" s="39" t="s">
        <v>65</v>
      </c>
      <c r="C38" s="108">
        <v>0.37869636633723663</v>
      </c>
      <c r="D38" s="118">
        <v>1055.3400917442791</v>
      </c>
      <c r="E38" s="118">
        <v>500</v>
      </c>
      <c r="G38" s="11">
        <v>490426.41906790156</v>
      </c>
    </row>
    <row r="39" spans="1:7">
      <c r="A39" s="39"/>
      <c r="B39" s="39" t="s">
        <v>66</v>
      </c>
      <c r="C39" s="108">
        <v>0.36446269112784213</v>
      </c>
      <c r="D39" s="118">
        <v>832.33281166325082</v>
      </c>
      <c r="E39" s="118">
        <v>500</v>
      </c>
      <c r="G39" s="11">
        <v>633656.5485704802</v>
      </c>
    </row>
    <row r="40" spans="1:7">
      <c r="A40" s="132"/>
      <c r="B40" s="132"/>
      <c r="C40" s="133"/>
      <c r="D40" s="133"/>
      <c r="E40" s="133"/>
    </row>
    <row r="41" spans="1:7">
      <c r="A41" s="29" t="s">
        <v>147</v>
      </c>
    </row>
    <row r="42" spans="1:7">
      <c r="A42" s="71" t="s">
        <v>418</v>
      </c>
    </row>
    <row r="43" spans="1:7">
      <c r="A43" s="16" t="s">
        <v>119</v>
      </c>
    </row>
    <row r="44" spans="1:7">
      <c r="A44" s="16" t="s">
        <v>120</v>
      </c>
    </row>
  </sheetData>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 id="{C830D10E-669D-4D5F-A60C-47D58DFF9F1F}">
            <xm:f>G14&lt;'34'!$C$104</xm:f>
            <x14:dxf>
              <font>
                <color rgb="FFFF0000"/>
              </font>
              <numFmt numFmtId="172" formatCode="\*\*0.0%"/>
            </x14:dxf>
          </x14:cfRule>
          <x14:cfRule type="expression" priority="3" id="{B05B1F61-15F9-439A-B2AF-5D38339149A8}">
            <xm:f>G14&lt;'34'!$C$103</xm:f>
            <x14:dxf>
              <font>
                <color rgb="FF00B050"/>
              </font>
              <numFmt numFmtId="171" formatCode="\*0.0%"/>
            </x14:dxf>
          </x14:cfRule>
          <xm:sqref>C14:C39</xm:sqref>
        </x14:conditionalFormatting>
        <x14:conditionalFormatting xmlns:xm="http://schemas.microsoft.com/office/excel/2006/main">
          <x14:cfRule type="expression" priority="1" id="{23FE4CA3-0538-4121-92BE-F4BDC8E39551}">
            <xm:f>$G14&lt;'34'!$C$104</xm:f>
            <x14:dxf>
              <font>
                <color rgb="FFFF0000"/>
              </font>
              <numFmt numFmtId="174" formatCode="\*\*&quot;$&quot;###,##0"/>
            </x14:dxf>
          </x14:cfRule>
          <x14:cfRule type="expression" priority="268" id="{770E5998-E821-4A88-8B8C-947A2CC93397}">
            <xm:f>$G14&lt;'34'!$C$103</xm:f>
            <x14:dxf>
              <font>
                <color rgb="FF00B050"/>
              </font>
              <numFmt numFmtId="173" formatCode="\*&quot;$&quot;###,##0"/>
            </x14:dxf>
          </x14:cfRule>
          <xm:sqref>D14:E39</xm:sqref>
        </x14:conditionalFormatting>
        <x14:conditionalFormatting xmlns:xm="http://schemas.microsoft.com/office/excel/2006/main">
          <x14:cfRule type="expression" priority="274" id="{770E5998-E821-4A88-8B8C-947A2CC93397}">
            <xm:f>#REF!&lt;'34'!$C$104</xm:f>
            <x14:dxf>
              <font>
                <color rgb="FFFF0000"/>
              </font>
              <numFmt numFmtId="174" formatCode="\*\*&quot;$&quot;###,##0"/>
            </x14:dxf>
          </x14:cfRule>
          <x14:cfRule type="expression" priority="275" id="{D71540A4-45EF-4D3F-B579-097B9ED06B5F}">
            <xm:f>#REF!&lt;'34'!$C$103</xm:f>
            <x14:dxf>
              <font>
                <color rgb="FF00B050"/>
              </font>
              <numFmt numFmtId="173" formatCode="\*&quot;$&quot;###,##0"/>
            </x14:dxf>
          </x14:cfRule>
          <xm:sqref>D32:E33</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36"/>
  <sheetViews>
    <sheetView zoomScaleNormal="100" workbookViewId="0">
      <pane xSplit="2" ySplit="13" topLeftCell="C14" activePane="bottomRight" state="frozen"/>
      <selection pane="bottomRight"/>
      <selection pane="bottomLeft"/>
      <selection pane="topRight"/>
    </sheetView>
  </sheetViews>
  <sheetFormatPr defaultColWidth="8.85546875" defaultRowHeight="15"/>
  <cols>
    <col min="1" max="2" width="15.7109375" style="1" customWidth="1"/>
    <col min="3" max="5" width="14.85546875" style="1" customWidth="1"/>
    <col min="6" max="6" width="14.85546875" style="1" bestFit="1" customWidth="1"/>
    <col min="7" max="7" width="11.85546875" style="1" hidden="1" customWidth="1"/>
    <col min="8" max="13" width="11.85546875" style="1" bestFit="1" customWidth="1"/>
    <col min="14" max="16" width="8.85546875" style="1"/>
    <col min="17" max="17" width="29.85546875" style="1" bestFit="1" customWidth="1"/>
    <col min="18" max="18" width="34" style="1" bestFit="1" customWidth="1"/>
    <col min="19" max="19" width="26" style="1" bestFit="1" customWidth="1"/>
    <col min="20" max="20" width="27.85546875" style="1" bestFit="1" customWidth="1"/>
    <col min="21" max="21" width="36.140625" style="1" bestFit="1" customWidth="1"/>
    <col min="22" max="22" width="13.42578125" style="1" bestFit="1" customWidth="1"/>
    <col min="23" max="23" width="32.85546875" style="1" bestFit="1" customWidth="1"/>
    <col min="24" max="24" width="11.85546875" style="1" bestFit="1" customWidth="1"/>
    <col min="25" max="26" width="8.85546875" style="1"/>
    <col min="27" max="27" width="19.85546875" style="1" bestFit="1" customWidth="1"/>
    <col min="28" max="28" width="8.85546875" style="1"/>
    <col min="29" max="29" width="24.42578125" style="1" bestFit="1" customWidth="1"/>
    <col min="30" max="30" width="25.85546875" style="1" bestFit="1" customWidth="1"/>
    <col min="31" max="31" width="17" style="1" bestFit="1" customWidth="1"/>
    <col min="32" max="16384" width="8.85546875" style="1"/>
  </cols>
  <sheetData>
    <row r="1" spans="1:7">
      <c r="A1" s="34"/>
      <c r="B1" s="34"/>
      <c r="C1" s="34"/>
      <c r="D1" s="34"/>
      <c r="E1" s="34"/>
    </row>
    <row r="2" spans="1:7">
      <c r="A2" s="34"/>
      <c r="B2" s="34"/>
      <c r="C2" s="34"/>
      <c r="D2" s="34"/>
      <c r="E2" s="34"/>
    </row>
    <row r="3" spans="1:7">
      <c r="A3" s="34"/>
      <c r="B3" s="34"/>
      <c r="C3" s="34"/>
      <c r="D3" s="34"/>
      <c r="E3" s="34"/>
    </row>
    <row r="4" spans="1:7">
      <c r="A4" s="34"/>
      <c r="B4" s="34"/>
      <c r="C4" s="34"/>
      <c r="D4" s="34"/>
      <c r="E4" s="34"/>
    </row>
    <row r="5" spans="1:7">
      <c r="A5" s="34"/>
      <c r="B5" s="34"/>
      <c r="C5" s="34"/>
      <c r="D5" s="34"/>
      <c r="E5" s="34"/>
    </row>
    <row r="6" spans="1:7">
      <c r="A6" s="34"/>
      <c r="B6" s="34"/>
      <c r="C6" s="34"/>
      <c r="D6" s="34"/>
      <c r="E6" s="34"/>
    </row>
    <row r="7" spans="1:7">
      <c r="A7" s="34"/>
      <c r="B7" s="34"/>
      <c r="C7" s="34"/>
      <c r="D7" s="34"/>
      <c r="E7" s="34"/>
    </row>
    <row r="8" spans="1:7">
      <c r="A8" s="35" t="s">
        <v>0</v>
      </c>
      <c r="B8" s="34"/>
      <c r="C8" s="34"/>
      <c r="D8" s="34"/>
      <c r="E8" s="34"/>
    </row>
    <row r="9" spans="1:7">
      <c r="A9" s="34" t="s">
        <v>1</v>
      </c>
      <c r="B9" s="34"/>
      <c r="C9" s="35" t="s">
        <v>2</v>
      </c>
      <c r="D9" s="34"/>
      <c r="E9" s="34"/>
    </row>
    <row r="10" spans="1:7">
      <c r="A10" s="34" t="s">
        <v>47</v>
      </c>
      <c r="B10" s="34"/>
      <c r="C10" s="36">
        <v>23</v>
      </c>
      <c r="D10" s="34"/>
      <c r="E10" s="34"/>
    </row>
    <row r="11" spans="1:7">
      <c r="A11" s="34" t="s">
        <v>3</v>
      </c>
      <c r="B11" s="34"/>
      <c r="C11" s="35" t="s">
        <v>31</v>
      </c>
      <c r="D11" s="34"/>
      <c r="E11" s="34"/>
    </row>
    <row r="12" spans="1:7">
      <c r="A12" s="130" t="s">
        <v>48</v>
      </c>
      <c r="B12" s="130"/>
      <c r="C12" s="131" t="s">
        <v>419</v>
      </c>
      <c r="D12" s="130"/>
      <c r="E12" s="130"/>
    </row>
    <row r="13" spans="1:7" ht="45.75" customHeight="1">
      <c r="A13" s="43"/>
      <c r="B13" s="43"/>
      <c r="C13" s="60" t="s">
        <v>415</v>
      </c>
      <c r="D13" s="60" t="s">
        <v>416</v>
      </c>
      <c r="E13" s="60" t="s">
        <v>417</v>
      </c>
    </row>
    <row r="14" spans="1:7" ht="17.25">
      <c r="A14" s="40" t="s">
        <v>144</v>
      </c>
      <c r="B14" s="40" t="s">
        <v>55</v>
      </c>
      <c r="C14" s="33">
        <v>0.72549262635146983</v>
      </c>
      <c r="D14" s="48">
        <v>943.83950967073201</v>
      </c>
      <c r="E14" s="48">
        <v>500</v>
      </c>
      <c r="G14" s="11">
        <v>2488714.1449580826</v>
      </c>
    </row>
    <row r="15" spans="1:7">
      <c r="A15" s="39" t="s">
        <v>59</v>
      </c>
      <c r="B15" s="39" t="s">
        <v>122</v>
      </c>
      <c r="C15" s="108">
        <v>0.65928996511122995</v>
      </c>
      <c r="D15" s="116">
        <v>729.62030018960706</v>
      </c>
      <c r="E15" s="116">
        <v>300</v>
      </c>
      <c r="G15" s="11">
        <v>475877.29532825196</v>
      </c>
    </row>
    <row r="16" spans="1:7">
      <c r="A16" s="39"/>
      <c r="B16" s="39" t="s">
        <v>123</v>
      </c>
      <c r="C16" s="108">
        <v>0.74746526602505003</v>
      </c>
      <c r="D16" s="116">
        <v>927.12501586663927</v>
      </c>
      <c r="E16" s="116">
        <v>500</v>
      </c>
      <c r="G16" s="11">
        <v>778479.6091479134</v>
      </c>
    </row>
    <row r="17" spans="1:7">
      <c r="A17" s="39"/>
      <c r="B17" s="39" t="s">
        <v>124</v>
      </c>
      <c r="C17" s="108">
        <v>0.75304690734133228</v>
      </c>
      <c r="D17" s="116">
        <v>979.36813927585945</v>
      </c>
      <c r="E17" s="116">
        <v>500</v>
      </c>
      <c r="G17" s="11">
        <v>644622.40820130554</v>
      </c>
    </row>
    <row r="18" spans="1:7">
      <c r="A18" s="39"/>
      <c r="B18" s="39" t="s">
        <v>125</v>
      </c>
      <c r="C18" s="108">
        <v>0.72711263648002211</v>
      </c>
      <c r="D18" s="116">
        <v>1099.9289837939107</v>
      </c>
      <c r="E18" s="116">
        <v>500</v>
      </c>
      <c r="G18" s="11">
        <v>589734.83228061127</v>
      </c>
    </row>
    <row r="19" spans="1:7">
      <c r="A19" s="39"/>
      <c r="B19" s="39"/>
    </row>
    <row r="20" spans="1:7">
      <c r="A20" s="40" t="s">
        <v>56</v>
      </c>
      <c r="B20" s="40" t="s">
        <v>55</v>
      </c>
      <c r="C20" s="33">
        <v>0.72767554434700643</v>
      </c>
      <c r="D20" s="48">
        <v>843.00813730782545</v>
      </c>
      <c r="E20" s="48">
        <v>420</v>
      </c>
      <c r="G20" s="11">
        <v>1276615.0812806506</v>
      </c>
    </row>
    <row r="21" spans="1:7">
      <c r="A21" s="39" t="s">
        <v>59</v>
      </c>
      <c r="B21" s="39" t="s">
        <v>122</v>
      </c>
      <c r="C21" s="108">
        <v>0.6374267177546149</v>
      </c>
      <c r="D21" s="116">
        <v>692.07355130971257</v>
      </c>
      <c r="E21" s="116">
        <v>300</v>
      </c>
      <c r="G21" s="11">
        <v>226608.52623382211</v>
      </c>
    </row>
    <row r="22" spans="1:7">
      <c r="A22" s="39"/>
      <c r="B22" s="39" t="s">
        <v>123</v>
      </c>
      <c r="C22" s="108">
        <v>0.73562874350157725</v>
      </c>
      <c r="D22" s="116">
        <v>815.5729985720053</v>
      </c>
      <c r="E22" s="116">
        <v>430</v>
      </c>
      <c r="G22" s="11">
        <v>391883.0754408986</v>
      </c>
    </row>
    <row r="23" spans="1:7">
      <c r="A23" s="39"/>
      <c r="B23" s="39" t="s">
        <v>124</v>
      </c>
      <c r="C23" s="108">
        <v>0.78231079077215337</v>
      </c>
      <c r="D23" s="116">
        <v>887.74799180438197</v>
      </c>
      <c r="E23" s="116">
        <v>500</v>
      </c>
      <c r="G23" s="11">
        <v>345661.57226059336</v>
      </c>
    </row>
    <row r="24" spans="1:7">
      <c r="A24" s="39"/>
      <c r="B24" s="39" t="s">
        <v>125</v>
      </c>
      <c r="C24" s="108">
        <v>0.73641150986268844</v>
      </c>
      <c r="D24" s="116">
        <v>937.38630466984341</v>
      </c>
      <c r="E24" s="116">
        <v>490</v>
      </c>
      <c r="G24" s="11">
        <v>312461.9073453453</v>
      </c>
    </row>
    <row r="25" spans="1:7">
      <c r="A25" s="39"/>
      <c r="B25" s="39"/>
    </row>
    <row r="26" spans="1:7">
      <c r="A26" s="40" t="s">
        <v>57</v>
      </c>
      <c r="B26" s="40" t="s">
        <v>55</v>
      </c>
      <c r="C26" s="33">
        <v>0.72502197818478031</v>
      </c>
      <c r="D26" s="48">
        <v>1047.5860218654168</v>
      </c>
      <c r="E26" s="48">
        <v>500</v>
      </c>
      <c r="G26" s="11">
        <v>1205616.9114630185</v>
      </c>
    </row>
    <row r="27" spans="1:7">
      <c r="A27" s="39" t="s">
        <v>59</v>
      </c>
      <c r="B27" s="39" t="s">
        <v>122</v>
      </c>
      <c r="C27" s="108">
        <v>0.6832386331330107</v>
      </c>
      <c r="D27" s="116">
        <v>763.93078660133858</v>
      </c>
      <c r="E27" s="116">
        <v>300</v>
      </c>
      <c r="G27" s="11">
        <v>248098.69306572797</v>
      </c>
    </row>
    <row r="28" spans="1:7">
      <c r="A28" s="39"/>
      <c r="B28" s="39" t="s">
        <v>123</v>
      </c>
      <c r="C28" s="108">
        <v>0.76143484478799539</v>
      </c>
      <c r="D28" s="116">
        <v>1028.2163151226127</v>
      </c>
      <c r="E28" s="116">
        <v>560</v>
      </c>
      <c r="G28" s="11">
        <v>384646.09110323183</v>
      </c>
    </row>
    <row r="29" spans="1:7">
      <c r="A29" s="39"/>
      <c r="B29" s="39" t="s">
        <v>124</v>
      </c>
      <c r="C29" s="108">
        <v>0.72350772311934242</v>
      </c>
      <c r="D29" s="116">
        <v>1089.7275767979665</v>
      </c>
      <c r="E29" s="116">
        <v>600</v>
      </c>
      <c r="G29" s="11">
        <v>297211.56016873679</v>
      </c>
    </row>
    <row r="30" spans="1:7">
      <c r="A30" s="39"/>
      <c r="B30" s="39" t="s">
        <v>125</v>
      </c>
      <c r="C30" s="108">
        <v>0.71824798893394703</v>
      </c>
      <c r="D30" s="116">
        <v>1284.4716182575319</v>
      </c>
      <c r="E30" s="116">
        <v>500</v>
      </c>
      <c r="G30" s="11">
        <v>275660.56712531025</v>
      </c>
    </row>
    <row r="31" spans="1:7">
      <c r="A31" s="132"/>
      <c r="B31" s="132"/>
      <c r="C31" s="133"/>
      <c r="D31" s="133"/>
      <c r="E31" s="133"/>
    </row>
    <row r="32" spans="1:7" ht="14.45" customHeight="1">
      <c r="A32" s="19" t="s">
        <v>128</v>
      </c>
      <c r="B32" s="19"/>
      <c r="C32" s="19"/>
      <c r="D32" s="19"/>
      <c r="E32" s="19"/>
    </row>
    <row r="33" spans="1:5" ht="14.45" customHeight="1">
      <c r="A33" s="29" t="s">
        <v>147</v>
      </c>
      <c r="B33" s="16"/>
      <c r="C33" s="16"/>
      <c r="D33" s="16"/>
      <c r="E33" s="16"/>
    </row>
    <row r="34" spans="1:5" ht="14.45" customHeight="1">
      <c r="A34" s="71" t="s">
        <v>420</v>
      </c>
    </row>
    <row r="35" spans="1:5" ht="14.45" customHeight="1">
      <c r="A35" s="16" t="s">
        <v>119</v>
      </c>
    </row>
    <row r="36" spans="1:5">
      <c r="A36" s="16" t="s">
        <v>120</v>
      </c>
    </row>
  </sheetData>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ignoredErrors>
    <ignoredError sqref="B18 B24 B3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2" id="{ABFDD48A-0C7A-435D-804C-1132B8243FE6}">
            <xm:f>G14&lt;'34'!$D$104</xm:f>
            <x14:dxf>
              <font>
                <color rgb="FFFF0000"/>
              </font>
              <numFmt numFmtId="172" formatCode="\*\*0.0%"/>
            </x14:dxf>
          </x14:cfRule>
          <x14:cfRule type="expression" priority="3" id="{F1058FA6-7D97-41BE-A9C8-53E936F6B6A7}">
            <xm:f>G14&lt;'34'!$D$103</xm:f>
            <x14:dxf>
              <font>
                <color rgb="FF00B050"/>
              </font>
              <numFmt numFmtId="171" formatCode="\*0.0%"/>
            </x14:dxf>
          </x14:cfRule>
          <xm:sqref>C14:C30</xm:sqref>
        </x14:conditionalFormatting>
        <x14:conditionalFormatting xmlns:xm="http://schemas.microsoft.com/office/excel/2006/main">
          <x14:cfRule type="expression" priority="1" id="{B98AABFA-360E-4E32-8C85-FE9CFC8C5F4A}">
            <xm:f>$G14&lt;'34'!$D$104</xm:f>
            <x14:dxf>
              <font>
                <color rgb="FFFF0000"/>
              </font>
              <numFmt numFmtId="174" formatCode="\*\*&quot;$&quot;###,##0"/>
            </x14:dxf>
          </x14:cfRule>
          <x14:cfRule type="expression" priority="4" id="{76166AAC-7679-41F5-94C6-465ACBEC1611}">
            <xm:f>$G14&lt;'34'!$D$103</xm:f>
            <x14:dxf>
              <font>
                <color rgb="FF00B050"/>
              </font>
              <numFmt numFmtId="173" formatCode="\*&quot;$&quot;###,##0"/>
            </x14:dxf>
          </x14:cfRule>
          <xm:sqref>D14:E30</xm:sqref>
        </x14:conditionalFormatting>
        <x14:conditionalFormatting xmlns:xm="http://schemas.microsoft.com/office/excel/2006/main">
          <x14:cfRule type="expression" priority="277" id="{1D50455E-803C-433C-8C90-B00068DCBA91}">
            <xm:f>$G21&lt;'34'!$C$104</xm:f>
            <x14:dxf>
              <font>
                <color rgb="FFFF0000"/>
              </font>
              <numFmt numFmtId="174" formatCode="\*\*&quot;$&quot;###,##0"/>
            </x14:dxf>
          </x14:cfRule>
          <x14:cfRule type="expression" priority="278" id="{F62E45B1-01DA-4A7E-8C79-ABC166FB16DD}">
            <xm:f>$G21&lt;'34'!$C$103</xm:f>
            <x14:dxf>
              <font>
                <color rgb="FF00B050"/>
              </font>
              <numFmt numFmtId="173" formatCode="\*&quot;$&quot;###,##0"/>
            </x14:dxf>
          </x14:cfRule>
          <xm:sqref>D15:E18</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34"/>
      <c r="B1" s="34"/>
      <c r="C1" s="34"/>
      <c r="D1" s="34"/>
      <c r="E1" s="34"/>
      <c r="F1" s="34"/>
      <c r="G1" s="34"/>
      <c r="H1" s="34"/>
      <c r="I1" s="34"/>
      <c r="J1" s="34"/>
      <c r="K1" s="34"/>
      <c r="L1" s="34"/>
      <c r="M1" s="34"/>
      <c r="N1" s="34"/>
    </row>
    <row r="2" spans="1:14">
      <c r="A2" s="34"/>
      <c r="B2" s="34"/>
      <c r="C2" s="34"/>
      <c r="D2" s="34"/>
      <c r="E2" s="34"/>
      <c r="F2" s="34"/>
      <c r="G2" s="34"/>
      <c r="H2" s="34"/>
      <c r="I2" s="34"/>
      <c r="J2" s="34"/>
      <c r="K2" s="34"/>
      <c r="L2" s="34"/>
      <c r="M2" s="34"/>
      <c r="N2" s="34"/>
    </row>
    <row r="3" spans="1:14">
      <c r="A3" s="34"/>
      <c r="B3" s="34"/>
      <c r="C3" s="34"/>
      <c r="D3" s="34"/>
      <c r="E3" s="34"/>
      <c r="F3" s="34"/>
      <c r="G3" s="34"/>
      <c r="H3" s="34"/>
      <c r="I3" s="34"/>
      <c r="J3" s="34"/>
      <c r="K3" s="34"/>
      <c r="L3" s="34"/>
      <c r="M3" s="34"/>
      <c r="N3" s="34"/>
    </row>
    <row r="4" spans="1:14">
      <c r="A4" s="34"/>
      <c r="B4" s="34"/>
      <c r="C4" s="34"/>
      <c r="D4" s="34"/>
      <c r="E4" s="34"/>
      <c r="F4" s="34"/>
      <c r="G4" s="34"/>
      <c r="H4" s="34"/>
      <c r="I4" s="34"/>
      <c r="J4" s="34"/>
      <c r="K4" s="34"/>
      <c r="L4" s="34"/>
      <c r="M4" s="34"/>
      <c r="N4" s="34"/>
    </row>
    <row r="5" spans="1:14">
      <c r="A5" s="34"/>
      <c r="B5" s="34"/>
      <c r="C5" s="34"/>
      <c r="D5" s="34"/>
      <c r="E5" s="34"/>
      <c r="F5" s="34"/>
      <c r="G5" s="34"/>
      <c r="H5" s="34"/>
      <c r="I5" s="34"/>
      <c r="J5" s="34"/>
      <c r="K5" s="34"/>
      <c r="L5" s="34"/>
      <c r="M5" s="34"/>
      <c r="N5" s="34"/>
    </row>
    <row r="6" spans="1:14">
      <c r="A6" s="34"/>
      <c r="B6" s="34"/>
      <c r="C6" s="34"/>
      <c r="D6" s="34"/>
      <c r="E6" s="34"/>
      <c r="F6" s="34"/>
      <c r="G6" s="34"/>
      <c r="H6" s="34"/>
      <c r="I6" s="34"/>
      <c r="J6" s="34"/>
      <c r="K6" s="34"/>
      <c r="L6" s="34"/>
      <c r="M6" s="34"/>
      <c r="N6" s="34"/>
    </row>
    <row r="7" spans="1:14">
      <c r="A7" s="34"/>
      <c r="B7" s="34"/>
      <c r="C7" s="34"/>
      <c r="D7" s="34"/>
      <c r="E7" s="34"/>
      <c r="F7" s="34"/>
      <c r="G7" s="34"/>
      <c r="H7" s="34"/>
      <c r="I7" s="34"/>
      <c r="J7" s="34"/>
      <c r="K7" s="34"/>
      <c r="L7" s="34"/>
      <c r="M7" s="34"/>
      <c r="N7" s="34"/>
    </row>
    <row r="8" spans="1:14">
      <c r="A8" s="35" t="s">
        <v>0</v>
      </c>
      <c r="B8" s="34"/>
      <c r="C8" s="34"/>
      <c r="D8" s="34"/>
      <c r="E8" s="34"/>
      <c r="F8" s="34"/>
      <c r="G8" s="34"/>
      <c r="H8" s="34"/>
      <c r="I8" s="34"/>
      <c r="J8" s="34"/>
      <c r="K8" s="34"/>
      <c r="L8" s="34"/>
      <c r="M8" s="34"/>
      <c r="N8" s="34"/>
    </row>
    <row r="9" spans="1:14">
      <c r="A9" s="34" t="s">
        <v>1</v>
      </c>
      <c r="B9" s="34"/>
      <c r="C9" s="35" t="s">
        <v>2</v>
      </c>
      <c r="D9" s="35"/>
      <c r="E9" s="34"/>
      <c r="F9" s="34"/>
      <c r="G9" s="34"/>
      <c r="H9" s="34"/>
      <c r="I9" s="34"/>
      <c r="J9" s="34"/>
      <c r="K9" s="34"/>
      <c r="L9" s="34"/>
      <c r="M9" s="34"/>
      <c r="N9" s="34"/>
    </row>
    <row r="10" spans="1:14">
      <c r="A10" s="34" t="s">
        <v>47</v>
      </c>
      <c r="B10" s="34"/>
      <c r="C10" s="36">
        <v>24</v>
      </c>
      <c r="D10" s="36"/>
      <c r="E10" s="34"/>
      <c r="F10" s="34"/>
      <c r="G10" s="34"/>
      <c r="H10" s="34"/>
      <c r="I10" s="34"/>
      <c r="J10" s="34"/>
      <c r="K10" s="34"/>
      <c r="L10" s="34"/>
      <c r="M10" s="34"/>
      <c r="N10" s="34"/>
    </row>
    <row r="11" spans="1:14">
      <c r="A11" s="34" t="s">
        <v>3</v>
      </c>
      <c r="B11" s="34"/>
      <c r="C11" s="35" t="s">
        <v>32</v>
      </c>
      <c r="D11" s="35"/>
      <c r="E11" s="34"/>
      <c r="F11" s="34"/>
      <c r="G11" s="34"/>
      <c r="H11" s="34"/>
      <c r="I11" s="34"/>
      <c r="J11" s="34"/>
      <c r="K11" s="34"/>
      <c r="L11" s="34"/>
      <c r="M11" s="34"/>
      <c r="N11" s="34"/>
    </row>
    <row r="12" spans="1:14">
      <c r="A12" s="130" t="s">
        <v>48</v>
      </c>
      <c r="B12" s="130"/>
      <c r="C12" s="131" t="s">
        <v>49</v>
      </c>
      <c r="D12" s="131"/>
      <c r="E12" s="130"/>
      <c r="F12" s="130"/>
      <c r="G12" s="130"/>
      <c r="H12" s="130"/>
      <c r="I12" s="130"/>
      <c r="J12" s="130"/>
      <c r="K12" s="130"/>
      <c r="L12" s="130"/>
      <c r="M12" s="130"/>
      <c r="N12" s="130"/>
    </row>
    <row r="13" spans="1:14" s="97" customFormat="1" ht="24.95" customHeight="1">
      <c r="A13" s="103"/>
      <c r="B13" s="103"/>
      <c r="C13" s="98"/>
      <c r="D13" s="98"/>
      <c r="E13" s="155" t="s">
        <v>421</v>
      </c>
      <c r="F13" s="155"/>
      <c r="G13" s="155"/>
      <c r="H13" s="155"/>
      <c r="I13" s="155"/>
      <c r="J13" s="155"/>
      <c r="K13" s="155"/>
      <c r="L13" s="155"/>
      <c r="M13" s="155"/>
      <c r="N13" s="155"/>
    </row>
    <row r="14" spans="1:14" s="6" customFormat="1" ht="47.25" customHeight="1">
      <c r="A14" s="45"/>
      <c r="B14" s="45"/>
      <c r="C14" s="69" t="s">
        <v>422</v>
      </c>
      <c r="D14" s="69"/>
      <c r="E14" s="69" t="s">
        <v>423</v>
      </c>
      <c r="F14" s="69" t="s">
        <v>424</v>
      </c>
      <c r="G14" s="69" t="s">
        <v>425</v>
      </c>
      <c r="H14" s="69" t="s">
        <v>426</v>
      </c>
      <c r="I14" s="69" t="s">
        <v>427</v>
      </c>
      <c r="J14" s="69" t="s">
        <v>428</v>
      </c>
      <c r="K14" s="69" t="s">
        <v>429</v>
      </c>
      <c r="L14" s="69" t="s">
        <v>430</v>
      </c>
      <c r="M14" s="69" t="s">
        <v>431</v>
      </c>
      <c r="N14" s="69" t="s">
        <v>88</v>
      </c>
    </row>
    <row r="15" spans="1:14">
      <c r="A15" s="72"/>
      <c r="B15" s="72"/>
      <c r="C15" s="156" t="s">
        <v>143</v>
      </c>
      <c r="D15" s="156"/>
      <c r="E15" s="156"/>
      <c r="F15" s="156"/>
      <c r="G15" s="156"/>
      <c r="H15" s="156"/>
      <c r="I15" s="156"/>
      <c r="J15" s="156"/>
      <c r="K15" s="156"/>
      <c r="L15" s="156"/>
      <c r="M15" s="156"/>
      <c r="N15" s="156"/>
    </row>
    <row r="16" spans="1:14">
      <c r="A16" s="40" t="s">
        <v>144</v>
      </c>
      <c r="B16" s="40" t="s">
        <v>55</v>
      </c>
      <c r="C16" s="33">
        <v>0.14194545889447013</v>
      </c>
      <c r="D16" s="33"/>
      <c r="E16" s="33">
        <v>4.3993866354378158E-2</v>
      </c>
      <c r="F16" s="33">
        <v>4.3444285342837161E-2</v>
      </c>
      <c r="G16" s="33">
        <v>3.4389887568790002E-2</v>
      </c>
      <c r="H16" s="33">
        <v>2.8432557732056045E-2</v>
      </c>
      <c r="I16" s="33">
        <v>2.7169568244478113E-2</v>
      </c>
      <c r="J16" s="33">
        <v>2.435725128755831E-2</v>
      </c>
      <c r="K16" s="33">
        <v>2.0804374473889341E-2</v>
      </c>
      <c r="L16" s="33">
        <v>1.4054698528881511E-2</v>
      </c>
      <c r="M16" s="33">
        <v>1.3329426801231833E-2</v>
      </c>
      <c r="N16" s="33">
        <v>5.859544854118437E-3</v>
      </c>
    </row>
    <row r="17" spans="1:14">
      <c r="A17" s="39" t="s">
        <v>59</v>
      </c>
      <c r="B17" s="39" t="s">
        <v>60</v>
      </c>
      <c r="C17" s="108">
        <v>0.2211119563472187</v>
      </c>
      <c r="D17" s="108"/>
      <c r="E17" s="108">
        <v>7.8944822856571853E-2</v>
      </c>
      <c r="F17" s="108">
        <v>8.2116402358556884E-2</v>
      </c>
      <c r="G17" s="108">
        <v>5.0410341642405557E-2</v>
      </c>
      <c r="H17" s="108">
        <v>1.8037400520637688E-2</v>
      </c>
      <c r="I17" s="108">
        <v>2.4788166101123707E-2</v>
      </c>
      <c r="J17" s="108">
        <v>1.9630245578685344E-2</v>
      </c>
      <c r="K17" s="108">
        <v>3.288765963141646E-2</v>
      </c>
      <c r="L17" s="108">
        <v>1.6775422473645267E-2</v>
      </c>
      <c r="M17" s="108">
        <v>1.0820524513292407E-2</v>
      </c>
      <c r="N17" s="108">
        <v>1.2525990286940037E-2</v>
      </c>
    </row>
    <row r="18" spans="1:14">
      <c r="A18" s="39"/>
      <c r="B18" s="39" t="s">
        <v>61</v>
      </c>
      <c r="C18" s="108">
        <v>0.20044452149745592</v>
      </c>
      <c r="D18" s="108"/>
      <c r="E18" s="108">
        <v>7.2784657900576408E-2</v>
      </c>
      <c r="F18" s="108">
        <v>5.4681337726359323E-2</v>
      </c>
      <c r="G18" s="108">
        <v>2.9604532402088889E-2</v>
      </c>
      <c r="H18" s="108">
        <v>2.4127449153692904E-2</v>
      </c>
      <c r="I18" s="108">
        <v>3.6656262001172536E-2</v>
      </c>
      <c r="J18" s="108">
        <v>2.831897185711962E-2</v>
      </c>
      <c r="K18" s="108">
        <v>2.9992355506900711E-2</v>
      </c>
      <c r="L18" s="108">
        <v>2.5229239234115852E-2</v>
      </c>
      <c r="M18" s="108">
        <v>1.8806608688083634E-2</v>
      </c>
      <c r="N18" s="108">
        <v>8.8358081221489478E-3</v>
      </c>
    </row>
    <row r="19" spans="1:14">
      <c r="A19" s="39"/>
      <c r="B19" s="39" t="s">
        <v>62</v>
      </c>
      <c r="C19" s="108">
        <v>0.18239057462052491</v>
      </c>
      <c r="D19" s="108"/>
      <c r="E19" s="108">
        <v>5.7399227718695704E-2</v>
      </c>
      <c r="F19" s="108">
        <v>4.3673116591542403E-2</v>
      </c>
      <c r="G19" s="108">
        <v>4.2676909612213043E-2</v>
      </c>
      <c r="H19" s="108">
        <v>3.7505816596856839E-2</v>
      </c>
      <c r="I19" s="108">
        <v>3.6856914828322103E-2</v>
      </c>
      <c r="J19" s="108">
        <v>3.7482273911267461E-2</v>
      </c>
      <c r="K19" s="108">
        <v>3.3346765389844962E-2</v>
      </c>
      <c r="L19" s="108">
        <v>2.9971985015054197E-2</v>
      </c>
      <c r="M19" s="108">
        <v>2.5823970560667851E-2</v>
      </c>
      <c r="N19" s="108">
        <v>7.9409483912915423E-3</v>
      </c>
    </row>
    <row r="20" spans="1:14">
      <c r="A20" s="39"/>
      <c r="B20" s="39" t="s">
        <v>63</v>
      </c>
      <c r="C20" s="108">
        <v>0.17205605240389266</v>
      </c>
      <c r="D20" s="108"/>
      <c r="E20" s="108">
        <v>5.5124971645595634E-2</v>
      </c>
      <c r="F20" s="108">
        <v>4.7000724682206847E-2</v>
      </c>
      <c r="G20" s="108">
        <v>4.3605324722645084E-2</v>
      </c>
      <c r="H20" s="108">
        <v>3.1197712698342636E-2</v>
      </c>
      <c r="I20" s="108">
        <v>4.2382926817338205E-2</v>
      </c>
      <c r="J20" s="108">
        <v>3.6216292978577265E-2</v>
      </c>
      <c r="K20" s="108">
        <v>2.3817969656050385E-2</v>
      </c>
      <c r="L20" s="108">
        <v>1.7755487284910363E-2</v>
      </c>
      <c r="M20" s="108">
        <v>1.82007506926662E-2</v>
      </c>
      <c r="N20" s="108">
        <v>6.5672263000300379E-3</v>
      </c>
    </row>
    <row r="21" spans="1:14">
      <c r="A21" s="39"/>
      <c r="B21" s="39" t="s">
        <v>64</v>
      </c>
      <c r="C21" s="108">
        <v>0.15223344846780698</v>
      </c>
      <c r="D21" s="108"/>
      <c r="E21" s="108">
        <v>4.5657016272309468E-2</v>
      </c>
      <c r="F21" s="108">
        <v>5.7174130578512943E-2</v>
      </c>
      <c r="G21" s="108">
        <v>4.3256623133565597E-2</v>
      </c>
      <c r="H21" s="108">
        <v>2.9886008340024212E-2</v>
      </c>
      <c r="I21" s="108">
        <v>3.1562891519505372E-2</v>
      </c>
      <c r="J21" s="108">
        <v>3.2933830930277699E-2</v>
      </c>
      <c r="K21" s="108">
        <v>1.860326641981962E-2</v>
      </c>
      <c r="L21" s="108">
        <v>9.5250130387103532E-3</v>
      </c>
      <c r="M21" s="108">
        <v>1.2678784793800786E-2</v>
      </c>
      <c r="N21" s="108">
        <v>5.0189601232093536E-3</v>
      </c>
    </row>
    <row r="22" spans="1:14">
      <c r="A22" s="39"/>
      <c r="B22" s="39" t="s">
        <v>65</v>
      </c>
      <c r="C22" s="108">
        <v>8.9379422699412375E-2</v>
      </c>
      <c r="D22" s="108"/>
      <c r="E22" s="108">
        <v>2.3301426667023645E-2</v>
      </c>
      <c r="F22" s="108">
        <v>3.2933491235169747E-2</v>
      </c>
      <c r="G22" s="108">
        <v>2.6054862296950497E-2</v>
      </c>
      <c r="H22" s="108">
        <v>2.76598796053102E-2</v>
      </c>
      <c r="I22" s="108">
        <v>1.2022628695535652E-2</v>
      </c>
      <c r="J22" s="108">
        <v>8.6597369413814705E-3</v>
      </c>
      <c r="K22" s="108">
        <v>1.155703748637155E-2</v>
      </c>
      <c r="L22" s="108">
        <v>3.7417674436571141E-3</v>
      </c>
      <c r="M22" s="108">
        <v>5.1361280382595667E-3</v>
      </c>
      <c r="N22" s="108">
        <v>3.5584206974068468E-3</v>
      </c>
    </row>
    <row r="23" spans="1:14">
      <c r="A23" s="39"/>
      <c r="B23" s="39" t="s">
        <v>66</v>
      </c>
      <c r="C23" s="108">
        <v>6.3635906111970966E-2</v>
      </c>
      <c r="D23" s="108"/>
      <c r="E23" s="108">
        <v>1.3861390331913295E-2</v>
      </c>
      <c r="F23" s="108">
        <v>2.3407878949011425E-2</v>
      </c>
      <c r="G23" s="108">
        <v>1.8013228552192683E-2</v>
      </c>
      <c r="H23" s="108">
        <v>2.2319143264454382E-2</v>
      </c>
      <c r="I23" s="108">
        <v>9.0735414609167692E-3</v>
      </c>
      <c r="J23" s="108">
        <v>6.7362907417193082E-3</v>
      </c>
      <c r="K23" s="108">
        <v>8.1293235181737235E-3</v>
      </c>
      <c r="L23" s="108">
        <v>1.3074784308721606E-3</v>
      </c>
      <c r="M23" s="108">
        <v>2.3614664617038288E-3</v>
      </c>
      <c r="N23" s="108">
        <v>2.7075909438595328E-3</v>
      </c>
    </row>
    <row r="24" spans="1:14">
      <c r="A24" s="39"/>
      <c r="B24" s="39"/>
    </row>
    <row r="25" spans="1:14">
      <c r="A25" s="40" t="s">
        <v>56</v>
      </c>
      <c r="B25" s="40" t="s">
        <v>55</v>
      </c>
      <c r="C25" s="33">
        <v>0.1727104011513933</v>
      </c>
      <c r="D25" s="33"/>
      <c r="E25" s="33">
        <v>5.66293788090673E-2</v>
      </c>
      <c r="F25" s="33">
        <v>5.5599949356751527E-2</v>
      </c>
      <c r="G25" s="33">
        <v>3.7461262969683613E-2</v>
      </c>
      <c r="H25" s="33">
        <v>3.4451702053010652E-2</v>
      </c>
      <c r="I25" s="33">
        <v>3.2529365919394579E-2</v>
      </c>
      <c r="J25" s="33">
        <v>2.9895121649994558E-2</v>
      </c>
      <c r="K25" s="33">
        <v>2.3707185665268953E-2</v>
      </c>
      <c r="L25" s="33">
        <v>1.7391900330959421E-2</v>
      </c>
      <c r="M25" s="33">
        <v>1.7215010413199974E-2</v>
      </c>
      <c r="N25" s="33">
        <v>7.0976905780238964E-3</v>
      </c>
    </row>
    <row r="26" spans="1:14">
      <c r="A26" s="39" t="s">
        <v>59</v>
      </c>
      <c r="B26" s="39" t="s">
        <v>60</v>
      </c>
      <c r="C26" s="108">
        <v>0.2459031504784287</v>
      </c>
      <c r="D26" s="108"/>
      <c r="E26" s="108">
        <v>6.9097164579759493E-2</v>
      </c>
      <c r="F26" s="108">
        <v>8.939897494657903E-2</v>
      </c>
      <c r="G26" s="108">
        <v>5.1121427218812868E-2</v>
      </c>
      <c r="H26" s="108">
        <v>2.0746331525631091E-2</v>
      </c>
      <c r="I26" s="108">
        <v>3.7988156715097428E-2</v>
      </c>
      <c r="J26" s="108">
        <v>2.7845061748893386E-2</v>
      </c>
      <c r="K26" s="108">
        <v>2.5439279860346654E-2</v>
      </c>
      <c r="L26" s="108">
        <v>1.5581042018383623E-2</v>
      </c>
      <c r="M26" s="108">
        <v>1.7776875052396144E-2</v>
      </c>
      <c r="N26" s="108">
        <v>1.6590955920093155E-2</v>
      </c>
    </row>
    <row r="27" spans="1:14">
      <c r="A27" s="39"/>
      <c r="B27" s="39" t="s">
        <v>61</v>
      </c>
      <c r="C27" s="108">
        <v>0.22685529245911584</v>
      </c>
      <c r="D27" s="108"/>
      <c r="E27" s="108">
        <v>7.6257117495590152E-2</v>
      </c>
      <c r="F27" s="108">
        <v>6.361391741448108E-2</v>
      </c>
      <c r="G27" s="108">
        <v>2.8820863549162537E-2</v>
      </c>
      <c r="H27" s="108">
        <v>2.2257629068734425E-2</v>
      </c>
      <c r="I27" s="108">
        <v>4.532493056711951E-2</v>
      </c>
      <c r="J27" s="108">
        <v>3.5585644415187183E-2</v>
      </c>
      <c r="K27" s="108">
        <v>3.3749006462475674E-2</v>
      </c>
      <c r="L27" s="108">
        <v>3.2341802701299313E-2</v>
      </c>
      <c r="M27" s="108">
        <v>2.4626852577666256E-2</v>
      </c>
      <c r="N27" s="108">
        <v>1.3056207457454427E-2</v>
      </c>
    </row>
    <row r="28" spans="1:14">
      <c r="A28" s="39"/>
      <c r="B28" s="39" t="s">
        <v>62</v>
      </c>
      <c r="C28" s="108">
        <v>0.221100070637646</v>
      </c>
      <c r="D28" s="108"/>
      <c r="E28" s="108">
        <v>7.1799080292837672E-2</v>
      </c>
      <c r="F28" s="108">
        <v>5.2534720222405754E-2</v>
      </c>
      <c r="G28" s="108">
        <v>5.2110386004280487E-2</v>
      </c>
      <c r="H28" s="108">
        <v>4.443424352780169E-2</v>
      </c>
      <c r="I28" s="108">
        <v>4.8252882902050966E-2</v>
      </c>
      <c r="J28" s="108">
        <v>4.9877134322219123E-2</v>
      </c>
      <c r="K28" s="108">
        <v>3.8474625728035811E-2</v>
      </c>
      <c r="L28" s="108">
        <v>3.6935184709210027E-2</v>
      </c>
      <c r="M28" s="108">
        <v>3.2693908994203498E-2</v>
      </c>
      <c r="N28" s="108">
        <v>9.8351283464068844E-3</v>
      </c>
    </row>
    <row r="29" spans="1:14">
      <c r="A29" s="39"/>
      <c r="B29" s="39" t="s">
        <v>63</v>
      </c>
      <c r="C29" s="108">
        <v>0.19969532963530404</v>
      </c>
      <c r="D29" s="108"/>
      <c r="E29" s="108">
        <v>7.2224899415963897E-2</v>
      </c>
      <c r="F29" s="108">
        <v>6.0508669023403669E-2</v>
      </c>
      <c r="G29" s="108">
        <v>4.3711381917428613E-2</v>
      </c>
      <c r="H29" s="108">
        <v>3.6811237384402867E-2</v>
      </c>
      <c r="I29" s="108">
        <v>4.3097570823076872E-2</v>
      </c>
      <c r="J29" s="108">
        <v>4.1226957679372296E-2</v>
      </c>
      <c r="K29" s="108">
        <v>2.5524137029872541E-2</v>
      </c>
      <c r="L29" s="108">
        <v>2.2491099835438465E-2</v>
      </c>
      <c r="M29" s="108">
        <v>2.1345608521332798E-2</v>
      </c>
      <c r="N29" s="108">
        <v>7.2161940137229121E-3</v>
      </c>
    </row>
    <row r="30" spans="1:14">
      <c r="A30" s="39"/>
      <c r="B30" s="39" t="s">
        <v>64</v>
      </c>
      <c r="C30" s="108">
        <v>0.17854412157096131</v>
      </c>
      <c r="D30" s="108"/>
      <c r="E30" s="108">
        <v>6.9462030610800848E-2</v>
      </c>
      <c r="F30" s="108">
        <v>7.0156171000951645E-2</v>
      </c>
      <c r="G30" s="108">
        <v>3.9442213314655389E-2</v>
      </c>
      <c r="H30" s="108">
        <v>3.2133332418190531E-2</v>
      </c>
      <c r="I30" s="108">
        <v>3.0388714373001578E-2</v>
      </c>
      <c r="J30" s="108">
        <v>3.3631423355208578E-2</v>
      </c>
      <c r="K30" s="108">
        <v>1.953926382968443E-2</v>
      </c>
      <c r="L30" s="108">
        <v>1.0458130448994164E-2</v>
      </c>
      <c r="M30" s="108">
        <v>1.452134118920689E-2</v>
      </c>
      <c r="N30" s="108">
        <v>4.8122425911224691E-3</v>
      </c>
    </row>
    <row r="31" spans="1:14">
      <c r="A31" s="39"/>
      <c r="B31" s="39" t="s">
        <v>65</v>
      </c>
      <c r="C31" s="108">
        <v>0.11577032735390885</v>
      </c>
      <c r="D31" s="108"/>
      <c r="E31" s="108">
        <v>3.5273056646818908E-2</v>
      </c>
      <c r="F31" s="108">
        <v>4.414184460616196E-2</v>
      </c>
      <c r="G31" s="108">
        <v>2.9861936979917559E-2</v>
      </c>
      <c r="H31" s="108">
        <v>3.5951963332020262E-2</v>
      </c>
      <c r="I31" s="108">
        <v>1.7360957637282487E-2</v>
      </c>
      <c r="J31" s="108">
        <v>1.0953032825000413E-2</v>
      </c>
      <c r="K31" s="108">
        <v>1.3985855922583133E-2</v>
      </c>
      <c r="L31" s="108">
        <v>4.4590954195315533E-3</v>
      </c>
      <c r="M31" s="108">
        <v>8.0494464406602444E-3</v>
      </c>
      <c r="N31" s="108">
        <v>4.0438420927943726E-3</v>
      </c>
    </row>
    <row r="32" spans="1:14">
      <c r="A32" s="39"/>
      <c r="B32" s="39" t="s">
        <v>66</v>
      </c>
      <c r="C32" s="108">
        <v>9.3327244426875233E-2</v>
      </c>
      <c r="D32" s="108"/>
      <c r="E32" s="108">
        <v>2.0582315731267665E-2</v>
      </c>
      <c r="F32" s="108">
        <v>3.8674800245131286E-2</v>
      </c>
      <c r="G32" s="108">
        <v>2.4221566565870944E-2</v>
      </c>
      <c r="H32" s="108">
        <v>3.4099549848482194E-2</v>
      </c>
      <c r="I32" s="108">
        <v>1.2905212579689681E-2</v>
      </c>
      <c r="J32" s="108">
        <v>9.6242001225240546E-3</v>
      </c>
      <c r="K32" s="108">
        <v>1.2639568921831967E-2</v>
      </c>
      <c r="L32" s="108">
        <v>1.5795765055086383E-3</v>
      </c>
      <c r="M32" s="108">
        <v>3.7415471209257898E-3</v>
      </c>
      <c r="N32" s="108">
        <v>2.8287021086481454E-3</v>
      </c>
    </row>
    <row r="33" spans="1:14">
      <c r="A33" s="39"/>
      <c r="B33" s="39"/>
    </row>
    <row r="34" spans="1:14">
      <c r="A34" s="40" t="s">
        <v>57</v>
      </c>
      <c r="B34" s="40" t="s">
        <v>55</v>
      </c>
      <c r="C34" s="33">
        <v>0.11273282116382352</v>
      </c>
      <c r="D34" s="33"/>
      <c r="E34" s="33">
        <v>3.1993901642114235E-2</v>
      </c>
      <c r="F34" s="33">
        <v>3.1886138991666778E-2</v>
      </c>
      <c r="G34" s="33">
        <v>3.1610808577956208E-2</v>
      </c>
      <c r="H34" s="33">
        <v>2.275678181024789E-2</v>
      </c>
      <c r="I34" s="33">
        <v>2.2014234554414844E-2</v>
      </c>
      <c r="J34" s="33">
        <v>1.9098831687456422E-2</v>
      </c>
      <c r="K34" s="33">
        <v>1.7958151356894072E-2</v>
      </c>
      <c r="L34" s="33">
        <v>1.0811044815503138E-2</v>
      </c>
      <c r="M34" s="33">
        <v>9.5797504667248061E-3</v>
      </c>
      <c r="N34" s="33">
        <v>4.7293997984048462E-3</v>
      </c>
    </row>
    <row r="35" spans="1:14">
      <c r="A35" s="39" t="s">
        <v>59</v>
      </c>
      <c r="B35" s="39" t="s">
        <v>60</v>
      </c>
      <c r="C35" s="108">
        <v>0.20133214688635817</v>
      </c>
      <c r="D35" s="108"/>
      <c r="E35" s="108">
        <v>9.2088952131234442E-2</v>
      </c>
      <c r="F35" s="108">
        <v>7.6850067204997985E-2</v>
      </c>
      <c r="G35" s="108">
        <v>5.1240043825413313E-2</v>
      </c>
      <c r="H35" s="108">
        <v>1.5681936936050772E-2</v>
      </c>
      <c r="I35" s="108">
        <v>1.1310025448144018E-2</v>
      </c>
      <c r="J35" s="108">
        <v>1.1375592338749454E-2</v>
      </c>
      <c r="K35" s="108">
        <v>4.1979016503591739E-2</v>
      </c>
      <c r="L35" s="108">
        <v>1.8597888836291945E-2</v>
      </c>
      <c r="M35" s="108">
        <v>3.6464901863394474E-3</v>
      </c>
      <c r="N35" s="108">
        <v>8.5304668911157008E-3</v>
      </c>
    </row>
    <row r="36" spans="1:14">
      <c r="A36" s="39"/>
      <c r="B36" s="39" t="s">
        <v>61</v>
      </c>
      <c r="C36" s="108">
        <v>0.17604101446931864</v>
      </c>
      <c r="D36" s="108"/>
      <c r="E36" s="108">
        <v>7.0966337937236987E-2</v>
      </c>
      <c r="F36" s="108">
        <v>4.5255375807767124E-2</v>
      </c>
      <c r="G36" s="108">
        <v>3.056829537390152E-2</v>
      </c>
      <c r="H36" s="108">
        <v>2.703642701335365E-2</v>
      </c>
      <c r="I36" s="108">
        <v>2.7358742967906212E-2</v>
      </c>
      <c r="J36" s="108">
        <v>2.1580981055676532E-2</v>
      </c>
      <c r="K36" s="108">
        <v>2.6096581238399238E-2</v>
      </c>
      <c r="L36" s="108">
        <v>1.8034679491352002E-2</v>
      </c>
      <c r="M36" s="108">
        <v>1.2758484829002537E-2</v>
      </c>
      <c r="N36" s="108">
        <v>4.6377175583738215E-3</v>
      </c>
    </row>
    <row r="37" spans="1:14">
      <c r="A37" s="39"/>
      <c r="B37" s="39" t="s">
        <v>62</v>
      </c>
      <c r="C37" s="108">
        <v>0.14464874971822941</v>
      </c>
      <c r="D37" s="108"/>
      <c r="E37" s="108">
        <v>4.3508345819681091E-2</v>
      </c>
      <c r="F37" s="108">
        <v>3.5389863454940475E-2</v>
      </c>
      <c r="G37" s="108">
        <v>3.3569608208337202E-2</v>
      </c>
      <c r="H37" s="108">
        <v>3.0591647557967155E-2</v>
      </c>
      <c r="I37" s="108">
        <v>2.5932498725264767E-2</v>
      </c>
      <c r="J37" s="108">
        <v>2.5069162476990606E-2</v>
      </c>
      <c r="K37" s="108">
        <v>2.8431705442762502E-2</v>
      </c>
      <c r="L37" s="108">
        <v>2.2949406913007814E-2</v>
      </c>
      <c r="M37" s="108">
        <v>1.9049600648641661E-2</v>
      </c>
      <c r="N37" s="108">
        <v>6.1507341363231096E-3</v>
      </c>
    </row>
    <row r="38" spans="1:14">
      <c r="A38" s="39"/>
      <c r="B38" s="39" t="s">
        <v>63</v>
      </c>
      <c r="C38" s="108">
        <v>0.1452790737988332</v>
      </c>
      <c r="D38" s="108"/>
      <c r="E38" s="108">
        <v>3.8596064428035391E-2</v>
      </c>
      <c r="F38" s="108">
        <v>3.3933711185412205E-2</v>
      </c>
      <c r="G38" s="108">
        <v>4.3684751052200994E-2</v>
      </c>
      <c r="H38" s="108">
        <v>2.5735422070313475E-2</v>
      </c>
      <c r="I38" s="108">
        <v>4.2127495199075132E-2</v>
      </c>
      <c r="J38" s="108">
        <v>3.1398849082208573E-2</v>
      </c>
      <c r="K38" s="108">
        <v>2.1836417114967192E-2</v>
      </c>
      <c r="L38" s="108">
        <v>1.329219587928516E-2</v>
      </c>
      <c r="M38" s="108">
        <v>1.5025769345933557E-2</v>
      </c>
      <c r="N38" s="108">
        <v>5.9991127218723354E-3</v>
      </c>
    </row>
    <row r="39" spans="1:14">
      <c r="A39" s="39"/>
      <c r="B39" s="39" t="s">
        <v>64</v>
      </c>
      <c r="C39" s="108">
        <v>0.12638219574760612</v>
      </c>
      <c r="D39" s="108"/>
      <c r="E39" s="108">
        <v>2.2250185837642742E-2</v>
      </c>
      <c r="F39" s="108">
        <v>4.470203026963853E-2</v>
      </c>
      <c r="G39" s="108">
        <v>4.7106337189125942E-2</v>
      </c>
      <c r="H39" s="108">
        <v>2.7625299470354362E-2</v>
      </c>
      <c r="I39" s="108">
        <v>3.2000344778607519E-2</v>
      </c>
      <c r="J39" s="108">
        <v>3.2220449491317214E-2</v>
      </c>
      <c r="K39" s="108">
        <v>1.7525047220923056E-2</v>
      </c>
      <c r="L39" s="108">
        <v>8.3960677656546769E-3</v>
      </c>
      <c r="M39" s="108">
        <v>1.0990708641865349E-2</v>
      </c>
      <c r="N39" s="108">
        <v>5.2622153968270146E-3</v>
      </c>
    </row>
    <row r="40" spans="1:14">
      <c r="A40" s="39"/>
      <c r="B40" s="39" t="s">
        <v>65</v>
      </c>
      <c r="C40" s="108">
        <v>6.4593817541784879E-2</v>
      </c>
      <c r="D40" s="108"/>
      <c r="E40" s="108">
        <v>1.1982435594562548E-2</v>
      </c>
      <c r="F40" s="108">
        <v>2.2384888941355895E-2</v>
      </c>
      <c r="G40" s="108">
        <v>2.2537041693797371E-2</v>
      </c>
      <c r="H40" s="108">
        <v>1.9870329447641794E-2</v>
      </c>
      <c r="I40" s="108">
        <v>6.9824740986662746E-3</v>
      </c>
      <c r="J40" s="108">
        <v>6.5098502373468082E-3</v>
      </c>
      <c r="K40" s="108">
        <v>9.2905575306703042E-3</v>
      </c>
      <c r="L40" s="108">
        <v>3.073824229962223E-3</v>
      </c>
      <c r="M40" s="108">
        <v>2.3792889170640374E-3</v>
      </c>
      <c r="N40" s="108">
        <v>3.1109162078066725E-3</v>
      </c>
    </row>
    <row r="41" spans="1:14">
      <c r="A41" s="132"/>
      <c r="B41" s="132" t="s">
        <v>66</v>
      </c>
      <c r="C41" s="138">
        <v>3.7860023615361962E-2</v>
      </c>
      <c r="D41" s="138"/>
      <c r="E41" s="138">
        <v>8.0239020378303858E-3</v>
      </c>
      <c r="F41" s="138">
        <v>1.0105124947793013E-2</v>
      </c>
      <c r="G41" s="138">
        <v>1.2648420078743807E-2</v>
      </c>
      <c r="H41" s="138">
        <v>1.2076795141183766E-2</v>
      </c>
      <c r="I41" s="138">
        <v>5.7517026245085647E-3</v>
      </c>
      <c r="J41" s="138">
        <v>4.2320991961413926E-3</v>
      </c>
      <c r="K41" s="138">
        <v>4.2057464012896489E-3</v>
      </c>
      <c r="L41" s="138">
        <v>1.0750821129263735E-3</v>
      </c>
      <c r="M41" s="138">
        <v>1.160234708552007E-3</v>
      </c>
      <c r="N41" s="138">
        <v>2.6153606537590323E-3</v>
      </c>
    </row>
    <row r="42" spans="1:14">
      <c r="A42" s="72"/>
      <c r="B42" s="72"/>
      <c r="C42" s="156" t="s">
        <v>432</v>
      </c>
      <c r="D42" s="156"/>
      <c r="E42" s="156"/>
      <c r="F42" s="156"/>
      <c r="G42" s="156"/>
      <c r="H42" s="156"/>
      <c r="I42" s="156"/>
      <c r="J42" s="156"/>
      <c r="K42" s="156"/>
      <c r="L42" s="156"/>
      <c r="M42" s="156"/>
      <c r="N42" s="156"/>
    </row>
    <row r="43" spans="1:14">
      <c r="A43" s="40" t="s">
        <v>144</v>
      </c>
      <c r="B43" s="40" t="s">
        <v>55</v>
      </c>
      <c r="C43" s="51">
        <v>3108440.4967242251</v>
      </c>
      <c r="D43" s="51"/>
      <c r="E43" s="51">
        <v>963414.51743864105</v>
      </c>
      <c r="F43" s="51">
        <v>951379.33233437664</v>
      </c>
      <c r="G43" s="51">
        <v>753098.54946535651</v>
      </c>
      <c r="H43" s="51">
        <v>622639.95317722426</v>
      </c>
      <c r="I43" s="51">
        <v>594981.9519935234</v>
      </c>
      <c r="J43" s="51">
        <v>533395.48077704746</v>
      </c>
      <c r="K43" s="51">
        <v>455591.60981494939</v>
      </c>
      <c r="L43" s="51">
        <v>307781.55508945038</v>
      </c>
      <c r="M43" s="51">
        <v>291898.9475941906</v>
      </c>
      <c r="N43" s="51">
        <v>128317.21887246205</v>
      </c>
    </row>
    <row r="44" spans="1:14">
      <c r="A44" s="39" t="s">
        <v>59</v>
      </c>
      <c r="B44" s="39" t="s">
        <v>60</v>
      </c>
      <c r="C44" s="110">
        <v>214453.94629852186</v>
      </c>
      <c r="D44" s="110"/>
      <c r="E44" s="110">
        <v>76567.676760291753</v>
      </c>
      <c r="F44" s="110">
        <v>79643.755283753038</v>
      </c>
      <c r="G44" s="110">
        <v>48892.411238468812</v>
      </c>
      <c r="H44" s="110">
        <v>17494.267548985132</v>
      </c>
      <c r="I44" s="110">
        <v>24041.757531833671</v>
      </c>
      <c r="J44" s="110">
        <v>19039.14967197628</v>
      </c>
      <c r="K44" s="110">
        <v>31897.36325883929</v>
      </c>
      <c r="L44" s="110">
        <v>16270.289538973597</v>
      </c>
      <c r="M44" s="110">
        <v>10494.702417862434</v>
      </c>
      <c r="N44" s="110">
        <v>12148.814079112708</v>
      </c>
    </row>
    <row r="45" spans="1:14">
      <c r="A45" s="39"/>
      <c r="B45" s="39" t="s">
        <v>61</v>
      </c>
      <c r="C45" s="110">
        <v>472393.33534440119</v>
      </c>
      <c r="D45" s="110"/>
      <c r="E45" s="110">
        <v>171533.68448631262</v>
      </c>
      <c r="F45" s="110">
        <v>128869.0721835287</v>
      </c>
      <c r="G45" s="110">
        <v>69769.848027059532</v>
      </c>
      <c r="H45" s="110">
        <v>56861.849323280716</v>
      </c>
      <c r="I45" s="110">
        <v>86388.860811104329</v>
      </c>
      <c r="J45" s="110">
        <v>66740.130731279482</v>
      </c>
      <c r="K45" s="110">
        <v>70683.841827623459</v>
      </c>
      <c r="L45" s="110">
        <v>59458.469510512812</v>
      </c>
      <c r="M45" s="110">
        <v>44322.072453317611</v>
      </c>
      <c r="N45" s="110">
        <v>20823.601653478308</v>
      </c>
    </row>
    <row r="46" spans="1:14">
      <c r="A46" s="39"/>
      <c r="B46" s="39" t="s">
        <v>62</v>
      </c>
      <c r="C46" s="110">
        <v>711513.04080101463</v>
      </c>
      <c r="D46" s="110"/>
      <c r="E46" s="110">
        <v>223916.71904499386</v>
      </c>
      <c r="F46" s="110">
        <v>170370.60194561575</v>
      </c>
      <c r="G46" s="110">
        <v>166484.35805058686</v>
      </c>
      <c r="H46" s="110">
        <v>146311.71413367396</v>
      </c>
      <c r="I46" s="110">
        <v>143780.32197444694</v>
      </c>
      <c r="J46" s="110">
        <v>146219.87316082121</v>
      </c>
      <c r="K46" s="110">
        <v>130087.08642303161</v>
      </c>
      <c r="L46" s="110">
        <v>116921.93108812018</v>
      </c>
      <c r="M46" s="110">
        <v>100740.35819781324</v>
      </c>
      <c r="N46" s="110">
        <v>30977.962257573537</v>
      </c>
    </row>
    <row r="47" spans="1:14">
      <c r="A47" s="39"/>
      <c r="B47" s="39" t="s">
        <v>63</v>
      </c>
      <c r="C47" s="110">
        <v>640314.49864056043</v>
      </c>
      <c r="D47" s="110"/>
      <c r="E47" s="110">
        <v>205150.11293509195</v>
      </c>
      <c r="F47" s="110">
        <v>174915.35485182039</v>
      </c>
      <c r="G47" s="110">
        <v>162279.2180091168</v>
      </c>
      <c r="H47" s="110">
        <v>116103.72018926757</v>
      </c>
      <c r="I47" s="110">
        <v>157730.00808049159</v>
      </c>
      <c r="J47" s="110">
        <v>134780.59712052706</v>
      </c>
      <c r="K47" s="110">
        <v>88639.667630808312</v>
      </c>
      <c r="L47" s="110">
        <v>66077.861139507382</v>
      </c>
      <c r="M47" s="110">
        <v>67734.92935487529</v>
      </c>
      <c r="N47" s="110">
        <v>24440.234197002294</v>
      </c>
    </row>
    <row r="48" spans="1:14">
      <c r="A48" s="39"/>
      <c r="B48" s="39" t="s">
        <v>64</v>
      </c>
      <c r="C48" s="110">
        <v>505337.21866143809</v>
      </c>
      <c r="D48" s="110"/>
      <c r="E48" s="110">
        <v>151557.95160422972</v>
      </c>
      <c r="F48" s="110">
        <v>189788.88290796019</v>
      </c>
      <c r="G48" s="110">
        <v>143589.87359880147</v>
      </c>
      <c r="H48" s="110">
        <v>99206.268290205146</v>
      </c>
      <c r="I48" s="110">
        <v>104772.66312963072</v>
      </c>
      <c r="J48" s="110">
        <v>109323.48107250575</v>
      </c>
      <c r="K48" s="110">
        <v>61753.333483721239</v>
      </c>
      <c r="L48" s="110">
        <v>31618.173569218645</v>
      </c>
      <c r="M48" s="110">
        <v>42087.083411640211</v>
      </c>
      <c r="N48" s="110">
        <v>16660.381635982132</v>
      </c>
    </row>
    <row r="49" spans="1:14">
      <c r="A49" s="39"/>
      <c r="B49" s="39" t="s">
        <v>65</v>
      </c>
      <c r="C49" s="110">
        <v>273855.57447037933</v>
      </c>
      <c r="D49" s="110"/>
      <c r="E49" s="110">
        <v>71394.795280090009</v>
      </c>
      <c r="F49" s="110">
        <v>100907.12033186929</v>
      </c>
      <c r="G49" s="110">
        <v>79831.230350125275</v>
      </c>
      <c r="H49" s="110">
        <v>84748.94992965259</v>
      </c>
      <c r="I49" s="110">
        <v>36836.933923065379</v>
      </c>
      <c r="J49" s="110">
        <v>26533.145585644732</v>
      </c>
      <c r="K49" s="110">
        <v>35410.377964175386</v>
      </c>
      <c r="L49" s="110">
        <v>11464.650832031148</v>
      </c>
      <c r="M49" s="110">
        <v>15736.925256289931</v>
      </c>
      <c r="N49" s="110">
        <v>10902.882507676419</v>
      </c>
    </row>
    <row r="50" spans="1:14">
      <c r="A50" s="39"/>
      <c r="B50" s="39" t="s">
        <v>66</v>
      </c>
      <c r="C50" s="110">
        <v>290572.88250796753</v>
      </c>
      <c r="D50" s="110"/>
      <c r="E50" s="110">
        <v>63293.577327634426</v>
      </c>
      <c r="F50" s="110">
        <v>106884.54482983015</v>
      </c>
      <c r="G50" s="110">
        <v>82251.610191197062</v>
      </c>
      <c r="H50" s="110">
        <v>101913.18376215905</v>
      </c>
      <c r="I50" s="110">
        <v>41431.406542951168</v>
      </c>
      <c r="J50" s="110">
        <v>30759.10343429364</v>
      </c>
      <c r="K50" s="110">
        <v>37119.939226750306</v>
      </c>
      <c r="L50" s="110">
        <v>5970.1794110864275</v>
      </c>
      <c r="M50" s="110">
        <v>10782.876502391642</v>
      </c>
      <c r="N50" s="110">
        <v>12363.342541636752</v>
      </c>
    </row>
    <row r="51" spans="1:14">
      <c r="A51" s="39"/>
      <c r="B51" s="39"/>
    </row>
    <row r="52" spans="1:14">
      <c r="A52" s="40" t="s">
        <v>56</v>
      </c>
      <c r="B52" s="40" t="s">
        <v>55</v>
      </c>
      <c r="C52" s="51">
        <v>1852053.1925542615</v>
      </c>
      <c r="D52" s="51"/>
      <c r="E52" s="51">
        <v>607262.91593615257</v>
      </c>
      <c r="F52" s="51">
        <v>596223.86970060144</v>
      </c>
      <c r="G52" s="51">
        <v>401714.37978017557</v>
      </c>
      <c r="H52" s="51">
        <v>369441.47168227361</v>
      </c>
      <c r="I52" s="51">
        <v>348827.37577553536</v>
      </c>
      <c r="J52" s="51">
        <v>320579.16098021745</v>
      </c>
      <c r="K52" s="51">
        <v>254223.07287301312</v>
      </c>
      <c r="L52" s="51">
        <v>186501.35902529609</v>
      </c>
      <c r="M52" s="51">
        <v>184604.48695081187</v>
      </c>
      <c r="N52" s="51">
        <v>76111.805699927951</v>
      </c>
    </row>
    <row r="53" spans="1:14">
      <c r="A53" s="39" t="s">
        <v>59</v>
      </c>
      <c r="B53" s="39" t="s">
        <v>60</v>
      </c>
      <c r="C53" s="110">
        <v>122010.10991090977</v>
      </c>
      <c r="D53" s="110"/>
      <c r="E53" s="110">
        <v>34284.03673765956</v>
      </c>
      <c r="F53" s="110">
        <v>44357.214366440654</v>
      </c>
      <c r="G53" s="110">
        <v>25364.990003725423</v>
      </c>
      <c r="H53" s="110">
        <v>10293.736313526699</v>
      </c>
      <c r="I53" s="110">
        <v>18848.636819431445</v>
      </c>
      <c r="J53" s="110">
        <v>13815.923211429448</v>
      </c>
      <c r="K53" s="110">
        <v>12622.243048844413</v>
      </c>
      <c r="L53" s="110">
        <v>7730.8673983672852</v>
      </c>
      <c r="M53" s="110">
        <v>8820.3769443191031</v>
      </c>
      <c r="N53" s="110">
        <v>8231.9577906961349</v>
      </c>
    </row>
    <row r="54" spans="1:14">
      <c r="A54" s="39"/>
      <c r="B54" s="39" t="s">
        <v>61</v>
      </c>
      <c r="C54" s="110">
        <v>271830.59022490977</v>
      </c>
      <c r="D54" s="110"/>
      <c r="E54" s="110">
        <v>91375.50653094142</v>
      </c>
      <c r="F54" s="110">
        <v>76225.723146456818</v>
      </c>
      <c r="G54" s="110">
        <v>34534.756780128308</v>
      </c>
      <c r="H54" s="110">
        <v>26670.32530374658</v>
      </c>
      <c r="I54" s="110">
        <v>54310.845007874806</v>
      </c>
      <c r="J54" s="110">
        <v>42640.692311189632</v>
      </c>
      <c r="K54" s="110">
        <v>40439.930877312065</v>
      </c>
      <c r="L54" s="110">
        <v>38753.741303241528</v>
      </c>
      <c r="M54" s="110">
        <v>29509.260282192095</v>
      </c>
      <c r="N54" s="110">
        <v>15644.671723487892</v>
      </c>
    </row>
    <row r="55" spans="1:14">
      <c r="A55" s="39"/>
      <c r="B55" s="39" t="s">
        <v>62</v>
      </c>
      <c r="C55" s="110">
        <v>429149.39521257201</v>
      </c>
      <c r="D55" s="110"/>
      <c r="E55" s="110">
        <v>139360.11777665996</v>
      </c>
      <c r="F55" s="110">
        <v>101968.5038819178</v>
      </c>
      <c r="G55" s="110">
        <v>101144.88237627433</v>
      </c>
      <c r="H55" s="110">
        <v>86245.692648084718</v>
      </c>
      <c r="I55" s="110">
        <v>93657.570777602436</v>
      </c>
      <c r="J55" s="110">
        <v>96810.19986825838</v>
      </c>
      <c r="K55" s="110">
        <v>74678.231963465034</v>
      </c>
      <c r="L55" s="110">
        <v>71690.217620958414</v>
      </c>
      <c r="M55" s="110">
        <v>63458.013520907305</v>
      </c>
      <c r="N55" s="110">
        <v>19089.724257102458</v>
      </c>
    </row>
    <row r="56" spans="1:14">
      <c r="A56" s="39"/>
      <c r="B56" s="39" t="s">
        <v>63</v>
      </c>
      <c r="C56" s="110">
        <v>366263.03070197685</v>
      </c>
      <c r="D56" s="110"/>
      <c r="E56" s="110">
        <v>132468.34866166898</v>
      </c>
      <c r="F56" s="110">
        <v>110979.50333003997</v>
      </c>
      <c r="G56" s="110">
        <v>80171.445403791833</v>
      </c>
      <c r="H56" s="110">
        <v>67515.827199985375</v>
      </c>
      <c r="I56" s="110">
        <v>79045.648861096823</v>
      </c>
      <c r="J56" s="110">
        <v>75614.74018368595</v>
      </c>
      <c r="K56" s="110">
        <v>46814.053196369525</v>
      </c>
      <c r="L56" s="110">
        <v>41251.131934795601</v>
      </c>
      <c r="M56" s="110">
        <v>39150.17583775847</v>
      </c>
      <c r="N56" s="110">
        <v>13235.287447265153</v>
      </c>
    </row>
    <row r="57" spans="1:14">
      <c r="A57" s="39"/>
      <c r="B57" s="39" t="s">
        <v>64</v>
      </c>
      <c r="C57" s="110">
        <v>291156.04597219115</v>
      </c>
      <c r="D57" s="110"/>
      <c r="E57" s="110">
        <v>113273.3466657543</v>
      </c>
      <c r="F57" s="110">
        <v>114405.29752231373</v>
      </c>
      <c r="G57" s="110">
        <v>64319.333350454726</v>
      </c>
      <c r="H57" s="110">
        <v>52400.571514038726</v>
      </c>
      <c r="I57" s="110">
        <v>49555.582346657684</v>
      </c>
      <c r="J57" s="110">
        <v>54843.543200203108</v>
      </c>
      <c r="K57" s="110">
        <v>31863.1313526462</v>
      </c>
      <c r="L57" s="110">
        <v>17054.316227265543</v>
      </c>
      <c r="M57" s="110">
        <v>23680.288354843484</v>
      </c>
      <c r="N57" s="110">
        <v>7847.4357641246997</v>
      </c>
    </row>
    <row r="58" spans="1:14">
      <c r="A58" s="39"/>
      <c r="B58" s="39" t="s">
        <v>65</v>
      </c>
      <c r="C58" s="110">
        <v>172796.74025785195</v>
      </c>
      <c r="D58" s="110"/>
      <c r="E58" s="110">
        <v>52647.939647508239</v>
      </c>
      <c r="F58" s="110">
        <v>65885.335484938449</v>
      </c>
      <c r="G58" s="110">
        <v>44571.398266335949</v>
      </c>
      <c r="H58" s="110">
        <v>53661.263742061703</v>
      </c>
      <c r="I58" s="110">
        <v>25912.657898136142</v>
      </c>
      <c r="J58" s="110">
        <v>16348.302810887921</v>
      </c>
      <c r="K58" s="110">
        <v>20875.040853520924</v>
      </c>
      <c r="L58" s="110">
        <v>6655.5668503752877</v>
      </c>
      <c r="M58" s="110">
        <v>12014.461197593708</v>
      </c>
      <c r="N58" s="110">
        <v>6035.7670892321685</v>
      </c>
    </row>
    <row r="59" spans="1:14">
      <c r="A59" s="39"/>
      <c r="B59" s="39" t="s">
        <v>66</v>
      </c>
      <c r="C59" s="110">
        <v>198847.28027384393</v>
      </c>
      <c r="D59" s="110"/>
      <c r="E59" s="110">
        <v>43853.619915960495</v>
      </c>
      <c r="F59" s="110">
        <v>82402.291968495847</v>
      </c>
      <c r="G59" s="110">
        <v>51607.573599465897</v>
      </c>
      <c r="H59" s="110">
        <v>72654.054960830457</v>
      </c>
      <c r="I59" s="110">
        <v>27496.434064736164</v>
      </c>
      <c r="J59" s="110">
        <v>20505.75939456332</v>
      </c>
      <c r="K59" s="110">
        <v>26930.441580854462</v>
      </c>
      <c r="L59" s="110">
        <v>3365.517690292012</v>
      </c>
      <c r="M59" s="110">
        <v>7971.9108131974099</v>
      </c>
      <c r="N59" s="110">
        <v>6026.9616280194714</v>
      </c>
    </row>
    <row r="60" spans="1:14">
      <c r="A60" s="39"/>
      <c r="B60" s="39"/>
    </row>
    <row r="61" spans="1:14">
      <c r="A61" s="40" t="s">
        <v>57</v>
      </c>
      <c r="B61" s="40" t="s">
        <v>55</v>
      </c>
      <c r="C61" s="51">
        <v>1244399.6612313937</v>
      </c>
      <c r="D61" s="51"/>
      <c r="E61" s="51">
        <v>353164.23339624295</v>
      </c>
      <c r="F61" s="51">
        <v>351974.69689457642</v>
      </c>
      <c r="G61" s="51">
        <v>348935.4659943736</v>
      </c>
      <c r="H61" s="51">
        <v>251200.41601936563</v>
      </c>
      <c r="I61" s="51">
        <v>243003.81857713408</v>
      </c>
      <c r="J61" s="51">
        <v>210822.18502496753</v>
      </c>
      <c r="K61" s="51">
        <v>198230.80123565975</v>
      </c>
      <c r="L61" s="51">
        <v>119337.56617710489</v>
      </c>
      <c r="M61" s="51">
        <v>105745.94082188328</v>
      </c>
      <c r="N61" s="51">
        <v>52205.413172534179</v>
      </c>
    </row>
    <row r="62" spans="1:14">
      <c r="A62" s="39" t="s">
        <v>59</v>
      </c>
      <c r="B62" s="39" t="s">
        <v>60</v>
      </c>
      <c r="C62" s="110">
        <v>92443.836387612013</v>
      </c>
      <c r="D62" s="110"/>
      <c r="E62" s="110">
        <v>42283.640022632164</v>
      </c>
      <c r="F62" s="110">
        <v>35286.54091731237</v>
      </c>
      <c r="G62" s="110">
        <v>23527.421234743386</v>
      </c>
      <c r="H62" s="110">
        <v>7200.531235458433</v>
      </c>
      <c r="I62" s="110">
        <v>5193.1207124022258</v>
      </c>
      <c r="J62" s="110">
        <v>5223.2264605468308</v>
      </c>
      <c r="K62" s="110">
        <v>19275.120209994875</v>
      </c>
      <c r="L62" s="110">
        <v>8539.4221406063098</v>
      </c>
      <c r="M62" s="110">
        <v>1674.3254735433291</v>
      </c>
      <c r="N62" s="110">
        <v>3916.8562884165731</v>
      </c>
    </row>
    <row r="63" spans="1:14">
      <c r="A63" s="39"/>
      <c r="B63" s="39" t="s">
        <v>61</v>
      </c>
      <c r="C63" s="110">
        <v>196584.64907912831</v>
      </c>
      <c r="D63" s="110"/>
      <c r="E63" s="110">
        <v>79247.967764091693</v>
      </c>
      <c r="F63" s="110">
        <v>50536.587731744206</v>
      </c>
      <c r="G63" s="110">
        <v>34135.554360105649</v>
      </c>
      <c r="H63" s="110">
        <v>30191.52401953415</v>
      </c>
      <c r="I63" s="110">
        <v>30551.453601906345</v>
      </c>
      <c r="J63" s="110">
        <v>24099.438420089828</v>
      </c>
      <c r="K63" s="110">
        <v>29142.00012071502</v>
      </c>
      <c r="L63" s="110">
        <v>20139.290549702477</v>
      </c>
      <c r="M63" s="110">
        <v>14247.374513556755</v>
      </c>
      <c r="N63" s="110">
        <v>5178.9299299904123</v>
      </c>
    </row>
    <row r="64" spans="1:14">
      <c r="A64" s="39"/>
      <c r="B64" s="39" t="s">
        <v>62</v>
      </c>
      <c r="C64" s="110">
        <v>279579.43312257493</v>
      </c>
      <c r="D64" s="110"/>
      <c r="E64" s="110">
        <v>84093.631531987005</v>
      </c>
      <c r="F64" s="110">
        <v>68402.098063697675</v>
      </c>
      <c r="G64" s="110">
        <v>64883.879406605462</v>
      </c>
      <c r="H64" s="110">
        <v>59128.029099474421</v>
      </c>
      <c r="I64" s="110">
        <v>50122.751196844343</v>
      </c>
      <c r="J64" s="110">
        <v>48454.080991558483</v>
      </c>
      <c r="K64" s="110">
        <v>54953.258191859801</v>
      </c>
      <c r="L64" s="110">
        <v>44356.98329737741</v>
      </c>
      <c r="M64" s="110">
        <v>36819.374940559726</v>
      </c>
      <c r="N64" s="110">
        <v>11888.238000471081</v>
      </c>
    </row>
    <row r="65" spans="1:14">
      <c r="A65" s="39"/>
      <c r="B65" s="39" t="s">
        <v>63</v>
      </c>
      <c r="C65" s="110">
        <v>271347.50774594635</v>
      </c>
      <c r="D65" s="110"/>
      <c r="E65" s="110">
        <v>72088.468197774884</v>
      </c>
      <c r="F65" s="110">
        <v>63380.277131187882</v>
      </c>
      <c r="G65" s="110">
        <v>81592.950826012559</v>
      </c>
      <c r="H65" s="110">
        <v>48067.780561701722</v>
      </c>
      <c r="I65" s="110">
        <v>78684.359219394799</v>
      </c>
      <c r="J65" s="110">
        <v>58645.744509260629</v>
      </c>
      <c r="K65" s="110">
        <v>40785.346487353941</v>
      </c>
      <c r="L65" s="110">
        <v>24826.729204711752</v>
      </c>
      <c r="M65" s="110">
        <v>28064.64108953629</v>
      </c>
      <c r="N65" s="110">
        <v>11204.946749737144</v>
      </c>
    </row>
    <row r="66" spans="1:14">
      <c r="A66" s="39"/>
      <c r="B66" s="39" t="s">
        <v>64</v>
      </c>
      <c r="C66" s="110">
        <v>211659.79844947753</v>
      </c>
      <c r="D66" s="110"/>
      <c r="E66" s="110">
        <v>37263.712835501094</v>
      </c>
      <c r="F66" s="110">
        <v>74865.155342368336</v>
      </c>
      <c r="G66" s="110">
        <v>78891.791491384836</v>
      </c>
      <c r="H66" s="110">
        <v>46265.736114277133</v>
      </c>
      <c r="I66" s="110">
        <v>53592.885343441681</v>
      </c>
      <c r="J66" s="110">
        <v>53961.507829024638</v>
      </c>
      <c r="K66" s="110">
        <v>29350.241469185832</v>
      </c>
      <c r="L66" s="110">
        <v>14061.395282256643</v>
      </c>
      <c r="M66" s="110">
        <v>18406.795056796713</v>
      </c>
      <c r="N66" s="110">
        <v>8812.9458718574333</v>
      </c>
    </row>
    <row r="67" spans="1:14">
      <c r="A67" s="39"/>
      <c r="B67" s="39" t="s">
        <v>65</v>
      </c>
      <c r="C67" s="110">
        <v>101058.8342125264</v>
      </c>
      <c r="D67" s="110"/>
      <c r="E67" s="110">
        <v>18746.855632581814</v>
      </c>
      <c r="F67" s="110">
        <v>35021.784846930903</v>
      </c>
      <c r="G67" s="110">
        <v>35259.832083789384</v>
      </c>
      <c r="H67" s="110">
        <v>31087.686187590913</v>
      </c>
      <c r="I67" s="110">
        <v>10924.276024929248</v>
      </c>
      <c r="J67" s="110">
        <v>10184.8427747568</v>
      </c>
      <c r="K67" s="110">
        <v>14535.337110654464</v>
      </c>
      <c r="L67" s="110">
        <v>4809.08398165586</v>
      </c>
      <c r="M67" s="110">
        <v>3722.4640586962264</v>
      </c>
      <c r="N67" s="110">
        <v>4867.1154184442503</v>
      </c>
    </row>
    <row r="68" spans="1:14">
      <c r="A68" s="39"/>
      <c r="B68" s="39" t="s">
        <v>66</v>
      </c>
      <c r="C68" s="110">
        <v>91725.602234123784</v>
      </c>
      <c r="D68" s="110"/>
      <c r="E68" s="110">
        <v>19439.957411673913</v>
      </c>
      <c r="F68" s="110">
        <v>24482.252861334382</v>
      </c>
      <c r="G68" s="110">
        <v>30644.03659173119</v>
      </c>
      <c r="H68" s="110">
        <v>29259.128801328668</v>
      </c>
      <c r="I68" s="110">
        <v>13934.972478214986</v>
      </c>
      <c r="J68" s="110">
        <v>10253.344039730309</v>
      </c>
      <c r="K68" s="110">
        <v>10189.497645895846</v>
      </c>
      <c r="L68" s="110">
        <v>2604.661720794415</v>
      </c>
      <c r="M68" s="110">
        <v>2810.9656891942345</v>
      </c>
      <c r="N68" s="110">
        <v>6336.3809136172777</v>
      </c>
    </row>
    <row r="69" spans="1:14">
      <c r="A69" s="132"/>
      <c r="B69" s="132"/>
      <c r="C69" s="133"/>
      <c r="D69" s="133"/>
      <c r="E69" s="133"/>
      <c r="F69" s="133"/>
      <c r="G69" s="133"/>
      <c r="H69" s="133"/>
      <c r="I69" s="133"/>
      <c r="J69" s="133"/>
      <c r="K69" s="133"/>
      <c r="L69" s="133"/>
      <c r="M69" s="133"/>
      <c r="N69" s="133"/>
    </row>
    <row r="70" spans="1:14">
      <c r="A70" s="16" t="s">
        <v>433</v>
      </c>
    </row>
    <row r="71" spans="1:14">
      <c r="A71" s="29" t="s">
        <v>147</v>
      </c>
    </row>
    <row r="72" spans="1:14">
      <c r="A72" s="16" t="s">
        <v>119</v>
      </c>
    </row>
    <row r="73" spans="1:14">
      <c r="A73" s="16" t="s">
        <v>120</v>
      </c>
    </row>
    <row r="74" spans="1:14">
      <c r="A74" s="29" t="s">
        <v>118</v>
      </c>
    </row>
    <row r="75" spans="1:14">
      <c r="C75" s="49"/>
      <c r="D75" s="49"/>
      <c r="E75" s="49"/>
      <c r="F75" s="49"/>
      <c r="G75" s="49"/>
      <c r="H75" s="49"/>
      <c r="I75" s="49"/>
      <c r="J75" s="49"/>
      <c r="K75" s="49"/>
      <c r="L75" s="49"/>
      <c r="M75" s="49"/>
      <c r="N75" s="49"/>
    </row>
    <row r="76" spans="1:14">
      <c r="C76" s="49"/>
      <c r="D76" s="49"/>
      <c r="E76" s="49"/>
      <c r="F76" s="49"/>
      <c r="G76" s="49"/>
      <c r="H76" s="49"/>
      <c r="I76" s="49"/>
      <c r="J76" s="49"/>
      <c r="K76" s="49"/>
      <c r="L76" s="49"/>
      <c r="M76" s="49"/>
      <c r="N76" s="49"/>
    </row>
    <row r="77" spans="1:14">
      <c r="C77" s="49"/>
      <c r="D77" s="49"/>
      <c r="E77" s="49"/>
      <c r="F77" s="49"/>
      <c r="G77" s="49"/>
      <c r="H77" s="49"/>
      <c r="I77" s="49"/>
      <c r="J77" s="49"/>
      <c r="K77" s="49"/>
      <c r="L77" s="49"/>
      <c r="M77" s="49"/>
      <c r="N77" s="49"/>
    </row>
    <row r="78" spans="1:14">
      <c r="C78" s="49"/>
      <c r="D78" s="49"/>
      <c r="E78" s="49"/>
      <c r="F78" s="49"/>
      <c r="G78" s="49"/>
      <c r="H78" s="49"/>
      <c r="I78" s="49"/>
      <c r="J78" s="49"/>
      <c r="K78" s="49"/>
      <c r="L78" s="49"/>
      <c r="M78" s="49"/>
      <c r="N78" s="49"/>
    </row>
    <row r="79" spans="1:14">
      <c r="C79" s="49"/>
      <c r="D79" s="49"/>
      <c r="E79" s="49"/>
      <c r="F79" s="49"/>
      <c r="G79" s="49"/>
      <c r="H79" s="49"/>
      <c r="I79" s="49"/>
      <c r="J79" s="49"/>
      <c r="K79" s="49"/>
      <c r="L79" s="49"/>
      <c r="M79" s="49"/>
      <c r="N79" s="49"/>
    </row>
    <row r="80" spans="1:14">
      <c r="C80" s="49"/>
      <c r="D80" s="49"/>
      <c r="E80" s="49"/>
      <c r="F80" s="49"/>
      <c r="G80" s="49"/>
      <c r="H80" s="49"/>
      <c r="I80" s="49"/>
      <c r="J80" s="49"/>
      <c r="K80" s="49"/>
      <c r="L80" s="49"/>
      <c r="M80" s="49"/>
      <c r="N80" s="49"/>
    </row>
    <row r="81" spans="3:14">
      <c r="C81" s="49"/>
      <c r="D81" s="49"/>
      <c r="E81" s="49"/>
      <c r="F81" s="49"/>
      <c r="G81" s="49"/>
      <c r="H81" s="49"/>
      <c r="I81" s="49"/>
      <c r="J81" s="49"/>
      <c r="K81" s="49"/>
      <c r="L81" s="49"/>
      <c r="M81" s="49"/>
      <c r="N81" s="49"/>
    </row>
    <row r="82" spans="3:14">
      <c r="C82" s="49"/>
      <c r="D82" s="49"/>
      <c r="E82" s="49"/>
      <c r="F82" s="49"/>
      <c r="G82" s="49"/>
      <c r="H82" s="49"/>
      <c r="I82" s="49"/>
      <c r="J82" s="49"/>
      <c r="K82" s="49"/>
      <c r="L82" s="49"/>
      <c r="M82" s="49"/>
      <c r="N82" s="49"/>
    </row>
    <row r="83" spans="3:14">
      <c r="C83" s="49"/>
      <c r="D83" s="49"/>
      <c r="E83" s="49"/>
      <c r="F83" s="49"/>
      <c r="G83" s="49"/>
      <c r="H83" s="49"/>
      <c r="I83" s="49"/>
      <c r="J83" s="49"/>
      <c r="K83" s="49"/>
      <c r="L83" s="49"/>
      <c r="M83" s="49"/>
      <c r="N83" s="49"/>
    </row>
    <row r="84" spans="3:14">
      <c r="C84" s="49"/>
      <c r="D84" s="49"/>
      <c r="E84" s="49"/>
      <c r="F84" s="49"/>
      <c r="G84" s="49"/>
      <c r="H84" s="49"/>
      <c r="I84" s="49"/>
      <c r="J84" s="49"/>
      <c r="K84" s="49"/>
      <c r="L84" s="49"/>
      <c r="M84" s="49"/>
      <c r="N84" s="49"/>
    </row>
    <row r="85" spans="3:14">
      <c r="C85" s="49"/>
      <c r="D85" s="49"/>
      <c r="E85" s="49"/>
      <c r="F85" s="49"/>
      <c r="G85" s="49"/>
      <c r="H85" s="49"/>
      <c r="I85" s="49"/>
      <c r="J85" s="49"/>
      <c r="K85" s="49"/>
      <c r="L85" s="49"/>
      <c r="M85" s="49"/>
      <c r="N85" s="49"/>
    </row>
    <row r="86" spans="3:14">
      <c r="C86" s="49"/>
      <c r="D86" s="49"/>
      <c r="E86" s="49"/>
      <c r="F86" s="49"/>
      <c r="G86" s="49"/>
      <c r="H86" s="49"/>
      <c r="I86" s="49"/>
      <c r="J86" s="49"/>
      <c r="K86" s="49"/>
      <c r="L86" s="49"/>
      <c r="M86" s="49"/>
      <c r="N86" s="49"/>
    </row>
    <row r="87" spans="3:14">
      <c r="C87" s="49"/>
      <c r="D87" s="49"/>
      <c r="E87" s="49"/>
      <c r="F87" s="49"/>
      <c r="G87" s="49"/>
      <c r="H87" s="49"/>
      <c r="I87" s="49"/>
      <c r="J87" s="49"/>
      <c r="K87" s="49"/>
      <c r="L87" s="49"/>
      <c r="M87" s="49"/>
      <c r="N87" s="49"/>
    </row>
    <row r="88" spans="3:14">
      <c r="C88" s="49"/>
      <c r="D88" s="49"/>
      <c r="E88" s="49"/>
      <c r="F88" s="49"/>
      <c r="G88" s="49"/>
      <c r="H88" s="49"/>
      <c r="I88" s="49"/>
      <c r="J88" s="49"/>
      <c r="K88" s="49"/>
      <c r="L88" s="49"/>
      <c r="M88" s="49"/>
      <c r="N88" s="49"/>
    </row>
    <row r="89" spans="3:14">
      <c r="C89" s="49"/>
      <c r="D89" s="49"/>
      <c r="E89" s="49"/>
      <c r="F89" s="49"/>
      <c r="G89" s="49"/>
      <c r="H89" s="49"/>
      <c r="I89" s="49"/>
      <c r="J89" s="49"/>
      <c r="K89" s="49"/>
      <c r="L89" s="49"/>
      <c r="M89" s="49"/>
      <c r="N89" s="49"/>
    </row>
    <row r="90" spans="3:14">
      <c r="C90" s="49"/>
      <c r="D90" s="49"/>
      <c r="E90" s="49"/>
      <c r="F90" s="49"/>
      <c r="G90" s="49"/>
      <c r="H90" s="49"/>
      <c r="I90" s="49"/>
      <c r="J90" s="49"/>
      <c r="K90" s="49"/>
      <c r="L90" s="49"/>
      <c r="M90" s="49"/>
      <c r="N90" s="49"/>
    </row>
    <row r="91" spans="3:14">
      <c r="C91" s="49"/>
      <c r="D91" s="49"/>
      <c r="E91" s="49"/>
      <c r="F91" s="49"/>
      <c r="G91" s="49"/>
      <c r="H91" s="49"/>
      <c r="I91" s="49"/>
      <c r="J91" s="49"/>
      <c r="K91" s="49"/>
      <c r="L91" s="49"/>
      <c r="M91" s="49"/>
      <c r="N91" s="49"/>
    </row>
    <row r="92" spans="3:14">
      <c r="C92" s="49"/>
      <c r="D92" s="49"/>
      <c r="E92" s="49"/>
      <c r="F92" s="49"/>
      <c r="G92" s="49"/>
      <c r="H92" s="49"/>
      <c r="I92" s="49"/>
      <c r="J92" s="49"/>
      <c r="K92" s="49"/>
      <c r="L92" s="49"/>
      <c r="M92" s="49"/>
      <c r="N92" s="49"/>
    </row>
    <row r="93" spans="3:14">
      <c r="C93" s="49"/>
      <c r="D93" s="49"/>
      <c r="E93" s="49"/>
      <c r="F93" s="49"/>
      <c r="G93" s="49"/>
      <c r="H93" s="49"/>
      <c r="I93" s="49"/>
      <c r="J93" s="49"/>
      <c r="K93" s="49"/>
      <c r="L93" s="49"/>
      <c r="M93" s="49"/>
      <c r="N93" s="49"/>
    </row>
    <row r="94" spans="3:14">
      <c r="C94" s="49"/>
      <c r="D94" s="49"/>
      <c r="E94" s="49"/>
      <c r="F94" s="49"/>
      <c r="G94" s="49"/>
      <c r="H94" s="49"/>
      <c r="I94" s="49"/>
      <c r="J94" s="49"/>
      <c r="K94" s="49"/>
      <c r="L94" s="49"/>
      <c r="M94" s="49"/>
      <c r="N94" s="49"/>
    </row>
    <row r="95" spans="3:14">
      <c r="C95" s="49"/>
      <c r="D95" s="49"/>
      <c r="E95" s="49"/>
      <c r="F95" s="49"/>
      <c r="G95" s="49"/>
      <c r="H95" s="49"/>
      <c r="I95" s="49"/>
      <c r="J95" s="49"/>
      <c r="K95" s="49"/>
      <c r="L95" s="49"/>
      <c r="M95" s="49"/>
      <c r="N95" s="49"/>
    </row>
    <row r="96" spans="3:14">
      <c r="C96" s="49"/>
      <c r="D96" s="49"/>
      <c r="E96" s="49"/>
      <c r="F96" s="49"/>
      <c r="G96" s="49"/>
      <c r="H96" s="49"/>
      <c r="I96" s="49"/>
      <c r="J96" s="49"/>
      <c r="K96" s="49"/>
      <c r="L96" s="49"/>
      <c r="M96" s="49"/>
      <c r="N96" s="49"/>
    </row>
    <row r="97" spans="3:14">
      <c r="C97" s="49"/>
      <c r="D97" s="49"/>
      <c r="E97" s="49"/>
      <c r="F97" s="49"/>
      <c r="G97" s="49"/>
      <c r="H97" s="49"/>
      <c r="I97" s="49"/>
      <c r="J97" s="49"/>
      <c r="K97" s="49"/>
      <c r="L97" s="49"/>
      <c r="M97" s="49"/>
      <c r="N97" s="49"/>
    </row>
    <row r="98" spans="3:14">
      <c r="C98" s="49"/>
      <c r="D98" s="49"/>
      <c r="E98" s="49"/>
      <c r="F98" s="49"/>
      <c r="G98" s="49"/>
      <c r="H98" s="49"/>
      <c r="I98" s="49"/>
      <c r="J98" s="49"/>
      <c r="K98" s="49"/>
      <c r="L98" s="49"/>
      <c r="M98" s="49"/>
      <c r="N98" s="49"/>
    </row>
    <row r="99" spans="3:14">
      <c r="C99" s="49"/>
      <c r="D99" s="49"/>
      <c r="E99" s="49"/>
      <c r="F99" s="49"/>
      <c r="G99" s="49"/>
      <c r="H99" s="49"/>
      <c r="I99" s="49"/>
      <c r="J99" s="49"/>
      <c r="K99" s="49"/>
      <c r="L99" s="49"/>
      <c r="M99" s="49"/>
      <c r="N99" s="49"/>
    </row>
    <row r="100" spans="3:14">
      <c r="C100" s="49"/>
      <c r="D100" s="49"/>
      <c r="E100" s="49"/>
      <c r="F100" s="49"/>
      <c r="G100" s="49"/>
      <c r="H100" s="49"/>
      <c r="I100" s="49"/>
      <c r="J100" s="49"/>
      <c r="K100" s="49"/>
      <c r="L100" s="49"/>
      <c r="M100" s="49"/>
      <c r="N100" s="49"/>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C43&lt;'34'!$C$104</xm:f>
            <x14:dxf>
              <font>
                <color rgb="FFFF0000"/>
              </font>
              <numFmt numFmtId="172" formatCode="\*\*0.0%"/>
            </x14:dxf>
          </x14:cfRule>
          <x14:cfRule type="expression" priority="4" id="{083B8A94-26AF-443D-838A-B80AF58F6AD1}">
            <xm:f>C43&lt;'34'!$C$103</xm:f>
            <x14:dxf>
              <font>
                <color rgb="FF00B050"/>
              </font>
              <numFmt numFmtId="171" formatCode="\*0.0%"/>
            </x14:dxf>
          </x14:cfRule>
          <xm:sqref>C16:N41</xm:sqref>
        </x14:conditionalFormatting>
        <x14:conditionalFormatting xmlns:xm="http://schemas.microsoft.com/office/excel/2006/main">
          <x14:cfRule type="expression" priority="1" id="{8F76DDB0-0D60-4224-8B6C-8729B9047276}">
            <xm:f>C43&lt;'34'!$C$104</xm:f>
            <x14:dxf>
              <font>
                <color rgb="FFFF0000"/>
              </font>
              <numFmt numFmtId="170" formatCode="\*\*#,###,###,##0"/>
            </x14:dxf>
          </x14:cfRule>
          <x14:cfRule type="expression" priority="2" id="{19C17E40-95AA-4A13-B548-07318F0ACE24}">
            <xm:f>C43&lt;'34'!$C$103</xm:f>
            <x14:dxf>
              <font>
                <color rgb="FF00B050"/>
              </font>
              <numFmt numFmtId="169" formatCode="\*#,###,###,##0"/>
            </x14:dxf>
          </x14:cfRule>
          <xm:sqref>C43:N68</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75"/>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2" width="15.7109375" style="1" customWidth="1"/>
    <col min="3" max="3" width="13" style="1" customWidth="1"/>
    <col min="4" max="4" width="7" style="1" customWidth="1"/>
    <col min="5" max="14" width="19" style="1" customWidth="1"/>
    <col min="15" max="16384" width="8.85546875" style="1"/>
  </cols>
  <sheetData>
    <row r="1" spans="1:14">
      <c r="A1" s="34"/>
      <c r="B1" s="34"/>
      <c r="C1" s="34"/>
      <c r="D1" s="34"/>
      <c r="E1" s="34"/>
      <c r="F1" s="34"/>
      <c r="G1" s="34"/>
      <c r="H1" s="34"/>
      <c r="I1" s="34"/>
      <c r="J1" s="34"/>
      <c r="K1" s="34"/>
      <c r="L1" s="34"/>
      <c r="M1" s="34"/>
      <c r="N1" s="34"/>
    </row>
    <row r="2" spans="1:14">
      <c r="A2" s="34"/>
      <c r="B2" s="34"/>
      <c r="C2" s="34"/>
      <c r="D2" s="34"/>
      <c r="E2" s="34"/>
      <c r="F2" s="34"/>
      <c r="G2" s="34"/>
      <c r="H2" s="34"/>
      <c r="I2" s="34"/>
      <c r="J2" s="34"/>
      <c r="K2" s="34"/>
      <c r="L2" s="34"/>
      <c r="M2" s="34"/>
      <c r="N2" s="34"/>
    </row>
    <row r="3" spans="1:14">
      <c r="A3" s="34"/>
      <c r="B3" s="34"/>
      <c r="C3" s="34"/>
      <c r="D3" s="34"/>
      <c r="E3" s="34"/>
      <c r="F3" s="34"/>
      <c r="G3" s="34"/>
      <c r="H3" s="34"/>
      <c r="I3" s="34"/>
      <c r="J3" s="34"/>
      <c r="K3" s="34"/>
      <c r="L3" s="34"/>
      <c r="M3" s="34"/>
      <c r="N3" s="34"/>
    </row>
    <row r="4" spans="1:14">
      <c r="A4" s="34"/>
      <c r="B4" s="34"/>
      <c r="C4" s="34"/>
      <c r="D4" s="34"/>
      <c r="E4" s="34"/>
      <c r="F4" s="34"/>
      <c r="G4" s="34"/>
      <c r="H4" s="34"/>
      <c r="I4" s="34"/>
      <c r="J4" s="34"/>
      <c r="K4" s="34"/>
      <c r="L4" s="34"/>
      <c r="M4" s="34"/>
      <c r="N4" s="34"/>
    </row>
    <row r="5" spans="1:14">
      <c r="A5" s="34"/>
      <c r="B5" s="34"/>
      <c r="C5" s="34"/>
      <c r="D5" s="34"/>
      <c r="E5" s="34"/>
      <c r="F5" s="34"/>
      <c r="G5" s="34"/>
      <c r="H5" s="34"/>
      <c r="I5" s="34"/>
      <c r="J5" s="34"/>
      <c r="K5" s="34"/>
      <c r="L5" s="34"/>
      <c r="M5" s="34"/>
      <c r="N5" s="34"/>
    </row>
    <row r="6" spans="1:14">
      <c r="A6" s="34"/>
      <c r="B6" s="34"/>
      <c r="C6" s="34"/>
      <c r="D6" s="34"/>
      <c r="E6" s="34"/>
      <c r="F6" s="34"/>
      <c r="G6" s="34"/>
      <c r="H6" s="34"/>
      <c r="I6" s="34"/>
      <c r="J6" s="34"/>
      <c r="K6" s="34"/>
      <c r="L6" s="34"/>
      <c r="M6" s="34"/>
      <c r="N6" s="34"/>
    </row>
    <row r="7" spans="1:14">
      <c r="A7" s="34"/>
      <c r="B7" s="34"/>
      <c r="C7" s="34"/>
      <c r="D7" s="34"/>
      <c r="E7" s="34"/>
      <c r="F7" s="34"/>
      <c r="G7" s="34"/>
      <c r="H7" s="34"/>
      <c r="I7" s="34"/>
      <c r="J7" s="34"/>
      <c r="K7" s="34"/>
      <c r="L7" s="34"/>
      <c r="M7" s="34"/>
      <c r="N7" s="34"/>
    </row>
    <row r="8" spans="1:14">
      <c r="A8" s="35" t="s">
        <v>0</v>
      </c>
      <c r="B8" s="34"/>
      <c r="C8" s="34"/>
      <c r="D8" s="34"/>
      <c r="E8" s="34"/>
      <c r="F8" s="34"/>
      <c r="G8" s="34"/>
      <c r="H8" s="34"/>
      <c r="I8" s="34"/>
      <c r="J8" s="34"/>
      <c r="K8" s="34"/>
      <c r="L8" s="34"/>
      <c r="M8" s="34"/>
      <c r="N8" s="34"/>
    </row>
    <row r="9" spans="1:14">
      <c r="A9" s="34" t="s">
        <v>1</v>
      </c>
      <c r="B9" s="34"/>
      <c r="C9" s="35" t="s">
        <v>2</v>
      </c>
      <c r="D9" s="35"/>
      <c r="E9" s="34"/>
      <c r="F9" s="34"/>
      <c r="G9" s="34"/>
      <c r="H9" s="34"/>
      <c r="I9" s="34"/>
      <c r="J9" s="34"/>
      <c r="K9" s="34"/>
      <c r="L9" s="34"/>
      <c r="M9" s="34"/>
      <c r="N9" s="34"/>
    </row>
    <row r="10" spans="1:14">
      <c r="A10" s="34" t="s">
        <v>47</v>
      </c>
      <c r="B10" s="34"/>
      <c r="C10" s="36">
        <v>25</v>
      </c>
      <c r="D10" s="36"/>
      <c r="E10" s="34"/>
      <c r="F10" s="34"/>
      <c r="G10" s="34"/>
      <c r="H10" s="34"/>
      <c r="I10" s="34"/>
      <c r="J10" s="34"/>
      <c r="K10" s="34"/>
      <c r="L10" s="34"/>
      <c r="M10" s="34"/>
      <c r="N10" s="34"/>
    </row>
    <row r="11" spans="1:14">
      <c r="A11" s="34" t="s">
        <v>3</v>
      </c>
      <c r="B11" s="34"/>
      <c r="C11" s="35" t="s">
        <v>434</v>
      </c>
      <c r="D11" s="35"/>
      <c r="E11" s="34"/>
      <c r="F11" s="34"/>
      <c r="G11" s="34"/>
      <c r="H11" s="34"/>
      <c r="I11" s="34"/>
      <c r="J11" s="34"/>
      <c r="K11" s="34"/>
      <c r="L11" s="34"/>
      <c r="M11" s="34"/>
      <c r="N11" s="34"/>
    </row>
    <row r="12" spans="1:14">
      <c r="A12" s="130" t="s">
        <v>48</v>
      </c>
      <c r="B12" s="130"/>
      <c r="C12" s="131" t="s">
        <v>49</v>
      </c>
      <c r="D12" s="131"/>
      <c r="E12" s="130"/>
      <c r="F12" s="130"/>
      <c r="G12" s="130"/>
      <c r="H12" s="130"/>
      <c r="I12" s="130"/>
      <c r="J12" s="130"/>
      <c r="K12" s="130"/>
      <c r="L12" s="130"/>
      <c r="M12" s="130"/>
      <c r="N12" s="130"/>
    </row>
    <row r="13" spans="1:14" s="97" customFormat="1" ht="24.95" customHeight="1">
      <c r="A13" s="103"/>
      <c r="B13" s="103"/>
      <c r="C13" s="96"/>
      <c r="D13" s="96"/>
      <c r="E13" s="155" t="s">
        <v>435</v>
      </c>
      <c r="F13" s="155"/>
      <c r="G13" s="155"/>
      <c r="H13" s="155"/>
      <c r="I13" s="155"/>
      <c r="J13" s="155"/>
      <c r="K13" s="155"/>
      <c r="L13" s="155"/>
      <c r="M13" s="155"/>
      <c r="N13" s="155"/>
    </row>
    <row r="14" spans="1:14" s="6" customFormat="1" ht="47.25">
      <c r="A14" s="45"/>
      <c r="B14" s="45"/>
      <c r="C14" s="69" t="s">
        <v>436</v>
      </c>
      <c r="D14" s="69"/>
      <c r="E14" s="69" t="s">
        <v>424</v>
      </c>
      <c r="F14" s="69" t="s">
        <v>423</v>
      </c>
      <c r="G14" s="69" t="s">
        <v>425</v>
      </c>
      <c r="H14" s="69" t="s">
        <v>426</v>
      </c>
      <c r="I14" s="69" t="s">
        <v>427</v>
      </c>
      <c r="J14" s="69" t="s">
        <v>428</v>
      </c>
      <c r="K14" s="69" t="s">
        <v>429</v>
      </c>
      <c r="L14" s="69" t="s">
        <v>430</v>
      </c>
      <c r="M14" s="69" t="s">
        <v>431</v>
      </c>
      <c r="N14" s="69" t="s">
        <v>88</v>
      </c>
    </row>
    <row r="15" spans="1:14">
      <c r="A15" s="72"/>
      <c r="B15" s="72"/>
      <c r="C15" s="156" t="s">
        <v>143</v>
      </c>
      <c r="D15" s="156"/>
      <c r="E15" s="156"/>
      <c r="F15" s="156"/>
      <c r="G15" s="156"/>
      <c r="H15" s="156"/>
      <c r="I15" s="156"/>
      <c r="J15" s="156"/>
      <c r="K15" s="156"/>
      <c r="L15" s="156"/>
      <c r="M15" s="156"/>
      <c r="N15" s="156"/>
    </row>
    <row r="16" spans="1:14">
      <c r="A16" s="40" t="s">
        <v>144</v>
      </c>
      <c r="B16" s="40" t="s">
        <v>55</v>
      </c>
      <c r="C16" s="33">
        <v>0.12617042499515468</v>
      </c>
      <c r="D16" s="33"/>
      <c r="E16" s="33">
        <v>3.917619396023931E-2</v>
      </c>
      <c r="F16" s="33">
        <v>3.7493823342805446E-2</v>
      </c>
      <c r="G16" s="33">
        <v>3.2766816040957839E-2</v>
      </c>
      <c r="H16" s="33">
        <v>2.6512734581818003E-2</v>
      </c>
      <c r="I16" s="33">
        <v>2.4624701447561813E-2</v>
      </c>
      <c r="J16" s="33">
        <v>2.2249813643107564E-2</v>
      </c>
      <c r="K16" s="33">
        <v>1.8968988002483703E-2</v>
      </c>
      <c r="L16" s="33">
        <v>1.1911167281774626E-2</v>
      </c>
      <c r="M16" s="33">
        <v>1.1878440428488183E-2</v>
      </c>
      <c r="N16" s="33">
        <v>5.1157058799399299E-3</v>
      </c>
    </row>
    <row r="17" spans="1:14">
      <c r="A17" s="39" t="s">
        <v>59</v>
      </c>
      <c r="B17" s="39" t="s">
        <v>60</v>
      </c>
      <c r="C17" s="108">
        <v>0.18521632305042171</v>
      </c>
      <c r="D17" s="108"/>
      <c r="E17" s="108">
        <v>6.8568915390500584E-2</v>
      </c>
      <c r="F17" s="108">
        <v>6.686054589416883E-2</v>
      </c>
      <c r="G17" s="108">
        <v>4.5502483854535598E-2</v>
      </c>
      <c r="H17" s="108">
        <v>1.4245426376201903E-2</v>
      </c>
      <c r="I17" s="108">
        <v>2.1958818064004498E-2</v>
      </c>
      <c r="J17" s="108">
        <v>1.6037547466137534E-2</v>
      </c>
      <c r="K17" s="108">
        <v>2.5757304537995709E-2</v>
      </c>
      <c r="L17" s="108">
        <v>9.6591103150964388E-3</v>
      </c>
      <c r="M17" s="108">
        <v>1.0820524513292407E-2</v>
      </c>
      <c r="N17" s="108">
        <v>9.6776489499648191E-3</v>
      </c>
    </row>
    <row r="18" spans="1:14">
      <c r="A18" s="39"/>
      <c r="B18" s="39" t="s">
        <v>61</v>
      </c>
      <c r="C18" s="108">
        <v>0.15802979142276297</v>
      </c>
      <c r="D18" s="108"/>
      <c r="E18" s="108">
        <v>4.2750463658312393E-2</v>
      </c>
      <c r="F18" s="108">
        <v>5.2873899451079738E-2</v>
      </c>
      <c r="G18" s="108">
        <v>2.7428102064460284E-2</v>
      </c>
      <c r="H18" s="108">
        <v>1.9003105157200936E-2</v>
      </c>
      <c r="I18" s="108">
        <v>2.8984445989894733E-2</v>
      </c>
      <c r="J18" s="108">
        <v>2.3897040472740522E-2</v>
      </c>
      <c r="K18" s="108">
        <v>2.6142372692282045E-2</v>
      </c>
      <c r="L18" s="108">
        <v>1.9593052345122861E-2</v>
      </c>
      <c r="M18" s="108">
        <v>1.444215517976803E-2</v>
      </c>
      <c r="N18" s="108">
        <v>6.9145356237633425E-3</v>
      </c>
    </row>
    <row r="19" spans="1:14">
      <c r="A19" s="39"/>
      <c r="B19" s="39" t="s">
        <v>62</v>
      </c>
      <c r="C19" s="108">
        <v>0.15778207770381197</v>
      </c>
      <c r="D19" s="108"/>
      <c r="E19" s="108">
        <v>3.8801877951675001E-2</v>
      </c>
      <c r="F19" s="108">
        <v>4.846853427784243E-2</v>
      </c>
      <c r="G19" s="108">
        <v>3.9109263201768031E-2</v>
      </c>
      <c r="H19" s="108">
        <v>3.4386793600937535E-2</v>
      </c>
      <c r="I19" s="108">
        <v>3.2153103586785699E-2</v>
      </c>
      <c r="J19" s="108">
        <v>3.339240510103781E-2</v>
      </c>
      <c r="K19" s="108">
        <v>3.0302510265547162E-2</v>
      </c>
      <c r="L19" s="108">
        <v>2.6024286353960244E-2</v>
      </c>
      <c r="M19" s="108">
        <v>2.2528368563097142E-2</v>
      </c>
      <c r="N19" s="108">
        <v>7.0503027057760232E-3</v>
      </c>
    </row>
    <row r="20" spans="1:14">
      <c r="A20" s="39"/>
      <c r="B20" s="39" t="s">
        <v>63</v>
      </c>
      <c r="C20" s="108">
        <v>0.15554255991230587</v>
      </c>
      <c r="D20" s="108"/>
      <c r="E20" s="108">
        <v>4.3098147179992233E-2</v>
      </c>
      <c r="F20" s="108">
        <v>4.9052016259458334E-2</v>
      </c>
      <c r="G20" s="108">
        <v>4.1548019204800814E-2</v>
      </c>
      <c r="H20" s="108">
        <v>2.8925040134360713E-2</v>
      </c>
      <c r="I20" s="108">
        <v>3.964742108631162E-2</v>
      </c>
      <c r="J20" s="108">
        <v>3.3123413598796156E-2</v>
      </c>
      <c r="K20" s="108">
        <v>2.2459096387015081E-2</v>
      </c>
      <c r="L20" s="108">
        <v>1.5685909254240189E-2</v>
      </c>
      <c r="M20" s="108">
        <v>1.6302742749125843E-2</v>
      </c>
      <c r="N20" s="108">
        <v>5.7411723969900503E-3</v>
      </c>
    </row>
    <row r="21" spans="1:14">
      <c r="A21" s="39"/>
      <c r="B21" s="39" t="s">
        <v>64</v>
      </c>
      <c r="C21" s="108">
        <v>0.14334622855552495</v>
      </c>
      <c r="D21" s="108"/>
      <c r="E21" s="108">
        <v>5.495426853409615E-2</v>
      </c>
      <c r="F21" s="108">
        <v>4.0499347913004614E-2</v>
      </c>
      <c r="G21" s="108">
        <v>4.2617470080373573E-2</v>
      </c>
      <c r="H21" s="108">
        <v>2.9568067410489198E-2</v>
      </c>
      <c r="I21" s="108">
        <v>3.057736505017496E-2</v>
      </c>
      <c r="J21" s="108">
        <v>3.2305504473716364E-2</v>
      </c>
      <c r="K21" s="108">
        <v>1.7130639046676679E-2</v>
      </c>
      <c r="L21" s="108">
        <v>8.777702561256602E-3</v>
      </c>
      <c r="M21" s="108">
        <v>1.2206036990248498E-2</v>
      </c>
      <c r="N21" s="108">
        <v>4.4155106634715113E-3</v>
      </c>
    </row>
    <row r="22" spans="1:14">
      <c r="A22" s="39"/>
      <c r="B22" s="39" t="s">
        <v>65</v>
      </c>
      <c r="C22" s="108">
        <v>8.522749798675372E-2</v>
      </c>
      <c r="D22" s="108"/>
      <c r="E22" s="108">
        <v>3.1467329387333626E-2</v>
      </c>
      <c r="F22" s="108">
        <v>2.1349845461929768E-2</v>
      </c>
      <c r="G22" s="108">
        <v>2.5541526397951136E-2</v>
      </c>
      <c r="H22" s="108">
        <v>2.6920524245325927E-2</v>
      </c>
      <c r="I22" s="108">
        <v>1.1378448451111576E-2</v>
      </c>
      <c r="J22" s="108">
        <v>8.4899304202847425E-3</v>
      </c>
      <c r="K22" s="108">
        <v>1.1427643864004954E-2</v>
      </c>
      <c r="L22" s="108">
        <v>3.7417674436571141E-3</v>
      </c>
      <c r="M22" s="108">
        <v>5.1361280382595667E-3</v>
      </c>
      <c r="N22" s="108">
        <v>3.4125538984591895E-3</v>
      </c>
    </row>
    <row r="23" spans="1:14">
      <c r="A23" s="39"/>
      <c r="B23" s="39" t="s">
        <v>66</v>
      </c>
      <c r="C23" s="108">
        <v>6.1226171465523976E-2</v>
      </c>
      <c r="D23" s="108"/>
      <c r="E23" s="108">
        <v>2.1914013657263857E-2</v>
      </c>
      <c r="F23" s="108">
        <v>1.3169663811844701E-2</v>
      </c>
      <c r="G23" s="108">
        <v>1.7928770023181058E-2</v>
      </c>
      <c r="H23" s="108">
        <v>2.1806381355304806E-2</v>
      </c>
      <c r="I23" s="108">
        <v>8.8261083549668034E-3</v>
      </c>
      <c r="J23" s="108">
        <v>6.2602725117033393E-3</v>
      </c>
      <c r="K23" s="108">
        <v>7.6943611680978883E-3</v>
      </c>
      <c r="L23" s="108">
        <v>1.0505899867040845E-3</v>
      </c>
      <c r="M23" s="108">
        <v>2.3614664617038288E-3</v>
      </c>
      <c r="N23" s="108">
        <v>2.7075909438595328E-3</v>
      </c>
    </row>
    <row r="24" spans="1:14">
      <c r="A24" s="39"/>
      <c r="B24" s="39"/>
    </row>
    <row r="25" spans="1:14">
      <c r="A25" s="40" t="s">
        <v>56</v>
      </c>
      <c r="B25" s="40" t="s">
        <v>55</v>
      </c>
      <c r="C25" s="33">
        <v>0.15245679183702754</v>
      </c>
      <c r="D25" s="33"/>
      <c r="E25" s="33">
        <v>4.9694836447874161E-2</v>
      </c>
      <c r="F25" s="33">
        <v>4.9624285622926229E-2</v>
      </c>
      <c r="G25" s="33">
        <v>3.5308143011504152E-2</v>
      </c>
      <c r="H25" s="33">
        <v>3.2202074935961174E-2</v>
      </c>
      <c r="I25" s="33">
        <v>2.9234784476803007E-2</v>
      </c>
      <c r="J25" s="33">
        <v>2.687119009942078E-2</v>
      </c>
      <c r="K25" s="33">
        <v>2.1236509453679317E-2</v>
      </c>
      <c r="L25" s="33">
        <v>1.4726982923191306E-2</v>
      </c>
      <c r="M25" s="33">
        <v>1.5764820600847718E-2</v>
      </c>
      <c r="N25" s="33">
        <v>6.1309295497544002E-3</v>
      </c>
    </row>
    <row r="26" spans="1:14">
      <c r="A26" s="39" t="s">
        <v>59</v>
      </c>
      <c r="B26" s="39" t="s">
        <v>60</v>
      </c>
      <c r="C26" s="108">
        <v>0.19712552107671752</v>
      </c>
      <c r="D26" s="108"/>
      <c r="E26" s="108">
        <v>7.7319579722415294E-2</v>
      </c>
      <c r="F26" s="108">
        <v>5.2374380896968775E-2</v>
      </c>
      <c r="G26" s="108">
        <v>4.152781721451073E-2</v>
      </c>
      <c r="H26" s="108">
        <v>1.684108371141102E-2</v>
      </c>
      <c r="I26" s="108">
        <v>3.5831993162826418E-2</v>
      </c>
      <c r="J26" s="108">
        <v>2.0822253418920383E-2</v>
      </c>
      <c r="K26" s="108">
        <v>1.4973699420841657E-2</v>
      </c>
      <c r="L26" s="108">
        <v>8.5072431524706432E-3</v>
      </c>
      <c r="M26" s="108">
        <v>1.7776875052396144E-2</v>
      </c>
      <c r="N26" s="108">
        <v>1.4495620053266418E-2</v>
      </c>
    </row>
    <row r="27" spans="1:14">
      <c r="A27" s="39"/>
      <c r="B27" s="39" t="s">
        <v>61</v>
      </c>
      <c r="C27" s="108">
        <v>0.17950094490136698</v>
      </c>
      <c r="D27" s="108"/>
      <c r="E27" s="108">
        <v>4.6848706210990139E-2</v>
      </c>
      <c r="F27" s="108">
        <v>5.7118434419887905E-2</v>
      </c>
      <c r="G27" s="108">
        <v>2.7200246777145224E-2</v>
      </c>
      <c r="H27" s="108">
        <v>1.8829508830426257E-2</v>
      </c>
      <c r="I27" s="108">
        <v>3.527650788287124E-2</v>
      </c>
      <c r="J27" s="108">
        <v>2.8961653292533217E-2</v>
      </c>
      <c r="K27" s="108">
        <v>2.9184192923420466E-2</v>
      </c>
      <c r="L27" s="108">
        <v>2.6371044737165259E-2</v>
      </c>
      <c r="M27" s="108">
        <v>1.9533735749452261E-2</v>
      </c>
      <c r="N27" s="108">
        <v>9.9265713978274033E-3</v>
      </c>
    </row>
    <row r="28" spans="1:14">
      <c r="A28" s="39"/>
      <c r="B28" s="39" t="s">
        <v>62</v>
      </c>
      <c r="C28" s="108">
        <v>0.19256185909841186</v>
      </c>
      <c r="D28" s="108"/>
      <c r="E28" s="108">
        <v>4.6266651300692817E-2</v>
      </c>
      <c r="F28" s="108">
        <v>6.2942373104253782E-2</v>
      </c>
      <c r="G28" s="108">
        <v>4.7841548852053127E-2</v>
      </c>
      <c r="H28" s="108">
        <v>4.0413904760364973E-2</v>
      </c>
      <c r="I28" s="108">
        <v>4.1936823338771648E-2</v>
      </c>
      <c r="J28" s="108">
        <v>4.4347726131510508E-2</v>
      </c>
      <c r="K28" s="108">
        <v>3.5178780773394112E-2</v>
      </c>
      <c r="L28" s="108">
        <v>3.2022028644994496E-2</v>
      </c>
      <c r="M28" s="108">
        <v>3.0293183843454488E-2</v>
      </c>
      <c r="N28" s="108">
        <v>9.3211376846415277E-3</v>
      </c>
    </row>
    <row r="29" spans="1:14">
      <c r="A29" s="39"/>
      <c r="B29" s="39" t="s">
        <v>63</v>
      </c>
      <c r="C29" s="108">
        <v>0.17615340355272385</v>
      </c>
      <c r="D29" s="108"/>
      <c r="E29" s="108">
        <v>5.4875175898854767E-2</v>
      </c>
      <c r="F29" s="108">
        <v>6.5976756802717876E-2</v>
      </c>
      <c r="G29" s="108">
        <v>4.0640942334242078E-2</v>
      </c>
      <c r="H29" s="108">
        <v>3.3471750186456796E-2</v>
      </c>
      <c r="I29" s="108">
        <v>4.0373033617497667E-2</v>
      </c>
      <c r="J29" s="108">
        <v>3.7583233668172386E-2</v>
      </c>
      <c r="K29" s="108">
        <v>2.3651264048374577E-2</v>
      </c>
      <c r="L29" s="108">
        <v>1.9172199445401342E-2</v>
      </c>
      <c r="M29" s="108">
        <v>1.9031587857170854E-2</v>
      </c>
      <c r="N29" s="108">
        <v>5.5400682870654014E-3</v>
      </c>
    </row>
    <row r="30" spans="1:14">
      <c r="A30" s="39"/>
      <c r="B30" s="39" t="s">
        <v>64</v>
      </c>
      <c r="C30" s="108">
        <v>0.16604040268258075</v>
      </c>
      <c r="D30" s="108"/>
      <c r="E30" s="108">
        <v>6.6550495791413894E-2</v>
      </c>
      <c r="F30" s="108">
        <v>6.3524189316427032E-2</v>
      </c>
      <c r="G30" s="108">
        <v>3.8426229795960158E-2</v>
      </c>
      <c r="H30" s="108">
        <v>3.1486134095491176E-2</v>
      </c>
      <c r="I30" s="108">
        <v>2.9018307919722409E-2</v>
      </c>
      <c r="J30" s="108">
        <v>3.2623369832462737E-2</v>
      </c>
      <c r="K30" s="108">
        <v>1.6841687442542549E-2</v>
      </c>
      <c r="L30" s="108">
        <v>9.5370975882906554E-3</v>
      </c>
      <c r="M30" s="108">
        <v>1.4187570348403872E-2</v>
      </c>
      <c r="N30" s="108">
        <v>4.1631417398796042E-3</v>
      </c>
    </row>
    <row r="31" spans="1:14">
      <c r="A31" s="39"/>
      <c r="B31" s="39" t="s">
        <v>65</v>
      </c>
      <c r="C31" s="108">
        <v>0.1103599347284944</v>
      </c>
      <c r="D31" s="108"/>
      <c r="E31" s="108">
        <v>4.2066157828828672E-2</v>
      </c>
      <c r="F31" s="108">
        <v>3.2933448080190768E-2</v>
      </c>
      <c r="G31" s="108">
        <v>2.9317310365295533E-2</v>
      </c>
      <c r="H31" s="108">
        <v>3.4946245500269424E-2</v>
      </c>
      <c r="I31" s="108">
        <v>1.603858711934995E-2</v>
      </c>
      <c r="J31" s="108">
        <v>1.0604454707005264E-2</v>
      </c>
      <c r="K31" s="108">
        <v>1.3985855922583133E-2</v>
      </c>
      <c r="L31" s="108">
        <v>4.4590954195315533E-3</v>
      </c>
      <c r="M31" s="108">
        <v>8.0494464406602444E-3</v>
      </c>
      <c r="N31" s="108">
        <v>3.7444073365391177E-3</v>
      </c>
    </row>
    <row r="32" spans="1:14">
      <c r="A32" s="39"/>
      <c r="B32" s="39" t="s">
        <v>66</v>
      </c>
      <c r="C32" s="108">
        <v>8.9005467140841343E-2</v>
      </c>
      <c r="D32" s="108"/>
      <c r="E32" s="108">
        <v>3.5969422635727048E-2</v>
      </c>
      <c r="F32" s="108">
        <v>1.9614065158912106E-2</v>
      </c>
      <c r="G32" s="108">
        <v>2.4221566565870944E-2</v>
      </c>
      <c r="H32" s="108">
        <v>3.3351664516602889E-2</v>
      </c>
      <c r="I32" s="108">
        <v>1.2551326038513708E-2</v>
      </c>
      <c r="J32" s="108">
        <v>8.9550600244692954E-3</v>
      </c>
      <c r="K32" s="108">
        <v>1.1888405565388185E-2</v>
      </c>
      <c r="L32" s="108">
        <v>1.2100426344456247E-3</v>
      </c>
      <c r="M32" s="108">
        <v>3.7415471209257898E-3</v>
      </c>
      <c r="N32" s="108">
        <v>2.8287021086481454E-3</v>
      </c>
    </row>
    <row r="33" spans="1:14">
      <c r="A33" s="39"/>
      <c r="B33" s="39"/>
    </row>
    <row r="34" spans="1:14">
      <c r="A34" s="40" t="s">
        <v>57</v>
      </c>
      <c r="B34" s="40" t="s">
        <v>55</v>
      </c>
      <c r="C34" s="33">
        <v>0.10123586487882723</v>
      </c>
      <c r="D34" s="33"/>
      <c r="E34" s="33">
        <v>2.9155420977955124E-2</v>
      </c>
      <c r="F34" s="33">
        <v>2.5903886859479107E-2</v>
      </c>
      <c r="G34" s="33">
        <v>3.0482530473214586E-2</v>
      </c>
      <c r="H34" s="33">
        <v>2.1177243572742945E-2</v>
      </c>
      <c r="I34" s="33">
        <v>2.0166127004193103E-2</v>
      </c>
      <c r="J34" s="33">
        <v>1.7896098738135208E-2</v>
      </c>
      <c r="K34" s="33">
        <v>1.6717163193741977E-2</v>
      </c>
      <c r="L34" s="33">
        <v>9.2266812741687923E-3</v>
      </c>
      <c r="M34" s="33">
        <v>8.1099962763797433E-3</v>
      </c>
      <c r="N34" s="33">
        <v>4.192896442621062E-3</v>
      </c>
    </row>
    <row r="35" spans="1:14">
      <c r="A35" s="39" t="s">
        <v>59</v>
      </c>
      <c r="B35" s="39" t="s">
        <v>60</v>
      </c>
      <c r="C35" s="108">
        <v>0.17821889980470265</v>
      </c>
      <c r="D35" s="108"/>
      <c r="E35" s="108">
        <v>6.1286671899912167E-2</v>
      </c>
      <c r="F35" s="108">
        <v>8.4633972973839275E-2</v>
      </c>
      <c r="G35" s="108">
        <v>5.1240043825413313E-2</v>
      </c>
      <c r="H35" s="108">
        <v>1.1892153997631978E-2</v>
      </c>
      <c r="I35" s="108">
        <v>7.6635352618045702E-3</v>
      </c>
      <c r="J35" s="108">
        <v>1.1375592338749454E-2</v>
      </c>
      <c r="K35" s="108">
        <v>3.8226675953947076E-2</v>
      </c>
      <c r="L35" s="108">
        <v>1.1210035844438504E-2</v>
      </c>
      <c r="M35" s="108">
        <v>3.6464901863394474E-3</v>
      </c>
      <c r="N35" s="108">
        <v>4.7781263414710361E-3</v>
      </c>
    </row>
    <row r="36" spans="1:14">
      <c r="A36" s="39"/>
      <c r="B36" s="39" t="s">
        <v>61</v>
      </c>
      <c r="C36" s="108">
        <v>0.13733994924199436</v>
      </c>
      <c r="D36" s="108"/>
      <c r="E36" s="108">
        <v>3.8065583773124023E-2</v>
      </c>
      <c r="F36" s="108">
        <v>4.9482263946431369E-2</v>
      </c>
      <c r="G36" s="108">
        <v>2.7714038692380871E-2</v>
      </c>
      <c r="H36" s="108">
        <v>1.9900277171254695E-2</v>
      </c>
      <c r="I36" s="108">
        <v>2.1950108832019088E-2</v>
      </c>
      <c r="J36" s="108">
        <v>1.935651331513134E-2</v>
      </c>
      <c r="K36" s="108">
        <v>2.2869610396145334E-2</v>
      </c>
      <c r="L36" s="108">
        <v>1.2546651814254284E-2</v>
      </c>
      <c r="M36" s="108">
        <v>9.0126400395931332E-3</v>
      </c>
      <c r="N36" s="108">
        <v>3.9411869186336971E-3</v>
      </c>
    </row>
    <row r="37" spans="1:14">
      <c r="A37" s="39"/>
      <c r="B37" s="39" t="s">
        <v>62</v>
      </c>
      <c r="C37" s="108">
        <v>0.1243417452542331</v>
      </c>
      <c r="D37" s="108"/>
      <c r="E37" s="108">
        <v>3.1852670426242548E-2</v>
      </c>
      <c r="F37" s="108">
        <v>3.4377439258727757E-2</v>
      </c>
      <c r="G37" s="108">
        <v>3.0655811372356564E-2</v>
      </c>
      <c r="H37" s="108">
        <v>2.8583350980688978E-2</v>
      </c>
      <c r="I37" s="108">
        <v>2.2781420882242942E-2</v>
      </c>
      <c r="J37" s="108">
        <v>2.2598551316121394E-2</v>
      </c>
      <c r="K37" s="108">
        <v>2.5597180774081997E-2</v>
      </c>
      <c r="L37" s="108">
        <v>2.0368149154775989E-2</v>
      </c>
      <c r="M37" s="108">
        <v>1.4808879992878419E-2</v>
      </c>
      <c r="N37" s="108">
        <v>4.8692864608119229E-3</v>
      </c>
    </row>
    <row r="38" spans="1:14">
      <c r="A38" s="39"/>
      <c r="B38" s="39" t="s">
        <v>63</v>
      </c>
      <c r="C38" s="108">
        <v>0.13549345530444462</v>
      </c>
      <c r="D38" s="108"/>
      <c r="E38" s="108">
        <v>3.1689759266216637E-2</v>
      </c>
      <c r="F38" s="108">
        <v>3.2631185076731704E-2</v>
      </c>
      <c r="G38" s="108">
        <v>4.2600656912301076E-2</v>
      </c>
      <c r="H38" s="108">
        <v>2.4486406071984032E-2</v>
      </c>
      <c r="I38" s="108">
        <v>3.9352411022060552E-2</v>
      </c>
      <c r="J38" s="108">
        <v>2.8814316736985687E-2</v>
      </c>
      <c r="K38" s="108">
        <v>2.0967970725377715E-2</v>
      </c>
      <c r="L38" s="108">
        <v>1.2427632037419702E-2</v>
      </c>
      <c r="M38" s="108">
        <v>1.3516289447821316E-2</v>
      </c>
      <c r="N38" s="108">
        <v>5.9991127218723354E-3</v>
      </c>
    </row>
    <row r="39" spans="1:14">
      <c r="A39" s="39"/>
      <c r="B39" s="39" t="s">
        <v>64</v>
      </c>
      <c r="C39" s="108">
        <v>0.12094205882567789</v>
      </c>
      <c r="D39" s="108"/>
      <c r="E39" s="108">
        <v>4.3812978050466883E-2</v>
      </c>
      <c r="F39" s="108">
        <v>1.780904320968963E-2</v>
      </c>
      <c r="G39" s="108">
        <v>4.6828760969806614E-2</v>
      </c>
      <c r="H39" s="108">
        <v>2.7625299470354362E-2</v>
      </c>
      <c r="I39" s="108">
        <v>3.1381336310121542E-2</v>
      </c>
      <c r="J39" s="108">
        <v>3.1956610847685009E-2</v>
      </c>
      <c r="K39" s="108">
        <v>1.7232844379726813E-2</v>
      </c>
      <c r="L39" s="108">
        <v>7.8116620832621927E-3</v>
      </c>
      <c r="M39" s="108">
        <v>1.0378684601820154E-2</v>
      </c>
      <c r="N39" s="108">
        <v>4.6981703588802864E-3</v>
      </c>
    </row>
    <row r="40" spans="1:14">
      <c r="A40" s="39"/>
      <c r="B40" s="39" t="s">
        <v>65</v>
      </c>
      <c r="C40" s="108">
        <v>6.1624293875517239E-2</v>
      </c>
      <c r="D40" s="108"/>
      <c r="E40" s="108">
        <v>2.1493797329360527E-2</v>
      </c>
      <c r="F40" s="108">
        <v>1.0392485427801674E-2</v>
      </c>
      <c r="G40" s="108">
        <v>2.2051307930121944E-2</v>
      </c>
      <c r="H40" s="108">
        <v>1.9381847560130398E-2</v>
      </c>
      <c r="I40" s="108">
        <v>6.9824740986662746E-3</v>
      </c>
      <c r="J40" s="108">
        <v>6.5098502373468082E-3</v>
      </c>
      <c r="K40" s="108">
        <v>9.0371534642003093E-3</v>
      </c>
      <c r="L40" s="108">
        <v>3.073824229962223E-3</v>
      </c>
      <c r="M40" s="108">
        <v>2.3792889170640374E-3</v>
      </c>
      <c r="N40" s="108">
        <v>3.1109162078066725E-3</v>
      </c>
    </row>
    <row r="41" spans="1:14">
      <c r="A41" s="132"/>
      <c r="B41" s="132" t="s">
        <v>66</v>
      </c>
      <c r="C41" s="138">
        <v>3.7119089765905736E-2</v>
      </c>
      <c r="D41" s="138"/>
      <c r="E41" s="138">
        <v>9.6688225897883975E-3</v>
      </c>
      <c r="F41" s="138">
        <v>7.5717113614580927E-3</v>
      </c>
      <c r="G41" s="138">
        <v>1.2489240749215201E-2</v>
      </c>
      <c r="H41" s="138">
        <v>1.1768103874802927E-2</v>
      </c>
      <c r="I41" s="138">
        <v>5.5965830699091787E-3</v>
      </c>
      <c r="J41" s="138">
        <v>3.9234079297605544E-3</v>
      </c>
      <c r="K41" s="138">
        <v>4.0465670717610433E-3</v>
      </c>
      <c r="L41" s="138">
        <v>9.1590278339776768E-4</v>
      </c>
      <c r="M41" s="138">
        <v>1.160234708552007E-3</v>
      </c>
      <c r="N41" s="138">
        <v>2.6153606537590323E-3</v>
      </c>
    </row>
    <row r="42" spans="1:14">
      <c r="A42" s="72"/>
      <c r="B42" s="72"/>
      <c r="C42" s="156" t="s">
        <v>437</v>
      </c>
      <c r="D42" s="156"/>
      <c r="E42" s="156"/>
      <c r="F42" s="156"/>
      <c r="G42" s="156"/>
      <c r="H42" s="156"/>
      <c r="I42" s="156"/>
      <c r="J42" s="156"/>
      <c r="K42" s="156"/>
      <c r="L42" s="156"/>
      <c r="M42" s="156"/>
      <c r="N42" s="156"/>
    </row>
    <row r="43" spans="1:14">
      <c r="A43" s="40" t="s">
        <v>144</v>
      </c>
      <c r="B43" s="40" t="s">
        <v>55</v>
      </c>
      <c r="C43" s="51">
        <v>2762985.5974147273</v>
      </c>
      <c r="D43" s="51"/>
      <c r="E43" s="51">
        <v>857913.09395861905</v>
      </c>
      <c r="F43" s="51">
        <v>821071.13368415704</v>
      </c>
      <c r="G43" s="51">
        <v>717555.170300656</v>
      </c>
      <c r="H43" s="51">
        <v>580598.0585422907</v>
      </c>
      <c r="I43" s="51">
        <v>539252.3282921788</v>
      </c>
      <c r="J43" s="51">
        <v>487245.04687551589</v>
      </c>
      <c r="K43" s="51">
        <v>415398.78026413854</v>
      </c>
      <c r="L43" s="51">
        <v>260840.71325910708</v>
      </c>
      <c r="M43" s="51">
        <v>260124.03322666194</v>
      </c>
      <c r="N43" s="51">
        <v>112028.01026806934</v>
      </c>
    </row>
    <row r="44" spans="1:14">
      <c r="A44" s="39" t="s">
        <v>59</v>
      </c>
      <c r="B44" s="39" t="s">
        <v>60</v>
      </c>
      <c r="C44" s="110">
        <v>179639.18393761903</v>
      </c>
      <c r="D44" s="110"/>
      <c r="E44" s="110">
        <v>66504.203308711163</v>
      </c>
      <c r="F44" s="110">
        <v>64847.275360187894</v>
      </c>
      <c r="G44" s="110">
        <v>44132.336352116399</v>
      </c>
      <c r="H44" s="110">
        <v>13816.475388984443</v>
      </c>
      <c r="I44" s="110">
        <v>21297.605374546572</v>
      </c>
      <c r="J44" s="110">
        <v>15554.633045995008</v>
      </c>
      <c r="K44" s="110">
        <v>24981.713768168585</v>
      </c>
      <c r="L44" s="110">
        <v>9368.2601295081258</v>
      </c>
      <c r="M44" s="110">
        <v>10494.702417862434</v>
      </c>
      <c r="N44" s="110">
        <v>9386.2405384927424</v>
      </c>
    </row>
    <row r="45" spans="1:14">
      <c r="A45" s="39"/>
      <c r="B45" s="39" t="s">
        <v>61</v>
      </c>
      <c r="C45" s="110">
        <v>372433.32816620055</v>
      </c>
      <c r="D45" s="110"/>
      <c r="E45" s="110">
        <v>100751.24011471734</v>
      </c>
      <c r="F45" s="110">
        <v>124609.4307181006</v>
      </c>
      <c r="G45" s="110">
        <v>64640.592417296371</v>
      </c>
      <c r="H45" s="110">
        <v>44785.161300726686</v>
      </c>
      <c r="I45" s="110">
        <v>68308.472648626659</v>
      </c>
      <c r="J45" s="110">
        <v>56318.838596550617</v>
      </c>
      <c r="K45" s="110">
        <v>61610.477241605477</v>
      </c>
      <c r="L45" s="110">
        <v>46175.506707513101</v>
      </c>
      <c r="M45" s="110">
        <v>34036.240072635912</v>
      </c>
      <c r="N45" s="110">
        <v>16295.683819468732</v>
      </c>
    </row>
    <row r="46" spans="1:14">
      <c r="A46" s="39"/>
      <c r="B46" s="39" t="s">
        <v>62</v>
      </c>
      <c r="C46" s="110">
        <v>615514.29466414894</v>
      </c>
      <c r="D46" s="110"/>
      <c r="E46" s="110">
        <v>151367.7021283934</v>
      </c>
      <c r="F46" s="110">
        <v>189077.7211429163</v>
      </c>
      <c r="G46" s="110">
        <v>152566.82447583985</v>
      </c>
      <c r="H46" s="110">
        <v>134144.27872330765</v>
      </c>
      <c r="I46" s="110">
        <v>125430.56323947481</v>
      </c>
      <c r="J46" s="110">
        <v>130265.1287904054</v>
      </c>
      <c r="K46" s="110">
        <v>118211.32351713719</v>
      </c>
      <c r="L46" s="110">
        <v>101521.79824482485</v>
      </c>
      <c r="M46" s="110">
        <v>87884.080928880518</v>
      </c>
      <c r="N46" s="110">
        <v>27503.517257902273</v>
      </c>
    </row>
    <row r="47" spans="1:14">
      <c r="A47" s="39"/>
      <c r="B47" s="39" t="s">
        <v>63</v>
      </c>
      <c r="C47" s="110">
        <v>578858.77814818535</v>
      </c>
      <c r="D47" s="110"/>
      <c r="E47" s="110">
        <v>160391.73349806239</v>
      </c>
      <c r="F47" s="110">
        <v>182549.33063763048</v>
      </c>
      <c r="G47" s="110">
        <v>154622.86106727226</v>
      </c>
      <c r="H47" s="110">
        <v>107645.86489706211</v>
      </c>
      <c r="I47" s="110">
        <v>147549.6979070435</v>
      </c>
      <c r="J47" s="110">
        <v>123270.30450512203</v>
      </c>
      <c r="K47" s="110">
        <v>83582.55837006653</v>
      </c>
      <c r="L47" s="110">
        <v>58375.831477712643</v>
      </c>
      <c r="M47" s="110">
        <v>60671.405649641492</v>
      </c>
      <c r="N47" s="110">
        <v>21366.036670178408</v>
      </c>
    </row>
    <row r="48" spans="1:14">
      <c r="A48" s="39"/>
      <c r="B48" s="39" t="s">
        <v>64</v>
      </c>
      <c r="C48" s="110">
        <v>475836.1921964502</v>
      </c>
      <c r="D48" s="110"/>
      <c r="E48" s="110">
        <v>182420.07583810721</v>
      </c>
      <c r="F48" s="110">
        <v>134437.12953981731</v>
      </c>
      <c r="G48" s="110">
        <v>141468.21223298588</v>
      </c>
      <c r="H48" s="110">
        <v>98150.866953331191</v>
      </c>
      <c r="I48" s="110">
        <v>101501.21910769505</v>
      </c>
      <c r="J48" s="110">
        <v>107237.75847234242</v>
      </c>
      <c r="K48" s="110">
        <v>56864.963494348471</v>
      </c>
      <c r="L48" s="110">
        <v>29137.484850977522</v>
      </c>
      <c r="M48" s="110">
        <v>40517.802398959633</v>
      </c>
      <c r="N48" s="110">
        <v>14657.237946760928</v>
      </c>
    </row>
    <row r="49" spans="1:14">
      <c r="A49" s="39"/>
      <c r="B49" s="39" t="s">
        <v>65</v>
      </c>
      <c r="C49" s="110">
        <v>261134.21542595158</v>
      </c>
      <c r="D49" s="110"/>
      <c r="E49" s="110">
        <v>96414.849258962102</v>
      </c>
      <c r="F49" s="110">
        <v>65415.215462887943</v>
      </c>
      <c r="G49" s="110">
        <v>78258.386251662974</v>
      </c>
      <c r="H49" s="110">
        <v>82483.58973005513</v>
      </c>
      <c r="I49" s="110">
        <v>34863.187107844737</v>
      </c>
      <c r="J49" s="110">
        <v>26012.864060218562</v>
      </c>
      <c r="K49" s="110">
        <v>35013.92021455244</v>
      </c>
      <c r="L49" s="110">
        <v>11464.650832031148</v>
      </c>
      <c r="M49" s="110">
        <v>15736.925256289931</v>
      </c>
      <c r="N49" s="110">
        <v>10455.951493629618</v>
      </c>
    </row>
    <row r="50" spans="1:14">
      <c r="A50" s="39"/>
      <c r="B50" s="39" t="s">
        <v>66</v>
      </c>
      <c r="C50" s="110">
        <v>279569.60487622651</v>
      </c>
      <c r="D50" s="110"/>
      <c r="E50" s="110">
        <v>100063.28981166612</v>
      </c>
      <c r="F50" s="110">
        <v>60135.030822617722</v>
      </c>
      <c r="G50" s="110">
        <v>81865.957503481593</v>
      </c>
      <c r="H50" s="110">
        <v>99571.821548824388</v>
      </c>
      <c r="I50" s="110">
        <v>40301.582906948039</v>
      </c>
      <c r="J50" s="110">
        <v>28585.519404882594</v>
      </c>
      <c r="K50" s="110">
        <v>35133.823658259964</v>
      </c>
      <c r="L50" s="110">
        <v>4797.1810165391234</v>
      </c>
      <c r="M50" s="110">
        <v>10782.876502391642</v>
      </c>
      <c r="N50" s="110">
        <v>12363.342541636752</v>
      </c>
    </row>
    <row r="51" spans="1:14">
      <c r="A51" s="39"/>
      <c r="B51" s="39"/>
    </row>
    <row r="52" spans="1:14">
      <c r="A52" s="40" t="s">
        <v>56</v>
      </c>
      <c r="B52" s="40" t="s">
        <v>55</v>
      </c>
      <c r="C52" s="51">
        <v>1634864.4098211539</v>
      </c>
      <c r="D52" s="51"/>
      <c r="E52" s="51">
        <v>532900.6237213799</v>
      </c>
      <c r="F52" s="51">
        <v>532144.07472542441</v>
      </c>
      <c r="G52" s="51">
        <v>378625.48260945408</v>
      </c>
      <c r="H52" s="51">
        <v>345317.68378987018</v>
      </c>
      <c r="I52" s="51">
        <v>313498.06128026574</v>
      </c>
      <c r="J52" s="51">
        <v>288152.14995500137</v>
      </c>
      <c r="K52" s="51">
        <v>227728.87371107956</v>
      </c>
      <c r="L52" s="51">
        <v>157924.22203732756</v>
      </c>
      <c r="M52" s="51">
        <v>169053.43354655086</v>
      </c>
      <c r="N52" s="51">
        <v>65744.781844346362</v>
      </c>
    </row>
    <row r="53" spans="1:14">
      <c r="A53" s="39" t="s">
        <v>59</v>
      </c>
      <c r="B53" s="39" t="s">
        <v>60</v>
      </c>
      <c r="C53" s="110">
        <v>97808.045346395476</v>
      </c>
      <c r="D53" s="110"/>
      <c r="E53" s="110">
        <v>38363.763952771304</v>
      </c>
      <c r="F53" s="110">
        <v>25986.669781669101</v>
      </c>
      <c r="G53" s="110">
        <v>20604.915117373006</v>
      </c>
      <c r="H53" s="110">
        <v>8356.0640465578017</v>
      </c>
      <c r="I53" s="110">
        <v>17778.810135687672</v>
      </c>
      <c r="J53" s="110">
        <v>10331.406585448178</v>
      </c>
      <c r="K53" s="110">
        <v>7429.5213727653354</v>
      </c>
      <c r="L53" s="110">
        <v>4221.0507268910787</v>
      </c>
      <c r="M53" s="110">
        <v>8820.3769443191031</v>
      </c>
      <c r="N53" s="110">
        <v>7192.3120646677962</v>
      </c>
    </row>
    <row r="54" spans="1:14">
      <c r="A54" s="39"/>
      <c r="B54" s="39" t="s">
        <v>61</v>
      </c>
      <c r="C54" s="110">
        <v>215087.98525060326</v>
      </c>
      <c r="D54" s="110"/>
      <c r="E54" s="110">
        <v>56136.717475533216</v>
      </c>
      <c r="F54" s="110">
        <v>68442.475257125174</v>
      </c>
      <c r="G54" s="110">
        <v>32592.843903022971</v>
      </c>
      <c r="H54" s="110">
        <v>22562.561549858361</v>
      </c>
      <c r="I54" s="110">
        <v>42270.267776991604</v>
      </c>
      <c r="J54" s="110">
        <v>34703.458857224272</v>
      </c>
      <c r="K54" s="110">
        <v>34970.118182456528</v>
      </c>
      <c r="L54" s="110">
        <v>31599.248040655883</v>
      </c>
      <c r="M54" s="110">
        <v>23406.405292607313</v>
      </c>
      <c r="N54" s="110">
        <v>11894.56826301476</v>
      </c>
    </row>
    <row r="55" spans="1:14">
      <c r="A55" s="39"/>
      <c r="B55" s="39" t="s">
        <v>62</v>
      </c>
      <c r="C55" s="110">
        <v>373757.48065012821</v>
      </c>
      <c r="D55" s="110"/>
      <c r="E55" s="110">
        <v>89802.347719479119</v>
      </c>
      <c r="F55" s="110">
        <v>122169.48313509664</v>
      </c>
      <c r="G55" s="110">
        <v>92859.182254804502</v>
      </c>
      <c r="H55" s="110">
        <v>78442.321325681536</v>
      </c>
      <c r="I55" s="110">
        <v>81398.26604788976</v>
      </c>
      <c r="J55" s="110">
        <v>86077.764667841882</v>
      </c>
      <c r="K55" s="110">
        <v>68281.0839891574</v>
      </c>
      <c r="L55" s="110">
        <v>62153.911515481886</v>
      </c>
      <c r="M55" s="110">
        <v>58798.269435144321</v>
      </c>
      <c r="N55" s="110">
        <v>18092.081963251669</v>
      </c>
    </row>
    <row r="56" spans="1:14">
      <c r="A56" s="39"/>
      <c r="B56" s="39" t="s">
        <v>63</v>
      </c>
      <c r="C56" s="110">
        <v>323084.56873536628</v>
      </c>
      <c r="D56" s="110"/>
      <c r="E56" s="110">
        <v>100647.06206061103</v>
      </c>
      <c r="F56" s="110">
        <v>121008.57314280736</v>
      </c>
      <c r="G56" s="110">
        <v>74539.924078886499</v>
      </c>
      <c r="H56" s="110">
        <v>61390.84318386473</v>
      </c>
      <c r="I56" s="110">
        <v>74048.550250938264</v>
      </c>
      <c r="J56" s="110">
        <v>68931.752645515167</v>
      </c>
      <c r="K56" s="110">
        <v>43378.999729791001</v>
      </c>
      <c r="L56" s="110">
        <v>35163.906371368772</v>
      </c>
      <c r="M56" s="110">
        <v>34906.00937121774</v>
      </c>
      <c r="N56" s="110">
        <v>10161.089920441264</v>
      </c>
    </row>
    <row r="57" spans="1:14">
      <c r="A57" s="39"/>
      <c r="B57" s="39" t="s">
        <v>64</v>
      </c>
      <c r="C57" s="110">
        <v>270765.94116528617</v>
      </c>
      <c r="D57" s="110"/>
      <c r="E57" s="110">
        <v>108525.43921148314</v>
      </c>
      <c r="F57" s="110">
        <v>103590.37095269976</v>
      </c>
      <c r="G57" s="110">
        <v>62662.545428940044</v>
      </c>
      <c r="H57" s="110">
        <v>51345.170177164779</v>
      </c>
      <c r="I57" s="110">
        <v>47320.828713769493</v>
      </c>
      <c r="J57" s="110">
        <v>53199.686907267882</v>
      </c>
      <c r="K57" s="110">
        <v>27464.130883308317</v>
      </c>
      <c r="L57" s="110">
        <v>15552.366549094204</v>
      </c>
      <c r="M57" s="110">
        <v>23136.000492471063</v>
      </c>
      <c r="N57" s="110">
        <v>6788.9319297660686</v>
      </c>
    </row>
    <row r="58" spans="1:14">
      <c r="A58" s="39"/>
      <c r="B58" s="39" t="s">
        <v>65</v>
      </c>
      <c r="C58" s="110">
        <v>164721.28404592673</v>
      </c>
      <c r="D58" s="110"/>
      <c r="E58" s="110">
        <v>62787.202162545218</v>
      </c>
      <c r="F58" s="110">
        <v>49155.881336600833</v>
      </c>
      <c r="G58" s="110">
        <v>43758.498226961761</v>
      </c>
      <c r="H58" s="110">
        <v>52160.147118157882</v>
      </c>
      <c r="I58" s="110">
        <v>23938.911082915492</v>
      </c>
      <c r="J58" s="110">
        <v>15828.021285461751</v>
      </c>
      <c r="K58" s="110">
        <v>20875.040853520924</v>
      </c>
      <c r="L58" s="110">
        <v>6655.5668503752877</v>
      </c>
      <c r="M58" s="110">
        <v>12014.461197593708</v>
      </c>
      <c r="N58" s="110">
        <v>5588.8360751853679</v>
      </c>
    </row>
    <row r="59" spans="1:14">
      <c r="A59" s="39"/>
      <c r="B59" s="39" t="s">
        <v>66</v>
      </c>
      <c r="C59" s="110">
        <v>189639.10462744458</v>
      </c>
      <c r="D59" s="110"/>
      <c r="E59" s="110">
        <v>76638.091138958946</v>
      </c>
      <c r="F59" s="110">
        <v>41790.621119426301</v>
      </c>
      <c r="G59" s="110">
        <v>51607.573599465897</v>
      </c>
      <c r="H59" s="110">
        <v>71060.576388585425</v>
      </c>
      <c r="I59" s="110">
        <v>26742.427272073423</v>
      </c>
      <c r="J59" s="110">
        <v>19080.059006241921</v>
      </c>
      <c r="K59" s="110">
        <v>25329.978700079584</v>
      </c>
      <c r="L59" s="110">
        <v>2578.1719834601763</v>
      </c>
      <c r="M59" s="110">
        <v>7971.9108131974099</v>
      </c>
      <c r="N59" s="110">
        <v>6026.9616280194714</v>
      </c>
    </row>
    <row r="60" spans="1:14">
      <c r="A60" s="39"/>
      <c r="B60" s="39"/>
    </row>
    <row r="61" spans="1:14">
      <c r="A61" s="40" t="s">
        <v>57</v>
      </c>
      <c r="B61" s="40" t="s">
        <v>55</v>
      </c>
      <c r="C61" s="51">
        <v>1117490.6709431896</v>
      </c>
      <c r="D61" s="51"/>
      <c r="E61" s="51">
        <v>321831.70449803985</v>
      </c>
      <c r="F61" s="51">
        <v>285939.69085248478</v>
      </c>
      <c r="G61" s="51">
        <v>336480.98400039476</v>
      </c>
      <c r="H61" s="51">
        <v>233764.70539524488</v>
      </c>
      <c r="I61" s="51">
        <v>222603.50937105945</v>
      </c>
      <c r="J61" s="51">
        <v>197545.83427603904</v>
      </c>
      <c r="K61" s="51">
        <v>184532.17084678233</v>
      </c>
      <c r="L61" s="51">
        <v>101848.59150451397</v>
      </c>
      <c r="M61" s="51">
        <v>89522.079858615398</v>
      </c>
      <c r="N61" s="51">
        <v>46283.228423723056</v>
      </c>
    </row>
    <row r="62" spans="1:14">
      <c r="A62" s="39" t="s">
        <v>59</v>
      </c>
      <c r="B62" s="39" t="s">
        <v>60</v>
      </c>
      <c r="C62" s="110">
        <v>81831.138591223542</v>
      </c>
      <c r="D62" s="110"/>
      <c r="E62" s="110">
        <v>28140.439355939867</v>
      </c>
      <c r="F62" s="110">
        <v>38860.605578518793</v>
      </c>
      <c r="G62" s="110">
        <v>23527.421234743386</v>
      </c>
      <c r="H62" s="110">
        <v>5460.4113424266416</v>
      </c>
      <c r="I62" s="110">
        <v>3518.7952388588965</v>
      </c>
      <c r="J62" s="110">
        <v>5223.2264605468308</v>
      </c>
      <c r="K62" s="110">
        <v>17552.19239540325</v>
      </c>
      <c r="L62" s="110">
        <v>5147.2094026170471</v>
      </c>
      <c r="M62" s="110">
        <v>1674.3254735433291</v>
      </c>
      <c r="N62" s="110">
        <v>2193.9284738249462</v>
      </c>
    </row>
    <row r="63" spans="1:14">
      <c r="A63" s="39"/>
      <c r="B63" s="39" t="s">
        <v>61</v>
      </c>
      <c r="C63" s="110">
        <v>153367.2468752347</v>
      </c>
      <c r="D63" s="110"/>
      <c r="E63" s="110">
        <v>42507.761333856339</v>
      </c>
      <c r="F63" s="110">
        <v>55256.745269696032</v>
      </c>
      <c r="G63" s="110">
        <v>30948.211627447825</v>
      </c>
      <c r="H63" s="110">
        <v>22222.599750868354</v>
      </c>
      <c r="I63" s="110">
        <v>24511.642670311914</v>
      </c>
      <c r="J63" s="110">
        <v>21615.379739326363</v>
      </c>
      <c r="K63" s="110">
        <v>25538.448229552603</v>
      </c>
      <c r="L63" s="110">
        <v>14010.821009288482</v>
      </c>
      <c r="M63" s="110">
        <v>10064.397122459815</v>
      </c>
      <c r="N63" s="110">
        <v>4401.1155564539686</v>
      </c>
    </row>
    <row r="64" spans="1:14">
      <c r="A64" s="39"/>
      <c r="B64" s="39" t="s">
        <v>62</v>
      </c>
      <c r="C64" s="110">
        <v>240329.72783634812</v>
      </c>
      <c r="D64" s="110"/>
      <c r="E64" s="110">
        <v>61565.354408914049</v>
      </c>
      <c r="F64" s="110">
        <v>66445.268271472669</v>
      </c>
      <c r="G64" s="110">
        <v>59252.045953328445</v>
      </c>
      <c r="H64" s="110">
        <v>55246.361129919344</v>
      </c>
      <c r="I64" s="110">
        <v>44032.297191584992</v>
      </c>
      <c r="J64" s="110">
        <v>43678.843948945658</v>
      </c>
      <c r="K64" s="110">
        <v>49474.643260273027</v>
      </c>
      <c r="L64" s="110">
        <v>39367.886729342892</v>
      </c>
      <c r="M64" s="110">
        <v>28622.841757389986</v>
      </c>
      <c r="N64" s="110">
        <v>9411.4352946506096</v>
      </c>
    </row>
    <row r="65" spans="1:14">
      <c r="A65" s="39"/>
      <c r="B65" s="39" t="s">
        <v>63</v>
      </c>
      <c r="C65" s="110">
        <v>253070.24922018126</v>
      </c>
      <c r="D65" s="110"/>
      <c r="E65" s="110">
        <v>59189.097046858762</v>
      </c>
      <c r="F65" s="110">
        <v>60947.461419175008</v>
      </c>
      <c r="G65" s="110">
        <v>79568.115209073279</v>
      </c>
      <c r="H65" s="110">
        <v>45734.909285616872</v>
      </c>
      <c r="I65" s="110">
        <v>73501.147656105182</v>
      </c>
      <c r="J65" s="110">
        <v>53818.439432026244</v>
      </c>
      <c r="K65" s="110">
        <v>39163.290693190676</v>
      </c>
      <c r="L65" s="110">
        <v>23211.925106343824</v>
      </c>
      <c r="M65" s="110">
        <v>25245.283850843243</v>
      </c>
      <c r="N65" s="110">
        <v>11204.946749737144</v>
      </c>
    </row>
    <row r="66" spans="1:14">
      <c r="A66" s="39"/>
      <c r="B66" s="39" t="s">
        <v>64</v>
      </c>
      <c r="C66" s="110">
        <v>202548.87679139501</v>
      </c>
      <c r="D66" s="110"/>
      <c r="E66" s="110">
        <v>73376.206583345876</v>
      </c>
      <c r="F66" s="110">
        <v>29825.866484143142</v>
      </c>
      <c r="G66" s="110">
        <v>78426.918047083964</v>
      </c>
      <c r="H66" s="110">
        <v>46265.736114277133</v>
      </c>
      <c r="I66" s="110">
        <v>52556.194954394203</v>
      </c>
      <c r="J66" s="110">
        <v>53519.641521796519</v>
      </c>
      <c r="K66" s="110">
        <v>28860.871949150944</v>
      </c>
      <c r="L66" s="110">
        <v>13082.656242186866</v>
      </c>
      <c r="M66" s="110">
        <v>17381.801906488556</v>
      </c>
      <c r="N66" s="110">
        <v>7868.3060169948558</v>
      </c>
    </row>
    <row r="67" spans="1:14">
      <c r="A67" s="39"/>
      <c r="B67" s="39" t="s">
        <v>65</v>
      </c>
      <c r="C67" s="110">
        <v>96412.931380024107</v>
      </c>
      <c r="D67" s="110"/>
      <c r="E67" s="110">
        <v>33627.647096416949</v>
      </c>
      <c r="F67" s="110">
        <v>16259.334126287113</v>
      </c>
      <c r="G67" s="110">
        <v>34499.888024701264</v>
      </c>
      <c r="H67" s="110">
        <v>30323.442611897273</v>
      </c>
      <c r="I67" s="110">
        <v>10924.276024929248</v>
      </c>
      <c r="J67" s="110">
        <v>10184.8427747568</v>
      </c>
      <c r="K67" s="110">
        <v>14138.879361031517</v>
      </c>
      <c r="L67" s="110">
        <v>4809.08398165586</v>
      </c>
      <c r="M67" s="110">
        <v>3722.4640586962264</v>
      </c>
      <c r="N67" s="110">
        <v>4867.1154184442503</v>
      </c>
    </row>
    <row r="68" spans="1:14">
      <c r="A68" s="39"/>
      <c r="B68" s="39" t="s">
        <v>66</v>
      </c>
      <c r="C68" s="110">
        <v>89930.500248782075</v>
      </c>
      <c r="D68" s="110"/>
      <c r="E68" s="110">
        <v>23425.198672707222</v>
      </c>
      <c r="F68" s="110">
        <v>18344.409703191381</v>
      </c>
      <c r="G68" s="110">
        <v>30258.383904015722</v>
      </c>
      <c r="H68" s="110">
        <v>28511.245160239025</v>
      </c>
      <c r="I68" s="110">
        <v>13559.155634874602</v>
      </c>
      <c r="J68" s="110">
        <v>9505.4603986406692</v>
      </c>
      <c r="K68" s="110">
        <v>9803.8449581803798</v>
      </c>
      <c r="L68" s="110">
        <v>2219.0090330789476</v>
      </c>
      <c r="M68" s="110">
        <v>2810.9656891942345</v>
      </c>
      <c r="N68" s="110">
        <v>6336.3809136172777</v>
      </c>
    </row>
    <row r="69" spans="1:14">
      <c r="A69" s="132"/>
      <c r="B69" s="132"/>
      <c r="C69" s="133"/>
      <c r="D69" s="133"/>
      <c r="E69" s="133"/>
      <c r="F69" s="133"/>
      <c r="G69" s="133"/>
      <c r="H69" s="133"/>
      <c r="I69" s="133"/>
      <c r="J69" s="133"/>
      <c r="K69" s="133"/>
      <c r="L69" s="133"/>
      <c r="M69" s="133"/>
      <c r="N69" s="133"/>
    </row>
    <row r="70" spans="1:14">
      <c r="A70" s="16" t="s">
        <v>433</v>
      </c>
    </row>
    <row r="71" spans="1:14">
      <c r="A71" s="29" t="s">
        <v>147</v>
      </c>
    </row>
    <row r="72" spans="1:14">
      <c r="A72" s="16" t="s">
        <v>438</v>
      </c>
    </row>
    <row r="73" spans="1:14">
      <c r="A73" s="16" t="s">
        <v>119</v>
      </c>
    </row>
    <row r="74" spans="1:14">
      <c r="A74" s="16" t="s">
        <v>120</v>
      </c>
    </row>
    <row r="75" spans="1:14">
      <c r="A75" s="29" t="s">
        <v>118</v>
      </c>
    </row>
  </sheetData>
  <mergeCells count="3">
    <mergeCell ref="C42:N42"/>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C43&lt;'34'!$C$104</xm:f>
            <x14:dxf>
              <font>
                <color rgb="FFFF0000"/>
              </font>
              <numFmt numFmtId="172" formatCode="\*\*0.0%"/>
            </x14:dxf>
          </x14:cfRule>
          <x14:cfRule type="expression" priority="4" id="{B2EEDE8F-0511-4DDD-89FA-49131EF3AA60}">
            <xm:f>C43&lt;'34'!$C$103</xm:f>
            <x14:dxf>
              <font>
                <color rgb="FF00B050"/>
              </font>
              <numFmt numFmtId="171" formatCode="\*0.0%"/>
            </x14:dxf>
          </x14:cfRule>
          <xm:sqref>C16:N41</xm:sqref>
        </x14:conditionalFormatting>
        <x14:conditionalFormatting xmlns:xm="http://schemas.microsoft.com/office/excel/2006/main">
          <x14:cfRule type="expression" priority="1" id="{D7D5D20B-A4BD-4E6C-B7A1-DD67FE361E56}">
            <xm:f>C43&lt;'34'!$C$104</xm:f>
            <x14:dxf>
              <font>
                <color rgb="FFFF0000"/>
              </font>
              <numFmt numFmtId="170" formatCode="\*\*#,###,###,##0"/>
            </x14:dxf>
          </x14:cfRule>
          <x14:cfRule type="expression" priority="2" id="{7D86C670-27FE-4794-B304-071BEDD52AB4}">
            <xm:f>C43&lt;'34'!$C$103</xm:f>
            <x14:dxf>
              <font>
                <color rgb="FF00B050"/>
              </font>
              <numFmt numFmtId="169" formatCode="\*#,###,###,##0"/>
            </x14:dxf>
          </x14:cfRule>
          <xm:sqref>C43:N68</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305"/>
  <sheetViews>
    <sheetView zoomScaleNormal="100" workbookViewId="0">
      <pane xSplit="1" ySplit="14" topLeftCell="B15" activePane="bottomRight" state="frozen"/>
      <selection pane="bottomRight"/>
      <selection pane="bottomLeft"/>
      <selection pane="topRight"/>
    </sheetView>
  </sheetViews>
  <sheetFormatPr defaultColWidth="8.85546875" defaultRowHeight="15"/>
  <cols>
    <col min="1" max="1" width="30.7109375" style="1" customWidth="1"/>
    <col min="2" max="2" width="12.85546875" style="1" customWidth="1"/>
    <col min="3" max="3" width="7" style="1" customWidth="1"/>
    <col min="4" max="5" width="12.85546875" style="7" customWidth="1"/>
    <col min="6" max="6" width="7" style="1" customWidth="1"/>
    <col min="7" max="9" width="12.85546875" style="1" customWidth="1"/>
    <col min="10" max="10" width="8.85546875" style="1"/>
    <col min="11" max="11" width="11.5703125" style="1" bestFit="1" customWidth="1"/>
    <col min="12" max="16384" width="8.85546875" style="1"/>
  </cols>
  <sheetData>
    <row r="1" spans="1:11">
      <c r="A1" s="34"/>
      <c r="B1" s="34"/>
      <c r="C1" s="34"/>
      <c r="D1" s="121"/>
      <c r="E1" s="121"/>
      <c r="F1" s="34"/>
      <c r="G1" s="34"/>
      <c r="H1" s="34"/>
      <c r="I1" s="34"/>
    </row>
    <row r="2" spans="1:11">
      <c r="A2" s="34"/>
      <c r="B2" s="34"/>
      <c r="C2" s="34"/>
      <c r="D2" s="121"/>
      <c r="E2" s="121"/>
      <c r="F2" s="34"/>
      <c r="G2" s="34"/>
      <c r="H2" s="34"/>
      <c r="I2" s="34"/>
    </row>
    <row r="3" spans="1:11">
      <c r="A3" s="34"/>
      <c r="B3" s="34"/>
      <c r="C3" s="34"/>
      <c r="D3" s="121"/>
      <c r="E3" s="121"/>
      <c r="F3" s="34"/>
      <c r="G3" s="34"/>
      <c r="H3" s="34"/>
      <c r="I3" s="34"/>
    </row>
    <row r="4" spans="1:11">
      <c r="A4" s="34"/>
      <c r="B4" s="34"/>
      <c r="C4" s="34"/>
      <c r="D4" s="121"/>
      <c r="E4" s="121"/>
      <c r="F4" s="34"/>
      <c r="G4" s="34"/>
      <c r="H4" s="34"/>
      <c r="I4" s="34"/>
    </row>
    <row r="5" spans="1:11">
      <c r="A5" s="34"/>
      <c r="B5" s="34"/>
      <c r="C5" s="34"/>
      <c r="D5" s="121"/>
      <c r="E5" s="121"/>
      <c r="F5" s="34"/>
      <c r="G5" s="34"/>
      <c r="H5" s="34"/>
      <c r="I5" s="34"/>
    </row>
    <row r="6" spans="1:11">
      <c r="A6" s="34"/>
      <c r="B6" s="34"/>
      <c r="C6" s="34"/>
      <c r="D6" s="121"/>
      <c r="E6" s="121"/>
      <c r="F6" s="34"/>
      <c r="G6" s="34"/>
      <c r="H6" s="34"/>
      <c r="I6" s="34"/>
    </row>
    <row r="7" spans="1:11">
      <c r="A7" s="34"/>
      <c r="B7" s="34"/>
      <c r="C7" s="34"/>
      <c r="D7" s="121"/>
      <c r="E7" s="121"/>
      <c r="F7" s="34"/>
      <c r="G7" s="34"/>
      <c r="H7" s="34"/>
      <c r="I7" s="34"/>
    </row>
    <row r="8" spans="1:11">
      <c r="A8" s="35" t="s">
        <v>0</v>
      </c>
      <c r="B8" s="34"/>
      <c r="C8" s="35"/>
      <c r="D8" s="121"/>
      <c r="E8" s="121"/>
      <c r="F8" s="35"/>
      <c r="G8" s="34"/>
      <c r="H8" s="34"/>
      <c r="I8" s="34"/>
    </row>
    <row r="9" spans="1:11">
      <c r="A9" s="34" t="s">
        <v>1</v>
      </c>
      <c r="B9" s="35" t="s">
        <v>2</v>
      </c>
      <c r="C9" s="35"/>
      <c r="D9" s="121"/>
      <c r="E9" s="121"/>
      <c r="F9" s="35"/>
      <c r="G9" s="34"/>
      <c r="H9" s="34"/>
      <c r="I9" s="34"/>
    </row>
    <row r="10" spans="1:11">
      <c r="A10" s="34" t="s">
        <v>47</v>
      </c>
      <c r="B10" s="36">
        <v>26</v>
      </c>
      <c r="C10" s="35"/>
      <c r="D10" s="121"/>
      <c r="E10" s="121"/>
      <c r="F10" s="35"/>
      <c r="G10" s="34"/>
      <c r="H10" s="34"/>
      <c r="I10" s="34"/>
    </row>
    <row r="11" spans="1:11">
      <c r="A11" s="34" t="s">
        <v>3</v>
      </c>
      <c r="B11" s="35" t="s">
        <v>439</v>
      </c>
      <c r="C11" s="35"/>
      <c r="D11" s="121"/>
      <c r="E11" s="121"/>
      <c r="F11" s="35"/>
      <c r="G11" s="34"/>
      <c r="H11" s="34"/>
      <c r="I11" s="34"/>
    </row>
    <row r="12" spans="1:11">
      <c r="A12" s="130" t="s">
        <v>48</v>
      </c>
      <c r="B12" s="131" t="s">
        <v>49</v>
      </c>
      <c r="C12" s="131"/>
      <c r="D12" s="185"/>
      <c r="E12" s="185"/>
      <c r="F12" s="131"/>
      <c r="G12" s="130"/>
      <c r="H12" s="130"/>
      <c r="I12" s="130"/>
    </row>
    <row r="13" spans="1:11" ht="24.95" customHeight="1">
      <c r="A13" s="37"/>
      <c r="B13" s="60"/>
      <c r="C13" s="56"/>
      <c r="D13" s="70"/>
      <c r="E13" s="70"/>
      <c r="F13" s="56"/>
      <c r="G13" s="155" t="s">
        <v>59</v>
      </c>
      <c r="H13" s="155"/>
      <c r="I13" s="155"/>
      <c r="K13" s="120" t="s">
        <v>440</v>
      </c>
    </row>
    <row r="14" spans="1:11" s="6" customFormat="1" ht="24.95" customHeight="1">
      <c r="A14" s="46"/>
      <c r="B14" s="42" t="s">
        <v>58</v>
      </c>
      <c r="C14" s="69"/>
      <c r="D14" s="122" t="s">
        <v>56</v>
      </c>
      <c r="E14" s="122" t="s">
        <v>57</v>
      </c>
      <c r="F14" s="69"/>
      <c r="G14" s="69" t="s">
        <v>441</v>
      </c>
      <c r="H14" s="69" t="s">
        <v>442</v>
      </c>
      <c r="I14" s="69" t="s">
        <v>443</v>
      </c>
    </row>
    <row r="15" spans="1:11">
      <c r="A15" s="72"/>
      <c r="B15" s="156" t="s">
        <v>143</v>
      </c>
      <c r="C15" s="156"/>
      <c r="D15" s="156"/>
      <c r="E15" s="156"/>
      <c r="F15" s="156"/>
      <c r="G15" s="156"/>
      <c r="H15" s="156"/>
      <c r="I15" s="156"/>
    </row>
    <row r="16" spans="1:11">
      <c r="A16" s="39" t="s">
        <v>311</v>
      </c>
      <c r="B16" s="4">
        <v>1.7076034246677141E-2</v>
      </c>
      <c r="D16" s="123">
        <v>2.4005241856039063E-2</v>
      </c>
      <c r="E16" s="123">
        <v>1.0505469081087754E-2</v>
      </c>
      <c r="G16" s="4">
        <v>2.1183184742040149E-2</v>
      </c>
      <c r="H16" s="4">
        <v>2.3916061620812272E-2</v>
      </c>
      <c r="I16" s="4">
        <v>6.8736135018557243E-3</v>
      </c>
    </row>
    <row r="17" spans="1:17">
      <c r="A17" s="39" t="s">
        <v>271</v>
      </c>
      <c r="B17" s="4">
        <v>1.4620217117708017E-2</v>
      </c>
      <c r="D17" s="123">
        <v>2.0929496344783277E-2</v>
      </c>
      <c r="E17" s="123">
        <v>8.5868698842769958E-3</v>
      </c>
      <c r="G17" s="4">
        <v>1.5132026374317391E-2</v>
      </c>
      <c r="H17" s="4">
        <v>2.0261481937367112E-2</v>
      </c>
      <c r="I17" s="4">
        <v>8.9296929864584595E-3</v>
      </c>
    </row>
    <row r="18" spans="1:17">
      <c r="A18" s="39" t="s">
        <v>274</v>
      </c>
      <c r="B18" s="4">
        <v>1.1867320674827413E-2</v>
      </c>
      <c r="D18" s="123">
        <v>1.4873362155242721E-2</v>
      </c>
      <c r="E18" s="123">
        <v>8.9564139218299438E-3</v>
      </c>
      <c r="G18" s="4">
        <v>1.3519306098375443E-2</v>
      </c>
      <c r="H18" s="4">
        <v>1.9326012141292516E-2</v>
      </c>
      <c r="I18" s="4">
        <v>3.4196579069159013E-3</v>
      </c>
    </row>
    <row r="19" spans="1:17">
      <c r="A19" s="39" t="s">
        <v>347</v>
      </c>
      <c r="B19" s="4">
        <v>8.5986604403471608E-3</v>
      </c>
      <c r="D19" s="123">
        <v>2.9202125036324311E-3</v>
      </c>
      <c r="E19" s="123">
        <v>1.4168981999508841E-2</v>
      </c>
      <c r="G19" s="4">
        <v>1.0518952001372425E-2</v>
      </c>
      <c r="H19" s="4">
        <v>1.2062246906206081E-2</v>
      </c>
      <c r="I19" s="4">
        <v>3.5834944927425039E-3</v>
      </c>
    </row>
    <row r="20" spans="1:17">
      <c r="A20" s="39" t="s">
        <v>292</v>
      </c>
      <c r="B20" s="4">
        <v>8.5327496197472735E-3</v>
      </c>
      <c r="D20" s="123">
        <v>1.4057820672439381E-2</v>
      </c>
      <c r="E20" s="123">
        <v>3.2711739720353524E-3</v>
      </c>
      <c r="G20" s="4">
        <v>8.4230367210602983E-3</v>
      </c>
      <c r="H20" s="4">
        <v>1.1150861432423184E-2</v>
      </c>
      <c r="I20" s="4">
        <v>6.2207032378317449E-3</v>
      </c>
    </row>
    <row r="21" spans="1:17">
      <c r="A21" s="39" t="s">
        <v>372</v>
      </c>
      <c r="B21" s="4">
        <v>6.0417936348189684E-3</v>
      </c>
      <c r="D21" s="123">
        <v>5.8400040055312337E-3</v>
      </c>
      <c r="E21" s="123">
        <v>6.3127499934959109E-3</v>
      </c>
      <c r="G21" s="4">
        <v>7.5204324679174388E-3</v>
      </c>
      <c r="H21" s="4">
        <v>7.6718963276271954E-3</v>
      </c>
      <c r="I21" s="4">
        <v>3.1369071009614505E-3</v>
      </c>
    </row>
    <row r="22" spans="1:17">
      <c r="A22" s="39" t="s">
        <v>270</v>
      </c>
      <c r="B22" s="4">
        <v>4.5193455386993812E-3</v>
      </c>
      <c r="D22" s="123">
        <v>5.1561942229777979E-3</v>
      </c>
      <c r="E22" s="123">
        <v>3.9567171230446979E-3</v>
      </c>
      <c r="G22" s="4">
        <v>5.7582860257855114E-3</v>
      </c>
      <c r="H22" s="4">
        <v>5.8498448274279967E-3</v>
      </c>
      <c r="I22" s="4">
        <v>2.117984906940778E-3</v>
      </c>
    </row>
    <row r="23" spans="1:17">
      <c r="A23" s="39" t="s">
        <v>370</v>
      </c>
      <c r="B23" s="4">
        <v>4.3623140960205647E-3</v>
      </c>
      <c r="D23" s="123">
        <v>4.8670032361449161E-3</v>
      </c>
      <c r="E23" s="123">
        <v>3.8245712938887542E-3</v>
      </c>
      <c r="G23" s="4">
        <v>5.130849758285534E-3</v>
      </c>
      <c r="H23" s="4">
        <v>6.5392957597015132E-3</v>
      </c>
      <c r="I23" s="4">
        <v>1.6254176742243681E-3</v>
      </c>
    </row>
    <row r="24" spans="1:17">
      <c r="A24" s="39" t="s">
        <v>308</v>
      </c>
      <c r="B24" s="4">
        <v>3.4836915625546692E-3</v>
      </c>
      <c r="D24" s="123">
        <v>3.9870967654981535E-3</v>
      </c>
      <c r="E24" s="123">
        <v>3.0378549449220399E-3</v>
      </c>
      <c r="G24" s="4">
        <v>6.5086097031283197E-3</v>
      </c>
      <c r="H24" s="4">
        <v>3.340113417111136E-3</v>
      </c>
      <c r="I24" s="4">
        <v>7.508293737153364E-4</v>
      </c>
    </row>
    <row r="25" spans="1:17">
      <c r="A25" s="132" t="s">
        <v>387</v>
      </c>
      <c r="B25" s="137">
        <v>3.4269860825008121E-3</v>
      </c>
      <c r="C25" s="133"/>
      <c r="D25" s="141">
        <v>3.7008163107532118E-3</v>
      </c>
      <c r="E25" s="141">
        <v>3.2034694257716094E-3</v>
      </c>
      <c r="F25" s="133"/>
      <c r="G25" s="137">
        <v>3.7304982122811363E-3</v>
      </c>
      <c r="H25" s="137">
        <v>4.6500565226778477E-3</v>
      </c>
      <c r="I25" s="137">
        <v>2.0108447902896275E-3</v>
      </c>
    </row>
    <row r="26" spans="1:17">
      <c r="A26" s="72"/>
      <c r="B26" s="156" t="s">
        <v>437</v>
      </c>
      <c r="C26" s="156"/>
      <c r="D26" s="156"/>
      <c r="E26" s="156"/>
      <c r="F26" s="156"/>
      <c r="G26" s="156"/>
      <c r="H26" s="156"/>
      <c r="I26" s="156"/>
    </row>
    <row r="27" spans="1:17">
      <c r="A27" s="39" t="s">
        <v>311</v>
      </c>
      <c r="B27" s="11">
        <v>373945.29412373359</v>
      </c>
      <c r="D27" s="124">
        <v>257419.2667096105</v>
      </c>
      <c r="E27" s="124">
        <v>115964.47272959464</v>
      </c>
      <c r="G27" s="11">
        <v>153104.80891976313</v>
      </c>
      <c r="H27" s="11">
        <v>168393.81873439756</v>
      </c>
      <c r="I27" s="11">
        <v>52446.6664695734</v>
      </c>
      <c r="J27" s="11"/>
      <c r="K27" s="11"/>
      <c r="L27" s="49"/>
      <c r="M27" s="49"/>
      <c r="N27" s="49"/>
      <c r="O27" s="49"/>
      <c r="P27" s="49"/>
      <c r="Q27" s="49"/>
    </row>
    <row r="28" spans="1:17">
      <c r="A28" s="39" t="s">
        <v>271</v>
      </c>
      <c r="B28" s="11">
        <v>320165.75460417772</v>
      </c>
      <c r="D28" s="124">
        <v>224436.6307153118</v>
      </c>
      <c r="E28" s="124">
        <v>94786.042473860987</v>
      </c>
      <c r="G28" s="11">
        <v>109369.10737556788</v>
      </c>
      <c r="H28" s="11">
        <v>142661.7965259862</v>
      </c>
      <c r="I28" s="11">
        <v>68134.850702623313</v>
      </c>
      <c r="J28" s="11"/>
      <c r="K28" s="11"/>
      <c r="L28" s="49"/>
      <c r="M28" s="49"/>
      <c r="N28" s="49"/>
      <c r="O28" s="49"/>
      <c r="P28" s="49"/>
      <c r="Q28" s="49"/>
    </row>
    <row r="29" spans="1:17">
      <c r="A29" s="39" t="s">
        <v>274</v>
      </c>
      <c r="B29" s="11">
        <v>259880.52355145328</v>
      </c>
      <c r="D29" s="124">
        <v>159493.91397387066</v>
      </c>
      <c r="E29" s="124">
        <v>98865.24913606896</v>
      </c>
      <c r="G29" s="11">
        <v>97712.917208888568</v>
      </c>
      <c r="H29" s="11">
        <v>136075.12127111873</v>
      </c>
      <c r="I29" s="11">
        <v>26092.485071445652</v>
      </c>
      <c r="J29" s="11"/>
      <c r="K29" s="11"/>
      <c r="L29" s="49"/>
      <c r="M29" s="49"/>
      <c r="N29" s="49"/>
      <c r="O29" s="49"/>
      <c r="P29" s="49"/>
      <c r="Q29" s="49"/>
    </row>
    <row r="30" spans="1:17">
      <c r="A30" s="39" t="s">
        <v>347</v>
      </c>
      <c r="B30" s="11">
        <v>188300.66518878224</v>
      </c>
      <c r="D30" s="124">
        <v>31314.783905507051</v>
      </c>
      <c r="E30" s="124">
        <v>156404.1085653294</v>
      </c>
      <c r="G30" s="11">
        <v>76027.384730780468</v>
      </c>
      <c r="H30" s="11">
        <v>84930.698509557857</v>
      </c>
      <c r="I30" s="11">
        <v>27342.581948443698</v>
      </c>
      <c r="J30" s="11"/>
      <c r="K30" s="11"/>
      <c r="L30" s="49"/>
      <c r="M30" s="49"/>
      <c r="N30" s="49"/>
      <c r="O30" s="49"/>
      <c r="P30" s="49"/>
      <c r="Q30" s="49"/>
    </row>
    <row r="31" spans="1:17">
      <c r="A31" s="39" t="s">
        <v>292</v>
      </c>
      <c r="B31" s="11">
        <v>186857.2948582292</v>
      </c>
      <c r="D31" s="124">
        <v>150748.48696532377</v>
      </c>
      <c r="E31" s="124">
        <v>36108.807892905235</v>
      </c>
      <c r="G31" s="11">
        <v>60878.826456284936</v>
      </c>
      <c r="H31" s="11">
        <v>78513.60180263994</v>
      </c>
      <c r="I31" s="11">
        <v>47464.866599304012</v>
      </c>
      <c r="J31" s="11"/>
      <c r="K31" s="11"/>
      <c r="L31" s="49"/>
      <c r="M31" s="49"/>
      <c r="N31" s="49"/>
      <c r="O31" s="49"/>
      <c r="P31" s="49"/>
      <c r="Q31" s="49"/>
    </row>
    <row r="32" spans="1:17">
      <c r="A32" s="39" t="s">
        <v>372</v>
      </c>
      <c r="B32" s="11">
        <v>132308.255252353</v>
      </c>
      <c r="D32" s="124">
        <v>62625.053215485175</v>
      </c>
      <c r="E32" s="124">
        <v>69683.202036867748</v>
      </c>
      <c r="G32" s="11">
        <v>54355.111850079142</v>
      </c>
      <c r="H32" s="11">
        <v>54018.087928796151</v>
      </c>
      <c r="I32" s="11">
        <v>23935.055473477631</v>
      </c>
      <c r="J32" s="11"/>
      <c r="K32" s="11"/>
      <c r="L32" s="49"/>
      <c r="M32" s="49"/>
      <c r="N32" s="49"/>
      <c r="O32" s="49"/>
      <c r="P32" s="49"/>
      <c r="Q32" s="49"/>
    </row>
    <row r="33" spans="1:17">
      <c r="A33" s="39" t="s">
        <v>270</v>
      </c>
      <c r="B33" s="11">
        <v>98968.412238021905</v>
      </c>
      <c r="D33" s="124">
        <v>55292.245912421888</v>
      </c>
      <c r="E33" s="124">
        <v>43676.16632560001</v>
      </c>
      <c r="G33" s="11">
        <v>41618.920498463449</v>
      </c>
      <c r="H33" s="11">
        <v>41188.960168802514</v>
      </c>
      <c r="I33" s="11">
        <v>16160.531570755897</v>
      </c>
      <c r="J33" s="11"/>
      <c r="K33" s="11"/>
      <c r="L33" s="49"/>
      <c r="M33" s="49"/>
      <c r="N33" s="49"/>
      <c r="O33" s="49"/>
      <c r="P33" s="49"/>
      <c r="Q33" s="49"/>
    </row>
    <row r="34" spans="1:17">
      <c r="A34" s="39" t="s">
        <v>370</v>
      </c>
      <c r="B34" s="11">
        <v>95529.606238283945</v>
      </c>
      <c r="D34" s="124">
        <v>52191.117741500289</v>
      </c>
      <c r="E34" s="124">
        <v>42217.476448622387</v>
      </c>
      <c r="G34" s="11">
        <v>37084.025910386437</v>
      </c>
      <c r="H34" s="11">
        <v>46043.408077336746</v>
      </c>
      <c r="I34" s="11">
        <v>12402.172250560805</v>
      </c>
      <c r="J34" s="11"/>
      <c r="K34" s="11"/>
      <c r="L34" s="49"/>
      <c r="M34" s="49"/>
      <c r="N34" s="49"/>
      <c r="O34" s="49"/>
      <c r="P34" s="49"/>
      <c r="Q34" s="49"/>
    </row>
    <row r="35" spans="1:17">
      <c r="A35" s="39" t="s">
        <v>308</v>
      </c>
      <c r="B35" s="11">
        <v>76288.794410761489</v>
      </c>
      <c r="D35" s="124">
        <v>42755.475317845696</v>
      </c>
      <c r="E35" s="124">
        <v>33533.319092915757</v>
      </c>
      <c r="G35" s="11">
        <v>47042.003224053689</v>
      </c>
      <c r="H35" s="11">
        <v>23517.854328652586</v>
      </c>
      <c r="I35" s="11">
        <v>5728.93685805517</v>
      </c>
      <c r="J35" s="11"/>
      <c r="K35" s="11"/>
      <c r="L35" s="49"/>
      <c r="M35" s="49"/>
      <c r="N35" s="49"/>
      <c r="O35" s="49"/>
      <c r="P35" s="49"/>
      <c r="Q35" s="49"/>
    </row>
    <row r="36" spans="1:17">
      <c r="A36" s="39" t="s">
        <v>387</v>
      </c>
      <c r="B36" s="11">
        <v>75047.010334268823</v>
      </c>
      <c r="D36" s="124">
        <v>39685.558123272742</v>
      </c>
      <c r="E36" s="124">
        <v>35361.452210996125</v>
      </c>
      <c r="G36" s="11">
        <v>26962.764235979244</v>
      </c>
      <c r="H36" s="11">
        <v>32741.209133827349</v>
      </c>
      <c r="I36" s="11">
        <v>15343.036964462273</v>
      </c>
      <c r="J36" s="11"/>
      <c r="K36" s="11"/>
      <c r="L36" s="49"/>
      <c r="M36" s="49"/>
      <c r="N36" s="49"/>
      <c r="O36" s="49"/>
      <c r="P36" s="49"/>
      <c r="Q36" s="49"/>
    </row>
    <row r="37" spans="1:17">
      <c r="A37" s="132"/>
      <c r="B37" s="137"/>
      <c r="C37" s="137"/>
      <c r="D37" s="141"/>
      <c r="E37" s="141"/>
      <c r="F37" s="137"/>
      <c r="G37" s="137"/>
      <c r="H37" s="137"/>
      <c r="I37" s="137"/>
    </row>
    <row r="38" spans="1:17">
      <c r="A38" s="16" t="s">
        <v>433</v>
      </c>
      <c r="C38" s="4"/>
      <c r="F38" s="4"/>
    </row>
    <row r="39" spans="1:17">
      <c r="A39" s="29" t="s">
        <v>147</v>
      </c>
      <c r="C39" s="4"/>
      <c r="F39" s="4"/>
    </row>
    <row r="40" spans="1:17">
      <c r="A40" s="16" t="s">
        <v>438</v>
      </c>
      <c r="C40" s="4"/>
      <c r="F40" s="4"/>
    </row>
    <row r="41" spans="1:17">
      <c r="A41" s="16" t="s">
        <v>119</v>
      </c>
      <c r="C41" s="4"/>
      <c r="F41" s="4"/>
    </row>
    <row r="42" spans="1:17">
      <c r="A42" s="16" t="s">
        <v>120</v>
      </c>
      <c r="C42" s="4"/>
      <c r="F42" s="4"/>
    </row>
    <row r="43" spans="1:17">
      <c r="A43" s="29" t="s">
        <v>118</v>
      </c>
      <c r="C43" s="4"/>
      <c r="F43" s="4"/>
    </row>
    <row r="44" spans="1:17">
      <c r="C44" s="4"/>
      <c r="F44" s="4"/>
    </row>
    <row r="45" spans="1:17">
      <c r="C45" s="4"/>
      <c r="F45" s="4"/>
    </row>
    <row r="46" spans="1:17">
      <c r="C46" s="4"/>
      <c r="F46" s="4"/>
    </row>
    <row r="47" spans="1:17">
      <c r="C47" s="4"/>
      <c r="F47" s="4"/>
    </row>
    <row r="48" spans="1:17">
      <c r="C48" s="4"/>
      <c r="F48" s="4"/>
    </row>
    <row r="49" spans="3:6">
      <c r="C49" s="4"/>
      <c r="F49" s="4"/>
    </row>
    <row r="50" spans="3:6">
      <c r="C50" s="4"/>
      <c r="F50" s="4"/>
    </row>
    <row r="51" spans="3:6">
      <c r="C51" s="4"/>
      <c r="F51" s="4"/>
    </row>
    <row r="52" spans="3:6">
      <c r="C52" s="4"/>
      <c r="F52" s="4"/>
    </row>
    <row r="53" spans="3:6">
      <c r="C53" s="4"/>
      <c r="F53" s="4"/>
    </row>
    <row r="54" spans="3:6">
      <c r="C54" s="4"/>
      <c r="F54" s="4"/>
    </row>
    <row r="55" spans="3:6">
      <c r="C55" s="4"/>
      <c r="F55" s="4"/>
    </row>
    <row r="56" spans="3:6">
      <c r="C56" s="4"/>
      <c r="F56" s="4"/>
    </row>
    <row r="57" spans="3:6">
      <c r="C57" s="4"/>
      <c r="F57" s="4"/>
    </row>
    <row r="58" spans="3:6">
      <c r="C58" s="4"/>
      <c r="F58" s="4"/>
    </row>
    <row r="59" spans="3:6">
      <c r="C59" s="4"/>
      <c r="F59" s="4"/>
    </row>
    <row r="60" spans="3:6">
      <c r="C60" s="4"/>
      <c r="F60" s="4"/>
    </row>
    <row r="61" spans="3:6">
      <c r="C61" s="4"/>
      <c r="F61" s="4"/>
    </row>
    <row r="62" spans="3:6">
      <c r="C62" s="4"/>
      <c r="F62" s="4"/>
    </row>
    <row r="63" spans="3:6">
      <c r="C63" s="4"/>
      <c r="F63" s="4"/>
    </row>
    <row r="64" spans="3:6">
      <c r="C64" s="4"/>
      <c r="F64" s="4"/>
    </row>
    <row r="65" spans="3:6">
      <c r="C65" s="4"/>
      <c r="F65" s="4"/>
    </row>
    <row r="66" spans="3:6">
      <c r="C66" s="4"/>
      <c r="F66" s="4"/>
    </row>
    <row r="67" spans="3:6">
      <c r="C67" s="4"/>
      <c r="F67" s="4"/>
    </row>
    <row r="68" spans="3:6">
      <c r="C68" s="4"/>
      <c r="F68" s="4"/>
    </row>
    <row r="69" spans="3:6">
      <c r="C69" s="4"/>
      <c r="F69" s="4"/>
    </row>
    <row r="70" spans="3:6">
      <c r="C70" s="4"/>
      <c r="F70" s="4"/>
    </row>
    <row r="71" spans="3:6">
      <c r="C71" s="4"/>
      <c r="F71" s="4"/>
    </row>
    <row r="72" spans="3:6">
      <c r="C72" s="4"/>
      <c r="F72" s="4"/>
    </row>
    <row r="73" spans="3:6">
      <c r="C73" s="4"/>
      <c r="F73" s="4"/>
    </row>
    <row r="74" spans="3:6">
      <c r="C74" s="4"/>
      <c r="F74" s="4"/>
    </row>
    <row r="75" spans="3:6">
      <c r="C75" s="4"/>
      <c r="F75" s="4"/>
    </row>
    <row r="76" spans="3:6">
      <c r="C76" s="4"/>
      <c r="F76" s="4"/>
    </row>
    <row r="77" spans="3:6">
      <c r="C77" s="4"/>
      <c r="F77" s="4"/>
    </row>
    <row r="78" spans="3:6">
      <c r="C78" s="4"/>
      <c r="F78" s="4"/>
    </row>
    <row r="79" spans="3:6">
      <c r="C79" s="4"/>
      <c r="F79" s="4"/>
    </row>
    <row r="80" spans="3:6">
      <c r="C80" s="4"/>
      <c r="F80" s="4"/>
    </row>
    <row r="81" spans="3:6">
      <c r="C81" s="4"/>
      <c r="F81" s="4"/>
    </row>
    <row r="82" spans="3:6">
      <c r="C82" s="4"/>
      <c r="F82" s="4"/>
    </row>
    <row r="83" spans="3:6">
      <c r="C83" s="4"/>
      <c r="F83" s="4"/>
    </row>
    <row r="84" spans="3:6">
      <c r="C84" s="4"/>
      <c r="F84" s="4"/>
    </row>
    <row r="85" spans="3:6">
      <c r="C85" s="4"/>
      <c r="F85" s="4"/>
    </row>
    <row r="86" spans="3:6">
      <c r="C86" s="4"/>
      <c r="F86" s="4"/>
    </row>
    <row r="87" spans="3:6">
      <c r="C87" s="4"/>
      <c r="F87" s="4"/>
    </row>
    <row r="88" spans="3:6">
      <c r="C88" s="4"/>
      <c r="F88" s="4"/>
    </row>
    <row r="89" spans="3:6">
      <c r="C89" s="4"/>
      <c r="F89" s="4"/>
    </row>
    <row r="90" spans="3:6">
      <c r="C90" s="4"/>
      <c r="F90" s="4"/>
    </row>
    <row r="91" spans="3:6">
      <c r="C91" s="4"/>
      <c r="F91" s="4"/>
    </row>
    <row r="92" spans="3:6">
      <c r="C92" s="4"/>
      <c r="F92" s="4"/>
    </row>
    <row r="93" spans="3:6">
      <c r="C93" s="4"/>
      <c r="F93" s="4"/>
    </row>
    <row r="94" spans="3:6">
      <c r="C94" s="4"/>
      <c r="F94" s="4"/>
    </row>
    <row r="95" spans="3:6">
      <c r="C95" s="4"/>
      <c r="F95" s="4"/>
    </row>
    <row r="96" spans="3:6">
      <c r="C96" s="4"/>
      <c r="F96" s="4"/>
    </row>
    <row r="97" spans="3:6">
      <c r="C97" s="4"/>
      <c r="F97" s="4"/>
    </row>
    <row r="98" spans="3:6">
      <c r="C98" s="4"/>
      <c r="F98" s="4"/>
    </row>
    <row r="99" spans="3:6">
      <c r="C99" s="4"/>
      <c r="F99" s="4"/>
    </row>
    <row r="100" spans="3:6">
      <c r="C100" s="4"/>
      <c r="F100" s="4"/>
    </row>
    <row r="101" spans="3:6">
      <c r="C101" s="4"/>
      <c r="F101" s="4"/>
    </row>
    <row r="102" spans="3:6">
      <c r="C102" s="4"/>
      <c r="F102" s="4"/>
    </row>
    <row r="103" spans="3:6">
      <c r="C103" s="4"/>
      <c r="F103" s="4"/>
    </row>
    <row r="104" spans="3:6">
      <c r="C104" s="4"/>
      <c r="F104" s="4"/>
    </row>
    <row r="105" spans="3:6">
      <c r="C105" s="4"/>
      <c r="F105" s="4"/>
    </row>
    <row r="106" spans="3:6">
      <c r="C106" s="4"/>
      <c r="F106" s="4"/>
    </row>
    <row r="107" spans="3:6">
      <c r="C107" s="4"/>
      <c r="F107" s="4"/>
    </row>
    <row r="108" spans="3:6">
      <c r="C108" s="4"/>
      <c r="F108" s="4"/>
    </row>
    <row r="109" spans="3:6">
      <c r="C109" s="4"/>
      <c r="F109" s="4"/>
    </row>
    <row r="110" spans="3:6">
      <c r="C110" s="4"/>
      <c r="F110" s="4"/>
    </row>
    <row r="111" spans="3:6">
      <c r="C111" s="4"/>
      <c r="F111" s="4"/>
    </row>
    <row r="112" spans="3:6">
      <c r="C112" s="4"/>
      <c r="F112" s="4"/>
    </row>
    <row r="113" spans="3:6">
      <c r="C113" s="4"/>
      <c r="F113" s="4"/>
    </row>
    <row r="114" spans="3:6">
      <c r="C114" s="4"/>
      <c r="F114" s="4"/>
    </row>
    <row r="115" spans="3:6">
      <c r="C115" s="4"/>
      <c r="F115" s="4"/>
    </row>
    <row r="116" spans="3:6">
      <c r="C116" s="4"/>
      <c r="F116" s="4"/>
    </row>
    <row r="117" spans="3:6">
      <c r="C117" s="4"/>
      <c r="F117" s="4"/>
    </row>
    <row r="118" spans="3:6">
      <c r="C118" s="4"/>
      <c r="F118" s="4"/>
    </row>
    <row r="119" spans="3:6">
      <c r="C119" s="4"/>
      <c r="F119" s="4"/>
    </row>
    <row r="120" spans="3:6">
      <c r="C120" s="4"/>
      <c r="F120" s="4"/>
    </row>
    <row r="121" spans="3:6">
      <c r="C121" s="4"/>
      <c r="F121" s="4"/>
    </row>
    <row r="122" spans="3:6">
      <c r="C122" s="4"/>
      <c r="F122" s="4"/>
    </row>
    <row r="123" spans="3:6">
      <c r="C123" s="4"/>
      <c r="F123" s="4"/>
    </row>
    <row r="124" spans="3:6">
      <c r="C124" s="4"/>
      <c r="F124" s="4"/>
    </row>
    <row r="125" spans="3:6">
      <c r="C125" s="4"/>
      <c r="F125" s="4"/>
    </row>
    <row r="126" spans="3:6">
      <c r="C126" s="4"/>
      <c r="F126" s="4"/>
    </row>
    <row r="127" spans="3:6">
      <c r="C127" s="4"/>
      <c r="F127" s="4"/>
    </row>
    <row r="128" spans="3:6">
      <c r="C128" s="4"/>
      <c r="F128" s="4"/>
    </row>
    <row r="129" spans="3:6">
      <c r="C129" s="4"/>
      <c r="F129" s="4"/>
    </row>
    <row r="130" spans="3:6">
      <c r="C130" s="4"/>
      <c r="F130" s="4"/>
    </row>
    <row r="131" spans="3:6">
      <c r="C131" s="4"/>
      <c r="F131" s="4"/>
    </row>
    <row r="132" spans="3:6">
      <c r="C132" s="4"/>
      <c r="F132" s="4"/>
    </row>
    <row r="133" spans="3:6">
      <c r="C133" s="4"/>
      <c r="F133" s="4"/>
    </row>
    <row r="134" spans="3:6">
      <c r="C134" s="4"/>
      <c r="F134" s="4"/>
    </row>
    <row r="135" spans="3:6">
      <c r="C135" s="4"/>
      <c r="F135" s="4"/>
    </row>
    <row r="136" spans="3:6">
      <c r="C136" s="4"/>
      <c r="F136" s="4"/>
    </row>
    <row r="137" spans="3:6">
      <c r="C137" s="4"/>
      <c r="F137" s="4"/>
    </row>
    <row r="138" spans="3:6">
      <c r="C138" s="4"/>
      <c r="F138" s="4"/>
    </row>
    <row r="139" spans="3:6">
      <c r="C139" s="4"/>
      <c r="F139" s="4"/>
    </row>
    <row r="140" spans="3:6">
      <c r="C140" s="4"/>
      <c r="F140" s="4"/>
    </row>
    <row r="141" spans="3:6">
      <c r="C141" s="4"/>
      <c r="F141" s="4"/>
    </row>
    <row r="142" spans="3:6">
      <c r="C142" s="4"/>
      <c r="F142" s="4"/>
    </row>
    <row r="143" spans="3:6">
      <c r="C143" s="4"/>
      <c r="F143" s="4"/>
    </row>
    <row r="144" spans="3:6">
      <c r="C144" s="4"/>
      <c r="F144" s="4"/>
    </row>
    <row r="145" spans="3:6">
      <c r="C145" s="4"/>
      <c r="F145" s="4"/>
    </row>
    <row r="146" spans="3:6">
      <c r="C146" s="4"/>
      <c r="F146" s="4"/>
    </row>
    <row r="147" spans="3:6">
      <c r="C147" s="4"/>
      <c r="F147" s="4"/>
    </row>
    <row r="148" spans="3:6">
      <c r="C148" s="4"/>
      <c r="F148" s="4"/>
    </row>
    <row r="149" spans="3:6">
      <c r="C149" s="4"/>
      <c r="F149" s="4"/>
    </row>
    <row r="150" spans="3:6">
      <c r="C150" s="4"/>
      <c r="F150" s="4"/>
    </row>
    <row r="151" spans="3:6">
      <c r="C151" s="4"/>
      <c r="F151" s="4"/>
    </row>
    <row r="152" spans="3:6">
      <c r="C152" s="4"/>
      <c r="F152" s="4"/>
    </row>
    <row r="153" spans="3:6">
      <c r="C153" s="4"/>
      <c r="F153" s="4"/>
    </row>
    <row r="154" spans="3:6">
      <c r="C154" s="4"/>
      <c r="F154" s="4"/>
    </row>
    <row r="155" spans="3:6">
      <c r="C155" s="4"/>
      <c r="F155" s="4"/>
    </row>
    <row r="156" spans="3:6">
      <c r="C156" s="4"/>
      <c r="F156" s="4"/>
    </row>
    <row r="157" spans="3:6">
      <c r="C157" s="4"/>
      <c r="F157" s="4"/>
    </row>
    <row r="158" spans="3:6">
      <c r="C158" s="4"/>
      <c r="F158" s="4"/>
    </row>
    <row r="160" spans="3:6">
      <c r="C160" s="50"/>
      <c r="F160" s="50"/>
    </row>
    <row r="161" spans="3:6">
      <c r="C161" s="50"/>
      <c r="F161" s="50"/>
    </row>
    <row r="162" spans="3:6">
      <c r="C162" s="50"/>
      <c r="F162" s="50"/>
    </row>
    <row r="163" spans="3:6">
      <c r="C163" s="50"/>
      <c r="F163" s="50"/>
    </row>
    <row r="164" spans="3:6">
      <c r="C164" s="50"/>
      <c r="F164" s="50"/>
    </row>
    <row r="165" spans="3:6">
      <c r="C165" s="50"/>
      <c r="F165" s="50"/>
    </row>
    <row r="166" spans="3:6">
      <c r="C166" s="50"/>
      <c r="F166" s="50"/>
    </row>
    <row r="167" spans="3:6">
      <c r="C167" s="50"/>
      <c r="F167" s="50"/>
    </row>
    <row r="168" spans="3:6">
      <c r="C168" s="50"/>
      <c r="F168" s="50"/>
    </row>
    <row r="169" spans="3:6">
      <c r="C169" s="50"/>
      <c r="F169" s="50"/>
    </row>
    <row r="170" spans="3:6">
      <c r="C170" s="50"/>
      <c r="F170" s="50"/>
    </row>
    <row r="171" spans="3:6">
      <c r="C171" s="50"/>
      <c r="F171" s="50"/>
    </row>
    <row r="172" spans="3:6">
      <c r="C172" s="50"/>
      <c r="F172" s="50"/>
    </row>
    <row r="173" spans="3:6">
      <c r="C173" s="50"/>
      <c r="F173" s="50"/>
    </row>
    <row r="174" spans="3:6">
      <c r="C174" s="50"/>
      <c r="F174" s="50"/>
    </row>
    <row r="175" spans="3:6">
      <c r="C175" s="50"/>
      <c r="F175" s="50"/>
    </row>
    <row r="176" spans="3:6">
      <c r="C176" s="50"/>
      <c r="F176" s="50"/>
    </row>
    <row r="177" spans="3:6">
      <c r="C177" s="50"/>
      <c r="F177" s="50"/>
    </row>
    <row r="178" spans="3:6">
      <c r="C178" s="50"/>
      <c r="F178" s="50"/>
    </row>
    <row r="179" spans="3:6">
      <c r="C179" s="50"/>
      <c r="F179" s="50"/>
    </row>
    <row r="180" spans="3:6">
      <c r="C180" s="50"/>
      <c r="F180" s="50"/>
    </row>
    <row r="181" spans="3:6">
      <c r="C181" s="50"/>
      <c r="F181" s="50"/>
    </row>
    <row r="182" spans="3:6">
      <c r="C182" s="50"/>
      <c r="F182" s="50"/>
    </row>
    <row r="183" spans="3:6">
      <c r="C183" s="50"/>
      <c r="F183" s="50"/>
    </row>
    <row r="184" spans="3:6">
      <c r="C184" s="50"/>
      <c r="F184" s="50"/>
    </row>
    <row r="185" spans="3:6">
      <c r="C185" s="50"/>
      <c r="F185" s="50"/>
    </row>
    <row r="186" spans="3:6">
      <c r="C186" s="50"/>
      <c r="F186" s="50"/>
    </row>
    <row r="187" spans="3:6">
      <c r="C187" s="50"/>
      <c r="F187" s="50"/>
    </row>
    <row r="188" spans="3:6">
      <c r="C188" s="50"/>
      <c r="F188" s="50"/>
    </row>
    <row r="189" spans="3:6">
      <c r="C189" s="50"/>
      <c r="F189" s="50"/>
    </row>
    <row r="190" spans="3:6">
      <c r="C190" s="50"/>
      <c r="F190" s="50"/>
    </row>
    <row r="191" spans="3:6">
      <c r="C191" s="50"/>
      <c r="F191" s="50"/>
    </row>
    <row r="192" spans="3:6">
      <c r="C192" s="50"/>
      <c r="F192" s="50"/>
    </row>
    <row r="193" spans="3:6">
      <c r="C193" s="50"/>
      <c r="F193" s="50"/>
    </row>
    <row r="194" spans="3:6">
      <c r="C194" s="50"/>
      <c r="F194" s="50"/>
    </row>
    <row r="195" spans="3:6">
      <c r="C195" s="50"/>
      <c r="F195" s="50"/>
    </row>
    <row r="196" spans="3:6">
      <c r="C196" s="50"/>
      <c r="F196" s="50"/>
    </row>
    <row r="197" spans="3:6">
      <c r="C197" s="50"/>
      <c r="F197" s="50"/>
    </row>
    <row r="198" spans="3:6">
      <c r="C198" s="50"/>
      <c r="F198" s="50"/>
    </row>
    <row r="199" spans="3:6">
      <c r="C199" s="50"/>
      <c r="F199" s="50"/>
    </row>
    <row r="200" spans="3:6">
      <c r="C200" s="50"/>
      <c r="F200" s="50"/>
    </row>
    <row r="201" spans="3:6">
      <c r="C201" s="50"/>
      <c r="F201" s="50"/>
    </row>
    <row r="202" spans="3:6">
      <c r="C202" s="50"/>
      <c r="F202" s="50"/>
    </row>
    <row r="203" spans="3:6">
      <c r="C203" s="50"/>
      <c r="F203" s="50"/>
    </row>
    <row r="204" spans="3:6">
      <c r="C204" s="50"/>
      <c r="F204" s="50"/>
    </row>
    <row r="205" spans="3:6">
      <c r="C205" s="50"/>
      <c r="F205" s="50"/>
    </row>
    <row r="206" spans="3:6">
      <c r="C206" s="50"/>
      <c r="F206" s="50"/>
    </row>
    <row r="207" spans="3:6">
      <c r="C207" s="50"/>
      <c r="F207" s="50"/>
    </row>
    <row r="208" spans="3:6">
      <c r="C208" s="50"/>
      <c r="F208" s="50"/>
    </row>
    <row r="209" spans="3:6">
      <c r="C209" s="50"/>
      <c r="F209" s="50"/>
    </row>
    <row r="210" spans="3:6">
      <c r="C210" s="50"/>
      <c r="F210" s="50"/>
    </row>
    <row r="211" spans="3:6">
      <c r="C211" s="50"/>
      <c r="F211" s="50"/>
    </row>
    <row r="212" spans="3:6">
      <c r="C212" s="50"/>
      <c r="F212" s="50"/>
    </row>
    <row r="213" spans="3:6">
      <c r="C213" s="50"/>
      <c r="F213" s="50"/>
    </row>
    <row r="214" spans="3:6">
      <c r="C214" s="50"/>
      <c r="F214" s="50"/>
    </row>
    <row r="215" spans="3:6">
      <c r="C215" s="50"/>
      <c r="F215" s="50"/>
    </row>
    <row r="216" spans="3:6">
      <c r="C216" s="50"/>
      <c r="F216" s="50"/>
    </row>
    <row r="217" spans="3:6">
      <c r="C217" s="50"/>
      <c r="F217" s="50"/>
    </row>
    <row r="218" spans="3:6">
      <c r="C218" s="50"/>
      <c r="F218" s="50"/>
    </row>
    <row r="219" spans="3:6">
      <c r="C219" s="50"/>
      <c r="F219" s="50"/>
    </row>
    <row r="220" spans="3:6">
      <c r="C220" s="50"/>
      <c r="F220" s="50"/>
    </row>
    <row r="221" spans="3:6">
      <c r="C221" s="50"/>
      <c r="F221" s="50"/>
    </row>
    <row r="222" spans="3:6">
      <c r="C222" s="50"/>
      <c r="F222" s="50"/>
    </row>
    <row r="223" spans="3:6">
      <c r="C223" s="50"/>
      <c r="F223" s="50"/>
    </row>
    <row r="224" spans="3:6">
      <c r="C224" s="50"/>
      <c r="F224" s="50"/>
    </row>
    <row r="225" spans="3:6">
      <c r="C225" s="50"/>
      <c r="F225" s="50"/>
    </row>
    <row r="226" spans="3:6">
      <c r="C226" s="50"/>
      <c r="F226" s="50"/>
    </row>
    <row r="227" spans="3:6">
      <c r="C227" s="50"/>
      <c r="F227" s="50"/>
    </row>
    <row r="228" spans="3:6">
      <c r="C228" s="50"/>
      <c r="F228" s="50"/>
    </row>
    <row r="229" spans="3:6">
      <c r="C229" s="50"/>
      <c r="F229" s="50"/>
    </row>
    <row r="230" spans="3:6">
      <c r="C230" s="50"/>
      <c r="F230" s="50"/>
    </row>
    <row r="231" spans="3:6">
      <c r="C231" s="50"/>
      <c r="F231" s="50"/>
    </row>
    <row r="232" spans="3:6">
      <c r="C232" s="50"/>
      <c r="F232" s="50"/>
    </row>
    <row r="233" spans="3:6">
      <c r="C233" s="50"/>
      <c r="F233" s="50"/>
    </row>
    <row r="234" spans="3:6">
      <c r="C234" s="50"/>
      <c r="F234" s="50"/>
    </row>
    <row r="235" spans="3:6">
      <c r="C235" s="50"/>
      <c r="F235" s="50"/>
    </row>
    <row r="236" spans="3:6">
      <c r="C236" s="50"/>
      <c r="F236" s="50"/>
    </row>
    <row r="237" spans="3:6">
      <c r="C237" s="50"/>
      <c r="F237" s="50"/>
    </row>
    <row r="238" spans="3:6">
      <c r="C238" s="50"/>
      <c r="F238" s="50"/>
    </row>
    <row r="239" spans="3:6">
      <c r="C239" s="50"/>
      <c r="F239" s="50"/>
    </row>
    <row r="240" spans="3:6">
      <c r="C240" s="50"/>
      <c r="F240" s="50"/>
    </row>
    <row r="241" spans="3:6">
      <c r="C241" s="50"/>
      <c r="F241" s="50"/>
    </row>
    <row r="242" spans="3:6">
      <c r="C242" s="50"/>
      <c r="F242" s="50"/>
    </row>
    <row r="243" spans="3:6">
      <c r="C243" s="50"/>
      <c r="F243" s="50"/>
    </row>
    <row r="244" spans="3:6">
      <c r="C244" s="50"/>
      <c r="F244" s="50"/>
    </row>
    <row r="245" spans="3:6">
      <c r="C245" s="50"/>
      <c r="F245" s="50"/>
    </row>
    <row r="246" spans="3:6">
      <c r="C246" s="50"/>
      <c r="F246" s="50"/>
    </row>
    <row r="247" spans="3:6">
      <c r="C247" s="50"/>
      <c r="F247" s="50"/>
    </row>
    <row r="248" spans="3:6">
      <c r="C248" s="50"/>
      <c r="F248" s="50"/>
    </row>
    <row r="249" spans="3:6">
      <c r="C249" s="50"/>
      <c r="F249" s="50"/>
    </row>
    <row r="250" spans="3:6">
      <c r="C250" s="50"/>
      <c r="F250" s="50"/>
    </row>
    <row r="251" spans="3:6">
      <c r="C251" s="50"/>
      <c r="F251" s="50"/>
    </row>
    <row r="252" spans="3:6">
      <c r="C252" s="50"/>
      <c r="F252" s="50"/>
    </row>
    <row r="253" spans="3:6">
      <c r="C253" s="50"/>
      <c r="F253" s="50"/>
    </row>
    <row r="254" spans="3:6">
      <c r="C254" s="50"/>
      <c r="F254" s="50"/>
    </row>
    <row r="255" spans="3:6">
      <c r="C255" s="50"/>
      <c r="F255" s="50"/>
    </row>
    <row r="256" spans="3:6">
      <c r="C256" s="50"/>
      <c r="F256" s="50"/>
    </row>
    <row r="257" spans="3:6">
      <c r="C257" s="50"/>
      <c r="F257" s="50"/>
    </row>
    <row r="258" spans="3:6">
      <c r="C258" s="50"/>
      <c r="F258" s="50"/>
    </row>
    <row r="259" spans="3:6">
      <c r="C259" s="50"/>
      <c r="F259" s="50"/>
    </row>
    <row r="260" spans="3:6">
      <c r="C260" s="50"/>
      <c r="F260" s="50"/>
    </row>
    <row r="261" spans="3:6">
      <c r="C261" s="50"/>
      <c r="F261" s="50"/>
    </row>
    <row r="262" spans="3:6">
      <c r="C262" s="50"/>
      <c r="F262" s="50"/>
    </row>
    <row r="263" spans="3:6">
      <c r="C263" s="50"/>
      <c r="F263" s="50"/>
    </row>
    <row r="264" spans="3:6">
      <c r="C264" s="50"/>
      <c r="F264" s="50"/>
    </row>
    <row r="265" spans="3:6">
      <c r="C265" s="50"/>
      <c r="F265" s="50"/>
    </row>
    <row r="266" spans="3:6">
      <c r="C266" s="50"/>
      <c r="F266" s="50"/>
    </row>
    <row r="267" spans="3:6">
      <c r="C267" s="50"/>
      <c r="F267" s="50"/>
    </row>
    <row r="268" spans="3:6">
      <c r="C268" s="50"/>
      <c r="F268" s="50"/>
    </row>
    <row r="269" spans="3:6">
      <c r="C269" s="50"/>
      <c r="F269" s="50"/>
    </row>
    <row r="270" spans="3:6">
      <c r="C270" s="50"/>
      <c r="F270" s="50"/>
    </row>
    <row r="271" spans="3:6">
      <c r="C271" s="50"/>
      <c r="F271" s="50"/>
    </row>
    <row r="272" spans="3:6">
      <c r="C272" s="50"/>
      <c r="F272" s="50"/>
    </row>
    <row r="273" spans="3:6">
      <c r="C273" s="50"/>
      <c r="F273" s="50"/>
    </row>
    <row r="274" spans="3:6">
      <c r="C274" s="50"/>
      <c r="F274" s="50"/>
    </row>
    <row r="275" spans="3:6">
      <c r="C275" s="50"/>
      <c r="F275" s="50"/>
    </row>
    <row r="276" spans="3:6">
      <c r="C276" s="50"/>
      <c r="F276" s="50"/>
    </row>
    <row r="277" spans="3:6">
      <c r="C277" s="50"/>
      <c r="F277" s="50"/>
    </row>
    <row r="278" spans="3:6">
      <c r="C278" s="50"/>
      <c r="F278" s="50"/>
    </row>
    <row r="279" spans="3:6">
      <c r="C279" s="50"/>
      <c r="F279" s="50"/>
    </row>
    <row r="280" spans="3:6">
      <c r="C280" s="50"/>
      <c r="F280" s="50"/>
    </row>
    <row r="281" spans="3:6">
      <c r="C281" s="50"/>
      <c r="F281" s="50"/>
    </row>
    <row r="282" spans="3:6">
      <c r="C282" s="50"/>
      <c r="F282" s="50"/>
    </row>
    <row r="283" spans="3:6">
      <c r="C283" s="50"/>
      <c r="F283" s="50"/>
    </row>
    <row r="284" spans="3:6">
      <c r="C284" s="50"/>
      <c r="F284" s="50"/>
    </row>
    <row r="285" spans="3:6">
      <c r="C285" s="50"/>
      <c r="F285" s="50"/>
    </row>
    <row r="286" spans="3:6">
      <c r="C286" s="50"/>
      <c r="F286" s="50"/>
    </row>
    <row r="287" spans="3:6">
      <c r="C287" s="50"/>
      <c r="F287" s="50"/>
    </row>
    <row r="288" spans="3:6">
      <c r="C288" s="50"/>
      <c r="F288" s="50"/>
    </row>
    <row r="289" spans="3:6">
      <c r="C289" s="50"/>
      <c r="F289" s="50"/>
    </row>
    <row r="290" spans="3:6">
      <c r="C290" s="50"/>
      <c r="F290" s="50"/>
    </row>
    <row r="291" spans="3:6">
      <c r="C291" s="50"/>
      <c r="F291" s="50"/>
    </row>
    <row r="292" spans="3:6">
      <c r="C292" s="50"/>
      <c r="F292" s="50"/>
    </row>
    <row r="293" spans="3:6">
      <c r="C293" s="50"/>
      <c r="F293" s="50"/>
    </row>
    <row r="294" spans="3:6">
      <c r="C294" s="50"/>
      <c r="F294" s="50"/>
    </row>
    <row r="295" spans="3:6">
      <c r="C295" s="50"/>
      <c r="F295" s="50"/>
    </row>
    <row r="296" spans="3:6">
      <c r="C296" s="50"/>
      <c r="F296" s="50"/>
    </row>
    <row r="297" spans="3:6">
      <c r="C297" s="50"/>
      <c r="F297" s="50"/>
    </row>
    <row r="298" spans="3:6">
      <c r="C298" s="50"/>
      <c r="F298" s="50"/>
    </row>
    <row r="299" spans="3:6">
      <c r="C299" s="50"/>
      <c r="F299" s="50"/>
    </row>
    <row r="300" spans="3:6">
      <c r="C300" s="50"/>
      <c r="F300" s="50"/>
    </row>
    <row r="301" spans="3:6">
      <c r="C301" s="50"/>
      <c r="F301" s="50"/>
    </row>
    <row r="302" spans="3:6">
      <c r="C302" s="50"/>
      <c r="F302" s="50"/>
    </row>
    <row r="303" spans="3:6">
      <c r="C303" s="133"/>
      <c r="F303" s="133"/>
    </row>
    <row r="304" spans="3:6">
      <c r="C304" s="17"/>
      <c r="F304" s="17"/>
    </row>
    <row r="305" spans="3:6">
      <c r="C305" s="17"/>
      <c r="F305" s="17"/>
    </row>
  </sheetData>
  <mergeCells count="3">
    <mergeCell ref="B26:I26"/>
    <mergeCell ref="B15:I15"/>
    <mergeCell ref="G13:I13"/>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B27&lt;'34'!$C$104</xm:f>
            <x14:dxf>
              <font>
                <color rgb="FFFF0000"/>
              </font>
              <numFmt numFmtId="172" formatCode="\*\*0.0%"/>
            </x14:dxf>
          </x14:cfRule>
          <x14:cfRule type="expression" priority="4" id="{CA20275E-04DD-48C1-9B3E-42A6C59ECCBC}">
            <xm:f>B27&lt;'34'!$C$103</xm:f>
            <x14:dxf>
              <font>
                <color rgb="FF00B050"/>
              </font>
              <numFmt numFmtId="171" formatCode="\*0.0%"/>
            </x14:dxf>
          </x14:cfRule>
          <xm:sqref>B16:I25</xm:sqref>
        </x14:conditionalFormatting>
        <x14:conditionalFormatting xmlns:xm="http://schemas.microsoft.com/office/excel/2006/main">
          <x14:cfRule type="expression" priority="1" id="{C742D936-8170-42C1-8B2C-ABE6B017AC04}">
            <xm:f>B27&lt;'34'!$C$104</xm:f>
            <x14:dxf>
              <font>
                <color rgb="FFFF0000"/>
              </font>
              <numFmt numFmtId="170" formatCode="\*\*#,###,###,##0"/>
            </x14:dxf>
          </x14:cfRule>
          <x14:cfRule type="expression" priority="2" id="{2DFA176C-A0F7-409B-931F-AD8CCB9B20A8}">
            <xm:f>B27&lt;'34'!$C$103</xm:f>
            <x14:dxf>
              <font>
                <color rgb="FF00B050"/>
              </font>
              <numFmt numFmtId="169" formatCode="\*#,###,###,##0"/>
            </x14:dxf>
          </x14:cfRule>
          <xm:sqref>B27:I36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1"/>
  <sheetViews>
    <sheetView zoomScaleNormal="100" workbookViewId="0">
      <pane xSplit="1" ySplit="13" topLeftCell="B14" activePane="bottomRight" state="frozen"/>
      <selection pane="bottomRight"/>
      <selection pane="bottomLeft"/>
      <selection pane="topRight"/>
    </sheetView>
  </sheetViews>
  <sheetFormatPr defaultColWidth="8.85546875" defaultRowHeight="1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5">
      <c r="A1" s="34"/>
      <c r="B1" s="34"/>
      <c r="C1" s="34"/>
      <c r="D1" s="34"/>
      <c r="E1" s="34"/>
    </row>
    <row r="2" spans="1:5">
      <c r="A2" s="34"/>
      <c r="B2" s="34"/>
      <c r="C2" s="34"/>
      <c r="D2" s="34"/>
      <c r="E2" s="34"/>
    </row>
    <row r="3" spans="1:5">
      <c r="A3" s="34"/>
      <c r="B3" s="34"/>
      <c r="C3" s="34"/>
      <c r="D3" s="34"/>
      <c r="E3" s="34"/>
    </row>
    <row r="4" spans="1:5">
      <c r="A4" s="34"/>
      <c r="B4" s="34"/>
      <c r="C4" s="34"/>
      <c r="D4" s="34"/>
      <c r="E4" s="34"/>
    </row>
    <row r="5" spans="1:5">
      <c r="A5" s="34"/>
      <c r="B5" s="34"/>
      <c r="C5" s="34"/>
      <c r="D5" s="34"/>
      <c r="E5" s="34"/>
    </row>
    <row r="6" spans="1:5">
      <c r="A6" s="34"/>
      <c r="B6" s="34"/>
      <c r="C6" s="34"/>
      <c r="D6" s="34"/>
      <c r="E6" s="34"/>
    </row>
    <row r="7" spans="1:5">
      <c r="A7" s="34"/>
      <c r="B7" s="34"/>
      <c r="C7" s="34"/>
      <c r="D7" s="34"/>
      <c r="E7" s="34"/>
    </row>
    <row r="8" spans="1:5">
      <c r="A8" s="35" t="s">
        <v>0</v>
      </c>
      <c r="B8" s="34"/>
      <c r="C8" s="34"/>
      <c r="D8" s="34"/>
      <c r="E8" s="34"/>
    </row>
    <row r="9" spans="1:5">
      <c r="A9" s="34" t="s">
        <v>1</v>
      </c>
      <c r="B9" s="35" t="s">
        <v>2</v>
      </c>
      <c r="C9" s="34"/>
      <c r="D9" s="34"/>
      <c r="E9" s="34"/>
    </row>
    <row r="10" spans="1:5">
      <c r="A10" s="34" t="s">
        <v>47</v>
      </c>
      <c r="B10" s="36">
        <v>27</v>
      </c>
      <c r="C10" s="34"/>
      <c r="D10" s="34"/>
      <c r="E10" s="34"/>
    </row>
    <row r="11" spans="1:5">
      <c r="A11" s="34" t="s">
        <v>3</v>
      </c>
      <c r="B11" s="35" t="s">
        <v>444</v>
      </c>
      <c r="C11" s="34"/>
      <c r="D11" s="34"/>
      <c r="E11" s="34"/>
    </row>
    <row r="12" spans="1:5">
      <c r="A12" s="130" t="s">
        <v>48</v>
      </c>
      <c r="B12" s="131" t="s">
        <v>49</v>
      </c>
      <c r="C12" s="130"/>
      <c r="D12" s="130"/>
      <c r="E12" s="130"/>
    </row>
    <row r="13" spans="1:5" s="6" customFormat="1" ht="50.1" customHeight="1">
      <c r="A13" s="46"/>
      <c r="B13" s="69" t="s">
        <v>423</v>
      </c>
      <c r="C13" s="69" t="s">
        <v>424</v>
      </c>
      <c r="D13" s="69" t="s">
        <v>445</v>
      </c>
      <c r="E13" s="69" t="s">
        <v>427</v>
      </c>
    </row>
    <row r="14" spans="1:5">
      <c r="A14" s="72"/>
      <c r="B14" s="156" t="s">
        <v>143</v>
      </c>
      <c r="C14" s="156"/>
      <c r="D14" s="156"/>
      <c r="E14" s="156"/>
    </row>
    <row r="15" spans="1:5">
      <c r="A15" s="39" t="s">
        <v>311</v>
      </c>
      <c r="B15" s="4">
        <v>6.1377107877984395E-3</v>
      </c>
      <c r="C15" s="10">
        <v>3.5636180936399293E-3</v>
      </c>
      <c r="D15" s="4">
        <v>2.3369520048208445E-3</v>
      </c>
      <c r="E15" s="4">
        <v>3.5350890782960185E-3</v>
      </c>
    </row>
    <row r="16" spans="1:5">
      <c r="A16" s="39" t="s">
        <v>271</v>
      </c>
      <c r="B16" s="4">
        <v>3.6517382778713755E-3</v>
      </c>
      <c r="C16" s="10">
        <v>4.4414871019554346E-3</v>
      </c>
      <c r="D16" s="4">
        <v>2.6449003534916109E-3</v>
      </c>
      <c r="E16" s="4">
        <v>2.0405485658522428E-3</v>
      </c>
    </row>
    <row r="17" spans="1:12">
      <c r="A17" s="39" t="s">
        <v>274</v>
      </c>
      <c r="B17" s="4">
        <v>4.1839143763115006E-3</v>
      </c>
      <c r="C17" s="10">
        <v>4.6188155099108081E-3</v>
      </c>
      <c r="D17" s="4">
        <v>1.5687510197315031E-3</v>
      </c>
      <c r="E17" s="4">
        <v>2.855411915772771E-3</v>
      </c>
    </row>
    <row r="18" spans="1:12">
      <c r="A18" s="39" t="s">
        <v>347</v>
      </c>
      <c r="B18" s="4">
        <v>2.714682963308773E-3</v>
      </c>
      <c r="C18" s="10">
        <v>3.5421181534907903E-3</v>
      </c>
      <c r="D18" s="4">
        <v>1.5821279526633313E-3</v>
      </c>
      <c r="E18" s="4">
        <v>1.9708403302569509E-3</v>
      </c>
    </row>
    <row r="19" spans="1:12">
      <c r="A19" s="132" t="s">
        <v>292</v>
      </c>
      <c r="B19" s="137">
        <v>1.7905142183235975E-3</v>
      </c>
      <c r="C19" s="140">
        <v>3.8455512209902365E-3</v>
      </c>
      <c r="D19" s="137">
        <v>1.7501288782152866E-3</v>
      </c>
      <c r="E19" s="137">
        <v>1.6213709309327758E-3</v>
      </c>
    </row>
    <row r="20" spans="1:12">
      <c r="A20" s="72"/>
      <c r="B20" s="156" t="s">
        <v>437</v>
      </c>
      <c r="C20" s="156"/>
      <c r="D20" s="156"/>
      <c r="E20" s="156"/>
    </row>
    <row r="21" spans="1:12">
      <c r="A21" s="39" t="s">
        <v>311</v>
      </c>
      <c r="B21" s="11">
        <v>134408.72937089132</v>
      </c>
      <c r="C21" s="11">
        <v>78039.092503586129</v>
      </c>
      <c r="D21" s="11">
        <v>51176.531516141222</v>
      </c>
      <c r="E21" s="11">
        <v>77414.340240869438</v>
      </c>
      <c r="I21" s="49"/>
      <c r="J21" s="49"/>
      <c r="K21" s="49"/>
      <c r="L21" s="49"/>
    </row>
    <row r="22" spans="1:12">
      <c r="A22" s="39" t="s">
        <v>271</v>
      </c>
      <c r="B22" s="11">
        <v>79968.822072796727</v>
      </c>
      <c r="C22" s="11">
        <v>97263.403006508175</v>
      </c>
      <c r="D22" s="11">
        <v>57920.242272110001</v>
      </c>
      <c r="E22" s="11">
        <v>44685.64085831953</v>
      </c>
      <c r="I22" s="49"/>
      <c r="J22" s="49"/>
      <c r="K22" s="49"/>
      <c r="L22" s="49"/>
    </row>
    <row r="23" spans="1:12">
      <c r="A23" s="39" t="s">
        <v>274</v>
      </c>
      <c r="B23" s="11">
        <v>91622.859818448254</v>
      </c>
      <c r="C23" s="11">
        <v>101146.68894465093</v>
      </c>
      <c r="D23" s="11">
        <v>34353.82320075616</v>
      </c>
      <c r="E23" s="11">
        <v>62530.200704876275</v>
      </c>
      <c r="I23" s="49"/>
      <c r="J23" s="49"/>
      <c r="K23" s="49"/>
      <c r="L23" s="49"/>
    </row>
    <row r="24" spans="1:12">
      <c r="A24" s="39" t="s">
        <v>347</v>
      </c>
      <c r="B24" s="11">
        <v>59448.400284435273</v>
      </c>
      <c r="C24" s="11">
        <v>77568.268814281517</v>
      </c>
      <c r="D24" s="11">
        <v>34646.762477370656</v>
      </c>
      <c r="E24" s="11">
        <v>43159.11155497146</v>
      </c>
      <c r="I24" s="49"/>
      <c r="J24" s="49"/>
      <c r="K24" s="49"/>
      <c r="L24" s="49"/>
    </row>
    <row r="25" spans="1:12">
      <c r="A25" s="39" t="s">
        <v>292</v>
      </c>
      <c r="B25" s="11">
        <v>39210.179385417578</v>
      </c>
      <c r="C25" s="11">
        <v>84213.100162931863</v>
      </c>
      <c r="D25" s="11">
        <v>38325.787396801832</v>
      </c>
      <c r="E25" s="11">
        <v>35506.138070044595</v>
      </c>
      <c r="I25" s="49"/>
      <c r="J25" s="49"/>
      <c r="K25" s="49"/>
      <c r="L25" s="49"/>
    </row>
    <row r="26" spans="1:12">
      <c r="A26" s="132"/>
      <c r="B26" s="137"/>
      <c r="C26" s="137"/>
      <c r="D26" s="137"/>
      <c r="E26" s="137"/>
    </row>
    <row r="27" spans="1:12">
      <c r="A27" s="16" t="s">
        <v>433</v>
      </c>
    </row>
    <row r="28" spans="1:12">
      <c r="A28" s="29" t="s">
        <v>147</v>
      </c>
    </row>
    <row r="29" spans="1:12">
      <c r="A29" s="16" t="s">
        <v>438</v>
      </c>
    </row>
    <row r="30" spans="1:12">
      <c r="A30" s="16" t="s">
        <v>119</v>
      </c>
    </row>
    <row r="31" spans="1:12">
      <c r="A31" s="16" t="s">
        <v>120</v>
      </c>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B21&lt;'34'!$C$104</xm:f>
            <x14:dxf>
              <font>
                <color rgb="FFFF0000"/>
              </font>
              <numFmt numFmtId="172" formatCode="\*\*0.0%"/>
            </x14:dxf>
          </x14:cfRule>
          <x14:cfRule type="expression" priority="4" id="{F83F329A-9603-4208-B4B1-20A622EAC851}">
            <xm:f>B21&lt;'34'!$C$103</xm:f>
            <x14:dxf>
              <font>
                <color rgb="FF00B050"/>
              </font>
              <numFmt numFmtId="171" formatCode="\*0.0%"/>
            </x14:dxf>
          </x14:cfRule>
          <xm:sqref>B15:E19</xm:sqref>
        </x14:conditionalFormatting>
        <x14:conditionalFormatting xmlns:xm="http://schemas.microsoft.com/office/excel/2006/main">
          <x14:cfRule type="expression" priority="1" id="{2ED485BF-21F7-4654-8527-D9667D299170}">
            <xm:f>B21&lt;'34'!$C$104</xm:f>
            <x14:dxf>
              <font>
                <color rgb="FFFF0000"/>
              </font>
              <numFmt numFmtId="170" formatCode="\*\*#,###,###,##0"/>
            </x14:dxf>
          </x14:cfRule>
          <x14:cfRule type="expression" priority="2" id="{705E030A-B518-4B87-9E03-C0A2213F2928}">
            <xm:f>B21&lt;'34'!$C$103</xm:f>
            <x14:dxf>
              <font>
                <color rgb="FF00B050"/>
              </font>
              <numFmt numFmtId="169" formatCode="\*#,###,###,##0"/>
            </x14:dxf>
          </x14:cfRule>
          <xm:sqref>B21:E25</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C579-2976-48A9-8927-0EA22AA1B199}">
  <sheetPr>
    <pageSetUpPr fitToPage="1"/>
  </sheetPr>
  <dimension ref="A1:K68"/>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2" width="15.7109375" style="1" customWidth="1"/>
    <col min="3" max="3" width="14.85546875" style="1" customWidth="1"/>
    <col min="4" max="4" width="7" style="1" customWidth="1"/>
    <col min="5" max="11" width="14.85546875" style="1" customWidth="1"/>
    <col min="12" max="14" width="8.85546875" style="1"/>
    <col min="15" max="15" width="29.85546875" style="1" bestFit="1" customWidth="1"/>
    <col min="16" max="16" width="34" style="1" bestFit="1" customWidth="1"/>
    <col min="17" max="17" width="26" style="1" bestFit="1" customWidth="1"/>
    <col min="18" max="18" width="27.85546875" style="1" bestFit="1" customWidth="1"/>
    <col min="19" max="19" width="36.140625" style="1" bestFit="1" customWidth="1"/>
    <col min="20" max="20" width="13.42578125" style="1" bestFit="1" customWidth="1"/>
    <col min="21" max="21" width="32.85546875" style="1" bestFit="1" customWidth="1"/>
    <col min="22" max="22" width="11.85546875" style="1" bestFit="1" customWidth="1"/>
    <col min="23" max="24" width="8.85546875" style="1"/>
    <col min="25" max="25" width="19.855468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1">
      <c r="A1" s="34"/>
      <c r="B1" s="34"/>
      <c r="C1" s="34"/>
      <c r="D1" s="34"/>
      <c r="E1" s="34"/>
      <c r="F1" s="34"/>
      <c r="G1" s="34"/>
      <c r="H1" s="34"/>
      <c r="I1" s="34"/>
      <c r="J1" s="34"/>
      <c r="K1" s="34"/>
    </row>
    <row r="2" spans="1:11">
      <c r="A2" s="34"/>
      <c r="B2" s="34"/>
      <c r="C2" s="34"/>
      <c r="D2" s="34"/>
      <c r="E2" s="34"/>
      <c r="F2" s="34"/>
      <c r="G2" s="34"/>
      <c r="H2" s="34"/>
      <c r="I2" s="34"/>
      <c r="J2" s="34"/>
      <c r="K2" s="34"/>
    </row>
    <row r="3" spans="1:11">
      <c r="A3" s="34"/>
      <c r="B3" s="34"/>
      <c r="C3" s="34"/>
      <c r="D3" s="34"/>
      <c r="E3" s="34"/>
      <c r="F3" s="34"/>
      <c r="G3" s="34"/>
      <c r="H3" s="34"/>
      <c r="I3" s="34"/>
      <c r="J3" s="34"/>
      <c r="K3" s="34"/>
    </row>
    <row r="4" spans="1:11">
      <c r="A4" s="34"/>
      <c r="B4" s="34"/>
      <c r="C4" s="34"/>
      <c r="D4" s="34"/>
      <c r="E4" s="34"/>
      <c r="F4" s="34"/>
      <c r="G4" s="34"/>
      <c r="H4" s="34"/>
      <c r="I4" s="34"/>
      <c r="J4" s="34"/>
      <c r="K4" s="34"/>
    </row>
    <row r="5" spans="1:11">
      <c r="A5" s="34"/>
      <c r="B5" s="34"/>
      <c r="C5" s="34"/>
      <c r="D5" s="34"/>
      <c r="E5" s="34"/>
      <c r="F5" s="34"/>
      <c r="G5" s="34"/>
      <c r="H5" s="34"/>
      <c r="I5" s="34"/>
      <c r="J5" s="34"/>
      <c r="K5" s="34"/>
    </row>
    <row r="6" spans="1:11">
      <c r="A6" s="34"/>
      <c r="B6" s="34"/>
      <c r="C6" s="34"/>
      <c r="D6" s="34"/>
      <c r="E6" s="34"/>
      <c r="F6" s="34"/>
      <c r="G6" s="34"/>
      <c r="H6" s="34"/>
      <c r="I6" s="34"/>
      <c r="J6" s="34"/>
      <c r="K6" s="34"/>
    </row>
    <row r="7" spans="1:11">
      <c r="A7" s="34"/>
      <c r="B7" s="34"/>
      <c r="C7" s="34"/>
      <c r="D7" s="34"/>
      <c r="E7" s="34"/>
      <c r="F7" s="34"/>
      <c r="G7" s="34"/>
      <c r="H7" s="34"/>
      <c r="I7" s="34"/>
      <c r="J7" s="34"/>
      <c r="K7" s="34"/>
    </row>
    <row r="8" spans="1:11">
      <c r="A8" s="35" t="s">
        <v>0</v>
      </c>
      <c r="B8" s="34"/>
      <c r="C8" s="34"/>
      <c r="D8" s="34"/>
      <c r="E8" s="34"/>
      <c r="F8" s="34"/>
      <c r="G8" s="34"/>
      <c r="H8" s="34"/>
      <c r="I8" s="34"/>
      <c r="J8" s="34"/>
      <c r="K8" s="34"/>
    </row>
    <row r="9" spans="1:11">
      <c r="A9" s="34" t="s">
        <v>1</v>
      </c>
      <c r="B9" s="34"/>
      <c r="C9" s="35" t="s">
        <v>2</v>
      </c>
      <c r="D9" s="95"/>
      <c r="E9" s="34"/>
      <c r="F9" s="34"/>
      <c r="G9" s="34"/>
      <c r="H9" s="34"/>
      <c r="I9" s="34"/>
      <c r="J9" s="34"/>
      <c r="K9" s="34"/>
    </row>
    <row r="10" spans="1:11">
      <c r="A10" s="34" t="s">
        <v>47</v>
      </c>
      <c r="B10" s="34"/>
      <c r="C10" s="36">
        <v>28</v>
      </c>
      <c r="D10" s="36"/>
      <c r="E10" s="34"/>
      <c r="F10" s="34"/>
      <c r="G10" s="34"/>
      <c r="H10" s="34"/>
      <c r="I10" s="34"/>
      <c r="J10" s="34"/>
      <c r="K10" s="34"/>
    </row>
    <row r="11" spans="1:11">
      <c r="A11" s="34" t="s">
        <v>3</v>
      </c>
      <c r="B11" s="34"/>
      <c r="C11" s="35" t="s">
        <v>446</v>
      </c>
      <c r="D11" s="35"/>
      <c r="E11" s="34"/>
      <c r="F11" s="34"/>
      <c r="G11" s="34"/>
      <c r="H11" s="34"/>
      <c r="I11" s="34"/>
      <c r="J11" s="34"/>
      <c r="K11" s="34"/>
    </row>
    <row r="12" spans="1:11">
      <c r="A12" s="130" t="s">
        <v>48</v>
      </c>
      <c r="B12" s="130"/>
      <c r="C12" s="131" t="s">
        <v>182</v>
      </c>
      <c r="D12" s="131"/>
      <c r="E12" s="130"/>
      <c r="F12" s="130"/>
      <c r="G12" s="130"/>
      <c r="H12" s="130"/>
      <c r="I12" s="130"/>
      <c r="J12" s="130"/>
      <c r="K12" s="130"/>
    </row>
    <row r="13" spans="1:11" ht="24.75" customHeight="1">
      <c r="A13" s="37"/>
      <c r="B13" s="37"/>
      <c r="C13" s="38"/>
      <c r="D13" s="38"/>
      <c r="E13" s="155" t="s">
        <v>447</v>
      </c>
      <c r="F13" s="155"/>
      <c r="G13" s="155"/>
      <c r="H13" s="155"/>
      <c r="I13" s="155"/>
      <c r="J13" s="155"/>
      <c r="K13" s="155"/>
    </row>
    <row r="14" spans="1:11" s="2" customFormat="1" ht="30" customHeight="1">
      <c r="A14" s="186"/>
      <c r="B14" s="186"/>
      <c r="C14" s="42" t="s">
        <v>448</v>
      </c>
      <c r="D14" s="42"/>
      <c r="E14" s="69" t="s">
        <v>449</v>
      </c>
      <c r="F14" s="69" t="s">
        <v>450</v>
      </c>
      <c r="G14" s="69" t="s">
        <v>451</v>
      </c>
      <c r="H14" s="69" t="s">
        <v>452</v>
      </c>
      <c r="I14" s="69" t="s">
        <v>453</v>
      </c>
      <c r="J14" s="69" t="s">
        <v>454</v>
      </c>
      <c r="K14" s="69" t="s">
        <v>88</v>
      </c>
    </row>
    <row r="15" spans="1:11">
      <c r="A15" s="73"/>
      <c r="B15" s="73"/>
      <c r="C15" s="163" t="s">
        <v>455</v>
      </c>
      <c r="D15" s="163"/>
      <c r="E15" s="163"/>
      <c r="F15" s="163"/>
      <c r="G15" s="163"/>
      <c r="H15" s="163"/>
      <c r="I15" s="163"/>
      <c r="J15" s="163"/>
      <c r="K15" s="163"/>
    </row>
    <row r="16" spans="1:11">
      <c r="A16" s="40" t="s">
        <v>144</v>
      </c>
      <c r="B16" s="40" t="s">
        <v>55</v>
      </c>
      <c r="C16" s="33">
        <v>0.19045640244038653</v>
      </c>
      <c r="D16" s="33"/>
      <c r="E16" s="33">
        <v>0.14868499529751594</v>
      </c>
      <c r="F16" s="33">
        <v>3.1868725939284213E-2</v>
      </c>
      <c r="G16" s="33">
        <v>2.3574574288143409E-2</v>
      </c>
      <c r="H16" s="33">
        <v>1.61663116052876E-2</v>
      </c>
      <c r="I16" s="33">
        <v>7.8801388893188912E-3</v>
      </c>
      <c r="J16" s="33">
        <v>7.7160776031461398E-3</v>
      </c>
      <c r="K16" s="33">
        <v>1.004864232667956E-2</v>
      </c>
    </row>
    <row r="17" spans="1:11">
      <c r="A17" s="39" t="s">
        <v>59</v>
      </c>
      <c r="B17" s="39" t="s">
        <v>61</v>
      </c>
      <c r="C17" s="108">
        <v>0.24461561449809308</v>
      </c>
      <c r="D17" s="108"/>
      <c r="E17" s="108">
        <v>0.16606549914563135</v>
      </c>
      <c r="F17" s="108">
        <v>6.0541493242991663E-2</v>
      </c>
      <c r="G17" s="108">
        <v>4.8896136568512834E-2</v>
      </c>
      <c r="H17" s="108">
        <v>3.0426399406664778E-2</v>
      </c>
      <c r="I17" s="108">
        <v>1.8420498766532629E-2</v>
      </c>
      <c r="J17" s="108">
        <v>1.5683464865728428E-2</v>
      </c>
      <c r="K17" s="108">
        <v>6.2547762349344392E-3</v>
      </c>
    </row>
    <row r="18" spans="1:11">
      <c r="A18" s="39"/>
      <c r="B18" s="39" t="s">
        <v>62</v>
      </c>
      <c r="C18" s="108">
        <v>0.21064061903668366</v>
      </c>
      <c r="D18" s="108"/>
      <c r="E18" s="108">
        <v>0.15766881771660049</v>
      </c>
      <c r="F18" s="108">
        <v>3.7011584453409373E-2</v>
      </c>
      <c r="G18" s="108">
        <v>3.3934683252401961E-2</v>
      </c>
      <c r="H18" s="108">
        <v>1.9538651096513301E-2</v>
      </c>
      <c r="I18" s="108">
        <v>1.3263774302163935E-2</v>
      </c>
      <c r="J18" s="108">
        <v>1.3453168347626932E-2</v>
      </c>
      <c r="K18" s="108">
        <v>7.8798605944765919E-3</v>
      </c>
    </row>
    <row r="19" spans="1:11">
      <c r="A19" s="39"/>
      <c r="B19" s="39" t="s">
        <v>63</v>
      </c>
      <c r="C19" s="108">
        <v>0.176247825565751</v>
      </c>
      <c r="D19" s="108"/>
      <c r="E19" s="108">
        <v>0.14248165118540065</v>
      </c>
      <c r="F19" s="108">
        <v>2.8267806523132547E-2</v>
      </c>
      <c r="G19" s="108">
        <v>1.8788633826742798E-2</v>
      </c>
      <c r="H19" s="108">
        <v>1.2449796103860582E-2</v>
      </c>
      <c r="I19" s="108">
        <v>7.1183766008632741E-3</v>
      </c>
      <c r="J19" s="108">
        <v>6.9638957580761551E-3</v>
      </c>
      <c r="K19" s="108">
        <v>8.5432547149092344E-3</v>
      </c>
    </row>
    <row r="20" spans="1:11">
      <c r="A20" s="39"/>
      <c r="B20" s="39" t="s">
        <v>64</v>
      </c>
      <c r="C20" s="108">
        <v>0.2057797637992731</v>
      </c>
      <c r="D20" s="108"/>
      <c r="E20" s="108">
        <v>0.17543944782901463</v>
      </c>
      <c r="F20" s="108">
        <v>3.2512349053999176E-2</v>
      </c>
      <c r="G20" s="108">
        <v>1.406698560485293E-2</v>
      </c>
      <c r="H20" s="108">
        <v>1.455886227308077E-2</v>
      </c>
      <c r="I20" s="108">
        <v>3.6374360309336324E-3</v>
      </c>
      <c r="J20" s="108">
        <v>5.1235791341362495E-3</v>
      </c>
      <c r="K20" s="108">
        <v>1.040492226932853E-2</v>
      </c>
    </row>
    <row r="21" spans="1:11">
      <c r="A21" s="39"/>
      <c r="B21" s="39" t="s">
        <v>65</v>
      </c>
      <c r="C21" s="108">
        <v>0.19402885611952406</v>
      </c>
      <c r="D21" s="108"/>
      <c r="E21" s="108">
        <v>0.15990937598453955</v>
      </c>
      <c r="F21" s="108">
        <v>2.5682625532532779E-2</v>
      </c>
      <c r="G21" s="108">
        <v>1.7226387665720912E-2</v>
      </c>
      <c r="H21" s="108">
        <v>1.4129842765792548E-2</v>
      </c>
      <c r="I21" s="108">
        <v>5.0555444511061901E-3</v>
      </c>
      <c r="J21" s="108">
        <v>3.0089683214329726E-3</v>
      </c>
      <c r="K21" s="108">
        <v>1.3115876058207599E-2</v>
      </c>
    </row>
    <row r="22" spans="1:11">
      <c r="A22" s="39"/>
      <c r="B22" s="39" t="s">
        <v>66</v>
      </c>
      <c r="C22" s="108">
        <v>0.13429463489668164</v>
      </c>
      <c r="D22" s="108"/>
      <c r="E22" s="108">
        <v>0.10328400609196062</v>
      </c>
      <c r="F22" s="108">
        <v>1.6651740705068137E-2</v>
      </c>
      <c r="G22" s="108">
        <v>1.4945540544195696E-2</v>
      </c>
      <c r="H22" s="108">
        <v>1.0468040381527315E-2</v>
      </c>
      <c r="I22" s="108">
        <v>2.3688569783060671E-3</v>
      </c>
      <c r="J22" s="108">
        <v>3.4441089715192387E-3</v>
      </c>
      <c r="K22" s="108">
        <v>1.3421862029424695E-2</v>
      </c>
    </row>
    <row r="23" spans="1:11">
      <c r="A23" s="39"/>
      <c r="B23" s="39"/>
    </row>
    <row r="24" spans="1:11">
      <c r="A24" s="40" t="s">
        <v>56</v>
      </c>
      <c r="B24" s="40" t="s">
        <v>55</v>
      </c>
      <c r="C24" s="33">
        <v>0.20872725454723218</v>
      </c>
      <c r="D24" s="33"/>
      <c r="E24" s="33">
        <v>0.16097552261708808</v>
      </c>
      <c r="F24" s="33">
        <v>3.4872457087388266E-2</v>
      </c>
      <c r="G24" s="33">
        <v>2.8605102980077447E-2</v>
      </c>
      <c r="H24" s="33">
        <v>1.9588927705495612E-2</v>
      </c>
      <c r="I24" s="33">
        <v>9.6176240539553939E-3</v>
      </c>
      <c r="J24" s="33">
        <v>1.010672188506755E-2</v>
      </c>
      <c r="K24" s="33">
        <v>9.0324497398079056E-3</v>
      </c>
    </row>
    <row r="25" spans="1:11">
      <c r="A25" s="39" t="s">
        <v>59</v>
      </c>
      <c r="B25" s="39" t="s">
        <v>61</v>
      </c>
      <c r="C25" s="108">
        <v>0.26178941089277352</v>
      </c>
      <c r="D25" s="108"/>
      <c r="E25" s="108">
        <v>0.1647984549398423</v>
      </c>
      <c r="F25" s="108">
        <v>6.0274849167871541E-2</v>
      </c>
      <c r="G25" s="108">
        <v>6.4272675113592886E-2</v>
      </c>
      <c r="H25" s="108">
        <v>3.3902121978422517E-2</v>
      </c>
      <c r="I25" s="108">
        <v>1.9102240879671651E-2</v>
      </c>
      <c r="J25" s="108">
        <v>1.8217597504291427E-2</v>
      </c>
      <c r="K25" s="108">
        <v>4.5254525502106567E-3</v>
      </c>
    </row>
    <row r="26" spans="1:11">
      <c r="A26" s="39"/>
      <c r="B26" s="39" t="s">
        <v>62</v>
      </c>
      <c r="C26" s="108">
        <v>0.23486483013552101</v>
      </c>
      <c r="D26" s="108"/>
      <c r="E26" s="108">
        <v>0.17220047870084856</v>
      </c>
      <c r="F26" s="108">
        <v>3.8476361638315672E-2</v>
      </c>
      <c r="G26" s="108">
        <v>4.6019965736082753E-2</v>
      </c>
      <c r="H26" s="108">
        <v>2.1574225942828644E-2</v>
      </c>
      <c r="I26" s="108">
        <v>1.5529361806814799E-2</v>
      </c>
      <c r="J26" s="108">
        <v>1.7738320475980618E-2</v>
      </c>
      <c r="K26" s="108">
        <v>6.426873298448584E-3</v>
      </c>
    </row>
    <row r="27" spans="1:11">
      <c r="A27" s="39"/>
      <c r="B27" s="39" t="s">
        <v>63</v>
      </c>
      <c r="C27" s="108">
        <v>0.18517474599235206</v>
      </c>
      <c r="D27" s="108"/>
      <c r="E27" s="108">
        <v>0.14753832817335108</v>
      </c>
      <c r="F27" s="108">
        <v>3.0428476942943546E-2</v>
      </c>
      <c r="G27" s="108">
        <v>2.4245374219462983E-2</v>
      </c>
      <c r="H27" s="108">
        <v>1.8030756614311888E-2</v>
      </c>
      <c r="I27" s="108">
        <v>9.6630571008338023E-3</v>
      </c>
      <c r="J27" s="108">
        <v>9.4733062388910882E-3</v>
      </c>
      <c r="K27" s="108">
        <v>5.8761363277802523E-3</v>
      </c>
    </row>
    <row r="28" spans="1:11">
      <c r="A28" s="39"/>
      <c r="B28" s="39" t="s">
        <v>64</v>
      </c>
      <c r="C28" s="108">
        <v>0.22096551664543396</v>
      </c>
      <c r="D28" s="108"/>
      <c r="E28" s="108">
        <v>0.18892456431534224</v>
      </c>
      <c r="F28" s="108">
        <v>3.4405184755619489E-2</v>
      </c>
      <c r="G28" s="108">
        <v>1.3509667959990392E-2</v>
      </c>
      <c r="H28" s="108">
        <v>1.5999333290460212E-2</v>
      </c>
      <c r="I28" s="108">
        <v>5.343185984067543E-3</v>
      </c>
      <c r="J28" s="108">
        <v>6.9327769002112266E-3</v>
      </c>
      <c r="K28" s="108">
        <v>9.4130577373278332E-3</v>
      </c>
    </row>
    <row r="29" spans="1:11">
      <c r="A29" s="39"/>
      <c r="B29" s="39" t="s">
        <v>65</v>
      </c>
      <c r="C29" s="108">
        <v>0.21479627703376647</v>
      </c>
      <c r="D29" s="108"/>
      <c r="E29" s="108">
        <v>0.18211205031933458</v>
      </c>
      <c r="F29" s="108">
        <v>3.1557346290348676E-2</v>
      </c>
      <c r="G29" s="108">
        <v>1.4057251199157237E-2</v>
      </c>
      <c r="H29" s="108">
        <v>2.0017000140041524E-2</v>
      </c>
      <c r="I29" s="108">
        <v>6.4955232811759129E-3</v>
      </c>
      <c r="J29" s="108">
        <v>4.3713506220668056E-3</v>
      </c>
      <c r="K29" s="108">
        <v>1.1197681952135956E-2</v>
      </c>
    </row>
    <row r="30" spans="1:11">
      <c r="A30" s="39"/>
      <c r="B30" s="39" t="s">
        <v>66</v>
      </c>
      <c r="C30" s="108">
        <v>0.15414434575827526</v>
      </c>
      <c r="D30" s="108"/>
      <c r="E30" s="108">
        <v>0.11861944389076086</v>
      </c>
      <c r="F30" s="108">
        <v>2.1963436264584128E-2</v>
      </c>
      <c r="G30" s="108">
        <v>1.5795801154052998E-2</v>
      </c>
      <c r="H30" s="108">
        <v>1.2520923767648151E-2</v>
      </c>
      <c r="I30" s="108">
        <v>3.2658345314155578E-3</v>
      </c>
      <c r="J30" s="108">
        <v>4.576841473597537E-3</v>
      </c>
      <c r="K30" s="108">
        <v>1.5877503719194566E-2</v>
      </c>
    </row>
    <row r="31" spans="1:11">
      <c r="A31" s="39"/>
      <c r="B31" s="39"/>
    </row>
    <row r="32" spans="1:11">
      <c r="A32" s="40" t="s">
        <v>57</v>
      </c>
      <c r="B32" s="40" t="s">
        <v>55</v>
      </c>
      <c r="C32" s="33">
        <v>0.17201670155632137</v>
      </c>
      <c r="D32" s="33"/>
      <c r="E32" s="33">
        <v>0.13649507687840498</v>
      </c>
      <c r="F32" s="33">
        <v>2.8717976699743977E-2</v>
      </c>
      <c r="G32" s="33">
        <v>1.8586206436168533E-2</v>
      </c>
      <c r="H32" s="33">
        <v>1.2497362617172906E-2</v>
      </c>
      <c r="I32" s="33">
        <v>5.9796158923212644E-3</v>
      </c>
      <c r="J32" s="33">
        <v>5.3712506188351933E-3</v>
      </c>
      <c r="K32" s="33">
        <v>1.1125665602152474E-2</v>
      </c>
    </row>
    <row r="33" spans="1:11">
      <c r="A33" s="39" t="s">
        <v>59</v>
      </c>
      <c r="B33" s="39" t="s">
        <v>61</v>
      </c>
      <c r="C33" s="4">
        <v>0.22795200508403402</v>
      </c>
      <c r="D33" s="108"/>
      <c r="E33" s="108">
        <v>0.16850155659078964</v>
      </c>
      <c r="F33" s="108">
        <v>6.2031896514439744E-2</v>
      </c>
      <c r="G33" s="108">
        <v>3.3463910572223247E-2</v>
      </c>
      <c r="H33" s="108">
        <v>2.67706760614956E-2</v>
      </c>
      <c r="I33" s="108">
        <v>1.6947940299236623E-2</v>
      </c>
      <c r="J33" s="108">
        <v>1.3508563569853162E-2</v>
      </c>
      <c r="K33" s="108">
        <v>8.3469290247031227E-3</v>
      </c>
    </row>
    <row r="34" spans="1:11">
      <c r="A34" s="39"/>
      <c r="B34" s="39" t="s">
        <v>62</v>
      </c>
      <c r="C34" s="108">
        <v>0.18536798170510455</v>
      </c>
      <c r="D34" s="108"/>
      <c r="E34" s="108">
        <v>0.14223022313829459</v>
      </c>
      <c r="F34" s="108">
        <v>3.504795213611557E-2</v>
      </c>
      <c r="G34" s="108">
        <v>2.15518740959331E-2</v>
      </c>
      <c r="H34" s="108">
        <v>1.7253342048416595E-2</v>
      </c>
      <c r="I34" s="108">
        <v>1.0937225425076812E-2</v>
      </c>
      <c r="J34" s="108">
        <v>9.2747052906765066E-3</v>
      </c>
      <c r="K34" s="108">
        <v>9.2570006523157288E-3</v>
      </c>
    </row>
    <row r="35" spans="1:11">
      <c r="A35" s="39"/>
      <c r="B35" s="39" t="s">
        <v>63</v>
      </c>
      <c r="C35" s="108">
        <v>0.16722566526095298</v>
      </c>
      <c r="D35" s="108"/>
      <c r="E35" s="108">
        <v>0.13805990904987889</v>
      </c>
      <c r="F35" s="108">
        <v>2.5788165983424132E-2</v>
      </c>
      <c r="G35" s="108">
        <v>1.316470131512157E-2</v>
      </c>
      <c r="H35" s="108">
        <v>6.9915890969895148E-3</v>
      </c>
      <c r="I35" s="108">
        <v>4.2997687702890476E-3</v>
      </c>
      <c r="J35" s="108">
        <v>4.5209487375471738E-3</v>
      </c>
      <c r="K35" s="108">
        <v>1.1271269975828996E-2</v>
      </c>
    </row>
    <row r="36" spans="1:11">
      <c r="A36" s="39"/>
      <c r="B36" s="39" t="s">
        <v>64</v>
      </c>
      <c r="C36" s="108">
        <v>0.19108640354810799</v>
      </c>
      <c r="D36" s="108"/>
      <c r="E36" s="108">
        <v>0.16215368805080368</v>
      </c>
      <c r="F36" s="108">
        <v>3.0537084350635721E-2</v>
      </c>
      <c r="G36" s="108">
        <v>1.4746441470439062E-2</v>
      </c>
      <c r="H36" s="108">
        <v>1.2519093813778514E-2</v>
      </c>
      <c r="I36" s="108">
        <v>1.982134071035408E-3</v>
      </c>
      <c r="J36" s="108">
        <v>3.3793884387267295E-3</v>
      </c>
      <c r="K36" s="108">
        <v>1.1481217427469995E-2</v>
      </c>
    </row>
    <row r="37" spans="1:11">
      <c r="A37" s="39"/>
      <c r="B37" s="39" t="s">
        <v>65</v>
      </c>
      <c r="C37" s="108">
        <v>0.17280712195329914</v>
      </c>
      <c r="D37" s="108"/>
      <c r="E37" s="108">
        <v>0.1378930876939283</v>
      </c>
      <c r="F37" s="108">
        <v>1.9986430672234819E-2</v>
      </c>
      <c r="G37" s="108">
        <v>2.0432251641426331E-2</v>
      </c>
      <c r="H37" s="108">
        <v>7.6019283510461513E-3</v>
      </c>
      <c r="I37" s="108">
        <v>3.6540189521861968E-3</v>
      </c>
      <c r="J37" s="108">
        <v>1.6753734395827001E-3</v>
      </c>
      <c r="K37" s="108">
        <v>1.5067810767389085E-2</v>
      </c>
    </row>
    <row r="38" spans="1:11">
      <c r="A38" s="132"/>
      <c r="B38" s="132" t="s">
        <v>66</v>
      </c>
      <c r="C38" s="138">
        <v>0.11564039847997695</v>
      </c>
      <c r="D38" s="138"/>
      <c r="E38" s="138">
        <v>8.9216186414867518E-2</v>
      </c>
      <c r="F38" s="138">
        <v>1.1542692643493292E-2</v>
      </c>
      <c r="G38" s="138">
        <v>1.4184307653293359E-2</v>
      </c>
      <c r="H38" s="138">
        <v>8.5780188512363156E-3</v>
      </c>
      <c r="I38" s="138">
        <v>1.5385559729514801E-3</v>
      </c>
      <c r="J38" s="138">
        <v>2.1475041403210648E-3</v>
      </c>
      <c r="K38" s="138">
        <v>1.1162864503193353E-2</v>
      </c>
    </row>
    <row r="39" spans="1:11">
      <c r="A39" s="72"/>
      <c r="B39" s="72"/>
      <c r="C39" s="156" t="s">
        <v>456</v>
      </c>
      <c r="D39" s="156"/>
      <c r="E39" s="156"/>
      <c r="F39" s="156"/>
      <c r="G39" s="156"/>
      <c r="H39" s="156"/>
      <c r="I39" s="156"/>
      <c r="J39" s="156"/>
      <c r="K39" s="156"/>
    </row>
    <row r="40" spans="1:11">
      <c r="A40" s="40" t="s">
        <v>144</v>
      </c>
      <c r="B40" s="40" t="s">
        <v>55</v>
      </c>
      <c r="C40" s="119">
        <v>3353991.9232097124</v>
      </c>
      <c r="D40" s="51"/>
      <c r="E40" s="51">
        <v>2618385.4516858975</v>
      </c>
      <c r="F40" s="51">
        <v>561217.41266639344</v>
      </c>
      <c r="G40" s="51">
        <v>415155.0210042909</v>
      </c>
      <c r="H40" s="51">
        <v>284693.38839474099</v>
      </c>
      <c r="I40" s="51">
        <v>138771.50807161219</v>
      </c>
      <c r="J40" s="51">
        <v>135882.34172338695</v>
      </c>
      <c r="K40" s="51">
        <v>176959.47613761981</v>
      </c>
    </row>
    <row r="41" spans="1:11">
      <c r="A41" s="39" t="s">
        <v>59</v>
      </c>
      <c r="B41" s="39" t="s">
        <v>61</v>
      </c>
      <c r="C41" s="110">
        <v>504106.68732382951</v>
      </c>
      <c r="D41" s="110"/>
      <c r="E41" s="110">
        <v>342229.70117770246</v>
      </c>
      <c r="F41" s="110">
        <v>124764.60943420458</v>
      </c>
      <c r="G41" s="110">
        <v>100765.72372152767</v>
      </c>
      <c r="H41" s="110">
        <v>62703.07577689438</v>
      </c>
      <c r="I41" s="110">
        <v>37961.176890127921</v>
      </c>
      <c r="J41" s="110">
        <v>32320.665773703746</v>
      </c>
      <c r="K41" s="110">
        <v>12889.915201096841</v>
      </c>
    </row>
    <row r="42" spans="1:11">
      <c r="A42" s="39"/>
      <c r="B42" s="39" t="s">
        <v>62</v>
      </c>
      <c r="C42" s="110">
        <v>733287.54181656858</v>
      </c>
      <c r="D42" s="110"/>
      <c r="E42" s="110">
        <v>548880.74433732871</v>
      </c>
      <c r="F42" s="110">
        <v>128845.67993911162</v>
      </c>
      <c r="G42" s="110">
        <v>118134.29232347687</v>
      </c>
      <c r="H42" s="110">
        <v>68018.454837899408</v>
      </c>
      <c r="I42" s="110">
        <v>46174.19231734088</v>
      </c>
      <c r="J42" s="110">
        <v>46833.515740654926</v>
      </c>
      <c r="K42" s="110">
        <v>27431.573414502236</v>
      </c>
    </row>
    <row r="43" spans="1:11">
      <c r="A43" s="39"/>
      <c r="B43" s="39" t="s">
        <v>63</v>
      </c>
      <c r="C43" s="110">
        <v>574307.3395948821</v>
      </c>
      <c r="D43" s="110"/>
      <c r="E43" s="110">
        <v>464279.53236136009</v>
      </c>
      <c r="F43" s="110">
        <v>92111.257023291342</v>
      </c>
      <c r="G43" s="110">
        <v>61223.168416529377</v>
      </c>
      <c r="H43" s="110">
        <v>40567.929028091858</v>
      </c>
      <c r="I43" s="110">
        <v>23195.383629576339</v>
      </c>
      <c r="J43" s="110">
        <v>22692.004472672372</v>
      </c>
      <c r="K43" s="110">
        <v>27838.379685260596</v>
      </c>
    </row>
    <row r="44" spans="1:11">
      <c r="A44" s="39"/>
      <c r="B44" s="39" t="s">
        <v>64</v>
      </c>
      <c r="C44" s="110">
        <v>590256.12833560735</v>
      </c>
      <c r="D44" s="110"/>
      <c r="E44" s="110">
        <v>503228.34141214401</v>
      </c>
      <c r="F44" s="110">
        <v>93258.019745949336</v>
      </c>
      <c r="G44" s="110">
        <v>40349.567455877033</v>
      </c>
      <c r="H44" s="110">
        <v>41760.46040495237</v>
      </c>
      <c r="I44" s="110">
        <v>10433.576504546987</v>
      </c>
      <c r="J44" s="110">
        <v>14696.410993484915</v>
      </c>
      <c r="K44" s="110">
        <v>29845.350295559503</v>
      </c>
    </row>
    <row r="45" spans="1:11">
      <c r="A45" s="39"/>
      <c r="B45" s="39" t="s">
        <v>65</v>
      </c>
      <c r="C45" s="110">
        <v>500691.1425759024</v>
      </c>
      <c r="D45" s="110"/>
      <c r="E45" s="110">
        <v>412645.88047139533</v>
      </c>
      <c r="F45" s="110">
        <v>66273.972745123785</v>
      </c>
      <c r="G45" s="110">
        <v>44452.664904090729</v>
      </c>
      <c r="H45" s="110">
        <v>36462.035906991223</v>
      </c>
      <c r="I45" s="110">
        <v>13045.824101587921</v>
      </c>
      <c r="J45" s="110">
        <v>7764.6377810159802</v>
      </c>
      <c r="K45" s="110">
        <v>33845.496493689243</v>
      </c>
    </row>
    <row r="46" spans="1:11">
      <c r="A46" s="39"/>
      <c r="B46" s="39" t="s">
        <v>66</v>
      </c>
      <c r="C46" s="110">
        <v>451343.08356296184</v>
      </c>
      <c r="D46" s="110"/>
      <c r="E46" s="110">
        <v>347121.25192600017</v>
      </c>
      <c r="F46" s="110">
        <v>55963.87377871378</v>
      </c>
      <c r="G46" s="110">
        <v>50229.604182789524</v>
      </c>
      <c r="H46" s="110">
        <v>35181.432439911172</v>
      </c>
      <c r="I46" s="110">
        <v>7961.3546284321383</v>
      </c>
      <c r="J46" s="110">
        <v>11575.106961854995</v>
      </c>
      <c r="K46" s="110">
        <v>45108.761047511231</v>
      </c>
    </row>
    <row r="47" spans="1:11">
      <c r="A47" s="39"/>
      <c r="B47" s="39"/>
      <c r="C47" s="51"/>
      <c r="D47" s="51"/>
      <c r="E47" s="51"/>
      <c r="F47" s="51"/>
      <c r="G47" s="51"/>
      <c r="H47" s="51"/>
      <c r="I47" s="51"/>
      <c r="J47" s="51"/>
      <c r="K47" s="51"/>
    </row>
    <row r="48" spans="1:11">
      <c r="A48" s="40" t="s">
        <v>56</v>
      </c>
      <c r="B48" s="40" t="s">
        <v>55</v>
      </c>
      <c r="C48" s="51">
        <v>1822712.1721057624</v>
      </c>
      <c r="D48" s="51"/>
      <c r="E48" s="51">
        <v>1405719.8477588259</v>
      </c>
      <c r="F48" s="51">
        <v>304523.96905376401</v>
      </c>
      <c r="G48" s="51">
        <v>249794.2566207982</v>
      </c>
      <c r="H48" s="51">
        <v>171060.44462069566</v>
      </c>
      <c r="I48" s="51">
        <v>83985.967562826467</v>
      </c>
      <c r="J48" s="51">
        <v>88257.01770456502</v>
      </c>
      <c r="K48" s="51">
        <v>78875.928878544772</v>
      </c>
    </row>
    <row r="49" spans="1:11">
      <c r="A49" s="39" t="s">
        <v>59</v>
      </c>
      <c r="B49" s="39" t="s">
        <v>61</v>
      </c>
      <c r="C49" s="110">
        <v>275394.24246627488</v>
      </c>
      <c r="D49" s="110"/>
      <c r="E49" s="110">
        <v>173362.80143263505</v>
      </c>
      <c r="F49" s="110">
        <v>63407.249245669067</v>
      </c>
      <c r="G49" s="110">
        <v>67612.836645401214</v>
      </c>
      <c r="H49" s="110">
        <v>35663.968104771964</v>
      </c>
      <c r="I49" s="110">
        <v>20094.957769778528</v>
      </c>
      <c r="J49" s="110">
        <v>19164.340708588716</v>
      </c>
      <c r="K49" s="110">
        <v>4760.634025005701</v>
      </c>
    </row>
    <row r="50" spans="1:11">
      <c r="A50" s="39"/>
      <c r="B50" s="39" t="s">
        <v>62</v>
      </c>
      <c r="C50" s="110">
        <v>409117.11508627748</v>
      </c>
      <c r="D50" s="110"/>
      <c r="E50" s="110">
        <v>299960.46245798568</v>
      </c>
      <c r="F50" s="110">
        <v>67022.968332044446</v>
      </c>
      <c r="G50" s="110">
        <v>80163.36719061638</v>
      </c>
      <c r="H50" s="110">
        <v>37580.701516087378</v>
      </c>
      <c r="I50" s="110">
        <v>27050.99651518328</v>
      </c>
      <c r="J50" s="110">
        <v>30898.838687008149</v>
      </c>
      <c r="K50" s="110">
        <v>11195.136629733523</v>
      </c>
    </row>
    <row r="51" spans="1:11">
      <c r="A51" s="39"/>
      <c r="B51" s="39" t="s">
        <v>63</v>
      </c>
      <c r="C51" s="110">
        <v>299915.7737660284</v>
      </c>
      <c r="D51" s="110"/>
      <c r="E51" s="110">
        <v>238958.45849349431</v>
      </c>
      <c r="F51" s="110">
        <v>49283.071284685771</v>
      </c>
      <c r="G51" s="110">
        <v>39268.69255474762</v>
      </c>
      <c r="H51" s="110">
        <v>29203.271172796041</v>
      </c>
      <c r="I51" s="110">
        <v>15650.639787898399</v>
      </c>
      <c r="J51" s="110">
        <v>15343.312369802898</v>
      </c>
      <c r="K51" s="110">
        <v>9517.2047573575182</v>
      </c>
    </row>
    <row r="52" spans="1:11">
      <c r="A52" s="39"/>
      <c r="B52" s="39" t="s">
        <v>64</v>
      </c>
      <c r="C52" s="110">
        <v>313849.89557751414</v>
      </c>
      <c r="D52" s="110"/>
      <c r="E52" s="110">
        <v>268340.30794742459</v>
      </c>
      <c r="F52" s="110">
        <v>48867.641461916726</v>
      </c>
      <c r="G52" s="110">
        <v>19188.550063825034</v>
      </c>
      <c r="H52" s="110">
        <v>22724.763387303607</v>
      </c>
      <c r="I52" s="110">
        <v>7589.2310646901487</v>
      </c>
      <c r="J52" s="110">
        <v>9847.0174859225372</v>
      </c>
      <c r="K52" s="110">
        <v>13369.901479541557</v>
      </c>
    </row>
    <row r="53" spans="1:11">
      <c r="A53" s="39"/>
      <c r="B53" s="39" t="s">
        <v>65</v>
      </c>
      <c r="C53" s="110">
        <v>274921.33291988634</v>
      </c>
      <c r="D53" s="110"/>
      <c r="E53" s="110">
        <v>233088.24671432417</v>
      </c>
      <c r="F53" s="110">
        <v>40390.773179896576</v>
      </c>
      <c r="G53" s="110">
        <v>17992.109966852211</v>
      </c>
      <c r="H53" s="110">
        <v>25620.091910124993</v>
      </c>
      <c r="I53" s="110">
        <v>8313.728446011708</v>
      </c>
      <c r="J53" s="110">
        <v>5594.9644764553268</v>
      </c>
      <c r="K53" s="110">
        <v>14332.099654642654</v>
      </c>
    </row>
    <row r="54" spans="1:11">
      <c r="A54" s="39"/>
      <c r="B54" s="39" t="s">
        <v>66</v>
      </c>
      <c r="C54" s="110">
        <v>249513.81228978184</v>
      </c>
      <c r="D54" s="110"/>
      <c r="E54" s="110">
        <v>192009.57071296716</v>
      </c>
      <c r="F54" s="110">
        <v>35552.265549551157</v>
      </c>
      <c r="G54" s="110">
        <v>25568.700199355262</v>
      </c>
      <c r="H54" s="110">
        <v>20267.648529611466</v>
      </c>
      <c r="I54" s="110">
        <v>5286.4139792643846</v>
      </c>
      <c r="J54" s="110">
        <v>7408.5439767873977</v>
      </c>
      <c r="K54" s="110">
        <v>25700.952332263823</v>
      </c>
    </row>
    <row r="55" spans="1:11">
      <c r="A55" s="39"/>
      <c r="B55" s="39"/>
    </row>
    <row r="56" spans="1:11">
      <c r="A56" s="40" t="s">
        <v>57</v>
      </c>
      <c r="B56" s="40" t="s">
        <v>55</v>
      </c>
      <c r="C56" s="51">
        <v>1511358.4000721457</v>
      </c>
      <c r="D56" s="51"/>
      <c r="E56" s="51">
        <v>1199261.3458009288</v>
      </c>
      <c r="F56" s="51">
        <v>252319.42552987064</v>
      </c>
      <c r="G56" s="51">
        <v>163300.53400995472</v>
      </c>
      <c r="H56" s="51">
        <v>109803.25630780461</v>
      </c>
      <c r="I56" s="51">
        <v>52537.588654469422</v>
      </c>
      <c r="J56" s="51">
        <v>47192.421830105479</v>
      </c>
      <c r="K56" s="51">
        <v>97751.369559317915</v>
      </c>
    </row>
    <row r="57" spans="1:11">
      <c r="A57" s="39" t="s">
        <v>59</v>
      </c>
      <c r="B57" s="39" t="s">
        <v>61</v>
      </c>
      <c r="C57" s="110">
        <v>222008.11082705695</v>
      </c>
      <c r="D57" s="110"/>
      <c r="E57" s="110">
        <v>164107.84470331372</v>
      </c>
      <c r="F57" s="110">
        <v>60414.402369978721</v>
      </c>
      <c r="G57" s="110">
        <v>32591.332391597436</v>
      </c>
      <c r="H57" s="110">
        <v>26072.625313318778</v>
      </c>
      <c r="I57" s="110">
        <v>16506.019356382509</v>
      </c>
      <c r="J57" s="110">
        <v>13156.325065115028</v>
      </c>
      <c r="K57" s="110">
        <v>8129.2811760911391</v>
      </c>
    </row>
    <row r="58" spans="1:11">
      <c r="A58" s="39"/>
      <c r="B58" s="39" t="s">
        <v>62</v>
      </c>
      <c r="C58" s="110">
        <v>318476.84988184617</v>
      </c>
      <c r="D58" s="110"/>
      <c r="E58" s="110">
        <v>244362.76969955687</v>
      </c>
      <c r="F58" s="110">
        <v>60215.15306174603</v>
      </c>
      <c r="G58" s="110">
        <v>37027.823834443385</v>
      </c>
      <c r="H58" s="110">
        <v>29642.605885708927</v>
      </c>
      <c r="I58" s="110">
        <v>18791.018102400689</v>
      </c>
      <c r="J58" s="110">
        <v>15934.677053646785</v>
      </c>
      <c r="K58" s="110">
        <v>15904.25908501179</v>
      </c>
    </row>
    <row r="59" spans="1:11">
      <c r="A59" s="39"/>
      <c r="B59" s="39" t="s">
        <v>63</v>
      </c>
      <c r="C59" s="110">
        <v>271821.24749483215</v>
      </c>
      <c r="D59" s="110"/>
      <c r="E59" s="110">
        <v>224413.02086255659</v>
      </c>
      <c r="F59" s="110">
        <v>41918.035950280158</v>
      </c>
      <c r="G59" s="110">
        <v>21398.90147118922</v>
      </c>
      <c r="H59" s="110">
        <v>11364.657855295811</v>
      </c>
      <c r="I59" s="110">
        <v>6989.1694510854222</v>
      </c>
      <c r="J59" s="110">
        <v>7348.6921028694742</v>
      </c>
      <c r="K59" s="110">
        <v>18321.174927903077</v>
      </c>
    </row>
    <row r="60" spans="1:11">
      <c r="A60" s="39"/>
      <c r="B60" s="39" t="s">
        <v>64</v>
      </c>
      <c r="C60" s="110">
        <v>274207.35483689449</v>
      </c>
      <c r="D60" s="110"/>
      <c r="E60" s="110">
        <v>232689.15554352151</v>
      </c>
      <c r="F60" s="110">
        <v>43820.454876638214</v>
      </c>
      <c r="G60" s="110">
        <v>21161.017392051999</v>
      </c>
      <c r="H60" s="110">
        <v>17964.7925539971</v>
      </c>
      <c r="I60" s="110">
        <v>2844.3454398568374</v>
      </c>
      <c r="J60" s="110">
        <v>4849.3935075623767</v>
      </c>
      <c r="K60" s="110">
        <v>16475.448816017939</v>
      </c>
    </row>
    <row r="61" spans="1:11">
      <c r="A61" s="39"/>
      <c r="B61" s="39" t="s">
        <v>65</v>
      </c>
      <c r="C61" s="110">
        <v>223791.89647020953</v>
      </c>
      <c r="D61" s="110"/>
      <c r="E61" s="110">
        <v>178576.87377894539</v>
      </c>
      <c r="F61" s="110">
        <v>25883.199565227194</v>
      </c>
      <c r="G61" s="110">
        <v>26460.554937238529</v>
      </c>
      <c r="H61" s="110">
        <v>9844.7907891842042</v>
      </c>
      <c r="I61" s="110">
        <v>4732.0956555762195</v>
      </c>
      <c r="J61" s="110">
        <v>2169.6733045606538</v>
      </c>
      <c r="K61" s="110">
        <v>19513.396839046593</v>
      </c>
    </row>
    <row r="62" spans="1:11">
      <c r="A62" s="39"/>
      <c r="B62" s="39" t="s">
        <v>66</v>
      </c>
      <c r="C62" s="110">
        <v>201052.94056130017</v>
      </c>
      <c r="D62" s="110"/>
      <c r="E62" s="110">
        <v>155111.68121303251</v>
      </c>
      <c r="F62" s="110">
        <v>20068.179705999886</v>
      </c>
      <c r="G62" s="110">
        <v>24660.903983434226</v>
      </c>
      <c r="H62" s="110">
        <v>14913.78391029971</v>
      </c>
      <c r="I62" s="110">
        <v>2674.9406491677537</v>
      </c>
      <c r="J62" s="110">
        <v>3733.6607963511669</v>
      </c>
      <c r="K62" s="110">
        <v>19407.808715247415</v>
      </c>
    </row>
    <row r="63" spans="1:11">
      <c r="A63" s="132"/>
      <c r="B63" s="132"/>
      <c r="C63" s="178"/>
      <c r="D63" s="178"/>
      <c r="E63" s="178"/>
      <c r="F63" s="178"/>
      <c r="G63" s="178"/>
      <c r="H63" s="178"/>
      <c r="I63" s="178"/>
      <c r="J63" s="178"/>
      <c r="K63" s="178"/>
    </row>
    <row r="64" spans="1:11">
      <c r="A64" s="29" t="s">
        <v>147</v>
      </c>
    </row>
    <row r="65" spans="1:1">
      <c r="A65" s="16" t="s">
        <v>119</v>
      </c>
    </row>
    <row r="66" spans="1:1">
      <c r="A66" s="16" t="s">
        <v>120</v>
      </c>
    </row>
    <row r="67" spans="1:1">
      <c r="A67" s="16" t="s">
        <v>117</v>
      </c>
    </row>
    <row r="68" spans="1:1">
      <c r="A68" s="29" t="s">
        <v>118</v>
      </c>
    </row>
  </sheetData>
  <mergeCells count="3">
    <mergeCell ref="C15:K15"/>
    <mergeCell ref="C39:K39"/>
    <mergeCell ref="E13:K13"/>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13375404-0213-4D06-9E37-7FB7B985D1C1}">
            <xm:f>C40&lt;'34'!$C$104</xm:f>
            <x14:dxf>
              <font>
                <color rgb="FFFF0000"/>
              </font>
              <numFmt numFmtId="172" formatCode="\*\*0.0%"/>
            </x14:dxf>
          </x14:cfRule>
          <x14:cfRule type="expression" priority="4" id="{2F397D6B-DE68-470E-9D40-07A8B1A3FA8E}">
            <xm:f>C40&lt;'34'!$C$103</xm:f>
            <x14:dxf>
              <font>
                <color rgb="FF00B050"/>
              </font>
              <numFmt numFmtId="171" formatCode="\*0.0%"/>
            </x14:dxf>
          </x14:cfRule>
          <xm:sqref>C16:K38</xm:sqref>
        </x14:conditionalFormatting>
        <x14:conditionalFormatting xmlns:xm="http://schemas.microsoft.com/office/excel/2006/main">
          <x14:cfRule type="expression" priority="1" id="{EA00FB9C-A78A-4C02-82C1-C9440A4BF79C}">
            <xm:f>C40&lt;'34'!$C$104</xm:f>
            <x14:dxf>
              <font>
                <color rgb="FFFF0000"/>
              </font>
              <numFmt numFmtId="170" formatCode="\*\*#,###,###,##0"/>
            </x14:dxf>
          </x14:cfRule>
          <x14:cfRule type="expression" priority="2" id="{AB1E55D1-95E7-472F-A077-2BE80D01BDA7}">
            <xm:f>C40&lt;'34'!$C$103</xm:f>
            <x14:dxf>
              <font>
                <color rgb="FF00B050"/>
              </font>
              <numFmt numFmtId="169" formatCode="\*#,###,###,##0"/>
            </x14:dxf>
          </x14:cfRule>
          <xm:sqref>C40:K62</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2A1D-AA29-4880-854B-B0FEDBAC3A28}">
  <sheetPr>
    <pageSetUpPr fitToPage="1"/>
  </sheetPr>
  <dimension ref="A1:K68"/>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2" width="15.7109375" style="1" customWidth="1"/>
    <col min="3" max="3" width="14.85546875" style="1" customWidth="1"/>
    <col min="4" max="4" width="7" style="1" customWidth="1"/>
    <col min="5" max="11" width="14.85546875" style="1" customWidth="1"/>
    <col min="12" max="14" width="8.85546875" style="1"/>
    <col min="15" max="15" width="29.85546875" style="1" bestFit="1" customWidth="1"/>
    <col min="16" max="16" width="34" style="1" bestFit="1" customWidth="1"/>
    <col min="17" max="17" width="26" style="1" bestFit="1" customWidth="1"/>
    <col min="18" max="18" width="27.85546875" style="1" bestFit="1" customWidth="1"/>
    <col min="19" max="19" width="36.140625" style="1" bestFit="1" customWidth="1"/>
    <col min="20" max="20" width="13.42578125" style="1" bestFit="1" customWidth="1"/>
    <col min="21" max="21" width="32.85546875" style="1" bestFit="1" customWidth="1"/>
    <col min="22" max="22" width="11.85546875" style="1" bestFit="1" customWidth="1"/>
    <col min="23" max="24" width="8.85546875" style="1"/>
    <col min="25" max="25" width="19.855468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1">
      <c r="A1" s="34"/>
      <c r="B1" s="34"/>
      <c r="C1" s="34"/>
      <c r="D1" s="34"/>
      <c r="E1" s="34"/>
      <c r="F1" s="34"/>
      <c r="G1" s="34"/>
      <c r="H1" s="34"/>
      <c r="I1" s="34"/>
      <c r="J1" s="34"/>
      <c r="K1" s="34"/>
    </row>
    <row r="2" spans="1:11">
      <c r="A2" s="34"/>
      <c r="B2" s="34"/>
      <c r="C2" s="34"/>
      <c r="D2" s="34"/>
      <c r="E2" s="34"/>
      <c r="F2" s="34"/>
      <c r="G2" s="34"/>
      <c r="H2" s="34"/>
      <c r="I2" s="34"/>
      <c r="J2" s="34"/>
      <c r="K2" s="34"/>
    </row>
    <row r="3" spans="1:11">
      <c r="A3" s="34"/>
      <c r="B3" s="34"/>
      <c r="C3" s="34"/>
      <c r="D3" s="34"/>
      <c r="E3" s="34"/>
      <c r="F3" s="34"/>
      <c r="G3" s="34"/>
      <c r="H3" s="34"/>
      <c r="I3" s="34"/>
      <c r="J3" s="34"/>
      <c r="K3" s="34"/>
    </row>
    <row r="4" spans="1:11">
      <c r="A4" s="34"/>
      <c r="B4" s="34"/>
      <c r="C4" s="34"/>
      <c r="D4" s="34"/>
      <c r="E4" s="34"/>
      <c r="F4" s="34"/>
      <c r="G4" s="34"/>
      <c r="H4" s="34"/>
      <c r="I4" s="34"/>
      <c r="J4" s="34"/>
      <c r="K4" s="34"/>
    </row>
    <row r="5" spans="1:11">
      <c r="A5" s="34"/>
      <c r="B5" s="34"/>
      <c r="C5" s="34"/>
      <c r="D5" s="34"/>
      <c r="E5" s="34"/>
      <c r="F5" s="34"/>
      <c r="G5" s="34"/>
      <c r="H5" s="34"/>
      <c r="I5" s="34"/>
      <c r="J5" s="34"/>
      <c r="K5" s="34"/>
    </row>
    <row r="6" spans="1:11">
      <c r="A6" s="34"/>
      <c r="B6" s="34"/>
      <c r="C6" s="34"/>
      <c r="D6" s="34"/>
      <c r="E6" s="34"/>
      <c r="F6" s="34"/>
      <c r="G6" s="34"/>
      <c r="H6" s="34"/>
      <c r="I6" s="34"/>
      <c r="J6" s="34"/>
      <c r="K6" s="34"/>
    </row>
    <row r="7" spans="1:11">
      <c r="A7" s="34"/>
      <c r="B7" s="34"/>
      <c r="C7" s="34"/>
      <c r="D7" s="34"/>
      <c r="E7" s="34"/>
      <c r="F7" s="34"/>
      <c r="G7" s="34"/>
      <c r="H7" s="34"/>
      <c r="I7" s="34"/>
      <c r="J7" s="34"/>
      <c r="K7" s="34"/>
    </row>
    <row r="8" spans="1:11">
      <c r="A8" s="35" t="s">
        <v>0</v>
      </c>
      <c r="B8" s="34"/>
      <c r="C8" s="34"/>
      <c r="D8" s="34"/>
      <c r="E8" s="34"/>
      <c r="F8" s="34"/>
      <c r="G8" s="34"/>
      <c r="H8" s="34"/>
      <c r="I8" s="34"/>
      <c r="J8" s="34"/>
      <c r="K8" s="34"/>
    </row>
    <row r="9" spans="1:11">
      <c r="A9" s="34" t="s">
        <v>1</v>
      </c>
      <c r="B9" s="34"/>
      <c r="C9" s="35" t="s">
        <v>2</v>
      </c>
      <c r="D9" s="95"/>
      <c r="E9" s="34"/>
      <c r="F9" s="34"/>
      <c r="G9" s="34"/>
      <c r="H9" s="34"/>
      <c r="I9" s="34"/>
      <c r="J9" s="34"/>
      <c r="K9" s="34"/>
    </row>
    <row r="10" spans="1:11">
      <c r="A10" s="34" t="s">
        <v>47</v>
      </c>
      <c r="B10" s="34"/>
      <c r="C10" s="36">
        <v>29</v>
      </c>
      <c r="D10" s="36"/>
      <c r="E10" s="34"/>
      <c r="F10" s="34"/>
      <c r="G10" s="34"/>
      <c r="H10" s="34"/>
      <c r="I10" s="34"/>
      <c r="J10" s="34"/>
      <c r="K10" s="34"/>
    </row>
    <row r="11" spans="1:11">
      <c r="A11" s="34" t="s">
        <v>3</v>
      </c>
      <c r="B11" s="34"/>
      <c r="C11" s="35" t="s">
        <v>457</v>
      </c>
      <c r="D11" s="35"/>
      <c r="E11" s="34"/>
      <c r="F11" s="34"/>
      <c r="G11" s="34"/>
      <c r="H11" s="34"/>
      <c r="I11" s="34"/>
      <c r="J11" s="34"/>
      <c r="K11" s="34"/>
    </row>
    <row r="12" spans="1:11">
      <c r="A12" s="130" t="s">
        <v>48</v>
      </c>
      <c r="B12" s="130"/>
      <c r="C12" s="131" t="s">
        <v>182</v>
      </c>
      <c r="D12" s="131"/>
      <c r="E12" s="130"/>
      <c r="F12" s="130"/>
      <c r="G12" s="130"/>
      <c r="H12" s="130"/>
      <c r="I12" s="130"/>
      <c r="J12" s="130"/>
      <c r="K12" s="130"/>
    </row>
    <row r="13" spans="1:11" ht="24.75" customHeight="1">
      <c r="A13" s="37"/>
      <c r="B13" s="37"/>
      <c r="C13" s="38"/>
      <c r="D13" s="38"/>
      <c r="E13" s="155" t="s">
        <v>458</v>
      </c>
      <c r="F13" s="155"/>
      <c r="G13" s="155"/>
      <c r="H13" s="155"/>
      <c r="I13" s="155"/>
      <c r="J13" s="155"/>
      <c r="K13" s="155"/>
    </row>
    <row r="14" spans="1:11" s="2" customFormat="1" ht="30" customHeight="1">
      <c r="A14" s="186"/>
      <c r="B14" s="186"/>
      <c r="C14" s="42" t="s">
        <v>448</v>
      </c>
      <c r="D14" s="42"/>
      <c r="E14" s="69" t="s">
        <v>459</v>
      </c>
      <c r="F14" s="69" t="s">
        <v>460</v>
      </c>
      <c r="G14" s="69" t="s">
        <v>461</v>
      </c>
      <c r="H14" s="69" t="s">
        <v>462</v>
      </c>
      <c r="I14" s="69" t="s">
        <v>463</v>
      </c>
      <c r="J14" s="69" t="s">
        <v>464</v>
      </c>
      <c r="K14" s="69" t="s">
        <v>88</v>
      </c>
    </row>
    <row r="15" spans="1:11">
      <c r="A15" s="73"/>
      <c r="B15" s="73"/>
      <c r="C15" s="163" t="s">
        <v>455</v>
      </c>
      <c r="D15" s="163"/>
      <c r="E15" s="163"/>
      <c r="F15" s="163"/>
      <c r="G15" s="163"/>
      <c r="H15" s="163"/>
      <c r="I15" s="163"/>
      <c r="J15" s="163"/>
      <c r="K15" s="163"/>
    </row>
    <row r="16" spans="1:11">
      <c r="A16" s="40" t="s">
        <v>144</v>
      </c>
      <c r="B16" s="40" t="s">
        <v>55</v>
      </c>
      <c r="C16" s="33">
        <v>0.19045640244038653</v>
      </c>
      <c r="D16" s="33"/>
      <c r="E16" s="33">
        <v>7.7975827060199968E-2</v>
      </c>
      <c r="F16" s="33">
        <v>4.8147662103800892E-2</v>
      </c>
      <c r="G16" s="33">
        <v>4.404658712782706E-2</v>
      </c>
      <c r="H16" s="33">
        <v>3.8210220207061808E-2</v>
      </c>
      <c r="I16" s="33">
        <v>2.5782244474657046E-2</v>
      </c>
      <c r="J16" s="33">
        <v>1.580947623176714E-2</v>
      </c>
      <c r="K16" s="33">
        <v>3.541237886978714E-3</v>
      </c>
    </row>
    <row r="17" spans="1:11">
      <c r="A17" s="39" t="s">
        <v>59</v>
      </c>
      <c r="B17" s="39" t="s">
        <v>61</v>
      </c>
      <c r="C17" s="108">
        <v>0.24461561449809308</v>
      </c>
      <c r="D17" s="108"/>
      <c r="E17" s="108">
        <v>9.429209945768606E-2</v>
      </c>
      <c r="F17" s="108">
        <v>7.4269020838382022E-2</v>
      </c>
      <c r="G17" s="108">
        <v>5.1921767867092683E-2</v>
      </c>
      <c r="H17" s="108">
        <v>3.6962257262105121E-2</v>
      </c>
      <c r="I17" s="108">
        <v>4.7729146245468812E-2</v>
      </c>
      <c r="J17" s="108">
        <v>2.3791813924533691E-2</v>
      </c>
      <c r="K17" s="108">
        <v>3.5569853427379382E-3</v>
      </c>
    </row>
    <row r="18" spans="1:11">
      <c r="A18" s="39"/>
      <c r="B18" s="39" t="s">
        <v>62</v>
      </c>
      <c r="C18" s="108">
        <v>0.21064061903668366</v>
      </c>
      <c r="D18" s="108"/>
      <c r="E18" s="108">
        <v>7.7713199509288247E-2</v>
      </c>
      <c r="F18" s="108">
        <v>5.331277639087139E-2</v>
      </c>
      <c r="G18" s="108">
        <v>4.1163080831191363E-2</v>
      </c>
      <c r="H18" s="108">
        <v>4.8973224137519117E-2</v>
      </c>
      <c r="I18" s="108">
        <v>3.6474626322778439E-2</v>
      </c>
      <c r="J18" s="108">
        <v>2.2909608461258311E-2</v>
      </c>
      <c r="K18" s="108">
        <v>3.1043579559936309E-3</v>
      </c>
    </row>
    <row r="19" spans="1:11">
      <c r="A19" s="39"/>
      <c r="B19" s="39" t="s">
        <v>63</v>
      </c>
      <c r="C19" s="108">
        <v>0.176247825565751</v>
      </c>
      <c r="D19" s="108"/>
      <c r="E19" s="108">
        <v>6.7688949656606698E-2</v>
      </c>
      <c r="F19" s="108">
        <v>4.235745111102162E-2</v>
      </c>
      <c r="G19" s="108">
        <v>4.2111881752835853E-2</v>
      </c>
      <c r="H19" s="108">
        <v>3.8576534055296173E-2</v>
      </c>
      <c r="I19" s="108">
        <v>2.0716574862830538E-2</v>
      </c>
      <c r="J19" s="108">
        <v>1.723891425145712E-2</v>
      </c>
      <c r="K19" s="108">
        <v>3.2406400112652695E-3</v>
      </c>
    </row>
    <row r="20" spans="1:11">
      <c r="A20" s="39"/>
      <c r="B20" s="39" t="s">
        <v>64</v>
      </c>
      <c r="C20" s="108">
        <v>0.2057797637992731</v>
      </c>
      <c r="D20" s="108"/>
      <c r="E20" s="108">
        <v>8.4735587177391852E-2</v>
      </c>
      <c r="F20" s="108">
        <v>5.5854745411006088E-2</v>
      </c>
      <c r="G20" s="108">
        <v>5.1535847431249934E-2</v>
      </c>
      <c r="H20" s="108">
        <v>3.763399115649254E-2</v>
      </c>
      <c r="I20" s="108">
        <v>2.3262029107820815E-2</v>
      </c>
      <c r="J20" s="108">
        <v>1.3995398620200968E-2</v>
      </c>
      <c r="K20" s="108">
        <v>4.8611397946352096E-3</v>
      </c>
    </row>
    <row r="21" spans="1:11">
      <c r="A21" s="39"/>
      <c r="B21" s="39" t="s">
        <v>65</v>
      </c>
      <c r="C21" s="108">
        <v>0.19402885611952406</v>
      </c>
      <c r="D21" s="108"/>
      <c r="E21" s="108">
        <v>9.125670506815077E-2</v>
      </c>
      <c r="F21" s="108">
        <v>4.5802153474509472E-2</v>
      </c>
      <c r="G21" s="108">
        <v>4.6238974785091279E-2</v>
      </c>
      <c r="H21" s="108">
        <v>3.7887808985367422E-2</v>
      </c>
      <c r="I21" s="108">
        <v>2.0922850174062851E-2</v>
      </c>
      <c r="J21" s="108">
        <v>1.0724698768841082E-2</v>
      </c>
      <c r="K21" s="108">
        <v>4.2769174353331331E-3</v>
      </c>
    </row>
    <row r="22" spans="1:11">
      <c r="A22" s="39"/>
      <c r="B22" s="39" t="s">
        <v>66</v>
      </c>
      <c r="C22" s="108">
        <v>0.13429463489668164</v>
      </c>
      <c r="D22" s="108"/>
      <c r="E22" s="108">
        <v>6.2250191257531978E-2</v>
      </c>
      <c r="F22" s="108">
        <v>2.7617415348170186E-2</v>
      </c>
      <c r="G22" s="108">
        <v>3.6005030776148812E-2</v>
      </c>
      <c r="H22" s="108">
        <v>2.8211107241750168E-2</v>
      </c>
      <c r="I22" s="108">
        <v>1.2042885988784306E-2</v>
      </c>
      <c r="J22" s="108">
        <v>7.6268923109426168E-3</v>
      </c>
      <c r="K22" s="108">
        <v>2.5841919619850064E-3</v>
      </c>
    </row>
    <row r="23" spans="1:11">
      <c r="A23" s="39"/>
      <c r="B23" s="39"/>
    </row>
    <row r="24" spans="1:11">
      <c r="A24" s="40" t="s">
        <v>56</v>
      </c>
      <c r="B24" s="40" t="s">
        <v>55</v>
      </c>
      <c r="C24" s="33">
        <v>0.20872725454723218</v>
      </c>
      <c r="D24" s="33"/>
      <c r="E24" s="33">
        <v>8.5395511278231251E-2</v>
      </c>
      <c r="F24" s="33">
        <v>4.6609348011892926E-2</v>
      </c>
      <c r="G24" s="33">
        <v>5.3426105586121868E-2</v>
      </c>
      <c r="H24" s="33">
        <v>4.3174095482287074E-2</v>
      </c>
      <c r="I24" s="33">
        <v>3.0342836613797962E-2</v>
      </c>
      <c r="J24" s="33">
        <v>1.8797990214321186E-2</v>
      </c>
      <c r="K24" s="33">
        <v>4.1403452073675235E-3</v>
      </c>
    </row>
    <row r="25" spans="1:11">
      <c r="A25" s="39" t="s">
        <v>59</v>
      </c>
      <c r="B25" s="39" t="s">
        <v>61</v>
      </c>
      <c r="C25" s="108">
        <v>0.26178941089277352</v>
      </c>
      <c r="D25" s="108"/>
      <c r="E25" s="108">
        <v>9.2675320069132941E-2</v>
      </c>
      <c r="F25" s="108">
        <v>7.3055938415910321E-2</v>
      </c>
      <c r="G25" s="108">
        <v>6.0344443151988211E-2</v>
      </c>
      <c r="H25" s="108">
        <v>3.3117923556674582E-2</v>
      </c>
      <c r="I25" s="108">
        <v>5.4203289868922644E-2</v>
      </c>
      <c r="J25" s="108">
        <v>2.7941154363657676E-2</v>
      </c>
      <c r="K25" s="108">
        <v>4.2929317073126623E-3</v>
      </c>
    </row>
    <row r="26" spans="1:11">
      <c r="A26" s="39"/>
      <c r="B26" s="39" t="s">
        <v>62</v>
      </c>
      <c r="C26" s="108">
        <v>0.23486483013552101</v>
      </c>
      <c r="D26" s="108"/>
      <c r="E26" s="108">
        <v>8.3056537033308828E-2</v>
      </c>
      <c r="F26" s="108">
        <v>5.090063340745337E-2</v>
      </c>
      <c r="G26" s="108">
        <v>5.5855457969736212E-2</v>
      </c>
      <c r="H26" s="108">
        <v>5.5543081414319684E-2</v>
      </c>
      <c r="I26" s="108">
        <v>4.2676558317108503E-2</v>
      </c>
      <c r="J26" s="108">
        <v>2.8085393610970677E-2</v>
      </c>
      <c r="K26" s="108">
        <v>3.4330277617114027E-3</v>
      </c>
    </row>
    <row r="27" spans="1:11">
      <c r="A27" s="39"/>
      <c r="B27" s="39" t="s">
        <v>63</v>
      </c>
      <c r="C27" s="108">
        <v>0.18517474599235206</v>
      </c>
      <c r="D27" s="108"/>
      <c r="E27" s="108">
        <v>6.9285757389704578E-2</v>
      </c>
      <c r="F27" s="108">
        <v>4.0042695991062187E-2</v>
      </c>
      <c r="G27" s="108">
        <v>4.7345693852267133E-2</v>
      </c>
      <c r="H27" s="108">
        <v>4.5472803815365406E-2</v>
      </c>
      <c r="I27" s="108">
        <v>2.3711786177668837E-2</v>
      </c>
      <c r="J27" s="108">
        <v>2.0166355651150304E-2</v>
      </c>
      <c r="K27" s="108">
        <v>2.4060931251115325E-3</v>
      </c>
    </row>
    <row r="28" spans="1:11">
      <c r="A28" s="39"/>
      <c r="B28" s="39" t="s">
        <v>64</v>
      </c>
      <c r="C28" s="108">
        <v>0.22096551664543396</v>
      </c>
      <c r="D28" s="108"/>
      <c r="E28" s="108">
        <v>9.5759908207583247E-2</v>
      </c>
      <c r="F28" s="108">
        <v>5.6106149865643405E-2</v>
      </c>
      <c r="G28" s="108">
        <v>5.9537954107811528E-2</v>
      </c>
      <c r="H28" s="108">
        <v>4.0081761468831384E-2</v>
      </c>
      <c r="I28" s="108">
        <v>2.7769371205926083E-2</v>
      </c>
      <c r="J28" s="108">
        <v>1.5219336738447045E-2</v>
      </c>
      <c r="K28" s="108">
        <v>5.8002477366893611E-3</v>
      </c>
    </row>
    <row r="29" spans="1:11">
      <c r="A29" s="39"/>
      <c r="B29" s="39" t="s">
        <v>65</v>
      </c>
      <c r="C29" s="108">
        <v>0.21479627703376647</v>
      </c>
      <c r="D29" s="108"/>
      <c r="E29" s="108">
        <v>0.10888661488133629</v>
      </c>
      <c r="F29" s="108">
        <v>4.6608770442893299E-2</v>
      </c>
      <c r="G29" s="108">
        <v>5.4756632856192575E-2</v>
      </c>
      <c r="H29" s="108">
        <v>4.1574259897383253E-2</v>
      </c>
      <c r="I29" s="108">
        <v>2.2264361854459725E-2</v>
      </c>
      <c r="J29" s="108">
        <v>1.2075139718867336E-2</v>
      </c>
      <c r="K29" s="108">
        <v>5.3745794086781599E-3</v>
      </c>
    </row>
    <row r="30" spans="1:11">
      <c r="A30" s="39"/>
      <c r="B30" s="39" t="s">
        <v>66</v>
      </c>
      <c r="C30" s="108">
        <v>0.15414434575827526</v>
      </c>
      <c r="D30" s="108"/>
      <c r="E30" s="108">
        <v>7.1631607576225331E-2</v>
      </c>
      <c r="F30" s="108">
        <v>2.3041949227716553E-2</v>
      </c>
      <c r="G30" s="108">
        <v>4.5984626736578653E-2</v>
      </c>
      <c r="H30" s="108">
        <v>3.8077249397423366E-2</v>
      </c>
      <c r="I30" s="108">
        <v>1.6844387339571412E-2</v>
      </c>
      <c r="J30" s="108">
        <v>9.9483763136021686E-3</v>
      </c>
      <c r="K30" s="108">
        <v>4.1051721819640235E-3</v>
      </c>
    </row>
    <row r="31" spans="1:11">
      <c r="A31" s="39"/>
      <c r="B31" s="39"/>
    </row>
    <row r="32" spans="1:11">
      <c r="A32" s="40" t="s">
        <v>57</v>
      </c>
      <c r="B32" s="40" t="s">
        <v>55</v>
      </c>
      <c r="C32" s="33">
        <v>0.17201670155632137</v>
      </c>
      <c r="D32" s="33"/>
      <c r="E32" s="33">
        <v>7.0572987306611365E-2</v>
      </c>
      <c r="F32" s="33">
        <v>4.9666657348247205E-2</v>
      </c>
      <c r="G32" s="33">
        <v>3.473622624734652E-2</v>
      </c>
      <c r="H32" s="33">
        <v>3.3229275487024437E-2</v>
      </c>
      <c r="I32" s="33">
        <v>2.0971395265181846E-2</v>
      </c>
      <c r="J32" s="33">
        <v>1.2803139084902678E-2</v>
      </c>
      <c r="K32" s="33">
        <v>2.9827318665053798E-3</v>
      </c>
    </row>
    <row r="33" spans="1:11">
      <c r="A33" s="39" t="s">
        <v>59</v>
      </c>
      <c r="B33" s="39" t="s">
        <v>61</v>
      </c>
      <c r="C33" s="4">
        <v>0.22795200508403402</v>
      </c>
      <c r="D33" s="108"/>
      <c r="E33" s="108">
        <v>9.7956744094381307E-2</v>
      </c>
      <c r="F33" s="108">
        <v>7.7240126691415514E-2</v>
      </c>
      <c r="G33" s="108">
        <v>4.3244680468937202E-2</v>
      </c>
      <c r="H33" s="108">
        <v>4.0483813870885892E-2</v>
      </c>
      <c r="I33" s="108">
        <v>4.0433681918915672E-2</v>
      </c>
      <c r="J33" s="108">
        <v>2.0162981787359209E-2</v>
      </c>
      <c r="K33" s="108">
        <v>2.8895938732115566E-3</v>
      </c>
    </row>
    <row r="34" spans="1:11">
      <c r="A34" s="39"/>
      <c r="B34" s="39" t="s">
        <v>62</v>
      </c>
      <c r="C34" s="108">
        <v>0.18536798170510455</v>
      </c>
      <c r="D34" s="108"/>
      <c r="E34" s="108">
        <v>7.1687632321065106E-2</v>
      </c>
      <c r="F34" s="108">
        <v>5.5868362381529445E-2</v>
      </c>
      <c r="G34" s="108">
        <v>2.5884850733494259E-2</v>
      </c>
      <c r="H34" s="108">
        <v>4.2342127133501738E-2</v>
      </c>
      <c r="I34" s="108">
        <v>3.0174315881495373E-2</v>
      </c>
      <c r="J34" s="108">
        <v>1.7427483845454235E-2</v>
      </c>
      <c r="K34" s="108">
        <v>2.8094696635787898E-3</v>
      </c>
    </row>
    <row r="35" spans="1:11">
      <c r="A35" s="39"/>
      <c r="B35" s="39" t="s">
        <v>63</v>
      </c>
      <c r="C35" s="108">
        <v>0.16722566526095298</v>
      </c>
      <c r="D35" s="108"/>
      <c r="E35" s="108">
        <v>6.609764251513163E-2</v>
      </c>
      <c r="F35" s="108">
        <v>4.4674271075729549E-2</v>
      </c>
      <c r="G35" s="108">
        <v>3.6902482790846111E-2</v>
      </c>
      <c r="H35" s="108">
        <v>3.2023276348867188E-2</v>
      </c>
      <c r="I35" s="108">
        <v>1.7561233540317089E-2</v>
      </c>
      <c r="J35" s="108">
        <v>1.4464202179942836E-2</v>
      </c>
      <c r="K35" s="108">
        <v>4.0989227573655761E-3</v>
      </c>
    </row>
    <row r="36" spans="1:11">
      <c r="A36" s="39"/>
      <c r="B36" s="39" t="s">
        <v>64</v>
      </c>
      <c r="C36" s="108">
        <v>0.19108640354810799</v>
      </c>
      <c r="D36" s="108"/>
      <c r="E36" s="108">
        <v>7.3863911951019892E-2</v>
      </c>
      <c r="F36" s="108">
        <v>5.5367158724126245E-2</v>
      </c>
      <c r="G36" s="108">
        <v>4.4083637895303285E-2</v>
      </c>
      <c r="H36" s="108">
        <v>3.5147732483999057E-2</v>
      </c>
      <c r="I36" s="108">
        <v>1.8614867138720917E-2</v>
      </c>
      <c r="J36" s="108">
        <v>1.2911114112464407E-2</v>
      </c>
      <c r="K36" s="108">
        <v>3.9757807417971861E-3</v>
      </c>
    </row>
    <row r="37" spans="1:11">
      <c r="A37" s="39"/>
      <c r="B37" s="39" t="s">
        <v>65</v>
      </c>
      <c r="C37" s="108">
        <v>0.17280712195329914</v>
      </c>
      <c r="D37" s="108"/>
      <c r="E37" s="108">
        <v>7.346593617945571E-2</v>
      </c>
      <c r="F37" s="108">
        <v>4.4459315285229929E-2</v>
      </c>
      <c r="G37" s="108">
        <v>3.7675810800543219E-2</v>
      </c>
      <c r="H37" s="108">
        <v>3.406369395313006E-2</v>
      </c>
      <c r="I37" s="108">
        <v>1.8972504338833244E-2</v>
      </c>
      <c r="J37" s="108">
        <v>9.0930519424851034E-3</v>
      </c>
      <c r="K37" s="108">
        <v>3.2103789055442831E-3</v>
      </c>
    </row>
    <row r="38" spans="1:11">
      <c r="A38" s="132"/>
      <c r="B38" s="132" t="s">
        <v>66</v>
      </c>
      <c r="C38" s="138">
        <v>0.11564039847997695</v>
      </c>
      <c r="D38" s="138"/>
      <c r="E38" s="138">
        <v>5.3444807851906292E-2</v>
      </c>
      <c r="F38" s="138">
        <v>3.1933492070812919E-2</v>
      </c>
      <c r="G38" s="138">
        <v>2.6786886129737016E-2</v>
      </c>
      <c r="H38" s="138">
        <v>1.9082744197970399E-2</v>
      </c>
      <c r="I38" s="138">
        <v>7.5970063692265199E-3</v>
      </c>
      <c r="J38" s="138">
        <v>5.2320230072702232E-3</v>
      </c>
      <c r="K38" s="138">
        <v>1.1733603069894016E-3</v>
      </c>
    </row>
    <row r="39" spans="1:11">
      <c r="A39" s="72"/>
      <c r="B39" s="72"/>
      <c r="C39" s="156" t="s">
        <v>456</v>
      </c>
      <c r="D39" s="156"/>
      <c r="E39" s="156"/>
      <c r="F39" s="156"/>
      <c r="G39" s="156"/>
      <c r="H39" s="156"/>
      <c r="I39" s="156"/>
      <c r="J39" s="156"/>
      <c r="K39" s="156"/>
    </row>
    <row r="40" spans="1:11" s="2" customFormat="1">
      <c r="A40" s="40" t="s">
        <v>144</v>
      </c>
      <c r="B40" s="40" t="s">
        <v>55</v>
      </c>
      <c r="C40" s="119">
        <v>3353991.9232097124</v>
      </c>
      <c r="D40" s="51"/>
      <c r="E40" s="51">
        <v>1373176.6998348499</v>
      </c>
      <c r="F40" s="51">
        <v>847894.1518814232</v>
      </c>
      <c r="G40" s="51">
        <v>775673.04421769397</v>
      </c>
      <c r="H40" s="51">
        <v>672892.94723848067</v>
      </c>
      <c r="I40" s="51">
        <v>454032.72676687484</v>
      </c>
      <c r="J40" s="51">
        <v>278409.41502672696</v>
      </c>
      <c r="K40" s="51">
        <v>62362.215808462854</v>
      </c>
    </row>
    <row r="41" spans="1:11">
      <c r="A41" s="39" t="s">
        <v>59</v>
      </c>
      <c r="B41" s="39" t="s">
        <v>61</v>
      </c>
      <c r="C41" s="110">
        <v>504106.68732382951</v>
      </c>
      <c r="D41" s="110"/>
      <c r="E41" s="110">
        <v>194318.24904535574</v>
      </c>
      <c r="F41" s="110">
        <v>153054.45706088844</v>
      </c>
      <c r="G41" s="110">
        <v>107000.97969290098</v>
      </c>
      <c r="H41" s="110">
        <v>76172.247232223308</v>
      </c>
      <c r="I41" s="110">
        <v>98360.776567619498</v>
      </c>
      <c r="J41" s="110">
        <v>49030.445286701579</v>
      </c>
      <c r="K41" s="110">
        <v>7330.2765306546553</v>
      </c>
    </row>
    <row r="42" spans="1:11">
      <c r="A42" s="39"/>
      <c r="B42" s="39" t="s">
        <v>62</v>
      </c>
      <c r="C42" s="110">
        <v>733287.54181656858</v>
      </c>
      <c r="D42" s="110"/>
      <c r="E42" s="110">
        <v>270537.18933926156</v>
      </c>
      <c r="F42" s="110">
        <v>185593.8086674072</v>
      </c>
      <c r="G42" s="110">
        <v>143297.97592858545</v>
      </c>
      <c r="H42" s="110">
        <v>170486.84772607489</v>
      </c>
      <c r="I42" s="110">
        <v>126976.40748126624</v>
      </c>
      <c r="J42" s="110">
        <v>79753.518335466521</v>
      </c>
      <c r="K42" s="110">
        <v>10806.970777430339</v>
      </c>
    </row>
    <row r="43" spans="1:11">
      <c r="A43" s="39"/>
      <c r="B43" s="39" t="s">
        <v>63</v>
      </c>
      <c r="C43" s="110">
        <v>574307.3395948821</v>
      </c>
      <c r="D43" s="110"/>
      <c r="E43" s="110">
        <v>220565.90186274541</v>
      </c>
      <c r="F43" s="110">
        <v>138022.6676925213</v>
      </c>
      <c r="G43" s="110">
        <v>137222.47464427812</v>
      </c>
      <c r="H43" s="110">
        <v>125702.4679480284</v>
      </c>
      <c r="I43" s="110">
        <v>67505.405849968171</v>
      </c>
      <c r="J43" s="110">
        <v>56173.373767752855</v>
      </c>
      <c r="K43" s="110">
        <v>10559.695346483439</v>
      </c>
    </row>
    <row r="44" spans="1:11">
      <c r="A44" s="39"/>
      <c r="B44" s="39" t="s">
        <v>64</v>
      </c>
      <c r="C44" s="110">
        <v>590256.12833560735</v>
      </c>
      <c r="D44" s="110"/>
      <c r="E44" s="110">
        <v>243054.50981253543</v>
      </c>
      <c r="F44" s="110">
        <v>160213.06063715069</v>
      </c>
      <c r="G44" s="110">
        <v>147824.78711043985</v>
      </c>
      <c r="H44" s="110">
        <v>107948.87458183699</v>
      </c>
      <c r="I44" s="110">
        <v>66724.516468032889</v>
      </c>
      <c r="J44" s="110">
        <v>40144.22823485866</v>
      </c>
      <c r="K44" s="110">
        <v>13943.633239264433</v>
      </c>
    </row>
    <row r="45" spans="1:11">
      <c r="A45" s="39"/>
      <c r="B45" s="39" t="s">
        <v>65</v>
      </c>
      <c r="C45" s="110">
        <v>500691.1425759024</v>
      </c>
      <c r="D45" s="110"/>
      <c r="E45" s="110">
        <v>235487.77662296841</v>
      </c>
      <c r="F45" s="110">
        <v>118192.38135106127</v>
      </c>
      <c r="G45" s="110">
        <v>119319.59802115275</v>
      </c>
      <c r="H45" s="110">
        <v>97769.428475604465</v>
      </c>
      <c r="I45" s="110">
        <v>53991.380298313357</v>
      </c>
      <c r="J45" s="110">
        <v>27675.067449996091</v>
      </c>
      <c r="K45" s="110">
        <v>11036.57837409817</v>
      </c>
    </row>
    <row r="46" spans="1:11">
      <c r="A46" s="39"/>
      <c r="B46" s="39" t="s">
        <v>66</v>
      </c>
      <c r="C46" s="110">
        <v>451343.08356296184</v>
      </c>
      <c r="D46" s="110"/>
      <c r="E46" s="110">
        <v>209213.0731519853</v>
      </c>
      <c r="F46" s="110">
        <v>92817.77647239581</v>
      </c>
      <c r="G46" s="110">
        <v>121007.22882033682</v>
      </c>
      <c r="H46" s="110">
        <v>94813.081274712546</v>
      </c>
      <c r="I46" s="110">
        <v>40474.240101675168</v>
      </c>
      <c r="J46" s="110">
        <v>25632.781951950812</v>
      </c>
      <c r="K46" s="110">
        <v>8685.0615405318276</v>
      </c>
    </row>
    <row r="47" spans="1:11">
      <c r="A47" s="39"/>
      <c r="B47" s="39"/>
      <c r="C47" s="51"/>
      <c r="D47" s="51"/>
      <c r="E47" s="51"/>
      <c r="F47" s="51"/>
      <c r="G47" s="51"/>
      <c r="H47" s="51"/>
      <c r="I47" s="51"/>
      <c r="J47" s="51"/>
      <c r="K47" s="51"/>
    </row>
    <row r="48" spans="1:11" s="2" customFormat="1">
      <c r="A48" s="40" t="s">
        <v>56</v>
      </c>
      <c r="B48" s="40" t="s">
        <v>55</v>
      </c>
      <c r="C48" s="51">
        <v>1822712.1721057624</v>
      </c>
      <c r="D48" s="51"/>
      <c r="E48" s="51">
        <v>745716.88391946524</v>
      </c>
      <c r="F48" s="51">
        <v>407016.44899931591</v>
      </c>
      <c r="G48" s="51">
        <v>466543.83094947535</v>
      </c>
      <c r="H48" s="51">
        <v>377018.08288487629</v>
      </c>
      <c r="I48" s="51">
        <v>264969.02741405473</v>
      </c>
      <c r="J48" s="51">
        <v>164153.57759144437</v>
      </c>
      <c r="K48" s="51">
        <v>36155.592725821218</v>
      </c>
    </row>
    <row r="49" spans="1:11">
      <c r="A49" s="39" t="s">
        <v>59</v>
      </c>
      <c r="B49" s="39" t="s">
        <v>61</v>
      </c>
      <c r="C49" s="110">
        <v>275394.24246627488</v>
      </c>
      <c r="D49" s="110"/>
      <c r="E49" s="110">
        <v>97491.527555375811</v>
      </c>
      <c r="F49" s="110">
        <v>76852.553925311673</v>
      </c>
      <c r="G49" s="110">
        <v>63480.459932345271</v>
      </c>
      <c r="H49" s="110">
        <v>34839.015981750541</v>
      </c>
      <c r="I49" s="110">
        <v>57020.159454600456</v>
      </c>
      <c r="J49" s="110">
        <v>29393.21729389768</v>
      </c>
      <c r="K49" s="110">
        <v>4516.0293973046173</v>
      </c>
    </row>
    <row r="50" spans="1:11">
      <c r="A50" s="39"/>
      <c r="B50" s="39" t="s">
        <v>62</v>
      </c>
      <c r="C50" s="110">
        <v>409117.11508627748</v>
      </c>
      <c r="D50" s="110"/>
      <c r="E50" s="110">
        <v>144678.32753212526</v>
      </c>
      <c r="F50" s="110">
        <v>88665.128294029942</v>
      </c>
      <c r="G50" s="110">
        <v>97296.065201484802</v>
      </c>
      <c r="H50" s="110">
        <v>96751.92840970181</v>
      </c>
      <c r="I50" s="110">
        <v>74339.399434271021</v>
      </c>
      <c r="J50" s="110">
        <v>48922.672686041762</v>
      </c>
      <c r="K50" s="110">
        <v>5980.0797466016647</v>
      </c>
    </row>
    <row r="51" spans="1:11">
      <c r="A51" s="39"/>
      <c r="B51" s="39" t="s">
        <v>63</v>
      </c>
      <c r="C51" s="110">
        <v>299915.7737660284</v>
      </c>
      <c r="D51" s="110"/>
      <c r="E51" s="110">
        <v>112217.74020609054</v>
      </c>
      <c r="F51" s="110">
        <v>64854.611180799257</v>
      </c>
      <c r="G51" s="110">
        <v>76682.812929462074</v>
      </c>
      <c r="H51" s="110">
        <v>73649.411902848733</v>
      </c>
      <c r="I51" s="110">
        <v>38404.473897017691</v>
      </c>
      <c r="J51" s="110">
        <v>32662.165279305751</v>
      </c>
      <c r="K51" s="110">
        <v>3896.996199475012</v>
      </c>
    </row>
    <row r="52" spans="1:11">
      <c r="A52" s="39"/>
      <c r="B52" s="39" t="s">
        <v>64</v>
      </c>
      <c r="C52" s="110">
        <v>313849.89557751414</v>
      </c>
      <c r="D52" s="110"/>
      <c r="E52" s="110">
        <v>136013.24608349646</v>
      </c>
      <c r="F52" s="110">
        <v>79690.756928576229</v>
      </c>
      <c r="G52" s="110">
        <v>84565.143753264478</v>
      </c>
      <c r="H52" s="110">
        <v>56930.406348159515</v>
      </c>
      <c r="I52" s="110">
        <v>39442.417919073188</v>
      </c>
      <c r="J52" s="110">
        <v>21616.889904976644</v>
      </c>
      <c r="K52" s="110">
        <v>8238.4218774042165</v>
      </c>
    </row>
    <row r="53" spans="1:11">
      <c r="A53" s="39"/>
      <c r="B53" s="39" t="s">
        <v>65</v>
      </c>
      <c r="C53" s="110">
        <v>274921.33291988634</v>
      </c>
      <c r="D53" s="110"/>
      <c r="E53" s="110">
        <v>139365.7921529311</v>
      </c>
      <c r="F53" s="110">
        <v>59655.341670111338</v>
      </c>
      <c r="G53" s="110">
        <v>70083.926494977466</v>
      </c>
      <c r="H53" s="110">
        <v>53211.587761130577</v>
      </c>
      <c r="I53" s="110">
        <v>28496.527603579056</v>
      </c>
      <c r="J53" s="110">
        <v>15455.172466434336</v>
      </c>
      <c r="K53" s="110">
        <v>6879.0137116077403</v>
      </c>
    </row>
    <row r="54" spans="1:11">
      <c r="A54" s="39"/>
      <c r="B54" s="39" t="s">
        <v>66</v>
      </c>
      <c r="C54" s="110">
        <v>249513.81228978184</v>
      </c>
      <c r="D54" s="110"/>
      <c r="E54" s="110">
        <v>115950.25038944761</v>
      </c>
      <c r="F54" s="110">
        <v>37298.057000488458</v>
      </c>
      <c r="G54" s="110">
        <v>74435.422637942567</v>
      </c>
      <c r="H54" s="110">
        <v>61635.732481285973</v>
      </c>
      <c r="I54" s="110">
        <v>27266.049105512291</v>
      </c>
      <c r="J54" s="110">
        <v>16103.459960787975</v>
      </c>
      <c r="K54" s="110">
        <v>6645.0517934279524</v>
      </c>
    </row>
    <row r="55" spans="1:11">
      <c r="A55" s="39"/>
      <c r="B55" s="39"/>
    </row>
    <row r="56" spans="1:11" s="2" customFormat="1">
      <c r="A56" s="40" t="s">
        <v>57</v>
      </c>
      <c r="B56" s="40" t="s">
        <v>55</v>
      </c>
      <c r="C56" s="51">
        <v>1511358.4000721457</v>
      </c>
      <c r="D56" s="51"/>
      <c r="E56" s="51">
        <v>620062.33243060554</v>
      </c>
      <c r="F56" s="51">
        <v>436376.92798219959</v>
      </c>
      <c r="G56" s="51">
        <v>305196.45389517379</v>
      </c>
      <c r="H56" s="51">
        <v>291956.21228199429</v>
      </c>
      <c r="I56" s="51">
        <v>184257.07567057488</v>
      </c>
      <c r="J56" s="51">
        <v>112489.84330119878</v>
      </c>
      <c r="K56" s="51">
        <v>26206.623082641672</v>
      </c>
    </row>
    <row r="57" spans="1:11">
      <c r="A57" s="39" t="s">
        <v>59</v>
      </c>
      <c r="B57" s="39" t="s">
        <v>61</v>
      </c>
      <c r="C57" s="110">
        <v>222008.11082705695</v>
      </c>
      <c r="D57" s="110"/>
      <c r="E57" s="110">
        <v>95402.502343184067</v>
      </c>
      <c r="F57" s="110">
        <v>75226.074894503108</v>
      </c>
      <c r="G57" s="110">
        <v>42117.06675135062</v>
      </c>
      <c r="H57" s="110">
        <v>39428.190303639887</v>
      </c>
      <c r="I57" s="110">
        <v>39379.365552373158</v>
      </c>
      <c r="J57" s="110">
        <v>19637.227992803921</v>
      </c>
      <c r="K57" s="110">
        <v>2814.247133350038</v>
      </c>
    </row>
    <row r="58" spans="1:11">
      <c r="A58" s="39"/>
      <c r="B58" s="39" t="s">
        <v>62</v>
      </c>
      <c r="C58" s="110">
        <v>318476.84988184617</v>
      </c>
      <c r="D58" s="110"/>
      <c r="E58" s="110">
        <v>123165.02077161113</v>
      </c>
      <c r="F58" s="110">
        <v>95986.264163100437</v>
      </c>
      <c r="G58" s="110">
        <v>44472.22031245775</v>
      </c>
      <c r="H58" s="110">
        <v>72747.122468145957</v>
      </c>
      <c r="I58" s="110">
        <v>51841.860610892007</v>
      </c>
      <c r="J58" s="110">
        <v>29941.795262661526</v>
      </c>
      <c r="K58" s="110">
        <v>4826.891030828675</v>
      </c>
    </row>
    <row r="59" spans="1:11">
      <c r="A59" s="39"/>
      <c r="B59" s="39" t="s">
        <v>63</v>
      </c>
      <c r="C59" s="110">
        <v>271821.24749483215</v>
      </c>
      <c r="D59" s="110"/>
      <c r="E59" s="110">
        <v>107440.10865134679</v>
      </c>
      <c r="F59" s="110">
        <v>72616.939964194476</v>
      </c>
      <c r="G59" s="110">
        <v>59984.087324223459</v>
      </c>
      <c r="H59" s="110">
        <v>52053.056045179626</v>
      </c>
      <c r="I59" s="110">
        <v>28545.357562357924</v>
      </c>
      <c r="J59" s="110">
        <v>23511.208488447108</v>
      </c>
      <c r="K59" s="110">
        <v>6662.6991470084267</v>
      </c>
    </row>
    <row r="60" spans="1:11">
      <c r="A60" s="39"/>
      <c r="B60" s="39" t="s">
        <v>64</v>
      </c>
      <c r="C60" s="110">
        <v>274207.35483689449</v>
      </c>
      <c r="D60" s="110"/>
      <c r="E60" s="110">
        <v>105994.08193317785</v>
      </c>
      <c r="F60" s="110">
        <v>79451.399244922708</v>
      </c>
      <c r="G60" s="110">
        <v>63259.643357175344</v>
      </c>
      <c r="H60" s="110">
        <v>50436.695515731786</v>
      </c>
      <c r="I60" s="110">
        <v>26712.175141565342</v>
      </c>
      <c r="J60" s="110">
        <v>18527.338329882015</v>
      </c>
      <c r="K60" s="110">
        <v>5705.2113618602189</v>
      </c>
    </row>
    <row r="61" spans="1:11">
      <c r="A61" s="39"/>
      <c r="B61" s="39" t="s">
        <v>65</v>
      </c>
      <c r="C61" s="110">
        <v>223791.89647020953</v>
      </c>
      <c r="D61" s="110"/>
      <c r="E61" s="110">
        <v>95141.224491910398</v>
      </c>
      <c r="F61" s="110">
        <v>57576.530243570938</v>
      </c>
      <c r="G61" s="110">
        <v>48791.629967571476</v>
      </c>
      <c r="H61" s="110">
        <v>44113.799155870074</v>
      </c>
      <c r="I61" s="110">
        <v>24570.125807223478</v>
      </c>
      <c r="J61" s="110">
        <v>11775.853424957835</v>
      </c>
      <c r="K61" s="110">
        <v>4157.5646624904302</v>
      </c>
    </row>
    <row r="62" spans="1:11">
      <c r="A62" s="39"/>
      <c r="B62" s="39" t="s">
        <v>66</v>
      </c>
      <c r="C62" s="110">
        <v>201052.94056130017</v>
      </c>
      <c r="D62" s="110"/>
      <c r="E62" s="110">
        <v>92919.394239375208</v>
      </c>
      <c r="F62" s="110">
        <v>55519.719471907338</v>
      </c>
      <c r="G62" s="110">
        <v>46571.806182394306</v>
      </c>
      <c r="H62" s="110">
        <v>33177.34879342663</v>
      </c>
      <c r="I62" s="110">
        <v>13208.190996162872</v>
      </c>
      <c r="J62" s="110">
        <v>9096.4198024464022</v>
      </c>
      <c r="K62" s="110">
        <v>2040.0097471038748</v>
      </c>
    </row>
    <row r="63" spans="1:11">
      <c r="A63" s="132"/>
      <c r="B63" s="132"/>
      <c r="C63" s="178"/>
      <c r="D63" s="178"/>
      <c r="E63" s="178"/>
      <c r="F63" s="178"/>
      <c r="G63" s="178"/>
      <c r="H63" s="178"/>
      <c r="I63" s="178"/>
      <c r="J63" s="178"/>
      <c r="K63" s="178"/>
    </row>
    <row r="64" spans="1:11">
      <c r="A64" s="29" t="s">
        <v>147</v>
      </c>
    </row>
    <row r="65" spans="1:1">
      <c r="A65" s="16" t="s">
        <v>119</v>
      </c>
    </row>
    <row r="66" spans="1:1">
      <c r="A66" s="16" t="s">
        <v>120</v>
      </c>
    </row>
    <row r="67" spans="1:1">
      <c r="A67" s="16" t="s">
        <v>117</v>
      </c>
    </row>
    <row r="68" spans="1:1">
      <c r="A68" s="29" t="s">
        <v>118</v>
      </c>
    </row>
  </sheetData>
  <mergeCells count="3">
    <mergeCell ref="E13:K13"/>
    <mergeCell ref="C15:K15"/>
    <mergeCell ref="C39:K39"/>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495BF44-42ED-422B-B818-4DEBAB3AF010}">
            <xm:f>C40&lt;'34'!$C$104</xm:f>
            <x14:dxf>
              <font>
                <color rgb="FFFF0000"/>
              </font>
              <numFmt numFmtId="172" formatCode="\*\*0.0%"/>
            </x14:dxf>
          </x14:cfRule>
          <x14:cfRule type="expression" priority="4" id="{1F676E37-2326-4B47-B1A7-C330F1D340E9}">
            <xm:f>C40&lt;'34'!$C$103</xm:f>
            <x14:dxf>
              <font>
                <color rgb="FF00B050"/>
              </font>
              <numFmt numFmtId="171" formatCode="\*0.0%"/>
            </x14:dxf>
          </x14:cfRule>
          <xm:sqref>C16:K38</xm:sqref>
        </x14:conditionalFormatting>
        <x14:conditionalFormatting xmlns:xm="http://schemas.microsoft.com/office/excel/2006/main">
          <x14:cfRule type="expression" priority="1" id="{9E73E892-1B91-4C3F-B344-D0FEF8796C4D}">
            <xm:f>C40&lt;'34'!$C$104</xm:f>
            <x14:dxf>
              <font>
                <color rgb="FFFF0000"/>
              </font>
              <numFmt numFmtId="170" formatCode="\*\*#,###,###,##0"/>
            </x14:dxf>
          </x14:cfRule>
          <x14:cfRule type="expression" priority="2" id="{4E121F4C-4B78-47E8-BEBC-5334BCB3FB8D}">
            <xm:f>C40&lt;'34'!$C$103</xm:f>
            <x14:dxf>
              <font>
                <color rgb="FF00B050"/>
              </font>
              <numFmt numFmtId="169" formatCode="\*#,###,###,##0"/>
            </x14:dxf>
          </x14:cfRule>
          <xm:sqref>C40:K62</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2"/>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c r="A1" s="34"/>
      <c r="B1" s="34"/>
      <c r="C1" s="34"/>
      <c r="D1" s="34"/>
      <c r="E1" s="34"/>
      <c r="F1" s="34"/>
      <c r="G1" s="34"/>
      <c r="H1" s="34"/>
      <c r="I1" s="34"/>
    </row>
    <row r="2" spans="1:9">
      <c r="A2" s="34"/>
      <c r="B2" s="34"/>
      <c r="C2" s="34"/>
      <c r="D2" s="34"/>
      <c r="E2" s="34"/>
      <c r="F2" s="34"/>
      <c r="G2" s="34"/>
      <c r="H2" s="34"/>
      <c r="I2" s="34"/>
    </row>
    <row r="3" spans="1:9">
      <c r="A3" s="34"/>
      <c r="B3" s="34"/>
      <c r="C3" s="34"/>
      <c r="D3" s="34"/>
      <c r="E3" s="34"/>
      <c r="F3" s="34"/>
      <c r="G3" s="34"/>
      <c r="H3" s="34"/>
      <c r="I3" s="34"/>
    </row>
    <row r="4" spans="1:9">
      <c r="A4" s="34"/>
      <c r="B4" s="34"/>
      <c r="C4" s="34"/>
      <c r="D4" s="34"/>
      <c r="E4" s="34"/>
      <c r="F4" s="34"/>
      <c r="G4" s="34"/>
      <c r="H4" s="34"/>
      <c r="I4" s="34"/>
    </row>
    <row r="5" spans="1:9">
      <c r="A5" s="34"/>
      <c r="B5" s="34"/>
      <c r="C5" s="34"/>
      <c r="D5" s="34"/>
      <c r="E5" s="34"/>
      <c r="F5" s="34"/>
      <c r="G5" s="34"/>
      <c r="H5" s="34"/>
      <c r="I5" s="34"/>
    </row>
    <row r="6" spans="1:9">
      <c r="A6" s="34"/>
      <c r="B6" s="34"/>
      <c r="C6" s="34"/>
      <c r="D6" s="34"/>
      <c r="E6" s="34"/>
      <c r="F6" s="34"/>
      <c r="G6" s="34"/>
      <c r="H6" s="34"/>
      <c r="I6" s="34"/>
    </row>
    <row r="7" spans="1:9">
      <c r="A7" s="34"/>
      <c r="B7" s="34"/>
      <c r="C7" s="34"/>
      <c r="D7" s="34"/>
      <c r="E7" s="34"/>
      <c r="F7" s="34"/>
      <c r="G7" s="34"/>
      <c r="H7" s="34"/>
      <c r="I7" s="34"/>
    </row>
    <row r="8" spans="1:9">
      <c r="A8" s="35" t="s">
        <v>0</v>
      </c>
      <c r="B8" s="34"/>
      <c r="C8" s="34"/>
      <c r="D8" s="34"/>
      <c r="E8" s="34"/>
      <c r="F8" s="34"/>
      <c r="G8" s="34"/>
      <c r="H8" s="34"/>
      <c r="I8" s="34"/>
    </row>
    <row r="9" spans="1:9">
      <c r="A9" s="34" t="s">
        <v>1</v>
      </c>
      <c r="B9" s="34"/>
      <c r="C9" s="35" t="s">
        <v>2</v>
      </c>
      <c r="D9" s="34"/>
      <c r="E9" s="34"/>
      <c r="F9" s="34"/>
      <c r="G9" s="35"/>
      <c r="H9" s="35"/>
      <c r="I9" s="34"/>
    </row>
    <row r="10" spans="1:9">
      <c r="A10" s="34" t="s">
        <v>47</v>
      </c>
      <c r="B10" s="34"/>
      <c r="C10" s="36">
        <v>30</v>
      </c>
      <c r="D10" s="34"/>
      <c r="E10" s="34"/>
      <c r="F10" s="34"/>
      <c r="G10" s="36"/>
      <c r="H10" s="36"/>
      <c r="I10" s="34"/>
    </row>
    <row r="11" spans="1:9">
      <c r="A11" s="34" t="s">
        <v>3</v>
      </c>
      <c r="B11" s="34"/>
      <c r="C11" s="35" t="s">
        <v>39</v>
      </c>
      <c r="D11" s="34"/>
      <c r="E11" s="34"/>
      <c r="F11" s="34"/>
      <c r="G11" s="35"/>
      <c r="H11" s="35"/>
      <c r="I11" s="34"/>
    </row>
    <row r="12" spans="1:9">
      <c r="A12" s="130" t="s">
        <v>48</v>
      </c>
      <c r="B12" s="130"/>
      <c r="C12" s="131" t="s">
        <v>49</v>
      </c>
      <c r="D12" s="130"/>
      <c r="E12" s="130"/>
      <c r="F12" s="130"/>
      <c r="G12" s="131"/>
      <c r="H12" s="131"/>
      <c r="I12" s="130"/>
    </row>
    <row r="13" spans="1:9" ht="24.95" customHeight="1">
      <c r="A13" s="37"/>
      <c r="B13" s="37"/>
      <c r="C13" s="169" t="s">
        <v>465</v>
      </c>
      <c r="D13" s="169"/>
      <c r="E13" s="169"/>
      <c r="F13" s="59"/>
      <c r="G13" s="169" t="s">
        <v>249</v>
      </c>
      <c r="H13" s="169"/>
      <c r="I13" s="169"/>
    </row>
    <row r="14" spans="1:9" ht="24.95" customHeight="1">
      <c r="A14" s="37"/>
      <c r="B14" s="37"/>
      <c r="C14" s="42" t="s">
        <v>55</v>
      </c>
      <c r="D14" s="42" t="s">
        <v>56</v>
      </c>
      <c r="E14" s="42" t="s">
        <v>57</v>
      </c>
      <c r="F14" s="42"/>
      <c r="G14" s="42" t="s">
        <v>58</v>
      </c>
      <c r="H14" s="42" t="s">
        <v>56</v>
      </c>
      <c r="I14" s="42" t="s">
        <v>57</v>
      </c>
    </row>
    <row r="15" spans="1:9">
      <c r="A15" s="153" t="s">
        <v>55</v>
      </c>
      <c r="B15" s="153"/>
      <c r="C15" s="33">
        <v>0.15852737112032206</v>
      </c>
      <c r="D15" s="33">
        <v>0.14688307509025031</v>
      </c>
      <c r="E15" s="33">
        <v>0.16887346900712041</v>
      </c>
      <c r="F15" s="33"/>
      <c r="G15" s="107">
        <v>3471565.0931530907</v>
      </c>
      <c r="H15" s="107">
        <v>1575094.8775495379</v>
      </c>
      <c r="I15" s="107">
        <v>1864107.4130314391</v>
      </c>
    </row>
    <row r="16" spans="1:9">
      <c r="A16" s="39" t="s">
        <v>59</v>
      </c>
      <c r="B16" s="39"/>
      <c r="C16" s="33"/>
      <c r="D16" s="108"/>
      <c r="E16" s="108"/>
      <c r="F16" s="2"/>
      <c r="G16" s="107"/>
      <c r="H16" s="109"/>
      <c r="I16" s="109"/>
    </row>
    <row r="17" spans="1:9">
      <c r="A17" s="39"/>
      <c r="B17" s="39" t="s">
        <v>60</v>
      </c>
      <c r="C17" s="33">
        <v>0.15765057050751652</v>
      </c>
      <c r="D17" s="108">
        <v>0.16186427920602689</v>
      </c>
      <c r="E17" s="108">
        <v>0.15440472102720326</v>
      </c>
      <c r="F17" s="4"/>
      <c r="G17" s="107">
        <v>152903.47722517245</v>
      </c>
      <c r="H17" s="109">
        <v>80312.425677156876</v>
      </c>
      <c r="I17" s="109">
        <v>70896.600413099819</v>
      </c>
    </row>
    <row r="18" spans="1:9">
      <c r="A18" s="39"/>
      <c r="B18" s="39" t="s">
        <v>61</v>
      </c>
      <c r="C18" s="33">
        <v>0.12556262519941377</v>
      </c>
      <c r="D18" s="108">
        <v>0.12208318317526827</v>
      </c>
      <c r="E18" s="108">
        <v>0.12785301136955302</v>
      </c>
      <c r="F18" s="4"/>
      <c r="G18" s="107">
        <v>295917.02915812976</v>
      </c>
      <c r="H18" s="109">
        <v>146286.83941790674</v>
      </c>
      <c r="I18" s="109">
        <v>142773.20231061187</v>
      </c>
    </row>
    <row r="19" spans="1:9">
      <c r="A19" s="39"/>
      <c r="B19" s="39" t="s">
        <v>62</v>
      </c>
      <c r="C19" s="33">
        <v>0.10761613064050093</v>
      </c>
      <c r="D19" s="108">
        <v>0.1025504656045976</v>
      </c>
      <c r="E19" s="108">
        <v>0.1111006026995857</v>
      </c>
      <c r="F19" s="4"/>
      <c r="G19" s="107">
        <v>419814.89729154785</v>
      </c>
      <c r="H19" s="109">
        <v>199047.7441552087</v>
      </c>
      <c r="I19" s="109">
        <v>214737.03424905622</v>
      </c>
    </row>
    <row r="20" spans="1:9">
      <c r="A20" s="39"/>
      <c r="B20" s="39" t="s">
        <v>63</v>
      </c>
      <c r="C20" s="33">
        <v>0.12441720816786539</v>
      </c>
      <c r="D20" s="108">
        <v>0.11693560738643685</v>
      </c>
      <c r="E20" s="108">
        <v>0.12972262262121032</v>
      </c>
      <c r="F20" s="4"/>
      <c r="G20" s="107">
        <v>463024.35257117735</v>
      </c>
      <c r="H20" s="109">
        <v>214472.66712020827</v>
      </c>
      <c r="I20" s="109">
        <v>242291.67646865911</v>
      </c>
    </row>
    <row r="21" spans="1:9">
      <c r="A21" s="39"/>
      <c r="B21" s="39" t="s">
        <v>64</v>
      </c>
      <c r="C21" s="33">
        <v>0.13589475730148406</v>
      </c>
      <c r="D21" s="108">
        <v>0.12900185996743696</v>
      </c>
      <c r="E21" s="108">
        <v>0.14316572466549188</v>
      </c>
      <c r="F21" s="4"/>
      <c r="G21" s="107">
        <v>451101.1172418223</v>
      </c>
      <c r="H21" s="109">
        <v>210366.32928992496</v>
      </c>
      <c r="I21" s="109">
        <v>239768.17500534194</v>
      </c>
    </row>
    <row r="22" spans="1:9">
      <c r="A22" s="39"/>
      <c r="B22" s="39" t="s">
        <v>65</v>
      </c>
      <c r="C22" s="33">
        <v>0.15779164613035643</v>
      </c>
      <c r="D22" s="108">
        <v>0.14248167997778605</v>
      </c>
      <c r="E22" s="108">
        <v>0.17224962190968493</v>
      </c>
      <c r="F22" s="4"/>
      <c r="G22" s="107">
        <v>483468.3486710377</v>
      </c>
      <c r="H22" s="109">
        <v>212665.63211279199</v>
      </c>
      <c r="I22" s="109">
        <v>269489.35124449991</v>
      </c>
    </row>
    <row r="23" spans="1:9">
      <c r="A23" s="39"/>
      <c r="B23" s="39" t="s">
        <v>66</v>
      </c>
      <c r="C23" s="33">
        <v>0.26397040101591596</v>
      </c>
      <c r="D23" s="108">
        <v>0.24027611444066693</v>
      </c>
      <c r="E23" s="108">
        <v>0.28238557742066328</v>
      </c>
      <c r="F23" s="4"/>
      <c r="G23" s="107">
        <v>1205335.8709942182</v>
      </c>
      <c r="H23" s="109">
        <v>511943.23977634666</v>
      </c>
      <c r="I23" s="109">
        <v>684151.3733401692</v>
      </c>
    </row>
    <row r="24" spans="1:9">
      <c r="A24" s="39" t="s">
        <v>67</v>
      </c>
      <c r="B24" s="39"/>
      <c r="C24" s="33"/>
      <c r="D24" s="108"/>
      <c r="E24" s="108"/>
      <c r="F24" s="4"/>
      <c r="G24" s="107"/>
      <c r="H24" s="109"/>
      <c r="I24" s="109"/>
    </row>
    <row r="25" spans="1:9">
      <c r="A25" s="39"/>
      <c r="B25" s="39" t="s">
        <v>68</v>
      </c>
      <c r="C25" s="33">
        <v>0.14889781049077624</v>
      </c>
      <c r="D25" s="108">
        <v>0.13700336376875574</v>
      </c>
      <c r="E25" s="108">
        <v>0.15990557825573515</v>
      </c>
      <c r="F25" s="4"/>
      <c r="G25" s="107">
        <v>2351813.3945818138</v>
      </c>
      <c r="H25" s="109">
        <v>1066737.8047349437</v>
      </c>
      <c r="I25" s="109">
        <v>1266009.8306079926</v>
      </c>
    </row>
    <row r="26" spans="1:9">
      <c r="A26" s="39"/>
      <c r="B26" s="39" t="s">
        <v>69</v>
      </c>
      <c r="C26" s="33">
        <v>0.18572034225972056</v>
      </c>
      <c r="D26" s="108">
        <v>0.16953724543700496</v>
      </c>
      <c r="E26" s="108">
        <v>0.19970163559185006</v>
      </c>
      <c r="F26" s="4"/>
      <c r="G26" s="107">
        <v>728728.29455356055</v>
      </c>
      <c r="H26" s="109">
        <v>322425.78273995285</v>
      </c>
      <c r="I26" s="109">
        <v>398396.87289544148</v>
      </c>
    </row>
    <row r="27" spans="1:9">
      <c r="A27" s="39"/>
      <c r="B27" s="39" t="s">
        <v>70</v>
      </c>
      <c r="C27" s="33">
        <v>0.18013329830394678</v>
      </c>
      <c r="D27" s="108">
        <v>0.18159023517750511</v>
      </c>
      <c r="E27" s="108">
        <v>0.17691483993701598</v>
      </c>
      <c r="F27" s="4"/>
      <c r="G27" s="107">
        <v>352097.48165555851</v>
      </c>
      <c r="H27" s="109">
        <v>169467.8487302791</v>
      </c>
      <c r="I27" s="109">
        <v>177716.34231873529</v>
      </c>
    </row>
    <row r="28" spans="1:9">
      <c r="A28" s="39"/>
      <c r="B28" s="39" t="s">
        <v>71</v>
      </c>
      <c r="C28" s="33">
        <v>0.17256018860988698</v>
      </c>
      <c r="D28" s="108">
        <v>0.16108694018779718</v>
      </c>
      <c r="E28" s="108">
        <v>0.18055296216766345</v>
      </c>
      <c r="F28" s="4"/>
      <c r="G28" s="107">
        <v>38925.922362159021</v>
      </c>
      <c r="H28" s="109">
        <v>16463.441344367817</v>
      </c>
      <c r="I28" s="109">
        <v>21984.367209272663</v>
      </c>
    </row>
    <row r="29" spans="1:9">
      <c r="A29" s="39" t="s">
        <v>72</v>
      </c>
      <c r="B29" s="39"/>
      <c r="C29" s="33"/>
      <c r="D29" s="108"/>
      <c r="E29" s="108"/>
      <c r="G29" s="107"/>
      <c r="H29" s="109"/>
      <c r="I29" s="109"/>
    </row>
    <row r="30" spans="1:9">
      <c r="A30" s="39"/>
      <c r="B30" s="39" t="s">
        <v>73</v>
      </c>
      <c r="C30" s="33">
        <v>0.10201541938848829</v>
      </c>
      <c r="D30" s="108">
        <v>0.10336747289134182</v>
      </c>
      <c r="E30" s="108">
        <v>9.9552543655538756E-2</v>
      </c>
      <c r="G30" s="107">
        <v>978161.1761336216</v>
      </c>
      <c r="H30" s="109">
        <v>590468.41356949392</v>
      </c>
      <c r="I30" s="109">
        <v>382230.29322311294</v>
      </c>
    </row>
    <row r="31" spans="1:9">
      <c r="A31" s="39"/>
      <c r="B31" s="39" t="s">
        <v>74</v>
      </c>
      <c r="C31" s="33">
        <v>0.12961898570178929</v>
      </c>
      <c r="D31" s="108">
        <v>0.13606457519165152</v>
      </c>
      <c r="E31" s="108">
        <v>0.12640429456451688</v>
      </c>
      <c r="F31" s="4"/>
      <c r="G31" s="107">
        <v>393407.34906867822</v>
      </c>
      <c r="H31" s="109">
        <v>142477.25698927886</v>
      </c>
      <c r="I31" s="109">
        <v>248909.87441646829</v>
      </c>
    </row>
    <row r="32" spans="1:9">
      <c r="A32" s="39"/>
      <c r="B32" s="39" t="s">
        <v>75</v>
      </c>
      <c r="C32" s="33">
        <v>0.12621619910509974</v>
      </c>
      <c r="D32" s="108">
        <v>0.11180894758491677</v>
      </c>
      <c r="E32" s="108">
        <v>0.1350121122439577</v>
      </c>
      <c r="F32" s="4"/>
      <c r="G32" s="107">
        <v>160517.88653667143</v>
      </c>
      <c r="H32" s="109">
        <v>58422.092892484565</v>
      </c>
      <c r="I32" s="109">
        <v>99443.793247672656</v>
      </c>
    </row>
    <row r="33" spans="1:9">
      <c r="A33" s="39"/>
      <c r="B33" s="40" t="s">
        <v>76</v>
      </c>
      <c r="C33" s="33">
        <v>0.11025979271454728</v>
      </c>
      <c r="D33" s="108">
        <v>0.10867495449278523</v>
      </c>
      <c r="E33" s="108">
        <v>0.11162143146439146</v>
      </c>
      <c r="F33" s="4"/>
      <c r="G33" s="107">
        <v>1532086.4117389717</v>
      </c>
      <c r="H33" s="109">
        <v>791367.7634512583</v>
      </c>
      <c r="I33" s="109">
        <v>730583.9608872548</v>
      </c>
    </row>
    <row r="34" spans="1:9">
      <c r="A34" s="39"/>
      <c r="B34" s="39" t="s">
        <v>77</v>
      </c>
      <c r="C34" s="33">
        <v>8.1375521887018826E-2</v>
      </c>
      <c r="D34" s="108">
        <v>7.6336978787242007E-2</v>
      </c>
      <c r="E34" s="108">
        <v>8.4785883155239772E-2</v>
      </c>
      <c r="F34" s="4"/>
      <c r="G34" s="107">
        <v>86760.757301674239</v>
      </c>
      <c r="H34" s="109">
        <v>37667.341968098415</v>
      </c>
      <c r="I34" s="109">
        <v>46861.789962102644</v>
      </c>
    </row>
    <row r="35" spans="1:9">
      <c r="A35" s="39"/>
      <c r="B35" s="39" t="s">
        <v>78</v>
      </c>
      <c r="C35" s="33">
        <v>0.21733878976059731</v>
      </c>
      <c r="D35" s="108">
        <v>0.22623713544054486</v>
      </c>
      <c r="E35" s="108">
        <v>0.21706432986659097</v>
      </c>
      <c r="F35" s="4"/>
      <c r="G35" s="107">
        <v>184791.01561617147</v>
      </c>
      <c r="H35" s="109">
        <v>21297.701291762678</v>
      </c>
      <c r="I35" s="109">
        <v>162968.72658355124</v>
      </c>
    </row>
    <row r="36" spans="1:9">
      <c r="A36" s="39"/>
      <c r="B36" s="39" t="s">
        <v>79</v>
      </c>
      <c r="C36" s="33">
        <v>0.29964280812096628</v>
      </c>
      <c r="D36" s="108">
        <v>0.3022560429130064</v>
      </c>
      <c r="E36" s="108">
        <v>0.28956194793899825</v>
      </c>
      <c r="F36" s="4"/>
      <c r="G36" s="107">
        <v>299039.36103859544</v>
      </c>
      <c r="H36" s="109">
        <v>148092.31889177798</v>
      </c>
      <c r="I36" s="109">
        <v>141230.20200544488</v>
      </c>
    </row>
    <row r="37" spans="1:9">
      <c r="A37" s="39"/>
      <c r="B37" s="39" t="s">
        <v>80</v>
      </c>
      <c r="C37" s="33">
        <v>0.26340758138850884</v>
      </c>
      <c r="D37" s="108">
        <v>0.23429236162365108</v>
      </c>
      <c r="E37" s="108">
        <v>0.28852995216480726</v>
      </c>
      <c r="F37" s="4"/>
      <c r="G37" s="107">
        <v>1249488.202780206</v>
      </c>
      <c r="H37" s="109">
        <v>519573.9890302798</v>
      </c>
      <c r="I37" s="109">
        <v>724799.21201791475</v>
      </c>
    </row>
    <row r="38" spans="1:9">
      <c r="A38" s="39" t="s">
        <v>81</v>
      </c>
      <c r="B38" s="39"/>
      <c r="C38" s="33"/>
      <c r="D38" s="108"/>
      <c r="E38" s="108"/>
      <c r="G38" s="107"/>
      <c r="H38" s="109"/>
      <c r="I38" s="109"/>
    </row>
    <row r="39" spans="1:9">
      <c r="A39" s="39"/>
      <c r="B39" s="39" t="s">
        <v>82</v>
      </c>
      <c r="C39" s="33">
        <v>8.8978164434965812E-2</v>
      </c>
      <c r="D39" s="108">
        <v>8.2768769497755509E-2</v>
      </c>
      <c r="E39" s="108">
        <v>9.4320136359974674E-2</v>
      </c>
      <c r="F39" s="4"/>
      <c r="G39" s="107">
        <v>741852.16891136218</v>
      </c>
      <c r="H39" s="109">
        <v>358582.05460062908</v>
      </c>
      <c r="I39" s="109">
        <v>373722.07377999538</v>
      </c>
    </row>
    <row r="40" spans="1:9">
      <c r="A40" s="39"/>
      <c r="B40" s="39" t="s">
        <v>83</v>
      </c>
      <c r="C40" s="33">
        <v>0.12265872776671535</v>
      </c>
      <c r="D40" s="108">
        <v>0.11341909619533365</v>
      </c>
      <c r="E40" s="108">
        <v>0.13138364333278738</v>
      </c>
      <c r="F40" s="4"/>
      <c r="G40" s="107">
        <v>346511.40287500893</v>
      </c>
      <c r="H40" s="109">
        <v>159677.36839907407</v>
      </c>
      <c r="I40" s="109">
        <v>185042.73430115651</v>
      </c>
    </row>
    <row r="41" spans="1:9">
      <c r="A41" s="39"/>
      <c r="B41" s="39" t="s">
        <v>84</v>
      </c>
      <c r="C41" s="33">
        <v>0.19740626404920372</v>
      </c>
      <c r="D41" s="108">
        <v>0.1987113896614395</v>
      </c>
      <c r="E41" s="108">
        <v>0.1968482828872013</v>
      </c>
      <c r="F41" s="4"/>
      <c r="G41" s="107">
        <v>840767.66707415087</v>
      </c>
      <c r="H41" s="109">
        <v>406259.66278366797</v>
      </c>
      <c r="I41" s="109">
        <v>431943.90549929917</v>
      </c>
    </row>
    <row r="42" spans="1:9">
      <c r="A42" s="39"/>
      <c r="B42" s="39" t="s">
        <v>85</v>
      </c>
      <c r="C42" s="33">
        <v>0.20159530183273688</v>
      </c>
      <c r="D42" s="108">
        <v>0.1767487577037265</v>
      </c>
      <c r="E42" s="108">
        <v>0.22357964641339426</v>
      </c>
      <c r="F42" s="4"/>
      <c r="G42" s="107">
        <v>782652.98938622687</v>
      </c>
      <c r="H42" s="109">
        <v>318870.66537071398</v>
      </c>
      <c r="I42" s="109">
        <v>458553.95363695599</v>
      </c>
    </row>
    <row r="43" spans="1:9">
      <c r="A43" s="39"/>
      <c r="B43" s="39" t="s">
        <v>86</v>
      </c>
      <c r="C43" s="33">
        <v>0.34088686817036973</v>
      </c>
      <c r="D43" s="108">
        <v>0.34873908022755606</v>
      </c>
      <c r="E43" s="108">
        <v>0.33725149880516264</v>
      </c>
      <c r="F43" s="4"/>
      <c r="G43" s="107">
        <v>522574.23266167956</v>
      </c>
      <c r="H43" s="109">
        <v>202825.70734878391</v>
      </c>
      <c r="I43" s="109">
        <v>317521.75710848579</v>
      </c>
    </row>
    <row r="44" spans="1:9">
      <c r="A44" s="39"/>
      <c r="B44" s="39" t="s">
        <v>87</v>
      </c>
      <c r="C44" s="33">
        <v>0.11987468200813589</v>
      </c>
      <c r="D44" s="108">
        <v>0.12100055518697435</v>
      </c>
      <c r="E44" s="108">
        <v>0.11846690637669993</v>
      </c>
      <c r="F44" s="4"/>
      <c r="G44" s="107">
        <v>87709.417693182972</v>
      </c>
      <c r="H44" s="109">
        <v>47683.021382799503</v>
      </c>
      <c r="I44" s="109">
        <v>38535.467380078291</v>
      </c>
    </row>
    <row r="45" spans="1:9">
      <c r="A45" s="39"/>
      <c r="B45" s="39" t="s">
        <v>88</v>
      </c>
      <c r="C45" s="33">
        <v>6.9831539967755638E-2</v>
      </c>
      <c r="D45" s="108">
        <v>0</v>
      </c>
      <c r="E45" s="108">
        <v>9.3398463206732812E-2</v>
      </c>
      <c r="F45" s="4"/>
      <c r="G45" s="107">
        <v>329.06208197717064</v>
      </c>
      <c r="H45" s="109">
        <v>0</v>
      </c>
      <c r="I45" s="109">
        <v>329.06208197717064</v>
      </c>
    </row>
    <row r="46" spans="1:9">
      <c r="A46" s="39" t="s">
        <v>89</v>
      </c>
      <c r="B46" s="39"/>
      <c r="C46" s="33"/>
      <c r="D46" s="108"/>
      <c r="E46" s="108"/>
      <c r="F46" s="4"/>
      <c r="G46" s="107"/>
      <c r="H46" s="109"/>
      <c r="I46" s="109"/>
    </row>
    <row r="47" spans="1:9">
      <c r="A47" s="39"/>
      <c r="B47" s="39" t="s">
        <v>90</v>
      </c>
      <c r="C47" s="33">
        <v>0.10617048178757831</v>
      </c>
      <c r="D47" s="108">
        <v>9.6728660583236953E-2</v>
      </c>
      <c r="E47" s="108">
        <v>0.11637410666183243</v>
      </c>
      <c r="G47" s="107">
        <v>433617.49494921934</v>
      </c>
      <c r="H47" s="109">
        <v>200949.76423102952</v>
      </c>
      <c r="I47" s="109">
        <v>232125.37015099704</v>
      </c>
    </row>
    <row r="48" spans="1:9">
      <c r="A48" s="39"/>
      <c r="B48" s="39" t="s">
        <v>91</v>
      </c>
      <c r="C48" s="33">
        <v>0.141918828757539</v>
      </c>
      <c r="D48" s="108">
        <v>0.13116827614835688</v>
      </c>
      <c r="E48" s="108">
        <v>0.15190252887837233</v>
      </c>
      <c r="F48" s="4"/>
      <c r="G48" s="107">
        <v>727863.64477200818</v>
      </c>
      <c r="H48" s="109">
        <v>330310.94408724201</v>
      </c>
      <c r="I48" s="109">
        <v>390978.04928786284</v>
      </c>
    </row>
    <row r="49" spans="1:9">
      <c r="A49" s="39"/>
      <c r="B49" s="39" t="s">
        <v>92</v>
      </c>
      <c r="C49" s="33">
        <v>0.11663519568356334</v>
      </c>
      <c r="D49" s="108">
        <v>8.2064586773157422E-2</v>
      </c>
      <c r="E49" s="108">
        <v>0.15020276326962734</v>
      </c>
      <c r="F49" s="4"/>
      <c r="G49" s="107">
        <v>99768.019326005626</v>
      </c>
      <c r="H49" s="109">
        <v>34257.4986412332</v>
      </c>
      <c r="I49" s="109">
        <v>64902.29496188667</v>
      </c>
    </row>
    <row r="50" spans="1:9">
      <c r="A50" s="39"/>
      <c r="B50" s="39" t="s">
        <v>93</v>
      </c>
      <c r="C50" s="33">
        <v>0.17569137668732293</v>
      </c>
      <c r="D50" s="108">
        <v>0.17203195854740388</v>
      </c>
      <c r="E50" s="108">
        <v>0.17703970351920767</v>
      </c>
      <c r="F50" s="4"/>
      <c r="G50" s="107">
        <v>467517.75591151806</v>
      </c>
      <c r="H50" s="109">
        <v>236159.80274641747</v>
      </c>
      <c r="I50" s="109">
        <v>221408.95454869667</v>
      </c>
    </row>
    <row r="51" spans="1:9">
      <c r="A51" s="39"/>
      <c r="B51" s="39" t="s">
        <v>94</v>
      </c>
      <c r="C51" s="33">
        <v>0.1830227127510847</v>
      </c>
      <c r="D51" s="108">
        <v>0.17033340101583186</v>
      </c>
      <c r="E51" s="108">
        <v>0.19402118884807795</v>
      </c>
      <c r="F51" s="4"/>
      <c r="G51" s="107">
        <v>1632041.5797168741</v>
      </c>
      <c r="H51" s="109">
        <v>717488.67920697667</v>
      </c>
      <c r="I51" s="109">
        <v>905644.18391039176</v>
      </c>
    </row>
    <row r="52" spans="1:9">
      <c r="A52" s="39" t="s">
        <v>95</v>
      </c>
      <c r="B52" s="39"/>
      <c r="C52" s="33"/>
      <c r="D52" s="108"/>
      <c r="E52" s="108"/>
      <c r="G52" s="107"/>
      <c r="H52" s="109"/>
      <c r="I52" s="109"/>
    </row>
    <row r="53" spans="1:9">
      <c r="A53" s="39"/>
      <c r="B53" s="39" t="s">
        <v>96</v>
      </c>
      <c r="C53" s="33">
        <v>0.19487416309074043</v>
      </c>
      <c r="D53" s="108">
        <v>0.17655564328056655</v>
      </c>
      <c r="E53" s="108">
        <v>0.22090895247072073</v>
      </c>
      <c r="F53" s="4"/>
      <c r="G53" s="107">
        <v>204916.30525750801</v>
      </c>
      <c r="H53" s="109">
        <v>107794.00179175747</v>
      </c>
      <c r="I53" s="109">
        <v>95182.074658805839</v>
      </c>
    </row>
    <row r="54" spans="1:9">
      <c r="A54" s="39"/>
      <c r="B54" s="39" t="s">
        <v>97</v>
      </c>
      <c r="C54" s="33">
        <v>0.15321545878666473</v>
      </c>
      <c r="D54" s="108">
        <v>0.14041560304070999</v>
      </c>
      <c r="E54" s="108">
        <v>0.16442439023867131</v>
      </c>
      <c r="F54" s="4"/>
      <c r="G54" s="107">
        <v>2969983.1689379998</v>
      </c>
      <c r="H54" s="109">
        <v>1311170.375485074</v>
      </c>
      <c r="I54" s="109">
        <v>1636201.1977120193</v>
      </c>
    </row>
    <row r="55" spans="1:9">
      <c r="A55" s="39"/>
      <c r="B55" s="39" t="s">
        <v>98</v>
      </c>
      <c r="C55" s="33">
        <v>0.29157119834806533</v>
      </c>
      <c r="D55" s="108">
        <v>0.27178030113471724</v>
      </c>
      <c r="E55" s="108">
        <v>0.31325103051866326</v>
      </c>
      <c r="F55" s="4"/>
      <c r="G55" s="107">
        <v>143762.1417324036</v>
      </c>
      <c r="H55" s="109">
        <v>75818.074595550963</v>
      </c>
      <c r="I55" s="109">
        <v>61827.540247516612</v>
      </c>
    </row>
    <row r="56" spans="1:9">
      <c r="A56" s="39" t="s">
        <v>99</v>
      </c>
      <c r="B56" s="39"/>
      <c r="C56" s="33"/>
      <c r="D56" s="108"/>
      <c r="E56" s="108"/>
      <c r="G56" s="107"/>
      <c r="H56" s="109"/>
      <c r="I56" s="109"/>
    </row>
    <row r="57" spans="1:9">
      <c r="A57" s="39"/>
      <c r="B57" s="39" t="s">
        <v>100</v>
      </c>
      <c r="C57" s="33">
        <v>0.15911175439736444</v>
      </c>
      <c r="D57" s="108">
        <v>0.14665924782149392</v>
      </c>
      <c r="E57" s="108">
        <v>0.17019063203678717</v>
      </c>
      <c r="F57" s="4"/>
      <c r="G57" s="107">
        <v>2788556.8463385208</v>
      </c>
      <c r="H57" s="109">
        <v>1238489.9193091381</v>
      </c>
      <c r="I57" s="109">
        <v>1530017.9258474379</v>
      </c>
    </row>
    <row r="58" spans="1:9">
      <c r="A58" s="39"/>
      <c r="B58" s="39" t="s">
        <v>101</v>
      </c>
      <c r="C58" s="33">
        <v>0.14403533263120752</v>
      </c>
      <c r="D58" s="108">
        <v>0.13138740565114404</v>
      </c>
      <c r="E58" s="108">
        <v>0.15713394426870828</v>
      </c>
      <c r="F58" s="4"/>
      <c r="G58" s="107">
        <v>454930.0056767317</v>
      </c>
      <c r="H58" s="109">
        <v>215726.9941936</v>
      </c>
      <c r="I58" s="109">
        <v>235344.04028832016</v>
      </c>
    </row>
    <row r="59" spans="1:9">
      <c r="A59" s="39" t="s">
        <v>102</v>
      </c>
      <c r="B59" s="39"/>
      <c r="C59" s="33"/>
      <c r="D59" s="108"/>
      <c r="E59" s="108"/>
      <c r="F59" s="4"/>
      <c r="G59" s="107"/>
      <c r="H59" s="109"/>
      <c r="I59" s="109"/>
    </row>
    <row r="60" spans="1:9">
      <c r="A60" s="39"/>
      <c r="B60" s="39" t="s">
        <v>96</v>
      </c>
      <c r="C60" s="33">
        <v>0.32475582400493058</v>
      </c>
      <c r="D60" s="108">
        <v>0.3074751612502683</v>
      </c>
      <c r="E60" s="108">
        <v>0.34017665097672306</v>
      </c>
      <c r="G60" s="107">
        <v>1192772.2664294061</v>
      </c>
      <c r="H60" s="109">
        <v>473546.02124819986</v>
      </c>
      <c r="I60" s="109">
        <v>710387.52299602039</v>
      </c>
    </row>
    <row r="61" spans="1:9">
      <c r="A61" s="39"/>
      <c r="B61" s="39" t="s">
        <v>97</v>
      </c>
      <c r="C61" s="33">
        <v>0.1164749940517338</v>
      </c>
      <c r="D61" s="108">
        <v>0.1112436975509465</v>
      </c>
      <c r="E61" s="108">
        <v>0.12110037690684256</v>
      </c>
      <c r="G61" s="107">
        <v>1948429.0250316034</v>
      </c>
      <c r="H61" s="109">
        <v>938354.26180313807</v>
      </c>
      <c r="I61" s="109">
        <v>997260.60530054953</v>
      </c>
    </row>
    <row r="62" spans="1:9">
      <c r="A62" s="39"/>
      <c r="B62" s="39" t="s">
        <v>98</v>
      </c>
      <c r="C62" s="33">
        <v>0.33621533004359511</v>
      </c>
      <c r="D62" s="108">
        <v>0.32882587410633701</v>
      </c>
      <c r="E62" s="108">
        <v>0.33417274171017469</v>
      </c>
      <c r="G62" s="107">
        <v>177460.32446692133</v>
      </c>
      <c r="H62" s="109">
        <v>82882.168821048719</v>
      </c>
      <c r="I62" s="109">
        <v>85562.684321769309</v>
      </c>
    </row>
    <row r="63" spans="1:9">
      <c r="A63" s="39" t="s">
        <v>103</v>
      </c>
      <c r="B63" s="39"/>
      <c r="C63" s="33"/>
      <c r="D63" s="108"/>
      <c r="E63" s="108"/>
      <c r="F63" s="4"/>
      <c r="G63" s="107"/>
      <c r="H63" s="109"/>
      <c r="I63" s="109"/>
    </row>
    <row r="64" spans="1:9">
      <c r="A64" s="39"/>
      <c r="B64" s="41" t="s">
        <v>104</v>
      </c>
      <c r="C64" s="33">
        <v>0.31185688788700261</v>
      </c>
      <c r="D64" s="108">
        <v>0.29513061863668111</v>
      </c>
      <c r="E64" s="108">
        <v>0.32359685163621554</v>
      </c>
      <c r="G64" s="107">
        <v>995893.08193156042</v>
      </c>
      <c r="H64" s="109">
        <v>357956.7051276936</v>
      </c>
      <c r="I64" s="109">
        <v>630713.47589030582</v>
      </c>
    </row>
    <row r="65" spans="1:9">
      <c r="A65" s="39"/>
      <c r="B65" s="39" t="s">
        <v>105</v>
      </c>
      <c r="C65" s="33">
        <v>0.20887227151126289</v>
      </c>
      <c r="D65" s="108">
        <v>0.20695120961621741</v>
      </c>
      <c r="E65" s="108">
        <v>0.21190323783270745</v>
      </c>
      <c r="F65" s="4"/>
      <c r="G65" s="107">
        <v>708926.16328534775</v>
      </c>
      <c r="H65" s="109">
        <v>332752.21433838963</v>
      </c>
      <c r="I65" s="109">
        <v>375698.87408096803</v>
      </c>
    </row>
    <row r="66" spans="1:9">
      <c r="A66" s="39"/>
      <c r="B66" s="39" t="s">
        <v>106</v>
      </c>
      <c r="C66" s="33">
        <v>0.13489031126176826</v>
      </c>
      <c r="D66" s="108">
        <v>0.13266625860820838</v>
      </c>
      <c r="E66" s="108">
        <v>0.13627663673988927</v>
      </c>
      <c r="F66" s="4"/>
      <c r="G66" s="107">
        <v>420347.71479767433</v>
      </c>
      <c r="H66" s="109">
        <v>219126.09461439427</v>
      </c>
      <c r="I66" s="109">
        <v>197671.86644268184</v>
      </c>
    </row>
    <row r="67" spans="1:9">
      <c r="A67" s="39"/>
      <c r="B67" s="39" t="s">
        <v>107</v>
      </c>
      <c r="C67" s="33">
        <v>0.102980425515042</v>
      </c>
      <c r="D67" s="108">
        <v>9.9723530296404572E-2</v>
      </c>
      <c r="E67" s="108">
        <v>0.10649250034471976</v>
      </c>
      <c r="F67" s="4"/>
      <c r="G67" s="107">
        <v>403870.83168030722</v>
      </c>
      <c r="H67" s="109">
        <v>204786.47277977297</v>
      </c>
      <c r="I67" s="109">
        <v>197634.78085394693</v>
      </c>
    </row>
    <row r="68" spans="1:9">
      <c r="A68" s="39"/>
      <c r="B68" s="39" t="s">
        <v>108</v>
      </c>
      <c r="C68" s="33">
        <v>7.369761712686182E-2</v>
      </c>
      <c r="D68" s="108">
        <v>8.0032409968462587E-2</v>
      </c>
      <c r="E68" s="108">
        <v>6.5659631531006554E-2</v>
      </c>
      <c r="G68" s="107">
        <v>159740.14837683027</v>
      </c>
      <c r="H68" s="109">
        <v>94309.524879118981</v>
      </c>
      <c r="I68" s="109">
        <v>64448.450730931465</v>
      </c>
    </row>
    <row r="69" spans="1:9">
      <c r="A69" s="39"/>
      <c r="B69" s="39" t="s">
        <v>109</v>
      </c>
      <c r="C69" s="33">
        <v>5.5770677382816401E-2</v>
      </c>
      <c r="D69" s="108">
        <v>5.6689188934998927E-2</v>
      </c>
      <c r="E69" s="108">
        <v>5.409069275025713E-2</v>
      </c>
      <c r="G69" s="107">
        <v>122993.06917783991</v>
      </c>
      <c r="H69" s="109">
        <v>75976.050000948031</v>
      </c>
      <c r="I69" s="109">
        <v>46523.271109927315</v>
      </c>
    </row>
    <row r="70" spans="1:9">
      <c r="A70" s="39"/>
      <c r="B70" s="39" t="s">
        <v>110</v>
      </c>
      <c r="C70" s="33">
        <v>0.1729665621385314</v>
      </c>
      <c r="D70" s="108">
        <v>0.17745868287253461</v>
      </c>
      <c r="E70" s="108">
        <v>0.16411852980419681</v>
      </c>
      <c r="G70" s="107">
        <v>506890.60667837376</v>
      </c>
      <c r="H70" s="109">
        <v>209875.39013207017</v>
      </c>
      <c r="I70" s="109">
        <v>280520.09350957855</v>
      </c>
    </row>
    <row r="71" spans="1:9">
      <c r="A71" s="39" t="s">
        <v>111</v>
      </c>
      <c r="B71" s="39"/>
      <c r="C71" s="33"/>
      <c r="D71" s="108"/>
      <c r="E71" s="108"/>
      <c r="F71" s="4"/>
      <c r="G71" s="107"/>
      <c r="H71" s="109"/>
      <c r="I71" s="109"/>
    </row>
    <row r="72" spans="1:9">
      <c r="A72" s="39"/>
      <c r="B72" s="39" t="s">
        <v>112</v>
      </c>
      <c r="C72" s="33">
        <v>0.15677444319672673</v>
      </c>
      <c r="D72" s="108">
        <v>0.14146263543490473</v>
      </c>
      <c r="E72" s="108">
        <v>0.17076650570704088</v>
      </c>
      <c r="F72" s="4"/>
      <c r="G72" s="107">
        <v>2892377.0936576044</v>
      </c>
      <c r="H72" s="109">
        <v>1259044.3723869226</v>
      </c>
      <c r="I72" s="109">
        <v>1626496.8901371327</v>
      </c>
    </row>
    <row r="73" spans="1:9">
      <c r="A73" s="39"/>
      <c r="B73" s="39" t="s">
        <v>113</v>
      </c>
      <c r="C73" s="33">
        <v>0.14469149712499671</v>
      </c>
      <c r="D73" s="108">
        <v>0.14677664710662186</v>
      </c>
      <c r="E73" s="108">
        <v>0.11756286793697349</v>
      </c>
      <c r="G73" s="107">
        <v>131572.33901199885</v>
      </c>
      <c r="H73" s="109">
        <v>101938.08561400355</v>
      </c>
      <c r="I73" s="109">
        <v>22586.475594023446</v>
      </c>
    </row>
    <row r="74" spans="1:9">
      <c r="A74" s="39"/>
      <c r="B74" s="39" t="s">
        <v>114</v>
      </c>
      <c r="C74" s="33">
        <v>0.14587399892068897</v>
      </c>
      <c r="D74" s="108">
        <v>0.14964199848940804</v>
      </c>
      <c r="E74" s="108">
        <v>0.14636761700759399</v>
      </c>
      <c r="G74" s="107">
        <v>106038.69358493332</v>
      </c>
      <c r="H74" s="109">
        <v>35840.169495237409</v>
      </c>
      <c r="I74" s="109">
        <v>66918.77766318401</v>
      </c>
    </row>
    <row r="75" spans="1:9">
      <c r="A75" s="39"/>
      <c r="B75" s="39" t="s">
        <v>88</v>
      </c>
      <c r="C75" s="33">
        <v>0.16258028874123753</v>
      </c>
      <c r="D75" s="108">
        <v>0.13102108217036454</v>
      </c>
      <c r="E75" s="108">
        <v>0.16020232592531911</v>
      </c>
      <c r="F75" s="4"/>
      <c r="G75" s="107">
        <v>19057.166486162227</v>
      </c>
      <c r="H75" s="109">
        <v>5268.7193950655792</v>
      </c>
      <c r="I75" s="109">
        <v>9275.3665984487634</v>
      </c>
    </row>
    <row r="76" spans="1:9">
      <c r="A76" s="132"/>
      <c r="B76" s="132"/>
      <c r="C76" s="133"/>
      <c r="D76" s="133"/>
      <c r="E76" s="133"/>
      <c r="F76" s="133"/>
      <c r="G76" s="173"/>
      <c r="H76" s="173"/>
      <c r="I76" s="173"/>
    </row>
    <row r="77" spans="1:9">
      <c r="A77" s="29" t="s">
        <v>147</v>
      </c>
    </row>
    <row r="78" spans="1:9">
      <c r="A78" s="16" t="s">
        <v>116</v>
      </c>
    </row>
    <row r="79" spans="1:9">
      <c r="A79" s="16" t="s">
        <v>117</v>
      </c>
    </row>
    <row r="80" spans="1:9">
      <c r="A80" s="29" t="s">
        <v>118</v>
      </c>
    </row>
    <row r="81" spans="1:1">
      <c r="A81" s="16" t="s">
        <v>119</v>
      </c>
    </row>
    <row r="82" spans="1:1">
      <c r="A82" s="16" t="s">
        <v>120</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G15&lt;'34'!$C$104</xm:f>
            <x14:dxf>
              <font>
                <color rgb="FFFF0000"/>
              </font>
              <numFmt numFmtId="172" formatCode="\*\*0.0%"/>
            </x14:dxf>
          </x14:cfRule>
          <x14:cfRule type="expression" priority="4" id="{5EE794A5-CB05-4E6B-A220-F490759D339D}">
            <xm:f>G15&lt;'34'!$C$103</xm:f>
            <x14:dxf>
              <font>
                <color rgb="FF00B050"/>
              </font>
              <numFmt numFmtId="171" formatCode="\*0.0%"/>
            </x14:dxf>
          </x14:cfRule>
          <xm:sqref>C15:E75</xm:sqref>
        </x14:conditionalFormatting>
        <x14:conditionalFormatting xmlns:xm="http://schemas.microsoft.com/office/excel/2006/main">
          <x14:cfRule type="expression" priority="1" id="{086B2FF2-72E9-43EA-9595-88CB0F126DC9}">
            <xm:f>G15&lt;'34'!$C$104</xm:f>
            <x14:dxf>
              <font>
                <color rgb="FFFF0000"/>
              </font>
              <numFmt numFmtId="170" formatCode="\*\*#,###,###,##0"/>
            </x14:dxf>
          </x14:cfRule>
          <x14:cfRule type="expression" priority="2" id="{3FCFCE58-D57C-45DB-AA73-C08D772FE331}">
            <xm:f>G15&lt;'34'!$C$103</xm:f>
            <x14:dxf>
              <font>
                <color rgb="FF00B050"/>
              </font>
              <numFmt numFmtId="169" formatCode="\*#,###,###,##0"/>
            </x14:dxf>
          </x14:cfRule>
          <xm:sqref>G15:I75</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3"/>
  <sheetViews>
    <sheetView zoomScaleNormal="100" workbookViewId="0">
      <pane xSplit="2" ySplit="14" topLeftCell="C15" activePane="bottomRight" state="frozen"/>
      <selection pane="bottomRight"/>
      <selection pane="bottomLeft"/>
      <selection pane="topRight"/>
    </sheetView>
  </sheetViews>
  <sheetFormatPr defaultColWidth="8.85546875" defaultRowHeight="1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c r="A1" s="34"/>
      <c r="B1" s="34"/>
      <c r="C1" s="34"/>
      <c r="D1" s="34"/>
      <c r="E1" s="34"/>
      <c r="F1" s="34"/>
      <c r="G1" s="34"/>
      <c r="H1" s="34"/>
      <c r="I1" s="34"/>
    </row>
    <row r="2" spans="1:9">
      <c r="A2" s="34"/>
      <c r="B2" s="34"/>
      <c r="C2" s="34"/>
      <c r="D2" s="34"/>
      <c r="E2" s="34"/>
      <c r="F2" s="34"/>
      <c r="G2" s="34"/>
      <c r="H2" s="34"/>
      <c r="I2" s="34"/>
    </row>
    <row r="3" spans="1:9">
      <c r="A3" s="34"/>
      <c r="B3" s="34"/>
      <c r="C3" s="34"/>
      <c r="D3" s="34"/>
      <c r="E3" s="34"/>
      <c r="F3" s="34"/>
      <c r="G3" s="34"/>
      <c r="H3" s="34"/>
      <c r="I3" s="34"/>
    </row>
    <row r="4" spans="1:9">
      <c r="A4" s="34"/>
      <c r="B4" s="34"/>
      <c r="C4" s="34"/>
      <c r="D4" s="34"/>
      <c r="E4" s="34"/>
      <c r="F4" s="34"/>
      <c r="G4" s="34"/>
      <c r="H4" s="34"/>
      <c r="I4" s="34"/>
    </row>
    <row r="5" spans="1:9">
      <c r="A5" s="34"/>
      <c r="B5" s="34"/>
      <c r="C5" s="34"/>
      <c r="D5" s="34"/>
      <c r="E5" s="34"/>
      <c r="F5" s="34"/>
      <c r="G5" s="34"/>
      <c r="H5" s="34"/>
      <c r="I5" s="34"/>
    </row>
    <row r="6" spans="1:9">
      <c r="A6" s="34"/>
      <c r="B6" s="34"/>
      <c r="C6" s="34"/>
      <c r="D6" s="34"/>
      <c r="E6" s="34"/>
      <c r="F6" s="34"/>
      <c r="G6" s="34"/>
      <c r="H6" s="34"/>
      <c r="I6" s="34"/>
    </row>
    <row r="7" spans="1:9">
      <c r="A7" s="34"/>
      <c r="B7" s="34"/>
      <c r="C7" s="34"/>
      <c r="D7" s="34"/>
      <c r="E7" s="34"/>
      <c r="F7" s="34"/>
      <c r="G7" s="34"/>
      <c r="H7" s="34"/>
      <c r="I7" s="34"/>
    </row>
    <row r="8" spans="1:9">
      <c r="A8" s="35" t="s">
        <v>0</v>
      </c>
      <c r="B8" s="34"/>
      <c r="C8" s="34"/>
      <c r="D8" s="34"/>
      <c r="E8" s="34"/>
      <c r="F8" s="34"/>
      <c r="G8" s="34"/>
      <c r="H8" s="34"/>
      <c r="I8" s="34"/>
    </row>
    <row r="9" spans="1:9">
      <c r="A9" s="34" t="s">
        <v>1</v>
      </c>
      <c r="B9" s="34"/>
      <c r="C9" s="35" t="s">
        <v>2</v>
      </c>
      <c r="D9" s="34"/>
      <c r="E9" s="34"/>
      <c r="F9" s="34"/>
      <c r="G9" s="34"/>
      <c r="H9" s="34"/>
      <c r="I9" s="34"/>
    </row>
    <row r="10" spans="1:9">
      <c r="A10" s="34" t="s">
        <v>47</v>
      </c>
      <c r="B10" s="34"/>
      <c r="C10" s="36">
        <v>31</v>
      </c>
      <c r="D10" s="34"/>
      <c r="E10" s="34"/>
      <c r="F10" s="34"/>
      <c r="G10" s="34"/>
      <c r="H10" s="34"/>
      <c r="I10" s="34"/>
    </row>
    <row r="11" spans="1:9">
      <c r="A11" s="34" t="s">
        <v>3</v>
      </c>
      <c r="B11" s="34"/>
      <c r="C11" s="35" t="s">
        <v>466</v>
      </c>
      <c r="D11" s="34"/>
      <c r="E11" s="34"/>
      <c r="F11" s="34"/>
      <c r="G11" s="34"/>
      <c r="H11" s="34"/>
      <c r="I11" s="34"/>
    </row>
    <row r="12" spans="1:9">
      <c r="A12" s="130" t="s">
        <v>48</v>
      </c>
      <c r="B12" s="130"/>
      <c r="C12" s="131" t="s">
        <v>121</v>
      </c>
      <c r="D12" s="130"/>
      <c r="E12" s="130"/>
      <c r="F12" s="130"/>
      <c r="G12" s="130"/>
      <c r="H12" s="130"/>
      <c r="I12" s="130"/>
    </row>
    <row r="13" spans="1:9" ht="24.95" customHeight="1">
      <c r="A13" s="44"/>
      <c r="B13" s="44"/>
      <c r="C13" s="169" t="s">
        <v>467</v>
      </c>
      <c r="D13" s="169"/>
      <c r="E13" s="169"/>
      <c r="F13" s="59"/>
      <c r="G13" s="169" t="s">
        <v>249</v>
      </c>
      <c r="H13" s="169"/>
      <c r="I13" s="169"/>
    </row>
    <row r="14" spans="1:9" ht="24.95" customHeight="1">
      <c r="A14" s="44"/>
      <c r="B14" s="44"/>
      <c r="C14" s="42" t="s">
        <v>55</v>
      </c>
      <c r="D14" s="42" t="s">
        <v>56</v>
      </c>
      <c r="E14" s="42" t="s">
        <v>57</v>
      </c>
      <c r="F14" s="42"/>
      <c r="G14" s="42" t="s">
        <v>58</v>
      </c>
      <c r="H14" s="42" t="s">
        <v>56</v>
      </c>
      <c r="I14" s="42" t="s">
        <v>57</v>
      </c>
    </row>
    <row r="15" spans="1:9">
      <c r="A15" s="40" t="s">
        <v>55</v>
      </c>
      <c r="B15" s="39"/>
      <c r="C15" s="33">
        <v>0.28847624077565959</v>
      </c>
      <c r="D15" s="33">
        <v>0.28917841436094754</v>
      </c>
      <c r="E15" s="33">
        <v>0.28695794891801685</v>
      </c>
      <c r="F15" s="33"/>
      <c r="G15" s="107">
        <v>1390793.5142277905</v>
      </c>
      <c r="H15" s="107">
        <v>713719.32427989691</v>
      </c>
      <c r="I15" s="107">
        <v>669208.23428929457</v>
      </c>
    </row>
    <row r="16" spans="1:9">
      <c r="A16" s="39" t="s">
        <v>59</v>
      </c>
      <c r="B16" s="39"/>
      <c r="C16" s="33"/>
      <c r="D16" s="108"/>
      <c r="E16" s="108"/>
      <c r="F16" s="2"/>
      <c r="G16" s="107"/>
      <c r="H16" s="109"/>
      <c r="I16" s="109"/>
    </row>
    <row r="17" spans="1:9">
      <c r="A17" s="39"/>
      <c r="B17" s="39" t="s">
        <v>122</v>
      </c>
      <c r="C17" s="33">
        <v>0.52790260277117684</v>
      </c>
      <c r="D17" s="108">
        <v>0.54538162498010456</v>
      </c>
      <c r="E17" s="108">
        <v>0.51003912017950848</v>
      </c>
      <c r="F17" s="4"/>
      <c r="G17" s="107">
        <v>807124.84544406307</v>
      </c>
      <c r="H17" s="109">
        <v>426480.81518234499</v>
      </c>
      <c r="I17" s="109">
        <v>378002.03979452589</v>
      </c>
    </row>
    <row r="18" spans="1:9">
      <c r="A18" s="39"/>
      <c r="B18" s="39" t="s">
        <v>123</v>
      </c>
      <c r="C18" s="33">
        <v>0.19466035415087904</v>
      </c>
      <c r="D18" s="108">
        <v>0.19635104044593066</v>
      </c>
      <c r="E18" s="108">
        <v>0.19126352907188063</v>
      </c>
      <c r="F18" s="4"/>
      <c r="G18" s="107">
        <v>251741.4069322201</v>
      </c>
      <c r="H18" s="109">
        <v>130156.13315217367</v>
      </c>
      <c r="I18" s="109">
        <v>119468.58296672767</v>
      </c>
    </row>
    <row r="19" spans="1:9">
      <c r="A19" s="39"/>
      <c r="B19" s="39" t="s">
        <v>124</v>
      </c>
      <c r="C19" s="33">
        <v>0.14355452201833696</v>
      </c>
      <c r="D19" s="108">
        <v>0.13560793198346721</v>
      </c>
      <c r="E19" s="108">
        <v>0.15118078279867597</v>
      </c>
      <c r="F19" s="4"/>
      <c r="G19" s="107">
        <v>143483.02555003489</v>
      </c>
      <c r="H19" s="109">
        <v>69318.012234030582</v>
      </c>
      <c r="I19" s="109">
        <v>73165.090218142097</v>
      </c>
    </row>
    <row r="20" spans="1:9">
      <c r="A20" s="39"/>
      <c r="B20" s="39" t="s">
        <v>125</v>
      </c>
      <c r="C20" s="33">
        <v>0.18853696519026461</v>
      </c>
      <c r="D20" s="108">
        <v>0.17139208899981365</v>
      </c>
      <c r="E20" s="108">
        <v>0.20435114695127285</v>
      </c>
      <c r="F20" s="4"/>
      <c r="G20" s="107">
        <v>188444.2363014796</v>
      </c>
      <c r="H20" s="109">
        <v>87764.363711346858</v>
      </c>
      <c r="I20" s="109">
        <v>98572.521309900781</v>
      </c>
    </row>
    <row r="21" spans="1:9">
      <c r="A21" s="39" t="s">
        <v>67</v>
      </c>
      <c r="B21" s="39"/>
      <c r="C21" s="33"/>
      <c r="D21" s="108"/>
      <c r="E21" s="108"/>
      <c r="F21" s="4"/>
      <c r="G21" s="107"/>
      <c r="H21" s="109"/>
      <c r="I21" s="109"/>
    </row>
    <row r="22" spans="1:9">
      <c r="A22" s="39"/>
      <c r="B22" s="39" t="s">
        <v>68</v>
      </c>
      <c r="C22" s="33">
        <v>0.28058636898862588</v>
      </c>
      <c r="D22" s="108">
        <v>0.28507896659370985</v>
      </c>
      <c r="E22" s="108">
        <v>0.2745663179256968</v>
      </c>
      <c r="F22" s="4"/>
      <c r="G22" s="107">
        <v>980445.93980353279</v>
      </c>
      <c r="H22" s="109">
        <v>516572.87696288433</v>
      </c>
      <c r="I22" s="109">
        <v>457745.26165199734</v>
      </c>
    </row>
    <row r="23" spans="1:9">
      <c r="A23" s="39"/>
      <c r="B23" s="39" t="s">
        <v>69</v>
      </c>
      <c r="C23" s="33">
        <v>0.30811768813518975</v>
      </c>
      <c r="D23" s="108">
        <v>0.29918406860584312</v>
      </c>
      <c r="E23" s="108">
        <v>0.31788282924883798</v>
      </c>
      <c r="F23" s="4"/>
      <c r="G23" s="107">
        <v>258487.66461710224</v>
      </c>
      <c r="H23" s="109">
        <v>121876.93965906592</v>
      </c>
      <c r="I23" s="109">
        <v>135921.8008774911</v>
      </c>
    </row>
    <row r="24" spans="1:9">
      <c r="A24" s="39"/>
      <c r="B24" s="39" t="s">
        <v>70</v>
      </c>
      <c r="C24" s="33">
        <v>0.32103957745747835</v>
      </c>
      <c r="D24" s="108">
        <v>0.32117418727335495</v>
      </c>
      <c r="E24" s="108">
        <v>0.31894943157358063</v>
      </c>
      <c r="F24" s="4"/>
      <c r="G24" s="107">
        <v>140086.12510295073</v>
      </c>
      <c r="H24" s="109">
        <v>69581.780352525559</v>
      </c>
      <c r="I24" s="109">
        <v>69455.114361015017</v>
      </c>
    </row>
    <row r="25" spans="1:9">
      <c r="A25" s="39"/>
      <c r="B25" s="39" t="s">
        <v>71</v>
      </c>
      <c r="C25" s="33">
        <v>0.22808532113375046</v>
      </c>
      <c r="D25" s="108">
        <v>0.17748353043864543</v>
      </c>
      <c r="E25" s="108">
        <v>0.31093222530106041</v>
      </c>
      <c r="F25" s="4"/>
      <c r="G25" s="107">
        <v>11773.784704211221</v>
      </c>
      <c r="H25" s="109">
        <v>5687.7273054201614</v>
      </c>
      <c r="I25" s="109">
        <v>6086.0573987910611</v>
      </c>
    </row>
    <row r="26" spans="1:9">
      <c r="A26" s="39" t="s">
        <v>89</v>
      </c>
      <c r="B26" s="39"/>
      <c r="C26" s="33"/>
      <c r="D26" s="108"/>
      <c r="E26" s="108"/>
      <c r="F26" s="4"/>
      <c r="G26" s="107"/>
      <c r="H26" s="109"/>
      <c r="I26" s="109"/>
    </row>
    <row r="27" spans="1:9">
      <c r="A27" s="39"/>
      <c r="B27" s="39" t="s">
        <v>90</v>
      </c>
      <c r="C27" s="33">
        <v>0.29741279002262833</v>
      </c>
      <c r="D27" s="108">
        <v>0.29516053283286664</v>
      </c>
      <c r="E27" s="108">
        <v>0.29898775356725094</v>
      </c>
      <c r="F27" s="4"/>
      <c r="G27" s="107">
        <v>1195334.6520795019</v>
      </c>
      <c r="H27" s="109">
        <v>611599.09995493083</v>
      </c>
      <c r="I27" s="109">
        <v>577531.12962664466</v>
      </c>
    </row>
    <row r="28" spans="1:9">
      <c r="A28" s="39"/>
      <c r="B28" s="39" t="s">
        <v>91</v>
      </c>
      <c r="C28" s="33">
        <v>0.2437299216093691</v>
      </c>
      <c r="D28" s="108">
        <v>0.24087309800938098</v>
      </c>
      <c r="E28" s="108">
        <v>0.24280000682404576</v>
      </c>
      <c r="F28" s="4"/>
      <c r="G28" s="107">
        <v>79567.860449486572</v>
      </c>
      <c r="H28" s="109">
        <v>39073.472291220445</v>
      </c>
      <c r="I28" s="109">
        <v>39502.976547055994</v>
      </c>
    </row>
    <row r="29" spans="1:9">
      <c r="A29" s="39"/>
      <c r="B29" s="39" t="s">
        <v>92</v>
      </c>
      <c r="C29" s="33">
        <v>0.24367178573396933</v>
      </c>
      <c r="D29" s="108">
        <v>0.2696752863489757</v>
      </c>
      <c r="E29" s="108">
        <v>0.21944145868791587</v>
      </c>
      <c r="G29" s="107">
        <v>115891.0016988064</v>
      </c>
      <c r="H29" s="109">
        <v>63046.752033744771</v>
      </c>
      <c r="I29" s="109">
        <v>52174.128115593332</v>
      </c>
    </row>
    <row r="30" spans="1:9">
      <c r="A30" s="39"/>
      <c r="B30" s="39" t="s">
        <v>88</v>
      </c>
      <c r="C30" s="33">
        <v>0</v>
      </c>
      <c r="D30" s="108">
        <v>0</v>
      </c>
      <c r="E30" s="108">
        <v>0</v>
      </c>
      <c r="G30" s="107">
        <v>0</v>
      </c>
      <c r="H30" s="109">
        <v>0</v>
      </c>
      <c r="I30" s="109">
        <v>0</v>
      </c>
    </row>
    <row r="31" spans="1:9">
      <c r="A31" s="39" t="s">
        <v>126</v>
      </c>
      <c r="B31" s="39"/>
      <c r="C31" s="33"/>
      <c r="D31" s="108"/>
      <c r="E31" s="108"/>
      <c r="F31" s="4"/>
      <c r="G31" s="107"/>
      <c r="H31" s="109"/>
      <c r="I31" s="109"/>
    </row>
    <row r="32" spans="1:9">
      <c r="A32" s="39"/>
      <c r="B32" s="39" t="s">
        <v>96</v>
      </c>
      <c r="C32" s="33">
        <v>0.26174524735578913</v>
      </c>
      <c r="D32" s="108">
        <v>0.25226184933862472</v>
      </c>
      <c r="E32" s="108">
        <v>0.28011426607384043</v>
      </c>
      <c r="F32" s="4"/>
      <c r="G32" s="107">
        <v>129991.32909433306</v>
      </c>
      <c r="H32" s="109">
        <v>77408.019860914937</v>
      </c>
      <c r="I32" s="109">
        <v>51990.948161266482</v>
      </c>
    </row>
    <row r="33" spans="1:9">
      <c r="A33" s="39"/>
      <c r="B33" s="39" t="s">
        <v>97</v>
      </c>
      <c r="C33" s="33">
        <v>0.29099225913826332</v>
      </c>
      <c r="D33" s="108">
        <v>0.29523406994596985</v>
      </c>
      <c r="E33" s="108">
        <v>0.28557521119481705</v>
      </c>
      <c r="F33" s="4"/>
      <c r="G33" s="107">
        <v>1225416.9174529065</v>
      </c>
      <c r="H33" s="109">
        <v>620925.23703520081</v>
      </c>
      <c r="I33" s="109">
        <v>597965.33651372581</v>
      </c>
    </row>
    <row r="34" spans="1:9">
      <c r="A34" s="39"/>
      <c r="B34" s="39" t="s">
        <v>98</v>
      </c>
      <c r="C34" s="33">
        <v>0.31211628695183263</v>
      </c>
      <c r="D34" s="108">
        <v>0.26493450469619556</v>
      </c>
      <c r="E34" s="108">
        <v>0.3661905469807431</v>
      </c>
      <c r="F34" s="4"/>
      <c r="G34" s="107">
        <v>35385.267680555371</v>
      </c>
      <c r="H34" s="109">
        <v>15386.067383780506</v>
      </c>
      <c r="I34" s="109">
        <v>19251.949614301837</v>
      </c>
    </row>
    <row r="35" spans="1:9">
      <c r="A35" s="39" t="s">
        <v>127</v>
      </c>
      <c r="B35" s="39"/>
      <c r="C35" s="33"/>
      <c r="D35" s="108"/>
      <c r="E35" s="108"/>
      <c r="F35" s="4"/>
      <c r="G35" s="107"/>
      <c r="H35" s="109"/>
      <c r="I35" s="109"/>
    </row>
    <row r="36" spans="1:9">
      <c r="A36" s="39"/>
      <c r="B36" s="39" t="s">
        <v>100</v>
      </c>
      <c r="C36" s="33">
        <v>0.297576861866377</v>
      </c>
      <c r="D36" s="108">
        <v>0.29598257785095872</v>
      </c>
      <c r="E36" s="108">
        <v>0.29795218342009638</v>
      </c>
      <c r="F36" s="4"/>
      <c r="G36" s="107">
        <v>1152649.050362438</v>
      </c>
      <c r="H36" s="109">
        <v>589646.83241014963</v>
      </c>
      <c r="I36" s="109">
        <v>556822.05374355125</v>
      </c>
    </row>
    <row r="37" spans="1:9">
      <c r="A37" s="39"/>
      <c r="B37" s="39" t="s">
        <v>101</v>
      </c>
      <c r="C37" s="33">
        <v>0.24838217942171492</v>
      </c>
      <c r="D37" s="108">
        <v>0.25772235950316019</v>
      </c>
      <c r="E37" s="108">
        <v>0.23923972156858703</v>
      </c>
      <c r="F37" s="4"/>
      <c r="G37" s="107">
        <v>222431.59732513188</v>
      </c>
      <c r="H37" s="109">
        <v>117315.93471632355</v>
      </c>
      <c r="I37" s="109">
        <v>104280.23504394933</v>
      </c>
    </row>
    <row r="38" spans="1:9">
      <c r="A38" s="39" t="s">
        <v>103</v>
      </c>
      <c r="B38" s="39"/>
      <c r="C38" s="33"/>
      <c r="D38" s="108"/>
      <c r="E38" s="108"/>
      <c r="G38" s="107"/>
      <c r="H38" s="109"/>
      <c r="I38" s="109"/>
    </row>
    <row r="39" spans="1:9">
      <c r="A39" s="39"/>
      <c r="B39" s="41" t="s">
        <v>104</v>
      </c>
      <c r="C39" s="33">
        <v>0.37798858114886241</v>
      </c>
      <c r="D39" s="108">
        <v>0.4208954485664147</v>
      </c>
      <c r="E39" s="108">
        <v>0.33812987871167038</v>
      </c>
      <c r="F39" s="4"/>
      <c r="G39" s="107">
        <v>98597.258458934462</v>
      </c>
      <c r="H39" s="109">
        <v>49020.312537682366</v>
      </c>
      <c r="I39" s="109">
        <v>47087.742012997813</v>
      </c>
    </row>
    <row r="40" spans="1:9">
      <c r="A40" s="39"/>
      <c r="B40" s="39" t="s">
        <v>105</v>
      </c>
      <c r="C40" s="33">
        <v>0.35163101398080537</v>
      </c>
      <c r="D40" s="108">
        <v>0.36747428801394977</v>
      </c>
      <c r="E40" s="108">
        <v>0.33813467785498569</v>
      </c>
      <c r="F40" s="4"/>
      <c r="G40" s="107">
        <v>179610.93483262361</v>
      </c>
      <c r="H40" s="109">
        <v>84857.007127105797</v>
      </c>
      <c r="I40" s="109">
        <v>93949.231161838878</v>
      </c>
    </row>
    <row r="41" spans="1:9">
      <c r="A41" s="39"/>
      <c r="B41" s="39" t="s">
        <v>106</v>
      </c>
      <c r="C41" s="33">
        <v>0.33228561592899092</v>
      </c>
      <c r="D41" s="108">
        <v>0.31711063897327202</v>
      </c>
      <c r="E41" s="108">
        <v>0.35322654221340088</v>
      </c>
      <c r="F41" s="4"/>
      <c r="G41" s="107">
        <v>269211.3683606378</v>
      </c>
      <c r="H41" s="109">
        <v>148273.12859465741</v>
      </c>
      <c r="I41" s="109">
        <v>119811.20892856315</v>
      </c>
    </row>
    <row r="42" spans="1:9">
      <c r="A42" s="39"/>
      <c r="B42" s="39" t="s">
        <v>107</v>
      </c>
      <c r="C42" s="33">
        <v>0.28714656112971498</v>
      </c>
      <c r="D42" s="108">
        <v>0.29061753772901155</v>
      </c>
      <c r="E42" s="108">
        <v>0.28232824711707399</v>
      </c>
      <c r="F42" s="4"/>
      <c r="G42" s="107">
        <v>371223.19299394783</v>
      </c>
      <c r="H42" s="109">
        <v>194734.66472965784</v>
      </c>
      <c r="I42" s="109">
        <v>174632.52278500973</v>
      </c>
    </row>
    <row r="43" spans="1:9">
      <c r="A43" s="39"/>
      <c r="B43" s="39" t="s">
        <v>108</v>
      </c>
      <c r="C43" s="33">
        <v>0.24683973113637583</v>
      </c>
      <c r="D43" s="108">
        <v>0.25084857830079588</v>
      </c>
      <c r="E43" s="108">
        <v>0.24385547994851919</v>
      </c>
      <c r="F43" s="4"/>
      <c r="G43" s="107">
        <v>191051.07782971475</v>
      </c>
      <c r="H43" s="109">
        <v>98494.414949331855</v>
      </c>
      <c r="I43" s="109">
        <v>92556.662880383083</v>
      </c>
    </row>
    <row r="44" spans="1:9">
      <c r="A44" s="39"/>
      <c r="B44" s="39" t="s">
        <v>109</v>
      </c>
      <c r="C44" s="33">
        <v>0.21560125292808516</v>
      </c>
      <c r="D44" s="108">
        <v>0.2065572751309849</v>
      </c>
      <c r="E44" s="108">
        <v>0.22374057630466163</v>
      </c>
      <c r="F44" s="4"/>
      <c r="G44" s="107">
        <v>161113.57601488917</v>
      </c>
      <c r="H44" s="109">
        <v>79662.563726850247</v>
      </c>
      <c r="I44" s="109">
        <v>80313.856167880498</v>
      </c>
    </row>
    <row r="45" spans="1:9">
      <c r="A45" s="39"/>
      <c r="B45" s="39" t="s">
        <v>110</v>
      </c>
      <c r="C45" s="33">
        <v>0.28213056966687527</v>
      </c>
      <c r="D45" s="108">
        <v>0.28658457133201676</v>
      </c>
      <c r="E45" s="108">
        <v>0.27823842284962474</v>
      </c>
      <c r="F45" s="4"/>
      <c r="G45" s="107">
        <v>119986.1057370479</v>
      </c>
      <c r="H45" s="109">
        <v>58677.232614610213</v>
      </c>
      <c r="I45" s="109">
        <v>60857.010352624566</v>
      </c>
    </row>
    <row r="46" spans="1:9">
      <c r="A46" s="132"/>
      <c r="B46" s="132"/>
      <c r="C46" s="133"/>
      <c r="D46" s="133"/>
      <c r="E46" s="133"/>
      <c r="F46" s="133"/>
      <c r="G46" s="173"/>
      <c r="H46" s="173"/>
      <c r="I46" s="173"/>
    </row>
    <row r="47" spans="1:9">
      <c r="A47" s="16" t="s">
        <v>128</v>
      </c>
    </row>
    <row r="48" spans="1:9">
      <c r="A48" s="29" t="s">
        <v>147</v>
      </c>
    </row>
    <row r="49" spans="1:1">
      <c r="A49" s="16" t="s">
        <v>116</v>
      </c>
    </row>
    <row r="50" spans="1:1">
      <c r="A50" s="16" t="s">
        <v>117</v>
      </c>
    </row>
    <row r="51" spans="1:1">
      <c r="A51" s="29" t="s">
        <v>118</v>
      </c>
    </row>
    <row r="52" spans="1:1">
      <c r="A52" s="16" t="s">
        <v>119</v>
      </c>
    </row>
    <row r="53" spans="1:1">
      <c r="A53" s="16" t="s">
        <v>120</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G15&lt;'34'!$D$104</xm:f>
            <x14:dxf>
              <font>
                <color rgb="FFFF0000"/>
              </font>
              <numFmt numFmtId="172" formatCode="\*\*0.0%"/>
            </x14:dxf>
          </x14:cfRule>
          <x14:cfRule type="expression" priority="4" id="{42052122-4EA4-498E-9ADD-49D578608FED}">
            <xm:f>G15&lt;'34'!$D$103</xm:f>
            <x14:dxf>
              <font>
                <color rgb="FF00B050"/>
              </font>
              <numFmt numFmtId="171" formatCode="\*0.0%"/>
            </x14:dxf>
          </x14:cfRule>
          <xm:sqref>C15:E45</xm:sqref>
        </x14:conditionalFormatting>
        <x14:conditionalFormatting xmlns:xm="http://schemas.microsoft.com/office/excel/2006/main">
          <x14:cfRule type="expression" priority="1" id="{98A1B401-25C2-444C-8AA6-C23918A15B5C}">
            <xm:f>G15&lt;'34'!$D$104</xm:f>
            <x14:dxf>
              <font>
                <color rgb="FFFF0000"/>
              </font>
              <numFmt numFmtId="170" formatCode="\*\*#,###,###,##0"/>
            </x14:dxf>
          </x14:cfRule>
          <x14:cfRule type="expression" priority="2" id="{0EE1389D-9C9E-4A71-917B-BE1A01213FE1}">
            <xm:f>G15&lt;'34'!$D$103</xm:f>
            <x14:dxf>
              <font>
                <color rgb="FF00B050"/>
              </font>
              <numFmt numFmtId="169" formatCode="\*#,###,###,##0"/>
            </x14:dxf>
          </x14:cfRule>
          <xm:sqref>G15:I45</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CCD7-43F7-47B5-95ED-5266009EEE9A}">
  <sheetPr>
    <tabColor theme="0" tint="-4.9989318521683403E-2"/>
    <pageSetUpPr fitToPage="1"/>
  </sheetPr>
  <dimension ref="A1:L61"/>
  <sheetViews>
    <sheetView zoomScaleNormal="100" workbookViewId="0">
      <pane xSplit="3" ySplit="13" topLeftCell="D14" activePane="bottomRight" state="frozen"/>
      <selection pane="bottomRight"/>
      <selection pane="bottomLeft" activeCell="A4044" sqref="A4044:N4059"/>
      <selection pane="topRight" activeCell="A4044" sqref="A4044:N4059"/>
    </sheetView>
  </sheetViews>
  <sheetFormatPr defaultColWidth="8.85546875" defaultRowHeight="15"/>
  <cols>
    <col min="1" max="1" width="11" style="1" customWidth="1"/>
    <col min="2" max="2" width="13" style="1" customWidth="1"/>
    <col min="3" max="3" width="30.140625" style="1" customWidth="1"/>
    <col min="4" max="12" width="14.7109375" style="1" customWidth="1"/>
    <col min="13" max="14" width="8.85546875" style="1"/>
    <col min="15" max="15" width="29.7109375" style="1" bestFit="1" customWidth="1"/>
    <col min="16" max="16" width="34" style="1" bestFit="1" customWidth="1"/>
    <col min="17" max="17" width="26" style="1" bestFit="1" customWidth="1"/>
    <col min="18" max="18" width="27.85546875" style="1" bestFit="1" customWidth="1"/>
    <col min="19" max="19" width="36.28515625" style="1" bestFit="1" customWidth="1"/>
    <col min="20" max="20" width="13.42578125" style="1" bestFit="1" customWidth="1"/>
    <col min="21" max="21" width="32.85546875" style="1" bestFit="1" customWidth="1"/>
    <col min="22" max="22" width="11.85546875" style="1" bestFit="1" customWidth="1"/>
    <col min="23" max="24" width="8.85546875" style="1"/>
    <col min="25" max="25" width="19.71093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2">
      <c r="A1" s="34"/>
      <c r="B1" s="34"/>
      <c r="C1" s="34"/>
      <c r="D1" s="34"/>
      <c r="E1" s="34"/>
      <c r="F1" s="34"/>
      <c r="G1" s="34"/>
      <c r="H1" s="34"/>
      <c r="I1" s="34"/>
      <c r="J1" s="34"/>
      <c r="K1" s="34"/>
      <c r="L1" s="34"/>
    </row>
    <row r="2" spans="1:12">
      <c r="A2" s="34"/>
      <c r="B2" s="34"/>
      <c r="C2" s="34"/>
      <c r="D2" s="34"/>
      <c r="E2" s="34"/>
      <c r="F2" s="34"/>
      <c r="G2" s="34"/>
      <c r="H2" s="34"/>
      <c r="I2" s="34"/>
      <c r="J2" s="34"/>
      <c r="K2" s="34"/>
      <c r="L2" s="34"/>
    </row>
    <row r="3" spans="1:12">
      <c r="A3" s="34"/>
      <c r="B3" s="34"/>
      <c r="C3" s="34"/>
      <c r="D3" s="34"/>
      <c r="E3" s="34"/>
      <c r="F3" s="34"/>
      <c r="G3" s="34"/>
      <c r="H3" s="34"/>
      <c r="I3" s="34"/>
      <c r="J3" s="34"/>
      <c r="K3" s="34"/>
      <c r="L3" s="34"/>
    </row>
    <row r="4" spans="1:12">
      <c r="A4" s="34"/>
      <c r="B4" s="34"/>
      <c r="C4" s="34"/>
      <c r="D4" s="34"/>
      <c r="E4" s="34"/>
      <c r="F4" s="34"/>
      <c r="G4" s="34"/>
      <c r="H4" s="34"/>
      <c r="I4" s="34"/>
      <c r="J4" s="34"/>
      <c r="K4" s="34"/>
      <c r="L4" s="34"/>
    </row>
    <row r="5" spans="1:12">
      <c r="A5" s="34"/>
      <c r="B5" s="34"/>
      <c r="C5" s="34"/>
      <c r="D5" s="34"/>
      <c r="E5" s="34"/>
      <c r="F5" s="34"/>
      <c r="G5" s="34"/>
      <c r="H5" s="34"/>
      <c r="I5" s="34"/>
      <c r="J5" s="34"/>
      <c r="K5" s="34"/>
      <c r="L5" s="34"/>
    </row>
    <row r="6" spans="1:12">
      <c r="A6" s="34"/>
      <c r="B6" s="34"/>
      <c r="C6" s="34"/>
      <c r="D6" s="34"/>
      <c r="E6" s="34"/>
      <c r="F6" s="34"/>
      <c r="G6" s="34"/>
      <c r="H6" s="34"/>
      <c r="I6" s="34"/>
      <c r="J6" s="34"/>
      <c r="K6" s="34"/>
      <c r="L6" s="34"/>
    </row>
    <row r="7" spans="1:12">
      <c r="A7" s="34"/>
      <c r="B7" s="34"/>
      <c r="C7" s="34"/>
      <c r="D7" s="34"/>
      <c r="E7" s="34"/>
      <c r="F7" s="34"/>
      <c r="G7" s="34"/>
      <c r="H7" s="34"/>
      <c r="I7" s="34"/>
      <c r="J7" s="34"/>
      <c r="K7" s="34"/>
      <c r="L7" s="34"/>
    </row>
    <row r="8" spans="1:12">
      <c r="A8" s="35" t="s">
        <v>0</v>
      </c>
      <c r="B8" s="34"/>
      <c r="C8" s="34"/>
      <c r="D8" s="34"/>
      <c r="E8" s="34"/>
      <c r="F8" s="34"/>
      <c r="G8" s="34"/>
      <c r="H8" s="34"/>
      <c r="I8" s="34"/>
      <c r="J8" s="34"/>
      <c r="K8" s="34"/>
      <c r="L8" s="34"/>
    </row>
    <row r="9" spans="1:12">
      <c r="A9" s="34" t="s">
        <v>1</v>
      </c>
      <c r="B9" s="34"/>
      <c r="C9" s="35" t="s">
        <v>2</v>
      </c>
      <c r="D9" s="34"/>
      <c r="E9" s="34"/>
      <c r="F9" s="34"/>
      <c r="G9" s="34"/>
      <c r="H9" s="34"/>
      <c r="I9" s="34"/>
      <c r="J9" s="34"/>
      <c r="K9" s="34"/>
      <c r="L9" s="34"/>
    </row>
    <row r="10" spans="1:12">
      <c r="A10" s="34" t="s">
        <v>47</v>
      </c>
      <c r="B10" s="34"/>
      <c r="C10" s="36">
        <v>32</v>
      </c>
      <c r="D10" s="34"/>
      <c r="E10" s="34"/>
      <c r="F10" s="34"/>
      <c r="G10" s="34"/>
      <c r="H10" s="34"/>
      <c r="I10" s="34"/>
      <c r="J10" s="34"/>
      <c r="K10" s="34"/>
      <c r="L10" s="34"/>
    </row>
    <row r="11" spans="1:12">
      <c r="A11" s="34" t="s">
        <v>3</v>
      </c>
      <c r="B11" s="34"/>
      <c r="C11" s="35" t="s">
        <v>42</v>
      </c>
      <c r="D11" s="34"/>
      <c r="E11" s="34"/>
      <c r="F11" s="34"/>
      <c r="G11" s="34"/>
      <c r="H11" s="34"/>
      <c r="I11" s="34"/>
      <c r="J11" s="34"/>
      <c r="K11" s="34"/>
      <c r="L11" s="34"/>
    </row>
    <row r="12" spans="1:12">
      <c r="A12" s="130" t="s">
        <v>48</v>
      </c>
      <c r="B12" s="130"/>
      <c r="C12" s="131" t="s">
        <v>49</v>
      </c>
      <c r="D12" s="130"/>
      <c r="E12" s="130"/>
      <c r="F12" s="130"/>
      <c r="G12" s="130"/>
      <c r="H12" s="130"/>
      <c r="I12" s="130"/>
      <c r="J12" s="130"/>
      <c r="K12" s="130"/>
      <c r="L12" s="130"/>
    </row>
    <row r="13" spans="1:12" s="2" customFormat="1" ht="50.1" customHeight="1">
      <c r="A13" s="42"/>
      <c r="B13" s="42"/>
      <c r="C13" s="60"/>
      <c r="D13" s="60" t="s">
        <v>468</v>
      </c>
      <c r="E13" s="60" t="s">
        <v>469</v>
      </c>
      <c r="F13" s="60" t="s">
        <v>470</v>
      </c>
      <c r="G13" s="60" t="s">
        <v>471</v>
      </c>
      <c r="H13" s="60" t="s">
        <v>472</v>
      </c>
      <c r="I13" s="60" t="s">
        <v>473</v>
      </c>
      <c r="J13" s="60" t="s">
        <v>474</v>
      </c>
      <c r="K13" s="60" t="s">
        <v>475</v>
      </c>
      <c r="L13" s="60" t="s">
        <v>476</v>
      </c>
    </row>
    <row r="14" spans="1:12">
      <c r="A14" s="72"/>
      <c r="B14" s="72"/>
      <c r="C14" s="72"/>
      <c r="D14" s="156" t="s">
        <v>143</v>
      </c>
      <c r="E14" s="156"/>
      <c r="F14" s="156"/>
      <c r="G14" s="156"/>
      <c r="H14" s="156"/>
      <c r="I14" s="156"/>
      <c r="J14" s="156"/>
      <c r="K14" s="156"/>
      <c r="L14" s="156"/>
    </row>
    <row r="15" spans="1:12">
      <c r="A15" s="39" t="s">
        <v>144</v>
      </c>
      <c r="B15" s="127" t="s">
        <v>477</v>
      </c>
      <c r="C15" s="39" t="s">
        <v>478</v>
      </c>
      <c r="D15" s="4">
        <v>0.92066643321660346</v>
      </c>
      <c r="E15" s="4">
        <v>0.84006272026297124</v>
      </c>
      <c r="F15" s="4">
        <v>0.8538610586277241</v>
      </c>
      <c r="G15" s="4">
        <v>0.82342034984638213</v>
      </c>
      <c r="H15" s="4">
        <v>0.816702996977274</v>
      </c>
      <c r="I15" s="4">
        <v>0.8548141367971438</v>
      </c>
      <c r="J15" s="4">
        <v>0.85387913605844101</v>
      </c>
      <c r="K15" s="4">
        <v>0.84973176669863459</v>
      </c>
      <c r="L15" s="4">
        <v>0.84147262887967178</v>
      </c>
    </row>
    <row r="16" spans="1:12">
      <c r="A16" s="39"/>
      <c r="B16" s="39"/>
      <c r="C16" s="39" t="s">
        <v>479</v>
      </c>
      <c r="D16" s="4">
        <v>0.77915827740390231</v>
      </c>
      <c r="E16" s="4">
        <v>0.64823426786173988</v>
      </c>
      <c r="F16" s="4">
        <v>0.67812205718600027</v>
      </c>
      <c r="G16" s="4">
        <v>0.64922782486937247</v>
      </c>
      <c r="H16" s="4">
        <v>0.64540455753107218</v>
      </c>
      <c r="I16" s="4">
        <v>0.69341505633691214</v>
      </c>
      <c r="J16" s="4">
        <v>0.6741768596637594</v>
      </c>
      <c r="K16" s="4">
        <v>0.65893972586050176</v>
      </c>
      <c r="L16" s="4">
        <v>0.65960373750651546</v>
      </c>
    </row>
    <row r="17" spans="1:12">
      <c r="A17" s="39"/>
      <c r="B17" s="39"/>
      <c r="C17" s="39" t="s">
        <v>480</v>
      </c>
      <c r="D17" s="4">
        <v>0.57968541004351537</v>
      </c>
      <c r="E17" s="4">
        <v>0.46152378557249141</v>
      </c>
      <c r="F17" s="4">
        <v>0.47902806640434781</v>
      </c>
      <c r="G17" s="4">
        <v>0.46815919864367295</v>
      </c>
      <c r="H17" s="4">
        <v>0.44958334799512911</v>
      </c>
      <c r="I17" s="4">
        <v>0.51533975766218654</v>
      </c>
      <c r="J17" s="4">
        <v>0.49518124872083596</v>
      </c>
      <c r="K17" s="4">
        <v>0.48196978735154949</v>
      </c>
      <c r="L17" s="4">
        <v>0.47627951648699962</v>
      </c>
    </row>
    <row r="18" spans="1:12">
      <c r="A18" s="39"/>
      <c r="B18" s="39"/>
      <c r="C18" s="39"/>
      <c r="D18" s="4"/>
      <c r="E18" s="4"/>
      <c r="F18" s="4"/>
      <c r="G18" s="4"/>
      <c r="H18" s="4"/>
      <c r="I18" s="4"/>
      <c r="J18" s="4"/>
      <c r="K18" s="4"/>
      <c r="L18" s="4"/>
    </row>
    <row r="19" spans="1:12">
      <c r="A19" s="39" t="s">
        <v>56</v>
      </c>
      <c r="B19" s="127" t="s">
        <v>477</v>
      </c>
      <c r="C19" s="39" t="s">
        <v>478</v>
      </c>
      <c r="D19" s="4">
        <v>0.92595992805685456</v>
      </c>
      <c r="E19" s="4">
        <v>0.85797669862599779</v>
      </c>
      <c r="F19" s="4">
        <v>0.88758185192994132</v>
      </c>
      <c r="G19" s="4">
        <v>0.83621908128692213</v>
      </c>
      <c r="H19" s="4">
        <v>0.82632627116755786</v>
      </c>
      <c r="I19" s="4">
        <v>0.8556280223273417</v>
      </c>
      <c r="J19" s="4">
        <v>0.86261544943452995</v>
      </c>
      <c r="K19" s="4">
        <v>0.85007246315534812</v>
      </c>
      <c r="L19" s="4">
        <v>0.8531169249097641</v>
      </c>
    </row>
    <row r="20" spans="1:12">
      <c r="A20" s="39"/>
      <c r="B20" s="39"/>
      <c r="C20" s="39" t="s">
        <v>479</v>
      </c>
      <c r="D20" s="4">
        <v>0.79090406761690202</v>
      </c>
      <c r="E20" s="4">
        <v>0.6592807867577527</v>
      </c>
      <c r="F20" s="4">
        <v>0.71924637350215337</v>
      </c>
      <c r="G20" s="4">
        <v>0.65835208539655898</v>
      </c>
      <c r="H20" s="4">
        <v>0.66790448180233519</v>
      </c>
      <c r="I20" s="4">
        <v>0.66963467219550199</v>
      </c>
      <c r="J20" s="4">
        <v>0.67065880311212678</v>
      </c>
      <c r="K20" s="4">
        <v>0.6556267865645623</v>
      </c>
      <c r="L20" s="4">
        <v>0.66525879261638765</v>
      </c>
    </row>
    <row r="21" spans="1:12">
      <c r="A21" s="39"/>
      <c r="B21" s="39"/>
      <c r="C21" s="39" t="s">
        <v>480</v>
      </c>
      <c r="D21" s="4">
        <v>0.56646056861371097</v>
      </c>
      <c r="E21" s="4">
        <v>0.46730648192592106</v>
      </c>
      <c r="F21" s="4">
        <v>0.49334321356106425</v>
      </c>
      <c r="G21" s="4">
        <v>0.47171282689376481</v>
      </c>
      <c r="H21" s="4">
        <v>0.46662277242379618</v>
      </c>
      <c r="I21" s="4">
        <v>0.49185654638453047</v>
      </c>
      <c r="J21" s="4">
        <v>0.48555312634147046</v>
      </c>
      <c r="K21" s="4">
        <v>0.47414393370186503</v>
      </c>
      <c r="L21" s="4">
        <v>0.47605991787774671</v>
      </c>
    </row>
    <row r="22" spans="1:12">
      <c r="A22" s="39"/>
      <c r="B22" s="39"/>
      <c r="C22" s="39"/>
      <c r="D22" s="4"/>
      <c r="E22" s="4"/>
      <c r="F22" s="4"/>
      <c r="G22" s="4"/>
      <c r="H22" s="4"/>
      <c r="I22" s="4"/>
      <c r="J22" s="4"/>
      <c r="K22" s="4"/>
      <c r="L22" s="4"/>
    </row>
    <row r="23" spans="1:12">
      <c r="A23" s="39" t="s">
        <v>57</v>
      </c>
      <c r="B23" s="127" t="s">
        <v>477</v>
      </c>
      <c r="C23" s="39" t="s">
        <v>478</v>
      </c>
      <c r="D23" s="4">
        <v>0.91467821675193905</v>
      </c>
      <c r="E23" s="4">
        <v>0.82342624975561984</v>
      </c>
      <c r="F23" s="4">
        <v>0.82244597619847148</v>
      </c>
      <c r="G23" s="4">
        <v>0.81221588705632886</v>
      </c>
      <c r="H23" s="4">
        <v>0.81224729790646877</v>
      </c>
      <c r="I23" s="4">
        <v>0.85336860659312008</v>
      </c>
      <c r="J23" s="4">
        <v>0.84541989006885077</v>
      </c>
      <c r="K23" s="4">
        <v>0.8503998852379735</v>
      </c>
      <c r="L23" s="4">
        <v>0.83112653099288081</v>
      </c>
    </row>
    <row r="24" spans="1:12">
      <c r="A24" s="39"/>
      <c r="B24" s="39"/>
      <c r="C24" s="39" t="s">
        <v>479</v>
      </c>
      <c r="D24" s="4">
        <v>0.76895603943998503</v>
      </c>
      <c r="E24" s="4">
        <v>0.63764702148522412</v>
      </c>
      <c r="F24" s="4">
        <v>0.63892922540116648</v>
      </c>
      <c r="G24" s="4">
        <v>0.64130051373584696</v>
      </c>
      <c r="H24" s="4">
        <v>0.62734963285064027</v>
      </c>
      <c r="I24" s="4">
        <v>0.71448329804061061</v>
      </c>
      <c r="J24" s="4">
        <v>0.67801075123803456</v>
      </c>
      <c r="K24" s="4">
        <v>0.66313534918983752</v>
      </c>
      <c r="L24" s="4">
        <v>0.65476106021976144</v>
      </c>
    </row>
    <row r="25" spans="1:12">
      <c r="A25" s="39"/>
      <c r="B25" s="39"/>
      <c r="C25" s="39" t="s">
        <v>480</v>
      </c>
      <c r="D25" s="4">
        <v>0.5926464574383149</v>
      </c>
      <c r="E25" s="4">
        <v>0.45515573364749451</v>
      </c>
      <c r="F25" s="4">
        <v>0.46317014958599523</v>
      </c>
      <c r="G25" s="4">
        <v>0.46647219891731972</v>
      </c>
      <c r="H25" s="4">
        <v>0.4357917511615747</v>
      </c>
      <c r="I25" s="4">
        <v>0.53814487096292996</v>
      </c>
      <c r="J25" s="4">
        <v>0.50479236256833238</v>
      </c>
      <c r="K25" s="4">
        <v>0.49276489353500696</v>
      </c>
      <c r="L25" s="4">
        <v>0.47716941313263883</v>
      </c>
    </row>
    <row r="26" spans="1:12">
      <c r="A26" s="132"/>
      <c r="B26" s="132"/>
      <c r="C26" s="132"/>
      <c r="D26" s="137"/>
      <c r="E26" s="137"/>
      <c r="F26" s="137"/>
      <c r="G26" s="137"/>
      <c r="H26" s="137"/>
      <c r="I26" s="137"/>
      <c r="J26" s="137"/>
      <c r="K26" s="137"/>
      <c r="L26" s="137"/>
    </row>
    <row r="27" spans="1:12">
      <c r="A27" s="72"/>
      <c r="B27" s="72"/>
      <c r="C27" s="72"/>
      <c r="D27" s="156" t="s">
        <v>146</v>
      </c>
      <c r="E27" s="156"/>
      <c r="F27" s="156"/>
      <c r="G27" s="156"/>
      <c r="H27" s="156"/>
      <c r="I27" s="156"/>
      <c r="J27" s="156"/>
      <c r="K27" s="156"/>
      <c r="L27" s="156"/>
    </row>
    <row r="28" spans="1:12">
      <c r="A28" s="39" t="s">
        <v>144</v>
      </c>
      <c r="B28" s="127" t="s">
        <v>477</v>
      </c>
      <c r="C28" s="39" t="s">
        <v>478</v>
      </c>
      <c r="D28" s="49">
        <v>353490.0087871757</v>
      </c>
      <c r="E28" s="49">
        <v>5761428.9024172751</v>
      </c>
      <c r="F28" s="49">
        <v>171142.70177530631</v>
      </c>
      <c r="G28" s="49">
        <v>3675689.4450894194</v>
      </c>
      <c r="H28" s="49">
        <v>1258943.432308773</v>
      </c>
      <c r="I28" s="49">
        <v>409498.8489609253</v>
      </c>
      <c r="J28" s="49">
        <v>4800451.9016437577</v>
      </c>
      <c r="K28" s="49">
        <v>1996626.8737188193</v>
      </c>
      <c r="L28" s="49">
        <v>18427272.11470142</v>
      </c>
    </row>
    <row r="29" spans="1:12">
      <c r="A29" s="39"/>
      <c r="B29" s="39"/>
      <c r="C29" s="39" t="s">
        <v>479</v>
      </c>
      <c r="D29" s="49">
        <v>299157.93211210461</v>
      </c>
      <c r="E29" s="49">
        <v>4445805.719395346</v>
      </c>
      <c r="F29" s="49">
        <v>135918.64838848458</v>
      </c>
      <c r="G29" s="49">
        <v>2898106.4941811506</v>
      </c>
      <c r="H29" s="49">
        <v>994887.77669870958</v>
      </c>
      <c r="I29" s="49">
        <v>332180.59365053015</v>
      </c>
      <c r="J29" s="49">
        <v>3790177.6157177459</v>
      </c>
      <c r="K29" s="49">
        <v>1548320.0892036313</v>
      </c>
      <c r="L29" s="49">
        <v>14444554.869347669</v>
      </c>
    </row>
    <row r="30" spans="1:12">
      <c r="A30" s="39"/>
      <c r="B30" s="39"/>
      <c r="C30" s="39" t="s">
        <v>480</v>
      </c>
      <c r="D30" s="49">
        <v>222570.29614315293</v>
      </c>
      <c r="E30" s="49">
        <v>3165283.2737512821</v>
      </c>
      <c r="F30" s="49">
        <v>96013.463411011951</v>
      </c>
      <c r="G30" s="49">
        <v>2089829.1199593316</v>
      </c>
      <c r="H30" s="49">
        <v>693030.39823375014</v>
      </c>
      <c r="I30" s="49">
        <v>246873.59333710623</v>
      </c>
      <c r="J30" s="49">
        <v>2783876.1561186276</v>
      </c>
      <c r="K30" s="49">
        <v>1132491.2960302942</v>
      </c>
      <c r="L30" s="49">
        <v>10429967.596984528</v>
      </c>
    </row>
    <row r="31" spans="1:12">
      <c r="A31" s="39"/>
      <c r="B31" s="39"/>
      <c r="C31" s="39"/>
      <c r="D31" s="4"/>
      <c r="E31" s="4"/>
      <c r="F31" s="4"/>
      <c r="G31" s="4"/>
      <c r="H31" s="4"/>
      <c r="I31" s="4"/>
      <c r="J31" s="4"/>
      <c r="K31" s="4"/>
      <c r="L31" s="4"/>
    </row>
    <row r="32" spans="1:12">
      <c r="A32" s="39" t="s">
        <v>56</v>
      </c>
      <c r="B32" s="127" t="s">
        <v>477</v>
      </c>
      <c r="C32" s="39" t="s">
        <v>478</v>
      </c>
      <c r="D32" s="49">
        <v>171998.6101752682</v>
      </c>
      <c r="E32" s="49">
        <v>2905399.0858069835</v>
      </c>
      <c r="F32" s="49">
        <v>85023.849205089486</v>
      </c>
      <c r="G32" s="49">
        <v>1820686.2500962256</v>
      </c>
      <c r="H32" s="49">
        <v>609911.84403939219</v>
      </c>
      <c r="I32" s="49">
        <v>197329.4732018947</v>
      </c>
      <c r="J32" s="49">
        <v>2379534.6265832121</v>
      </c>
      <c r="K32" s="49">
        <v>978482.04470019438</v>
      </c>
      <c r="L32" s="49">
        <v>9148365.7838082463</v>
      </c>
    </row>
    <row r="33" spans="1:12">
      <c r="A33" s="39"/>
      <c r="B33" s="39"/>
      <c r="C33" s="39" t="s">
        <v>479</v>
      </c>
      <c r="D33" s="49">
        <v>146911.75750720056</v>
      </c>
      <c r="E33" s="49">
        <v>2232547.5717506176</v>
      </c>
      <c r="F33" s="49">
        <v>68898.541660112154</v>
      </c>
      <c r="G33" s="49">
        <v>1433419.3232699167</v>
      </c>
      <c r="H33" s="49">
        <v>492980.640156404</v>
      </c>
      <c r="I33" s="49">
        <v>154434.70018973845</v>
      </c>
      <c r="J33" s="49">
        <v>1850020.0125957509</v>
      </c>
      <c r="K33" s="49">
        <v>754663.94511437695</v>
      </c>
      <c r="L33" s="49">
        <v>7133876.4922441076</v>
      </c>
    </row>
    <row r="34" spans="1:12">
      <c r="A34" s="39"/>
      <c r="B34" s="39"/>
      <c r="C34" s="39" t="s">
        <v>480</v>
      </c>
      <c r="D34" s="49">
        <v>105221.00100498964</v>
      </c>
      <c r="E34" s="49">
        <v>1582457.6909297756</v>
      </c>
      <c r="F34" s="49">
        <v>47258.671304470365</v>
      </c>
      <c r="G34" s="49">
        <v>1027052.6912609575</v>
      </c>
      <c r="H34" s="49">
        <v>344414.5073563343</v>
      </c>
      <c r="I34" s="49">
        <v>113434.56578825187</v>
      </c>
      <c r="J34" s="49">
        <v>1339403.8768174797</v>
      </c>
      <c r="K34" s="49">
        <v>545766.79734891083</v>
      </c>
      <c r="L34" s="49">
        <v>5105009.8018111615</v>
      </c>
    </row>
    <row r="35" spans="1:12">
      <c r="A35" s="39"/>
      <c r="B35" s="39"/>
      <c r="C35" s="39"/>
      <c r="D35" s="49"/>
      <c r="E35" s="49"/>
      <c r="F35" s="49"/>
      <c r="G35" s="49"/>
      <c r="H35" s="49"/>
      <c r="I35" s="49"/>
      <c r="J35" s="49"/>
      <c r="K35" s="49"/>
      <c r="L35" s="49"/>
    </row>
    <row r="36" spans="1:12">
      <c r="A36" s="39" t="s">
        <v>57</v>
      </c>
      <c r="B36" s="127" t="s">
        <v>477</v>
      </c>
      <c r="C36" s="39" t="s">
        <v>478</v>
      </c>
      <c r="D36" s="49">
        <v>179105.37527861822</v>
      </c>
      <c r="E36" s="49">
        <v>2828240.8241946297</v>
      </c>
      <c r="F36" s="49">
        <v>83776.881746320985</v>
      </c>
      <c r="G36" s="49">
        <v>1835115.8275471737</v>
      </c>
      <c r="H36" s="49">
        <v>643972.79021349165</v>
      </c>
      <c r="I36" s="49">
        <v>209319.65260981949</v>
      </c>
      <c r="J36" s="49">
        <v>2384789.9664700832</v>
      </c>
      <c r="K36" s="49">
        <v>1010057.2074713546</v>
      </c>
      <c r="L36" s="49">
        <v>9174378.5255314894</v>
      </c>
    </row>
    <row r="37" spans="1:12">
      <c r="A37" s="39"/>
      <c r="B37" s="39"/>
      <c r="C37" s="39" t="s">
        <v>479</v>
      </c>
      <c r="D37" s="49">
        <v>150571.15988366134</v>
      </c>
      <c r="E37" s="49">
        <v>2190140.6933843172</v>
      </c>
      <c r="F37" s="49">
        <v>65083.299948913394</v>
      </c>
      <c r="G37" s="49">
        <v>1448950.6321232158</v>
      </c>
      <c r="H37" s="49">
        <v>497380.65555591066</v>
      </c>
      <c r="I37" s="49">
        <v>175252.98515309184</v>
      </c>
      <c r="J37" s="49">
        <v>1912556.4180653801</v>
      </c>
      <c r="K37" s="49">
        <v>787634.9122398959</v>
      </c>
      <c r="L37" s="49">
        <v>7227570.7563543823</v>
      </c>
    </row>
    <row r="38" spans="1:12">
      <c r="A38" s="39"/>
      <c r="B38" s="39"/>
      <c r="C38" s="39" t="s">
        <v>480</v>
      </c>
      <c r="D38" s="49">
        <v>116047.55008156042</v>
      </c>
      <c r="E38" s="49">
        <v>1563333.7261839162</v>
      </c>
      <c r="F38" s="49">
        <v>47179.938832757878</v>
      </c>
      <c r="G38" s="49">
        <v>1053944.5595509997</v>
      </c>
      <c r="H38" s="49">
        <v>345508.11147156166</v>
      </c>
      <c r="I38" s="49">
        <v>131999.57975185348</v>
      </c>
      <c r="J38" s="49">
        <v>1423935.9347290122</v>
      </c>
      <c r="K38" s="49">
        <v>585278.45657529414</v>
      </c>
      <c r="L38" s="49">
        <v>5267227.8571769521</v>
      </c>
    </row>
    <row r="39" spans="1:12">
      <c r="A39" s="132"/>
      <c r="B39" s="132"/>
      <c r="C39" s="132"/>
      <c r="D39" s="133"/>
      <c r="E39" s="133"/>
      <c r="F39" s="133"/>
      <c r="G39" s="133"/>
      <c r="H39" s="133"/>
      <c r="I39" s="133"/>
      <c r="J39" s="133"/>
      <c r="K39" s="133"/>
      <c r="L39" s="133"/>
    </row>
    <row r="40" spans="1:12" ht="14.45" customHeight="1">
      <c r="A40" s="29" t="s">
        <v>147</v>
      </c>
      <c r="B40" s="16"/>
      <c r="C40" s="126"/>
    </row>
    <row r="41" spans="1:12">
      <c r="A41" s="16"/>
      <c r="B41" s="16"/>
    </row>
    <row r="42" spans="1:12">
      <c r="A42" s="16"/>
    </row>
    <row r="44" spans="1:12">
      <c r="D44" s="26"/>
      <c r="E44" s="26"/>
      <c r="F44" s="26"/>
      <c r="G44" s="26"/>
      <c r="H44" s="26"/>
      <c r="I44" s="26"/>
      <c r="J44" s="26"/>
      <c r="K44" s="26"/>
      <c r="L44" s="26"/>
    </row>
    <row r="45" spans="1:12">
      <c r="D45" s="26"/>
      <c r="E45" s="26"/>
      <c r="F45" s="26"/>
      <c r="G45" s="26"/>
      <c r="H45" s="26"/>
      <c r="I45" s="26"/>
      <c r="J45" s="26"/>
      <c r="K45" s="26"/>
      <c r="L45" s="26"/>
    </row>
    <row r="46" spans="1:12">
      <c r="D46" s="26"/>
      <c r="E46" s="26"/>
      <c r="F46" s="26"/>
      <c r="G46" s="26"/>
      <c r="H46" s="26"/>
      <c r="I46" s="26"/>
      <c r="J46" s="26"/>
      <c r="K46" s="26"/>
      <c r="L46" s="26"/>
    </row>
    <row r="49" spans="4:12">
      <c r="D49" s="26"/>
      <c r="E49" s="26"/>
      <c r="F49" s="26"/>
      <c r="G49" s="26"/>
      <c r="H49" s="26"/>
      <c r="I49" s="26"/>
      <c r="J49" s="26"/>
      <c r="K49" s="26"/>
      <c r="L49" s="26"/>
    </row>
    <row r="50" spans="4:12">
      <c r="D50" s="26"/>
      <c r="E50" s="26"/>
      <c r="F50" s="26"/>
      <c r="G50" s="26"/>
      <c r="H50" s="26"/>
      <c r="I50" s="26"/>
      <c r="J50" s="26"/>
      <c r="K50" s="26"/>
      <c r="L50" s="26"/>
    </row>
    <row r="51" spans="4:12">
      <c r="D51" s="26"/>
      <c r="E51" s="26"/>
      <c r="F51" s="26"/>
      <c r="G51" s="26"/>
      <c r="H51" s="26"/>
      <c r="I51" s="26"/>
      <c r="J51" s="26"/>
      <c r="K51" s="26"/>
      <c r="L51" s="26"/>
    </row>
    <row r="55" spans="4:12">
      <c r="D55" s="26"/>
      <c r="E55" s="26"/>
      <c r="F55" s="26"/>
      <c r="G55" s="26"/>
      <c r="H55" s="26"/>
      <c r="I55" s="26"/>
      <c r="J55" s="26"/>
      <c r="K55" s="26"/>
      <c r="L55" s="26"/>
    </row>
    <row r="56" spans="4:12">
      <c r="D56" s="26"/>
      <c r="E56" s="26"/>
      <c r="F56" s="26"/>
      <c r="G56" s="26"/>
      <c r="H56" s="26"/>
      <c r="I56" s="26"/>
      <c r="J56" s="26"/>
      <c r="K56" s="26"/>
      <c r="L56" s="26"/>
    </row>
    <row r="57" spans="4:12">
      <c r="D57" s="26"/>
      <c r="E57" s="26"/>
      <c r="F57" s="26"/>
      <c r="G57" s="26"/>
      <c r="H57" s="26"/>
      <c r="I57" s="26"/>
      <c r="J57" s="26"/>
      <c r="K57" s="26"/>
      <c r="L57" s="26"/>
    </row>
    <row r="59" spans="4:12">
      <c r="D59" s="49"/>
      <c r="E59" s="49"/>
      <c r="F59" s="49"/>
      <c r="G59" s="49"/>
      <c r="H59" s="49"/>
      <c r="I59" s="49"/>
      <c r="J59" s="49"/>
      <c r="K59" s="49"/>
      <c r="L59" s="49"/>
    </row>
    <row r="60" spans="4:12">
      <c r="D60" s="49"/>
      <c r="E60" s="49"/>
      <c r="F60" s="49"/>
      <c r="G60" s="49"/>
      <c r="H60" s="49"/>
      <c r="I60" s="49"/>
      <c r="J60" s="49"/>
      <c r="K60" s="49"/>
      <c r="L60" s="49"/>
    </row>
    <row r="61" spans="4:12">
      <c r="D61" s="49"/>
      <c r="E61" s="49"/>
      <c r="F61" s="49"/>
      <c r="G61" s="49"/>
      <c r="H61" s="49"/>
      <c r="I61" s="49"/>
      <c r="J61" s="49"/>
      <c r="K61" s="49"/>
      <c r="L61" s="49"/>
    </row>
  </sheetData>
  <mergeCells count="2">
    <mergeCell ref="D14:L14"/>
    <mergeCell ref="D27:L27"/>
  </mergeCells>
  <pageMargins left="0.70866141732283472" right="0.70866141732283472" top="0.74803149606299213" bottom="0.74803149606299213" header="0.31496062992125984" footer="0.31496062992125984"/>
  <pageSetup paperSize="9" scale="46" orientation="portrait" r:id="rId1"/>
  <headerFooter>
    <oddHeader>&amp;C&amp;"Calibri"&amp;12&amp;KFF0000 OFFICIAL&amp;1#_x000D_</oddHeader>
    <oddFooter>Page &amp;P of &amp;N</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B0186-ACD9-4C1A-84D4-4411D9CB1FCB}">
  <sheetPr>
    <tabColor theme="0" tint="-4.9989318521683403E-2"/>
    <pageSetUpPr fitToPage="1"/>
  </sheetPr>
  <dimension ref="A1:L34"/>
  <sheetViews>
    <sheetView zoomScaleNormal="100" workbookViewId="0">
      <pane xSplit="3" ySplit="14" topLeftCell="D15" activePane="bottomRight" state="frozen"/>
      <selection pane="bottomRight"/>
      <selection pane="bottomLeft" activeCell="A4044" sqref="A4044:N4059"/>
      <selection pane="topRight" activeCell="A4044" sqref="A4044:N4059"/>
    </sheetView>
  </sheetViews>
  <sheetFormatPr defaultColWidth="8.85546875" defaultRowHeight="15"/>
  <cols>
    <col min="1" max="1" width="11" style="1" customWidth="1"/>
    <col min="2" max="2" width="13" style="1" customWidth="1"/>
    <col min="3" max="3" width="30.140625" style="1" customWidth="1"/>
    <col min="4" max="12" width="14.7109375" style="1" customWidth="1"/>
    <col min="13" max="14" width="8.85546875" style="1"/>
    <col min="15" max="15" width="29.7109375" style="1" bestFit="1" customWidth="1"/>
    <col min="16" max="16" width="34" style="1" bestFit="1" customWidth="1"/>
    <col min="17" max="17" width="26" style="1" bestFit="1" customWidth="1"/>
    <col min="18" max="18" width="27.85546875" style="1" bestFit="1" customWidth="1"/>
    <col min="19" max="19" width="36.28515625" style="1" bestFit="1" customWidth="1"/>
    <col min="20" max="20" width="13.42578125" style="1" bestFit="1" customWidth="1"/>
    <col min="21" max="21" width="32.85546875" style="1" bestFit="1" customWidth="1"/>
    <col min="22" max="22" width="11.85546875" style="1" bestFit="1" customWidth="1"/>
    <col min="23" max="24" width="8.85546875" style="1"/>
    <col min="25" max="25" width="19.7109375" style="1" bestFit="1" customWidth="1"/>
    <col min="26" max="26" width="8.85546875" style="1"/>
    <col min="27" max="27" width="24.42578125" style="1" bestFit="1" customWidth="1"/>
    <col min="28" max="28" width="25.85546875" style="1" bestFit="1" customWidth="1"/>
    <col min="29" max="29" width="17" style="1" bestFit="1" customWidth="1"/>
    <col min="30" max="16384" width="8.85546875" style="1"/>
  </cols>
  <sheetData>
    <row r="1" spans="1:12" s="77" customFormat="1">
      <c r="A1" s="34"/>
      <c r="B1" s="34"/>
      <c r="C1" s="34"/>
      <c r="D1" s="34"/>
      <c r="E1" s="34"/>
      <c r="F1" s="34"/>
      <c r="G1" s="34"/>
      <c r="H1" s="34"/>
      <c r="I1" s="34"/>
      <c r="J1" s="34"/>
      <c r="K1" s="34"/>
      <c r="L1" s="34"/>
    </row>
    <row r="2" spans="1:12" s="77" customFormat="1">
      <c r="A2" s="34"/>
      <c r="B2" s="34"/>
      <c r="C2" s="34"/>
      <c r="D2" s="34"/>
      <c r="E2" s="34"/>
      <c r="F2" s="34"/>
      <c r="G2" s="34"/>
      <c r="H2" s="34"/>
      <c r="I2" s="34"/>
      <c r="J2" s="34"/>
      <c r="K2" s="34"/>
      <c r="L2" s="34"/>
    </row>
    <row r="3" spans="1:12" s="77" customFormat="1">
      <c r="A3" s="34"/>
      <c r="B3" s="34"/>
      <c r="C3" s="34"/>
      <c r="D3" s="34"/>
      <c r="E3" s="34"/>
      <c r="F3" s="34"/>
      <c r="G3" s="34"/>
      <c r="H3" s="34"/>
      <c r="I3" s="34"/>
      <c r="J3" s="34"/>
      <c r="K3" s="34"/>
      <c r="L3" s="34"/>
    </row>
    <row r="4" spans="1:12" s="77" customFormat="1">
      <c r="A4" s="34"/>
      <c r="B4" s="34"/>
      <c r="C4" s="34"/>
      <c r="D4" s="34"/>
      <c r="E4" s="34"/>
      <c r="F4" s="34"/>
      <c r="G4" s="34"/>
      <c r="H4" s="34"/>
      <c r="I4" s="34"/>
      <c r="J4" s="34"/>
      <c r="K4" s="34"/>
      <c r="L4" s="34"/>
    </row>
    <row r="5" spans="1:12" s="77" customFormat="1">
      <c r="A5" s="34"/>
      <c r="B5" s="34"/>
      <c r="C5" s="34"/>
      <c r="D5" s="34"/>
      <c r="E5" s="34"/>
      <c r="F5" s="34"/>
      <c r="G5" s="34"/>
      <c r="H5" s="34"/>
      <c r="I5" s="34"/>
      <c r="J5" s="34"/>
      <c r="K5" s="34"/>
      <c r="L5" s="34"/>
    </row>
    <row r="6" spans="1:12" s="77" customFormat="1">
      <c r="A6" s="34"/>
      <c r="B6" s="34"/>
      <c r="C6" s="34"/>
      <c r="D6" s="34"/>
      <c r="E6" s="34"/>
      <c r="F6" s="34"/>
      <c r="G6" s="34"/>
      <c r="H6" s="34"/>
      <c r="I6" s="34"/>
      <c r="J6" s="34"/>
      <c r="K6" s="34"/>
      <c r="L6" s="34"/>
    </row>
    <row r="7" spans="1:12" s="77" customFormat="1">
      <c r="A7" s="34"/>
      <c r="B7" s="34"/>
      <c r="C7" s="34"/>
      <c r="D7" s="34"/>
      <c r="E7" s="34"/>
      <c r="F7" s="34"/>
      <c r="G7" s="34"/>
      <c r="H7" s="34"/>
      <c r="I7" s="34"/>
      <c r="J7" s="34"/>
      <c r="K7" s="34"/>
      <c r="L7" s="34"/>
    </row>
    <row r="8" spans="1:12" s="77" customFormat="1">
      <c r="A8" s="35" t="s">
        <v>0</v>
      </c>
      <c r="B8" s="34"/>
      <c r="C8" s="34"/>
      <c r="D8" s="34"/>
      <c r="E8" s="34"/>
      <c r="F8" s="34"/>
      <c r="G8" s="34"/>
      <c r="H8" s="34"/>
      <c r="I8" s="34"/>
      <c r="J8" s="34"/>
      <c r="K8" s="34"/>
      <c r="L8" s="34"/>
    </row>
    <row r="9" spans="1:12" s="77" customFormat="1">
      <c r="A9" s="34" t="s">
        <v>1</v>
      </c>
      <c r="B9" s="34"/>
      <c r="C9" s="35" t="s">
        <v>2</v>
      </c>
      <c r="D9" s="34"/>
      <c r="E9" s="34"/>
      <c r="F9" s="34"/>
      <c r="G9" s="34"/>
      <c r="H9" s="34"/>
      <c r="I9" s="34"/>
      <c r="J9" s="34"/>
      <c r="K9" s="34"/>
      <c r="L9" s="34"/>
    </row>
    <row r="10" spans="1:12" s="77" customFormat="1">
      <c r="A10" s="34" t="s">
        <v>47</v>
      </c>
      <c r="B10" s="34"/>
      <c r="C10" s="36">
        <v>33</v>
      </c>
      <c r="D10" s="34"/>
      <c r="E10" s="34"/>
      <c r="F10" s="34"/>
      <c r="G10" s="34"/>
      <c r="H10" s="34"/>
      <c r="I10" s="34"/>
      <c r="J10" s="34"/>
      <c r="K10" s="34"/>
      <c r="L10" s="34"/>
    </row>
    <row r="11" spans="1:12" s="77" customFormat="1">
      <c r="A11" s="34" t="s">
        <v>3</v>
      </c>
      <c r="B11" s="34"/>
      <c r="C11" s="35" t="s">
        <v>43</v>
      </c>
      <c r="D11" s="34"/>
      <c r="E11" s="34"/>
      <c r="F11" s="34"/>
      <c r="G11" s="34"/>
      <c r="H11" s="34"/>
      <c r="I11" s="34"/>
      <c r="J11" s="34"/>
      <c r="K11" s="34"/>
      <c r="L11" s="34"/>
    </row>
    <row r="12" spans="1:12" s="77" customFormat="1">
      <c r="A12" s="130" t="s">
        <v>48</v>
      </c>
      <c r="B12" s="130"/>
      <c r="C12" s="131" t="s">
        <v>121</v>
      </c>
      <c r="D12" s="130"/>
      <c r="E12" s="130"/>
      <c r="F12" s="130"/>
      <c r="G12" s="130"/>
      <c r="H12" s="130"/>
      <c r="I12" s="130"/>
      <c r="J12" s="130"/>
      <c r="K12" s="130"/>
      <c r="L12" s="130"/>
    </row>
    <row r="13" spans="1:12" s="2" customFormat="1" ht="50.1" customHeight="1">
      <c r="A13" s="42"/>
      <c r="B13" s="42"/>
      <c r="C13" s="60"/>
      <c r="D13" s="60" t="s">
        <v>468</v>
      </c>
      <c r="E13" s="60" t="s">
        <v>469</v>
      </c>
      <c r="F13" s="60" t="s">
        <v>470</v>
      </c>
      <c r="G13" s="60" t="s">
        <v>471</v>
      </c>
      <c r="H13" s="60" t="s">
        <v>472</v>
      </c>
      <c r="I13" s="60" t="s">
        <v>473</v>
      </c>
      <c r="J13" s="60" t="s">
        <v>474</v>
      </c>
      <c r="K13" s="60" t="s">
        <v>475</v>
      </c>
      <c r="L13" s="60" t="s">
        <v>476</v>
      </c>
    </row>
    <row r="14" spans="1:12">
      <c r="A14" s="72"/>
      <c r="B14" s="72"/>
      <c r="C14" s="72"/>
      <c r="D14" s="156" t="s">
        <v>143</v>
      </c>
      <c r="E14" s="156"/>
      <c r="F14" s="156"/>
      <c r="G14" s="156"/>
      <c r="H14" s="156"/>
      <c r="I14" s="156"/>
      <c r="J14" s="156"/>
      <c r="K14" s="156"/>
      <c r="L14" s="156"/>
    </row>
    <row r="15" spans="1:12">
      <c r="A15" s="39"/>
      <c r="B15" s="39" t="s">
        <v>481</v>
      </c>
      <c r="C15" s="39"/>
    </row>
    <row r="16" spans="1:12">
      <c r="A16" s="40" t="s">
        <v>55</v>
      </c>
      <c r="B16" s="127" t="s">
        <v>477</v>
      </c>
      <c r="C16" s="39" t="s">
        <v>478</v>
      </c>
      <c r="D16" s="4">
        <v>0.71715559850461663</v>
      </c>
      <c r="E16" s="4">
        <v>0.72350596651085142</v>
      </c>
      <c r="F16" s="4">
        <v>0.70111151443311059</v>
      </c>
      <c r="G16" s="4">
        <v>0.6942661839148514</v>
      </c>
      <c r="H16" s="4">
        <v>0.65894061455266628</v>
      </c>
      <c r="I16" s="4">
        <v>0.65916027564935542</v>
      </c>
      <c r="J16" s="4">
        <v>0.71944220018910232</v>
      </c>
      <c r="K16" s="4">
        <v>0.73235910855302089</v>
      </c>
      <c r="L16" s="4">
        <v>0.71152375922435618</v>
      </c>
    </row>
    <row r="17" spans="1:12">
      <c r="A17" s="39"/>
      <c r="B17" s="39"/>
      <c r="C17" s="39" t="s">
        <v>479</v>
      </c>
      <c r="D17" s="4">
        <v>0.44299575487946519</v>
      </c>
      <c r="E17" s="4">
        <v>0.38886100385086453</v>
      </c>
      <c r="F17" s="4">
        <v>0.40676006074436932</v>
      </c>
      <c r="G17" s="4">
        <v>0.40213451301640102</v>
      </c>
      <c r="H17" s="4">
        <v>0.35005859386834126</v>
      </c>
      <c r="I17" s="4">
        <v>0.36077790349995648</v>
      </c>
      <c r="J17" s="4">
        <v>0.41767642226500173</v>
      </c>
      <c r="K17" s="4">
        <v>0.41492421593547396</v>
      </c>
      <c r="L17" s="4">
        <v>0.39989917944628806</v>
      </c>
    </row>
    <row r="18" spans="1:12">
      <c r="A18" s="132"/>
      <c r="B18" s="132"/>
      <c r="C18" s="132"/>
      <c r="D18" s="137"/>
      <c r="E18" s="137"/>
      <c r="F18" s="137"/>
      <c r="G18" s="137"/>
      <c r="H18" s="137"/>
      <c r="I18" s="137"/>
      <c r="J18" s="137"/>
      <c r="K18" s="137"/>
      <c r="L18" s="137"/>
    </row>
    <row r="19" spans="1:12">
      <c r="A19" s="72"/>
      <c r="B19" s="129"/>
      <c r="C19" s="72"/>
      <c r="D19" s="156" t="s">
        <v>146</v>
      </c>
      <c r="E19" s="156"/>
      <c r="F19" s="156"/>
      <c r="G19" s="156"/>
      <c r="H19" s="156"/>
      <c r="I19" s="156"/>
      <c r="J19" s="156"/>
      <c r="K19" s="156"/>
      <c r="L19" s="156"/>
    </row>
    <row r="20" spans="1:12">
      <c r="A20" s="39"/>
      <c r="B20" s="127" t="s">
        <v>481</v>
      </c>
      <c r="C20" s="39"/>
    </row>
    <row r="21" spans="1:12">
      <c r="A21" s="40" t="s">
        <v>55</v>
      </c>
      <c r="B21" s="127" t="s">
        <v>477</v>
      </c>
      <c r="C21" s="39" t="s">
        <v>478</v>
      </c>
      <c r="D21" s="49">
        <v>60068.85027132168</v>
      </c>
      <c r="E21" s="49">
        <v>1090586.2390721082</v>
      </c>
      <c r="F21" s="49">
        <v>36544.456335553703</v>
      </c>
      <c r="G21" s="49">
        <v>702244.79385366035</v>
      </c>
      <c r="H21" s="49">
        <v>207024.76807411891</v>
      </c>
      <c r="I21" s="49">
        <v>62170.738751752957</v>
      </c>
      <c r="J21" s="49">
        <v>874596.5918014365</v>
      </c>
      <c r="K21" s="49">
        <v>397141.83801075257</v>
      </c>
      <c r="L21" s="49">
        <v>3430378.2761706994</v>
      </c>
    </row>
    <row r="22" spans="1:12">
      <c r="A22" s="39"/>
      <c r="B22" s="39"/>
      <c r="C22" s="39" t="s">
        <v>479</v>
      </c>
      <c r="D22" s="49">
        <v>37105.261014725824</v>
      </c>
      <c r="E22" s="49">
        <v>586154.75108892308</v>
      </c>
      <c r="F22" s="49">
        <v>21201.798819320276</v>
      </c>
      <c r="G22" s="49">
        <v>406755.90247281786</v>
      </c>
      <c r="H22" s="49">
        <v>109980.77460613599</v>
      </c>
      <c r="I22" s="49">
        <v>34027.883072602861</v>
      </c>
      <c r="J22" s="49">
        <v>507752.22150267405</v>
      </c>
      <c r="K22" s="49">
        <v>225004.05037272029</v>
      </c>
      <c r="L22" s="49">
        <v>1927982.6429499171</v>
      </c>
    </row>
    <row r="23" spans="1:12">
      <c r="A23" s="132"/>
      <c r="B23" s="132"/>
      <c r="C23" s="132"/>
      <c r="D23" s="133"/>
      <c r="E23" s="133"/>
      <c r="F23" s="133"/>
      <c r="G23" s="133"/>
      <c r="H23" s="133"/>
      <c r="I23" s="133"/>
      <c r="J23" s="133"/>
      <c r="K23" s="133"/>
      <c r="L23" s="133"/>
    </row>
    <row r="24" spans="1:12">
      <c r="A24" s="16" t="s">
        <v>128</v>
      </c>
    </row>
    <row r="25" spans="1:12">
      <c r="A25" s="29" t="s">
        <v>147</v>
      </c>
    </row>
    <row r="26" spans="1:12">
      <c r="A26" s="16" t="s">
        <v>119</v>
      </c>
      <c r="B26" s="106"/>
    </row>
    <row r="27" spans="1:12">
      <c r="A27" s="16"/>
    </row>
    <row r="28" spans="1:12">
      <c r="A28" s="128"/>
    </row>
    <row r="30" spans="1:12">
      <c r="D30" s="26"/>
      <c r="E30" s="26"/>
      <c r="F30" s="26"/>
      <c r="G30" s="26"/>
      <c r="H30" s="26"/>
      <c r="I30" s="26"/>
      <c r="J30" s="26"/>
      <c r="K30" s="26"/>
      <c r="L30" s="26"/>
    </row>
    <row r="31" spans="1:12">
      <c r="D31" s="26"/>
      <c r="E31" s="26"/>
      <c r="F31" s="26"/>
      <c r="G31" s="26"/>
      <c r="H31" s="26"/>
      <c r="I31" s="26"/>
      <c r="J31" s="26"/>
      <c r="K31" s="26"/>
      <c r="L31" s="26"/>
    </row>
    <row r="33" spans="4:12">
      <c r="D33" s="49"/>
      <c r="E33" s="49"/>
      <c r="F33" s="49"/>
      <c r="G33" s="49"/>
      <c r="H33" s="49"/>
      <c r="I33" s="49"/>
      <c r="J33" s="49"/>
      <c r="K33" s="49"/>
      <c r="L33" s="49"/>
    </row>
    <row r="34" spans="4:12">
      <c r="D34" s="49"/>
      <c r="E34" s="49"/>
      <c r="F34" s="49"/>
      <c r="G34" s="49"/>
      <c r="H34" s="49"/>
      <c r="I34" s="49"/>
      <c r="J34" s="49"/>
      <c r="K34" s="49"/>
      <c r="L34" s="49"/>
    </row>
  </sheetData>
  <mergeCells count="2">
    <mergeCell ref="D14:L14"/>
    <mergeCell ref="D19:L19"/>
  </mergeCells>
  <pageMargins left="0.70866141732283472" right="0.70866141732283472" top="0.74803149606299213" bottom="0.74803149606299213" header="0.31496062992125984" footer="0.31496062992125984"/>
  <pageSetup paperSize="9" scale="48" orientation="portrait" r:id="rId1"/>
  <headerFooter>
    <oddHeader>&amp;C&amp;"Calibri"&amp;12&amp;KFF0000 OFFICIAL&amp;1#_x000D_</oddHeader>
    <oddFooter>Page &amp;P of &amp;N</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zoomScaleNormal="100" workbookViewId="0"/>
  </sheetViews>
  <sheetFormatPr defaultColWidth="8.85546875" defaultRowHeight="1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3">
      <c r="A1" s="34"/>
      <c r="B1" s="34"/>
      <c r="C1" s="34"/>
      <c r="D1" s="34"/>
      <c r="E1" s="34"/>
      <c r="F1" s="34"/>
      <c r="G1" s="34"/>
      <c r="H1" s="34"/>
      <c r="I1" s="34"/>
      <c r="J1" s="34"/>
      <c r="K1" s="34"/>
    </row>
    <row r="2" spans="1:13">
      <c r="A2" s="34"/>
      <c r="B2" s="34"/>
      <c r="C2" s="34"/>
      <c r="D2" s="34"/>
      <c r="E2" s="34"/>
      <c r="F2" s="34"/>
      <c r="G2" s="34"/>
      <c r="H2" s="34"/>
      <c r="I2" s="34"/>
      <c r="J2" s="34"/>
      <c r="K2" s="34"/>
    </row>
    <row r="3" spans="1:13">
      <c r="A3" s="34"/>
      <c r="B3" s="34"/>
      <c r="C3" s="34"/>
      <c r="D3" s="34"/>
      <c r="E3" s="34"/>
      <c r="F3" s="34"/>
      <c r="G3" s="34"/>
      <c r="H3" s="34"/>
      <c r="I3" s="34"/>
      <c r="J3" s="34"/>
      <c r="K3" s="34"/>
    </row>
    <row r="4" spans="1:13">
      <c r="A4" s="34"/>
      <c r="B4" s="34"/>
      <c r="C4" s="34"/>
      <c r="D4" s="34"/>
      <c r="E4" s="34"/>
      <c r="F4" s="34"/>
      <c r="G4" s="34"/>
      <c r="H4" s="34"/>
      <c r="I4" s="34"/>
      <c r="J4" s="34"/>
      <c r="K4" s="34"/>
    </row>
    <row r="5" spans="1:13">
      <c r="A5" s="34"/>
      <c r="B5" s="34"/>
      <c r="C5" s="34"/>
      <c r="D5" s="34"/>
      <c r="E5" s="34"/>
      <c r="F5" s="34"/>
      <c r="G5" s="34"/>
      <c r="H5" s="34"/>
      <c r="I5" s="34"/>
      <c r="J5" s="34"/>
      <c r="K5" s="34"/>
    </row>
    <row r="6" spans="1:13">
      <c r="A6" s="34"/>
      <c r="B6" s="34"/>
      <c r="C6" s="34"/>
      <c r="D6" s="34"/>
      <c r="E6" s="34"/>
      <c r="F6" s="34"/>
      <c r="G6" s="34"/>
      <c r="H6" s="34"/>
      <c r="I6" s="34"/>
      <c r="J6" s="34"/>
      <c r="K6" s="34"/>
    </row>
    <row r="7" spans="1:13">
      <c r="A7" s="34"/>
      <c r="B7" s="34"/>
      <c r="C7" s="34"/>
      <c r="D7" s="34"/>
      <c r="E7" s="34"/>
      <c r="F7" s="34"/>
      <c r="G7" s="34"/>
      <c r="H7" s="34"/>
      <c r="I7" s="34"/>
      <c r="J7" s="34"/>
      <c r="K7" s="34"/>
    </row>
    <row r="8" spans="1:13">
      <c r="A8" s="35" t="str">
        <f>Index!A8</f>
        <v>AusPlay survey results July 2023 - June 2024</v>
      </c>
      <c r="B8" s="35"/>
      <c r="C8" s="34"/>
      <c r="D8" s="34"/>
      <c r="E8" s="34"/>
      <c r="F8" s="34"/>
      <c r="G8" s="34"/>
      <c r="H8" s="34"/>
      <c r="I8" s="34"/>
      <c r="J8" s="34"/>
      <c r="K8" s="34"/>
    </row>
    <row r="9" spans="1:13">
      <c r="A9" s="34" t="s">
        <v>1</v>
      </c>
      <c r="B9" s="34"/>
      <c r="C9" s="35" t="str">
        <f>Index!D9</f>
        <v>31 October 2024</v>
      </c>
      <c r="D9" s="34"/>
      <c r="E9" s="34"/>
      <c r="F9" s="34"/>
      <c r="G9" s="34"/>
      <c r="H9" s="34"/>
      <c r="I9" s="34"/>
      <c r="J9" s="34"/>
      <c r="K9" s="34"/>
    </row>
    <row r="10" spans="1:13">
      <c r="A10" s="34" t="s">
        <v>47</v>
      </c>
      <c r="B10" s="34"/>
      <c r="C10" s="36">
        <f>Index!B50</f>
        <v>34</v>
      </c>
      <c r="D10" s="34"/>
      <c r="E10" s="34"/>
      <c r="F10" s="34"/>
      <c r="G10" s="34"/>
      <c r="H10" s="34"/>
      <c r="I10" s="34"/>
      <c r="J10" s="34"/>
      <c r="K10" s="34"/>
    </row>
    <row r="11" spans="1:13" s="3" customFormat="1">
      <c r="A11" s="130" t="s">
        <v>3</v>
      </c>
      <c r="B11" s="130"/>
      <c r="C11" s="131" t="str">
        <f>Index!D50</f>
        <v>Margins of error</v>
      </c>
      <c r="D11" s="130"/>
      <c r="E11" s="130"/>
      <c r="F11" s="130"/>
      <c r="G11" s="130"/>
      <c r="H11" s="130"/>
      <c r="I11" s="130"/>
      <c r="J11" s="130"/>
      <c r="K11" s="130"/>
      <c r="L11" s="133"/>
      <c r="M11" s="133"/>
    </row>
    <row r="12" spans="1:13">
      <c r="A12" s="169" t="s">
        <v>482</v>
      </c>
      <c r="B12" s="169"/>
      <c r="C12" s="169"/>
      <c r="D12" s="169"/>
      <c r="E12" s="169"/>
      <c r="F12" s="169"/>
      <c r="G12" s="169"/>
      <c r="H12" s="169"/>
      <c r="I12" s="169"/>
      <c r="J12" s="169"/>
      <c r="K12" s="169"/>
    </row>
    <row r="13" spans="1:13">
      <c r="A13" s="39" t="s">
        <v>483</v>
      </c>
      <c r="B13" s="39"/>
      <c r="C13" s="76" t="s">
        <v>484</v>
      </c>
      <c r="D13" s="76" t="s">
        <v>485</v>
      </c>
      <c r="E13" s="76" t="s">
        <v>486</v>
      </c>
      <c r="F13" s="76" t="s">
        <v>487</v>
      </c>
      <c r="G13" s="76" t="s">
        <v>488</v>
      </c>
      <c r="H13" s="76" t="s">
        <v>489</v>
      </c>
      <c r="I13" s="76" t="s">
        <v>490</v>
      </c>
      <c r="J13" s="76" t="s">
        <v>491</v>
      </c>
      <c r="K13" s="76" t="s">
        <v>492</v>
      </c>
    </row>
    <row r="14" spans="1:13">
      <c r="A14" s="74">
        <v>1000</v>
      </c>
      <c r="B14" s="74"/>
      <c r="C14" s="27">
        <v>1.6065313052952099</v>
      </c>
      <c r="D14" s="27">
        <v>1.57427152758203</v>
      </c>
      <c r="E14" s="27">
        <v>1.64023837280949</v>
      </c>
      <c r="F14" s="27">
        <v>1.68064611507256</v>
      </c>
      <c r="G14" s="27">
        <v>1.5529121671006201</v>
      </c>
      <c r="H14" s="27">
        <v>1.2870497272786601</v>
      </c>
      <c r="I14" s="27">
        <v>1.2954120504782201</v>
      </c>
      <c r="J14" s="27">
        <v>1.2368049224839599</v>
      </c>
      <c r="K14" s="27">
        <v>1.5903011097169699</v>
      </c>
    </row>
    <row r="15" spans="1:13">
      <c r="A15" s="74">
        <v>2000</v>
      </c>
      <c r="B15" s="74"/>
      <c r="C15" s="27">
        <v>1.13587892741476</v>
      </c>
      <c r="D15" s="27">
        <v>1.11311487948068</v>
      </c>
      <c r="E15" s="27">
        <v>1.159643621269</v>
      </c>
      <c r="F15" s="27">
        <v>1.18783264305348</v>
      </c>
      <c r="G15" s="27">
        <v>1.0979299260631701</v>
      </c>
      <c r="H15" s="27">
        <v>0.90885313273382395</v>
      </c>
      <c r="I15" s="27">
        <v>0.91299629146795303</v>
      </c>
      <c r="J15" s="27">
        <v>0.87364734408651301</v>
      </c>
      <c r="K15" s="27">
        <v>1.1244959648633599</v>
      </c>
      <c r="M15" s="149"/>
    </row>
    <row r="16" spans="1:13">
      <c r="A16" s="74">
        <v>5000</v>
      </c>
      <c r="B16" s="74"/>
      <c r="C16" s="27">
        <v>0.71825343113530205</v>
      </c>
      <c r="D16" s="27">
        <v>0.70379579514052204</v>
      </c>
      <c r="E16" s="27">
        <v>0.73319521695480905</v>
      </c>
      <c r="F16" s="27">
        <v>0.75053788701213398</v>
      </c>
      <c r="G16" s="27">
        <v>0.69393378313735399</v>
      </c>
      <c r="H16" s="27">
        <v>0.57299222415811502</v>
      </c>
      <c r="I16" s="27">
        <v>0.57361809740576697</v>
      </c>
      <c r="J16" s="27">
        <v>0.55024560937313405</v>
      </c>
      <c r="K16" s="27">
        <v>0.71114077398597697</v>
      </c>
    </row>
    <row r="17" spans="1:16">
      <c r="A17" s="74">
        <v>10000</v>
      </c>
      <c r="B17" s="74"/>
      <c r="C17" s="27">
        <v>0.50768455945427704</v>
      </c>
      <c r="D17" s="27">
        <v>0.49746085246046101</v>
      </c>
      <c r="E17" s="27">
        <v>0.51816529317855897</v>
      </c>
      <c r="F17" s="27">
        <v>0.52982643763291204</v>
      </c>
      <c r="G17" s="27">
        <v>0.49016658880279201</v>
      </c>
      <c r="H17" s="27">
        <v>0.40313945892115099</v>
      </c>
      <c r="I17" s="27">
        <v>0.40016458015848499</v>
      </c>
      <c r="J17" s="27">
        <v>0.38663275048058798</v>
      </c>
      <c r="K17" s="27">
        <v>0.50280007111449598</v>
      </c>
    </row>
    <row r="18" spans="1:16">
      <c r="A18" s="74">
        <v>20000</v>
      </c>
      <c r="B18" s="74"/>
      <c r="C18" s="27">
        <v>0.35872544679574803</v>
      </c>
      <c r="D18" s="27">
        <v>0.35143783475337798</v>
      </c>
      <c r="E18" s="27">
        <v>0.36597050690745297</v>
      </c>
      <c r="F18" s="27">
        <v>0.37348023483089898</v>
      </c>
      <c r="G18" s="27">
        <v>0.34586540659354897</v>
      </c>
      <c r="H18" s="27">
        <v>0.28204185461957498</v>
      </c>
      <c r="I18" s="27">
        <v>0.275429618448502</v>
      </c>
      <c r="J18" s="27">
        <v>0.26974623998033698</v>
      </c>
      <c r="K18" s="27">
        <v>0.35545394016304699</v>
      </c>
    </row>
    <row r="19" spans="1:16">
      <c r="A19" s="74">
        <v>50000</v>
      </c>
      <c r="B19" s="74"/>
      <c r="C19" s="27">
        <v>0.22639159952395899</v>
      </c>
      <c r="D19" s="27">
        <v>0.22168571849336099</v>
      </c>
      <c r="E19" s="27">
        <v>0.23070100636302901</v>
      </c>
      <c r="F19" s="27">
        <v>0.23387341259762401</v>
      </c>
      <c r="G19" s="27">
        <v>0.21734451062287499</v>
      </c>
      <c r="H19" s="27">
        <v>0.172434118713576</v>
      </c>
      <c r="I19" s="27">
        <v>0.15928736395443099</v>
      </c>
      <c r="J19" s="27">
        <v>0.16349288708423301</v>
      </c>
      <c r="K19" s="27">
        <v>0.22465474271562799</v>
      </c>
    </row>
    <row r="20" spans="1:16">
      <c r="A20" s="74">
        <v>100000</v>
      </c>
      <c r="B20" s="74"/>
      <c r="C20" s="27">
        <v>0.159495198648892</v>
      </c>
      <c r="D20" s="27">
        <v>0.15605386306338201</v>
      </c>
      <c r="E20" s="27">
        <v>0.162205987901795</v>
      </c>
      <c r="F20" s="27">
        <v>0.16259663753429099</v>
      </c>
      <c r="G20" s="27">
        <v>0.152042476874786</v>
      </c>
      <c r="H20" s="27">
        <v>0.114624439715662</v>
      </c>
      <c r="I20" s="27">
        <v>9.2295292494277106E-2</v>
      </c>
      <c r="J20" s="27">
        <v>0.106628884041328</v>
      </c>
      <c r="K20" s="27">
        <v>0.15867473597760801</v>
      </c>
    </row>
    <row r="21" spans="1:16">
      <c r="A21" s="74">
        <v>200000</v>
      </c>
      <c r="B21" s="74"/>
      <c r="C21" s="27">
        <v>0.11194977364462901</v>
      </c>
      <c r="D21" s="27">
        <v>0.10935419624836799</v>
      </c>
      <c r="E21" s="27">
        <v>0.113387762812695</v>
      </c>
      <c r="F21" s="27">
        <v>0.110941936372875</v>
      </c>
      <c r="G21" s="27">
        <v>0.10511752696855201</v>
      </c>
      <c r="H21" s="27">
        <v>6.9633532868941306E-2</v>
      </c>
      <c r="I21" s="27">
        <v>8.5509937261559008E-3</v>
      </c>
      <c r="J21" s="27">
        <v>6.0872420416701399E-2</v>
      </c>
      <c r="K21" s="27">
        <v>0.111944767828071</v>
      </c>
    </row>
    <row r="22" spans="1:16">
      <c r="A22" s="74">
        <v>500000</v>
      </c>
      <c r="B22" s="74"/>
      <c r="C22" s="27">
        <v>6.9207462276186196E-2</v>
      </c>
      <c r="D22" s="27">
        <v>6.7243285710833905E-2</v>
      </c>
      <c r="E22" s="27">
        <v>6.9175294472024307E-2</v>
      </c>
      <c r="F22" s="27">
        <v>6.1890074094191602E-2</v>
      </c>
      <c r="G22" s="27">
        <v>6.17509353684405E-2</v>
      </c>
      <c r="H22" s="27" t="s">
        <v>493</v>
      </c>
      <c r="I22" s="27" t="s">
        <v>493</v>
      </c>
      <c r="J22" s="27" t="s">
        <v>493</v>
      </c>
      <c r="K22" s="27">
        <v>7.0314700504905306E-2</v>
      </c>
    </row>
    <row r="23" spans="1:16">
      <c r="A23" s="74">
        <v>800000</v>
      </c>
      <c r="B23" s="74"/>
      <c r="C23" s="27">
        <v>5.3419004005937E-2</v>
      </c>
      <c r="D23" s="27">
        <v>5.1599314745505102E-2</v>
      </c>
      <c r="E23" s="27">
        <v>5.2605422892477403E-2</v>
      </c>
      <c r="F23" s="27">
        <v>4.1363610549492301E-2</v>
      </c>
      <c r="G23" s="27">
        <v>4.4757725171779901E-2</v>
      </c>
      <c r="H23" s="27" t="s">
        <v>493</v>
      </c>
      <c r="I23" s="27" t="s">
        <v>493</v>
      </c>
      <c r="J23" s="27" t="s">
        <v>493</v>
      </c>
      <c r="K23" s="27">
        <v>5.5201399763870097E-2</v>
      </c>
    </row>
    <row r="24" spans="1:16">
      <c r="A24" s="74">
        <v>1000000</v>
      </c>
      <c r="B24" s="74"/>
      <c r="C24" s="27">
        <v>4.6994462653735698E-2</v>
      </c>
      <c r="D24" s="27">
        <v>4.5196967655059997E-2</v>
      </c>
      <c r="E24" s="27">
        <v>4.5764853481524398E-2</v>
      </c>
      <c r="F24" s="27">
        <v>3.1693384374745698E-2</v>
      </c>
      <c r="G24" s="27">
        <v>3.7413018579515997E-2</v>
      </c>
      <c r="H24" s="27" t="s">
        <v>493</v>
      </c>
      <c r="I24" s="27" t="s">
        <v>493</v>
      </c>
      <c r="J24" s="27" t="s">
        <v>493</v>
      </c>
      <c r="K24" s="27">
        <v>4.91413642345108E-2</v>
      </c>
      <c r="P24" s="4"/>
    </row>
    <row r="25" spans="1:16">
      <c r="A25" s="74">
        <v>1500000</v>
      </c>
      <c r="B25" s="74"/>
      <c r="C25" s="27">
        <v>3.6713958682158702E-2</v>
      </c>
      <c r="D25" s="27">
        <v>3.48779016363319E-2</v>
      </c>
      <c r="E25" s="27">
        <v>3.4604748669560897E-2</v>
      </c>
      <c r="F25" s="27">
        <v>7.9057190505087398E-3</v>
      </c>
      <c r="G25" s="27">
        <v>2.4406486332697801E-2</v>
      </c>
      <c r="H25" s="27" t="s">
        <v>493</v>
      </c>
      <c r="I25" s="27" t="s">
        <v>493</v>
      </c>
      <c r="J25" s="27" t="s">
        <v>493</v>
      </c>
      <c r="K25" s="27">
        <v>3.9646303515515201E-2</v>
      </c>
    </row>
    <row r="26" spans="1:16">
      <c r="A26" s="74">
        <v>2000000</v>
      </c>
      <c r="B26" s="74"/>
      <c r="C26" s="27">
        <v>3.02945147339664E-2</v>
      </c>
      <c r="D26" s="27">
        <v>2.8342884313765099E-2</v>
      </c>
      <c r="E26" s="27">
        <v>2.7368267000898599E-2</v>
      </c>
      <c r="F26" s="27" t="s">
        <v>493</v>
      </c>
      <c r="G26" s="27">
        <v>1.3915742274371701E-2</v>
      </c>
      <c r="H26" s="27" t="s">
        <v>493</v>
      </c>
      <c r="I26" s="27" t="s">
        <v>493</v>
      </c>
      <c r="J26" s="27" t="s">
        <v>493</v>
      </c>
      <c r="K26" s="27">
        <v>3.3915624709983397E-2</v>
      </c>
    </row>
    <row r="27" spans="1:16">
      <c r="A27" s="74">
        <v>5000000</v>
      </c>
      <c r="B27" s="74"/>
      <c r="C27" s="27">
        <v>1.1976004198336601E-2</v>
      </c>
      <c r="D27" s="27">
        <v>7.7270492021330704E-3</v>
      </c>
      <c r="E27" s="27" t="s">
        <v>493</v>
      </c>
      <c r="F27" s="27" t="s">
        <v>493</v>
      </c>
      <c r="G27" s="27" t="s">
        <v>493</v>
      </c>
      <c r="H27" s="27" t="s">
        <v>493</v>
      </c>
      <c r="I27" s="27" t="s">
        <v>493</v>
      </c>
      <c r="J27" s="27" t="s">
        <v>493</v>
      </c>
      <c r="K27" s="27">
        <v>1.9786539663528498E-2</v>
      </c>
    </row>
    <row r="28" spans="1:16">
      <c r="A28" s="74">
        <v>8000000</v>
      </c>
      <c r="B28" s="74"/>
      <c r="C28" s="27" t="s">
        <v>493</v>
      </c>
      <c r="D28" s="27" t="s">
        <v>493</v>
      </c>
      <c r="E28" s="27" t="s">
        <v>493</v>
      </c>
      <c r="F28" s="27" t="s">
        <v>493</v>
      </c>
      <c r="G28" s="27" t="s">
        <v>493</v>
      </c>
      <c r="H28" s="27" t="s">
        <v>493</v>
      </c>
      <c r="I28" s="27" t="s">
        <v>493</v>
      </c>
      <c r="J28" s="27" t="s">
        <v>493</v>
      </c>
      <c r="K28" s="27">
        <v>1.42062148355479E-2</v>
      </c>
    </row>
    <row r="29" spans="1:16">
      <c r="A29" s="74">
        <v>10000000</v>
      </c>
      <c r="B29" s="74"/>
      <c r="C29" s="27" t="s">
        <v>493</v>
      </c>
      <c r="D29" s="27" t="s">
        <v>493</v>
      </c>
      <c r="E29" s="27" t="s">
        <v>493</v>
      </c>
      <c r="F29" s="27" t="s">
        <v>493</v>
      </c>
      <c r="G29" s="27" t="s">
        <v>493</v>
      </c>
      <c r="H29" s="27" t="s">
        <v>493</v>
      </c>
      <c r="I29" s="27" t="s">
        <v>493</v>
      </c>
      <c r="J29" s="27" t="s">
        <v>493</v>
      </c>
      <c r="K29" s="27">
        <v>1.1772589474856101E-2</v>
      </c>
    </row>
    <row r="30" spans="1:16">
      <c r="A30" s="74">
        <v>20000000</v>
      </c>
      <c r="B30" s="74"/>
      <c r="C30" s="27" t="s">
        <v>493</v>
      </c>
      <c r="D30" s="27" t="s">
        <v>493</v>
      </c>
      <c r="E30" s="27" t="s">
        <v>493</v>
      </c>
      <c r="F30" s="27" t="s">
        <v>493</v>
      </c>
      <c r="G30" s="27" t="s">
        <v>493</v>
      </c>
      <c r="H30" s="27" t="s">
        <v>493</v>
      </c>
      <c r="I30" s="27" t="s">
        <v>493</v>
      </c>
      <c r="J30" s="27" t="s">
        <v>493</v>
      </c>
      <c r="K30" s="27">
        <v>3.4827706685247998E-3</v>
      </c>
    </row>
    <row r="31" spans="1:16">
      <c r="A31" s="74"/>
      <c r="B31" s="74"/>
      <c r="C31" s="27"/>
      <c r="D31" s="27"/>
      <c r="E31" s="27"/>
      <c r="F31" s="27"/>
      <c r="G31" s="27"/>
      <c r="H31" s="27"/>
      <c r="I31" s="27"/>
      <c r="J31" s="27"/>
      <c r="K31" s="27"/>
    </row>
    <row r="32" spans="1:16">
      <c r="A32" s="170" t="s">
        <v>494</v>
      </c>
      <c r="B32" s="170"/>
      <c r="C32" s="170"/>
      <c r="D32" s="170"/>
      <c r="E32" s="170"/>
      <c r="F32" s="170"/>
      <c r="G32" s="170"/>
      <c r="H32" s="170"/>
      <c r="I32" s="170"/>
      <c r="J32" s="170"/>
      <c r="K32" s="170"/>
    </row>
    <row r="33" spans="1:11">
      <c r="A33" s="39" t="s">
        <v>483</v>
      </c>
      <c r="B33" s="39"/>
      <c r="C33" s="76" t="s">
        <v>495</v>
      </c>
      <c r="D33" s="76" t="s">
        <v>496</v>
      </c>
      <c r="E33" s="76" t="s">
        <v>497</v>
      </c>
      <c r="F33" s="76" t="s">
        <v>498</v>
      </c>
      <c r="G33" s="76" t="s">
        <v>499</v>
      </c>
      <c r="H33" s="76" t="s">
        <v>500</v>
      </c>
      <c r="I33" s="76" t="s">
        <v>501</v>
      </c>
      <c r="J33" s="76" t="s">
        <v>502</v>
      </c>
      <c r="K33" s="76" t="s">
        <v>503</v>
      </c>
    </row>
    <row r="34" spans="1:11">
      <c r="A34" s="75">
        <v>1000</v>
      </c>
      <c r="B34" s="75"/>
      <c r="C34" s="15">
        <v>1606.5313052952099</v>
      </c>
      <c r="D34" s="15">
        <v>1574.2715275820301</v>
      </c>
      <c r="E34" s="15">
        <v>1640.2383728094901</v>
      </c>
      <c r="F34" s="15">
        <v>1680.64611507256</v>
      </c>
      <c r="G34" s="15">
        <v>1552.9121671006201</v>
      </c>
      <c r="H34" s="15">
        <v>1287.0497272786599</v>
      </c>
      <c r="I34" s="15">
        <v>1295.41205047822</v>
      </c>
      <c r="J34" s="15">
        <v>1236.8049224839599</v>
      </c>
      <c r="K34" s="15">
        <v>1590.3011097169699</v>
      </c>
    </row>
    <row r="35" spans="1:11">
      <c r="A35" s="75">
        <v>2000</v>
      </c>
      <c r="B35" s="75"/>
      <c r="C35" s="15">
        <v>2271.7578548295101</v>
      </c>
      <c r="D35" s="15">
        <v>2226.2297589613599</v>
      </c>
      <c r="E35" s="15">
        <v>2319.2872425380001</v>
      </c>
      <c r="F35" s="15">
        <v>2375.6652861069601</v>
      </c>
      <c r="G35" s="15">
        <v>2195.8598521263398</v>
      </c>
      <c r="H35" s="15">
        <v>1817.7062654676499</v>
      </c>
      <c r="I35" s="15">
        <v>1825.9925829359099</v>
      </c>
      <c r="J35" s="15">
        <v>1747.29468817303</v>
      </c>
      <c r="K35" s="15">
        <v>2248.9919297267302</v>
      </c>
    </row>
    <row r="36" spans="1:11">
      <c r="A36" s="75">
        <v>5000</v>
      </c>
      <c r="B36" s="75"/>
      <c r="C36" s="15">
        <v>3591.2671556765099</v>
      </c>
      <c r="D36" s="15">
        <v>3518.9789757026101</v>
      </c>
      <c r="E36" s="15">
        <v>3665.9760847740499</v>
      </c>
      <c r="F36" s="15">
        <v>3752.6894350606699</v>
      </c>
      <c r="G36" s="15">
        <v>3469.6689156867701</v>
      </c>
      <c r="H36" s="15">
        <v>2864.96112079057</v>
      </c>
      <c r="I36" s="15">
        <v>2868.09048702883</v>
      </c>
      <c r="J36" s="15">
        <v>2751.22804686567</v>
      </c>
      <c r="K36" s="15">
        <v>3555.7038699298901</v>
      </c>
    </row>
    <row r="37" spans="1:11">
      <c r="A37" s="75">
        <v>10000</v>
      </c>
      <c r="B37" s="75"/>
      <c r="C37" s="15">
        <v>5076.8455945427704</v>
      </c>
      <c r="D37" s="15">
        <v>4974.6085246046096</v>
      </c>
      <c r="E37" s="15">
        <v>5181.6529317855902</v>
      </c>
      <c r="F37" s="15">
        <v>5298.2643763291198</v>
      </c>
      <c r="G37" s="15">
        <v>4901.6658880279201</v>
      </c>
      <c r="H37" s="15">
        <v>4031.3945892115098</v>
      </c>
      <c r="I37" s="15">
        <v>4001.6458015848498</v>
      </c>
      <c r="J37" s="15">
        <v>3866.3275048058799</v>
      </c>
      <c r="K37" s="15">
        <v>5028.0007111449604</v>
      </c>
    </row>
    <row r="38" spans="1:11">
      <c r="A38" s="75">
        <v>20000</v>
      </c>
      <c r="B38" s="75"/>
      <c r="C38" s="15">
        <v>7174.5089359149597</v>
      </c>
      <c r="D38" s="15">
        <v>7028.75669506756</v>
      </c>
      <c r="E38" s="15">
        <v>7319.41013814906</v>
      </c>
      <c r="F38" s="15">
        <v>7469.6046966179802</v>
      </c>
      <c r="G38" s="15">
        <v>6917.3081318709801</v>
      </c>
      <c r="H38" s="15">
        <v>5640.8370923914999</v>
      </c>
      <c r="I38" s="15">
        <v>5508.5923689700403</v>
      </c>
      <c r="J38" s="15">
        <v>5394.9247996067397</v>
      </c>
      <c r="K38" s="15">
        <v>7109.0788032609298</v>
      </c>
    </row>
    <row r="39" spans="1:11">
      <c r="A39" s="75">
        <v>50000</v>
      </c>
      <c r="B39" s="75"/>
      <c r="C39" s="15">
        <v>11319.5799761979</v>
      </c>
      <c r="D39" s="15">
        <v>11084.2859246681</v>
      </c>
      <c r="E39" s="15">
        <v>11535.0503181514</v>
      </c>
      <c r="F39" s="15">
        <v>11693.670629881201</v>
      </c>
      <c r="G39" s="15">
        <v>10867.2255311438</v>
      </c>
      <c r="H39" s="15">
        <v>8621.7059356787904</v>
      </c>
      <c r="I39" s="15">
        <v>7964.3681977215401</v>
      </c>
      <c r="J39" s="15">
        <v>8174.6443542116504</v>
      </c>
      <c r="K39" s="15">
        <v>11232.737135781401</v>
      </c>
    </row>
    <row r="40" spans="1:11">
      <c r="A40" s="75">
        <v>100000</v>
      </c>
      <c r="B40" s="75"/>
      <c r="C40" s="15">
        <v>15949.5198648892</v>
      </c>
      <c r="D40" s="15">
        <v>15605.3863063382</v>
      </c>
      <c r="E40" s="15">
        <v>16220.5987901795</v>
      </c>
      <c r="F40" s="15">
        <v>16259.6637534291</v>
      </c>
      <c r="G40" s="15">
        <v>15204.247687478601</v>
      </c>
      <c r="H40" s="15">
        <v>11462.443971566199</v>
      </c>
      <c r="I40" s="15">
        <v>9229.5292494277091</v>
      </c>
      <c r="J40" s="15">
        <v>10662.8884041328</v>
      </c>
      <c r="K40" s="15">
        <v>15867.4735977608</v>
      </c>
    </row>
    <row r="41" spans="1:11">
      <c r="A41" s="75">
        <v>200000</v>
      </c>
      <c r="B41" s="75"/>
      <c r="C41" s="15">
        <v>22389.954728925801</v>
      </c>
      <c r="D41" s="15">
        <v>21870.839249673601</v>
      </c>
      <c r="E41" s="15">
        <v>22677.552562538898</v>
      </c>
      <c r="F41" s="15">
        <v>22188.3872745751</v>
      </c>
      <c r="G41" s="15">
        <v>21023.505393710398</v>
      </c>
      <c r="H41" s="15">
        <v>13926.7065737883</v>
      </c>
      <c r="I41" s="15">
        <v>1710.1987452311801</v>
      </c>
      <c r="J41" s="15">
        <v>12174.4840833403</v>
      </c>
      <c r="K41" s="15">
        <v>22388.953565614302</v>
      </c>
    </row>
    <row r="42" spans="1:11">
      <c r="A42" s="75">
        <v>500000</v>
      </c>
      <c r="B42" s="75"/>
      <c r="C42" s="15">
        <v>34603.731138093099</v>
      </c>
      <c r="D42" s="15">
        <v>33621.642855416998</v>
      </c>
      <c r="E42" s="15">
        <v>34587.647236012199</v>
      </c>
      <c r="F42" s="15">
        <v>30945.037047095801</v>
      </c>
      <c r="G42" s="15">
        <v>30875.467684220301</v>
      </c>
      <c r="H42" s="15" t="s">
        <v>493</v>
      </c>
      <c r="I42" s="15" t="s">
        <v>493</v>
      </c>
      <c r="J42" s="15" t="s">
        <v>493</v>
      </c>
      <c r="K42" s="15">
        <v>35157.350252452597</v>
      </c>
    </row>
    <row r="43" spans="1:11">
      <c r="A43" s="75">
        <v>800000</v>
      </c>
      <c r="B43" s="75"/>
      <c r="C43" s="15">
        <v>42735.203204749603</v>
      </c>
      <c r="D43" s="15">
        <v>41279.451796404101</v>
      </c>
      <c r="E43" s="15">
        <v>42084.338313981898</v>
      </c>
      <c r="F43" s="15">
        <v>33090.888439593902</v>
      </c>
      <c r="G43" s="15">
        <v>35806.1801374239</v>
      </c>
      <c r="H43" s="15" t="s">
        <v>493</v>
      </c>
      <c r="I43" s="15" t="s">
        <v>493</v>
      </c>
      <c r="J43" s="15" t="s">
        <v>493</v>
      </c>
      <c r="K43" s="15">
        <v>44161.119811096098</v>
      </c>
    </row>
    <row r="44" spans="1:11">
      <c r="A44" s="75">
        <v>1000000</v>
      </c>
      <c r="B44" s="75"/>
      <c r="C44" s="15">
        <v>46994.462653735703</v>
      </c>
      <c r="D44" s="15">
        <v>45196.967655059998</v>
      </c>
      <c r="E44" s="15">
        <v>45764.853481524398</v>
      </c>
      <c r="F44" s="15">
        <v>31693.384374745699</v>
      </c>
      <c r="G44" s="15">
        <v>37413.018579516</v>
      </c>
      <c r="H44" s="15" t="s">
        <v>493</v>
      </c>
      <c r="I44" s="15" t="s">
        <v>493</v>
      </c>
      <c r="J44" s="15" t="s">
        <v>493</v>
      </c>
      <c r="K44" s="15">
        <v>49141.364234510802</v>
      </c>
    </row>
    <row r="45" spans="1:11">
      <c r="A45" s="75">
        <v>1500000</v>
      </c>
      <c r="B45" s="75"/>
      <c r="C45" s="15">
        <v>55070.938023238101</v>
      </c>
      <c r="D45" s="15">
        <v>52316.852454497799</v>
      </c>
      <c r="E45" s="15">
        <v>51907.123004341302</v>
      </c>
      <c r="F45" s="15">
        <v>11858.5785757631</v>
      </c>
      <c r="G45" s="15">
        <v>36609.729499046698</v>
      </c>
      <c r="H45" s="15" t="s">
        <v>493</v>
      </c>
      <c r="I45" s="15" t="s">
        <v>493</v>
      </c>
      <c r="J45" s="15" t="s">
        <v>493</v>
      </c>
      <c r="K45" s="15">
        <v>59469.455273272899</v>
      </c>
    </row>
    <row r="46" spans="1:11">
      <c r="A46" s="75">
        <v>2000000</v>
      </c>
      <c r="B46" s="75"/>
      <c r="C46" s="15">
        <v>60589.0294679328</v>
      </c>
      <c r="D46" s="15">
        <v>56685.768627530102</v>
      </c>
      <c r="E46" s="15">
        <v>54736.534001797198</v>
      </c>
      <c r="F46" s="15" t="s">
        <v>493</v>
      </c>
      <c r="G46" s="15">
        <v>27831.4845487434</v>
      </c>
      <c r="H46" s="15" t="s">
        <v>493</v>
      </c>
      <c r="I46" s="15" t="s">
        <v>493</v>
      </c>
      <c r="J46" s="15" t="s">
        <v>493</v>
      </c>
      <c r="K46" s="15">
        <v>67831.2494199668</v>
      </c>
    </row>
    <row r="47" spans="1:11">
      <c r="A47" s="75">
        <v>5000000</v>
      </c>
      <c r="B47" s="75"/>
      <c r="C47" s="15">
        <v>59880.020991682897</v>
      </c>
      <c r="D47" s="15">
        <v>38635.246010665302</v>
      </c>
      <c r="E47" s="15" t="s">
        <v>493</v>
      </c>
      <c r="F47" s="15" t="s">
        <v>493</v>
      </c>
      <c r="G47" s="15" t="s">
        <v>493</v>
      </c>
      <c r="H47" s="15" t="s">
        <v>493</v>
      </c>
      <c r="I47" s="15" t="s">
        <v>493</v>
      </c>
      <c r="J47" s="15" t="s">
        <v>493</v>
      </c>
      <c r="K47" s="15">
        <v>98932.698317642396</v>
      </c>
    </row>
    <row r="48" spans="1:11">
      <c r="A48" s="75">
        <v>8000000</v>
      </c>
      <c r="B48" s="75"/>
      <c r="C48" s="15" t="s">
        <v>493</v>
      </c>
      <c r="D48" s="15" t="s">
        <v>493</v>
      </c>
      <c r="E48" s="15" t="s">
        <v>493</v>
      </c>
      <c r="F48" s="15" t="s">
        <v>493</v>
      </c>
      <c r="G48" s="15" t="s">
        <v>493</v>
      </c>
      <c r="H48" s="15" t="s">
        <v>493</v>
      </c>
      <c r="I48" s="15" t="s">
        <v>493</v>
      </c>
      <c r="J48" s="15" t="s">
        <v>493</v>
      </c>
      <c r="K48" s="15">
        <v>113649.718684383</v>
      </c>
    </row>
    <row r="49" spans="1:11">
      <c r="A49" s="75">
        <v>10000000</v>
      </c>
      <c r="B49" s="75"/>
      <c r="C49" s="15" t="s">
        <v>493</v>
      </c>
      <c r="D49" s="15" t="s">
        <v>493</v>
      </c>
      <c r="E49" s="15" t="s">
        <v>493</v>
      </c>
      <c r="F49" s="15" t="s">
        <v>493</v>
      </c>
      <c r="G49" s="15" t="s">
        <v>493</v>
      </c>
      <c r="H49" s="15" t="s">
        <v>493</v>
      </c>
      <c r="I49" s="15" t="s">
        <v>493</v>
      </c>
      <c r="J49" s="15" t="s">
        <v>493</v>
      </c>
      <c r="K49" s="15">
        <v>117725.894748561</v>
      </c>
    </row>
    <row r="50" spans="1:11">
      <c r="A50" s="75">
        <v>20000000</v>
      </c>
      <c r="B50" s="75"/>
      <c r="C50" s="15" t="s">
        <v>493</v>
      </c>
      <c r="D50" s="15" t="s">
        <v>493</v>
      </c>
      <c r="E50" s="15" t="s">
        <v>493</v>
      </c>
      <c r="F50" s="15" t="s">
        <v>493</v>
      </c>
      <c r="G50" s="15" t="s">
        <v>493</v>
      </c>
      <c r="H50" s="15" t="s">
        <v>493</v>
      </c>
      <c r="I50" s="15" t="s">
        <v>493</v>
      </c>
      <c r="J50" s="15" t="s">
        <v>493</v>
      </c>
      <c r="K50" s="15">
        <v>69655.413370495997</v>
      </c>
    </row>
    <row r="51" spans="1:11">
      <c r="A51" s="1" t="s">
        <v>504</v>
      </c>
    </row>
    <row r="53" spans="1:11">
      <c r="A53" s="170" t="s">
        <v>505</v>
      </c>
      <c r="B53" s="170"/>
      <c r="C53" s="170"/>
      <c r="D53" s="170"/>
      <c r="E53" s="170"/>
      <c r="F53" s="170"/>
      <c r="G53" s="170"/>
      <c r="H53" s="170"/>
      <c r="I53" s="170"/>
      <c r="J53" s="170"/>
      <c r="K53" s="170"/>
    </row>
    <row r="54" spans="1:11">
      <c r="A54" s="39" t="s">
        <v>506</v>
      </c>
      <c r="B54" s="39"/>
      <c r="C54" s="76" t="s">
        <v>495</v>
      </c>
      <c r="D54" s="76" t="s">
        <v>496</v>
      </c>
      <c r="E54" s="76" t="s">
        <v>497</v>
      </c>
      <c r="F54" s="76" t="s">
        <v>498</v>
      </c>
      <c r="G54" s="76" t="s">
        <v>499</v>
      </c>
      <c r="H54" s="76" t="s">
        <v>500</v>
      </c>
      <c r="I54" s="76" t="s">
        <v>501</v>
      </c>
      <c r="J54" s="76" t="s">
        <v>502</v>
      </c>
      <c r="K54" s="76" t="s">
        <v>503</v>
      </c>
    </row>
    <row r="55" spans="1:11">
      <c r="A55" s="75" t="s">
        <v>507</v>
      </c>
      <c r="B55" s="75"/>
      <c r="C55" s="11">
        <v>10309.808415121001</v>
      </c>
      <c r="D55" s="11">
        <v>9898.7017781390605</v>
      </c>
      <c r="E55" s="11">
        <v>10738.3050738354</v>
      </c>
      <c r="F55" s="11">
        <v>11223.404307577501</v>
      </c>
      <c r="G55" s="11">
        <v>9613.1638222045694</v>
      </c>
      <c r="H55" s="11">
        <v>6548.8119781197702</v>
      </c>
      <c r="I55" s="11">
        <v>6522.45768220024</v>
      </c>
      <c r="J55" s="11">
        <v>6043.0400850878004</v>
      </c>
      <c r="K55" s="11">
        <v>10112.3965077312</v>
      </c>
    </row>
    <row r="56" spans="1:11">
      <c r="A56" s="75" t="s">
        <v>508</v>
      </c>
      <c r="B56" s="75"/>
      <c r="C56" s="11">
        <v>2580.6540517469498</v>
      </c>
      <c r="D56" s="11">
        <v>2478.2924351032798</v>
      </c>
      <c r="E56" s="11">
        <v>2689.3999264683198</v>
      </c>
      <c r="F56" s="11">
        <v>2820.98694043766</v>
      </c>
      <c r="G56" s="11">
        <v>2410.55013095801</v>
      </c>
      <c r="H56" s="11">
        <v>1654.6465311235299</v>
      </c>
      <c r="I56" s="11">
        <v>1671.71083982509</v>
      </c>
      <c r="J56" s="11">
        <v>1529.09232113297</v>
      </c>
      <c r="K56" s="11">
        <v>2529.5157395951701</v>
      </c>
    </row>
    <row r="58" spans="1:11">
      <c r="A58" s="1" t="s">
        <v>119</v>
      </c>
    </row>
    <row r="59" spans="1:11">
      <c r="A59" s="1" t="s">
        <v>120</v>
      </c>
    </row>
    <row r="61" spans="1:11">
      <c r="A61" s="170" t="s">
        <v>509</v>
      </c>
      <c r="B61" s="170"/>
      <c r="C61" s="170"/>
      <c r="D61" s="170"/>
      <c r="E61" s="170"/>
      <c r="F61" s="170"/>
      <c r="G61" s="170"/>
      <c r="H61" s="170"/>
      <c r="I61" s="170"/>
      <c r="J61" s="170"/>
      <c r="K61" s="170"/>
    </row>
    <row r="62" spans="1:11">
      <c r="A62" s="39" t="s">
        <v>483</v>
      </c>
      <c r="B62" s="39"/>
      <c r="C62" s="76" t="s">
        <v>484</v>
      </c>
      <c r="D62" s="76" t="s">
        <v>485</v>
      </c>
      <c r="E62" s="76" t="s">
        <v>486</v>
      </c>
      <c r="F62" s="76" t="s">
        <v>487</v>
      </c>
      <c r="G62" s="76" t="s">
        <v>488</v>
      </c>
      <c r="H62" s="76" t="s">
        <v>489</v>
      </c>
      <c r="I62" s="76" t="s">
        <v>490</v>
      </c>
      <c r="J62" s="76" t="s">
        <v>491</v>
      </c>
      <c r="K62" s="76" t="s">
        <v>492</v>
      </c>
    </row>
    <row r="63" spans="1:11">
      <c r="A63" s="75">
        <v>1000</v>
      </c>
      <c r="B63" s="75"/>
      <c r="C63" s="27">
        <v>1.45432468985824</v>
      </c>
      <c r="D63" s="27">
        <v>1.41380228289184</v>
      </c>
      <c r="E63" s="27">
        <v>1.53539641234123</v>
      </c>
      <c r="F63" s="27">
        <v>1.4773493013216401</v>
      </c>
      <c r="G63" s="27">
        <v>1.4877048438654299</v>
      </c>
      <c r="H63" s="27">
        <v>1.24720814700146</v>
      </c>
      <c r="I63" s="27">
        <v>1.3603825434327499</v>
      </c>
      <c r="J63" s="27">
        <v>1.16114212398464</v>
      </c>
      <c r="K63" s="27">
        <v>1.4582030394405101</v>
      </c>
    </row>
    <row r="64" spans="1:11">
      <c r="A64" s="75">
        <v>2000</v>
      </c>
      <c r="B64" s="75"/>
      <c r="C64" s="27">
        <v>1.0279877406762701</v>
      </c>
      <c r="D64" s="27">
        <v>0.99928295713369497</v>
      </c>
      <c r="E64" s="27">
        <v>1.08536076565214</v>
      </c>
      <c r="F64" s="27">
        <v>1.0427460804959701</v>
      </c>
      <c r="G64" s="27">
        <v>1.05140885038484</v>
      </c>
      <c r="H64" s="27">
        <v>0.87611359530467703</v>
      </c>
      <c r="I64" s="27">
        <v>0.95273038318970105</v>
      </c>
      <c r="J64" s="27">
        <v>0.815771341262162</v>
      </c>
      <c r="K64" s="27">
        <v>1.03098728885307</v>
      </c>
    </row>
    <row r="65" spans="1:11">
      <c r="A65" s="75">
        <v>5000</v>
      </c>
      <c r="B65" s="75"/>
      <c r="C65" s="27">
        <v>0.64956305406600501</v>
      </c>
      <c r="D65" s="27">
        <v>0.63119263969329997</v>
      </c>
      <c r="E65" s="27">
        <v>0.68540282816062803</v>
      </c>
      <c r="F65" s="27">
        <v>0.65648051356286696</v>
      </c>
      <c r="G65" s="27">
        <v>0.66285047704325395</v>
      </c>
      <c r="H65" s="27">
        <v>0.54545415352261195</v>
      </c>
      <c r="I65" s="27">
        <v>0.58474600827925804</v>
      </c>
      <c r="J65" s="27">
        <v>0.50692636744800401</v>
      </c>
      <c r="K65" s="27">
        <v>0.65186705206802897</v>
      </c>
    </row>
    <row r="66" spans="1:11">
      <c r="A66" s="75">
        <v>10000</v>
      </c>
      <c r="B66" s="75"/>
      <c r="C66" s="27">
        <v>0.45855409658801399</v>
      </c>
      <c r="D66" s="27">
        <v>0.445460724394736</v>
      </c>
      <c r="E66" s="27">
        <v>0.48347449838477202</v>
      </c>
      <c r="F66" s="27">
        <v>0.46034590336247899</v>
      </c>
      <c r="G66" s="27">
        <v>0.46670089838977702</v>
      </c>
      <c r="H66" s="27">
        <v>0.37407166102398798</v>
      </c>
      <c r="I66" s="27">
        <v>0.38932798896974202</v>
      </c>
      <c r="J66" s="27">
        <v>0.347016875440745</v>
      </c>
      <c r="K66" s="27">
        <v>0.460702062814075</v>
      </c>
    </row>
    <row r="67" spans="1:11">
      <c r="A67" s="75">
        <v>20000</v>
      </c>
      <c r="B67" s="75"/>
      <c r="C67" s="27">
        <v>0.32317442448714601</v>
      </c>
      <c r="D67" s="27">
        <v>0.31370082930891702</v>
      </c>
      <c r="E67" s="27">
        <v>0.34009051657975198</v>
      </c>
      <c r="F67" s="27">
        <v>0.320300247117345</v>
      </c>
      <c r="G67" s="27">
        <v>0.32679467447616101</v>
      </c>
      <c r="H67" s="27">
        <v>0.248623338635063</v>
      </c>
      <c r="I67" s="27">
        <v>0.24117004853862001</v>
      </c>
      <c r="J67" s="27">
        <v>0.227718705702009</v>
      </c>
      <c r="K67" s="27">
        <v>0.32542934599613499</v>
      </c>
    </row>
    <row r="68" spans="1:11">
      <c r="A68" s="75">
        <v>50000</v>
      </c>
      <c r="B68" s="75"/>
      <c r="C68" s="27">
        <v>0.20230716990242101</v>
      </c>
      <c r="D68" s="27">
        <v>0.19589523201157399</v>
      </c>
      <c r="E68" s="27">
        <v>0.21188560683229701</v>
      </c>
      <c r="F68" s="27">
        <v>0.191932652806136</v>
      </c>
      <c r="G68" s="27">
        <v>0.20069768343427</v>
      </c>
      <c r="H68" s="27">
        <v>0.121128983723299</v>
      </c>
      <c r="I68" s="27">
        <v>3.7550125630139798E-2</v>
      </c>
      <c r="J68" s="27">
        <v>0.10517876482925401</v>
      </c>
      <c r="K68" s="27">
        <v>0.20518036058114</v>
      </c>
    </row>
    <row r="69" spans="1:11">
      <c r="A69" s="75">
        <v>100000</v>
      </c>
      <c r="B69" s="75"/>
      <c r="C69" s="27">
        <v>0.14057795283374599</v>
      </c>
      <c r="D69" s="27">
        <v>0.135534248775106</v>
      </c>
      <c r="E69" s="27">
        <v>0.14587084752788601</v>
      </c>
      <c r="F69" s="27">
        <v>0.122201930503103</v>
      </c>
      <c r="G69" s="27">
        <v>0.13462339135536999</v>
      </c>
      <c r="H69" s="27" t="s">
        <v>493</v>
      </c>
      <c r="I69" s="27" t="s">
        <v>493</v>
      </c>
      <c r="J69" s="27" t="s">
        <v>493</v>
      </c>
      <c r="K69" s="27">
        <v>0.14431951169440799</v>
      </c>
    </row>
    <row r="70" spans="1:11">
      <c r="A70" s="75">
        <v>200000</v>
      </c>
      <c r="B70" s="75"/>
      <c r="C70" s="27">
        <v>9.58279840200498E-2</v>
      </c>
      <c r="D70" s="27">
        <v>9.1470366371394995E-2</v>
      </c>
      <c r="E70" s="27">
        <v>9.7349020772649703E-2</v>
      </c>
      <c r="F70" s="27">
        <v>6.3251099395718699E-2</v>
      </c>
      <c r="G70" s="27">
        <v>8.3797139395306697E-2</v>
      </c>
      <c r="H70" s="27" t="s">
        <v>493</v>
      </c>
      <c r="I70" s="27" t="s">
        <v>493</v>
      </c>
      <c r="J70" s="27" t="s">
        <v>493</v>
      </c>
      <c r="K70" s="27">
        <v>0.100970909785229</v>
      </c>
    </row>
    <row r="71" spans="1:11">
      <c r="A71" s="75">
        <v>500000</v>
      </c>
      <c r="B71" s="75"/>
      <c r="C71" s="27">
        <v>5.3220504631788797E-2</v>
      </c>
      <c r="D71" s="27">
        <v>4.86158522057622E-2</v>
      </c>
      <c r="E71" s="27">
        <v>4.8977553809049799E-2</v>
      </c>
      <c r="F71" s="27" t="s">
        <v>493</v>
      </c>
      <c r="G71" s="27">
        <v>1.9246835008049901E-2</v>
      </c>
      <c r="H71" s="27" t="s">
        <v>493</v>
      </c>
      <c r="I71" s="27" t="s">
        <v>493</v>
      </c>
      <c r="J71" s="27" t="s">
        <v>493</v>
      </c>
      <c r="K71" s="27">
        <v>6.1760452344408898E-2</v>
      </c>
    </row>
    <row r="72" spans="1:11">
      <c r="A72" s="75">
        <v>800000</v>
      </c>
      <c r="B72" s="75"/>
      <c r="C72" s="27">
        <v>3.5281397523921301E-2</v>
      </c>
      <c r="D72" s="27">
        <v>2.9389358618511802E-2</v>
      </c>
      <c r="E72" s="27">
        <v>2.5050155893815301E-2</v>
      </c>
      <c r="F72" s="27" t="s">
        <v>493</v>
      </c>
      <c r="G72" s="27" t="s">
        <v>493</v>
      </c>
      <c r="H72" s="27" t="s">
        <v>493</v>
      </c>
      <c r="I72" s="27" t="s">
        <v>493</v>
      </c>
      <c r="J72" s="27" t="s">
        <v>493</v>
      </c>
      <c r="K72" s="27">
        <v>4.7107968397281999E-2</v>
      </c>
    </row>
    <row r="73" spans="1:11">
      <c r="A73" s="75">
        <v>1000000</v>
      </c>
      <c r="B73" s="75"/>
      <c r="C73" s="27">
        <v>2.6754795760052699E-2</v>
      </c>
      <c r="D73" s="27">
        <v>1.9073860947533099E-2</v>
      </c>
      <c r="E73" s="27">
        <v>6.0893476415629297E-3</v>
      </c>
      <c r="F73" s="27" t="s">
        <v>493</v>
      </c>
      <c r="G73" s="27" t="s">
        <v>493</v>
      </c>
      <c r="H73" s="27" t="s">
        <v>493</v>
      </c>
      <c r="I73" s="27" t="s">
        <v>493</v>
      </c>
      <c r="J73" s="27" t="s">
        <v>493</v>
      </c>
      <c r="K73" s="27">
        <v>4.1079323812299097E-2</v>
      </c>
    </row>
    <row r="74" spans="1:11">
      <c r="A74" s="75">
        <v>1500000</v>
      </c>
      <c r="B74" s="75"/>
      <c r="C74" s="27">
        <v>3.2861824333418198E-3</v>
      </c>
      <c r="D74" s="27" t="s">
        <v>493</v>
      </c>
      <c r="E74" s="27" t="s">
        <v>493</v>
      </c>
      <c r="F74" s="27" t="s">
        <v>493</v>
      </c>
      <c r="G74" s="27" t="s">
        <v>493</v>
      </c>
      <c r="H74" s="27" t="s">
        <v>493</v>
      </c>
      <c r="I74" s="27" t="s">
        <v>493</v>
      </c>
      <c r="J74" s="27" t="s">
        <v>493</v>
      </c>
      <c r="K74" s="27">
        <v>3.1279404198502003E-2</v>
      </c>
    </row>
    <row r="75" spans="1:11">
      <c r="A75" s="75">
        <v>2000000</v>
      </c>
      <c r="B75" s="75"/>
      <c r="C75" s="27" t="s">
        <v>493</v>
      </c>
      <c r="D75" s="27" t="s">
        <v>493</v>
      </c>
      <c r="E75" s="27" t="s">
        <v>493</v>
      </c>
      <c r="F75" s="27" t="s">
        <v>493</v>
      </c>
      <c r="G75" s="27" t="s">
        <v>493</v>
      </c>
      <c r="H75" s="27" t="s">
        <v>493</v>
      </c>
      <c r="I75" s="27" t="s">
        <v>493</v>
      </c>
      <c r="J75" s="27" t="s">
        <v>493</v>
      </c>
      <c r="K75" s="27">
        <v>2.4979349456128602E-2</v>
      </c>
    </row>
    <row r="77" spans="1:11">
      <c r="A77" s="170" t="s">
        <v>510</v>
      </c>
      <c r="B77" s="170"/>
      <c r="C77" s="170"/>
      <c r="D77" s="170"/>
      <c r="E77" s="170"/>
      <c r="F77" s="170"/>
      <c r="G77" s="170"/>
      <c r="H77" s="170"/>
      <c r="I77" s="170"/>
      <c r="J77" s="170"/>
      <c r="K77" s="170"/>
    </row>
    <row r="78" spans="1:11">
      <c r="A78" s="39" t="s">
        <v>483</v>
      </c>
      <c r="B78" s="39"/>
      <c r="C78" s="7" t="s">
        <v>495</v>
      </c>
      <c r="D78" s="7" t="s">
        <v>496</v>
      </c>
      <c r="E78" s="7" t="s">
        <v>497</v>
      </c>
      <c r="F78" s="7" t="s">
        <v>498</v>
      </c>
      <c r="G78" s="7" t="s">
        <v>499</v>
      </c>
      <c r="H78" s="7" t="s">
        <v>500</v>
      </c>
      <c r="I78" s="7" t="s">
        <v>501</v>
      </c>
      <c r="J78" s="7" t="s">
        <v>502</v>
      </c>
      <c r="K78" s="7" t="s">
        <v>503</v>
      </c>
    </row>
    <row r="79" spans="1:11">
      <c r="A79" s="75">
        <v>1000</v>
      </c>
      <c r="B79" s="75"/>
      <c r="C79" s="15">
        <v>1454.3246898582399</v>
      </c>
      <c r="D79" s="15">
        <v>1413.8022828918399</v>
      </c>
      <c r="E79" s="15">
        <v>1535.39641234123</v>
      </c>
      <c r="F79" s="15">
        <v>1477.34930132164</v>
      </c>
      <c r="G79" s="15">
        <v>1487.7048438654299</v>
      </c>
      <c r="H79" s="15">
        <v>1247.20814700146</v>
      </c>
      <c r="I79" s="15">
        <v>1360.38254343275</v>
      </c>
      <c r="J79" s="15">
        <v>1161.14212398464</v>
      </c>
      <c r="K79" s="15">
        <v>1458.2030394405101</v>
      </c>
    </row>
    <row r="80" spans="1:11">
      <c r="A80" s="75">
        <v>2000</v>
      </c>
      <c r="B80" s="75"/>
      <c r="C80" s="15">
        <v>2055.9754813525301</v>
      </c>
      <c r="D80" s="15">
        <v>1998.5659142673901</v>
      </c>
      <c r="E80" s="15">
        <v>2170.7215313042798</v>
      </c>
      <c r="F80" s="15">
        <v>2085.4921609919402</v>
      </c>
      <c r="G80" s="15">
        <v>2102.81770076967</v>
      </c>
      <c r="H80" s="15">
        <v>1752.2271906093499</v>
      </c>
      <c r="I80" s="15">
        <v>1905.4607663794</v>
      </c>
      <c r="J80" s="15">
        <v>1631.5426825243201</v>
      </c>
      <c r="K80" s="15">
        <v>2061.9745777061498</v>
      </c>
    </row>
    <row r="81" spans="1:11">
      <c r="A81" s="75">
        <v>5000</v>
      </c>
      <c r="B81" s="75"/>
      <c r="C81" s="15">
        <v>3247.8152703300302</v>
      </c>
      <c r="D81" s="15">
        <v>3155.9631984665002</v>
      </c>
      <c r="E81" s="15">
        <v>3427.01414080314</v>
      </c>
      <c r="F81" s="15">
        <v>3282.4025678143298</v>
      </c>
      <c r="G81" s="15">
        <v>3314.2523852162699</v>
      </c>
      <c r="H81" s="15">
        <v>2727.2707676130599</v>
      </c>
      <c r="I81" s="15">
        <v>2923.7300413962898</v>
      </c>
      <c r="J81" s="15">
        <v>2534.6318372400201</v>
      </c>
      <c r="K81" s="15">
        <v>3259.3352603401399</v>
      </c>
    </row>
    <row r="82" spans="1:11">
      <c r="A82" s="75">
        <v>10000</v>
      </c>
      <c r="B82" s="75"/>
      <c r="C82" s="15">
        <v>4585.54096588014</v>
      </c>
      <c r="D82" s="15">
        <v>4454.6072439473601</v>
      </c>
      <c r="E82" s="15">
        <v>4834.7449838477196</v>
      </c>
      <c r="F82" s="15">
        <v>4603.4590336247902</v>
      </c>
      <c r="G82" s="15">
        <v>4667.0089838977701</v>
      </c>
      <c r="H82" s="15">
        <v>3740.7166102398801</v>
      </c>
      <c r="I82" s="15">
        <v>3893.27988969742</v>
      </c>
      <c r="J82" s="15">
        <v>3470.1687544074498</v>
      </c>
      <c r="K82" s="15">
        <v>4607.02062814075</v>
      </c>
    </row>
    <row r="83" spans="1:11">
      <c r="A83" s="75">
        <v>20000</v>
      </c>
      <c r="B83" s="75"/>
      <c r="C83" s="15">
        <v>6463.4884897429101</v>
      </c>
      <c r="D83" s="15">
        <v>6274.0165861783398</v>
      </c>
      <c r="E83" s="15">
        <v>6801.8103315950302</v>
      </c>
      <c r="F83" s="15">
        <v>6406.0049423469</v>
      </c>
      <c r="G83" s="15">
        <v>6535.8934895232096</v>
      </c>
      <c r="H83" s="15">
        <v>4972.4667727012502</v>
      </c>
      <c r="I83" s="15">
        <v>4823.4009707723999</v>
      </c>
      <c r="J83" s="15">
        <v>4554.3741140401798</v>
      </c>
      <c r="K83" s="15">
        <v>6508.5869199227</v>
      </c>
    </row>
    <row r="84" spans="1:11">
      <c r="A84" s="75">
        <v>50000</v>
      </c>
      <c r="B84" s="75"/>
      <c r="C84" s="15">
        <v>10115.3584951211</v>
      </c>
      <c r="D84" s="15">
        <v>9794.7616005786895</v>
      </c>
      <c r="E84" s="15">
        <v>10594.2803416148</v>
      </c>
      <c r="F84" s="15">
        <v>9596.6326403068197</v>
      </c>
      <c r="G84" s="15">
        <v>10034.8841717135</v>
      </c>
      <c r="H84" s="15">
        <v>6056.4491861649503</v>
      </c>
      <c r="I84" s="15">
        <v>1877.50628150699</v>
      </c>
      <c r="J84" s="15">
        <v>5258.9382414627198</v>
      </c>
      <c r="K84" s="15">
        <v>10259.018029057001</v>
      </c>
    </row>
    <row r="85" spans="1:11">
      <c r="A85" s="75">
        <v>100000</v>
      </c>
      <c r="B85" s="75"/>
      <c r="C85" s="15">
        <v>14057.7952833746</v>
      </c>
      <c r="D85" s="15">
        <v>13553.424877510601</v>
      </c>
      <c r="E85" s="15">
        <v>14587.0847527886</v>
      </c>
      <c r="F85" s="15">
        <v>12220.193050310299</v>
      </c>
      <c r="G85" s="15">
        <v>13462.339135537</v>
      </c>
      <c r="H85" s="15" t="s">
        <v>493</v>
      </c>
      <c r="I85" s="15" t="s">
        <v>493</v>
      </c>
      <c r="J85" s="15" t="s">
        <v>493</v>
      </c>
      <c r="K85" s="15">
        <v>14431.951169440799</v>
      </c>
    </row>
    <row r="86" spans="1:11">
      <c r="A86" s="75">
        <v>200000</v>
      </c>
      <c r="B86" s="75"/>
      <c r="C86" s="15">
        <v>19165.596804010002</v>
      </c>
      <c r="D86" s="15">
        <v>18294.073274278999</v>
      </c>
      <c r="E86" s="15">
        <v>19469.804154529898</v>
      </c>
      <c r="F86" s="15">
        <v>12650.2198791437</v>
      </c>
      <c r="G86" s="15">
        <v>16759.427879061299</v>
      </c>
      <c r="H86" s="15" t="s">
        <v>493</v>
      </c>
      <c r="I86" s="15" t="s">
        <v>493</v>
      </c>
      <c r="J86" s="15" t="s">
        <v>493</v>
      </c>
      <c r="K86" s="15">
        <v>20194.181957045901</v>
      </c>
    </row>
    <row r="87" spans="1:11">
      <c r="A87" s="75">
        <v>500000</v>
      </c>
      <c r="B87" s="75"/>
      <c r="C87" s="15">
        <v>26610.252315894399</v>
      </c>
      <c r="D87" s="15">
        <v>24307.926102881102</v>
      </c>
      <c r="E87" s="15">
        <v>24488.776904524901</v>
      </c>
      <c r="F87" s="15" t="s">
        <v>493</v>
      </c>
      <c r="G87" s="15">
        <v>9623.4175040249593</v>
      </c>
      <c r="H87" s="15" t="s">
        <v>493</v>
      </c>
      <c r="I87" s="15" t="s">
        <v>493</v>
      </c>
      <c r="J87" s="15" t="s">
        <v>493</v>
      </c>
      <c r="K87" s="15">
        <v>30880.226172204399</v>
      </c>
    </row>
    <row r="88" spans="1:11">
      <c r="A88" s="75">
        <v>800000</v>
      </c>
      <c r="B88" s="75"/>
      <c r="C88" s="15">
        <v>28225.118019137099</v>
      </c>
      <c r="D88" s="15">
        <v>23511.486894809401</v>
      </c>
      <c r="E88" s="15">
        <v>20040.124715052199</v>
      </c>
      <c r="F88" s="15" t="s">
        <v>493</v>
      </c>
      <c r="G88" s="15" t="s">
        <v>493</v>
      </c>
      <c r="H88" s="15" t="s">
        <v>493</v>
      </c>
      <c r="I88" s="15" t="s">
        <v>493</v>
      </c>
      <c r="J88" s="15" t="s">
        <v>493</v>
      </c>
      <c r="K88" s="15">
        <v>37686.374717825602</v>
      </c>
    </row>
    <row r="89" spans="1:11">
      <c r="A89" s="75">
        <v>1000000</v>
      </c>
      <c r="B89" s="75"/>
      <c r="C89" s="15">
        <v>26754.795760052701</v>
      </c>
      <c r="D89" s="15">
        <v>19073.8609475331</v>
      </c>
      <c r="E89" s="15">
        <v>6089.3476415629302</v>
      </c>
      <c r="F89" s="15" t="s">
        <v>493</v>
      </c>
      <c r="G89" s="15" t="s">
        <v>493</v>
      </c>
      <c r="H89" s="15" t="s">
        <v>493</v>
      </c>
      <c r="I89" s="15" t="s">
        <v>493</v>
      </c>
      <c r="J89" s="15" t="s">
        <v>493</v>
      </c>
      <c r="K89" s="15">
        <v>41079.323812299102</v>
      </c>
    </row>
    <row r="90" spans="1:11">
      <c r="A90" s="75">
        <v>1500000</v>
      </c>
      <c r="B90" s="75"/>
      <c r="C90" s="15">
        <v>4929.2736500127303</v>
      </c>
      <c r="D90" s="15" t="s">
        <v>493</v>
      </c>
      <c r="E90" s="15" t="s">
        <v>493</v>
      </c>
      <c r="F90" s="15" t="s">
        <v>493</v>
      </c>
      <c r="G90" s="15" t="s">
        <v>493</v>
      </c>
      <c r="H90" s="15" t="s">
        <v>493</v>
      </c>
      <c r="I90" s="15" t="s">
        <v>493</v>
      </c>
      <c r="J90" s="15" t="s">
        <v>493</v>
      </c>
      <c r="K90" s="15">
        <v>46919.106297753002</v>
      </c>
    </row>
    <row r="91" spans="1:11">
      <c r="A91" s="75">
        <v>2000000</v>
      </c>
      <c r="B91" s="75"/>
      <c r="C91" s="15" t="s">
        <v>493</v>
      </c>
      <c r="D91" s="15" t="s">
        <v>493</v>
      </c>
      <c r="E91" s="15" t="s">
        <v>493</v>
      </c>
      <c r="F91" s="15" t="s">
        <v>493</v>
      </c>
      <c r="G91" s="15" t="s">
        <v>493</v>
      </c>
      <c r="H91" s="15" t="s">
        <v>493</v>
      </c>
      <c r="I91" s="15" t="s">
        <v>493</v>
      </c>
      <c r="J91" s="15" t="s">
        <v>493</v>
      </c>
      <c r="K91" s="15">
        <v>49958.698912257103</v>
      </c>
    </row>
    <row r="92" spans="1:11">
      <c r="A92" s="1" t="s">
        <v>504</v>
      </c>
    </row>
    <row r="94" spans="1:11">
      <c r="A94" s="170" t="s">
        <v>511</v>
      </c>
      <c r="B94" s="170"/>
      <c r="C94" s="170"/>
      <c r="D94" s="170"/>
      <c r="E94" s="170"/>
      <c r="F94" s="170"/>
      <c r="G94" s="170"/>
      <c r="H94" s="170"/>
      <c r="I94" s="170"/>
      <c r="J94" s="170"/>
      <c r="K94" s="170"/>
    </row>
    <row r="95" spans="1:11">
      <c r="A95" s="39" t="s">
        <v>506</v>
      </c>
      <c r="B95" s="39"/>
      <c r="C95" s="76" t="s">
        <v>495</v>
      </c>
      <c r="D95" s="76" t="s">
        <v>496</v>
      </c>
      <c r="E95" s="76" t="s">
        <v>497</v>
      </c>
      <c r="F95" s="76" t="s">
        <v>498</v>
      </c>
      <c r="G95" s="76" t="s">
        <v>499</v>
      </c>
      <c r="H95" s="76" t="s">
        <v>500</v>
      </c>
      <c r="I95" s="76" t="s">
        <v>501</v>
      </c>
      <c r="J95" s="76" t="s">
        <v>502</v>
      </c>
      <c r="K95" s="76" t="s">
        <v>503</v>
      </c>
    </row>
    <row r="96" spans="1:11">
      <c r="A96" s="75" t="s">
        <v>507</v>
      </c>
      <c r="B96" s="75"/>
      <c r="C96" s="15">
        <v>8420.2737896628205</v>
      </c>
      <c r="D96" s="15">
        <v>7951.2783070424002</v>
      </c>
      <c r="E96" s="15">
        <v>9355.8061762096895</v>
      </c>
      <c r="F96" s="15">
        <v>8524.4287358711299</v>
      </c>
      <c r="G96" s="15">
        <v>8731.3297780172306</v>
      </c>
      <c r="H96" s="15">
        <v>5875.7534106534704</v>
      </c>
      <c r="I96" s="15">
        <v>6574.68554095119</v>
      </c>
      <c r="J96" s="15">
        <v>5132.38458627203</v>
      </c>
      <c r="K96" s="15">
        <v>8492.8340213872998</v>
      </c>
    </row>
    <row r="97" spans="1:11">
      <c r="A97" s="75" t="s">
        <v>508</v>
      </c>
      <c r="B97" s="75"/>
      <c r="C97" s="15">
        <v>2113.9312693957099</v>
      </c>
      <c r="D97" s="15">
        <v>1997.23786411333</v>
      </c>
      <c r="E97" s="15">
        <v>2355.37972417843</v>
      </c>
      <c r="F97" s="15">
        <v>2175.2928946408801</v>
      </c>
      <c r="G97" s="15">
        <v>2208.8420363252499</v>
      </c>
      <c r="H97" s="15">
        <v>1543.12628415171</v>
      </c>
      <c r="I97" s="15">
        <v>1815.92668243099</v>
      </c>
      <c r="J97" s="15">
        <v>1343.8533452358599</v>
      </c>
      <c r="K97" s="15">
        <v>2126.5449097740002</v>
      </c>
    </row>
    <row r="99" spans="1:11">
      <c r="A99" s="1" t="s">
        <v>119</v>
      </c>
    </row>
    <row r="100" spans="1:11">
      <c r="A100" s="1" t="s">
        <v>120</v>
      </c>
    </row>
    <row r="102" spans="1:11" hidden="1">
      <c r="C102" s="1" t="s">
        <v>512</v>
      </c>
      <c r="D102" s="1" t="s">
        <v>513</v>
      </c>
    </row>
    <row r="103" spans="1:11" hidden="1">
      <c r="A103" s="12" t="s">
        <v>514</v>
      </c>
      <c r="B103" s="12"/>
      <c r="C103" s="11">
        <v>10112.3965077312</v>
      </c>
      <c r="D103" s="11">
        <v>8493</v>
      </c>
    </row>
    <row r="104" spans="1:11" hidden="1">
      <c r="A104" s="13" t="s">
        <v>515</v>
      </c>
      <c r="B104" s="13"/>
      <c r="C104" s="11">
        <v>2529.5157395951701</v>
      </c>
      <c r="D104" s="11">
        <v>2127</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E101"/>
  <sheetViews>
    <sheetView showGridLines="0" zoomScaleNormal="100" zoomScaleSheetLayoutView="100" workbookViewId="0"/>
  </sheetViews>
  <sheetFormatPr defaultColWidth="8.85546875" defaultRowHeight="15"/>
  <cols>
    <col min="1" max="1" width="136.5703125" style="1" customWidth="1"/>
    <col min="2" max="16384" width="8.85546875" style="1"/>
  </cols>
  <sheetData>
    <row r="1" spans="1:2">
      <c r="A1" s="34"/>
    </row>
    <row r="2" spans="1:2">
      <c r="A2" s="34"/>
    </row>
    <row r="3" spans="1:2">
      <c r="A3" s="34"/>
    </row>
    <row r="4" spans="1:2">
      <c r="A4" s="34"/>
    </row>
    <row r="5" spans="1:2">
      <c r="A5" s="34"/>
    </row>
    <row r="6" spans="1:2">
      <c r="A6" s="34"/>
    </row>
    <row r="7" spans="1:2">
      <c r="A7" s="34"/>
    </row>
    <row r="8" spans="1:2">
      <c r="A8" s="35" t="str">
        <f>Index!A8</f>
        <v>AusPlay survey results July 2023 - June 2024</v>
      </c>
    </row>
    <row r="9" spans="1:2">
      <c r="A9" s="34" t="s">
        <v>516</v>
      </c>
    </row>
    <row r="10" spans="1:2">
      <c r="A10" s="34" t="s">
        <v>517</v>
      </c>
      <c r="B10" s="14"/>
    </row>
    <row r="11" spans="1:2" ht="15.75" thickBot="1">
      <c r="A11" s="34" t="s">
        <v>518</v>
      </c>
      <c r="B11" s="2"/>
    </row>
    <row r="12" spans="1:2" ht="42.75" customHeight="1">
      <c r="A12" s="20" t="s">
        <v>519</v>
      </c>
    </row>
    <row r="13" spans="1:2">
      <c r="A13" s="21"/>
    </row>
    <row r="14" spans="1:2">
      <c r="A14" s="22" t="s">
        <v>512</v>
      </c>
    </row>
    <row r="15" spans="1:2" ht="30">
      <c r="A15" s="23" t="s">
        <v>520</v>
      </c>
    </row>
    <row r="16" spans="1:2">
      <c r="A16" s="21"/>
    </row>
    <row r="17" spans="1:1">
      <c r="A17" s="22" t="s">
        <v>521</v>
      </c>
    </row>
    <row r="18" spans="1:1" ht="45">
      <c r="A18" s="23" t="s">
        <v>522</v>
      </c>
    </row>
    <row r="19" spans="1:1">
      <c r="A19" s="21"/>
    </row>
    <row r="20" spans="1:1">
      <c r="A20" s="22" t="s">
        <v>523</v>
      </c>
    </row>
    <row r="21" spans="1:1" ht="60">
      <c r="A21" s="23" t="s">
        <v>524</v>
      </c>
    </row>
    <row r="22" spans="1:1">
      <c r="A22" s="23"/>
    </row>
    <row r="23" spans="1:1">
      <c r="A23" s="22" t="s">
        <v>224</v>
      </c>
    </row>
    <row r="24" spans="1:1" ht="30">
      <c r="A24" s="23" t="s">
        <v>525</v>
      </c>
    </row>
    <row r="25" spans="1:1">
      <c r="A25" s="21"/>
    </row>
    <row r="26" spans="1:1">
      <c r="A26" s="22" t="s">
        <v>526</v>
      </c>
    </row>
    <row r="27" spans="1:1" ht="75">
      <c r="A27" s="23" t="s">
        <v>527</v>
      </c>
    </row>
    <row r="28" spans="1:1">
      <c r="A28" s="23"/>
    </row>
    <row r="29" spans="1:1" s="9" customFormat="1">
      <c r="A29" s="142" t="s">
        <v>146</v>
      </c>
    </row>
    <row r="30" spans="1:1" s="9" customFormat="1" ht="60">
      <c r="A30" s="143" t="s">
        <v>528</v>
      </c>
    </row>
    <row r="31" spans="1:1">
      <c r="A31" s="21"/>
    </row>
    <row r="32" spans="1:1">
      <c r="A32" s="22" t="s">
        <v>529</v>
      </c>
    </row>
    <row r="33" spans="1:5" ht="60">
      <c r="A33" s="23" t="s">
        <v>530</v>
      </c>
    </row>
    <row r="34" spans="1:5" s="9" customFormat="1">
      <c r="A34" s="143"/>
    </row>
    <row r="35" spans="1:5" s="9" customFormat="1">
      <c r="A35" s="142" t="s">
        <v>531</v>
      </c>
    </row>
    <row r="36" spans="1:5" s="9" customFormat="1">
      <c r="A36" s="143" t="s">
        <v>532</v>
      </c>
    </row>
    <row r="37" spans="1:5">
      <c r="A37" s="21"/>
    </row>
    <row r="38" spans="1:5">
      <c r="A38" s="22" t="s">
        <v>533</v>
      </c>
    </row>
    <row r="39" spans="1:5" ht="45">
      <c r="A39" s="144" t="s">
        <v>534</v>
      </c>
    </row>
    <row r="40" spans="1:5">
      <c r="A40" s="144"/>
    </row>
    <row r="41" spans="1:5">
      <c r="A41" s="22" t="s">
        <v>535</v>
      </c>
    </row>
    <row r="42" spans="1:5" ht="32.25" customHeight="1">
      <c r="A42" s="23" t="s">
        <v>536</v>
      </c>
    </row>
    <row r="43" spans="1:5" ht="53.25" customHeight="1">
      <c r="A43" s="23" t="s">
        <v>537</v>
      </c>
    </row>
    <row r="44" spans="1:5">
      <c r="A44" s="21"/>
    </row>
    <row r="45" spans="1:5">
      <c r="A45" s="22" t="s">
        <v>538</v>
      </c>
    </row>
    <row r="46" spans="1:5" ht="30">
      <c r="A46" s="23" t="s">
        <v>539</v>
      </c>
      <c r="E46" s="150"/>
    </row>
    <row r="47" spans="1:5">
      <c r="A47" s="21"/>
    </row>
    <row r="48" spans="1:5">
      <c r="A48" s="22" t="s">
        <v>540</v>
      </c>
    </row>
    <row r="49" spans="1:1" ht="30">
      <c r="A49" s="23" t="s">
        <v>541</v>
      </c>
    </row>
    <row r="50" spans="1:1">
      <c r="A50" s="21"/>
    </row>
    <row r="51" spans="1:1">
      <c r="A51" s="22" t="s">
        <v>542</v>
      </c>
    </row>
    <row r="52" spans="1:1" ht="30">
      <c r="A52" s="23" t="s">
        <v>543</v>
      </c>
    </row>
    <row r="53" spans="1:1">
      <c r="A53" s="24"/>
    </row>
    <row r="54" spans="1:1">
      <c r="A54" s="22" t="s">
        <v>544</v>
      </c>
    </row>
    <row r="55" spans="1:1" ht="30">
      <c r="A55" s="23" t="s">
        <v>545</v>
      </c>
    </row>
    <row r="56" spans="1:1" ht="30">
      <c r="A56" s="23" t="s">
        <v>546</v>
      </c>
    </row>
    <row r="57" spans="1:1">
      <c r="A57" s="23"/>
    </row>
    <row r="58" spans="1:1">
      <c r="A58" s="22" t="s">
        <v>547</v>
      </c>
    </row>
    <row r="59" spans="1:1" ht="30">
      <c r="A59" s="23" t="s">
        <v>548</v>
      </c>
    </row>
    <row r="60" spans="1:1">
      <c r="A60" s="21"/>
    </row>
    <row r="61" spans="1:1">
      <c r="A61" s="22" t="s">
        <v>549</v>
      </c>
    </row>
    <row r="62" spans="1:1" ht="105">
      <c r="A62" s="143" t="s">
        <v>550</v>
      </c>
    </row>
    <row r="63" spans="1:1">
      <c r="A63" s="21"/>
    </row>
    <row r="64" spans="1:1" s="9" customFormat="1">
      <c r="A64" s="142" t="s">
        <v>551</v>
      </c>
    </row>
    <row r="65" spans="1:1" s="9" customFormat="1" ht="45">
      <c r="A65" s="143" t="s">
        <v>552</v>
      </c>
    </row>
    <row r="66" spans="1:1">
      <c r="A66" s="23"/>
    </row>
    <row r="67" spans="1:1">
      <c r="A67" s="22" t="s">
        <v>553</v>
      </c>
    </row>
    <row r="68" spans="1:1">
      <c r="A68" s="23" t="s">
        <v>554</v>
      </c>
    </row>
    <row r="69" spans="1:1">
      <c r="A69" s="21"/>
    </row>
    <row r="70" spans="1:1">
      <c r="A70" s="22" t="s">
        <v>555</v>
      </c>
    </row>
    <row r="71" spans="1:1" ht="60">
      <c r="A71" s="143" t="s">
        <v>556</v>
      </c>
    </row>
    <row r="72" spans="1:1">
      <c r="A72" s="21"/>
    </row>
    <row r="73" spans="1:1">
      <c r="A73" s="22" t="s">
        <v>557</v>
      </c>
    </row>
    <row r="74" spans="1:1" ht="60">
      <c r="A74" s="143" t="s">
        <v>558</v>
      </c>
    </row>
    <row r="75" spans="1:1" s="9" customFormat="1">
      <c r="A75" s="143"/>
    </row>
    <row r="76" spans="1:1" s="9" customFormat="1">
      <c r="A76" s="142" t="s">
        <v>143</v>
      </c>
    </row>
    <row r="77" spans="1:1" s="9" customFormat="1" ht="30">
      <c r="A77" s="143" t="s">
        <v>559</v>
      </c>
    </row>
    <row r="78" spans="1:1">
      <c r="A78" s="21"/>
    </row>
    <row r="79" spans="1:1">
      <c r="A79" s="22" t="s">
        <v>560</v>
      </c>
    </row>
    <row r="80" spans="1:1" ht="45">
      <c r="A80" s="23" t="s">
        <v>561</v>
      </c>
    </row>
    <row r="81" spans="1:1">
      <c r="A81" s="21"/>
    </row>
    <row r="82" spans="1:1">
      <c r="A82" s="22" t="s">
        <v>562</v>
      </c>
    </row>
    <row r="83" spans="1:1" ht="30">
      <c r="A83" s="23" t="s">
        <v>563</v>
      </c>
    </row>
    <row r="84" spans="1:1">
      <c r="A84" s="21"/>
    </row>
    <row r="85" spans="1:1">
      <c r="A85" s="22" t="s">
        <v>564</v>
      </c>
    </row>
    <row r="86" spans="1:1" ht="30">
      <c r="A86" s="143" t="s">
        <v>565</v>
      </c>
    </row>
    <row r="87" spans="1:1" ht="54" customHeight="1">
      <c r="A87" s="143" t="s">
        <v>566</v>
      </c>
    </row>
    <row r="88" spans="1:1" ht="49.5" customHeight="1">
      <c r="A88" s="143" t="s">
        <v>567</v>
      </c>
    </row>
    <row r="89" spans="1:1">
      <c r="A89" s="21"/>
    </row>
    <row r="90" spans="1:1">
      <c r="A90" s="22" t="s">
        <v>568</v>
      </c>
    </row>
    <row r="91" spans="1:1" ht="75">
      <c r="A91" s="23" t="s">
        <v>569</v>
      </c>
    </row>
    <row r="92" spans="1:1" ht="53.25" customHeight="1">
      <c r="A92" s="151" t="s">
        <v>570</v>
      </c>
    </row>
    <row r="93" spans="1:1">
      <c r="A93" s="21"/>
    </row>
    <row r="94" spans="1:1">
      <c r="A94" s="22" t="s">
        <v>571</v>
      </c>
    </row>
    <row r="95" spans="1:1" ht="30">
      <c r="A95" s="23" t="s">
        <v>572</v>
      </c>
    </row>
    <row r="96" spans="1:1" ht="45">
      <c r="A96" s="23" t="s">
        <v>573</v>
      </c>
    </row>
    <row r="97" spans="1:1">
      <c r="A97" s="23"/>
    </row>
    <row r="98" spans="1:1" s="9" customFormat="1">
      <c r="A98" s="142" t="s">
        <v>574</v>
      </c>
    </row>
    <row r="99" spans="1:1" s="9" customFormat="1" ht="60">
      <c r="A99" s="143" t="s">
        <v>575</v>
      </c>
    </row>
    <row r="100" spans="1:1">
      <c r="A100" s="23"/>
    </row>
    <row r="101" spans="1:1" ht="15.75" thickBot="1">
      <c r="A101" s="25"/>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1" manualBreakCount="1">
    <brk id="77"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d3d815-2749-48a7-8db7-001a8d6be777">
      <Terms xmlns="http://schemas.microsoft.com/office/infopath/2007/PartnerControls"/>
    </lcf76f155ced4ddcb4097134ff3c332f>
    <TaxCatchAll xmlns="b47f2ed2-95c1-4f4e-b268-b322875018b8" xsi:nil="true"/>
    <Shared xmlns="1ad3d815-2749-48a7-8db7-001a8d6be777">false</Shared>
    <LogCreated xmlns="1ad3d815-2749-48a7-8db7-001a8d6be777">false</LogCreated>
    <ExpiryDate xmlns="1ad3d815-2749-48a7-8db7-001a8d6be77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362B07AAA513458AB7907723479FA4" ma:contentTypeVersion="21" ma:contentTypeDescription="Create a new document." ma:contentTypeScope="" ma:versionID="eeb645d1e3eee40e6790b0758107e600">
  <xsd:schema xmlns:xsd="http://www.w3.org/2001/XMLSchema" xmlns:xs="http://www.w3.org/2001/XMLSchema" xmlns:p="http://schemas.microsoft.com/office/2006/metadata/properties" xmlns:ns2="1ad3d815-2749-48a7-8db7-001a8d6be777" xmlns:ns3="b47f2ed2-95c1-4f4e-b268-b322875018b8" targetNamespace="http://schemas.microsoft.com/office/2006/metadata/properties" ma:root="true" ma:fieldsID="e5180914b8d155c32e9ed522d54b575d" ns2:_="" ns3:_="">
    <xsd:import namespace="1ad3d815-2749-48a7-8db7-001a8d6be777"/>
    <xsd:import namespace="b47f2ed2-95c1-4f4e-b268-b322875018b8"/>
    <xsd:element name="properties">
      <xsd:complexType>
        <xsd:sequence>
          <xsd:element name="documentManagement">
            <xsd:complexType>
              <xsd:all>
                <xsd:element ref="ns2:ExpiryDate" minOccurs="0"/>
                <xsd:element ref="ns2:LogCreated" minOccurs="0"/>
                <xsd:element ref="ns2:Shared"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3d815-2749-48a7-8db7-001a8d6be777" elementFormDefault="qualified">
    <xsd:import namespace="http://schemas.microsoft.com/office/2006/documentManagement/types"/>
    <xsd:import namespace="http://schemas.microsoft.com/office/infopath/2007/PartnerControls"/>
    <xsd:element name="ExpiryDate" ma:index="8" nillable="true" ma:displayName="Expiry Date" ma:format="DateOnly" ma:internalName="ExpiryDate">
      <xsd:simpleType>
        <xsd:restriction base="dms:DateTime"/>
      </xsd:simpleType>
    </xsd:element>
    <xsd:element name="LogCreated" ma:index="9" nillable="true" ma:displayName="LogCreated" ma:default="0" ma:internalName="LogCreated">
      <xsd:simpleType>
        <xsd:restriction base="dms:Boolean"/>
      </xsd:simpleType>
    </xsd:element>
    <xsd:element name="Shared" ma:index="10" nillable="true" ma:displayName="Shared" ma:default="0" ma:internalName="Shared">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f2ed2-95c1-4f4e-b268-b322875018b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ad795165-9c14-4def-9506-432ed5647537}" ma:internalName="TaxCatchAll" ma:showField="CatchAllData" ma:web="b47f2ed2-95c1-4f4e-b268-b322875018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A8DBC-8A5F-410C-89B4-84BEDA1109FC}"/>
</file>

<file path=customXml/itemProps2.xml><?xml version="1.0" encoding="utf-8"?>
<ds:datastoreItem xmlns:ds="http://schemas.openxmlformats.org/officeDocument/2006/customXml" ds:itemID="{6980F7C5-935C-4ED0-9750-782C9142839B}"/>
</file>

<file path=customXml/itemProps3.xml><?xml version="1.0" encoding="utf-8"?>
<ds:datastoreItem xmlns:ds="http://schemas.openxmlformats.org/officeDocument/2006/customXml" ds:itemID="{A41CA6BC-EC33-44A1-BACB-A55B4AFBD285}"/>
</file>

<file path=docProps/app.xml><?xml version="1.0" encoding="utf-8"?>
<Properties xmlns="http://schemas.openxmlformats.org/officeDocument/2006/extended-properties" xmlns:vt="http://schemas.openxmlformats.org/officeDocument/2006/docPropsVTypes">
  <Application>Microsoft Excel Online</Application>
  <Manager/>
  <Company>Australian Sports Commission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2026-03-03T05:45:43Z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0x010100B9362B07AAA513458AB7907723479FA4</vt:lpwstr>
  </property>
  <property fmtid="{D5CDD505-2E9C-101B-9397-08002B2CF9AE}" pid="10" name="MediaServiceImageTags">
    <vt:lpwstr/>
  </property>
</Properties>
</file>