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YewSze\Monash-CS\Year 3 Sem 1\FIT 3179\assignment\Data Visualisation 2\data\raw\"/>
    </mc:Choice>
  </mc:AlternateContent>
  <xr:revisionPtr revIDLastSave="0" documentId="13_ncr:1_{78ADFCC9-43B0-4F62-9402-E60437D49551}" xr6:coauthVersionLast="47" xr6:coauthVersionMax="47" xr10:uidLastSave="{00000000-0000-0000-0000-000000000000}"/>
  <bookViews>
    <workbookView xWindow="9510" yWindow="0" windowWidth="9780" windowHeight="10170" firstSheet="1" activeTab="6" xr2:uid="{F030423F-ACEE-40CB-B09C-4150B64C96CF}"/>
  </bookViews>
  <sheets>
    <sheet name="Index" sheetId="40" r:id="rId1"/>
    <sheet name="1" sheetId="11" r:id="rId2"/>
    <sheet name="2" sheetId="46" r:id="rId3"/>
    <sheet name="Sheet2" sheetId="105" r:id="rId4"/>
    <sheet name="3" sheetId="42" r:id="rId5"/>
    <sheet name="4" sheetId="10" r:id="rId6"/>
    <sheet name="4.1" sheetId="104" r:id="rId7"/>
    <sheet name="5" sheetId="68" r:id="rId8"/>
    <sheet name="6" sheetId="102" r:id="rId9"/>
    <sheet name="7" sheetId="103" r:id="rId10"/>
    <sheet name="8" sheetId="5" r:id="rId11"/>
    <sheet name="9" sheetId="67" r:id="rId12"/>
  </sheets>
  <definedNames>
    <definedName name="_xlnm._FilterDatabase" localSheetId="3" hidden="1">Sheet2!$A$1:$B$143</definedName>
    <definedName name="_xlnm.Print_Area" localSheetId="1">'1'!$A$1:$M$300</definedName>
    <definedName name="_xlnm.Print_Area" localSheetId="2">'2'!$A$1:$J$300</definedName>
    <definedName name="_xlnm.Print_Area" localSheetId="4">'3'!$A$1:$M$300</definedName>
    <definedName name="_xlnm.Print_Area" localSheetId="5">'4'!$A$1:$H$293</definedName>
    <definedName name="_xlnm.Print_Area" localSheetId="7">'5'!$A$1:$H$300</definedName>
    <definedName name="_xlnm.Print_Area" localSheetId="8">'6'!$A$1:$D$300</definedName>
    <definedName name="_xlnm.Print_Area" localSheetId="9">'7'!$A$1:$D$300</definedName>
    <definedName name="_xlnm.Print_Area" localSheetId="10">'8'!$A$1:$K$100</definedName>
    <definedName name="_xlnm.Print_Area" localSheetId="11">'9'!$A$1:$A$102</definedName>
    <definedName name="_xlnm.Print_Area" localSheetId="0">Index!$A$1:$D$40</definedName>
    <definedName name="_xlnm.Print_Titles" localSheetId="1">'1'!$A:$A,'1'!$1:$14</definedName>
    <definedName name="_xlnm.Print_Titles" localSheetId="2">'2'!$A:$A,'2'!$1:$14</definedName>
    <definedName name="_xlnm.Print_Titles" localSheetId="4">'3'!$A:$A,'3'!$1:$14</definedName>
    <definedName name="_xlnm.Print_Titles" localSheetId="5">'4'!$A:$A,'4'!$1:$7</definedName>
    <definedName name="_xlnm.Print_Titles" localSheetId="7">'5'!$A:$A,'5'!$1:$14</definedName>
    <definedName name="_xlnm.Print_Titles" localSheetId="8">'6'!$A:$A,'6'!$1:$14</definedName>
    <definedName name="_xlnm.Print_Titles" localSheetId="9">'7'!$A:$A,'7'!$1:$14</definedName>
    <definedName name="_xlnm.Print_Titles" localSheetId="10">'8'!$1:$11</definedName>
    <definedName name="_xlnm.Print_Titles" localSheetId="11">'9'!$1:$11</definedName>
  </definedNames>
  <calcPr calcId="191028"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4" i="104" l="1"/>
  <c r="J5" i="104"/>
  <c r="J6" i="104"/>
  <c r="J7" i="104"/>
  <c r="J8" i="104"/>
  <c r="J9" i="104"/>
  <c r="J10" i="104"/>
  <c r="J11" i="104"/>
  <c r="J12" i="104"/>
  <c r="J13" i="104"/>
  <c r="J14" i="104"/>
  <c r="J15" i="104"/>
  <c r="J16" i="104"/>
  <c r="J3" i="104"/>
  <c r="J2" i="104"/>
  <c r="I4" i="104"/>
  <c r="I5" i="104"/>
  <c r="I6" i="104"/>
  <c r="I7" i="104"/>
  <c r="I8" i="104"/>
  <c r="I9" i="104"/>
  <c r="I10" i="104"/>
  <c r="I11" i="104"/>
  <c r="I12" i="104"/>
  <c r="I13" i="104"/>
  <c r="I14" i="104"/>
  <c r="I15" i="104"/>
  <c r="I16" i="104"/>
  <c r="I3" i="104"/>
  <c r="I2" i="104"/>
</calcChain>
</file>

<file path=xl/sharedStrings.xml><?xml version="1.0" encoding="utf-8"?>
<sst xmlns="http://schemas.openxmlformats.org/spreadsheetml/2006/main" count="2645" uniqueCount="298">
  <si>
    <t>Released at:</t>
  </si>
  <si>
    <t>Table name:</t>
  </si>
  <si>
    <t>Index</t>
  </si>
  <si>
    <t>Table number</t>
  </si>
  <si>
    <t>Table name</t>
  </si>
  <si>
    <t>Overall participation</t>
  </si>
  <si>
    <t>Participation by activity (adults)</t>
  </si>
  <si>
    <t>Margin of error tables</t>
  </si>
  <si>
    <t>Margins of error</t>
  </si>
  <si>
    <t>Key terms and definitions</t>
  </si>
  <si>
    <t>Table number:</t>
  </si>
  <si>
    <t>Base:</t>
  </si>
  <si>
    <t>Adult population</t>
  </si>
  <si>
    <r>
      <t>Total</t>
    </r>
    <r>
      <rPr>
        <b/>
        <vertAlign val="superscript"/>
        <sz val="11"/>
        <color theme="0"/>
        <rFont val="Calibri"/>
        <family val="2"/>
        <scheme val="minor"/>
      </rPr>
      <t>#</t>
    </r>
  </si>
  <si>
    <t>Males</t>
  </si>
  <si>
    <t>Females</t>
  </si>
  <si>
    <t>Total</t>
  </si>
  <si>
    <t>Age group</t>
  </si>
  <si>
    <t xml:space="preserve"> 15-17</t>
  </si>
  <si>
    <t xml:space="preserve"> 18-24</t>
  </si>
  <si>
    <t xml:space="preserve"> 25-34</t>
  </si>
  <si>
    <t xml:space="preserve"> 35-44</t>
  </si>
  <si>
    <t xml:space="preserve"> 45-54</t>
  </si>
  <si>
    <t xml:space="preserve"> 55-64</t>
  </si>
  <si>
    <t xml:space="preserve"> 65+</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</si>
  <si>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</si>
  <si>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</si>
  <si>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</si>
  <si>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</si>
  <si>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</si>
  <si>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</si>
  <si>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</si>
  <si>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NB. Please note that for children 0-14 years, data was collected via the child's parent/guardian for organised participation outside of school hours</t>
  </si>
  <si>
    <t>Participation rate</t>
  </si>
  <si>
    <t>Estimated number of participants</t>
  </si>
  <si>
    <t>Type of entity organising the activity</t>
  </si>
  <si>
    <t>Sports club or association</t>
  </si>
  <si>
    <t>Educational institution</t>
  </si>
  <si>
    <t>Disability</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</si>
  <si>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</si>
  <si>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</si>
  <si>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</si>
  <si>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</si>
  <si>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</si>
  <si>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</si>
  <si>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</si>
  <si>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</si>
  <si>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</si>
  <si>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</si>
  <si>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</si>
  <si>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</si>
  <si>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</si>
  <si>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</si>
  <si>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</si>
  <si>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</si>
  <si>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</si>
  <si>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</si>
  <si>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</si>
  <si>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</si>
  <si>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</si>
  <si>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</si>
  <si>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</si>
  <si>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</si>
  <si>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</si>
  <si>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</si>
  <si>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</si>
  <si>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</si>
  <si>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</si>
  <si>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</si>
  <si>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</si>
  <si>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</si>
  <si>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</si>
  <si>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</si>
  <si>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</si>
  <si>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</si>
  <si>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</si>
  <si>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</si>
  <si>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</si>
  <si>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</si>
  <si>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</si>
  <si>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</si>
  <si>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</si>
  <si>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</si>
  <si>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</si>
  <si>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</si>
  <si>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</si>
  <si>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</si>
  <si>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</si>
  <si>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</si>
  <si>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</si>
  <si>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</si>
  <si>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</si>
  <si>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</si>
  <si>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</si>
  <si>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</si>
  <si>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</si>
  <si>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</si>
  <si>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</si>
  <si>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</si>
  <si>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</si>
  <si>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</si>
  <si>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</si>
  <si>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</si>
  <si>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</si>
  <si>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</si>
  <si>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</si>
  <si>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</si>
  <si>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</si>
  <si>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</si>
  <si>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</si>
  <si>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</si>
  <si>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</si>
  <si>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</si>
  <si>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</si>
  <si>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</si>
  <si>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</si>
  <si>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</si>
  <si>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</si>
  <si>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</si>
  <si>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</si>
  <si>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</si>
  <si>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</si>
  <si>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</si>
  <si>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</si>
  <si>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</si>
  <si>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</si>
  <si>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</si>
  <si>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</si>
  <si>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</si>
  <si>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</si>
  <si>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</si>
  <si>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</si>
  <si>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</si>
  <si>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</si>
  <si>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</si>
  <si>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</si>
  <si>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</si>
  <si>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</si>
  <si>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</si>
  <si>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</si>
  <si>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</si>
  <si>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</si>
  <si>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</si>
  <si>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</si>
  <si>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</si>
  <si>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</si>
  <si>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</si>
  <si>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Skate</t>
  </si>
  <si>
    <t>Skeleton</t>
  </si>
  <si>
    <t>Ski &amp; snowboard</t>
  </si>
  <si>
    <t>Skirmish</t>
  </si>
  <si>
    <t>Softball</t>
  </si>
  <si>
    <t>Sport climbing</t>
  </si>
  <si>
    <t>Squash</t>
  </si>
  <si>
    <t>Surfing</t>
  </si>
  <si>
    <t>Swimming</t>
  </si>
  <si>
    <t>Sword fighting</t>
  </si>
  <si>
    <t>Synchronised swimming</t>
  </si>
  <si>
    <t>Table tennis</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</si>
  <si>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</si>
  <si>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</si>
  <si>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</si>
  <si>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</si>
  <si>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</si>
  <si>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</si>
  <si>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</si>
  <si>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</si>
  <si>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</si>
  <si>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</si>
  <si>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</si>
  <si>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</si>
  <si>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</si>
  <si>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</si>
  <si>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</si>
  <si>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</si>
  <si>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</si>
  <si>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t>Recreation club
 or association</t>
  </si>
  <si>
    <t>Gym/fitness 
club/sports/
leisure centre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</si>
  <si>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</si>
  <si>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</si>
  <si>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</si>
  <si>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</si>
  <si>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</si>
  <si>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</si>
  <si>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</si>
  <si>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</si>
  <si>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</si>
  <si>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</si>
  <si>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</si>
  <si>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</si>
  <si>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</si>
  <si>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</si>
  <si>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</si>
  <si>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</si>
  <si>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</si>
  <si>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</si>
  <si>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</si>
  <si>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</si>
  <si>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</si>
  <si>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</si>
  <si>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</si>
  <si>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</si>
  <si>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</si>
  <si>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</si>
  <si>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</si>
  <si>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</si>
  <si>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</si>
  <si>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</si>
  <si>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</si>
  <si>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</si>
  <si>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</si>
  <si>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</si>
  <si>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</si>
  <si>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</si>
  <si>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Barriers</t>
  </si>
  <si>
    <t>Child</t>
  </si>
  <si>
    <t>Duration</t>
  </si>
  <si>
    <t>Frequency</t>
  </si>
  <si>
    <t>Relative margin of error (RMOE)</t>
  </si>
  <si>
    <t>Motivation</t>
  </si>
  <si>
    <t>Non-participant (adult)</t>
  </si>
  <si>
    <t>Non-participant (children)</t>
  </si>
  <si>
    <t>Non-player involvement</t>
  </si>
  <si>
    <t>Number of activities</t>
  </si>
  <si>
    <t>Participant</t>
  </si>
  <si>
    <t>See ‘Player (adult)’ and ‘Player (child)’.</t>
  </si>
  <si>
    <t>Participation by adults</t>
  </si>
  <si>
    <t>Participation by children</t>
  </si>
  <si>
    <t>Payment</t>
  </si>
  <si>
    <t>Player (adult)</t>
  </si>
  <si>
    <t>Player (child)</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</si>
  <si>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</si>
  <si>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</si>
  <si>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</si>
  <si>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</si>
  <si>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 xml:space="preserve"> </t>
  </si>
  <si>
    <t>Type of organising entity by activity (adults)</t>
  </si>
  <si>
    <t>Type of organising entity by activity (children)</t>
  </si>
  <si>
    <t>Organised participation by activity (adults)</t>
  </si>
  <si>
    <t>For the purposes of AusPlay an adult is a person aged 15 and over. To be eligible to complete the survey, the individual must also have lived in Australia for the  at least the last 12 months.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</si>
  <si>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</si>
  <si>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</si>
  <si>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</si>
  <si>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</si>
  <si>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</si>
  <si>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</si>
  <si>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</si>
  <si>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</si>
  <si>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</si>
  <si>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</si>
  <si>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All adults say they had not participated in any physical activity for sport, recreation or exercise, during the last 12 months, are referred to as non-participants.</t>
  </si>
  <si>
    <t>All children who are reported to have not participated in organised sport or physical activity, outside of school hours, during the last 12 months are referred to as ‘non-participants’.</t>
  </si>
  <si>
    <t>Adult respondents are asked whether they had been involved with any sports in a non-playing role, such as an official, coach, referee or administrator in the last 12 months. Those who had are referred to as ‘adults involved as non-players’.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</si>
  <si>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</si>
  <si>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</si>
  <si>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</si>
  <si>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</si>
  <si>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</si>
  <si>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</si>
  <si>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</si>
  <si>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</si>
  <si>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</si>
  <si>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</si>
  <si>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</si>
  <si>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Adult respondents who say they had participated in some form of sport or physical activity during the last 12 months are called ‘players’, for ease of reference. Those who had not participated, during the last 12 months, are referred to as ‘non-participants’.</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</si>
  <si>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</si>
  <si>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</si>
  <si>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</si>
  <si>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</si>
  <si>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</si>
  <si>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Non-sport-related physical activities include, for example, gym/fitness activities, bushwalking, recreational (non-sport) dance, etc. These are typically activities not related to National Sporting Organisations (NSOs).</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</si>
  <si>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</si>
  <si>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</si>
  <si>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</si>
  <si>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r>
      <t>Total organised</t>
    </r>
    <r>
      <rPr>
        <b/>
        <vertAlign val="superscript"/>
        <sz val="11"/>
        <color theme="0"/>
        <rFont val="Calibri"/>
        <family val="2"/>
        <scheme val="minor"/>
      </rPr>
      <t>#</t>
    </r>
  </si>
  <si>
    <t>Total 
organised</t>
  </si>
  <si>
    <t>Participation by activity (children)</t>
  </si>
  <si>
    <t>Private or commercial
business</t>
  </si>
  <si>
    <t>Individual 
personal trainer 
or coach</t>
  </si>
  <si>
    <t>Educational
institution</t>
  </si>
  <si>
    <t>Year-on-year comparison</t>
  </si>
  <si>
    <t>Organised participation by activity (children)</t>
  </si>
  <si>
    <t>Taekwondo/Taekwon-do</t>
  </si>
  <si>
    <t>Shooting/range</t>
  </si>
  <si>
    <t>Shooting/field</t>
  </si>
  <si>
    <r>
      <t xml:space="preserve">NB. Estimated participant numbers have not been rounded but users must remember that they </t>
    </r>
    <r>
      <rPr>
        <b/>
        <u/>
        <sz val="9"/>
        <color theme="1"/>
        <rFont val="Calibri"/>
        <family val="2"/>
        <scheme val="minor"/>
      </rPr>
      <t>are estimates</t>
    </r>
    <r>
      <rPr>
        <sz val="9"/>
        <color theme="1"/>
        <rFont val="Calibri"/>
        <family val="2"/>
        <scheme val="minor"/>
      </rPr>
      <t xml:space="preserve"> and are subject to margins of error. Refer to sheet number 38 for margin of error and relative margin of error statistics. </t>
    </r>
  </si>
  <si>
    <t>Pickleball/padel</t>
  </si>
  <si>
    <t>30 April 2026</t>
  </si>
  <si>
    <t>AusPlay survey results January 2025 - December 2025</t>
  </si>
  <si>
    <r>
      <t xml:space="preserve">Released at:   </t>
    </r>
    <r>
      <rPr>
        <b/>
        <sz val="11"/>
        <color theme="0"/>
        <rFont val="Calibri"/>
        <family val="2"/>
        <scheme val="minor"/>
      </rPr>
      <t>30 April 2026</t>
    </r>
  </si>
  <si>
    <t>AusPlay survey results January 2024 - December 2025</t>
  </si>
  <si>
    <t>Australia</t>
  </si>
  <si>
    <r>
      <t>NB. Estimated participant numbers have not been rounded but users must remember that they</t>
    </r>
    <r>
      <rPr>
        <u/>
        <sz val="9"/>
        <color theme="1"/>
        <rFont val="Calibri"/>
        <family val="2"/>
        <scheme val="minor"/>
      </rPr>
      <t xml:space="preserve"> </t>
    </r>
    <r>
      <rPr>
        <b/>
        <u/>
        <sz val="9"/>
        <color theme="1"/>
        <rFont val="Calibri"/>
        <family val="2"/>
        <scheme val="minor"/>
      </rPr>
      <t>are estimates</t>
    </r>
    <r>
      <rPr>
        <sz val="9"/>
        <color theme="1"/>
        <rFont val="Calibri"/>
        <family val="2"/>
        <scheme val="minor"/>
      </rPr>
      <t xml:space="preserve"> and are subject to margins of error. Refer to sheet number 38 for margin of error and relative margin of error statistics. </t>
    </r>
  </si>
  <si>
    <t>Crossfit/Functional fitness</t>
  </si>
  <si>
    <r>
      <t xml:space="preserve">Table number:   </t>
    </r>
    <r>
      <rPr>
        <b/>
        <sz val="11"/>
        <color theme="0"/>
        <rFont val="Calibri"/>
        <family val="2"/>
        <scheme val="minor"/>
      </rPr>
      <t>9</t>
    </r>
  </si>
  <si>
    <t># AusPlay collects data on gender, including non-binary and self-described. Non-binary and self-described gender are included in total estimated number of participants but not reported separately due to sample size. The sum of male and female estimates is therefore not equal to the total.</t>
  </si>
  <si>
    <t xml:space="preserve">Organised Activity </t>
  </si>
  <si>
    <t xml:space="preserve">Informal Activity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</si>
</sst>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22"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i/>
      <sz val="11"/>
      <name val="Calibri"/>
      <family val="2"/>
      <scheme val="minor"/>
    </font>
    <font>
      <strike/>
      <sz val="11"/>
      <name val="Calibri"/>
      <family val="2"/>
      <scheme val="minor"/>
    </font>
    <font>
      <sz val="11"/>
      <color theme="1"/>
      <name val="Aptos"/>
      <family val="2"/>
    </font>
    <font>
      <b/>
      <u/>
      <sz val="9"/>
      <color theme="1"/>
      <name val="Calibri"/>
      <family val="2"/>
      <scheme val="minor"/>
    </font>
    <font>
      <u/>
      <sz val="9"/>
      <color theme="1"/>
      <name val="Calibri"/>
      <family val="2"/>
      <scheme val="minor"/>
    </font>
    <font>
      <sz val="9"/>
      <name val="Calibri"/>
      <family val="2"/>
      <scheme val="minor"/>
    </font>
  </fonts>
  <fills count="7">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0.14999847407452621"/>
        <bgColor indexed="64"/>
      </patternFill>
    </fill>
  </fills>
  <borders count="11">
    <border>
      <left/>
      <right/>
      <top/>
      <bottom/>
      <diagonal/>
    </border>
    <border>
      <left/>
      <right/>
      <top/>
      <bottom style="thin">
        <color indexed="64"/>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3671">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89">
    <xf numFmtId="0" fontId="0" fillId="0" borderId="0" xfId="0"/>
    <xf numFmtId="0" fontId="0" fillId="2" borderId="0" xfId="0" applyFill="1"/>
    <xf numFmtId="0" fontId="1" fillId="2" borderId="0" xfId="0" applyFont="1" applyFill="1"/>
    <xf numFmtId="0" fontId="0" fillId="2" borderId="1" xfId="0" applyFill="1" applyBorder="1"/>
    <xf numFmtId="164" fontId="0" fillId="2" borderId="0" xfId="270" applyNumberFormat="1" applyFont="1" applyFill="1"/>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0" fillId="2" borderId="5" xfId="0" applyFill="1" applyBorder="1"/>
    <xf numFmtId="164" fontId="0" fillId="2" borderId="0" xfId="0" applyNumberFormat="1" applyFill="1" applyAlignment="1">
      <alignment horizontal="right"/>
    </xf>
    <xf numFmtId="0" fontId="4" fillId="2" borderId="0" xfId="0" applyFont="1" applyFill="1" applyAlignment="1">
      <alignment horizontal="left"/>
    </xf>
    <xf numFmtId="0" fontId="4" fillId="2" borderId="2" xfId="0" applyFont="1" applyFill="1" applyBorder="1" applyAlignment="1">
      <alignment horizontal="left"/>
    </xf>
    <xf numFmtId="0" fontId="4" fillId="2" borderId="2" xfId="0" applyFont="1" applyFill="1" applyBorder="1" applyAlignment="1">
      <alignment horizontal="left" wrapText="1"/>
    </xf>
    <xf numFmtId="0" fontId="11" fillId="3" borderId="0" xfId="0" applyFont="1" applyFill="1"/>
    <xf numFmtId="0" fontId="10" fillId="3" borderId="0" xfId="0" applyFont="1" applyFill="1"/>
    <xf numFmtId="0" fontId="10" fillId="3" borderId="0" xfId="0" applyFont="1" applyFill="1" applyAlignment="1">
      <alignment horizontal="left"/>
    </xf>
    <xf numFmtId="0" fontId="11" fillId="3" borderId="1" xfId="0" applyFont="1" applyFill="1" applyBorder="1"/>
    <xf numFmtId="0" fontId="10" fillId="3" borderId="1" xfId="0" applyFont="1" applyFill="1" applyBorder="1"/>
    <xf numFmtId="0" fontId="11" fillId="4" borderId="0" xfId="0" applyFont="1" applyFill="1"/>
    <xf numFmtId="0" fontId="10" fillId="4" borderId="0" xfId="0" applyFont="1" applyFill="1"/>
    <xf numFmtId="0" fontId="0" fillId="5" borderId="0" xfId="0" applyFill="1"/>
    <xf numFmtId="0" fontId="1" fillId="5" borderId="0" xfId="0" applyFont="1" applyFill="1"/>
    <xf numFmtId="0" fontId="0" fillId="5" borderId="1" xfId="0" applyFill="1" applyBorder="1"/>
    <xf numFmtId="0" fontId="10" fillId="4" borderId="0" xfId="0" applyFont="1" applyFill="1" applyAlignment="1">
      <alignment horizontal="right"/>
    </xf>
    <xf numFmtId="0" fontId="11" fillId="4" borderId="0" xfId="0" applyFont="1" applyFill="1" applyAlignment="1">
      <alignment horizontal="right"/>
    </xf>
    <xf numFmtId="0" fontId="11" fillId="4" borderId="0" xfId="0" applyFont="1" applyFill="1" applyAlignment="1">
      <alignment horizontal="right" vertical="center" wrapText="1"/>
    </xf>
    <xf numFmtId="3" fontId="0" fillId="2" borderId="0" xfId="491" applyNumberFormat="1" applyFont="1" applyFill="1"/>
    <xf numFmtId="3" fontId="11" fillId="3" borderId="0" xfId="0" applyNumberFormat="1" applyFont="1" applyFill="1"/>
    <xf numFmtId="3" fontId="11" fillId="3" borderId="1" xfId="0" applyNumberFormat="1" applyFont="1" applyFill="1" applyBorder="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0" xfId="0" applyFont="1" applyFill="1" applyAlignment="1">
      <alignment horizontal="right" vertical="center"/>
    </xf>
    <xf numFmtId="0" fontId="10" fillId="3" borderId="0" xfId="0" quotePrefix="1" applyFont="1" applyFill="1"/>
    <xf numFmtId="0" fontId="1" fillId="2" borderId="0" xfId="0" applyFont="1" applyFill="1" applyAlignment="1">
      <alignment horizontal="left" vertical="center"/>
    </xf>
    <xf numFmtId="0" fontId="10" fillId="4" borderId="0" xfId="0" applyFont="1" applyFill="1" applyAlignment="1">
      <alignment horizontal="right" wrapText="1"/>
    </xf>
    <xf numFmtId="0" fontId="0" fillId="6" borderId="0" xfId="0" applyFill="1"/>
    <xf numFmtId="3" fontId="0" fillId="5" borderId="0" xfId="0" applyNumberFormat="1" applyFill="1" applyAlignment="1">
      <alignment horizontal="right"/>
    </xf>
    <xf numFmtId="3" fontId="0" fillId="5" borderId="0" xfId="0" applyNumberFormat="1" applyFill="1"/>
    <xf numFmtId="0" fontId="0" fillId="6" borderId="0" xfId="0" applyFill="1" applyAlignment="1">
      <alignment horizontal="right"/>
    </xf>
    <xf numFmtId="0" fontId="11" fillId="2" borderId="0" xfId="0" applyFont="1" applyFill="1"/>
    <xf numFmtId="49" fontId="10" fillId="3" borderId="0" xfId="0" applyNumberFormat="1" applyFont="1" applyFill="1"/>
    <xf numFmtId="0" fontId="0" fillId="2" borderId="0" xfId="0" applyFill="1" applyAlignment="1">
      <alignment vertical="center"/>
    </xf>
    <xf numFmtId="0" fontId="11" fillId="4" borderId="0" xfId="0" applyFont="1" applyFill="1" applyAlignment="1">
      <alignment horizontal="right" vertical="center"/>
    </xf>
    <xf numFmtId="0" fontId="11" fillId="4" borderId="0" xfId="0" applyFont="1" applyFill="1" applyAlignment="1">
      <alignment horizontal="right" wrapText="1"/>
    </xf>
    <xf numFmtId="0" fontId="14" fillId="2" borderId="0" xfId="0" applyFont="1" applyFill="1"/>
    <xf numFmtId="0" fontId="14" fillId="3" borderId="0" xfId="0" applyFont="1" applyFill="1"/>
    <xf numFmtId="0" fontId="15" fillId="3" borderId="0" xfId="0" applyFont="1" applyFill="1"/>
    <xf numFmtId="0" fontId="0" fillId="2" borderId="8" xfId="0" applyFill="1" applyBorder="1"/>
    <xf numFmtId="3" fontId="0" fillId="2" borderId="8" xfId="491" applyNumberFormat="1" applyFont="1" applyFill="1" applyBorder="1"/>
    <xf numFmtId="0" fontId="15" fillId="2" borderId="0" xfId="0" applyFont="1" applyFill="1"/>
    <xf numFmtId="0" fontId="11" fillId="3" borderId="9" xfId="0" applyFont="1" applyFill="1" applyBorder="1"/>
    <xf numFmtId="0" fontId="10" fillId="3" borderId="9" xfId="0" applyFont="1" applyFill="1" applyBorder="1"/>
    <xf numFmtId="0" fontId="0" fillId="5" borderId="9" xfId="0" applyFill="1" applyBorder="1"/>
    <xf numFmtId="0" fontId="0" fillId="2" borderId="9" xfId="0" applyFill="1" applyBorder="1"/>
    <xf numFmtId="164" fontId="0" fillId="2" borderId="9" xfId="270" applyNumberFormat="1" applyFont="1" applyFill="1" applyBorder="1"/>
    <xf numFmtId="164" fontId="0" fillId="2" borderId="9" xfId="0" applyNumberFormat="1" applyFill="1" applyBorder="1"/>
    <xf numFmtId="0" fontId="18" fillId="0" borderId="0" xfId="0" applyFont="1" applyAlignment="1">
      <alignment vertical="center"/>
    </xf>
    <xf numFmtId="0" fontId="0" fillId="2" borderId="0" xfId="0" applyFill="1" applyAlignment="1">
      <alignment horizontal="right"/>
    </xf>
    <xf numFmtId="0" fontId="6" fillId="2" borderId="3" xfId="0" applyFont="1" applyFill="1" applyBorder="1" applyAlignment="1">
      <alignment vertical="center" wrapText="1"/>
    </xf>
    <xf numFmtId="0" fontId="6" fillId="2" borderId="4" xfId="0" applyFont="1" applyFill="1" applyBorder="1" applyAlignment="1">
      <alignment vertical="center"/>
    </xf>
    <xf numFmtId="0" fontId="7" fillId="2" borderId="4" xfId="0" applyFont="1" applyFill="1" applyBorder="1" applyAlignment="1">
      <alignment vertical="center"/>
    </xf>
    <xf numFmtId="0" fontId="6" fillId="2" borderId="4" xfId="0" applyFont="1" applyFill="1" applyBorder="1" applyAlignment="1">
      <alignment vertical="center" wrapText="1"/>
    </xf>
    <xf numFmtId="0" fontId="12" fillId="2" borderId="4" xfId="0" applyFont="1" applyFill="1" applyBorder="1" applyAlignment="1">
      <alignment vertical="center"/>
    </xf>
    <xf numFmtId="0" fontId="2" fillId="2" borderId="4" xfId="0" applyFont="1" applyFill="1" applyBorder="1" applyAlignment="1">
      <alignment vertical="center" wrapText="1"/>
    </xf>
    <xf numFmtId="0" fontId="2" fillId="2" borderId="4" xfId="0" applyFont="1" applyFill="1" applyBorder="1" applyAlignment="1">
      <alignment horizontal="left" vertical="top" wrapText="1"/>
    </xf>
    <xf numFmtId="0" fontId="6" fillId="2" borderId="4" xfId="0" applyFont="1" applyFill="1" applyBorder="1" applyAlignment="1">
      <alignment wrapText="1"/>
    </xf>
    <xf numFmtId="0" fontId="9" fillId="2" borderId="4" xfId="0" applyFont="1" applyFill="1" applyBorder="1" applyAlignment="1">
      <alignment vertical="center"/>
    </xf>
    <xf numFmtId="164" fontId="0" fillId="5" borderId="0" xfId="0" applyNumberFormat="1" applyFill="1" applyAlignment="1">
      <alignment horizontal="right"/>
    </xf>
    <xf numFmtId="0" fontId="0" fillId="6" borderId="0" xfId="0" applyFill="1" applyAlignment="1">
      <alignment horizontal="center"/>
    </xf>
    <xf numFmtId="3" fontId="5" fillId="0" borderId="10" xfId="700" applyNumberFormat="1" applyBorder="1" applyAlignment="1">
      <alignment horizontal="right"/>
    </xf>
    <xf numFmtId="0" fontId="1" fillId="0" borderId="0" xfId="0" applyFont="1"/>
    <xf numFmtId="0" fontId="21" fillId="0" borderId="0" xfId="0" applyFont="1" applyAlignment="1">
      <alignment horizontal="left"/>
    </xf>
    <xf numFmtId="0" fontId="0" fillId="6" borderId="0" xfId="0" applyFill="1" applyAlignment="1">
      <alignment horizontal="center"/>
    </xf>
    <xf numFmtId="0" fontId="10" fillId="4" borderId="7"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10" fillId="4" borderId="6" xfId="0" applyFont="1" applyFill="1" applyBorder="1" applyAlignment="1">
      <alignment horizontal="center" vertical="center"/>
    </xf>
    <xf numFmtId="0" fontId="10" fillId="4" borderId="0" xfId="0" applyFont="1" applyFill="1" applyAlignment="1">
      <alignment horizontal="center"/>
    </xf>
    <xf numFmtId="0" fontId="10" fillId="4" borderId="2" xfId="0" applyFont="1" applyFill="1" applyBorder="1" applyAlignment="1">
      <alignment horizontal="center"/>
    </xf>
    <xf numFmtId="1" fontId="0" fillId="0" borderId="0" xfId="0" applyNumberFormat="1"/>
  </cellXfs>
  <cellStyles count="3671">
    <cellStyle name="Comma" xfId="491" builtinId="3"/>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9051477296" xfId="2467" xr:uid="{1DE9E2B0-6EF8-4582-ABC2-A8C9C24716B2}"/>
    <cellStyle name="style1729051477369" xfId="2468" xr:uid="{04410AA5-5BE5-43D2-9231-DEF8B7D07A97}"/>
    <cellStyle name="style1729051477445" xfId="2466" xr:uid="{A6CF0653-65E4-4CE6-9AF2-EC4DDFDF9CD3}"/>
    <cellStyle name="style1729051477514" xfId="2469" xr:uid="{4373CFF6-C391-47D3-8264-73256DBB1D77}"/>
    <cellStyle name="style1729051477565" xfId="2470" xr:uid="{D5BDB849-B484-44BC-B404-B6015BE5BAF1}"/>
    <cellStyle name="style1729051477609" xfId="2474" xr:uid="{3BFACA73-C105-4BDC-9CA8-1EA96D3B2464}"/>
    <cellStyle name="style1729051477676" xfId="2475" xr:uid="{E4B2907D-8013-4FF0-A9CE-337D20D8CAB4}"/>
    <cellStyle name="style1729051477754" xfId="2479" xr:uid="{F0CB91FF-87AE-413E-AC36-6ACE865D1221}"/>
    <cellStyle name="style1729051477824" xfId="2480" xr:uid="{952B888D-9ECF-4126-B49C-ED85DA642725}"/>
    <cellStyle name="style1729051477897" xfId="2471" xr:uid="{9D5EF091-C002-464D-BA12-124AE798F3ED}"/>
    <cellStyle name="style1729051477973" xfId="2472" xr:uid="{C38F90B1-4A5D-4B86-AD77-23EDE5D0501E}"/>
    <cellStyle name="style1729051478048" xfId="2473" xr:uid="{1D786024-81C7-4741-B2E4-A3B1E95BB138}"/>
    <cellStyle name="style1729051478124" xfId="2476" xr:uid="{8D951D1F-DDD1-476D-842B-0FA00AA8486A}"/>
    <cellStyle name="style1729051478202" xfId="2477" xr:uid="{51C00760-E3FD-49AA-9A71-752B923A8B60}"/>
    <cellStyle name="style1729051478273" xfId="2478" xr:uid="{63ADAD37-8479-4BD4-81C4-1BB832ACB220}"/>
    <cellStyle name="style1729051478367" xfId="2481" xr:uid="{A159030C-4117-4C2C-A7E3-1F3F0E06B8C3}"/>
    <cellStyle name="style1729051478445" xfId="2482" xr:uid="{F5815043-3141-421D-A44D-23A3C3362434}"/>
    <cellStyle name="style1729051478537" xfId="2483" xr:uid="{DF26C2E9-6DFC-4C89-AB58-E5ED08EA6E9A}"/>
    <cellStyle name="style1729051478623" xfId="2484" xr:uid="{2DE88696-E17D-4097-AD7C-8AD127DBC62D}"/>
    <cellStyle name="style1729051478714" xfId="2485" xr:uid="{62FFE76F-CCDD-4049-9EA1-697A373B1124}"/>
    <cellStyle name="style1729051478781" xfId="2490" xr:uid="{6B1B5AF8-C358-4016-9A68-0B9D80B56296}"/>
    <cellStyle name="style1729051478836" xfId="2491" xr:uid="{584AB7A1-54F6-4E98-9766-81F977C3F602}"/>
    <cellStyle name="style1729051478928" xfId="2496" xr:uid="{5C8B5A9C-B9A2-4315-ABC4-80BBCA73914B}"/>
    <cellStyle name="style1729051479014" xfId="2497" xr:uid="{FAA72380-8664-4CE0-A4D0-F11244A7D072}"/>
    <cellStyle name="style1729051479095" xfId="2486" xr:uid="{486FC309-CBC5-402D-8757-8EE12CA3AACA}"/>
    <cellStyle name="style1729051479169" xfId="2487" xr:uid="{3C7CF056-4436-44A8-AFAB-AF74328DF405}"/>
    <cellStyle name="style1729051479222" xfId="2488" xr:uid="{CAC7B53F-A026-4AAD-BB69-90EC7349A8E2}"/>
    <cellStyle name="style1729051479262" xfId="2489" xr:uid="{669AAAC8-1C74-4EED-9267-F5E92A89B1AB}"/>
    <cellStyle name="style1729051479315" xfId="2492" xr:uid="{31A5F87F-1978-421E-B571-831DA660D39E}"/>
    <cellStyle name="style1729051479368" xfId="2493" xr:uid="{DD92F091-372B-4A5F-B93E-668C34328B58}"/>
    <cellStyle name="style1729051479421" xfId="2494" xr:uid="{010720C6-1741-4785-A3D0-9326FD67EE32}"/>
    <cellStyle name="style1729051479466" xfId="2495" xr:uid="{C75D175E-38CF-4BF1-B7EE-9679388BF23A}"/>
    <cellStyle name="style1729051479651" xfId="2498" xr:uid="{95CFB1E8-11AA-438F-BFFB-911FA82913C0}"/>
    <cellStyle name="style1729051479737" xfId="2499" xr:uid="{A52BE0FA-8C7B-4553-90AA-A7C35B30BFAC}"/>
    <cellStyle name="style1729051479813" xfId="2500" xr:uid="{ED61FF06-EC88-4D19-B44E-0ED1B64505E9}"/>
    <cellStyle name="style1729051479881" xfId="2501" xr:uid="{55D0DE8B-7624-4DA4-8563-9E301015B06B}"/>
    <cellStyle name="style1729051480315" xfId="2502" xr:uid="{75504AF9-504D-4F82-8E2C-621124B5012E}"/>
    <cellStyle name="style1729051480358" xfId="2503" xr:uid="{925CE139-A1E3-412E-82D4-179DE90157D4}"/>
    <cellStyle name="style1729051480399" xfId="2504" xr:uid="{FEEF9732-EABB-44F2-8142-0EC986DAFCC7}"/>
    <cellStyle name="style1729051480455" xfId="2505" xr:uid="{8E10C11C-8C7A-4257-BED2-13728B572C11}"/>
    <cellStyle name="style1729051480499" xfId="2507" xr:uid="{BBA2B2DD-C51B-48DF-BFA9-BF2A0D797146}"/>
    <cellStyle name="style1729051480543" xfId="2509" xr:uid="{4460E97F-83F9-4E45-B1CC-3DA3AF52C62A}"/>
    <cellStyle name="style1729051480612" xfId="2506" xr:uid="{A95B61D2-22F9-4EAF-8958-70ECFEF79202}"/>
    <cellStyle name="style1729051480667" xfId="2508" xr:uid="{BBEB3A2B-3514-48A9-A892-15E4A47436E7}"/>
    <cellStyle name="style1729051480746" xfId="2510" xr:uid="{A781C07C-64C3-49CC-AAA2-A1737F19C891}"/>
    <cellStyle name="style1729051481246" xfId="2511" xr:uid="{E6D639B1-3301-4476-B6CF-8F239B295C9D}"/>
    <cellStyle name="style1729051481289" xfId="2512" xr:uid="{B206789F-9B45-4E4C-BF65-971AA0334719}"/>
    <cellStyle name="style1729051481348" xfId="2513" xr:uid="{0AC2A125-9CDD-4C3F-ABBE-4DC3BC9A490E}"/>
    <cellStyle name="style1729051481395" xfId="2514" xr:uid="{71E197E1-A0EA-430B-97A6-C382415369B1}"/>
    <cellStyle name="style1729051481448" xfId="2515" xr:uid="{F5F88D7B-C3B3-4782-BA53-12449E8BDF1E}"/>
    <cellStyle name="style1729051481497" xfId="2516" xr:uid="{596C3309-A205-4DBF-85DD-5E91CD25245C}"/>
    <cellStyle name="style1729051481555" xfId="2517" xr:uid="{81B8F567-701A-4666-A702-B799E900389A}"/>
    <cellStyle name="style1729051481603" xfId="2518" xr:uid="{C3FDD122-4673-4627-8A0E-377631B51011}"/>
    <cellStyle name="style1729051481652" xfId="2519" xr:uid="{F1D1DC67-FCC0-4EBC-A555-8AFDA53D0608}"/>
    <cellStyle name="style1729051481930" xfId="2520" xr:uid="{4B1AB49A-F1A1-48A3-86BC-79D49EEF80DC}"/>
    <cellStyle name="style1729051481985" xfId="2521" xr:uid="{96303603-6CE5-4F51-89AE-F54C9C2C7662}"/>
    <cellStyle name="style1729051482037" xfId="2522" xr:uid="{0A0BF7E1-49EE-4F9E-A5E0-8023B6668209}"/>
    <cellStyle name="style1729051482071" xfId="2523" xr:uid="{5A75EFA1-2514-456A-942A-549DD7DAA03B}"/>
    <cellStyle name="style1729051482322" xfId="2524" xr:uid="{C5D28BA4-23CF-4363-AB93-EF7927D83B75}"/>
    <cellStyle name="style1729051482364" xfId="2525" xr:uid="{BB805153-EC08-4BA6-B606-A8D5507B1A42}"/>
    <cellStyle name="style1729051485406" xfId="2526" xr:uid="{A9EF7EF7-5351-46EC-BB9C-5039525E565D}"/>
    <cellStyle name="style1729051485453" xfId="2527" xr:uid="{A9D1C835-D1E2-42EE-8601-A1841C2C4CCB}"/>
    <cellStyle name="style1729051485495" xfId="2528" xr:uid="{68FB4584-5BE2-4571-BCF0-6F3BE9DF10F1}"/>
    <cellStyle name="style1729051485533" xfId="2529" xr:uid="{7DDEE004-43F2-4074-A587-F3FF800DF32E}"/>
    <cellStyle name="style1729051485570" xfId="2530" xr:uid="{9C079399-B54D-46C3-841F-37801C7A84FC}"/>
    <cellStyle name="style1729051485607" xfId="2531" xr:uid="{9FEBF44E-82C9-4D57-97EB-A2A27F57394D}"/>
    <cellStyle name="style1729051485646" xfId="2532" xr:uid="{A8BB8575-BFF9-4529-8A90-39775A9F5D37}"/>
    <cellStyle name="style1729051485680" xfId="2533" xr:uid="{1324C074-477B-4AE1-8B5E-9AE313335D24}"/>
    <cellStyle name="style1729051485719" xfId="2534" xr:uid="{95511191-4237-44F7-B007-5EAA27409F2B}"/>
    <cellStyle name="style1729051485989" xfId="2535" xr:uid="{3702B7E4-FFAD-4056-8014-84B5CFEFFA5E}"/>
    <cellStyle name="style1729051486039" xfId="2536" xr:uid="{30803342-3C8F-4D4A-9AD8-A796C26DB7DF}"/>
    <cellStyle name="style1729051486086" xfId="2537" xr:uid="{683F13E8-AF7B-4DF2-87E8-31FD33FE97C5}"/>
    <cellStyle name="style1729051501659" xfId="2587" xr:uid="{97CA6365-BAC6-49D0-9DC7-DF81BBF215C1}"/>
    <cellStyle name="style1729051501713" xfId="2588" xr:uid="{BB9E2060-E184-44C7-9872-421CD9207EDC}"/>
    <cellStyle name="style1729051501781" xfId="2586" xr:uid="{7466971F-4471-4C61-8397-1C625F1D78A2}"/>
    <cellStyle name="style1729051501843" xfId="2589" xr:uid="{0723080C-A6D1-430F-B3CE-40F242AC19CC}"/>
    <cellStyle name="style1729051501906" xfId="2590" xr:uid="{AC082C99-2631-4D30-B0E6-F6C5313280C2}"/>
    <cellStyle name="style1729051501964" xfId="2591" xr:uid="{73B85504-54D1-4C67-B73D-6B28869C5B1D}"/>
    <cellStyle name="style1729051502042" xfId="2592" xr:uid="{3AF852EE-6105-427F-904C-4939F16C1D55}"/>
    <cellStyle name="style1729051502107" xfId="2593" xr:uid="{A2C0150E-0F78-465B-8CD0-9D07959D476F}"/>
    <cellStyle name="style1729051502162" xfId="2594" xr:uid="{20F65003-194D-4F43-BECA-5896B93CA041}"/>
    <cellStyle name="style1729051502220" xfId="2595" xr:uid="{7856C649-D598-4ABA-A4DF-7810953DC830}"/>
    <cellStyle name="style1729051502274" xfId="2596" xr:uid="{C9F9B260-C489-4413-966E-131E24537490}"/>
    <cellStyle name="style1729051502326" xfId="2597" xr:uid="{9BE59B96-FB8D-475E-9424-4A36AC93410C}"/>
    <cellStyle name="style1729051502379" xfId="2598" xr:uid="{8D7D5F6E-06AA-482F-90DA-82EF5E736563}"/>
    <cellStyle name="style1729051502438" xfId="2599" xr:uid="{40EC8DB5-1CD4-4F8A-A045-AD4499A418CE}"/>
    <cellStyle name="style1729051502485" xfId="2600" xr:uid="{5A9C40F3-CCC0-49C2-9F3E-BC9FCAF74CF5}"/>
    <cellStyle name="style1729051502519" xfId="2601" xr:uid="{8CC4E8CC-BC8F-4C8F-AD0C-332B95E91170}"/>
    <cellStyle name="style1729051502605" xfId="2602" xr:uid="{70AADC16-6E2B-4498-9FF0-50ABB4B63F4A}"/>
    <cellStyle name="style1729051502643" xfId="2603" xr:uid="{B24A5CF9-5E16-4D8C-9A49-5C1D276CB1CD}"/>
    <cellStyle name="style1729051502680" xfId="2604" xr:uid="{32D5FFD2-C1B8-410A-81CD-782532F2CE57}"/>
    <cellStyle name="style1729051502744" xfId="2605" xr:uid="{8DAF2CCA-455F-428C-94DB-00761130E74B}"/>
    <cellStyle name="style1729051502808" xfId="2606" xr:uid="{4DCA35D1-ED82-4354-854C-EBBFE3C1FFC0}"/>
    <cellStyle name="style1729051502864" xfId="2607" xr:uid="{4851E8DA-505C-4043-A32E-5B06C9D60270}"/>
    <cellStyle name="style1729051502917" xfId="2608" xr:uid="{4676674E-8FF4-43FC-B534-069CF23E6564}"/>
    <cellStyle name="style1729051502980" xfId="2609" xr:uid="{5C64DAAE-4EFB-482D-9216-A89AD4D9AD3F}"/>
    <cellStyle name="style1729051503037" xfId="2613" xr:uid="{39613156-2522-4B47-B111-8E0CE6564A24}"/>
    <cellStyle name="style1729051503093" xfId="2614" xr:uid="{769865B0-D754-411C-95E2-C97B283783EB}"/>
    <cellStyle name="style1729051503163" xfId="2618" xr:uid="{9779A098-CDF2-4D32-A181-17518072CFB0}"/>
    <cellStyle name="style1729051503219" xfId="2619" xr:uid="{5DE2398B-CDAB-4EE4-A355-F6E77341BF0D}"/>
    <cellStyle name="style1729051503279" xfId="2610" xr:uid="{5F86A426-491F-4F5A-969C-64FEE4C4D0A8}"/>
    <cellStyle name="style1729051503350" xfId="2611" xr:uid="{44962A65-8797-4972-B2FA-B74A5A88A854}"/>
    <cellStyle name="style1729051503424" xfId="2612" xr:uid="{8983A079-0034-43FD-8A4A-23B50C96C428}"/>
    <cellStyle name="style1729051503489" xfId="2615" xr:uid="{868DF2A4-CDE5-4A9B-AB31-A139281C24A6}"/>
    <cellStyle name="style1729051503549" xfId="2616" xr:uid="{B36852CD-8C36-4BAB-A120-D2A75F1611D6}"/>
    <cellStyle name="style1729051503609" xfId="2617" xr:uid="{24828508-E042-4470-A074-97E99E355843}"/>
    <cellStyle name="style1729051503701" xfId="2620" xr:uid="{7B64E592-3B43-4981-81F3-36EB671E227F}"/>
    <cellStyle name="style1729051503755" xfId="2621" xr:uid="{73D30C6B-0B90-4241-AB27-489A300D288E}"/>
    <cellStyle name="style1729051503813" xfId="2622" xr:uid="{C282E9FA-B179-439C-A526-655619AA16F8}"/>
    <cellStyle name="style1729051564697" xfId="2539" xr:uid="{48AAE4B9-B947-42E0-87C4-D5EF8B6E71F7}"/>
    <cellStyle name="style1729051564750" xfId="2540" xr:uid="{0EC49741-481B-4A28-8717-E1CC5AF7A105}"/>
    <cellStyle name="style1729051564809" xfId="2538" xr:uid="{E4D4978D-0F58-4AA2-841A-9C120CFE732E}"/>
    <cellStyle name="style1729051564865" xfId="2541" xr:uid="{DBEF3275-26BD-4A10-84CC-1B1AED727B4A}"/>
    <cellStyle name="style1729051564899" xfId="2542" xr:uid="{993AB0CA-A194-4FA2-85B3-196E366E15B3}"/>
    <cellStyle name="style1729051564935" xfId="2543" xr:uid="{6EDF335F-2CC6-45D6-AD92-CBE13220D28A}"/>
    <cellStyle name="style1729051564973" xfId="2547" xr:uid="{A4525083-DDB9-4DB4-B523-FB5B747DF0E0}"/>
    <cellStyle name="style1729051565021" xfId="2548" xr:uid="{67D634AC-C964-4331-8306-BB6D5A76ACF4}"/>
    <cellStyle name="style1729051565056" xfId="2549" xr:uid="{5D00D1DB-517F-4C91-8BE8-91830CDAC781}"/>
    <cellStyle name="style1729051565104" xfId="2553" xr:uid="{47E297BE-4A47-45D0-83B8-7D7A91C565AD}"/>
    <cellStyle name="style1729051565153" xfId="2554" xr:uid="{F435DA9A-371D-4D2C-8C97-FBFD551F71C8}"/>
    <cellStyle name="style1729051565200" xfId="2555" xr:uid="{82065EDA-FCB1-4DC7-AC83-16AFEACCBC99}"/>
    <cellStyle name="style1729051565252" xfId="2544" xr:uid="{73624641-CCFA-4303-AC54-AB5C9E71A999}"/>
    <cellStyle name="style1729051565304" xfId="2545" xr:uid="{057645A9-0CFF-482A-94C4-DC351F714F19}"/>
    <cellStyle name="style1729051565357" xfId="2546" xr:uid="{AC263DA9-23A7-4542-9B7A-7388CC05ADE9}"/>
    <cellStyle name="style1729051565409" xfId="2550" xr:uid="{4994D646-828A-470C-9DDE-11F7F1519E95}"/>
    <cellStyle name="style1729051565458" xfId="2551" xr:uid="{A75C0508-6DFE-459A-8637-1C00FFAB2F87}"/>
    <cellStyle name="style1729051565500" xfId="2552" xr:uid="{28DC2F07-A619-4159-ABE2-47941523AFB8}"/>
    <cellStyle name="style1729051565552" xfId="2556" xr:uid="{07B5AB7F-0F77-454B-8E76-510F39D4950A}"/>
    <cellStyle name="style1729051565597" xfId="2557" xr:uid="{A94BBD0A-2211-4018-BE37-7BB93F7778F6}"/>
    <cellStyle name="style1729051565641" xfId="2558" xr:uid="{FFC7C2D4-8A4D-4B68-BF8F-3C205417B9A5}"/>
    <cellStyle name="style1729051565671" xfId="2559" xr:uid="{B88CCE8B-4DAC-4845-9AE2-535DAA675A8D}"/>
    <cellStyle name="style1729051565724" xfId="2565" xr:uid="{DCD114BF-08E3-49DA-B7AB-F708724F27E4}"/>
    <cellStyle name="style1729051565764" xfId="2571" xr:uid="{C9F17F65-7985-42FF-9D6F-5378AB503964}"/>
    <cellStyle name="style1729051565805" xfId="2560" xr:uid="{7337392D-49D3-4B04-A696-847356DC7447}"/>
    <cellStyle name="style1729051565846" xfId="2566" xr:uid="{2F718B4C-F248-486F-9637-963CA104BAC8}"/>
    <cellStyle name="style1729051565886" xfId="2572" xr:uid="{52E8C0ED-594F-44E8-A9A9-FA94DE80288A}"/>
    <cellStyle name="style1729051565927" xfId="2561" xr:uid="{0B904D15-9700-47A7-9A7D-587CD51D3C5A}"/>
    <cellStyle name="style1729051565973" xfId="2567" xr:uid="{C1A7705A-05CC-44E2-A305-90457EB64560}"/>
    <cellStyle name="style1729051566022" xfId="2573" xr:uid="{40D2837F-7F9A-4F27-BD18-2DD7E6835377}"/>
    <cellStyle name="style1729051566066" xfId="2562" xr:uid="{948D1D3B-D1DA-4A84-8269-CF3898D29FDF}"/>
    <cellStyle name="style1729051566116" xfId="2563" xr:uid="{A0C37EF1-E2DC-48DF-8900-6A8B09C60B3D}"/>
    <cellStyle name="style1729051566161" xfId="2564" xr:uid="{F359ECDB-0C7D-4FEF-888C-0B3E376FCE64}"/>
    <cellStyle name="style1729051566205" xfId="2568" xr:uid="{7B3B6AFE-0BF1-400C-91F7-A92E790EF1DE}"/>
    <cellStyle name="style1729051566245" xfId="2569" xr:uid="{3AFB018B-51D9-4424-AB1E-E9DA7FEA5797}"/>
    <cellStyle name="style1729051566286" xfId="2570" xr:uid="{1153ACF5-E013-4B37-8488-9E56BB9D0BD3}"/>
    <cellStyle name="style1729051566316" xfId="2574" xr:uid="{5348E9A3-336D-4D01-AA91-30814619E178}"/>
    <cellStyle name="style1729051566361" xfId="2575" xr:uid="{E76958D6-3260-4927-BCAD-D23A2C725EFA}"/>
    <cellStyle name="style1729051566399" xfId="2576" xr:uid="{0A81CFB3-C00D-4085-8DA0-E2EC380AE9FC}"/>
    <cellStyle name="style1729051566442" xfId="2577" xr:uid="{866DD85E-16C9-40F0-8348-845637B4D3CA}"/>
    <cellStyle name="style1729051566473" xfId="2578" xr:uid="{52EA18D7-44F2-41D1-9234-6393F686A8CC}"/>
    <cellStyle name="style1729051566499" xfId="2579" xr:uid="{566E96F7-5F21-46A5-A3DE-117D4501A790}"/>
    <cellStyle name="style1729051566526" xfId="2580" xr:uid="{E17B91D8-17E9-4040-9353-641B05B2C116}"/>
    <cellStyle name="style1729051566550" xfId="2581" xr:uid="{C32D37AF-074B-43C3-BC94-D3221839F3FF}"/>
    <cellStyle name="style1729051566576" xfId="2582" xr:uid="{4215B1A3-EAEB-4588-8143-B9C1B5482527}"/>
    <cellStyle name="style1729051566593" xfId="2583" xr:uid="{DFC86F66-3E7A-4A86-ABE9-33088C61B486}"/>
    <cellStyle name="style1729051566613" xfId="2584" xr:uid="{6BE316B2-0C48-45CF-88D4-77592A0CCCA8}"/>
    <cellStyle name="style1729051566644" xfId="2585" xr:uid="{D7765DC4-9BE9-468A-9D70-14279FC979F8}"/>
    <cellStyle name="style1729052435358" xfId="2624" xr:uid="{DEB00E20-E827-4BEC-BB59-3BEBA26D6A45}"/>
    <cellStyle name="style1729052435387" xfId="2625" xr:uid="{9EDA5530-C503-4DDF-B16E-5B1E09539DCD}"/>
    <cellStyle name="style1729052435418" xfId="2623" xr:uid="{856D9A50-2DC7-42B5-9B3B-2F4FC3310ECB}"/>
    <cellStyle name="style1729052435454" xfId="2626" xr:uid="{8C271885-039F-4F86-9937-23225329C785}"/>
    <cellStyle name="style1729052435483" xfId="2627" xr:uid="{2F6A89A2-CD4A-4A97-B973-6A83752DF796}"/>
    <cellStyle name="style1729052435509" xfId="2628" xr:uid="{BE9422EE-7E24-4C57-A8D1-9AC33E89D15D}"/>
    <cellStyle name="style1729052435540" xfId="2629" xr:uid="{D1146118-DDF1-4E91-B55B-C938F46A17F6}"/>
    <cellStyle name="style1729052435570" xfId="2630" xr:uid="{A420CC8E-63C3-4668-A792-37FE010488F6}"/>
    <cellStyle name="style1729052435590" xfId="2631" xr:uid="{3BCB7543-C8AB-4D06-B6E3-6A1A5940AAC6}"/>
    <cellStyle name="style1729052435622" xfId="2632" xr:uid="{D3DA2850-9F66-46FD-98CC-72E801BBA23F}"/>
    <cellStyle name="style1729052435651" xfId="2633" xr:uid="{AB21B836-79CD-415F-9883-28DF737D17A9}"/>
    <cellStyle name="style1729052435684" xfId="2634" xr:uid="{42B6DF5E-B82E-4822-98BC-F6F6462762E2}"/>
    <cellStyle name="style1729052435708" xfId="2635" xr:uid="{AE855986-97CD-409A-B7D8-3D1F3C38AA56}"/>
    <cellStyle name="style1729052435756" xfId="2636" xr:uid="{8EB4250C-7FE6-4A75-AABA-375EB4DDA7DE}"/>
    <cellStyle name="style1729052435783" xfId="2637" xr:uid="{1754BFF4-FE14-434D-B287-8CBD0F112802}"/>
    <cellStyle name="style1729052435802" xfId="2638" xr:uid="{9E510D65-D048-4BBB-8911-A63E68C93E64}"/>
    <cellStyle name="style1729052435858" xfId="2639" xr:uid="{46669CC1-5C82-44BF-90B2-789EB48DBD7D}"/>
    <cellStyle name="style1729052435874" xfId="2640" xr:uid="{A59427E9-0342-4F82-A775-9FDA4DB2209B}"/>
    <cellStyle name="style1729052435901" xfId="2641" xr:uid="{4EB4DD18-DF6D-4BD3-AB12-8F09EADA44F3}"/>
    <cellStyle name="style1729052435917" xfId="2642" xr:uid="{DD18AE2E-1DC6-43BC-A559-0B891F1EB4FE}"/>
    <cellStyle name="style1729052435965" xfId="2643" xr:uid="{CCB3D872-260C-4BB8-AE34-682DCE3FA186}"/>
    <cellStyle name="style1729052435989" xfId="2644" xr:uid="{F11C7D96-39D8-43D6-BF76-5101EEC54A34}"/>
    <cellStyle name="style1729052436014" xfId="2645" xr:uid="{E01F6F20-1F38-4EFD-BDB2-4A151C847F5A}"/>
    <cellStyle name="style1729052436045" xfId="2646" xr:uid="{477DF834-C768-4E03-B17C-07CADC70D698}"/>
    <cellStyle name="style1729052436087" xfId="2650" xr:uid="{AADFA34F-8E14-4D99-8904-82BC241EFA5F}"/>
    <cellStyle name="style1729052436121" xfId="2651" xr:uid="{2A39FA7F-2A16-4999-B71A-BB45991E1B63}"/>
    <cellStyle name="style1729052436147" xfId="2655" xr:uid="{5130F9EF-9F6A-42D9-8B17-BDC738F7B2F3}"/>
    <cellStyle name="style1729052436191" xfId="2656" xr:uid="{F511DD02-CAB9-4092-8026-D5DFD8ED304F}"/>
    <cellStyle name="style1729052436229" xfId="2647" xr:uid="{D97B4F9B-3CCA-42A8-BE11-008D9CECF892}"/>
    <cellStyle name="style1729052436260" xfId="2648" xr:uid="{67529A3D-B101-414E-978A-A82CBAEB19BC}"/>
    <cellStyle name="style1729052436300" xfId="2649" xr:uid="{632E3FAE-C239-4BCA-BF3B-52C95C514FCE}"/>
    <cellStyle name="style1729052436328" xfId="2652" xr:uid="{F0CC4456-D804-4F1E-A055-1B25B0AE38DC}"/>
    <cellStyle name="style1729052436359" xfId="2653" xr:uid="{4CB86D6F-286F-4C8F-92EE-2AF49B98A88B}"/>
    <cellStyle name="style1729052436391" xfId="2654" xr:uid="{6B588FA3-822D-4751-983D-5A077AB102AC}"/>
    <cellStyle name="style1729052436441" xfId="2657" xr:uid="{0F11662E-39CC-4CB9-A5CB-3222EABBD60E}"/>
    <cellStyle name="style1729052436469" xfId="2658" xr:uid="{8E25BFFA-BBD4-4790-9C07-A050F550BF52}"/>
    <cellStyle name="style1729052436489" xfId="2659" xr:uid="{B41AE81B-B8AC-4C49-BACD-5C810C7D6572}"/>
    <cellStyle name="style1741059580072" xfId="2661" xr:uid="{714FDBAF-95AC-4FD4-BDBB-94BE74F43DE6}"/>
    <cellStyle name="style1741059580110" xfId="2662" xr:uid="{B6CCADB6-AA5B-444F-BDC8-ACA92561EBE1}"/>
    <cellStyle name="style1741059580141" xfId="2660" xr:uid="{D611F22D-6065-419F-BA47-DDF9EDB15998}"/>
    <cellStyle name="style1741059580172" xfId="2663" xr:uid="{038FA9DF-62A5-490D-A3E5-BE47EB2C5906}"/>
    <cellStyle name="style1741059580188" xfId="2664" xr:uid="{DF8430F3-CBFB-4EA4-803A-7ED95E8D4670}"/>
    <cellStyle name="style1741059580210" xfId="2668" xr:uid="{24AAEB06-DB44-4608-8C64-8FA6B27D23A0}"/>
    <cellStyle name="style1741059580257" xfId="2669" xr:uid="{759588A8-798B-4586-9EE9-79F36354B809}"/>
    <cellStyle name="style1741059580288" xfId="2673" xr:uid="{B5FB7CFC-6EDD-4522-BD81-3FF2D181DE0D}"/>
    <cellStyle name="style1741059580310" xfId="2674" xr:uid="{74D48366-AF8E-401B-BD49-B4239E9B94EC}"/>
    <cellStyle name="style1741059580342" xfId="2665" xr:uid="{6D15F173-B2B6-4FC6-B13C-D8A36DC76CD7}"/>
    <cellStyle name="style1741059580388" xfId="2666" xr:uid="{8AAD8C1D-347E-4399-9B08-C466586F9FB9}"/>
    <cellStyle name="style1741059580411" xfId="2667" xr:uid="{136E3064-9012-446C-AC3B-D492538D8261}"/>
    <cellStyle name="style1741059580442" xfId="2670" xr:uid="{8BE7E2A8-E483-48DA-80AF-A738E2075C3C}"/>
    <cellStyle name="style1741059580473" xfId="2671" xr:uid="{9846FF5A-CD4A-4053-9C0A-2C930E99336C}"/>
    <cellStyle name="style1741059580511" xfId="2672" xr:uid="{A9574324-036D-42A2-8CE7-F1B9FEFAEA33}"/>
    <cellStyle name="style1741059580542" xfId="2675" xr:uid="{28D70BC8-E54D-420F-8B44-CABC3D42A041}"/>
    <cellStyle name="style1741059580589" xfId="2676" xr:uid="{B956FB9A-5D04-4E49-AD4E-31AE48E70157}"/>
    <cellStyle name="style1741059580611" xfId="2677" xr:uid="{6D894543-DB29-4A12-9834-89333765AAA2}"/>
    <cellStyle name="style1741059580658" xfId="2678" xr:uid="{D5381E4D-D4C2-4D7E-BD83-3741525C65B0}"/>
    <cellStyle name="style1741059580689" xfId="2679" xr:uid="{3259B17E-D831-4A0F-BF5F-C9A5EC615A86}"/>
    <cellStyle name="style1741059580727" xfId="2684" xr:uid="{614F9A50-AA40-4367-B25C-0F50BF159237}"/>
    <cellStyle name="style1741059580758" xfId="2685" xr:uid="{1095ADA1-C06D-4E18-B764-11BABC7BDE27}"/>
    <cellStyle name="style1741059580805" xfId="2690" xr:uid="{D94E231E-741B-4865-BC84-68B067CB9DF4}"/>
    <cellStyle name="style1741059580828" xfId="2691" xr:uid="{BC815893-06DE-4607-8625-57E890B4555F}"/>
    <cellStyle name="style1741059580859" xfId="2680" xr:uid="{02BBFEBF-708D-469D-9093-1B4274243400}"/>
    <cellStyle name="style1741059580912" xfId="2681" xr:uid="{D7C43FB6-0EB9-4824-9923-963211360FCC}"/>
    <cellStyle name="style1741059580943" xfId="2682" xr:uid="{5BCE0729-04BF-43E4-B91E-54D5ED74382E}"/>
    <cellStyle name="style1741059580990" xfId="2683" xr:uid="{132440A3-6DD0-4B6E-9EC7-D43C2B1672C7}"/>
    <cellStyle name="style1741059581035" xfId="2686" xr:uid="{D7900B75-F1B7-4D49-80AA-932B823916CD}"/>
    <cellStyle name="style1741059581075" xfId="2687" xr:uid="{4A45FC09-8164-4FB5-9F26-FD5570F2D3C9}"/>
    <cellStyle name="style1741059581104" xfId="2688" xr:uid="{577D5C86-389D-4B41-BB1B-5400BF95D48D}"/>
    <cellStyle name="style1741059581126" xfId="2689" xr:uid="{3F3492E2-5399-4571-9B25-210D5CBB587F}"/>
    <cellStyle name="style1741059581197" xfId="2692" xr:uid="{77F91306-A900-4A97-9A69-B663A6974C01}"/>
    <cellStyle name="style1741059581237" xfId="2693" xr:uid="{B0D8056D-2004-4DB8-A8D9-48E7E66FB7CB}"/>
    <cellStyle name="style1741059581267" xfId="2694" xr:uid="{14728E80-6471-4492-92EB-483F7D1FA4C9}"/>
    <cellStyle name="style1741059581297" xfId="2695" xr:uid="{10C87F64-ED66-4AEC-8F0B-E32EE1B68FB7}"/>
    <cellStyle name="style1741059581499" xfId="2696" xr:uid="{5540684A-EDE9-4394-B7C2-6804F3A1B837}"/>
    <cellStyle name="style1741059581529" xfId="2697" xr:uid="{358152D5-99E8-42C8-A477-3B14E3574259}"/>
    <cellStyle name="style1741059581558" xfId="2698" xr:uid="{10E40504-7F31-4940-B00F-0D20A3093BB0}"/>
    <cellStyle name="style1741059581600" xfId="2699" xr:uid="{D006211D-DC03-4DB7-B054-8E451391E06B}"/>
    <cellStyle name="style1741059581630" xfId="2701" xr:uid="{796420D4-2DFC-49F8-94DF-B8FB8C455397}"/>
    <cellStyle name="style1741059581671" xfId="2703" xr:uid="{FBBC9574-1C37-4D19-9E28-78554A53B44A}"/>
    <cellStyle name="style1741059581701" xfId="2700" xr:uid="{FBB7A470-F91C-43FB-AA6C-E9341E18CB1E}"/>
    <cellStyle name="style1741059581732" xfId="2702" xr:uid="{26BA74B9-A3A7-4CBF-ACE8-104091F07368}"/>
    <cellStyle name="style1741059581762" xfId="2704" xr:uid="{7197BEAD-ECB7-4C63-9B13-3174975160C5}"/>
    <cellStyle name="style1741059582005" xfId="2705" xr:uid="{8E6BDD7F-6F47-4BB2-ABB8-D481763A0A53}"/>
    <cellStyle name="style1741059582036" xfId="2706" xr:uid="{D692C015-72A1-4330-9134-FAC6679CD79C}"/>
    <cellStyle name="style1741059582086" xfId="2707" xr:uid="{A60BF318-3F3B-43F1-8829-92B4C9BC8633}"/>
    <cellStyle name="style1741059582117" xfId="2708" xr:uid="{90256694-E746-482C-955C-9E99256EF6C4}"/>
    <cellStyle name="style1741059582156" xfId="2709" xr:uid="{35BF4BDF-0409-4213-B62D-B3705019DDDE}"/>
    <cellStyle name="style1741059582188" xfId="2710" xr:uid="{E5B13A35-4FF3-42DE-8D9A-3C439AD0513B}"/>
    <cellStyle name="style1741059582227" xfId="2711" xr:uid="{DA546886-6FD7-4A15-9A9A-BC18EFCDF000}"/>
    <cellStyle name="style1741059582260" xfId="2712" xr:uid="{7A2CC176-C204-4A18-A085-44F165933FF6}"/>
    <cellStyle name="style1741059582290" xfId="2713" xr:uid="{88E47DE8-CF05-4763-914B-2537736CCAC6}"/>
    <cellStyle name="style1741059582450" xfId="2714" xr:uid="{6BF0E192-5131-4621-835A-CE5F16E5DDEC}"/>
    <cellStyle name="style1741059582482" xfId="2715" xr:uid="{AD50FDAB-21E1-4C29-9136-B4C56095D7FD}"/>
    <cellStyle name="style1741059582513" xfId="2716" xr:uid="{90AB6E5C-F70F-4D39-8D1C-AD9DC451C2BE}"/>
    <cellStyle name="style1741059582543" xfId="2717" xr:uid="{2B4B7D57-61E2-4198-B6A1-21E199610943}"/>
    <cellStyle name="style1741059582694" xfId="2718" xr:uid="{2504F60C-FF26-4EFC-8C68-9DF214CF7A5F}"/>
    <cellStyle name="style1741059582716" xfId="2719" xr:uid="{6FE48579-7446-4CC0-9093-0530772464ED}"/>
    <cellStyle name="style1741059584923" xfId="2720" xr:uid="{145D71F0-8A8F-4B04-AF76-278B0C8F24FD}"/>
    <cellStyle name="style1741059584951" xfId="2721" xr:uid="{C564CAE6-B7F2-4036-9414-C5C7FC46FD97}"/>
    <cellStyle name="style1741059584973" xfId="2722" xr:uid="{69F85A57-1725-4072-8F46-35F5F085E984}"/>
    <cellStyle name="style1741059585002" xfId="2723" xr:uid="{DA65EA19-D7F5-4807-AFF2-43EAD55E963C}"/>
    <cellStyle name="style1741059585024" xfId="2724" xr:uid="{6BD27212-FD4B-4D37-9D4E-A7636920F285}"/>
    <cellStyle name="style1741059585052" xfId="2725" xr:uid="{A52999FD-BDF5-4E8A-AA84-39EC4A590E59}"/>
    <cellStyle name="style1741059585068" xfId="2726" xr:uid="{913FCA70-AFE8-4C52-ABE3-A0157D3531B9}"/>
    <cellStyle name="style1741059585099" xfId="2727" xr:uid="{60E7F93F-756A-4F9C-9A33-85DD77B480D7}"/>
    <cellStyle name="style1741059585115" xfId="2728" xr:uid="{2B1DFF42-BD15-427C-8D13-4126C3FB7536}"/>
    <cellStyle name="style1741059585316" xfId="2729" xr:uid="{DBDB9A63-48DF-4933-83FD-9B48AF802B55}"/>
    <cellStyle name="style1741059585347" xfId="2730" xr:uid="{EFF1D45F-8926-49C7-BC76-5D340D340F5A}"/>
    <cellStyle name="style1741059585375" xfId="2731" xr:uid="{6A37E908-0D8C-4BF7-A0C8-DD0CDE17D4A8}"/>
    <cellStyle name="style1741059598540" xfId="2781" xr:uid="{5BC78ABE-A41E-475B-A421-242DF8C5387B}"/>
    <cellStyle name="style1741059598571" xfId="2782" xr:uid="{5D2B4B2B-AC3F-46CA-81CC-A94070491D47}"/>
    <cellStyle name="style1741059598603" xfId="2780" xr:uid="{6423C472-2346-4A80-B70D-F002FD863A4A}"/>
    <cellStyle name="style1741059598640" xfId="2783" xr:uid="{B33C2A34-D5CF-436A-A31F-6250B711C7BD}"/>
    <cellStyle name="style1741059598671" xfId="2784" xr:uid="{245B718A-10BE-4A40-93A8-C770F8E40E39}"/>
    <cellStyle name="style1741059598703" xfId="2785" xr:uid="{769BF203-5ADA-4FB7-BA8D-811B5DC0F1E8}"/>
    <cellStyle name="style1741059598741" xfId="2786" xr:uid="{C28E03D2-D55A-4944-8E4D-E15B4F3E79DA}"/>
    <cellStyle name="style1741059598772" xfId="2787" xr:uid="{C8AC3F82-1199-4A38-ADA0-F5E7C4A1A166}"/>
    <cellStyle name="style1741059598803" xfId="2788" xr:uid="{DE8BF396-0EA2-4C75-82D0-290B637F002E}"/>
    <cellStyle name="style1741059598841" xfId="2789" xr:uid="{7A8EB03D-E6B2-4B91-AB56-A1EDD8E9FC34}"/>
    <cellStyle name="style1741059598872" xfId="2790" xr:uid="{36C0B80C-6C46-4BA9-A669-C422F0166AB5}"/>
    <cellStyle name="style1741059598903" xfId="2791" xr:uid="{A4000992-53F7-4E76-BA76-2F0C69B5CABE}"/>
    <cellStyle name="style1741059598941" xfId="2792" xr:uid="{22AC61AB-1BDB-43EF-9C75-4BD8E1165FFF}"/>
    <cellStyle name="style1741059598972" xfId="2793" xr:uid="{E5887E69-8C9F-4871-825B-19692E8AF6D2}"/>
    <cellStyle name="style1741059599004" xfId="2794" xr:uid="{B48CF100-AEF3-4573-A8C7-D1AF7F4C7490}"/>
    <cellStyle name="style1741059599026" xfId="2795" xr:uid="{35F7E26B-0043-4AF1-9CFD-DC4942A4892E}"/>
    <cellStyle name="style1741059599088" xfId="2796" xr:uid="{7B3241EC-5B67-44DE-9EA2-8DF25C665BF9}"/>
    <cellStyle name="style1741059599104" xfId="2797" xr:uid="{9432D8BC-7B2B-4FF5-B6CF-256B3D20F243}"/>
    <cellStyle name="style1741059599126" xfId="2798" xr:uid="{A75CE128-CACC-4A05-B251-DB4B0FE50C96}"/>
    <cellStyle name="style1741059599157" xfId="2799" xr:uid="{DCCD2088-AAFE-4E5E-93B6-2DE29D915526}"/>
    <cellStyle name="style1741059599189" xfId="2800" xr:uid="{8EF6FCB6-F1E0-4940-ACEF-CD2FCC71C4D0}"/>
    <cellStyle name="style1741059599226" xfId="2801" xr:uid="{1782E107-4A9D-4F34-9B48-76327D402EEA}"/>
    <cellStyle name="style1741059599258" xfId="2802" xr:uid="{463BF438-B920-4E5A-8819-E2F120244081}"/>
    <cellStyle name="style1741059599289" xfId="2803" xr:uid="{25191115-BA89-49B4-AA26-E5D2F2C6214A}"/>
    <cellStyle name="style1741059599327" xfId="2807" xr:uid="{38F2EBD8-CFC2-43FF-8501-BE471C5EDB7A}"/>
    <cellStyle name="style1741059599358" xfId="2808" xr:uid="{B663160E-A10D-413F-A1AA-3318BB1BBBA2}"/>
    <cellStyle name="style1741059599389" xfId="2812" xr:uid="{49D8E112-659C-4E11-ABEF-C5059A47C253}"/>
    <cellStyle name="style1741059599427" xfId="2813" xr:uid="{01E7C5CD-C976-410A-819E-D85BC3ED7AFA}"/>
    <cellStyle name="style1741059599458" xfId="2804" xr:uid="{0380D9A1-AFBF-484F-98C2-7F8B94C79F1E}"/>
    <cellStyle name="style1741059599505" xfId="2805" xr:uid="{F1267F75-1E1D-46F5-B13F-AE64F78481FB}"/>
    <cellStyle name="style1741059599527" xfId="2806" xr:uid="{CA08D9C2-71FB-4EA5-A6B5-FB14BDB74114}"/>
    <cellStyle name="style1741059599575" xfId="2809" xr:uid="{7EF7124A-CC92-4972-9DC2-D6E26EB48AA5}"/>
    <cellStyle name="style1741059599607" xfId="2810" xr:uid="{3615870E-2812-41CA-9451-148A3B7D0C41}"/>
    <cellStyle name="style1741059599637" xfId="2811" xr:uid="{6F21660D-AAB4-4862-9447-4B823CF8E9FD}"/>
    <cellStyle name="style1741059599699" xfId="2814" xr:uid="{6BC8159D-03E5-4AC2-8A05-17D311A48065}"/>
    <cellStyle name="style1741059599743" xfId="2815" xr:uid="{6D0AD3B3-18FA-4CCB-9DFD-0818C0F2E078}"/>
    <cellStyle name="style1741059599774" xfId="2816" xr:uid="{7C6B7D62-CBD4-45B3-B22E-2622604FF43C}"/>
    <cellStyle name="style1741059656260" xfId="2733" xr:uid="{75C2B52F-67DE-4624-BE40-8CE81D7545E8}"/>
    <cellStyle name="style1741059656291" xfId="2734" xr:uid="{2E664B48-D40D-4776-853E-4F7B571D2207}"/>
    <cellStyle name="style1741059656323" xfId="2732" xr:uid="{574E3805-123D-47FD-AF1C-F8AB39938D6A}"/>
    <cellStyle name="style1741059656354" xfId="2735" xr:uid="{8A66A375-77CD-4C61-B5A2-B92F1440FF09}"/>
    <cellStyle name="style1741059656376" xfId="2736" xr:uid="{0A7B90D7-63FF-43C1-8B8B-849FE06E737A}"/>
    <cellStyle name="style1741059656392" xfId="2737" xr:uid="{08702E7C-B578-421B-A3F2-014E3E420986}"/>
    <cellStyle name="style1741059656407" xfId="2741" xr:uid="{F58D69E2-99A1-445A-81E0-CBF22AF8DB47}"/>
    <cellStyle name="style1741059656438" xfId="2742" xr:uid="{6E867FFC-BE9E-414B-AB2B-F8F09E9EF857}"/>
    <cellStyle name="style1741059656461" xfId="2743" xr:uid="{1E3DEF82-57AB-4A19-86F2-01250217C828}"/>
    <cellStyle name="style1741059656492" xfId="2747" xr:uid="{23C53B36-A534-486B-9FD7-454F15CB6EF1}"/>
    <cellStyle name="style1741059656523" xfId="2748" xr:uid="{CF39264B-4BFF-406D-8303-85785293CBCB}"/>
    <cellStyle name="style1741059656561" xfId="2749" xr:uid="{11833C91-7CE9-4DB1-96C1-2F082F8609D6}"/>
    <cellStyle name="style1741059656592" xfId="2738" xr:uid="{21F66AA8-9BAC-4313-82A1-8E087B3B2330}"/>
    <cellStyle name="style1741059656623" xfId="2739" xr:uid="{22A80319-9DDA-46A9-A48F-90F12E1FB912}"/>
    <cellStyle name="style1741059656655" xfId="2740" xr:uid="{71F4BFAA-BFF1-4F12-8017-E903D9E6ABDD}"/>
    <cellStyle name="style1741059656677" xfId="2744" xr:uid="{561933AA-9B87-4618-B563-43730A5FE5A1}"/>
    <cellStyle name="style1741059656708" xfId="2745" xr:uid="{4A1B9115-55FC-4966-8913-E50B2B044966}"/>
    <cellStyle name="style1741059656739" xfId="2746" xr:uid="{87CA2D83-1B20-4433-A2E1-CD7499676A48}"/>
    <cellStyle name="style1741059656777" xfId="2750" xr:uid="{BA83A455-1CED-4F56-BA37-D20399353A93}"/>
    <cellStyle name="style1741059656824" xfId="2751" xr:uid="{A4F5D4A1-2736-4EA7-988A-3B0AC5ECB738}"/>
    <cellStyle name="style1741059656862" xfId="2752" xr:uid="{8521F829-FEE4-42E8-A84F-E8042C71C62F}"/>
    <cellStyle name="style1741059656908" xfId="2753" xr:uid="{D5C30207-98C9-45A6-AF8A-AC40A99652F3}"/>
    <cellStyle name="style1741059656955" xfId="2759" xr:uid="{E0DC1C02-2957-4C5B-8199-CEB999E24AF8}"/>
    <cellStyle name="style1741059656993" xfId="2765" xr:uid="{327B36E4-57E2-42E9-B1A6-A5917A6932D4}"/>
    <cellStyle name="style1741059657024" xfId="2754" xr:uid="{063CAC10-32F4-48E1-9517-4303BD5822BA}"/>
    <cellStyle name="style1741059657062" xfId="2760" xr:uid="{BB4A92D5-554E-441F-900D-43C3A5E755B8}"/>
    <cellStyle name="style1741059657109" xfId="2766" xr:uid="{D8045A0B-1BA2-4BAB-93E6-F5BA0B261FBD}"/>
    <cellStyle name="style1741059657140" xfId="2755" xr:uid="{74F7B84A-41B8-4826-ACF8-6F2F070F8E56}"/>
    <cellStyle name="style1741059657178" xfId="2761" xr:uid="{A3224EB3-E191-441B-B43E-088D7ECFF515}"/>
    <cellStyle name="style1741059657225" xfId="2767" xr:uid="{6C129D8D-C5D9-43EB-8B60-4C07AEAFFAF3}"/>
    <cellStyle name="style1741059657263" xfId="2756" xr:uid="{E33D6C50-F83B-416E-B4D8-654D2A1F007F}"/>
    <cellStyle name="style1741059657310" xfId="2757" xr:uid="{F24962E7-F45A-4395-91C4-AD400223412B}"/>
    <cellStyle name="style1741059657356" xfId="2758" xr:uid="{AF98EE94-3E08-44C8-8A2E-46B92FE26593}"/>
    <cellStyle name="style1741059657394" xfId="2762" xr:uid="{2B2B80EF-18D9-45F6-B071-7EF6F404C07D}"/>
    <cellStyle name="style1741059657457" xfId="2763" xr:uid="{9DF9502E-FA1D-42DC-821A-7AB9B7833BC1}"/>
    <cellStyle name="style1741059657494" xfId="2764" xr:uid="{3FB11C8E-4B74-4566-BBAB-B9A0761F6370}"/>
    <cellStyle name="style1741059657541" xfId="2768" xr:uid="{DD467BA3-AE16-49A6-956B-6C2AC1AF2851}"/>
    <cellStyle name="style1741059657579" xfId="2769" xr:uid="{5185B118-6911-4CD2-854D-D15073DF282C}"/>
    <cellStyle name="style1741059657626" xfId="2770" xr:uid="{2FEF6953-D72A-44F0-B554-8E3B2ABE83ED}"/>
    <cellStyle name="style1741059657664" xfId="2771" xr:uid="{5D33A944-816D-4D1D-8FD0-B278090ACA9F}"/>
    <cellStyle name="style1741059657711" xfId="2772" xr:uid="{4259FE91-33A3-42E2-9D5E-FE22579CF29D}"/>
    <cellStyle name="style1741059657726" xfId="2773" xr:uid="{39B3F0C9-628F-4151-A0AF-C3A137C27A89}"/>
    <cellStyle name="style1741059657764" xfId="2774" xr:uid="{AF1CEB89-2C33-42D3-95F0-68D0D698F6D4}"/>
    <cellStyle name="style1741059657795" xfId="2775" xr:uid="{739046EC-9C64-4192-97A8-77CA860396A1}"/>
    <cellStyle name="style1741059657811" xfId="2776" xr:uid="{D7F9759A-00AA-448F-97D0-E3D4230C8EB4}"/>
    <cellStyle name="style1741059657842" xfId="2777" xr:uid="{41276685-B0E7-4234-9C08-0A9EFF03BEE8}"/>
    <cellStyle name="style1741059657880" xfId="2778" xr:uid="{8AB861EF-1636-4DFD-B089-95D0F9E85F05}"/>
    <cellStyle name="style1741059657911" xfId="2779" xr:uid="{AD87312F-7EC9-472F-ADC1-B2BB2D9BC147}"/>
    <cellStyle name="style1741153468679" xfId="2818" xr:uid="{CA489CE1-49EE-4577-AEAE-541A42634979}"/>
    <cellStyle name="style1741153468701" xfId="2819" xr:uid="{8D0DACD6-286D-49AD-91FF-EF18066D7B0B}"/>
    <cellStyle name="style1741153468735" xfId="2817" xr:uid="{E343BDDA-F080-47D9-9DCD-EADBBF7BCD07}"/>
    <cellStyle name="style1741153468766" xfId="2820" xr:uid="{A0D62554-3027-402B-ACDD-74481744C237}"/>
    <cellStyle name="style1741153468782" xfId="2821" xr:uid="{8029B57F-004B-47B6-AFF4-0C866EB82D4D}"/>
    <cellStyle name="style1741153468801" xfId="2825" xr:uid="{501C0C3B-651E-4744-BDB8-7D29E017C4FE}"/>
    <cellStyle name="style1741153468832" xfId="2826" xr:uid="{FC13887A-FCFC-4256-8E65-FB6D4CB9042F}"/>
    <cellStyle name="style1741153468864" xfId="2830" xr:uid="{6F2B6229-A424-4111-895D-65499469CC2D}"/>
    <cellStyle name="style1741153468895" xfId="2831" xr:uid="{7C9CAADB-4C3E-4D8D-A6BA-8DE9B239B1BA}"/>
    <cellStyle name="style1741153468917" xfId="2822" xr:uid="{DD5EA5B9-AC50-46D7-9889-D770574BB771}"/>
    <cellStyle name="style1741153468948" xfId="2823" xr:uid="{9FFF18C9-F61F-4495-9099-297BE2202CB2}"/>
    <cellStyle name="style1741153468979" xfId="2824" xr:uid="{7EA2692A-E532-43C5-80EC-DAEA25290E74}"/>
    <cellStyle name="style1741153469001" xfId="2827" xr:uid="{1FCC2E7A-B81D-47C4-9555-2E123A3F1B0C}"/>
    <cellStyle name="style1741153469033" xfId="2828" xr:uid="{CEFE1805-CBB6-4291-AFAE-12BE0E269FF8}"/>
    <cellStyle name="style1741153469049" xfId="2829" xr:uid="{EEEE6170-66C6-4BA7-8198-36295EF09DEA}"/>
    <cellStyle name="style1741153469080" xfId="2832" xr:uid="{A12976E4-ACA1-41CA-93AA-8AF58AC1161D}"/>
    <cellStyle name="style1741153469120" xfId="2833" xr:uid="{4E6D539A-DAA4-4174-BB1A-50989A1E1BE5}"/>
    <cellStyle name="style1741153469151" xfId="2834" xr:uid="{ED5AE84D-4148-4D72-A22F-281941E0DBC3}"/>
    <cellStyle name="style1741153469167" xfId="2835" xr:uid="{C52BCF9B-8C40-495E-B8B3-D437F1D6D3D5}"/>
    <cellStyle name="style1741153469201" xfId="2836" xr:uid="{0FF14CEE-C454-4683-BEA2-9A155DFD8499}"/>
    <cellStyle name="style1741153469233" xfId="2841" xr:uid="{2111274B-9AC1-4DDC-BA3F-75A5483BA93C}"/>
    <cellStyle name="style1741153469264" xfId="2842" xr:uid="{1394C57E-1376-43DD-9A48-C6CA68F34A3E}"/>
    <cellStyle name="style1741153469296" xfId="2847" xr:uid="{1B56D48B-3BED-4A36-BE08-ABF4EA393EB8}"/>
    <cellStyle name="style1741153469317" xfId="2848" xr:uid="{BB23DECF-CBE0-4DD3-BE9D-0EEA5B16F43C}"/>
    <cellStyle name="style1741153469349" xfId="2837" xr:uid="{C3344F6F-7514-4176-ADD8-482061247720}"/>
    <cellStyle name="style1741153469380" xfId="2838" xr:uid="{5631B96B-32A5-41AF-AF1D-B33BFA255D48}"/>
    <cellStyle name="style1741153469402" xfId="2839" xr:uid="{9ED7BB8A-0300-4DF3-8DA0-76E02F4BDF5B}"/>
    <cellStyle name="style1741153469418" xfId="2840" xr:uid="{3F5292A7-BC88-4E40-92DA-F5B637047B51}"/>
    <cellStyle name="style1741153469449" xfId="2843" xr:uid="{5DD6BE4C-0459-4D98-81D9-6AF5F46D7CEC}"/>
    <cellStyle name="style1741153469480" xfId="2844" xr:uid="{F6A2FF76-1D62-4901-A6BE-60BC245F35A8}"/>
    <cellStyle name="style1741153469502" xfId="2845" xr:uid="{1B930D96-75A8-4781-8EB3-F06952B102DD}"/>
    <cellStyle name="style1741153469520" xfId="2846" xr:uid="{9E4FEA93-70B9-41FC-A7A7-E8C0E7EE3B66}"/>
    <cellStyle name="style1741153469582" xfId="2849" xr:uid="{48D5EF47-FB5F-42D7-80F3-C6100421ED65}"/>
    <cellStyle name="style1741153469616" xfId="2850" xr:uid="{ED413989-7881-458C-9073-24A854892EDB}"/>
    <cellStyle name="style1741153469632" xfId="2851" xr:uid="{B398D126-E496-43F1-9DE9-B985F31B34AD}"/>
    <cellStyle name="style1741153469663" xfId="2852" xr:uid="{19861E54-5FF4-44B8-9F1A-30519A253806}"/>
    <cellStyle name="style1741153469818" xfId="2853" xr:uid="{FD1D1AA7-BF47-4789-A615-AA9649E04864}"/>
    <cellStyle name="style1741153469849" xfId="2854" xr:uid="{2F147AEB-AC10-4BDC-9600-F5C4F551203F}"/>
    <cellStyle name="style1741153469865" xfId="2855" xr:uid="{3E871D3B-F028-4830-8825-82292AF3C161}"/>
    <cellStyle name="style1741153469902" xfId="2856" xr:uid="{562165AE-7C9E-4353-9C11-4E6B33DBEEBF}"/>
    <cellStyle name="style1741153469918" xfId="2858" xr:uid="{77DEFF05-45FC-4706-9E47-ECA1459B0B09}"/>
    <cellStyle name="style1741153469949" xfId="2860" xr:uid="{2B5FDBE5-5D8C-4ABD-B3AE-1AC8F3019BD4}"/>
    <cellStyle name="style1741153469980" xfId="2857" xr:uid="{65B15AA3-D41F-41C9-9826-CE0B7F544CF7}"/>
    <cellStyle name="style1741153470003" xfId="2859" xr:uid="{19CD6086-7941-49DA-A2D4-F5B2974CDC30}"/>
    <cellStyle name="style1741153470034" xfId="2861" xr:uid="{8A6398A2-D00D-43C0-9461-A3F21D3FACD6}"/>
    <cellStyle name="style1741153470235" xfId="2862" xr:uid="{E94C5465-8BFC-4FD8-8F96-1567B6989168}"/>
    <cellStyle name="style1741153470267" xfId="2863" xr:uid="{A3AA576A-15C9-4637-8530-5DA692768043}"/>
    <cellStyle name="style1741153470303" xfId="2864" xr:uid="{B5AFDC2A-DCF3-46EE-AD1F-0935946A3665}"/>
    <cellStyle name="style1741153470319" xfId="2865" xr:uid="{F897844E-E8BE-4981-8D84-F310E5157EF7}"/>
    <cellStyle name="style1741153470350" xfId="2866" xr:uid="{8A3B179F-A3B1-4A90-A310-5E5EF309D64D}"/>
    <cellStyle name="style1741153470381" xfId="2867" xr:uid="{B6594648-EBE8-4A8F-9269-69E1EE25089B}"/>
    <cellStyle name="style1741153470403" xfId="2868" xr:uid="{16EF727D-BE98-41F3-9FFB-01CCCABA88E0}"/>
    <cellStyle name="style1741153470435" xfId="2869" xr:uid="{B1095F8D-5AE9-49D0-84CF-51DAF4FC7DB9}"/>
    <cellStyle name="style1741153470466" xfId="2870" xr:uid="{4818C93C-7A5A-4160-B85B-22E3D9C25B3A}"/>
    <cellStyle name="style1741153470620" xfId="2871" xr:uid="{C8841234-F5E8-4790-BD91-68D11C5D44BB}"/>
    <cellStyle name="style1741153470651" xfId="2872" xr:uid="{D83C802B-29D1-4309-841D-9B99FC46934C}"/>
    <cellStyle name="style1741153470666" xfId="2873" xr:uid="{02DB939C-5742-4D53-A50D-7032A71F0DC1}"/>
    <cellStyle name="style1741153470698" xfId="2874" xr:uid="{7ACC69A4-A5BA-4D2E-86A0-645B581B18D3}"/>
    <cellStyle name="style1741153470820" xfId="2875" xr:uid="{945E1CC7-5E44-4F9A-9C1E-89571F1F19B9}"/>
    <cellStyle name="style1741153470835" xfId="2876" xr:uid="{9D949B30-78F5-4720-8BBC-404DECB60D00}"/>
    <cellStyle name="style1741153472887" xfId="2877" xr:uid="{1D49E2DD-807D-4466-A280-7A712D042148}"/>
    <cellStyle name="style1741153472907" xfId="2878" xr:uid="{FE61A469-2A8B-432F-8E2E-321C3CDF688E}"/>
    <cellStyle name="style1741153472926" xfId="2879" xr:uid="{776E61A9-8EE9-4953-80E0-0353ABA05D22}"/>
    <cellStyle name="style1741153472952" xfId="2880" xr:uid="{18D59A12-B4F9-471E-BD5F-8B47F3E60E6C}"/>
    <cellStyle name="style1741153472967" xfId="2881" xr:uid="{C1B9BC0B-796C-4FDF-B931-4542037C94CC}"/>
    <cellStyle name="style1741153472983" xfId="2882" xr:uid="{E9D88BCB-0D31-424B-8892-FB5DF2E38EFC}"/>
    <cellStyle name="style1741153473014" xfId="2883" xr:uid="{B1BF201F-431F-4B0E-A55F-405DB82FB83D}"/>
    <cellStyle name="style1741153473036" xfId="2884" xr:uid="{87F5AECF-B892-4457-A547-11F0043808AA}"/>
    <cellStyle name="style1741153473051" xfId="2885" xr:uid="{E061675D-1331-41B0-AB09-470432FAF9D4}"/>
    <cellStyle name="style1741153473067" xfId="2886" xr:uid="{ED628E76-B9CA-4845-A0C6-342B5471C779}"/>
    <cellStyle name="style1741153473098" xfId="2887" xr:uid="{FC9A07E3-FEB0-4883-BCD5-9301A78B93A2}"/>
    <cellStyle name="style1741153473114" xfId="2888" xr:uid="{9479BA62-C3C9-49E2-95DF-31932E32575B}"/>
    <cellStyle name="style1741153473283" xfId="2889" xr:uid="{614AFFEB-C8C9-4CF3-9BE9-496E1D6FBE25}"/>
    <cellStyle name="style1741153473315" xfId="2890" xr:uid="{47A6F476-DADA-4E78-9D8B-5A9F9393D6A1}"/>
    <cellStyle name="style1741153473336" xfId="2891" xr:uid="{969D8B63-0701-403F-97CA-4F1A0BF708CB}"/>
    <cellStyle name="style1741153486654" xfId="2941" xr:uid="{092F8AE2-10D7-4532-9427-68251D1E9143}"/>
    <cellStyle name="style1741153486685" xfId="2942" xr:uid="{78111F5C-FF1E-41DB-A8D6-9ED73718154E}"/>
    <cellStyle name="style1741153486724" xfId="2940" xr:uid="{C26679D4-8BD0-458E-8673-ACE87B1C0C01}"/>
    <cellStyle name="style1741153486756" xfId="2943" xr:uid="{7477B81C-F0FE-42EF-A93E-38A36D0EADD5}"/>
    <cellStyle name="style1741153486785" xfId="2944" xr:uid="{A8368B4F-64AB-44C5-A02A-D79678335252}"/>
    <cellStyle name="style1741153486817" xfId="2945" xr:uid="{A4BB77F9-9709-4E89-9395-E7B2DD87A973}"/>
    <cellStyle name="style1741153486848" xfId="2946" xr:uid="{5712CC95-C140-4009-979B-699D87D4575C}"/>
    <cellStyle name="style1741153486878" xfId="2947" xr:uid="{7B7743E8-0032-458B-B016-26476A3B8274}"/>
    <cellStyle name="style1741153486909" xfId="2948" xr:uid="{5D0DEA93-4492-4A9B-9AB3-2D9890EBB553}"/>
    <cellStyle name="style1741153486938" xfId="2949" xr:uid="{DBD94B1F-3773-4C84-AD32-7D4DB8CDB7E8}"/>
    <cellStyle name="style1741153486970" xfId="2950" xr:uid="{5895A2A8-9A09-44B3-BEFA-33E9721BD707}"/>
    <cellStyle name="style1741153486998" xfId="2951" xr:uid="{9EF5CE82-3337-4BCF-B5AF-D8A3B4F258BA}"/>
    <cellStyle name="style1741153487029" xfId="2952" xr:uid="{83F5D28B-9C1A-4D9D-B49B-E20F26BC6452}"/>
    <cellStyle name="style1741153487063" xfId="2953" xr:uid="{5B5D1DC8-1B47-4C99-AD9D-202609123868}"/>
    <cellStyle name="style1741153487093" xfId="2954" xr:uid="{0D4F586F-EA61-4DB0-AB4D-728E36C99628}"/>
    <cellStyle name="style1741153487114" xfId="2955" xr:uid="{9C82131F-795B-454B-A4D4-B296A862E044}"/>
    <cellStyle name="style1741153487175" xfId="2956" xr:uid="{FB9535EB-7B05-405F-8ECB-D7A04269523B}"/>
    <cellStyle name="style1741153487203" xfId="2957" xr:uid="{E4C26D1A-4266-4A34-AFF2-259F45B74593}"/>
    <cellStyle name="style1741153487224" xfId="2958" xr:uid="{5B7EA593-E5DA-4C95-ACF8-B2205972DB0D}"/>
    <cellStyle name="style1741153487254" xfId="2959" xr:uid="{E6C66486-4E10-4E60-A884-9A17CDDE3894}"/>
    <cellStyle name="style1741153487285" xfId="2960" xr:uid="{DF9F7520-1D0E-4474-8C12-27AEECF3AD8A}"/>
    <cellStyle name="style1741153487308" xfId="2961" xr:uid="{A8A7A2BC-AAC4-4FF1-9BE2-9C5121EEE8E2}"/>
    <cellStyle name="style1741153487339" xfId="2962" xr:uid="{D07345CA-E83E-461F-8AE1-24810807A996}"/>
    <cellStyle name="style1741153487379" xfId="2963" xr:uid="{F6D3D917-056A-4364-AC8E-99F59BCEE293}"/>
    <cellStyle name="style1741153487408" xfId="2967" xr:uid="{70173E8B-5903-45D4-A3B4-103C7755E29E}"/>
    <cellStyle name="style1741153487438" xfId="2968" xr:uid="{6CDD2076-465F-4685-A522-F79C1F9474B9}"/>
    <cellStyle name="style1741153487471" xfId="2972" xr:uid="{E6F3D07A-37B3-4623-A4AD-DBB2648BE47E}"/>
    <cellStyle name="style1741153487501" xfId="2973" xr:uid="{2025990D-463E-4BE9-B60B-DB858FAD2766}"/>
    <cellStyle name="style1741153487532" xfId="2964" xr:uid="{F9B923F8-A078-4549-A11B-EF9519F426BE}"/>
    <cellStyle name="style1741153487570" xfId="2965" xr:uid="{6C99D9B6-3AD6-48CE-8531-4D0180F75D3A}"/>
    <cellStyle name="style1741153487601" xfId="2966" xr:uid="{1C08385A-7E74-4EE6-AE0D-B0EECE89F41E}"/>
    <cellStyle name="style1741153487623" xfId="2969" xr:uid="{DF3EA7BD-2605-4855-ACE2-84188037EE08}"/>
    <cellStyle name="style1741153487662" xfId="2970" xr:uid="{08069C08-7771-4A7C-9A5D-C6429FD7EBD4}"/>
    <cellStyle name="style1741153487684" xfId="2971" xr:uid="{4FBD5F1F-17BA-42E6-B8B7-4C5CEB5D5DA6}"/>
    <cellStyle name="style1741153487735" xfId="2974" xr:uid="{B19F6246-93F1-4A2A-B03F-ACBF985D8E57}"/>
    <cellStyle name="style1741153487766" xfId="2975" xr:uid="{A28BBDD8-2F1A-489E-BDC9-92D92FCEA71F}"/>
    <cellStyle name="style1741153487797" xfId="2976" xr:uid="{47AA0B10-D59F-4580-B3D6-FB192DB0CDB0}"/>
    <cellStyle name="style1741153542741" xfId="2893" xr:uid="{2A0E29BF-861D-4D3D-A851-272DFBE2914A}"/>
    <cellStyle name="style1741153542773" xfId="2894" xr:uid="{B81A132A-1CC4-40D2-B460-67AD32579EF6}"/>
    <cellStyle name="style1741153542789" xfId="2892" xr:uid="{5E24F6E7-5D13-46CB-95CF-07BCFADB1754}"/>
    <cellStyle name="style1741153542830" xfId="2895" xr:uid="{72253944-B224-4E4C-831B-411AD0AB536F}"/>
    <cellStyle name="style1741153542846" xfId="2896" xr:uid="{F7443C13-EE31-4E29-9710-94185B52A0C9}"/>
    <cellStyle name="style1741153542857" xfId="2897" xr:uid="{53FD4055-E96E-4880-B29A-5222601A3CAD}"/>
    <cellStyle name="style1741153542891" xfId="2901" xr:uid="{9B685644-A20C-4F8C-86D4-62A2E999B971}"/>
    <cellStyle name="style1741153542916" xfId="2902" xr:uid="{08896B7F-3D3F-4EE4-A6A2-5A84AE07E1F2}"/>
    <cellStyle name="style1741153542932" xfId="2903" xr:uid="{901307C6-87BA-4A8B-B251-0B1E9646E767}"/>
    <cellStyle name="style1741153542958" xfId="2907" xr:uid="{06ECEDC2-B89B-44CC-9E2D-BC506FA07198}"/>
    <cellStyle name="style1741153542991" xfId="2908" xr:uid="{362A5F3F-4F3A-441C-96D5-6E43B72F484E}"/>
    <cellStyle name="style1741153543022" xfId="2909" xr:uid="{CB25BBD6-439F-40E6-AE74-4A9912B6EFA8}"/>
    <cellStyle name="style1741153543038" xfId="2898" xr:uid="{C7D59BD9-B785-4B65-8CD4-290844E78549}"/>
    <cellStyle name="style1741153543074" xfId="2899" xr:uid="{1E293368-5A37-4FB8-A9A0-32CE5F55D504}"/>
    <cellStyle name="style1741153543108" xfId="2900" xr:uid="{338B24BD-8CB9-4D39-A9A2-19007B78DF17}"/>
    <cellStyle name="style1741153543123" xfId="2904" xr:uid="{6A7C7F50-0117-4A92-913B-1EBAE92BB6AF}"/>
    <cellStyle name="style1741153543158" xfId="2905" xr:uid="{013E8F35-0763-4322-9824-4C8924DC4E3E}"/>
    <cellStyle name="style1741153543191" xfId="2906" xr:uid="{EC4B0CDC-66BF-4A52-8495-588112A616CE}"/>
    <cellStyle name="style1741153543217" xfId="2910" xr:uid="{D10D19E4-802E-4003-B401-975543CF3537}"/>
    <cellStyle name="style1741153543248" xfId="2911" xr:uid="{C01432BC-1F63-419B-9F13-DA4260DBF407}"/>
    <cellStyle name="style1741153543274" xfId="2912" xr:uid="{30ED8B40-322A-410A-81D3-99CFB351D0AF}"/>
    <cellStyle name="style1741153543306" xfId="2913" xr:uid="{2CDA1CC3-4BE3-45C2-951A-84FB2289FE6B}"/>
    <cellStyle name="style1741153543337" xfId="2919" xr:uid="{9F9E9E40-47FD-4865-BDE9-D25E7ECABD94}"/>
    <cellStyle name="style1741153543374" xfId="2925" xr:uid="{EAC37F15-23F6-4C36-B9F9-426853A24A20}"/>
    <cellStyle name="style1741153543406" xfId="2914" xr:uid="{E8AD06EF-3C39-4783-B263-BCE5C202E57D}"/>
    <cellStyle name="style1741153543421" xfId="2920" xr:uid="{6DF25B7F-9E6C-48B5-A8FF-51C69A24D917}"/>
    <cellStyle name="style1741153543459" xfId="2926" xr:uid="{B7100D8D-7CDD-43BF-B171-D08293EFE6E7}"/>
    <cellStyle name="style1741153543491" xfId="2915" xr:uid="{DEA9A99F-48BD-46DA-93FB-FAA2B93B57B8}"/>
    <cellStyle name="style1741153543522" xfId="2921" xr:uid="{44D0C8A4-E6B3-49A8-A36B-97E3EFCF63B6}"/>
    <cellStyle name="style1741153543554" xfId="2927" xr:uid="{DE13B772-8892-43FE-988E-9A8858FEA0D1}"/>
    <cellStyle name="style1741153543576" xfId="2916" xr:uid="{D0F33C82-7FA3-4CF9-8E8F-76374A83D741}"/>
    <cellStyle name="style1741153543607" xfId="2917" xr:uid="{12258D8C-CB25-4C49-9517-E8E344016CCE}"/>
    <cellStyle name="style1741153543638" xfId="2918" xr:uid="{91B75FBB-FCD1-449B-A560-BED71359045A}"/>
    <cellStyle name="style1741153543659" xfId="2922" xr:uid="{78EC6778-39B9-4959-AC6D-70C1871BD65E}"/>
    <cellStyle name="style1741153543691" xfId="2923" xr:uid="{4B7984B4-8E9F-45A2-A171-BDA61FD454C6}"/>
    <cellStyle name="style1741153543722" xfId="2924" xr:uid="{22213C89-6D75-46C5-BC6F-5D36AD17ADE2}"/>
    <cellStyle name="style1741153543760" xfId="2928" xr:uid="{305D723B-5EF2-4062-A6C7-18E7036428A5}"/>
    <cellStyle name="style1741153543775" xfId="2929" xr:uid="{A5766A17-1AB4-4E0F-9467-3111348A4BEE}"/>
    <cellStyle name="style1741153543807" xfId="2930" xr:uid="{24D909D2-8507-4BF1-A2CD-E7DC3E6C2B67}"/>
    <cellStyle name="style1741153543838" xfId="2931" xr:uid="{41B381BC-B998-48D0-9A20-D6A315E1C356}"/>
    <cellStyle name="style1741153543875" xfId="2932" xr:uid="{79213583-1ED4-4300-9E01-DD9B2ECFC2E5}"/>
    <cellStyle name="style1741153543891" xfId="2933" xr:uid="{F5B4415B-29BE-4029-A8C3-167ECDF4570B}"/>
    <cellStyle name="style1741153543907" xfId="2934" xr:uid="{43356689-26F7-4477-A4CF-4FD70B113A42}"/>
    <cellStyle name="style1741153543922" xfId="2935" xr:uid="{5570A74D-D94A-468D-A8E4-7F694538E212}"/>
    <cellStyle name="style1741153543954" xfId="2936" xr:uid="{52C48823-C6DF-4440-91D5-E94498500E5D}"/>
    <cellStyle name="style1741153543976" xfId="2937" xr:uid="{A745E620-0D43-48DB-A8EF-8FC81C9D3AFA}"/>
    <cellStyle name="style1741153543991" xfId="2938" xr:uid="{F1443157-EC43-4D72-BC12-D39B6C05F4D3}"/>
    <cellStyle name="style1741153544023" xfId="2939" xr:uid="{02A6F1F3-AB1D-47D3-A13B-08CB0D4DC607}"/>
    <cellStyle name="style1741230117005" xfId="3015" xr:uid="{A416C37D-8143-4418-8E97-00213E9395C9}"/>
    <cellStyle name="style1741230117045" xfId="3016" xr:uid="{9071668A-5701-4D2B-A2C3-699D91B6A95C}"/>
    <cellStyle name="style1741230117075" xfId="3014" xr:uid="{39675E0B-ADCD-4DFE-B45B-3E07DF030058}"/>
    <cellStyle name="style1741230117101" xfId="3017" xr:uid="{2323465B-5B97-4625-B054-ECF6B1940A9D}"/>
    <cellStyle name="style1741230117116" xfId="3018" xr:uid="{E0D15A6B-1A53-4DA1-970C-CA00567E1E53}"/>
    <cellStyle name="style1741230117136" xfId="3022" xr:uid="{28A448DE-DE66-45FC-890D-2D0233A90820}"/>
    <cellStyle name="style1741230117171" xfId="3023" xr:uid="{10737603-FB47-45A7-8B7B-4F18BDBD1B9F}"/>
    <cellStyle name="style1741230117199" xfId="3027" xr:uid="{68E17E73-AFE6-4E0E-9565-67DB6DA1B747}"/>
    <cellStyle name="style1741230117231" xfId="3028" xr:uid="{C961F8DB-FE58-46BC-BA6F-9FA68A7C5A38}"/>
    <cellStyle name="style1741230117262" xfId="3019" xr:uid="{1F8234AB-92C1-4B74-8E25-98CCF42C5FC6}"/>
    <cellStyle name="style1741230117288" xfId="3020" xr:uid="{D3273378-1C31-437A-B88D-7E1D8B04109A}"/>
    <cellStyle name="style1741230117317" xfId="3021" xr:uid="{CF5C5A3B-E8A2-48E9-8F04-AF5DEDBFFDD5}"/>
    <cellStyle name="style1741230117345" xfId="3024" xr:uid="{2A4DA361-CFE4-41EC-8AAD-61C632FA58FE}"/>
    <cellStyle name="style1741230117381" xfId="3025" xr:uid="{7792CAC5-9187-433B-89C9-F5843B014DED}"/>
    <cellStyle name="style1741230117411" xfId="3026" xr:uid="{7055DF5F-3BB6-490F-8AA5-5DC53202E430}"/>
    <cellStyle name="style1741230117440" xfId="3029" xr:uid="{12BC5D18-B8DE-4722-86F7-586264B24B4F}"/>
    <cellStyle name="style1741230117468" xfId="3030" xr:uid="{A26A33C7-C413-4F1A-8978-1AFF47A20A27}"/>
    <cellStyle name="style1741230117492" xfId="3031" xr:uid="{8C80B7D9-C393-41D1-BA99-6CFCCA6451DC}"/>
    <cellStyle name="style1741230117518" xfId="3032" xr:uid="{5EAD9BA6-D122-496C-BB51-658865697A07}"/>
    <cellStyle name="style1741230117546" xfId="3033" xr:uid="{9D4D8F3A-72B1-42BF-8A35-A3F5BFE46154}"/>
    <cellStyle name="style1741230117585" xfId="3038" xr:uid="{57ABFD9E-BBE4-4807-B4B5-D5C3AC875888}"/>
    <cellStyle name="style1741230117609" xfId="3039" xr:uid="{AFE21421-9B31-4329-A11B-6556C36E9D5F}"/>
    <cellStyle name="style1741230117637" xfId="3044" xr:uid="{A9441022-6E1A-4337-9C9A-C8AC156EB09F}"/>
    <cellStyle name="style1741230117668" xfId="3045" xr:uid="{31DAC229-398A-4ACB-AA5C-25B2EFB6EFA5}"/>
    <cellStyle name="style1741230117696" xfId="3034" xr:uid="{6F691006-2BB1-4509-8D76-4F4597815891}"/>
    <cellStyle name="style1741230117716" xfId="3035" xr:uid="{D93B94ED-D3CB-4BD3-832F-BF8229D2764D}"/>
    <cellStyle name="style1741230117759" xfId="3036" xr:uid="{B1E009EE-FD24-4C12-A397-3ADD8A33A8EB}"/>
    <cellStyle name="style1741230117780" xfId="3037" xr:uid="{51F589A8-6392-40AA-BAE2-BFE970B68514}"/>
    <cellStyle name="style1741230117805" xfId="3040" xr:uid="{62713E16-BCCE-4455-86F3-524DEE2DDC13}"/>
    <cellStyle name="style1741230117837" xfId="3041" xr:uid="{7C14D822-76B1-45FA-B243-D7803F921DC9}"/>
    <cellStyle name="style1741230117855" xfId="3042" xr:uid="{0E8D3ECC-C034-42B8-A5EC-41CB7BC961BC}"/>
    <cellStyle name="style1741230117889" xfId="3043" xr:uid="{54AF77A6-0AA8-481B-9192-9AC17B7D541C}"/>
    <cellStyle name="style1741230117947" xfId="3046" xr:uid="{313EA1DD-77BB-41B4-AB04-2C048AAC698F}"/>
    <cellStyle name="style1741230117981" xfId="3047" xr:uid="{1F43282C-0BEC-4981-8189-F083C0800C33}"/>
    <cellStyle name="style1741230118011" xfId="3048" xr:uid="{C6B313C9-1A22-4011-A1C3-F5B3F33C6405}"/>
    <cellStyle name="style1741230118022" xfId="3049" xr:uid="{9A8D575F-2178-4C44-A1D3-13D451028791}"/>
    <cellStyle name="style1741230118217" xfId="3050" xr:uid="{1ED41737-33E2-48F0-B78F-FE483A0C718C}"/>
    <cellStyle name="style1741230118247" xfId="3051" xr:uid="{1B0CABF1-71F7-4765-8ED3-48B48EFFE981}"/>
    <cellStyle name="style1741230118255" xfId="3052" xr:uid="{161A8B52-1693-42BC-B90C-985E21B02ADD}"/>
    <cellStyle name="style1741230118293" xfId="3053" xr:uid="{326CAD57-CA52-4A6F-89A0-E95189E79126}"/>
    <cellStyle name="style1741230118317" xfId="3055" xr:uid="{945AD680-07F7-4D65-8DED-BFFA427F3761}"/>
    <cellStyle name="style1741230118353" xfId="3057" xr:uid="{E28567C7-2212-4980-83B3-0EAEECD4C550}"/>
    <cellStyle name="style1741230118384" xfId="3054" xr:uid="{8518D7F2-518D-496C-A2A5-96F574327291}"/>
    <cellStyle name="style1741230118395" xfId="3056" xr:uid="{6F8BBBE9-0D8D-4266-862B-CE9210E77B3D}"/>
    <cellStyle name="style1741230118441" xfId="3058" xr:uid="{9293FBD0-D222-4B77-BA2C-05639B7E760E}"/>
    <cellStyle name="style1741230118671" xfId="3059" xr:uid="{193A846E-47FD-4313-B392-95AEF63FE89A}"/>
    <cellStyle name="style1741230118694" xfId="3060" xr:uid="{8F24818F-1607-4390-A288-A68660A4DF20}"/>
    <cellStyle name="style1741230118741" xfId="3061" xr:uid="{FE9D8628-B00E-4274-AB7E-FB39B38AED62}"/>
    <cellStyle name="style1741230118762" xfId="3062" xr:uid="{F16A17DF-C5FE-45C9-8485-0820CABE5291}"/>
    <cellStyle name="style1741230118800" xfId="3063" xr:uid="{13DBCABA-DC3E-4834-83F8-5F326BB02B04}"/>
    <cellStyle name="style1741230118824" xfId="3064" xr:uid="{3EFCBEA6-2A6E-471F-BE62-0F68AACE3873}"/>
    <cellStyle name="style1741230118854" xfId="3065" xr:uid="{7DE30447-EA4A-42EB-AD2D-7783CC83ECF7}"/>
    <cellStyle name="style1741230118884" xfId="3066" xr:uid="{BCB5BBD1-6DEA-427E-AD11-82FEC0D7B1BB}"/>
    <cellStyle name="style1741230118919" xfId="3067" xr:uid="{1E372266-EDF7-48CB-B398-1729FDD63DC4}"/>
    <cellStyle name="style1741230119074" xfId="3068" xr:uid="{1B70763F-7433-4650-A532-F505B478BD4B}"/>
    <cellStyle name="style1741230119108" xfId="3069" xr:uid="{7681803C-E28E-4421-B2D2-0F1AA8FDC862}"/>
    <cellStyle name="style1741230119135" xfId="3070" xr:uid="{404D9434-9C3C-4740-B309-E780928E6627}"/>
    <cellStyle name="style1741230119156" xfId="3071" xr:uid="{51B28C25-60E4-4893-A509-221F915FF012}"/>
    <cellStyle name="style1741230119291" xfId="3072" xr:uid="{D5AF4B06-721A-4DBC-8112-9E2D0A525E49}"/>
    <cellStyle name="style1741230119311" xfId="3073" xr:uid="{647F2593-8107-48B8-8E9A-137DC2F615E6}"/>
    <cellStyle name="style1741230121562" xfId="3074" xr:uid="{EC4284DD-DE96-4141-9F98-D2F34E91448C}"/>
    <cellStyle name="style1741230121582" xfId="3075" xr:uid="{07A84665-46E7-453F-8A60-36198D771AB4}"/>
    <cellStyle name="style1741230121602" xfId="3076" xr:uid="{C7533231-9153-4E0B-B2BA-9967F3C12C77}"/>
    <cellStyle name="style1741230121624" xfId="3077" xr:uid="{F2ED5680-3815-4167-A074-D4749FBA488D}"/>
    <cellStyle name="style1741230121644" xfId="3078" xr:uid="{B2B0280F-6AE5-4E09-BED0-35050FC463D7}"/>
    <cellStyle name="style1741230121664" xfId="3079" xr:uid="{E1A3AFCC-C00A-43E9-A3E3-CAB37F6E1232}"/>
    <cellStyle name="style1741230121695" xfId="3080" xr:uid="{0E1422B2-8520-4A75-83B8-D125C2422867}"/>
    <cellStyle name="style1741230121716" xfId="3081" xr:uid="{1068F5EA-8715-4935-AF97-831F65666BC8}"/>
    <cellStyle name="style1741230121743" xfId="3082" xr:uid="{7A364CF6-C12F-4DF6-A043-96B5A6471CFD}"/>
    <cellStyle name="style1741230121776" xfId="3083" xr:uid="{EB3E7F81-2EF9-4128-B862-FF94C91DC55F}"/>
    <cellStyle name="style1741230121805" xfId="3084" xr:uid="{C5E3F585-9F0A-4806-A13C-2E2CACA91F63}"/>
    <cellStyle name="style1741230121830" xfId="3085" xr:uid="{22DB7479-D1A0-4C6F-A8E8-7DB0118F5B2C}"/>
    <cellStyle name="style1741230122034" xfId="3086" xr:uid="{57B81174-2651-4158-A584-FA51CF59D5AB}"/>
    <cellStyle name="style1741230122066" xfId="3087" xr:uid="{A3C73DBB-6A7F-443F-913D-1A13E7ED23FA}"/>
    <cellStyle name="style1741230122101" xfId="3088" xr:uid="{8A65BE0E-0AB1-44B4-A7E7-1FF01AE76443}"/>
    <cellStyle name="style1741230135217" xfId="2978" xr:uid="{177D6CCA-B6FB-460A-95F6-95E40DCD7957}"/>
    <cellStyle name="style1741230135233" xfId="2979" xr:uid="{3AE6DF67-B44D-47E6-8BDF-E48EB10061B8}"/>
    <cellStyle name="style1741230135275" xfId="2977" xr:uid="{DA26FCF5-292B-4D9F-BCE2-355E1FC0CAAE}"/>
    <cellStyle name="style1741230135291" xfId="2980" xr:uid="{E460FCB1-5178-4885-A3B3-CAD3B99376CD}"/>
    <cellStyle name="style1741230135336" xfId="2981" xr:uid="{BECA146E-63EE-43F3-8FF0-933C462A3F56}"/>
    <cellStyle name="style1741230135367" xfId="2982" xr:uid="{93990D98-7865-4904-8144-1BF689108F32}"/>
    <cellStyle name="style1741230135387" xfId="2983" xr:uid="{31AE69A4-3053-400A-9346-36AF60ACC02B}"/>
    <cellStyle name="style1741230135426" xfId="2984" xr:uid="{97602962-5D47-4F71-B398-C0D1FAD41669}"/>
    <cellStyle name="style1741230135452" xfId="2985" xr:uid="{ADF4B352-9BBD-46D3-90B1-59A5A7CAC838}"/>
    <cellStyle name="style1741230135482" xfId="2986" xr:uid="{5C2231E7-AE4F-4569-8C7F-70CEBA710D06}"/>
    <cellStyle name="style1741230135502" xfId="2987" xr:uid="{518FDC18-E290-439D-B831-C58B29FB9C6E}"/>
    <cellStyle name="style1741230135538" xfId="2988" xr:uid="{B2FB35D6-1EDD-4357-BD25-C6AC9A292BF1}"/>
    <cellStyle name="style1741230135560" xfId="2989" xr:uid="{33321945-CAC2-4496-8455-4C23D0F35C16}"/>
    <cellStyle name="style1741230135592" xfId="2990" xr:uid="{89CABDCC-569E-4277-B085-DDB035A77C38}"/>
    <cellStyle name="style1741230135618" xfId="2991" xr:uid="{B7234FBF-D3D2-4D2C-B069-21CA483E42DC}"/>
    <cellStyle name="style1741230135634" xfId="2992" xr:uid="{48B5DCF8-B783-46AC-A791-F70B53B9E213}"/>
    <cellStyle name="style1741230135691" xfId="2993" xr:uid="{959EAF59-7679-4A5A-A556-C32E848E191F}"/>
    <cellStyle name="style1741230135707" xfId="2994" xr:uid="{027817C0-681C-4A2D-9B20-26AB8DF260F1}"/>
    <cellStyle name="style1741230135738" xfId="2995" xr:uid="{7E98F413-EAA6-4AF3-85D6-FEB4D37297FB}"/>
    <cellStyle name="style1741230135767" xfId="2996" xr:uid="{1108F6FF-6567-4E6E-83B3-812A3401FCA2}"/>
    <cellStyle name="style1741230135797" xfId="2997" xr:uid="{8B96E3C3-6312-430B-AB0B-C818188963DF}"/>
    <cellStyle name="style1741230135827" xfId="2998" xr:uid="{EB4F3872-2841-4513-A9F2-566D5F13E52F}"/>
    <cellStyle name="style1741230135860" xfId="2999" xr:uid="{AA441EF1-D261-4F88-AC1D-E0C003709749}"/>
    <cellStyle name="style1741230135896" xfId="3000" xr:uid="{4E96C5B7-A002-4FE1-B1CB-E5FB2B49CFA1}"/>
    <cellStyle name="style1741230135927" xfId="3004" xr:uid="{8A5A36CA-8D90-4123-A578-F8E885225419}"/>
    <cellStyle name="style1741230135946" xfId="3005" xr:uid="{C93E3CCB-887B-4F8D-9854-D68B870CE15D}"/>
    <cellStyle name="style1741230135993" xfId="3009" xr:uid="{87D1D624-73D9-4248-B990-996E38CBF220}"/>
    <cellStyle name="style1741230136020" xfId="3010" xr:uid="{ADBE3158-3DB2-496A-AC00-B1679931EDD5}"/>
    <cellStyle name="style1741230136048" xfId="3001" xr:uid="{57C86333-0F66-477D-BE07-259CE44E78D6}"/>
    <cellStyle name="style1741230136080" xfId="3002" xr:uid="{93DEF4DD-D583-459A-970E-1CC5530D1FBB}"/>
    <cellStyle name="style1741230136113" xfId="3003" xr:uid="{4B7F8EC9-B8C8-4B96-A082-DE118D580B5B}"/>
    <cellStyle name="style1741230136144" xfId="3006" xr:uid="{6006D2A4-985A-4973-90C0-7860198F0C90}"/>
    <cellStyle name="style1741230136175" xfId="3007" xr:uid="{089EF2E3-9507-4877-8630-36CA5245CA83}"/>
    <cellStyle name="style1741230136211" xfId="3008" xr:uid="{C2C5737E-A8B9-486A-ADBE-696608E1EAE1}"/>
    <cellStyle name="style1741230136281" xfId="3011" xr:uid="{DEAF6115-DEB5-4643-A5C7-73658329D5C7}"/>
    <cellStyle name="style1741230136309" xfId="3012" xr:uid="{30D986F1-EFF4-4DCE-9D07-DAA1B37628E7}"/>
    <cellStyle name="style1741230136338" xfId="3013" xr:uid="{AA6F4C62-206D-42A8-80B0-256D194F48C0}"/>
    <cellStyle name="style1741230189510" xfId="3090" xr:uid="{B01D0F40-1CD8-441D-988C-282170B970AD}"/>
    <cellStyle name="style1741230189546" xfId="3091" xr:uid="{F7664A86-95E8-439F-991A-66DDDF35E3D2}"/>
    <cellStyle name="style1741230189578" xfId="3089" xr:uid="{601B1A11-9FA7-406C-997F-C70EECC019CD}"/>
    <cellStyle name="style1741230189599" xfId="3092" xr:uid="{50376FEC-C701-43CF-BDA9-F2629CF566A1}"/>
    <cellStyle name="style1741230189615" xfId="3093" xr:uid="{F2210C0B-01F1-4024-9785-646A3D8F9947}"/>
    <cellStyle name="style1741230189651" xfId="3094" xr:uid="{84D0A0A1-1B3E-4406-85E7-C78B21BC320E}"/>
    <cellStyle name="style1741230189660" xfId="3098" xr:uid="{A657CA71-7318-4719-989A-EA411288754D}"/>
    <cellStyle name="style1741230189701" xfId="3099" xr:uid="{1D10B832-210D-470B-98A6-AA44A6F47C3F}"/>
    <cellStyle name="style1741230189713" xfId="3100" xr:uid="{F2988914-C44E-4801-A0C0-8F1A377867B9}"/>
    <cellStyle name="style1741230189745" xfId="3104" xr:uid="{B67CF543-8C77-4720-B21F-98A7C3C50208}"/>
    <cellStyle name="style1741230189778" xfId="3105" xr:uid="{E7EBF936-E340-4B28-BD2B-772A41AF03C6}"/>
    <cellStyle name="style1741230189794" xfId="3106" xr:uid="{91CDE1FA-5EB6-4655-8F4D-1BC472841A78}"/>
    <cellStyle name="style1741230189835" xfId="3095" xr:uid="{6441A8B3-CF59-4AA2-B5CB-74BB913BFB5B}"/>
    <cellStyle name="style1741230189862" xfId="3096" xr:uid="{02E192BA-4B6E-44DE-9E99-FE7E5E7BF694}"/>
    <cellStyle name="style1741230189884" xfId="3097" xr:uid="{E5420A42-8B8D-4504-8EA1-14E4B6BE1522}"/>
    <cellStyle name="style1741230189922" xfId="3101" xr:uid="{4E52FB0D-EDAE-447A-B61F-44C5BA7BE9AF}"/>
    <cellStyle name="style1741230189945" xfId="3102" xr:uid="{C4DBD154-B2D2-4EAD-BE9C-23DBF3C999BD}"/>
    <cellStyle name="style1741230189976" xfId="3103" xr:uid="{9ABC1960-EA80-436F-BA0E-7AEAEC252DEA}"/>
    <cellStyle name="style1741230190011" xfId="3107" xr:uid="{E57CDEA8-8B49-478E-AFD1-B450B164C36F}"/>
    <cellStyle name="style1741230190030" xfId="3108" xr:uid="{A82A9E55-366A-42F7-94AD-D4D0F85890E5}"/>
    <cellStyle name="style1741230190061" xfId="3109" xr:uid="{E1E891C9-BB76-436F-B958-8AA5A90BFD78}"/>
    <cellStyle name="style1741230190084" xfId="3110" xr:uid="{A0996953-B8F8-46B4-90B8-3B8F6B1489FD}"/>
    <cellStyle name="style1741230190123" xfId="3116" xr:uid="{0645CDBD-E1AB-4E97-890F-817C53EDE213}"/>
    <cellStyle name="style1741230190152" xfId="3122" xr:uid="{6C78679E-01DE-4589-981B-C0421EF6047A}"/>
    <cellStyle name="style1741230190186" xfId="3111" xr:uid="{15B68660-6D85-4CE5-BC08-8417250C484D}"/>
    <cellStyle name="style1741230190210" xfId="3117" xr:uid="{6755E7E0-C065-42CF-A47D-99279AB6644F}"/>
    <cellStyle name="style1741230190243" xfId="3123" xr:uid="{4A394F51-AAE2-4C62-B073-ADA7FEE19FDA}"/>
    <cellStyle name="style1741230190262" xfId="3112" xr:uid="{0A5D7CF4-C3FC-4829-A9F3-CEA29FCEF817}"/>
    <cellStyle name="style1741230190285" xfId="3118" xr:uid="{5BFAAF18-B691-4809-B84A-F80AD6C54F1D}"/>
    <cellStyle name="style1741230190326" xfId="3124" xr:uid="{121FE71F-3917-41D0-B11C-99730773FF60}"/>
    <cellStyle name="style1741230190343" xfId="3113" xr:uid="{80366A58-D278-4A58-AC2E-E3586372D803}"/>
    <cellStyle name="style1741230190385" xfId="3114" xr:uid="{711688D3-94A6-4B5E-9890-EE30CA9D051B}"/>
    <cellStyle name="style1741230190413" xfId="3115" xr:uid="{E2E6723E-DAFB-4CC9-A042-2E28FBD946D1}"/>
    <cellStyle name="style1741230190442" xfId="3119" xr:uid="{0CF0BAFB-FEE1-4B1C-AF2A-9A4B3FA4573E}"/>
    <cellStyle name="style1741230190469" xfId="3120" xr:uid="{7DC9CB46-9EB4-4F3F-BB91-31865C161AB9}"/>
    <cellStyle name="style1741230190501" xfId="3121" xr:uid="{B99B3513-E267-44C2-B230-6A3B48641890}"/>
    <cellStyle name="style1741230190521" xfId="3125" xr:uid="{D3ECA452-D6F9-4135-B8D7-BA1B666FA196}"/>
    <cellStyle name="style1741230190550" xfId="3126" xr:uid="{C38F621E-0A9C-4B0D-896D-515CCD70803F}"/>
    <cellStyle name="style1741230190587" xfId="3127" xr:uid="{E843E425-8638-4355-8867-0FD718D465EB}"/>
    <cellStyle name="style1741230190621" xfId="3128" xr:uid="{A660565E-3527-4E58-B408-16DCEB0F3383}"/>
    <cellStyle name="style1741230190642" xfId="3129" xr:uid="{CC781714-776B-469C-9A4A-9D9D394AAAC3}"/>
    <cellStyle name="style1741230190662" xfId="3130" xr:uid="{F2560BBD-BF88-4F72-A375-F624551EE3A1}"/>
    <cellStyle name="style1741230190677" xfId="3131" xr:uid="{687E9E9F-0D93-4206-96E5-3BCDDAB2EC5A}"/>
    <cellStyle name="style1741230190702" xfId="3132" xr:uid="{FB52D457-A133-4EA6-A688-27FAB267CE50}"/>
    <cellStyle name="style1741230190711" xfId="3133" xr:uid="{7BB22D19-6A42-4056-91FB-EE657A86E1B4}"/>
    <cellStyle name="style1741230190745" xfId="3134" xr:uid="{D9951601-7A8D-4F8B-B9B6-299E38168226}"/>
    <cellStyle name="style1741230190753" xfId="3135" xr:uid="{5141132F-8FCB-4805-9659-774206276C1C}"/>
    <cellStyle name="style1741230190788" xfId="3136" xr:uid="{4A2038D7-03B5-41A6-936C-44FC8ED4B1B4}"/>
    <cellStyle name="style1745376573652" xfId="3138" xr:uid="{422D9256-46FC-4B6B-BE48-5F3D73084BE7}"/>
    <cellStyle name="style1745376573723" xfId="3139" xr:uid="{0BDCF0D7-D92A-46A2-AADF-A8C76D697903}"/>
    <cellStyle name="style1745376573770" xfId="3137" xr:uid="{3F073983-DB85-4CFD-8FE9-EBB50A6CC7D0}"/>
    <cellStyle name="style1745376573841" xfId="3140" xr:uid="{F85DC302-99E6-4FF6-B4E5-269C874A42F0}"/>
    <cellStyle name="style1745376573884" xfId="3141" xr:uid="{D1EE22F7-7A4B-4CAF-A8BB-E78EB7D1C582}"/>
    <cellStyle name="style1745376573935" xfId="3145" xr:uid="{44A2A519-DD98-4DE4-8BB8-29213B91EDC0}"/>
    <cellStyle name="style1745376573988" xfId="3146" xr:uid="{92164E65-6841-4AF3-9F94-2C634B8DA9B9}"/>
    <cellStyle name="style1745376574065" xfId="3150" xr:uid="{908DC97B-1DB3-4858-84E7-23CD433F9101}"/>
    <cellStyle name="style1745376574123" xfId="3151" xr:uid="{3B61CC9E-6D2C-4332-AB8C-EE9C0E4F2DF8}"/>
    <cellStyle name="style1745376574170" xfId="3142" xr:uid="{3F3B9EDD-42C2-4EE1-A16B-F9BD9B826270}"/>
    <cellStyle name="style1745376574236" xfId="3143" xr:uid="{7B1288B1-2089-449E-879C-70F5182158A5}"/>
    <cellStyle name="style1745376574286" xfId="3144" xr:uid="{98A10DB9-2344-458B-A942-974221213F04}"/>
    <cellStyle name="style1745376574339" xfId="3147" xr:uid="{8FDDA1CB-DF58-4A13-9371-7E620AD0D147}"/>
    <cellStyle name="style1745376574415" xfId="3148" xr:uid="{5B0C6922-2970-4B80-84EE-563007C0E59C}"/>
    <cellStyle name="style1745376574481" xfId="3149" xr:uid="{90B5972E-8AED-4C91-A8EF-696F881466FA}"/>
    <cellStyle name="style1745376574596" xfId="3152" xr:uid="{5221E940-F110-4946-B385-FCF516D7F08D}"/>
    <cellStyle name="style1745376574682" xfId="3153" xr:uid="{99A45ADB-D3FF-432D-8A0A-06769D8C3910}"/>
    <cellStyle name="style1745376574791" xfId="3154" xr:uid="{458C9137-EA8C-4287-A915-5C56ADA0AF6B}"/>
    <cellStyle name="style1745376574868" xfId="3155" xr:uid="{68DF485F-01A7-4AFC-89AF-1A5488104D33}"/>
    <cellStyle name="style1745376574945" xfId="3156" xr:uid="{B739BA34-7BA1-421D-8C06-B17D6A76B2EF}"/>
    <cellStyle name="style1745376575019" xfId="3161" xr:uid="{9AFE487F-774C-4B1A-B533-3FE587A33B05}"/>
    <cellStyle name="style1745376575078" xfId="3162" xr:uid="{BA059F9B-0CD0-4817-9C17-987DC0649C08}"/>
    <cellStyle name="style1745376575189" xfId="3167" xr:uid="{E05040E5-0E68-485D-B8C2-1061DB78B42F}"/>
    <cellStyle name="style1745376575252" xfId="3168" xr:uid="{322C98E2-29FF-4B9C-BEBD-B9C3F113F45B}"/>
    <cellStyle name="style1745376575325" xfId="3157" xr:uid="{C22C7945-F251-4323-B4F6-C6F37C262204}"/>
    <cellStyle name="style1745376575413" xfId="3158" xr:uid="{3EB19881-FF4D-4AF6-9295-C654DDD30BD4}"/>
    <cellStyle name="style1745376575466" xfId="3159" xr:uid="{91F581C4-232C-45FA-BCB8-1ABE48F3FDF2}"/>
    <cellStyle name="style1745376575507" xfId="3160" xr:uid="{4D2171B7-A67C-486B-8CAF-1FF6A47240B7}"/>
    <cellStyle name="style1745376575576" xfId="3163" xr:uid="{3FEF80AF-719E-40EB-8FE3-F51DEB97DF46}"/>
    <cellStyle name="style1745376575619" xfId="3164" xr:uid="{A0C81293-FF55-482E-BA53-71D4BC03CBDE}"/>
    <cellStyle name="style1745376575671" xfId="3165" xr:uid="{589CB122-6618-4480-9516-4D5AEC9CC510}"/>
    <cellStyle name="style1745376575733" xfId="3166" xr:uid="{ABD50BED-A7E5-4273-B9F5-043675E29331}"/>
    <cellStyle name="style1745376575924" xfId="3169" xr:uid="{B591E321-1352-410D-83FC-0E114295C3B4}"/>
    <cellStyle name="style1745376576003" xfId="3170" xr:uid="{1C7EB41C-C17C-4916-83ED-93B831A85379}"/>
    <cellStyle name="style1745376576074" xfId="3171" xr:uid="{22B45A93-0CEB-4832-A8EB-1871D8AD7BB6}"/>
    <cellStyle name="style1745376576155" xfId="3172" xr:uid="{99395840-D8C8-41F5-AA6E-4A1E17E12A6C}"/>
    <cellStyle name="style1745376576611" xfId="3173" xr:uid="{02182F33-95CB-401D-B8F0-980D64BD1996}"/>
    <cellStyle name="style1745376576661" xfId="3174" xr:uid="{B80F7C98-CDCD-451D-B850-517A90018C28}"/>
    <cellStyle name="style1745376576698" xfId="3175" xr:uid="{1B67FC4E-4E6B-4798-ABEA-45B8725408CD}"/>
    <cellStyle name="style1745376576746" xfId="3176" xr:uid="{A423E578-1331-4EE0-88A5-4E10D92C618B}"/>
    <cellStyle name="style1745376576786" xfId="3178" xr:uid="{F5895016-58C3-40E8-AFD8-62293CD788DC}"/>
    <cellStyle name="style1745376576853" xfId="3180" xr:uid="{D0B2C618-65AE-467C-A3E4-2726DF1FF991}"/>
    <cellStyle name="style1745376576920" xfId="3177" xr:uid="{935054D2-B3CE-4234-B757-320E5E5DCCAF}"/>
    <cellStyle name="style1745376576956" xfId="3179" xr:uid="{E9DE87A2-F2F7-4CF3-8218-1BE7F9D8D285}"/>
    <cellStyle name="style1745376577014" xfId="3181" xr:uid="{F5DA7BB2-D571-4EB7-8F2A-BA3C7710ACA8}"/>
    <cellStyle name="style1745376577571" xfId="3182" xr:uid="{010DE5F9-E6CE-4309-842D-70B22BC09085}"/>
    <cellStyle name="style1745376577613" xfId="3183" xr:uid="{3D3A91B6-8D87-488B-A7D6-328800584D3E}"/>
    <cellStyle name="style1745376577666" xfId="3184" xr:uid="{8B2F4DA1-C268-4A35-9414-2B1670C04BF5}"/>
    <cellStyle name="style1745376577700" xfId="3185" xr:uid="{0D854BE2-A8D8-4D23-B44D-980EB61424E4}"/>
    <cellStyle name="style1745376577750" xfId="3186" xr:uid="{02E39F13-5E6A-4843-BA80-D020309BE560}"/>
    <cellStyle name="style1745376577801" xfId="3187" xr:uid="{CFDB8658-9DCC-4622-B10D-6FA46FD35FFE}"/>
    <cellStyle name="style1745376577848" xfId="3188" xr:uid="{8B7FAE97-6A28-42C6-8B67-4EC30D4BEC17}"/>
    <cellStyle name="style1745376577900" xfId="3189" xr:uid="{56A6F43D-C5E9-49DA-9FA5-E1CED19B65F7}"/>
    <cellStyle name="style1745376577933" xfId="3190" xr:uid="{5BF5327C-684D-4ABA-8D02-358811DEBE5C}"/>
    <cellStyle name="style1745376578203" xfId="3191" xr:uid="{1DD2F364-0AD6-413F-8B2E-5921F6F06590}"/>
    <cellStyle name="style1745376578254" xfId="3192" xr:uid="{7A699F6B-333E-460C-9E07-295A899241DC}"/>
    <cellStyle name="style1745376578295" xfId="3193" xr:uid="{6956ADAE-580D-4C60-8963-D24920E6FB3F}"/>
    <cellStyle name="style1745376578350" xfId="3194" xr:uid="{989AA397-6E2A-4DFD-BA82-0ECBE3DC4F6C}"/>
    <cellStyle name="style1745376578595" xfId="3195" xr:uid="{51C5C7C1-0A68-4787-A7B3-E329A86BFB64}"/>
    <cellStyle name="style1745376578616" xfId="3196" xr:uid="{1485FE59-F264-462E-AB16-7836EB46E89A}"/>
    <cellStyle name="style1745376581727" xfId="3197" xr:uid="{1AFD1250-A317-4C76-8BCC-5CBDC72C2DB1}"/>
    <cellStyle name="style1745376581764" xfId="3198" xr:uid="{9917CC87-286C-4809-87EC-5DB148F2BB6C}"/>
    <cellStyle name="style1745376581796" xfId="3199" xr:uid="{0AFBF227-358C-4B20-8A95-9E42200B865D}"/>
    <cellStyle name="style1745376581834" xfId="3200" xr:uid="{F8FA42E6-33A0-46A0-BE8B-80AFB9868D60}"/>
    <cellStyle name="style1745376581874" xfId="3201" xr:uid="{20583715-D455-44E3-BBF4-5DCFDF942517}"/>
    <cellStyle name="style1745376581912" xfId="3202" xr:uid="{DFEE92C3-3D2B-4FE2-BB27-03BFEAF2EA01}"/>
    <cellStyle name="style1745376581950" xfId="3203" xr:uid="{9E610A05-C780-4F9B-8B6D-4F5D5FF4CF9C}"/>
    <cellStyle name="style1745376581987" xfId="3204" xr:uid="{4B104BD5-6E16-4E8E-86A4-8A18725F7939}"/>
    <cellStyle name="style1745376582010" xfId="3205" xr:uid="{0FD4210B-D32F-4CA2-9981-CAE6C7E3EFB9}"/>
    <cellStyle name="style1745376582044" xfId="3206" xr:uid="{5497C94C-03C2-4CBC-9E80-39B8B309BA00}"/>
    <cellStyle name="style1745376582095" xfId="3207" xr:uid="{B7DC3A79-86F7-4302-BF8B-AC6226030CDF}"/>
    <cellStyle name="style1745376582117" xfId="3208" xr:uid="{930D7A1D-C5E4-492D-AAA9-BADFD18F15D8}"/>
    <cellStyle name="style1745376582394" xfId="3209" xr:uid="{805B2CBA-CE6F-4E52-8C0E-9E649FD74700}"/>
    <cellStyle name="style1745376582455" xfId="3210" xr:uid="{63B4AA47-9349-4A15-BB83-4F21C3B1A7C3}"/>
    <cellStyle name="style1745376582494" xfId="3211" xr:uid="{7B3CC404-DC9A-4EF7-A4C9-0ECDCC4E1F57}"/>
    <cellStyle name="style1746493918184" xfId="3213" xr:uid="{BCB553F8-75B0-4F29-85E8-7F9135105765}"/>
    <cellStyle name="style1746493918221" xfId="3214" xr:uid="{D1200E0C-18ED-46FA-BCD8-FCA9A57502FA}"/>
    <cellStyle name="style1746493918268" xfId="3212" xr:uid="{76D769F3-DBF1-48EB-B3C9-972184EFAC43}"/>
    <cellStyle name="style1746493918312" xfId="3215" xr:uid="{DFECE4CE-AF01-49E5-993D-7C09A0995BA1}"/>
    <cellStyle name="style1746493918347" xfId="3216" xr:uid="{C98E232B-9EA4-4FC4-B1CA-1319DE227230}"/>
    <cellStyle name="style1746493918382" xfId="3217" xr:uid="{205E2807-8A20-4224-9C79-9A090890EFCD}"/>
    <cellStyle name="style1746493918431" xfId="3221" xr:uid="{18C513E6-D81A-40A9-9388-0910D94779F9}"/>
    <cellStyle name="style1746493918488" xfId="3222" xr:uid="{547682D4-8204-4E17-A9FA-8AEAD1CD57F0}"/>
    <cellStyle name="style1746493918510" xfId="3223" xr:uid="{D53C3252-55EA-4E46-86E3-77BE483D489D}"/>
    <cellStyle name="style1746493918557" xfId="3227" xr:uid="{BAA1A51C-7D1F-457D-A759-884594CE98CE}"/>
    <cellStyle name="style1746493918619" xfId="3228" xr:uid="{E7CECD0C-C781-4C1C-988E-9A4B023BEECE}"/>
    <cellStyle name="style1746493918679" xfId="3229" xr:uid="{942CE359-807E-4BC5-B5B5-A22ABF433580}"/>
    <cellStyle name="style1746493918740" xfId="3218" xr:uid="{C9D85C5F-10E3-4DCA-A659-DFA5FCA29EB1}"/>
    <cellStyle name="style1746493918801" xfId="3219" xr:uid="{44167769-1831-48C8-AD57-31C56B9D3685}"/>
    <cellStyle name="style1746493918868" xfId="3220" xr:uid="{0F1DCEDE-1BFD-4253-9E17-8962F7CB2E97}"/>
    <cellStyle name="style1746493918920" xfId="3224" xr:uid="{BA72FE07-2CEC-4EB3-B76D-C243C760832F}"/>
    <cellStyle name="style1746493918963" xfId="3225" xr:uid="{8C9CBE99-FE87-4982-A5DA-06BF6C413100}"/>
    <cellStyle name="style1746493919013" xfId="3226" xr:uid="{76E4199D-9502-4FEB-AEFB-6956D7B54F38}"/>
    <cellStyle name="style1746493919074" xfId="3230" xr:uid="{25199E30-7B2F-424B-9EDB-7A79FDCD6687}"/>
    <cellStyle name="style1746493919124" xfId="3231" xr:uid="{6455075B-0B97-4AC7-AC17-E3F919EE6CC3}"/>
    <cellStyle name="style1746493919173" xfId="3232" xr:uid="{EAD1A048-7693-4B66-BF97-3FC272A30814}"/>
    <cellStyle name="style1746493919216" xfId="3233" xr:uid="{E6507306-6BDE-4A66-A8AF-6871AE5E8EBE}"/>
    <cellStyle name="style1746493919266" xfId="3239" xr:uid="{1AA1829D-7864-441F-B72A-35421A227284}"/>
    <cellStyle name="style1746493919306" xfId="3245" xr:uid="{279828B1-BFAD-4DE9-845E-320DD827C75B}"/>
    <cellStyle name="style1746493919347" xfId="3234" xr:uid="{BE9F28AF-BB07-4548-8AFA-8B56C3740FC5}"/>
    <cellStyle name="style1746493919385" xfId="3240" xr:uid="{CD5D8EA6-90CE-4CF5-BE5A-FA876C579B85}"/>
    <cellStyle name="style1746493919428" xfId="3246" xr:uid="{DE692BB7-9518-4B38-984F-D36F7BF11C3A}"/>
    <cellStyle name="style1746493919468" xfId="3235" xr:uid="{CFB77B9E-CE43-4608-979E-94FB2A652471}"/>
    <cellStyle name="style1746493919509" xfId="3241" xr:uid="{2D1DCDCC-41FB-4B7F-A401-72C27BE943BF}"/>
    <cellStyle name="style1746493919549" xfId="3247" xr:uid="{64F71EEB-31E3-428A-8B7C-73D271A2F0A9}"/>
    <cellStyle name="style1746493919587" xfId="3236" xr:uid="{1E939330-FA1E-40A4-A75B-58961A3B5D37}"/>
    <cellStyle name="style1746493919638" xfId="3237" xr:uid="{C201AC7A-0761-4667-A39E-E9E62FCE56B7}"/>
    <cellStyle name="style1746493919670" xfId="3238" xr:uid="{2FE87BDE-2F6D-40D0-A234-C5B52C747BC0}"/>
    <cellStyle name="style1746493919711" xfId="3242" xr:uid="{B982AA63-F572-4C84-B634-8E6A5986EEFD}"/>
    <cellStyle name="style1746493919741" xfId="3243" xr:uid="{91EE09DE-06F2-47BA-8744-AAEF9BF55D5D}"/>
    <cellStyle name="style1746493919780" xfId="3244" xr:uid="{8828F2A0-37A3-4DA0-896A-F56F34F54C36}"/>
    <cellStyle name="style1746493919812" xfId="3248" xr:uid="{429BF988-1F15-4385-9784-116D9CC70FE4}"/>
    <cellStyle name="style1746493919850" xfId="3249" xr:uid="{EACA2AF2-4C58-4E80-805C-1B16AD605824}"/>
    <cellStyle name="style1746493919883" xfId="3250" xr:uid="{75286AD9-816C-4C55-B1C2-0819AD740C2A}"/>
    <cellStyle name="style1746493919923" xfId="3251" xr:uid="{F6307A52-AD07-47BE-8498-379E54CB9D55}"/>
    <cellStyle name="style1746493919952" xfId="3252" xr:uid="{0DCAD284-B38D-4E9A-83CF-1C38937809E9}"/>
    <cellStyle name="style1746493919974" xfId="3253" xr:uid="{C917CF37-CC1D-4DDE-9DAB-B12B83053DE7}"/>
    <cellStyle name="style1746493920004" xfId="3254" xr:uid="{6A6CDDBD-BEA1-4009-932F-DD1F2526C54D}"/>
    <cellStyle name="style1746493920034" xfId="3255" xr:uid="{67A5DB95-DF50-45F7-A6B4-CB8A7805BF5E}"/>
    <cellStyle name="style1746493920065" xfId="3256" xr:uid="{D9A5FDE6-12D2-45B3-8F08-03C4D9A734F4}"/>
    <cellStyle name="style1746493920095" xfId="3257" xr:uid="{3CD1F308-5765-4000-A99F-3FE4AB3ECD22}"/>
    <cellStyle name="style1746493920123" xfId="3258" xr:uid="{8951A455-8AB8-4F77-B561-72F19582868F}"/>
    <cellStyle name="style1746493920146" xfId="3259" xr:uid="{C8FF2FD8-148A-4080-8880-72EEF63FECB5}"/>
    <cellStyle name="style1755226061847" xfId="3261" xr:uid="{FB902FBB-A8AB-49E1-B25C-F8C9BA44F667}"/>
    <cellStyle name="style1755226061889" xfId="3262" xr:uid="{DBD3DA68-A5C2-4AA7-B418-04E02D3021A3}"/>
    <cellStyle name="style1755226061921" xfId="3260" xr:uid="{D6511734-23C5-4B46-9B7A-07A76C57CA56}"/>
    <cellStyle name="style1755226061956" xfId="3263" xr:uid="{9FDC3D86-0AEF-404F-AC31-2DA3789B6D23}"/>
    <cellStyle name="style1755226061978" xfId="3264" xr:uid="{B02C67B4-1D94-41D1-85F5-6EC134EE1736}"/>
    <cellStyle name="style1755226062000" xfId="3268" xr:uid="{D3486554-41B5-45FB-91C8-17C83CEF0716}"/>
    <cellStyle name="style1755226062031" xfId="3269" xr:uid="{777CFF4D-C29C-4A94-8F83-1DB4D13374C1}"/>
    <cellStyle name="style1755226062060" xfId="3273" xr:uid="{E179B13D-F8E7-42F6-A8EC-63F7A69430A1}"/>
    <cellStyle name="style1755226062088" xfId="3274" xr:uid="{DEB75223-47F5-4165-93DB-D2D248A94AA1}"/>
    <cellStyle name="style1755226062110" xfId="3265" xr:uid="{C3FD16C6-118F-42E8-81AE-4E9A52966466}"/>
    <cellStyle name="style1755226062142" xfId="3266" xr:uid="{89ABE22D-E814-45F4-BD13-A9AA476E2BF6}"/>
    <cellStyle name="style1755226062174" xfId="3267" xr:uid="{4CA0B665-C235-42CD-B282-B792967B0B26}"/>
    <cellStyle name="style1755226062190" xfId="3270" xr:uid="{19BD1106-6511-4F06-80D3-E44223155058}"/>
    <cellStyle name="style1755226062223" xfId="3271" xr:uid="{E8F449A1-E706-4B3F-8749-6B2CBB590188}"/>
    <cellStyle name="style1755226062261" xfId="3272" xr:uid="{C254A7DE-02BC-401D-B459-F71242EEBD06}"/>
    <cellStyle name="style1755226062302" xfId="3275" xr:uid="{44A87F82-EA70-4209-B34B-46F6592B57EA}"/>
    <cellStyle name="style1755226062332" xfId="3276" xr:uid="{11F380D3-D632-41DE-9174-BE9D8FA49642}"/>
    <cellStyle name="style1755226062363" xfId="3277" xr:uid="{8F33BAEF-B275-49B1-B212-61EA261FA722}"/>
    <cellStyle name="style1755226062395" xfId="3278" xr:uid="{58D4363D-3BC7-4563-80F3-BF6852F9F33D}"/>
    <cellStyle name="style1755226062426" xfId="3279" xr:uid="{3A4709AF-5A68-4242-8584-A53B2688786C}"/>
    <cellStyle name="style1755226062458" xfId="3284" xr:uid="{B777C290-641E-475A-BBF5-86BECFD7762E}"/>
    <cellStyle name="style1755226062474" xfId="3285" xr:uid="{6A926997-9EDF-439F-968D-35F21FB4A859}"/>
    <cellStyle name="style1755226062524" xfId="3290" xr:uid="{C9CC8060-53C5-49CA-B480-9F6E18ED5EA8}"/>
    <cellStyle name="style1755226062542" xfId="3291" xr:uid="{652B0763-7CDC-4D1A-BB4B-22983C86EAF3}"/>
    <cellStyle name="style1755226062575" xfId="3280" xr:uid="{100CF155-A505-4D11-8C6F-FC51504DA40D}"/>
    <cellStyle name="style1755226062609" xfId="3281" xr:uid="{968492CE-28B4-436F-9FD1-737483D12371}"/>
    <cellStyle name="style1755226062633" xfId="3282" xr:uid="{1B4872B6-AC6F-4560-940B-A22F4CCA1A91}"/>
    <cellStyle name="style1755226062654" xfId="3283" xr:uid="{55C7C2DF-36B4-42F3-9C5C-AF4CCED37C61}"/>
    <cellStyle name="style1755226062681" xfId="3286" xr:uid="{E6A642CF-0C11-4A65-8C1A-2FED0C338F4D}"/>
    <cellStyle name="style1755226062695" xfId="3287" xr:uid="{BAA78A1F-7D0C-4DEF-B9DF-89378255B28D}"/>
    <cellStyle name="style1755226062727" xfId="3288" xr:uid="{12CCEC79-B477-4D6C-A681-D98F01A6CBB4}"/>
    <cellStyle name="style1755226062743" xfId="3289" xr:uid="{B7FE6376-755E-444F-AAC3-5C70470BCA42}"/>
    <cellStyle name="style1755226062842" xfId="3292" xr:uid="{D86CBBC8-D4C5-4075-B9A5-4470FAB740DC}"/>
    <cellStyle name="style1755226062879" xfId="3293" xr:uid="{B6B810CF-76CA-40C7-8E92-A2CAC1D443DE}"/>
    <cellStyle name="style1755226062934" xfId="3294" xr:uid="{AF6E3BDB-C2D7-4C3C-A1CD-A24BE173D514}"/>
    <cellStyle name="style1755226062979" xfId="3295" xr:uid="{BE7FF732-D919-48D5-9F59-81C5ECE0AAEC}"/>
    <cellStyle name="style1755226063182" xfId="3296" xr:uid="{4C55D097-9AC2-48B4-915F-A5DFF6FFDAEC}"/>
    <cellStyle name="style1755226063205" xfId="3297" xr:uid="{DF9F9FCB-7461-454A-BC63-1E1AB70C64EB}"/>
    <cellStyle name="style1755226063219" xfId="3298" xr:uid="{E590B999-F9B5-448D-ABC1-CCAA6D738ACF}"/>
    <cellStyle name="style1755226063247" xfId="3299" xr:uid="{81D194BF-854F-4B95-BB73-079ADB51A3DB}"/>
    <cellStyle name="style1755226063275" xfId="3301" xr:uid="{AC4B0FFA-1896-4BAB-B635-E6293F249DA0}"/>
    <cellStyle name="style1755226063302" xfId="3303" xr:uid="{9FAA51C5-94F6-4B5F-9DDD-550BC5BB4F5E}"/>
    <cellStyle name="style1755226063334" xfId="3300" xr:uid="{A12119F8-6412-4DC4-8F77-B652810D5BD3}"/>
    <cellStyle name="style1755226063355" xfId="3302" xr:uid="{37046863-5D50-4008-8B48-564CCB0D3AA7}"/>
    <cellStyle name="style1755226063382" xfId="3304" xr:uid="{CF419BFD-3374-4E89-9879-8E57DF90AF06}"/>
    <cellStyle name="style1755226063626" xfId="3305" xr:uid="{5925C62D-644E-4DD4-B767-12F5B217A2D5}"/>
    <cellStyle name="style1755226063642" xfId="3306" xr:uid="{496BE372-96EE-40B2-9667-E9515579059B}"/>
    <cellStyle name="style1755226063673" xfId="3307" xr:uid="{FF19F958-8CEF-416E-9122-5DC6F9F4FB0F}"/>
    <cellStyle name="style1755226063708" xfId="3308" xr:uid="{B78D9401-CC05-4726-A77A-57225A232D47}"/>
    <cellStyle name="style1755226063730" xfId="3309" xr:uid="{57755F30-34EA-473D-BF51-5D4AE3E7C837}"/>
    <cellStyle name="style1755226063756" xfId="3310" xr:uid="{0895509A-E755-45A8-8F06-368CDA587382}"/>
    <cellStyle name="style1755226063784" xfId="3311" xr:uid="{C55DA08D-B018-40B3-BA1E-ECA046EFE489}"/>
    <cellStyle name="style1755226063800" xfId="3312" xr:uid="{95ED3AFC-6573-43AF-B5B1-317BFEAD254C}"/>
    <cellStyle name="style1755226063834" xfId="3313" xr:uid="{8E315481-F33D-4C74-993F-4FB1E5E8AABA}"/>
    <cellStyle name="style1755226063972" xfId="3314" xr:uid="{7D4F7A3D-3C70-48D8-A086-4030745A277E}"/>
    <cellStyle name="style1755226063999" xfId="3315" xr:uid="{4E6D7ACE-12AB-4EBF-9EB9-F0314846E2AD}"/>
    <cellStyle name="style1755226064029" xfId="3316" xr:uid="{716448C4-DFEB-486F-A8AA-4C532C695B53}"/>
    <cellStyle name="style1755226064054" xfId="3317" xr:uid="{D92735DF-E8E1-4497-A2D6-19B1DF096A39}"/>
    <cellStyle name="style1755226064158" xfId="3318" xr:uid="{27EFF290-2769-428D-A501-84EB2811B52F}"/>
    <cellStyle name="style1755226064178" xfId="3319" xr:uid="{DB08005B-FE27-4A08-B48C-C57523AE4C3D}"/>
    <cellStyle name="style1755226065718" xfId="3320" xr:uid="{BFE4D10A-71C8-477F-861A-1C17E78FF069}"/>
    <cellStyle name="style1755226065741" xfId="3321" xr:uid="{5C3ACC6C-42B2-4833-A190-9ED44F1C88AA}"/>
    <cellStyle name="style1755226065746" xfId="3322" xr:uid="{4AF8D2B5-7F2A-4CC7-AC92-0A009DB69F67}"/>
    <cellStyle name="style1755226065776" xfId="3323" xr:uid="{A5DD0C7A-F1DA-4DDF-8085-E8C3D0960E75}"/>
    <cellStyle name="style1755226065794" xfId="3324" xr:uid="{B8993DB6-B8DC-48B0-8E37-9F397AB0F823}"/>
    <cellStyle name="style1755226065810" xfId="3325" xr:uid="{F1AB211C-68F6-4441-B15C-43E78F2D2FD6}"/>
    <cellStyle name="style1755226065825" xfId="3326" xr:uid="{7D633CB3-91B3-4264-9CE4-D32FAA0DDCF8}"/>
    <cellStyle name="style1755226065841" xfId="3327" xr:uid="{8DB50291-330F-47B7-987C-1AFC59A48073}"/>
    <cellStyle name="style1755226065869" xfId="3328" xr:uid="{511FE256-4B3B-4B62-83FD-CA50C0F529D3}"/>
    <cellStyle name="style1755226065889" xfId="3329" xr:uid="{55793E26-E247-4E2A-B3F3-F757E52F23B4}"/>
    <cellStyle name="style1755226065906" xfId="3330" xr:uid="{727D56B6-1790-44E1-B3C1-A4C65D44BAD0}"/>
    <cellStyle name="style1755226065921" xfId="3331" xr:uid="{DFB75CB8-499E-4197-937A-8A26EB096275}"/>
    <cellStyle name="style1755226066048" xfId="3332" xr:uid="{A263A2FC-6894-4CF2-930C-5439B4AC445A}"/>
    <cellStyle name="style1755226066084" xfId="3333" xr:uid="{9E570796-6665-4C57-8859-007152C73746}"/>
    <cellStyle name="style1755226066096" xfId="3334" xr:uid="{2907EBEF-B4E1-4411-B9F5-6B772ECB1A25}"/>
    <cellStyle name="style1755226073563" xfId="3336" xr:uid="{8B848ED5-162C-4088-9C4B-B70652BC5F76}"/>
    <cellStyle name="style1755226073588" xfId="3337" xr:uid="{018A83B6-7383-42FF-A069-0B1F97FD8C0D}"/>
    <cellStyle name="style1755226073610" xfId="3335" xr:uid="{CD1DA37D-3613-4E51-93AD-7A7A2B4F74F9}"/>
    <cellStyle name="style1755226073626" xfId="3338" xr:uid="{E9414D5E-6F62-4A97-BC37-BCAE86FED466}"/>
    <cellStyle name="style1755226073663" xfId="3339" xr:uid="{FA3E7CE2-9675-4B5E-A4CE-58814777537E}"/>
    <cellStyle name="style1755226073674" xfId="3340" xr:uid="{A9A7534D-086B-4960-926D-FB97225864DF}"/>
    <cellStyle name="style1755226073707" xfId="3341" xr:uid="{6574F2C2-EA27-477C-A31E-BFBE0AE85433}"/>
    <cellStyle name="style1755226073721" xfId="3342" xr:uid="{3385E2DB-3378-41EA-82BF-687463D3BEF1}"/>
    <cellStyle name="style1755226073753" xfId="3343" xr:uid="{B45EA2D0-1623-4373-A084-A74C9F4A9B33}"/>
    <cellStyle name="style1755226073780" xfId="3344" xr:uid="{032F0BF5-256F-44E2-B3EB-A96CA62F8549}"/>
    <cellStyle name="style1755226073801" xfId="3345" xr:uid="{4965E907-446B-45FC-8044-96E599900898}"/>
    <cellStyle name="style1755226073817" xfId="3346" xr:uid="{4E58D6AB-58EA-4B99-AF23-15AF9A936C64}"/>
    <cellStyle name="style1755226073848" xfId="3347" xr:uid="{8BAFB296-7A6B-4D31-B578-A4308097A090}"/>
    <cellStyle name="style1755226073880" xfId="3348" xr:uid="{6518CB3B-69E1-43A7-AB9E-D4FC1C034538}"/>
    <cellStyle name="style1755226073896" xfId="3349" xr:uid="{DB4D0B5D-6841-4614-8BBC-3929F4557DB4}"/>
    <cellStyle name="style1755226073912" xfId="3350" xr:uid="{75CB197E-E7C2-4175-9159-90460C78CB97}"/>
    <cellStyle name="style1755226073959" xfId="3351" xr:uid="{213E3631-E372-4983-AF51-EEA720A5FB6C}"/>
    <cellStyle name="style1755226073983" xfId="3352" xr:uid="{F6C2B669-5159-4577-991B-6D5F866E6740}"/>
    <cellStyle name="style1755226074000" xfId="3353" xr:uid="{2AF590DF-3F31-4F3A-882C-0DB6E98D76C1}"/>
    <cellStyle name="style1755226074024" xfId="3354" xr:uid="{7FC8FC9C-7645-4327-BEEF-8E9C7CB5F17B}"/>
    <cellStyle name="style1755226074048" xfId="3355" xr:uid="{DA07444F-C36E-4179-89A4-802C3A489D08}"/>
    <cellStyle name="style1755226074073" xfId="3356" xr:uid="{4702E5EE-E993-45C4-98A2-F70D201B4FC8}"/>
    <cellStyle name="style1755226074104" xfId="3357" xr:uid="{95DF9F07-BFFB-4D47-9AED-FFAC96024BDC}"/>
    <cellStyle name="style1755226074116" xfId="3358" xr:uid="{8F6853E1-5B1B-4336-9603-3BFFE914D20B}"/>
    <cellStyle name="style1755226074147" xfId="3362" xr:uid="{5653E255-14F0-4EBB-AE56-71BFD754BB8B}"/>
    <cellStyle name="style1755226074175" xfId="3363" xr:uid="{7F3812FA-FCB3-48D4-A9B3-97B750589D80}"/>
    <cellStyle name="style1755226074195" xfId="3367" xr:uid="{C3A6E52F-DD2F-422A-BD9E-B88D83E74A0A}"/>
    <cellStyle name="style1755226074227" xfId="3368" xr:uid="{CD959E0A-8252-4E45-8CBF-5D258162D1DD}"/>
    <cellStyle name="style1755226074243" xfId="3359" xr:uid="{B212D399-ABD7-4A92-B94C-56D963E2A562}"/>
    <cellStyle name="style1755226074279" xfId="3360" xr:uid="{26A4DFE0-9A6B-42A9-BADD-3E12B7D23AD4}"/>
    <cellStyle name="style1755226074291" xfId="3361" xr:uid="{1084B1CF-9C1B-492B-B6C0-343A41FD57B7}"/>
    <cellStyle name="style1755226074322" xfId="3364" xr:uid="{34C4F325-90E5-46BC-A5B5-706452647E01}"/>
    <cellStyle name="style1755226074348" xfId="3365" xr:uid="{E4010409-46F0-4ECE-B7F2-A6AF2BED3185}"/>
    <cellStyle name="style1755226074370" xfId="3366" xr:uid="{7880CAAF-7EA4-453E-A9D8-CD68F0EB7FD2}"/>
    <cellStyle name="style1755226074401" xfId="3369" xr:uid="{6A4DB926-C050-4C15-A4AE-12D5B617BCB8}"/>
    <cellStyle name="style1755226074432" xfId="3370" xr:uid="{906D68F2-405A-48BA-858F-2C9F2DBD2D2C}"/>
    <cellStyle name="style1755226074460" xfId="3371" xr:uid="{0E1884F4-C1EC-482F-9A11-D13B6A7C2651}"/>
    <cellStyle name="style1755237097438" xfId="3373" xr:uid="{E21B0707-2FBA-4F40-9D2E-330F508E5FC5}"/>
    <cellStyle name="style1755237097469" xfId="3374" xr:uid="{B8891118-4405-4ABD-B699-69D23CF261A9}"/>
    <cellStyle name="style1755237097517" xfId="3372" xr:uid="{BEA93197-1C00-47D3-9C9F-C048A8D7C610}"/>
    <cellStyle name="style1755237097548" xfId="3375" xr:uid="{31283FF0-063B-4CBE-A98F-1D838B93759B}"/>
    <cellStyle name="style1755237097564" xfId="3376" xr:uid="{D23CF046-9F56-4C41-B153-B8E3E1602CBE}"/>
    <cellStyle name="style1755237097590" xfId="3380" xr:uid="{70426FC0-4721-4BDA-ACD8-13A9120C7237}"/>
    <cellStyle name="style1755237097627" xfId="3381" xr:uid="{D8124EF8-DEC5-431E-A385-67856019053A}"/>
    <cellStyle name="style1755237097643" xfId="3385" xr:uid="{0FCDE562-9605-49D5-8FAD-A56F7C925424}"/>
    <cellStyle name="style1755237097674" xfId="3386" xr:uid="{E6B6793D-EBDE-4419-B131-667A4D719681}"/>
    <cellStyle name="style1755237097705" xfId="3377" xr:uid="{ABDC8616-8378-49C8-AB22-599F56A479BB}"/>
    <cellStyle name="style1755237097737" xfId="3378" xr:uid="{49D2C546-4319-4AF0-9390-95BDDA9F24B1}"/>
    <cellStyle name="style1755237097768" xfId="3379" xr:uid="{B52D57F2-C99D-47AB-9854-952D6ED6DD34}"/>
    <cellStyle name="style1755237097800" xfId="3382" xr:uid="{313BA62A-F4C4-4FDA-ABB0-962F95C2ACDE}"/>
    <cellStyle name="style1755237097833" xfId="3383" xr:uid="{F6453C18-DE38-4AF9-B9F3-95FD8F6D1F10}"/>
    <cellStyle name="style1755237097863" xfId="3384" xr:uid="{9D3D381F-CCB1-4E4A-970F-2D20B7849DE5}"/>
    <cellStyle name="style1755237097895" xfId="3387" xr:uid="{CD53C76E-EAED-41AD-85B2-1EDEDBCCE514}"/>
    <cellStyle name="style1755237097927" xfId="3388" xr:uid="{1F8F2C91-AF44-44CC-957E-8A2B6245059F}"/>
    <cellStyle name="style1755237097958" xfId="3389" xr:uid="{C017576C-0B99-4966-B93D-42BCD5977F13}"/>
    <cellStyle name="style1755237097990" xfId="3390" xr:uid="{678846B9-AE4F-4727-BBEC-A2CA7532181C}"/>
    <cellStyle name="style1755237098021" xfId="3391" xr:uid="{02D061A4-50D5-452A-A8AF-B42093139955}"/>
    <cellStyle name="style1755237098053" xfId="3396" xr:uid="{F1D10958-57DD-495A-8FCA-CBD612D34540}"/>
    <cellStyle name="style1755237098084" xfId="3397" xr:uid="{7E6F610A-362E-4CF3-92F0-28CF6EFF64D0}"/>
    <cellStyle name="style1755237098116" xfId="3402" xr:uid="{E0993A2F-01AB-4E37-8F93-06103CC5E9FF}"/>
    <cellStyle name="style1755237098148" xfId="3403" xr:uid="{B8882B5A-548C-4CA5-B3D6-37D0942D4E64}"/>
    <cellStyle name="style1755237098179" xfId="3392" xr:uid="{998C1D6A-966F-42BF-8C38-3AE9F49B8074}"/>
    <cellStyle name="style1755237098213" xfId="3393" xr:uid="{873F8914-B31F-4825-AEDB-0A7270616F9C}"/>
    <cellStyle name="style1755237098244" xfId="3394" xr:uid="{F4E9ED4E-D512-4C30-B3ED-4F83EE3C9CAF}"/>
    <cellStyle name="style1755237098268" xfId="3395" xr:uid="{23219737-6430-4FB4-915B-F37DF14C78E0}"/>
    <cellStyle name="style1755237098290" xfId="3398" xr:uid="{73573368-106D-4508-9C96-D3B4003F8927}"/>
    <cellStyle name="style1755237098322" xfId="3399" xr:uid="{B66D70DA-DBC7-4499-91B7-90C33A445D2F}"/>
    <cellStyle name="style1755237098354" xfId="3400" xr:uid="{8F58DEA9-8F95-41C8-8D78-8D78595A09CA}"/>
    <cellStyle name="style1755237098370" xfId="3401" xr:uid="{DF547E65-575B-4EEE-A96A-EB3C58720044}"/>
    <cellStyle name="style1755237098470" xfId="3404" xr:uid="{F8E6FDBA-88AD-4239-B9B3-8141375EA9E4}"/>
    <cellStyle name="style1755237098512" xfId="3405" xr:uid="{AA4E63A9-90A8-4512-938B-A67851CB35A5}"/>
    <cellStyle name="style1755237098555" xfId="3406" xr:uid="{6ED75C5C-6BC1-426C-9013-5EB93BEC0C57}"/>
    <cellStyle name="style1755237098590" xfId="3407" xr:uid="{F06C7431-80DF-480E-BBB6-EA4135B95617}"/>
    <cellStyle name="style1755237098812" xfId="3408" xr:uid="{6594CB43-0D88-4A48-B83E-13F5E3D5A046}"/>
    <cellStyle name="style1755237098828" xfId="3409" xr:uid="{A2990DCE-73E9-48E2-9A3D-1FF2B2F3E682}"/>
    <cellStyle name="style1755237098861" xfId="3410" xr:uid="{2B69AF7F-28A2-4906-AE8D-6826DF2392A9}"/>
    <cellStyle name="style1755237098875" xfId="3411" xr:uid="{9725369A-85B9-4B09-A91A-FAF922C230EE}"/>
    <cellStyle name="style1755237098923" xfId="3413" xr:uid="{09394821-9A7A-46F3-927B-2ADFAB77F8CE}"/>
    <cellStyle name="style1755237098939" xfId="3415" xr:uid="{1C690820-334E-4AD8-B96F-06A7617F79C8}"/>
    <cellStyle name="style1755237098984" xfId="3412" xr:uid="{6552969B-E01B-4E78-BB1F-CD9D538A5940}"/>
    <cellStyle name="style1755237099007" xfId="3414" xr:uid="{DC5349B4-4AFA-4CE8-898C-9C4CE1BB73C4}"/>
    <cellStyle name="style1755237099042" xfId="3416" xr:uid="{C9B51D2F-1D6F-425D-A685-1178FD23B74C}"/>
    <cellStyle name="style1755237099301" xfId="3417" xr:uid="{A7259432-2B85-4304-B3F7-546A249FDDEB}"/>
    <cellStyle name="style1755237099317" xfId="3418" xr:uid="{F3608DBB-5044-4B57-8CCE-1CAC1B92FBA4}"/>
    <cellStyle name="style1755237099359" xfId="3419" xr:uid="{1608462F-2C49-408A-8F63-E729F4A62341}"/>
    <cellStyle name="style1755237099383" xfId="3420" xr:uid="{F52FD13A-EEC9-4752-82BF-0293005941F5}"/>
    <cellStyle name="style1755237099409" xfId="3421" xr:uid="{033212F9-8DE7-4061-8408-753A47535D94}"/>
    <cellStyle name="style1755237099433" xfId="3422" xr:uid="{B22B0F2C-E221-46A9-B971-5575AA4D4A7F}"/>
    <cellStyle name="style1755237099460" xfId="3423" xr:uid="{285B10CC-F845-4562-A9A4-E100F85310E0}"/>
    <cellStyle name="style1755237099476" xfId="3424" xr:uid="{67CB1BE7-58ED-4C87-AB34-D0E4D50C1C09}"/>
    <cellStyle name="style1755237099510" xfId="3425" xr:uid="{7CE6A5D1-FEF4-43D1-80A9-14E6C431A6AC}"/>
    <cellStyle name="style1755237099646" xfId="3426" xr:uid="{8AACB149-2DB7-427B-B872-94BDDAAEEF8A}"/>
    <cellStyle name="style1755237099666" xfId="3427" xr:uid="{C2F96682-37EA-4E8F-8AC3-6A8A01BB5318}"/>
    <cellStyle name="style1755237099702" xfId="3428" xr:uid="{C1374A55-93F8-4F55-B7E6-A25497883C27}"/>
    <cellStyle name="style1755237099713" xfId="3429" xr:uid="{769C929C-0264-4A2B-B768-DBAE9FA75475}"/>
    <cellStyle name="style1755237099827" xfId="3430" xr:uid="{111B8C96-81D2-4DD1-A929-3B44FE980C34}"/>
    <cellStyle name="style1755237099841" xfId="3431" xr:uid="{9E45B71A-C8AC-4D34-99A5-6F48664A4609}"/>
    <cellStyle name="style1755237101346" xfId="3432" xr:uid="{DEAFD03A-D429-4B9A-AE15-1F479FA08F16}"/>
    <cellStyle name="style1755237101369" xfId="3433" xr:uid="{F8A7C920-0253-45FC-A4D9-CEA88B0E2FA3}"/>
    <cellStyle name="style1755237101385" xfId="3434" xr:uid="{06F458D9-7FDC-471F-82AF-BC1D156B776D}"/>
    <cellStyle name="style1755237101403" xfId="3435" xr:uid="{D0807EC1-B499-4AF2-BCF0-6A133E97958B}"/>
    <cellStyle name="style1755237101413" xfId="3436" xr:uid="{82F342BF-DBEF-4FF8-811D-8F462FA1DF39}"/>
    <cellStyle name="style1755237101436" xfId="3437" xr:uid="{B58BE798-A155-441D-9074-449C4563FB06}"/>
    <cellStyle name="style1755237101457" xfId="3438" xr:uid="{F3A21BB2-DA65-4AEB-A005-8D006ED5A397}"/>
    <cellStyle name="style1755237101472" xfId="3439" xr:uid="{B0B3F80E-7CD6-4ABA-9919-5D6377ACD02D}"/>
    <cellStyle name="style1755237101482" xfId="3440" xr:uid="{093D65BA-8A88-479C-ADF5-7BDF4026D689}"/>
    <cellStyle name="style1755237101508" xfId="3441" xr:uid="{F2747394-7E9A-48CF-B277-4F991561D5C9}"/>
    <cellStyle name="style1755237101524" xfId="3442" xr:uid="{44460691-2CD4-43FD-9B8E-BBF7A8A1A759}"/>
    <cellStyle name="style1755237101540" xfId="3443" xr:uid="{3EC75268-2551-4538-9756-2B5A83B317CE}"/>
    <cellStyle name="style1755237101667" xfId="3444" xr:uid="{B048ADF3-144E-4338-8942-4236D3D859B9}"/>
    <cellStyle name="style1755237101696" xfId="3445" xr:uid="{A9FE03EF-F48C-4A73-B653-A78C8666B005}"/>
    <cellStyle name="style1755237101714" xfId="3446" xr:uid="{1D6B4BEF-6AF8-421F-8AA8-337EE07A9295}"/>
    <cellStyle name="style1770870812208" xfId="3448" xr:uid="{B69C33A6-18D8-492D-96FE-E06096EA44FA}"/>
    <cellStyle name="style1770870812236" xfId="3449" xr:uid="{01F3C620-DEC3-4E02-9678-AC4CECEE9ADD}"/>
    <cellStyle name="style1770870812283" xfId="3447" xr:uid="{F5F192AD-88BB-4627-A395-855F4D8544E3}"/>
    <cellStyle name="style1770870812317" xfId="3450" xr:uid="{F676A29A-B4B1-4CF9-9347-34EAA597D613}"/>
    <cellStyle name="style1770870812338" xfId="3451" xr:uid="{8A7ADD36-0516-49ED-AECF-EADF60531BF8}"/>
    <cellStyle name="style1770870812362" xfId="3455" xr:uid="{8BB113C1-5980-4E63-9EF0-AD0B9AA76E86}"/>
    <cellStyle name="style1770870812394" xfId="3456" xr:uid="{F5C33A52-1D22-4ADF-9611-9BA5FC06E2BE}"/>
    <cellStyle name="style1770870812430" xfId="3460" xr:uid="{C6EA4C44-B36A-4177-86AB-B85C03AD4DA9}"/>
    <cellStyle name="style1770870812459" xfId="3461" xr:uid="{40C8F98D-D14C-484B-9467-39FD06615A67}"/>
    <cellStyle name="style1770870812486" xfId="3452" xr:uid="{B211E987-E975-4D03-BB3C-11DC61A37C3E}"/>
    <cellStyle name="style1770870812552" xfId="3453" xr:uid="{0FBE7664-E30A-4551-8AC7-CBBFF72F3719}"/>
    <cellStyle name="style1770870812584" xfId="3454" xr:uid="{CA908826-1491-4681-B56D-5B930CA75799}"/>
    <cellStyle name="style1770870812615" xfId="3457" xr:uid="{67AC1CE5-A675-4A1D-89CD-C56BCA7404EF}"/>
    <cellStyle name="style1770870812641" xfId="3458" xr:uid="{A09E6562-EEAC-4243-91C5-FDC63F6B6A00}"/>
    <cellStyle name="style1770870812679" xfId="3459" xr:uid="{76F642D0-A9DA-43A6-B4C2-4805F6CB4049}"/>
    <cellStyle name="style1770870812711" xfId="3462" xr:uid="{C6AECD4A-0DEA-40A4-BD31-FBF3702061AE}"/>
    <cellStyle name="style1770870812742" xfId="3463" xr:uid="{E9BDD7E4-880B-408B-81F0-6B3E3F69E764}"/>
    <cellStyle name="style1770870812774" xfId="3464" xr:uid="{C68C8911-09E1-4063-8469-65D87E3470CB}"/>
    <cellStyle name="style1770870812809" xfId="3465" xr:uid="{497923D7-81EF-471D-B0C4-F2CE7B1626AE}"/>
    <cellStyle name="style1770870812849" xfId="3466" xr:uid="{D3BB476A-54E3-4262-BE31-1CE6974F995F}"/>
    <cellStyle name="style1770870812875" xfId="3471" xr:uid="{8B5A4014-82D6-4864-97CA-23889C661917}"/>
    <cellStyle name="style1770870812909" xfId="3472" xr:uid="{D5729E15-C666-4430-9AAC-FB1297162886}"/>
    <cellStyle name="style1770870812954" xfId="3477" xr:uid="{DA387AAB-CCC8-4123-9A10-2D58275B5061}"/>
    <cellStyle name="style1770870812984" xfId="3478" xr:uid="{7AED69DF-845F-4D09-9AFD-2039EFBB23CD}"/>
    <cellStyle name="style1770870813016" xfId="3467" xr:uid="{69388B6D-118E-4F28-BC98-0C3F9F389EA9}"/>
    <cellStyle name="style1770870813043" xfId="3468" xr:uid="{B4EC593D-4E1E-4966-B39B-8A90A9E19B68}"/>
    <cellStyle name="style1770870813074" xfId="3469" xr:uid="{46060555-59FE-4041-8E0E-E3F153AA6521}"/>
    <cellStyle name="style1770870813090" xfId="3470" xr:uid="{5EFE80CE-16FF-4BA8-8C9B-64D56D3F8992}"/>
    <cellStyle name="style1770870813122" xfId="3473" xr:uid="{6364B951-6892-486D-B125-6AA695B001DD}"/>
    <cellStyle name="style1770870813137" xfId="3474" xr:uid="{FF60108E-C0A1-44C3-A8A2-2C4413A4DD4F}"/>
    <cellStyle name="style1770870813180" xfId="3475" xr:uid="{C3878A25-AF1E-4894-8D39-FE3E986902D0}"/>
    <cellStyle name="style1770870813206" xfId="3476" xr:uid="{031FB090-88E5-4CAD-86C3-BD64E67284EE}"/>
    <cellStyle name="style1770870813290" xfId="3479" xr:uid="{F6A844C2-8895-4289-A093-91447F2161B5}"/>
    <cellStyle name="style1770870813321" xfId="3480" xr:uid="{2A3BB052-CD73-4543-A77D-D4F91BE8D620}"/>
    <cellStyle name="style1770870813360" xfId="3481" xr:uid="{7B098F00-C8A3-44F8-8E1C-A6FEFA7AFC69}"/>
    <cellStyle name="style1770870813394" xfId="3482" xr:uid="{D22BCAA0-6681-43D8-80C9-A3063431ACCA}"/>
    <cellStyle name="style1770870813599" xfId="3483" xr:uid="{6F5A2919-30FC-4605-8409-8223AD50DF57}"/>
    <cellStyle name="style1770870813611" xfId="3484" xr:uid="{CBEEFE46-D1FC-4B8F-9CB4-167D3823742A}"/>
    <cellStyle name="style1770870813643" xfId="3485" xr:uid="{92D20543-46E8-48EA-90A7-347857B35DBB}"/>
    <cellStyle name="style1770870813659" xfId="3486" xr:uid="{366460D5-B70C-446F-9A16-92A2FF644823}"/>
    <cellStyle name="style1770870813695" xfId="3488" xr:uid="{A9CFE0DD-6B6C-4D56-A99C-344BDAD513D4}"/>
    <cellStyle name="style1770870813722" xfId="3490" xr:uid="{D8FDC7BF-3FB3-4A65-BA5B-D89768E8DB8C}"/>
    <cellStyle name="style1770870813754" xfId="3487" xr:uid="{0B79C9CE-455B-4BF4-9526-3550419CE9FB}"/>
    <cellStyle name="style1770870813774" xfId="3489" xr:uid="{665914EE-39FE-4820-A3D9-3C5C17407604}"/>
    <cellStyle name="style1770870813798" xfId="3491" xr:uid="{36FBDDCF-3425-47B6-ABEF-8DB5EBFC6E7A}"/>
    <cellStyle name="style1770870814010" xfId="3492" xr:uid="{DEEF11CF-FAA6-4FDC-8CE8-CEE261AAAD69}"/>
    <cellStyle name="style1770870814038" xfId="3493" xr:uid="{770F5DA4-8C59-4FD2-8AEF-0AEFB6BAFA94}"/>
    <cellStyle name="style1770870814070" xfId="3494" xr:uid="{4B1574EA-475E-4B8A-B8D7-0A2181E8E76C}"/>
    <cellStyle name="style1770870814092" xfId="3495" xr:uid="{ADE967BE-983F-469E-89F7-51D52967EAD0}"/>
    <cellStyle name="style1770870814118" xfId="3496" xr:uid="{0CFFC015-2701-45C4-B372-B0B8D8C81305}"/>
    <cellStyle name="style1770870814142" xfId="3497" xr:uid="{78ED2591-7CDA-4337-8C91-3B525DFD9ACA}"/>
    <cellStyle name="style1770870814165" xfId="3498" xr:uid="{68CA2F86-F569-4A62-A07B-181BC0635C68}"/>
    <cellStyle name="style1770870814197" xfId="3499" xr:uid="{DF0BEC64-FA60-4B40-AF3E-1035058BCC91}"/>
    <cellStyle name="style1770870814213" xfId="3500" xr:uid="{B1EBAE39-6A27-4CE3-B64C-F117B1B045B4}"/>
    <cellStyle name="style1770870814355" xfId="3501" xr:uid="{3F5225A4-8A01-4C17-8E90-0B63B2BB336E}"/>
    <cellStyle name="style1770870814371" xfId="3502" xr:uid="{CB3758B3-42F0-4498-8A68-338BD3783CD6}"/>
    <cellStyle name="style1770870814411" xfId="3503" xr:uid="{516C70DF-6912-4082-B385-9FE01F89D770}"/>
    <cellStyle name="style1770870814419" xfId="3504" xr:uid="{665EF4AE-727E-486C-A8B3-C8612B413EE7}"/>
    <cellStyle name="style1770870814543" xfId="3505" xr:uid="{FFA31938-CBD6-49E6-81DD-F16FE7120311}"/>
    <cellStyle name="style1770870814566" xfId="3506" xr:uid="{313C9355-8BBF-426F-BB85-4EE13B4F898E}"/>
    <cellStyle name="style1770870816050" xfId="3507" xr:uid="{A45BAAAD-A5F3-4A49-8A69-2668BC76D28E}"/>
    <cellStyle name="style1770870816066" xfId="3508" xr:uid="{3F222BB4-27BC-4CEC-9DB3-0B3D67B66050}"/>
    <cellStyle name="style1770870816082" xfId="3509" xr:uid="{136E0FB2-81AB-49E1-8C0E-CF5BF87254B5}"/>
    <cellStyle name="style1770870816112" xfId="3510" xr:uid="{A1D731A9-EDEB-4BE9-AED2-A916460A3FA3}"/>
    <cellStyle name="style1770870816130" xfId="3511" xr:uid="{087C07E9-9DEB-440F-81E3-9F83BC11F7D1}"/>
    <cellStyle name="style1770870816146" xfId="3512" xr:uid="{12F975EA-23FE-4EDC-ADA3-EA22CAE0B404}"/>
    <cellStyle name="style1770870816162" xfId="3513" xr:uid="{A04D7E71-0423-4C65-9E3C-9F6A6E7C644F}"/>
    <cellStyle name="style1770870816177" xfId="3514" xr:uid="{704BD5FD-53B0-4A6D-8AEB-11491C031872}"/>
    <cellStyle name="style1770870816193" xfId="3515" xr:uid="{209E909A-2FA1-40E3-95AB-39BBF84901F6}"/>
    <cellStyle name="style1770870816212" xfId="3516" xr:uid="{B4AB03E7-1690-4E32-9ACD-978186667326}"/>
    <cellStyle name="style1770870816243" xfId="3517" xr:uid="{D585E101-17FF-4F68-8FE5-392476DCBFF4}"/>
    <cellStyle name="style1770870816256" xfId="3518" xr:uid="{0706452E-D009-4BD3-8F99-A3A59E8CC748}"/>
    <cellStyle name="style1770870816384" xfId="3519" xr:uid="{B5782A6F-320E-41DF-A041-859B3B92788A}"/>
    <cellStyle name="style1770870816416" xfId="3520" xr:uid="{2C85572C-F4CF-4F04-91EB-CEEB120C5D14}"/>
    <cellStyle name="style1770870816448" xfId="3521" xr:uid="{68107C9D-E4A3-4783-B147-39A1DA8D5EFD}"/>
    <cellStyle name="style1770870824329" xfId="3523" xr:uid="{41351422-A347-498C-90E3-A6E96B140294}"/>
    <cellStyle name="style1770870824360" xfId="3524" xr:uid="{C297CF92-1405-4BCA-BAB4-A2D58D67165F}"/>
    <cellStyle name="style1770870824376" xfId="3522" xr:uid="{F454D77F-1EFE-49CC-AA75-A9B54E30C485}"/>
    <cellStyle name="style1770870824417" xfId="3525" xr:uid="{CCDD1DF1-2BB2-4BCC-878B-DA57A1A9FDFE}"/>
    <cellStyle name="style1770870824444" xfId="3526" xr:uid="{56828993-2957-4F15-95D8-AC493BDB6CAA}"/>
    <cellStyle name="style1770870824471" xfId="3527" xr:uid="{D564C857-A1BC-4C42-869F-E4D1977890EE}"/>
    <cellStyle name="style1770870824496" xfId="3528" xr:uid="{5473221E-E814-4DF9-8C37-A38F7475A5C4}"/>
    <cellStyle name="style1770870824518" xfId="3529" xr:uid="{EEC616FB-08C5-4186-90A5-342D34625E31}"/>
    <cellStyle name="style1770870824550" xfId="3530" xr:uid="{E8D52B31-45FA-40DC-A95D-E2FB6E5A2CBE}"/>
    <cellStyle name="style1770870824566" xfId="3531" xr:uid="{C7E76376-ED55-46EA-86FE-D7F021462B0A}"/>
    <cellStyle name="style1770870824599" xfId="3532" xr:uid="{821DAD62-482D-480F-9A76-049AD7DB9E38}"/>
    <cellStyle name="style1770870824628" xfId="3533" xr:uid="{E3F7B627-6899-41ED-AE63-D1AD73637445}"/>
    <cellStyle name="style1770870824648" xfId="3534" xr:uid="{3082A795-A50C-4B1A-BA12-900B8790A2B1}"/>
    <cellStyle name="style1770870824678" xfId="3535" xr:uid="{06D33013-091E-49C5-8EA4-1EC792B8293B}"/>
    <cellStyle name="style1770870824694" xfId="3536" xr:uid="{A1E6AF9A-87EB-4B6A-B45B-40DE141E6783}"/>
    <cellStyle name="style1770870824726" xfId="3537" xr:uid="{6AD89BC8-5176-4F42-8846-C8CDBC817E12}"/>
    <cellStyle name="style1770870824760" xfId="3538" xr:uid="{7D865034-91C4-40A9-85EF-30A09EB38A48}"/>
    <cellStyle name="style1770870824789" xfId="3539" xr:uid="{F6C721F5-66E8-4A49-9CBD-7C06A3A77E64}"/>
    <cellStyle name="style1770870824809" xfId="3540" xr:uid="{813BB2C6-00B8-419B-B027-F655777D9C5A}"/>
    <cellStyle name="style1770870824829" xfId="3541" xr:uid="{2A37ED9A-5999-423E-B69F-6E2A45A0A830}"/>
    <cellStyle name="style1770870824859" xfId="3542" xr:uid="{8E86D602-4A89-4DB3-B40E-2943524B4A18}"/>
    <cellStyle name="style1770870824883" xfId="3543" xr:uid="{08160EB3-F595-42FE-AB3D-5BACC1BDFC09}"/>
    <cellStyle name="style1770870824905" xfId="3544" xr:uid="{F61F164E-1F57-47F8-A3F0-C90D6830FB65}"/>
    <cellStyle name="style1770870824931" xfId="3545" xr:uid="{0EAA9567-A191-42EF-AE44-6A05FE5F9E1F}"/>
    <cellStyle name="style1770870824947" xfId="3549" xr:uid="{BF29D69D-0D22-4910-ACBC-A7A5550BFA99}"/>
    <cellStyle name="style1770870824978" xfId="3550" xr:uid="{5FB27258-0558-4806-AEF6-B1D98618D28A}"/>
    <cellStyle name="style1770870825010" xfId="3554" xr:uid="{0F94C5CA-F3F6-41FD-9326-6830D64398C3}"/>
    <cellStyle name="style1770870825044" xfId="3555" xr:uid="{ED48F28B-AA19-49EB-8252-C08999026F29}"/>
    <cellStyle name="style1770870825058" xfId="3546" xr:uid="{0A94B5A6-8E57-4C5B-B84B-5BC4ED0784D5}"/>
    <cellStyle name="style1770870825089" xfId="3547" xr:uid="{C46BDA79-9E54-4685-BED7-9B6F6670BE09}"/>
    <cellStyle name="style1770870825105" xfId="3548" xr:uid="{17CB2ADE-BFD8-4D10-AEE5-F019ED09D87C}"/>
    <cellStyle name="style1770870825136" xfId="3551" xr:uid="{BAED33D9-1E37-43AD-A632-D1F246A3C902}"/>
    <cellStyle name="style1770870825152" xfId="3552" xr:uid="{57A99B01-3C4F-4D5C-AEB8-89EF008F335F}"/>
    <cellStyle name="style1770870825184" xfId="3553" xr:uid="{E827302D-BD55-4CDC-B06D-E9A2AFA9EC0D}"/>
    <cellStyle name="style1770870825215" xfId="3556" xr:uid="{B1E062B0-4CE7-406D-804D-A68C559DD3CC}"/>
    <cellStyle name="style1770870825250" xfId="3557" xr:uid="{7A8C188D-38A0-49A0-A4A0-F696F5D07101}"/>
    <cellStyle name="style1770870825267" xfId="3558" xr:uid="{5183AA78-5908-46F9-81DB-9504017EF87E}"/>
    <cellStyle name="style1770872310676" xfId="3560" xr:uid="{6D6A5614-6923-4CBC-8409-0CBF010CF111}"/>
    <cellStyle name="style1770872310728" xfId="3561" xr:uid="{951C7B53-4F2D-4518-8B78-1080299DAC08}"/>
    <cellStyle name="style1770872310778" xfId="3559" xr:uid="{ED6B4C81-E9F5-472A-86D2-D0DF843C686C}"/>
    <cellStyle name="style1770872310804" xfId="3562" xr:uid="{47991DAD-4C97-4A24-AD0E-B23CE60F0CC4}"/>
    <cellStyle name="style1770872310822" xfId="3563" xr:uid="{F6AED038-7854-4B19-8763-708082BC5BA8}"/>
    <cellStyle name="style1770872310842" xfId="3567" xr:uid="{DEA00AAC-3615-4072-8BAA-667841D94478}"/>
    <cellStyle name="style1770872310868" xfId="3568" xr:uid="{422DA853-24E6-4B05-B97D-891823D4E39A}"/>
    <cellStyle name="style1770872310891" xfId="3572" xr:uid="{3392DBD6-D149-4979-A3F0-D638DCC244B0}"/>
    <cellStyle name="style1770872310915" xfId="3573" xr:uid="{AB3DED38-FFF3-4CBB-B564-CD7915CD99CF}"/>
    <cellStyle name="style1770872310942" xfId="3564" xr:uid="{19F8C5DE-9D29-4629-98E6-0BC16FEB4B8B}"/>
    <cellStyle name="style1770872310966" xfId="3565" xr:uid="{A8E69D1E-7566-45B0-83A1-6B4B032C972D}"/>
    <cellStyle name="style1770872310992" xfId="3566" xr:uid="{D85001D9-F973-452D-AF8B-4DC7743EA30B}"/>
    <cellStyle name="style1770872311017" xfId="3569" xr:uid="{678B8C0B-919C-4815-A70D-EB54C87227E2}"/>
    <cellStyle name="style1770872311041" xfId="3570" xr:uid="{DF27A752-DB0E-454D-AC54-ABF46EC30B00}"/>
    <cellStyle name="style1770872311069" xfId="3571" xr:uid="{66F6D37E-1DB1-4BE7-9F54-0D6E4831196F}"/>
    <cellStyle name="style1770872311094" xfId="3574" xr:uid="{ED93FC74-C9B6-4D57-A04A-03FD29D46FC2}"/>
    <cellStyle name="style1770872311119" xfId="3575" xr:uid="{451447FE-A7EF-4454-B094-47C14AE89A56}"/>
    <cellStyle name="style1770872311142" xfId="3576" xr:uid="{4F9AF1E6-2BE9-4B9E-A889-B9D14D7999A4}"/>
    <cellStyle name="style1770872311167" xfId="3577" xr:uid="{0FBC2213-4A45-4062-A501-2C08AE8061DB}"/>
    <cellStyle name="style1770872311194" xfId="3578" xr:uid="{32C094ED-28D3-449D-87FD-6440803A43D0}"/>
    <cellStyle name="style1770872311217" xfId="3583" xr:uid="{9C61009C-344A-4B12-AC45-548A6CD5ACA9}"/>
    <cellStyle name="style1770872311240" xfId="3584" xr:uid="{2E6B5167-3FB2-4F90-8AD8-853AA95DB395}"/>
    <cellStyle name="style1770872311265" xfId="3589" xr:uid="{4D7A4F3E-92C6-402C-8D03-D58B16B02C85}"/>
    <cellStyle name="style1770872311288" xfId="3590" xr:uid="{DEC70FA1-4972-4A69-A430-B63BC6824981}"/>
    <cellStyle name="style1770872311311" xfId="3579" xr:uid="{E3E6D665-D71E-4C47-A49C-1A976FC6044D}"/>
    <cellStyle name="style1770872311339" xfId="3580" xr:uid="{ABEDC485-4F92-4BFB-8184-B8A1160A2264}"/>
    <cellStyle name="style1770872311364" xfId="3581" xr:uid="{0898CD41-C40F-4564-A8A3-1763D760DC6D}"/>
    <cellStyle name="style1770872311382" xfId="3582" xr:uid="{E275DA02-57CE-4DA6-98A0-E989CCB4E6B8}"/>
    <cellStyle name="style1770872311404" xfId="3585" xr:uid="{D2DD2F59-35FD-42A3-B84D-8A5322267FCF}"/>
    <cellStyle name="style1770872311424" xfId="3586" xr:uid="{D6C8A11C-DD2A-42A7-9A68-60F7B0BE00DD}"/>
    <cellStyle name="style1770872311439" xfId="3587" xr:uid="{EFA63D9A-FE59-4FDD-9789-9C39796315B2}"/>
    <cellStyle name="style1770872311465" xfId="3588" xr:uid="{1BA48FB4-4D18-432C-B0AC-39AE5347A124}"/>
    <cellStyle name="style1770872311509" xfId="3591" xr:uid="{E804D03C-A2C2-4262-A4BB-90D532692816}"/>
    <cellStyle name="style1770872311534" xfId="3592" xr:uid="{61328303-C3C1-42A5-ACE9-C21CCA954588}"/>
    <cellStyle name="style1770872311557" xfId="3593" xr:uid="{1714167B-69C5-4F25-A09C-E49643776ACD}"/>
    <cellStyle name="style1770872311576" xfId="3594" xr:uid="{5028CAD8-E465-4B23-A331-4DBA313343C7}"/>
    <cellStyle name="style1770872311700" xfId="3595" xr:uid="{F977712A-856C-4898-9ECC-0BCA29A24D41}"/>
    <cellStyle name="style1770872311718" xfId="3596" xr:uid="{C83A39F7-CE47-4270-B318-9F72D09F6EDE}"/>
    <cellStyle name="style1770872311728" xfId="3597" xr:uid="{DFF6C56F-C07E-4CC0-A7AD-809BCDA67445}"/>
    <cellStyle name="style1770872311760" xfId="3598" xr:uid="{FD53D66D-724F-46BC-AB76-9235143AD2D8}"/>
    <cellStyle name="style1770872311772" xfId="3600" xr:uid="{B7B3CB39-EA85-4631-828C-52E8AC5448C9}"/>
    <cellStyle name="style1770872311805" xfId="3602" xr:uid="{D07D129D-4E8A-449E-83B1-CC3EEA78A01B}"/>
    <cellStyle name="style1770872311836" xfId="3599" xr:uid="{2A15C769-E32E-42BA-A24A-8F5BF6A4689B}"/>
    <cellStyle name="style1770872311855" xfId="3601" xr:uid="{966DFB53-B128-498F-A704-65B5FD252F64}"/>
    <cellStyle name="style1770872311865" xfId="3603" xr:uid="{866B0A7F-82C2-4FE0-9A72-3AE200C0DAE4}"/>
    <cellStyle name="style1770872312023" xfId="3604" xr:uid="{6D702C50-AECE-4F2B-BBCC-2FAFA955D5D1}"/>
    <cellStyle name="style1770872312042" xfId="3605" xr:uid="{F722E323-BEE2-46BB-88A9-60FA81767E1A}"/>
    <cellStyle name="style1770872312070" xfId="3606" xr:uid="{112DA1E9-7D33-481E-9091-48037B5ECDAD}"/>
    <cellStyle name="style1770872312090" xfId="3607" xr:uid="{CBB602B4-E87E-4CD6-B80F-76D706867B57}"/>
    <cellStyle name="style1770872312112" xfId="3608" xr:uid="{A006A358-26E2-418D-B7A1-7D0CB2FC735E}"/>
    <cellStyle name="style1770872312137" xfId="3609" xr:uid="{4FB8CD39-428A-4E81-8A2D-844A1DB564B8}"/>
    <cellStyle name="style1770872312161" xfId="3610" xr:uid="{C65C04D1-110D-4DEE-A782-0BAFFA3E2387}"/>
    <cellStyle name="style1770872312185" xfId="3611" xr:uid="{F0680314-C070-4AA3-A986-0899BC8BFD05}"/>
    <cellStyle name="style1770872312208" xfId="3612" xr:uid="{0177EDAA-6C09-462C-A258-E7F7030B93D5}"/>
    <cellStyle name="style1770872312306" xfId="3613" xr:uid="{556A56FE-C756-4CCB-A1D1-449F4C5D435F}"/>
    <cellStyle name="style1770872312333" xfId="3614" xr:uid="{6B2B8708-E6FB-445B-B606-F132FB4D7730}"/>
    <cellStyle name="style1770872312354" xfId="3615" xr:uid="{E80823C4-5EFE-4FA4-AD99-2C2532D121E6}"/>
    <cellStyle name="style1770872312370" xfId="3616" xr:uid="{4DEA37E3-2718-49ED-ADCC-D5CE5E109776}"/>
    <cellStyle name="style1770872312462" xfId="3617" xr:uid="{2DEC0310-62DF-41BA-B213-B01ABBE25E4C}"/>
    <cellStyle name="style1770872312478" xfId="3618" xr:uid="{8A8521F4-0780-4CF4-97D1-5765481B010E}"/>
    <cellStyle name="style1770872313804" xfId="3619" xr:uid="{103BB020-AF5B-41C9-B1F1-53231E0EAE9C}"/>
    <cellStyle name="style1770872313822" xfId="3620" xr:uid="{5EDB0866-DFFE-4D74-BF5E-8D1628892968}"/>
    <cellStyle name="style1770872313838" xfId="3621" xr:uid="{3767404A-965C-4749-835C-EE9D8F3CCD07}"/>
    <cellStyle name="style1770872313854" xfId="3622" xr:uid="{A2959CAF-DC35-4B4D-A0F9-6549C2E7E807}"/>
    <cellStyle name="style1770872313867" xfId="3623" xr:uid="{0E3E6B81-E877-4B2E-8E11-5C072934A352}"/>
    <cellStyle name="style1770872313883" xfId="3624" xr:uid="{F026CB5D-EBBB-4D94-A36D-4E4527375C6F}"/>
    <cellStyle name="style1770872313908" xfId="3625" xr:uid="{2FD66E40-A93A-4B94-B690-FA3B5E614F93}"/>
    <cellStyle name="style1770872313915" xfId="3626" xr:uid="{8E618827-36BA-4A5B-8A07-1A4465678C22}"/>
    <cellStyle name="style1770872313931" xfId="3627" xr:uid="{41309D49-90C4-4C2C-87DA-1BAA67E59935}"/>
    <cellStyle name="style1770872313961" xfId="3628" xr:uid="{C36797E8-8A64-4C9B-BEA9-A072C34443DA}"/>
    <cellStyle name="style1770872313976" xfId="3629" xr:uid="{6198C87D-E063-4CD2-97EB-C8945DD14F94}"/>
    <cellStyle name="style1770872313995" xfId="3630" xr:uid="{633517EA-F331-43F6-A5F4-32F134838E4B}"/>
    <cellStyle name="style1770872314108" xfId="3631" xr:uid="{FC78360D-6E87-4948-BC8F-BFDE861F01E5}"/>
    <cellStyle name="style1770872314133" xfId="3632" xr:uid="{B02D5A12-4914-4184-8846-68DFBADC392A}"/>
    <cellStyle name="style1770872314155" xfId="3633" xr:uid="{161D8C28-9555-4BAF-9DFE-9DD5B29FB6D3}"/>
    <cellStyle name="style1770872321730" xfId="3635" xr:uid="{66515774-87BD-4E9B-BF42-679E6F96A182}"/>
    <cellStyle name="style1770872321757" xfId="3636" xr:uid="{745410A4-4A43-4546-9F59-DCD0D6070E3B}"/>
    <cellStyle name="style1770872321782" xfId="3634" xr:uid="{EE3ACB36-5B4D-42F8-8950-BD9A4204D6CA}"/>
    <cellStyle name="style1770872321805" xfId="3637" xr:uid="{A7E6C9B3-4A48-4251-9844-C2950866906A}"/>
    <cellStyle name="style1770872321825" xfId="3638" xr:uid="{BB6D137F-F09E-4D7D-A4C5-B8F2ABD5CDF4}"/>
    <cellStyle name="style1770872321852" xfId="3639" xr:uid="{519A07BC-632D-4613-9532-C6BA33B67FDF}"/>
    <cellStyle name="style1770872321867" xfId="3640" xr:uid="{86C4D616-E853-40C7-BC0D-773A8780A200}"/>
    <cellStyle name="style1770872321899" xfId="3641" xr:uid="{9FB9873C-1A09-4172-8652-101629657B53}"/>
    <cellStyle name="style1770872321930" xfId="3642" xr:uid="{AB7B703A-0F75-4A9E-B5E6-3BC5D84B22ED}"/>
    <cellStyle name="style1770872321946" xfId="3643" xr:uid="{FBFC6B54-ED96-4247-B599-15C20A9AADA6}"/>
    <cellStyle name="style1770872321978" xfId="3644" xr:uid="{0666B474-60CC-471B-B2D0-63D9FE77278B}"/>
    <cellStyle name="style1770872322010" xfId="3645" xr:uid="{E315411A-CB8A-4B1C-926E-459C126C59C7}"/>
    <cellStyle name="style1770872322036" xfId="3646" xr:uid="{2D92F5AE-9CD7-45D6-B9BB-6AAEEE86D5F8}"/>
    <cellStyle name="style1770872322058" xfId="3647" xr:uid="{E3D8D14A-7ABC-4C2C-B21A-47BFE227A851}"/>
    <cellStyle name="style1770872322088" xfId="3648" xr:uid="{DDA309E0-2445-49F2-8D89-B5B9B390B5DB}"/>
    <cellStyle name="style1770872322106" xfId="3649" xr:uid="{729E132C-A5DF-43DE-A55E-657704D1F47C}"/>
    <cellStyle name="style1770872322151" xfId="3650" xr:uid="{71784472-B07A-41D9-A9C9-BB6206CA2500}"/>
    <cellStyle name="style1770872322167" xfId="3651" xr:uid="{5C7CE11A-8CCA-49E8-BCC7-4A9ECA351622}"/>
    <cellStyle name="style1770872322183" xfId="3652" xr:uid="{36806D8F-C30A-440B-BFAE-BBE147B0F10E}"/>
    <cellStyle name="style1770872322207" xfId="3653" xr:uid="{0F646FF0-00D9-4DBC-9585-C16A8A1B1E27}"/>
    <cellStyle name="style1770872322240" xfId="3654" xr:uid="{7BCA28E9-9311-4FBA-BEF5-D57E22941065}"/>
    <cellStyle name="style1770872322263" xfId="3655" xr:uid="{AE9D8617-5232-44A2-80AE-6436C713D792}"/>
    <cellStyle name="style1770872322288" xfId="3656" xr:uid="{94F21250-0F56-413E-B643-B080E2128274}"/>
    <cellStyle name="style1770872322311" xfId="3657" xr:uid="{57364A6F-3565-467E-B7DE-CDC102B788DE}"/>
    <cellStyle name="style1770872322338" xfId="3661" xr:uid="{DB459A90-C0D8-4E41-BDA8-DA1E06FD8390}"/>
    <cellStyle name="style1770872322359" xfId="3662" xr:uid="{B2084B25-F515-4BF3-B1A0-A83F0F08ED4A}"/>
    <cellStyle name="style1770872322390" xfId="3666" xr:uid="{1261EDBE-E495-448A-BB48-FE1299BDCDD6}"/>
    <cellStyle name="style1770872322417" xfId="3667" xr:uid="{4D5A4828-A228-4992-81B8-B7195374F9CF}"/>
    <cellStyle name="style1770872322442" xfId="3658" xr:uid="{F8A75ED3-2B45-40A1-A5E8-B379481CA571}"/>
    <cellStyle name="style1770872322455" xfId="3659" xr:uid="{3164B907-3B01-403B-A96F-BEFDFBB0C267}"/>
    <cellStyle name="style1770872322489" xfId="3660" xr:uid="{7DFC1B1B-BAEB-4CFB-B191-5922CCA9A4BD}"/>
    <cellStyle name="style1770872322506" xfId="3663" xr:uid="{5E103295-AA47-4C90-B544-CE8E1FBFDE56}"/>
    <cellStyle name="style1770872322533" xfId="3664" xr:uid="{FB42FF80-90BB-4703-947F-093D629C60E6}"/>
    <cellStyle name="style1770872322552" xfId="3665" xr:uid="{128BA82B-CF83-47DF-82CF-7284A06465D1}"/>
    <cellStyle name="style1770872322599" xfId="3668" xr:uid="{F579845B-BBD5-4BAA-AA79-90D48FC900DB}"/>
    <cellStyle name="style1770872322618" xfId="3669" xr:uid="{1651BA62-3555-48B2-8F75-38E3327FD356}"/>
    <cellStyle name="style1770872322647" xfId="3670" xr:uid="{5F9443E1-D026-423D-A472-EEED5F1041E9}"/>
  </cellStyles>
  <dxfs count="96">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65" formatCode="\*#,##0"/>
    </dxf>
    <dxf>
      <font>
        <color rgb="FFFF0000"/>
      </font>
      <numFmt numFmtId="166" formatCode="\*\*#,##0"/>
    </dxf>
    <dxf>
      <font>
        <color rgb="FF00B050"/>
      </font>
      <numFmt numFmtId="167" formatCode="\*0.0%"/>
    </dxf>
    <dxf>
      <font>
        <color rgb="FFFF0000"/>
      </font>
      <numFmt numFmtId="168" formatCode="\*\*0.0%"/>
    </dxf>
    <dxf>
      <font>
        <color rgb="FF00B050"/>
      </font>
      <numFmt numFmtId="165" formatCode="\*#,##0"/>
    </dxf>
    <dxf>
      <font>
        <color rgb="FFFF0000"/>
      </font>
      <numFmt numFmtId="166" formatCode="\*\*#,##0"/>
    </dxf>
    <dxf>
      <font>
        <color rgb="FF00B050"/>
      </font>
      <numFmt numFmtId="168" formatCode="\*\*0.0%"/>
    </dxf>
    <dxf>
      <font>
        <color rgb="FFFF0000"/>
      </font>
      <numFmt numFmtId="168" formatCode="\*\*0.0%"/>
    </dxf>
    <dxf>
      <font>
        <color rgb="FF00B050"/>
      </font>
      <numFmt numFmtId="165" formatCode="\*#,##0"/>
    </dxf>
    <dxf>
      <font>
        <color rgb="FFFF0000"/>
      </font>
      <numFmt numFmtId="166" formatCode="\*\*#,##0"/>
    </dxf>
    <dxf>
      <font>
        <color rgb="FF00B050"/>
      </font>
      <numFmt numFmtId="167" formatCode="\*0.0%"/>
    </dxf>
    <dxf>
      <font>
        <color rgb="FFFF0000"/>
      </font>
      <numFmt numFmtId="168" formatCode="\*\*0.0%"/>
    </dxf>
    <dxf>
      <font>
        <color rgb="FF00B050"/>
      </font>
      <numFmt numFmtId="165" formatCode="\*#,##0"/>
    </dxf>
    <dxf>
      <font>
        <color rgb="FFFF0000"/>
      </font>
      <numFmt numFmtId="166" formatCode="\*\*#,##0"/>
    </dxf>
    <dxf>
      <font>
        <color rgb="FF00B050"/>
      </font>
      <numFmt numFmtId="167" formatCode="\*0.0%"/>
    </dxf>
    <dxf>
      <font>
        <color rgb="FFFF0000"/>
      </font>
      <numFmt numFmtId="168" formatCode="\*\*0.0%"/>
    </dxf>
    <dxf>
      <font>
        <color rgb="FF00B050"/>
      </font>
      <numFmt numFmtId="169" formatCode="\*#,###,###,##0"/>
    </dxf>
    <dxf>
      <font>
        <color rgb="FFFF0000"/>
      </font>
      <numFmt numFmtId="170" formatCode="\*\*#,###,###,##0"/>
    </dxf>
    <dxf>
      <font>
        <color rgb="FF00B050"/>
      </font>
      <numFmt numFmtId="167" formatCode="\*0.0%"/>
    </dxf>
    <dxf>
      <font>
        <color rgb="FFFF0000"/>
      </font>
      <numFmt numFmtId="168" formatCode="\*\*0.0%"/>
    </dxf>
    <dxf>
      <font>
        <color rgb="FF00B050"/>
      </font>
      <numFmt numFmtId="167" formatCode="\*0.0%"/>
    </dxf>
    <dxf>
      <font>
        <color rgb="FFFF0000"/>
      </font>
      <numFmt numFmtId="168" formatCode="\*\*0.0%"/>
    </dxf>
    <dxf>
      <font>
        <color rgb="FF00B050"/>
      </font>
      <numFmt numFmtId="167" formatCode="\*0.0%"/>
    </dxf>
    <dxf>
      <font>
        <color rgb="FFFF0000"/>
      </font>
      <numFmt numFmtId="168" formatCode="\*\*0.0%"/>
    </dxf>
    <dxf>
      <font>
        <color rgb="FF00B050"/>
      </font>
      <numFmt numFmtId="167" formatCode="\*0.0%"/>
    </dxf>
    <dxf>
      <font>
        <color rgb="FFFF0000"/>
      </font>
      <numFmt numFmtId="168" formatCode="\*\*0.0%"/>
    </dxf>
    <dxf>
      <font>
        <color rgb="FF00B050"/>
      </font>
      <numFmt numFmtId="167" formatCode="\*0.0%"/>
    </dxf>
    <dxf>
      <font>
        <color rgb="FFFF0000"/>
      </font>
      <numFmt numFmtId="168" formatCode="\*\*0.0%"/>
    </dxf>
    <dxf>
      <font>
        <color rgb="FF00B050"/>
      </font>
      <numFmt numFmtId="167" formatCode="\*0.0%"/>
    </dxf>
    <dxf>
      <font>
        <color rgb="FFFF0000"/>
      </font>
      <numFmt numFmtId="168" formatCode="\*\*0.0%"/>
    </dxf>
    <dxf>
      <font>
        <color rgb="FF00B050"/>
      </font>
      <numFmt numFmtId="167" formatCode="\*0.0%"/>
    </dxf>
    <dxf>
      <font>
        <color rgb="FFFF0000"/>
      </font>
      <numFmt numFmtId="168" formatCode="\*\*0.0%"/>
    </dxf>
    <dxf>
      <font>
        <color rgb="FF00B050"/>
      </font>
      <numFmt numFmtId="167" formatCode="\*0.0%"/>
    </dxf>
    <dxf>
      <font>
        <color rgb="FFFF0000"/>
      </font>
      <numFmt numFmtId="168" formatCode="\*\*0.0%"/>
    </dxf>
    <dxf>
      <font>
        <color rgb="FF00B050"/>
      </font>
      <numFmt numFmtId="167" formatCode="\*0.0%"/>
    </dxf>
    <dxf>
      <font>
        <color rgb="FFFF0000"/>
      </font>
      <numFmt numFmtId="168" formatCode="\*\*0.0%"/>
    </dxf>
    <dxf>
      <font>
        <color rgb="FF00B050"/>
      </font>
      <numFmt numFmtId="167" formatCode="\*0.0%"/>
    </dxf>
    <dxf>
      <font>
        <color rgb="FFFF0000"/>
      </font>
      <numFmt numFmtId="168" formatCode="\*\*0.0%"/>
    </dxf>
    <dxf>
      <font>
        <color rgb="FF00B050"/>
      </font>
      <numFmt numFmtId="167" formatCode="\*0.0%"/>
    </dxf>
    <dxf>
      <font>
        <color rgb="FFFF0000"/>
      </font>
      <numFmt numFmtId="168" formatCode="\*\*0.0%"/>
    </dxf>
    <dxf>
      <font>
        <color rgb="FF00B050"/>
      </font>
      <numFmt numFmtId="167" formatCode="\*0.0%"/>
    </dxf>
    <dxf>
      <font>
        <color rgb="FFFF0000"/>
      </font>
      <numFmt numFmtId="168" formatCode="\*\*0.0%"/>
    </dxf>
    <dxf>
      <font>
        <color rgb="FF00B050"/>
      </font>
      <numFmt numFmtId="167" formatCode="\*0.0%"/>
    </dxf>
    <dxf>
      <font>
        <color rgb="FFFF0000"/>
      </font>
      <numFmt numFmtId="168" formatCode="\*\*0.0%"/>
    </dxf>
    <dxf>
      <font>
        <color rgb="FF00B050"/>
      </font>
      <numFmt numFmtId="169" formatCode="\*#,###,###,##0"/>
    </dxf>
    <dxf>
      <font>
        <color rgb="FFFF0000"/>
      </font>
      <numFmt numFmtId="170" formatCode="\*\*#,###,###,##0"/>
    </dxf>
    <dxf>
      <font>
        <color rgb="FF00B050"/>
      </font>
      <numFmt numFmtId="167" formatCode="\*0.0%"/>
    </dxf>
    <dxf>
      <font>
        <color rgb="FFFF0000"/>
      </font>
      <numFmt numFmtId="168" formatCode="\*\*0.0%"/>
    </dxf>
    <dxf>
      <font>
        <color rgb="FF00B050"/>
      </font>
      <numFmt numFmtId="169" formatCode="\*#,###,###,##0"/>
    </dxf>
    <dxf>
      <font>
        <color rgb="FFFF0000"/>
      </font>
      <numFmt numFmtId="170" formatCode="\*\*#,###,###,##0"/>
    </dxf>
    <dxf>
      <font>
        <color rgb="FF00B050"/>
      </font>
      <numFmt numFmtId="167" formatCode="\*0.0%"/>
    </dxf>
    <dxf>
      <font>
        <color rgb="FFFF0000"/>
      </font>
      <numFmt numFmtId="168" formatCode="\*\*0.0%"/>
    </dxf>
    <dxf>
      <font>
        <color rgb="FF00B050"/>
      </font>
      <numFmt numFmtId="167" formatCode="\*0.0%"/>
    </dxf>
    <dxf>
      <font>
        <color rgb="FFFF0000"/>
      </font>
      <numFmt numFmtId="168" formatCode="\*\*0.0%"/>
    </dxf>
    <dxf>
      <font>
        <color rgb="FF00B050"/>
      </font>
      <numFmt numFmtId="169" formatCode="\*#,###,###,##0"/>
    </dxf>
    <dxf>
      <font>
        <color rgb="FFFF0000"/>
      </font>
      <numFmt numFmtId="170" formatCode="\*\*#,###,###,##0"/>
    </dxf>
    <dxf>
      <font>
        <color rgb="FF00B050"/>
      </font>
      <numFmt numFmtId="167" formatCode="\*0.0%"/>
    </dxf>
    <dxf>
      <font>
        <color rgb="FFFF0000"/>
      </font>
      <numFmt numFmtId="168" formatCode="\*\*0.0%"/>
    </dxf>
    <dxf>
      <font>
        <color rgb="FF00B050"/>
      </font>
      <numFmt numFmtId="169" formatCode="\*#,###,###,##0"/>
    </dxf>
    <dxf>
      <font>
        <color rgb="FFFF0000"/>
      </font>
      <numFmt numFmtId="170" formatCode="\*\*#,###,###,##0"/>
    </dxf>
    <dxf>
      <font>
        <color rgb="FF00B050"/>
      </font>
      <numFmt numFmtId="167" formatCode="\*0.0%"/>
    </dxf>
    <dxf>
      <font>
        <color rgb="FFFF0000"/>
      </font>
      <numFmt numFmtId="168" formatCode="\*\*0.0%"/>
    </dxf>
  </dxfs>
  <tableStyles count="0" defaultTableStyle="TableStyleMedium2" defaultPivotStyle="PivotStyleLight16"/>
  <colors>
    <mruColors>
      <color rgb="FF0F0A30"/>
      <color rgb="FFFFDA00"/>
      <color rgb="FF3498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D156E47F-EA81-488E-B042-87836CAF59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D1F23EA7-A399-4C18-A94E-2D88E19306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BA9EE600-4F2B-4E2A-A972-F6E3FF8033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32B8AC9D-93A0-4B35-B266-9D9A7FA33F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14</xdr:col>
      <xdr:colOff>0</xdr:colOff>
      <xdr:row>1</xdr:row>
      <xdr:rowOff>0</xdr:rowOff>
    </xdr:from>
    <xdr:to>
      <xdr:col>21</xdr:col>
      <xdr:colOff>304801</xdr:colOff>
      <xdr:row>8</xdr:row>
      <xdr:rowOff>66675</xdr:rowOff>
    </xdr:to>
    <xdr:sp macro="" textlink="">
      <xdr:nvSpPr>
        <xdr:cNvPr id="4" name="TextBox 3">
          <a:extLst>
            <a:ext uri="{FF2B5EF4-FFF2-40B4-BE49-F238E27FC236}">
              <a16:creationId xmlns:a16="http://schemas.microsoft.com/office/drawing/2014/main" id="{130DA05F-4C7D-4ADE-8725-9649906A5662}"/>
            </a:ext>
          </a:extLst>
        </xdr:cNvPr>
        <xdr:cNvSpPr txBox="1"/>
      </xdr:nvSpPr>
      <xdr:spPr>
        <a:xfrm>
          <a:off x="12144375"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209085</xdr:colOff>
      <xdr:row>5</xdr:row>
      <xdr:rowOff>94439</xdr:rowOff>
    </xdr:to>
    <xdr:pic>
      <xdr:nvPicPr>
        <xdr:cNvPr id="2" name="Picture 1">
          <a:extLst>
            <a:ext uri="{FF2B5EF4-FFF2-40B4-BE49-F238E27FC236}">
              <a16:creationId xmlns:a16="http://schemas.microsoft.com/office/drawing/2014/main" id="{5EA1A195-DEF8-4D70-A4DF-28C139359E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2" name="Picture 1">
          <a:extLst>
            <a:ext uri="{FF2B5EF4-FFF2-40B4-BE49-F238E27FC236}">
              <a16:creationId xmlns:a16="http://schemas.microsoft.com/office/drawing/2014/main" id="{900A6A0F-9270-4991-A9E2-13D81ED3D6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82880"/>
          <a:ext cx="2251245" cy="82214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2" name="Picture 1">
          <a:extLst>
            <a:ext uri="{FF2B5EF4-FFF2-40B4-BE49-F238E27FC236}">
              <a16:creationId xmlns:a16="http://schemas.microsoft.com/office/drawing/2014/main" id="{A7602F98-9920-4C2C-9DC6-F90D5E734C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82880"/>
          <a:ext cx="2251245" cy="82214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3</xdr:col>
      <xdr:colOff>167175</xdr:colOff>
      <xdr:row>5</xdr:row>
      <xdr:rowOff>90629</xdr:rowOff>
    </xdr:to>
    <xdr:pic>
      <xdr:nvPicPr>
        <xdr:cNvPr id="2" name="Picture 1">
          <a:extLst>
            <a:ext uri="{FF2B5EF4-FFF2-40B4-BE49-F238E27FC236}">
              <a16:creationId xmlns:a16="http://schemas.microsoft.com/office/drawing/2014/main" id="{5DD37A3C-8C81-485C-82A5-34FC99AF15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12</xdr:col>
      <xdr:colOff>47625</xdr:colOff>
      <xdr:row>13</xdr:row>
      <xdr:rowOff>85725</xdr:rowOff>
    </xdr:from>
    <xdr:to>
      <xdr:col>18</xdr:col>
      <xdr:colOff>133350</xdr:colOff>
      <xdr:row>20</xdr:row>
      <xdr:rowOff>114300</xdr:rowOff>
    </xdr:to>
    <xdr:sp macro="" textlink="">
      <xdr:nvSpPr>
        <xdr:cNvPr id="3" name="TextBox 2">
          <a:extLst>
            <a:ext uri="{FF2B5EF4-FFF2-40B4-BE49-F238E27FC236}">
              <a16:creationId xmlns:a16="http://schemas.microsoft.com/office/drawing/2014/main" id="{75BDF06B-DD88-843B-6295-DDE927E9FD57}"/>
            </a:ext>
          </a:extLst>
        </xdr:cNvPr>
        <xdr:cNvSpPr txBox="1"/>
      </xdr:nvSpPr>
      <xdr:spPr>
        <a:xfrm>
          <a:off x="9877425" y="2463165"/>
          <a:ext cx="4231005" cy="13087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1</xdr:row>
      <xdr:rowOff>9525</xdr:rowOff>
    </xdr:from>
    <xdr:to>
      <xdr:col>0</xdr:col>
      <xdr:colOff>2262675</xdr:colOff>
      <xdr:row>5</xdr:row>
      <xdr:rowOff>100154</xdr:rowOff>
    </xdr:to>
    <xdr:pic>
      <xdr:nvPicPr>
        <xdr:cNvPr id="2" name="Picture 1">
          <a:extLst>
            <a:ext uri="{FF2B5EF4-FFF2-40B4-BE49-F238E27FC236}">
              <a16:creationId xmlns:a16="http://schemas.microsoft.com/office/drawing/2014/main" id="{786D9F82-9151-4478-B676-33C1F49656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200025"/>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workbookViewId="0">
      <pane xSplit="1" ySplit="12" topLeftCell="B13" activePane="bottomRight" state="frozen"/>
      <selection pane="topRight" activeCell="B1" sqref="B1"/>
      <selection pane="bottomLeft" activeCell="A13" sqref="A13"/>
      <selection pane="bottomRight"/>
    </sheetView>
  </sheetViews>
  <sheetFormatPr defaultColWidth="8.81640625" defaultRowHeight="14.5" x14ac:dyDescent="0.35"/>
  <cols>
    <col min="1" max="1" width="30.7265625" style="1" customWidth="1"/>
    <col min="2" max="2" width="13.26953125" style="1" customWidth="1"/>
    <col min="3" max="3" width="3.26953125" style="1" customWidth="1"/>
    <col min="4" max="4" width="81" style="1" customWidth="1"/>
    <col min="5" max="16384" width="8.81640625" style="1"/>
  </cols>
  <sheetData>
    <row r="1" spans="1:4" x14ac:dyDescent="0.35">
      <c r="A1" s="20"/>
      <c r="B1" s="20"/>
      <c r="C1" s="20"/>
      <c r="D1" s="20"/>
    </row>
    <row r="2" spans="1:4" x14ac:dyDescent="0.35">
      <c r="A2" s="20"/>
      <c r="B2" s="20"/>
      <c r="C2" s="20"/>
      <c r="D2" s="20"/>
    </row>
    <row r="3" spans="1:4" x14ac:dyDescent="0.35">
      <c r="A3" s="20"/>
      <c r="B3" s="20"/>
      <c r="C3" s="20"/>
      <c r="D3" s="20"/>
    </row>
    <row r="4" spans="1:4" x14ac:dyDescent="0.35">
      <c r="A4" s="20"/>
      <c r="B4" s="20"/>
      <c r="C4" s="20"/>
      <c r="D4" s="20"/>
    </row>
    <row r="5" spans="1:4" x14ac:dyDescent="0.35">
      <c r="A5" s="20"/>
      <c r="B5" s="20"/>
      <c r="C5" s="20"/>
      <c r="D5" s="20"/>
    </row>
    <row r="6" spans="1:4" x14ac:dyDescent="0.35">
      <c r="A6" s="20"/>
      <c r="B6" s="20"/>
      <c r="C6" s="20"/>
      <c r="D6" s="20"/>
    </row>
    <row r="7" spans="1:4" x14ac:dyDescent="0.35">
      <c r="A7" s="20"/>
      <c r="B7" s="20"/>
      <c r="C7" s="20"/>
      <c r="D7" s="20"/>
    </row>
    <row r="8" spans="1:4" x14ac:dyDescent="0.35">
      <c r="A8" s="21" t="s">
        <v>288</v>
      </c>
      <c r="B8" s="20"/>
      <c r="C8" s="20"/>
      <c r="D8" s="20"/>
    </row>
    <row r="9" spans="1:4" x14ac:dyDescent="0.35">
      <c r="A9" s="20" t="s">
        <v>0</v>
      </c>
      <c r="B9" s="20"/>
      <c r="C9" s="20"/>
      <c r="D9" s="40" t="s">
        <v>287</v>
      </c>
    </row>
    <row r="10" spans="1:4" x14ac:dyDescent="0.35">
      <c r="A10" s="23" t="s">
        <v>1</v>
      </c>
      <c r="B10" s="23"/>
      <c r="C10" s="23"/>
      <c r="D10" s="24" t="s">
        <v>2</v>
      </c>
    </row>
    <row r="11" spans="1:4" x14ac:dyDescent="0.35">
      <c r="A11" s="25"/>
      <c r="B11" s="25"/>
      <c r="C11" s="25"/>
      <c r="D11" s="25"/>
    </row>
    <row r="12" spans="1:4" x14ac:dyDescent="0.35">
      <c r="A12" s="25"/>
      <c r="B12" s="26" t="s">
        <v>3</v>
      </c>
      <c r="C12" s="26"/>
      <c r="D12" s="26" t="s">
        <v>4</v>
      </c>
    </row>
    <row r="13" spans="1:4" x14ac:dyDescent="0.35">
      <c r="A13" s="28" t="s">
        <v>5</v>
      </c>
      <c r="B13" s="1">
        <v>1</v>
      </c>
      <c r="D13" s="1" t="s">
        <v>6</v>
      </c>
    </row>
    <row r="14" spans="1:4" x14ac:dyDescent="0.35">
      <c r="A14" s="28"/>
      <c r="B14" s="1">
        <v>2</v>
      </c>
      <c r="D14" s="1" t="s">
        <v>276</v>
      </c>
    </row>
    <row r="15" spans="1:4" x14ac:dyDescent="0.35">
      <c r="A15" s="28"/>
      <c r="B15" s="1">
        <v>3</v>
      </c>
      <c r="D15" s="1" t="s">
        <v>238</v>
      </c>
    </row>
    <row r="16" spans="1:4" x14ac:dyDescent="0.35">
      <c r="A16" s="28"/>
      <c r="B16" s="1">
        <v>4</v>
      </c>
      <c r="D16" s="1" t="s">
        <v>236</v>
      </c>
    </row>
    <row r="17" spans="1:4" x14ac:dyDescent="0.35">
      <c r="A17" s="28"/>
      <c r="B17" s="1">
        <v>5</v>
      </c>
      <c r="D17" s="1" t="s">
        <v>237</v>
      </c>
    </row>
    <row r="18" spans="1:4" x14ac:dyDescent="0.35">
      <c r="A18" s="28"/>
    </row>
    <row r="19" spans="1:4" x14ac:dyDescent="0.35">
      <c r="A19" s="28" t="s">
        <v>280</v>
      </c>
      <c r="B19" s="1">
        <v>6</v>
      </c>
      <c r="D19" s="1" t="s">
        <v>6</v>
      </c>
    </row>
    <row r="20" spans="1:4" x14ac:dyDescent="0.35">
      <c r="A20" s="28"/>
      <c r="B20" s="1">
        <v>7</v>
      </c>
      <c r="D20" s="1" t="s">
        <v>281</v>
      </c>
    </row>
    <row r="21" spans="1:4" x14ac:dyDescent="0.35">
      <c r="A21" s="28"/>
    </row>
    <row r="22" spans="1:4" x14ac:dyDescent="0.35">
      <c r="A22" s="28" t="s">
        <v>7</v>
      </c>
      <c r="B22" s="1">
        <v>8</v>
      </c>
      <c r="D22" s="1" t="s">
        <v>8</v>
      </c>
    </row>
    <row r="23" spans="1:4" x14ac:dyDescent="0.35">
      <c r="A23" s="28"/>
    </row>
    <row r="24" spans="1:4" x14ac:dyDescent="0.35">
      <c r="A24" s="28" t="s">
        <v>9</v>
      </c>
      <c r="B24" s="1">
        <v>9</v>
      </c>
      <c r="D24" s="1" t="s">
        <v>9</v>
      </c>
    </row>
    <row r="25" spans="1:4" x14ac:dyDescent="0.35">
      <c r="A25" s="29"/>
      <c r="B25" s="3"/>
      <c r="C25" s="3"/>
      <c r="D25" s="3"/>
    </row>
  </sheetData>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workbookViewId="0">
      <pane xSplit="1" ySplit="15" topLeftCell="B16" activePane="bottomRight" state="frozen"/>
      <selection pane="topRight" activeCell="B1" sqref="B1"/>
      <selection pane="bottomLeft" activeCell="A16" sqref="A16"/>
      <selection pane="bottomRight"/>
    </sheetView>
  </sheetViews>
  <sheetFormatPr defaultColWidth="8.81640625" defaultRowHeight="14.5" x14ac:dyDescent="0.35"/>
  <cols>
    <col min="1" max="1" width="30.7265625" style="1" customWidth="1"/>
    <col min="2" max="2" width="12.81640625" style="1" customWidth="1"/>
    <col min="3" max="3" width="7" style="1" customWidth="1"/>
    <col min="4" max="5" width="12.81640625" style="1" customWidth="1"/>
    <col min="6" max="6" width="7" style="1" customWidth="1"/>
    <col min="7" max="13" width="12.81640625" style="1" customWidth="1"/>
    <col min="14" max="16384" width="8.81640625" style="1"/>
  </cols>
  <sheetData>
    <row r="1" spans="1:13" x14ac:dyDescent="0.35">
      <c r="A1" s="20"/>
      <c r="B1" s="20"/>
      <c r="C1" s="20"/>
      <c r="D1" s="20"/>
      <c r="E1" s="20"/>
      <c r="F1" s="20"/>
      <c r="G1" s="20"/>
      <c r="H1" s="20"/>
      <c r="I1" s="20"/>
      <c r="J1" s="20"/>
      <c r="K1" s="20"/>
      <c r="L1" s="20"/>
      <c r="M1" s="20"/>
    </row>
    <row r="2" spans="1:13" x14ac:dyDescent="0.35">
      <c r="A2" s="20"/>
      <c r="B2" s="20"/>
      <c r="C2" s="20"/>
      <c r="D2" s="20"/>
      <c r="E2" s="20"/>
      <c r="F2" s="20"/>
      <c r="G2" s="20"/>
      <c r="H2" s="20"/>
      <c r="I2" s="20"/>
      <c r="J2" s="20"/>
      <c r="K2" s="20"/>
      <c r="L2" s="20"/>
      <c r="M2" s="20"/>
    </row>
    <row r="3" spans="1:13" x14ac:dyDescent="0.35">
      <c r="A3" s="20"/>
      <c r="B3" s="20"/>
      <c r="C3" s="20"/>
      <c r="D3" s="20"/>
      <c r="E3" s="20"/>
      <c r="F3" s="20"/>
      <c r="G3" s="20"/>
      <c r="H3" s="20"/>
      <c r="I3" s="20"/>
      <c r="J3" s="20"/>
      <c r="K3" s="20"/>
      <c r="L3" s="20"/>
      <c r="M3" s="20"/>
    </row>
    <row r="4" spans="1:13" x14ac:dyDescent="0.35">
      <c r="A4" s="20"/>
      <c r="B4" s="20"/>
      <c r="C4" s="20"/>
      <c r="D4" s="20"/>
      <c r="E4" s="20"/>
      <c r="F4" s="20"/>
      <c r="G4" s="20"/>
      <c r="H4" s="20"/>
      <c r="I4" s="20"/>
      <c r="J4" s="20"/>
      <c r="K4" s="20"/>
      <c r="L4" s="20"/>
      <c r="M4" s="20"/>
    </row>
    <row r="5" spans="1:13" x14ac:dyDescent="0.35">
      <c r="A5" s="20"/>
      <c r="B5" s="20"/>
      <c r="C5" s="20"/>
      <c r="D5" s="20"/>
      <c r="E5" s="20"/>
      <c r="F5" s="20"/>
      <c r="G5" s="20"/>
      <c r="H5" s="20"/>
      <c r="I5" s="20"/>
      <c r="J5" s="20"/>
      <c r="K5" s="20"/>
      <c r="L5" s="20"/>
      <c r="M5" s="20"/>
    </row>
    <row r="6" spans="1:13" x14ac:dyDescent="0.35">
      <c r="A6" s="20"/>
      <c r="B6" s="20"/>
      <c r="C6" s="20"/>
      <c r="D6" s="20"/>
      <c r="E6" s="20"/>
      <c r="F6" s="20"/>
      <c r="G6" s="20"/>
      <c r="H6" s="20"/>
      <c r="I6" s="20"/>
      <c r="J6" s="20"/>
      <c r="K6" s="20"/>
      <c r="L6" s="20"/>
      <c r="M6" s="20"/>
    </row>
    <row r="7" spans="1:13" x14ac:dyDescent="0.35">
      <c r="A7" s="20"/>
      <c r="B7" s="20"/>
      <c r="C7" s="20"/>
      <c r="D7" s="20"/>
      <c r="E7" s="20"/>
      <c r="F7" s="20"/>
      <c r="G7" s="20"/>
      <c r="H7" s="20"/>
      <c r="I7" s="20"/>
      <c r="J7" s="20"/>
      <c r="K7" s="20"/>
      <c r="L7" s="20"/>
      <c r="M7" s="20"/>
    </row>
    <row r="8" spans="1:13" x14ac:dyDescent="0.35">
      <c r="A8" s="21" t="s">
        <v>288</v>
      </c>
      <c r="B8" s="20"/>
      <c r="C8" s="20"/>
      <c r="D8" s="20"/>
      <c r="E8" s="20"/>
      <c r="F8" s="20"/>
      <c r="G8" s="20"/>
      <c r="H8" s="20"/>
      <c r="I8" s="20"/>
      <c r="J8" s="20"/>
      <c r="K8" s="21"/>
      <c r="L8" s="20"/>
      <c r="M8" s="20"/>
    </row>
    <row r="9" spans="1:13" x14ac:dyDescent="0.35">
      <c r="A9" s="20" t="s">
        <v>0</v>
      </c>
      <c r="B9" s="21" t="s">
        <v>287</v>
      </c>
      <c r="C9" s="20"/>
      <c r="D9" s="20"/>
      <c r="E9" s="20"/>
      <c r="F9" s="20"/>
      <c r="G9" s="21"/>
      <c r="H9" s="20"/>
      <c r="I9" s="20"/>
      <c r="J9" s="20"/>
      <c r="K9" s="20"/>
      <c r="L9" s="20"/>
      <c r="M9" s="21"/>
    </row>
    <row r="10" spans="1:13" x14ac:dyDescent="0.35">
      <c r="A10" s="20" t="s">
        <v>10</v>
      </c>
      <c r="B10" s="22">
        <v>1</v>
      </c>
      <c r="C10" s="20"/>
      <c r="D10" s="20"/>
      <c r="E10" s="20"/>
      <c r="F10" s="20"/>
      <c r="G10" s="22"/>
      <c r="H10" s="20"/>
      <c r="I10" s="20"/>
      <c r="J10" s="20"/>
      <c r="K10" s="20"/>
      <c r="L10" s="20"/>
      <c r="M10" s="22"/>
    </row>
    <row r="11" spans="1:13" x14ac:dyDescent="0.35">
      <c r="A11" s="20" t="s">
        <v>1</v>
      </c>
      <c r="B11" s="21" t="s">
        <v>6</v>
      </c>
      <c r="C11" s="20"/>
      <c r="D11" s="20"/>
      <c r="E11" s="20"/>
      <c r="F11" s="20"/>
      <c r="G11" s="21"/>
      <c r="H11" s="20"/>
      <c r="I11" s="20"/>
      <c r="J11" s="20"/>
      <c r="K11" s="20"/>
      <c r="L11" s="20"/>
      <c r="M11" s="21"/>
    </row>
    <row r="12" spans="1:13" x14ac:dyDescent="0.35">
      <c r="A12" s="23" t="s">
        <v>11</v>
      </c>
      <c r="B12" s="21" t="s">
        <v>12</v>
      </c>
      <c r="C12" s="20"/>
      <c r="D12" s="20"/>
      <c r="E12" s="53" t="s">
        <v>235</v>
      </c>
      <c r="F12" s="20"/>
      <c r="G12" s="21"/>
      <c r="H12" s="20"/>
      <c r="I12" s="20"/>
      <c r="J12" s="20"/>
      <c r="K12" s="20"/>
      <c r="L12" s="20"/>
      <c r="M12" s="21"/>
    </row>
    <row r="13" spans="1:13" s="2" customFormat="1" ht="25" customHeight="1" x14ac:dyDescent="0.35">
      <c r="A13" s="36"/>
      <c r="B13" s="36"/>
      <c r="C13" s="36"/>
      <c r="D13" s="36"/>
      <c r="E13" s="36"/>
      <c r="F13" s="36"/>
      <c r="G13" s="81" t="s">
        <v>17</v>
      </c>
      <c r="H13" s="81"/>
      <c r="I13" s="81"/>
      <c r="J13" s="81"/>
      <c r="K13" s="81"/>
      <c r="L13" s="81"/>
      <c r="M13" s="81"/>
    </row>
    <row r="14" spans="1:13" s="41" customFormat="1" ht="25" customHeight="1" x14ac:dyDescent="0.35">
      <c r="A14" s="39"/>
      <c r="B14" s="30" t="s">
        <v>13</v>
      </c>
      <c r="C14" s="30"/>
      <c r="D14" s="30" t="s">
        <v>14</v>
      </c>
      <c r="E14" s="30" t="s">
        <v>15</v>
      </c>
      <c r="F14" s="30"/>
      <c r="G14" s="30" t="s">
        <v>18</v>
      </c>
      <c r="H14" s="30" t="s">
        <v>19</v>
      </c>
      <c r="I14" s="30" t="s">
        <v>20</v>
      </c>
      <c r="J14" s="30" t="s">
        <v>21</v>
      </c>
      <c r="K14" s="30" t="s">
        <v>22</v>
      </c>
      <c r="L14" s="30" t="s">
        <v>23</v>
      </c>
      <c r="M14" s="30" t="s">
        <v>24</v>
      </c>
    </row>
    <row r="15" spans="1:13" x14ac:dyDescent="0.35">
      <c r="A15" s="43"/>
      <c r="B15" s="80" t="s">
        <v>33</v>
      </c>
      <c r="C15" s="80"/>
      <c r="D15" s="80"/>
      <c r="E15" s="80"/>
      <c r="F15" s="80"/>
      <c r="G15" s="80"/>
      <c r="H15" s="80"/>
      <c r="I15" s="80"/>
      <c r="J15" s="80"/>
      <c r="K15" s="80"/>
      <c r="L15" s="80"/>
      <c r="M15" s="80"/>
    </row>
    <row r="16" spans="1:13" x14ac:dyDescent="0.35">
      <c r="A16" s="27" t="s">
        <v>39</v>
      </c>
      <c r="B16" s="4">
        <v>7.2198133540428368E-4</v>
      </c>
      <c r="D16" s="4">
        <v>8.5549356095167446E-4</v>
      </c>
      <c r="E16" s="4">
        <v>5.077513161143532E-4</v>
      </c>
      <c r="F16" s="4"/>
      <c r="G16" s="4">
        <v>0</v>
      </c>
      <c r="H16" s="4">
        <v>1.9012500417017028E-3</v>
      </c>
      <c r="I16" s="4">
        <v>1.3044279369768877E-3</v>
      </c>
      <c r="J16" s="4">
        <v>9.770529967494967E-4</v>
      </c>
      <c r="K16" s="4">
        <v>6.5057184689781833E-4</v>
      </c>
      <c r="L16" s="4">
        <v>0</v>
      </c>
      <c r="M16" s="4">
        <v>7.4260577415438716E-5</v>
      </c>
    </row>
    <row r="17" spans="1:13" x14ac:dyDescent="0.35">
      <c r="A17" s="27" t="s">
        <v>40</v>
      </c>
      <c r="B17" s="4">
        <v>2.2413757567212216E-3</v>
      </c>
      <c r="D17" s="4">
        <v>3.1263488256168029E-3</v>
      </c>
      <c r="E17" s="4">
        <v>1.4040947829738943E-3</v>
      </c>
      <c r="F17" s="4"/>
      <c r="G17" s="4">
        <v>3.5236031923184781E-3</v>
      </c>
      <c r="H17" s="4">
        <v>5.0648801619224693E-3</v>
      </c>
      <c r="I17" s="4">
        <v>3.9047446410566343E-3</v>
      </c>
      <c r="J17" s="4">
        <v>2.1560497057259284E-3</v>
      </c>
      <c r="K17" s="4">
        <v>1.2241621383556963E-3</v>
      </c>
      <c r="L17" s="4">
        <v>1.1650470066264858E-3</v>
      </c>
      <c r="M17" s="4">
        <v>5.6077303592219976E-4</v>
      </c>
    </row>
    <row r="18" spans="1:13" x14ac:dyDescent="0.35">
      <c r="A18" s="27" t="s">
        <v>41</v>
      </c>
      <c r="B18" s="4">
        <v>1.7937503329917572E-3</v>
      </c>
      <c r="D18" s="4">
        <v>2.4301186696817725E-3</v>
      </c>
      <c r="E18" s="4">
        <v>1.1934014821905728E-3</v>
      </c>
      <c r="F18" s="4"/>
      <c r="G18" s="4">
        <v>2.8289096483953501E-3</v>
      </c>
      <c r="H18" s="4">
        <v>1.606896611254467E-3</v>
      </c>
      <c r="I18" s="4">
        <v>2.9302189894335673E-3</v>
      </c>
      <c r="J18" s="4">
        <v>2.7591379700039752E-3</v>
      </c>
      <c r="K18" s="4">
        <v>1.9218016244846546E-3</v>
      </c>
      <c r="L18" s="4">
        <v>1.0778254209006461E-3</v>
      </c>
      <c r="M18" s="4">
        <v>2.8794931424740725E-4</v>
      </c>
    </row>
    <row r="19" spans="1:13" x14ac:dyDescent="0.35">
      <c r="A19" s="27" t="s">
        <v>42</v>
      </c>
      <c r="B19" s="4">
        <v>1.3179146533188258E-2</v>
      </c>
      <c r="D19" s="4">
        <v>1.7394434047474934E-2</v>
      </c>
      <c r="E19" s="4">
        <v>9.2147463669582097E-3</v>
      </c>
      <c r="F19" s="4"/>
      <c r="G19" s="4">
        <v>5.7525934566548663E-2</v>
      </c>
      <c r="H19" s="4">
        <v>2.9245093751147321E-2</v>
      </c>
      <c r="I19" s="4">
        <v>2.1330458183646369E-2</v>
      </c>
      <c r="J19" s="4">
        <v>1.0763629209239244E-2</v>
      </c>
      <c r="K19" s="4">
        <v>5.9753481669253209E-3</v>
      </c>
      <c r="L19" s="4">
        <v>3.1567111366569262E-3</v>
      </c>
      <c r="M19" s="4">
        <v>1.9842907742788278E-3</v>
      </c>
    </row>
    <row r="20" spans="1:13" x14ac:dyDescent="0.35">
      <c r="A20" s="27" t="s">
        <v>43</v>
      </c>
      <c r="B20" s="4">
        <v>2.4171697114511129E-2</v>
      </c>
      <c r="D20" s="4">
        <v>3.8068538521282558E-2</v>
      </c>
      <c r="E20" s="4">
        <v>1.0836636527024691E-2</v>
      </c>
      <c r="F20" s="4"/>
      <c r="G20" s="4">
        <v>6.0352629315920642E-2</v>
      </c>
      <c r="H20" s="4">
        <v>6.0064070758961551E-2</v>
      </c>
      <c r="I20" s="4">
        <v>4.7511445272008804E-2</v>
      </c>
      <c r="J20" s="4">
        <v>2.0730059811088244E-2</v>
      </c>
      <c r="K20" s="4">
        <v>1.3808292321647523E-2</v>
      </c>
      <c r="L20" s="4">
        <v>4.4682848168764375E-3</v>
      </c>
      <c r="M20" s="4">
        <v>7.4661715355355321E-4</v>
      </c>
    </row>
    <row r="21" spans="1:13" x14ac:dyDescent="0.35">
      <c r="A21" s="27" t="s">
        <v>44</v>
      </c>
      <c r="B21" s="4">
        <v>1.8861177718674346E-2</v>
      </c>
      <c r="D21" s="4">
        <v>2.2271987955573239E-2</v>
      </c>
      <c r="E21" s="4">
        <v>1.5585572880509572E-2</v>
      </c>
      <c r="F21" s="4"/>
      <c r="G21" s="4">
        <v>9.0700597127932089E-2</v>
      </c>
      <c r="H21" s="4">
        <v>4.1861975484576562E-2</v>
      </c>
      <c r="I21" s="4">
        <v>2.9682313843641082E-2</v>
      </c>
      <c r="J21" s="4">
        <v>1.7268306505655716E-2</v>
      </c>
      <c r="K21" s="4">
        <v>8.1465731664657325E-3</v>
      </c>
      <c r="L21" s="4">
        <v>3.0714370285051247E-3</v>
      </c>
      <c r="M21" s="4">
        <v>1.4858379963508185E-3</v>
      </c>
    </row>
    <row r="22" spans="1:13" x14ac:dyDescent="0.35">
      <c r="A22" s="27" t="s">
        <v>45</v>
      </c>
      <c r="B22" s="4">
        <v>3.0947717728429503E-3</v>
      </c>
      <c r="D22" s="4">
        <v>4.6740214551388611E-3</v>
      </c>
      <c r="E22" s="4">
        <v>1.5920528716203025E-3</v>
      </c>
      <c r="F22" s="4"/>
      <c r="G22" s="4">
        <v>7.1536712920284096E-3</v>
      </c>
      <c r="H22" s="4">
        <v>5.4523345887507388E-3</v>
      </c>
      <c r="I22" s="4">
        <v>4.7358927286693074E-3</v>
      </c>
      <c r="J22" s="4">
        <v>3.9575049126658428E-3</v>
      </c>
      <c r="K22" s="4">
        <v>3.6693077886408038E-3</v>
      </c>
      <c r="L22" s="4">
        <v>5.5335396261472429E-4</v>
      </c>
      <c r="M22" s="4">
        <v>1.4787991102150911E-4</v>
      </c>
    </row>
    <row r="23" spans="1:13" x14ac:dyDescent="0.35">
      <c r="A23" s="27" t="s">
        <v>46</v>
      </c>
      <c r="B23" s="4">
        <v>4.5255358494922501E-2</v>
      </c>
      <c r="D23" s="4">
        <v>6.8358125723091412E-2</v>
      </c>
      <c r="E23" s="4">
        <v>2.302813958902615E-2</v>
      </c>
      <c r="F23" s="4"/>
      <c r="G23" s="4">
        <v>0.17278545036327136</v>
      </c>
      <c r="H23" s="4">
        <v>0.1168679900446235</v>
      </c>
      <c r="I23" s="4">
        <v>6.1631645290500456E-2</v>
      </c>
      <c r="J23" s="4">
        <v>4.8373835154490515E-2</v>
      </c>
      <c r="K23" s="4">
        <v>2.6174844088654295E-2</v>
      </c>
      <c r="L23" s="4">
        <v>7.8436461642491587E-3</v>
      </c>
      <c r="M23" s="4">
        <v>2.0954219763912119E-3</v>
      </c>
    </row>
    <row r="24" spans="1:13" x14ac:dyDescent="0.35">
      <c r="A24" s="27" t="s">
        <v>47</v>
      </c>
      <c r="B24" s="4">
        <v>1.1806640341709634E-4</v>
      </c>
      <c r="D24" s="4">
        <v>1.5424944069706886E-4</v>
      </c>
      <c r="E24" s="4">
        <v>8.4083737122556937E-5</v>
      </c>
      <c r="F24" s="4"/>
      <c r="G24" s="4">
        <v>0</v>
      </c>
      <c r="H24" s="4">
        <v>2.071760436904028E-4</v>
      </c>
      <c r="I24" s="4">
        <v>2.4382146697408586E-4</v>
      </c>
      <c r="J24" s="4">
        <v>0</v>
      </c>
      <c r="K24" s="4">
        <v>3.4906405815976504E-4</v>
      </c>
      <c r="L24" s="4">
        <v>0</v>
      </c>
      <c r="M24" s="4">
        <v>0</v>
      </c>
    </row>
    <row r="25" spans="1:13" x14ac:dyDescent="0.35">
      <c r="A25" s="27" t="s">
        <v>48</v>
      </c>
      <c r="B25" s="4">
        <v>5.7835017338901424E-5</v>
      </c>
      <c r="D25" s="4">
        <v>1.1801689977622154E-4</v>
      </c>
      <c r="E25" s="4">
        <v>0</v>
      </c>
      <c r="F25" s="4"/>
      <c r="G25" s="4">
        <v>0</v>
      </c>
      <c r="H25" s="4">
        <v>2.6579255716633563E-4</v>
      </c>
      <c r="I25" s="4">
        <v>0</v>
      </c>
      <c r="J25" s="4">
        <v>1.6751210395434823E-4</v>
      </c>
      <c r="K25" s="4">
        <v>0</v>
      </c>
      <c r="L25" s="4">
        <v>0</v>
      </c>
      <c r="M25" s="4">
        <v>0</v>
      </c>
    </row>
    <row r="26" spans="1:13" x14ac:dyDescent="0.35">
      <c r="A26" s="27" t="s">
        <v>49</v>
      </c>
      <c r="B26" s="4">
        <v>3.0379779879315845E-3</v>
      </c>
      <c r="D26" s="4">
        <v>4.2478738351045481E-3</v>
      </c>
      <c r="E26" s="4">
        <v>1.893035115019339E-3</v>
      </c>
      <c r="F26" s="4"/>
      <c r="G26" s="4">
        <v>4.2458636856192878E-3</v>
      </c>
      <c r="H26" s="4">
        <v>3.9183461221970646E-3</v>
      </c>
      <c r="I26" s="4">
        <v>4.8577767315061944E-3</v>
      </c>
      <c r="J26" s="4">
        <v>2.7353228783645396E-3</v>
      </c>
      <c r="K26" s="4">
        <v>2.5300214884751331E-3</v>
      </c>
      <c r="L26" s="4">
        <v>2.5896233227813794E-3</v>
      </c>
      <c r="M26" s="4">
        <v>1.6628264844342779E-3</v>
      </c>
    </row>
    <row r="27" spans="1:13" x14ac:dyDescent="0.35">
      <c r="A27" s="27" t="s">
        <v>50</v>
      </c>
      <c r="B27" s="4">
        <v>2.799798444551361E-4</v>
      </c>
      <c r="D27" s="4">
        <v>3.1592294444835145E-4</v>
      </c>
      <c r="E27" s="4">
        <v>2.4776437644504368E-4</v>
      </c>
      <c r="F27" s="4"/>
      <c r="G27" s="4">
        <v>0</v>
      </c>
      <c r="H27" s="4">
        <v>4.1908401382971376E-4</v>
      </c>
      <c r="I27" s="4">
        <v>2.4947915031805064E-4</v>
      </c>
      <c r="J27" s="4">
        <v>6.1401969595786246E-4</v>
      </c>
      <c r="K27" s="4">
        <v>5.6826496493406881E-4</v>
      </c>
      <c r="L27" s="4">
        <v>0</v>
      </c>
      <c r="M27" s="4">
        <v>0</v>
      </c>
    </row>
    <row r="28" spans="1:13" x14ac:dyDescent="0.35">
      <c r="A28" s="27" t="s">
        <v>51</v>
      </c>
      <c r="B28" s="4">
        <v>1.8929580168936972E-5</v>
      </c>
      <c r="D28" s="4">
        <v>0</v>
      </c>
      <c r="E28" s="4">
        <v>3.7472769174013581E-5</v>
      </c>
      <c r="F28" s="4"/>
      <c r="G28" s="4">
        <v>0</v>
      </c>
      <c r="H28" s="4">
        <v>0</v>
      </c>
      <c r="I28" s="4">
        <v>0</v>
      </c>
      <c r="J28" s="4">
        <v>0</v>
      </c>
      <c r="K28" s="4">
        <v>1.2819077384402551E-4</v>
      </c>
      <c r="L28" s="4">
        <v>0</v>
      </c>
      <c r="M28" s="4">
        <v>0</v>
      </c>
    </row>
    <row r="29" spans="1:13" x14ac:dyDescent="0.35">
      <c r="A29" s="27" t="s">
        <v>52</v>
      </c>
      <c r="B29" s="4">
        <v>1.3945915406762623E-4</v>
      </c>
      <c r="D29" s="4">
        <v>1.2851763332626836E-4</v>
      </c>
      <c r="E29" s="4">
        <v>1.5139528092265522E-4</v>
      </c>
      <c r="F29" s="4"/>
      <c r="G29" s="4">
        <v>0</v>
      </c>
      <c r="H29" s="4">
        <v>0</v>
      </c>
      <c r="I29" s="4">
        <v>0</v>
      </c>
      <c r="J29" s="4">
        <v>3.6024836848905565E-4</v>
      </c>
      <c r="K29" s="4">
        <v>0</v>
      </c>
      <c r="L29" s="4">
        <v>4.4815851687619044E-4</v>
      </c>
      <c r="M29" s="4">
        <v>7.824800539718613E-5</v>
      </c>
    </row>
    <row r="30" spans="1:13" x14ac:dyDescent="0.35">
      <c r="A30" s="27" t="s">
        <v>53</v>
      </c>
      <c r="B30" s="4">
        <v>0</v>
      </c>
      <c r="D30" s="4">
        <v>0</v>
      </c>
      <c r="E30" s="4">
        <v>0</v>
      </c>
      <c r="F30" s="4"/>
      <c r="G30" s="4">
        <v>0</v>
      </c>
      <c r="H30" s="4">
        <v>0</v>
      </c>
      <c r="I30" s="4">
        <v>0</v>
      </c>
      <c r="J30" s="4">
        <v>0</v>
      </c>
      <c r="K30" s="4">
        <v>0</v>
      </c>
      <c r="L30" s="4">
        <v>0</v>
      </c>
      <c r="M30" s="4">
        <v>0</v>
      </c>
    </row>
    <row r="31" spans="1:13" x14ac:dyDescent="0.35">
      <c r="A31" s="27" t="s">
        <v>54</v>
      </c>
      <c r="B31" s="4">
        <v>4.1219020620080724E-4</v>
      </c>
      <c r="D31" s="4">
        <v>7.599123155495385E-4</v>
      </c>
      <c r="E31" s="4">
        <v>7.8767400496388467E-5</v>
      </c>
      <c r="F31" s="4"/>
      <c r="G31" s="4">
        <v>0</v>
      </c>
      <c r="H31" s="4">
        <v>1.0038836917345129E-3</v>
      </c>
      <c r="I31" s="4">
        <v>1.3177566292212847E-3</v>
      </c>
      <c r="J31" s="4">
        <v>1.8316218497243771E-4</v>
      </c>
      <c r="K31" s="4">
        <v>0</v>
      </c>
      <c r="L31" s="4">
        <v>0</v>
      </c>
      <c r="M31" s="4">
        <v>1.6130438978887655E-4</v>
      </c>
    </row>
    <row r="32" spans="1:13" x14ac:dyDescent="0.35">
      <c r="A32" s="27" t="s">
        <v>55</v>
      </c>
      <c r="B32" s="4">
        <v>1.4983601324753106E-4</v>
      </c>
      <c r="D32" s="4">
        <v>3.057521648983458E-4</v>
      </c>
      <c r="E32" s="4">
        <v>0</v>
      </c>
      <c r="F32" s="4"/>
      <c r="G32" s="4">
        <v>2.1032462382255469E-3</v>
      </c>
      <c r="H32" s="4">
        <v>0</v>
      </c>
      <c r="I32" s="4">
        <v>1.3959256853267297E-4</v>
      </c>
      <c r="J32" s="4">
        <v>1.805032216130728E-4</v>
      </c>
      <c r="K32" s="4">
        <v>0</v>
      </c>
      <c r="L32" s="4">
        <v>0</v>
      </c>
      <c r="M32" s="4">
        <v>0</v>
      </c>
    </row>
    <row r="33" spans="1:13" x14ac:dyDescent="0.35">
      <c r="A33" s="27" t="s">
        <v>56</v>
      </c>
      <c r="B33" s="4">
        <v>8.3430438817097084E-3</v>
      </c>
      <c r="D33" s="4">
        <v>1.1097562996904889E-2</v>
      </c>
      <c r="E33" s="4">
        <v>5.7499202441273663E-3</v>
      </c>
      <c r="F33" s="4"/>
      <c r="G33" s="4">
        <v>1.472423447462445E-3</v>
      </c>
      <c r="H33" s="4">
        <v>9.2537585805185102E-4</v>
      </c>
      <c r="I33" s="4">
        <v>2.8847730786623347E-3</v>
      </c>
      <c r="J33" s="4">
        <v>2.3791743172674952E-3</v>
      </c>
      <c r="K33" s="4">
        <v>4.2477069829651827E-3</v>
      </c>
      <c r="L33" s="4">
        <v>1.0066047810949124E-2</v>
      </c>
      <c r="M33" s="4">
        <v>2.4944378139545274E-2</v>
      </c>
    </row>
    <row r="34" spans="1:13" x14ac:dyDescent="0.35">
      <c r="A34" s="27" t="s">
        <v>57</v>
      </c>
      <c r="B34" s="4">
        <v>8.4785607615044997E-3</v>
      </c>
      <c r="D34" s="4">
        <v>9.716226344110802E-3</v>
      </c>
      <c r="E34" s="4">
        <v>7.2800132928939262E-3</v>
      </c>
      <c r="F34" s="4"/>
      <c r="G34" s="4">
        <v>9.8156652166849802E-3</v>
      </c>
      <c r="H34" s="4">
        <v>1.7532555367416786E-2</v>
      </c>
      <c r="I34" s="4">
        <v>1.5705105953317627E-2</v>
      </c>
      <c r="J34" s="4">
        <v>9.6127297695934848E-3</v>
      </c>
      <c r="K34" s="4">
        <v>7.4493209458779512E-3</v>
      </c>
      <c r="L34" s="4">
        <v>3.1881466675095886E-3</v>
      </c>
      <c r="M34" s="4">
        <v>5.3854202302634616E-4</v>
      </c>
    </row>
    <row r="35" spans="1:13" x14ac:dyDescent="0.35">
      <c r="A35" s="27" t="s">
        <v>58</v>
      </c>
      <c r="B35" s="4">
        <v>2.4126247990301023E-5</v>
      </c>
      <c r="D35" s="4">
        <v>0</v>
      </c>
      <c r="E35" s="4">
        <v>4.7760030275744331E-5</v>
      </c>
      <c r="F35" s="4"/>
      <c r="G35" s="4">
        <v>0</v>
      </c>
      <c r="H35" s="4">
        <v>0</v>
      </c>
      <c r="I35" s="4">
        <v>0</v>
      </c>
      <c r="J35" s="4">
        <v>1.4064847782341004E-4</v>
      </c>
      <c r="K35" s="4">
        <v>0</v>
      </c>
      <c r="L35" s="4">
        <v>0</v>
      </c>
      <c r="M35" s="4">
        <v>0</v>
      </c>
    </row>
    <row r="36" spans="1:13" x14ac:dyDescent="0.35">
      <c r="A36" s="27" t="s">
        <v>59</v>
      </c>
      <c r="B36" s="4">
        <v>0.174682262784563</v>
      </c>
      <c r="D36" s="4">
        <v>0.16301701086077522</v>
      </c>
      <c r="E36" s="4">
        <v>0.18599923840298449</v>
      </c>
      <c r="F36" s="4"/>
      <c r="G36" s="4">
        <v>0.14604611764942246</v>
      </c>
      <c r="H36" s="4">
        <v>0.17332234843881938</v>
      </c>
      <c r="I36" s="4">
        <v>0.20300827067121671</v>
      </c>
      <c r="J36" s="4">
        <v>0.21448206221061111</v>
      </c>
      <c r="K36" s="4">
        <v>0.19691391918977078</v>
      </c>
      <c r="L36" s="4">
        <v>0.19549078135451503</v>
      </c>
      <c r="M36" s="4">
        <v>9.5680857679416739E-2</v>
      </c>
    </row>
    <row r="37" spans="1:13" x14ac:dyDescent="0.35">
      <c r="A37" s="27" t="s">
        <v>60</v>
      </c>
      <c r="B37" s="4">
        <v>3.5941222006696891E-3</v>
      </c>
      <c r="D37" s="4">
        <v>5.5670436710287515E-3</v>
      </c>
      <c r="E37" s="4">
        <v>1.7142302063412166E-3</v>
      </c>
      <c r="F37" s="4"/>
      <c r="G37" s="4">
        <v>1.2255517685731411E-2</v>
      </c>
      <c r="H37" s="4">
        <v>6.8768891659009403E-3</v>
      </c>
      <c r="I37" s="4">
        <v>5.1924184490420057E-3</v>
      </c>
      <c r="J37" s="4">
        <v>3.3169748393667773E-3</v>
      </c>
      <c r="K37" s="4">
        <v>2.5129918882931248E-3</v>
      </c>
      <c r="L37" s="4">
        <v>1.7780442379959475E-3</v>
      </c>
      <c r="M37" s="4">
        <v>8.4763317134354328E-4</v>
      </c>
    </row>
    <row r="38" spans="1:13" x14ac:dyDescent="0.35">
      <c r="A38" s="27" t="s">
        <v>61</v>
      </c>
      <c r="B38" s="4">
        <v>1.2944649931087628E-4</v>
      </c>
      <c r="D38" s="4">
        <v>4.8782977916156068E-5</v>
      </c>
      <c r="E38" s="4">
        <v>2.0892582435110208E-4</v>
      </c>
      <c r="F38" s="4"/>
      <c r="G38" s="4">
        <v>0</v>
      </c>
      <c r="H38" s="4">
        <v>2.7529934841540651E-4</v>
      </c>
      <c r="I38" s="4">
        <v>4.5585743065091949E-4</v>
      </c>
      <c r="J38" s="4">
        <v>0</v>
      </c>
      <c r="K38" s="4">
        <v>0</v>
      </c>
      <c r="L38" s="4">
        <v>0</v>
      </c>
      <c r="M38" s="4">
        <v>8.2446428705347334E-5</v>
      </c>
    </row>
    <row r="39" spans="1:13" x14ac:dyDescent="0.35">
      <c r="A39" s="27" t="s">
        <v>62</v>
      </c>
      <c r="B39" s="4">
        <v>9.9650372943521307E-3</v>
      </c>
      <c r="D39" s="4">
        <v>1.0335632276831369E-2</v>
      </c>
      <c r="E39" s="4">
        <v>9.5924535912822878E-3</v>
      </c>
      <c r="F39" s="4"/>
      <c r="G39" s="4">
        <v>6.6436510839003281E-3</v>
      </c>
      <c r="H39" s="4">
        <v>6.3766377746406391E-3</v>
      </c>
      <c r="I39" s="4">
        <v>9.7227970798304617E-3</v>
      </c>
      <c r="J39" s="4">
        <v>1.1268997760038356E-2</v>
      </c>
      <c r="K39" s="4">
        <v>1.2537833550736134E-2</v>
      </c>
      <c r="L39" s="4">
        <v>1.4757316496489608E-2</v>
      </c>
      <c r="M39" s="4">
        <v>6.7632636862309916E-3</v>
      </c>
    </row>
    <row r="40" spans="1:13" x14ac:dyDescent="0.35">
      <c r="A40" s="27" t="s">
        <v>63</v>
      </c>
      <c r="B40" s="4">
        <v>3.3797943904233197E-4</v>
      </c>
      <c r="D40" s="4">
        <v>9.9059884663236155E-5</v>
      </c>
      <c r="E40" s="4">
        <v>5.7296093778301071E-4</v>
      </c>
      <c r="F40" s="4"/>
      <c r="G40" s="4">
        <v>2.0552759443047916E-3</v>
      </c>
      <c r="H40" s="4">
        <v>4.8876417678475744E-4</v>
      </c>
      <c r="I40" s="4">
        <v>8.2283718152821865E-4</v>
      </c>
      <c r="J40" s="4">
        <v>2.6167922389455005E-4</v>
      </c>
      <c r="K40" s="4">
        <v>0</v>
      </c>
      <c r="L40" s="4">
        <v>0</v>
      </c>
      <c r="M40" s="4">
        <v>0</v>
      </c>
    </row>
    <row r="41" spans="1:13" x14ac:dyDescent="0.35">
      <c r="A41" s="27" t="s">
        <v>64</v>
      </c>
      <c r="B41" s="4">
        <v>2.4915578896264608E-2</v>
      </c>
      <c r="D41" s="4">
        <v>4.2488056826470867E-2</v>
      </c>
      <c r="E41" s="4">
        <v>7.9583468098470174E-3</v>
      </c>
      <c r="F41" s="4"/>
      <c r="G41" s="4">
        <v>8.4310845510361346E-2</v>
      </c>
      <c r="H41" s="4">
        <v>4.8295099059716726E-2</v>
      </c>
      <c r="I41" s="4">
        <v>3.5430647955353396E-2</v>
      </c>
      <c r="J41" s="4">
        <v>2.6743719479789766E-2</v>
      </c>
      <c r="K41" s="4">
        <v>1.969451139569799E-2</v>
      </c>
      <c r="L41" s="4">
        <v>9.9085277220085175E-3</v>
      </c>
      <c r="M41" s="4">
        <v>3.0882523310364648E-3</v>
      </c>
    </row>
    <row r="42" spans="1:13" x14ac:dyDescent="0.35">
      <c r="A42" s="27" t="s">
        <v>65</v>
      </c>
      <c r="B42" s="4">
        <v>8.8371484305206052E-4</v>
      </c>
      <c r="D42" s="4">
        <v>7.2188200877935688E-4</v>
      </c>
      <c r="E42" s="4">
        <v>1.0490855217907249E-3</v>
      </c>
      <c r="F42" s="4"/>
      <c r="G42" s="4">
        <v>0</v>
      </c>
      <c r="H42" s="4">
        <v>1.5460975994068872E-4</v>
      </c>
      <c r="I42" s="4">
        <v>1.5343422447889181E-4</v>
      </c>
      <c r="J42" s="4">
        <v>1.3796303913998615E-4</v>
      </c>
      <c r="K42" s="4">
        <v>0</v>
      </c>
      <c r="L42" s="4">
        <v>4.4063916479022866E-4</v>
      </c>
      <c r="M42" s="4">
        <v>3.5907423366952646E-3</v>
      </c>
    </row>
    <row r="43" spans="1:13" x14ac:dyDescent="0.35">
      <c r="A43" s="27" t="s">
        <v>293</v>
      </c>
      <c r="B43" s="4">
        <v>6.4754561012279064E-3</v>
      </c>
      <c r="D43" s="4">
        <v>5.4710866596003041E-3</v>
      </c>
      <c r="E43" s="4">
        <v>7.4653350295583966E-3</v>
      </c>
      <c r="F43" s="4"/>
      <c r="G43" s="4">
        <v>1.5851148373245772E-3</v>
      </c>
      <c r="H43" s="4">
        <v>4.9259038005946424E-3</v>
      </c>
      <c r="I43" s="4">
        <v>1.2945280145293305E-2</v>
      </c>
      <c r="J43" s="4">
        <v>1.0797573148105272E-2</v>
      </c>
      <c r="K43" s="4">
        <v>6.3355626593400594E-3</v>
      </c>
      <c r="L43" s="4">
        <v>3.9656254412328952E-3</v>
      </c>
      <c r="M43" s="4">
        <v>9.9190415328121763E-4</v>
      </c>
    </row>
    <row r="44" spans="1:13" x14ac:dyDescent="0.35">
      <c r="A44" s="27" t="s">
        <v>66</v>
      </c>
      <c r="B44" s="4">
        <v>9.7760637057339104E-5</v>
      </c>
      <c r="D44" s="4">
        <v>1.0792590215110006E-4</v>
      </c>
      <c r="E44" s="4">
        <v>8.8825665291690381E-5</v>
      </c>
      <c r="F44" s="4"/>
      <c r="G44" s="4">
        <v>0</v>
      </c>
      <c r="H44" s="4">
        <v>0</v>
      </c>
      <c r="I44" s="4">
        <v>0</v>
      </c>
      <c r="J44" s="4">
        <v>5.699139293722414E-4</v>
      </c>
      <c r="K44" s="4">
        <v>0</v>
      </c>
      <c r="L44" s="4">
        <v>0</v>
      </c>
      <c r="M44" s="4">
        <v>0</v>
      </c>
    </row>
    <row r="45" spans="1:13" x14ac:dyDescent="0.35">
      <c r="A45" s="27" t="s">
        <v>67</v>
      </c>
      <c r="B45" s="4">
        <v>8.2939268810860667E-2</v>
      </c>
      <c r="D45" s="4">
        <v>0.10432183796257614</v>
      </c>
      <c r="E45" s="4">
        <v>6.2517779955159558E-2</v>
      </c>
      <c r="F45" s="4"/>
      <c r="G45" s="4">
        <v>6.6573026862343551E-2</v>
      </c>
      <c r="H45" s="4">
        <v>5.5895928479620695E-2</v>
      </c>
      <c r="I45" s="4">
        <v>7.1214395492550819E-2</v>
      </c>
      <c r="J45" s="4">
        <v>9.2594048447654967E-2</v>
      </c>
      <c r="K45" s="4">
        <v>0.11588327037561579</v>
      </c>
      <c r="L45" s="4">
        <v>0.1195224038372681</v>
      </c>
      <c r="M45" s="4">
        <v>5.5756536614474272E-2</v>
      </c>
    </row>
    <row r="46" spans="1:13" x14ac:dyDescent="0.35">
      <c r="A46" s="27" t="s">
        <v>68</v>
      </c>
      <c r="B46" s="4">
        <v>1.1228852388459377E-2</v>
      </c>
      <c r="D46" s="4">
        <v>2.7645835520316319E-3</v>
      </c>
      <c r="E46" s="4">
        <v>1.9162307310833626E-2</v>
      </c>
      <c r="F46" s="4"/>
      <c r="G46" s="4">
        <v>3.7086745878116945E-2</v>
      </c>
      <c r="H46" s="4">
        <v>2.5787343278512249E-2</v>
      </c>
      <c r="I46" s="4">
        <v>1.2624907129548054E-2</v>
      </c>
      <c r="J46" s="4">
        <v>1.0501647945867979E-2</v>
      </c>
      <c r="K46" s="4">
        <v>7.0117244360936902E-3</v>
      </c>
      <c r="L46" s="4">
        <v>6.5593517544111357E-3</v>
      </c>
      <c r="M46" s="4">
        <v>3.5626099621302878E-3</v>
      </c>
    </row>
    <row r="47" spans="1:13" x14ac:dyDescent="0.35">
      <c r="A47" s="27" t="s">
        <v>69</v>
      </c>
      <c r="B47" s="4">
        <v>1.6289712729616487E-2</v>
      </c>
      <c r="D47" s="4">
        <v>4.9090753689359969E-3</v>
      </c>
      <c r="E47" s="4">
        <v>2.7171200696165996E-2</v>
      </c>
      <c r="F47" s="4"/>
      <c r="G47" s="4">
        <v>2.6256058574601691E-2</v>
      </c>
      <c r="H47" s="4">
        <v>2.4180007759177471E-2</v>
      </c>
      <c r="I47" s="4">
        <v>1.8944818780471374E-2</v>
      </c>
      <c r="J47" s="4">
        <v>1.7027285045562692E-2</v>
      </c>
      <c r="K47" s="4">
        <v>1.2290529418122359E-2</v>
      </c>
      <c r="L47" s="4">
        <v>1.1362004474363504E-2</v>
      </c>
      <c r="M47" s="4">
        <v>1.3206322006141863E-2</v>
      </c>
    </row>
    <row r="48" spans="1:13" x14ac:dyDescent="0.35">
      <c r="A48" s="27" t="s">
        <v>70</v>
      </c>
      <c r="B48" s="4">
        <v>1.6236408479539473E-3</v>
      </c>
      <c r="D48" s="4">
        <v>2.1599319478785312E-3</v>
      </c>
      <c r="E48" s="4">
        <v>1.1187659301798592E-3</v>
      </c>
      <c r="F48" s="4"/>
      <c r="G48" s="4">
        <v>0</v>
      </c>
      <c r="H48" s="4">
        <v>2.660003811662523E-3</v>
      </c>
      <c r="I48" s="4">
        <v>1.3717931654013628E-3</v>
      </c>
      <c r="J48" s="4">
        <v>1.6391006624352706E-3</v>
      </c>
      <c r="K48" s="4">
        <v>1.6703115188373017E-3</v>
      </c>
      <c r="L48" s="4">
        <v>2.1079533300264203E-3</v>
      </c>
      <c r="M48" s="4">
        <v>1.283849856037316E-3</v>
      </c>
    </row>
    <row r="49" spans="1:13" x14ac:dyDescent="0.35">
      <c r="A49" s="27" t="s">
        <v>71</v>
      </c>
      <c r="B49" s="4">
        <v>4.9709968501203568E-4</v>
      </c>
      <c r="D49" s="4">
        <v>6.453192073878198E-4</v>
      </c>
      <c r="E49" s="4">
        <v>3.5802122956496934E-4</v>
      </c>
      <c r="F49" s="4"/>
      <c r="G49" s="4">
        <v>0</v>
      </c>
      <c r="H49" s="4">
        <v>1.8894409674443593E-3</v>
      </c>
      <c r="I49" s="4">
        <v>3.4127096052811545E-4</v>
      </c>
      <c r="J49" s="4">
        <v>4.3200101061332185E-4</v>
      </c>
      <c r="K49" s="4">
        <v>3.2956673272857892E-4</v>
      </c>
      <c r="L49" s="4">
        <v>5.1193655331458398E-4</v>
      </c>
      <c r="M49" s="4">
        <v>1.7203305105007596E-4</v>
      </c>
    </row>
    <row r="50" spans="1:13" x14ac:dyDescent="0.35">
      <c r="A50" s="27" t="s">
        <v>72</v>
      </c>
      <c r="B50" s="4">
        <v>7.6764601341156209E-4</v>
      </c>
      <c r="D50" s="4">
        <v>7.2438363075544862E-4</v>
      </c>
      <c r="E50" s="4">
        <v>8.1689021172758904E-4</v>
      </c>
      <c r="F50" s="4"/>
      <c r="G50" s="4">
        <v>4.916315816928472E-3</v>
      </c>
      <c r="H50" s="4">
        <v>1.433280066397338E-3</v>
      </c>
      <c r="I50" s="4">
        <v>1.6075867158825169E-3</v>
      </c>
      <c r="J50" s="4">
        <v>5.9745834660317068E-4</v>
      </c>
      <c r="K50" s="4">
        <v>0</v>
      </c>
      <c r="L50" s="4">
        <v>0</v>
      </c>
      <c r="M50" s="4">
        <v>0</v>
      </c>
    </row>
    <row r="51" spans="1:13" x14ac:dyDescent="0.35">
      <c r="A51" s="27" t="s">
        <v>73</v>
      </c>
      <c r="B51" s="4">
        <v>6.9915225665423018E-4</v>
      </c>
      <c r="D51" s="4">
        <v>5.8375180419470234E-4</v>
      </c>
      <c r="E51" s="4">
        <v>8.1772929091948816E-4</v>
      </c>
      <c r="F51" s="4"/>
      <c r="G51" s="4">
        <v>0</v>
      </c>
      <c r="H51" s="4">
        <v>3.3156905421084245E-4</v>
      </c>
      <c r="I51" s="4">
        <v>3.6014248410003033E-4</v>
      </c>
      <c r="J51" s="4">
        <v>6.9421360920953617E-4</v>
      </c>
      <c r="K51" s="4">
        <v>8.2877008076585857E-4</v>
      </c>
      <c r="L51" s="4">
        <v>1.4855069456308091E-3</v>
      </c>
      <c r="M51" s="4">
        <v>7.3094415398841802E-4</v>
      </c>
    </row>
    <row r="52" spans="1:13" x14ac:dyDescent="0.35">
      <c r="A52" s="27" t="s">
        <v>74</v>
      </c>
      <c r="B52" s="4">
        <v>2.696504447776873E-4</v>
      </c>
      <c r="D52" s="4">
        <v>3.0010713684083438E-4</v>
      </c>
      <c r="E52" s="4">
        <v>2.4265951163703658E-4</v>
      </c>
      <c r="F52" s="4"/>
      <c r="G52" s="4">
        <v>0</v>
      </c>
      <c r="H52" s="4">
        <v>8.4911783199944182E-4</v>
      </c>
      <c r="I52" s="4">
        <v>4.2572276781028726E-4</v>
      </c>
      <c r="J52" s="4">
        <v>0</v>
      </c>
      <c r="K52" s="4">
        <v>1.0764785021145893E-4</v>
      </c>
      <c r="L52" s="4">
        <v>2.0742071378720582E-4</v>
      </c>
      <c r="M52" s="4">
        <v>2.6581532862642417E-4</v>
      </c>
    </row>
    <row r="53" spans="1:13" x14ac:dyDescent="0.35">
      <c r="A53" s="27" t="s">
        <v>75</v>
      </c>
      <c r="B53" s="4">
        <v>4.4156527993927039E-3</v>
      </c>
      <c r="D53" s="4">
        <v>1.4055816794153438E-3</v>
      </c>
      <c r="E53" s="4">
        <v>7.3776027698313779E-3</v>
      </c>
      <c r="F53" s="4"/>
      <c r="G53" s="4">
        <v>5.4579706826705151E-3</v>
      </c>
      <c r="H53" s="4">
        <v>6.8220248533576158E-3</v>
      </c>
      <c r="I53" s="4">
        <v>5.7301262785935921E-3</v>
      </c>
      <c r="J53" s="4">
        <v>4.4494207871438041E-3</v>
      </c>
      <c r="K53" s="4">
        <v>4.1109558868150974E-3</v>
      </c>
      <c r="L53" s="4">
        <v>5.9174794155652782E-3</v>
      </c>
      <c r="M53" s="4">
        <v>1.0302060785725429E-3</v>
      </c>
    </row>
    <row r="54" spans="1:13" x14ac:dyDescent="0.35">
      <c r="A54" s="27" t="s">
        <v>76</v>
      </c>
      <c r="B54" s="4">
        <v>2.1075098586634477E-3</v>
      </c>
      <c r="D54" s="4">
        <v>3.2417158741595326E-3</v>
      </c>
      <c r="E54" s="4">
        <v>8.9356100452726882E-4</v>
      </c>
      <c r="F54" s="4"/>
      <c r="G54" s="4">
        <v>1.3313777060932344E-3</v>
      </c>
      <c r="H54" s="4">
        <v>7.354838827767312E-3</v>
      </c>
      <c r="I54" s="4">
        <v>3.9605963665278396E-3</v>
      </c>
      <c r="J54" s="4">
        <v>1.7094904521513382E-3</v>
      </c>
      <c r="K54" s="4">
        <v>1.0915542872613111E-3</v>
      </c>
      <c r="L54" s="4">
        <v>4.3726161932875233E-4</v>
      </c>
      <c r="M54" s="4">
        <v>7.9168688760368846E-5</v>
      </c>
    </row>
    <row r="55" spans="1:13" x14ac:dyDescent="0.35">
      <c r="A55" s="27" t="s">
        <v>77</v>
      </c>
      <c r="B55" s="4">
        <v>4.5392133846669795E-4</v>
      </c>
      <c r="D55" s="4">
        <v>5.1269959635278956E-4</v>
      </c>
      <c r="E55" s="4">
        <v>4.0120165103741567E-4</v>
      </c>
      <c r="F55" s="4"/>
      <c r="G55" s="4">
        <v>1.4488038018696785E-3</v>
      </c>
      <c r="H55" s="4">
        <v>1.5796218707160759E-3</v>
      </c>
      <c r="I55" s="4">
        <v>6.0019489073988145E-4</v>
      </c>
      <c r="J55" s="4">
        <v>0</v>
      </c>
      <c r="K55" s="4">
        <v>5.1037568429289262E-4</v>
      </c>
      <c r="L55" s="4">
        <v>0</v>
      </c>
      <c r="M55" s="4">
        <v>1.5734508457537335E-4</v>
      </c>
    </row>
    <row r="56" spans="1:13" x14ac:dyDescent="0.35">
      <c r="A56" s="27" t="s">
        <v>78</v>
      </c>
      <c r="B56" s="4">
        <v>1.0702115188980439E-2</v>
      </c>
      <c r="D56" s="4">
        <v>1.6942696177178411E-2</v>
      </c>
      <c r="E56" s="4">
        <v>4.6614855322589669E-3</v>
      </c>
      <c r="F56" s="4"/>
      <c r="G56" s="4">
        <v>1.0737614260941754E-2</v>
      </c>
      <c r="H56" s="4">
        <v>6.6368766911952537E-3</v>
      </c>
      <c r="I56" s="4">
        <v>9.2659094208190282E-3</v>
      </c>
      <c r="J56" s="4">
        <v>9.6396381839873278E-3</v>
      </c>
      <c r="K56" s="4">
        <v>1.4387673726567789E-2</v>
      </c>
      <c r="L56" s="4">
        <v>1.5530690167991469E-2</v>
      </c>
      <c r="M56" s="4">
        <v>9.1824893328300104E-3</v>
      </c>
    </row>
    <row r="57" spans="1:13" x14ac:dyDescent="0.35">
      <c r="A57" s="27" t="s">
        <v>79</v>
      </c>
      <c r="B57" s="4">
        <v>0.34102082475714662</v>
      </c>
      <c r="D57" s="4">
        <v>0.33102265999198027</v>
      </c>
      <c r="E57" s="4">
        <v>0.35077673106126128</v>
      </c>
      <c r="F57" s="4"/>
      <c r="G57" s="4">
        <v>0.37321580489852196</v>
      </c>
      <c r="H57" s="4">
        <v>0.43441464028477306</v>
      </c>
      <c r="I57" s="4">
        <v>0.42064289933992033</v>
      </c>
      <c r="J57" s="4">
        <v>0.36392609720960822</v>
      </c>
      <c r="K57" s="4">
        <v>0.32925744544338281</v>
      </c>
      <c r="L57" s="4">
        <v>0.29524872605378205</v>
      </c>
      <c r="M57" s="4">
        <v>0.23683117677813989</v>
      </c>
    </row>
    <row r="58" spans="1:13" x14ac:dyDescent="0.35">
      <c r="A58" s="27" t="s">
        <v>80</v>
      </c>
      <c r="B58" s="4">
        <v>2.8251689679796175E-4</v>
      </c>
      <c r="D58" s="4">
        <v>2.7843380533670002E-4</v>
      </c>
      <c r="E58" s="4">
        <v>2.8915532475208463E-4</v>
      </c>
      <c r="F58" s="4"/>
      <c r="G58" s="4">
        <v>1.650846250512388E-3</v>
      </c>
      <c r="H58" s="4">
        <v>5.2890262749464775E-4</v>
      </c>
      <c r="I58" s="4">
        <v>4.524529151121505E-4</v>
      </c>
      <c r="J58" s="4">
        <v>4.0607038787654893E-4</v>
      </c>
      <c r="K58" s="4">
        <v>0</v>
      </c>
      <c r="L58" s="4">
        <v>0</v>
      </c>
      <c r="M58" s="4">
        <v>0</v>
      </c>
    </row>
    <row r="59" spans="1:13" x14ac:dyDescent="0.35">
      <c r="A59" s="27" t="s">
        <v>81</v>
      </c>
      <c r="B59" s="4">
        <v>2.4891295867467654E-3</v>
      </c>
      <c r="D59" s="4">
        <v>2.9239938221168695E-3</v>
      </c>
      <c r="E59" s="4">
        <v>2.0484545633259791E-3</v>
      </c>
      <c r="F59" s="4"/>
      <c r="G59" s="4">
        <v>6.7832812496402837E-3</v>
      </c>
      <c r="H59" s="4">
        <v>6.9812996986967383E-3</v>
      </c>
      <c r="I59" s="4">
        <v>3.5701579672276014E-3</v>
      </c>
      <c r="J59" s="4">
        <v>1.9919077555391141E-3</v>
      </c>
      <c r="K59" s="4">
        <v>1.7301073561448973E-3</v>
      </c>
      <c r="L59" s="4">
        <v>9.9207142609788893E-4</v>
      </c>
      <c r="M59" s="4">
        <v>2.2716219617508008E-4</v>
      </c>
    </row>
    <row r="60" spans="1:13" x14ac:dyDescent="0.35">
      <c r="A60" s="27" t="s">
        <v>82</v>
      </c>
      <c r="B60" s="4">
        <v>5.6241270997355673E-2</v>
      </c>
      <c r="D60" s="4">
        <v>8.8712497878850133E-2</v>
      </c>
      <c r="E60" s="4">
        <v>2.4992001934351422E-2</v>
      </c>
      <c r="F60" s="4"/>
      <c r="G60" s="4">
        <v>0.17014613796278724</v>
      </c>
      <c r="H60" s="4">
        <v>0.123263027106747</v>
      </c>
      <c r="I60" s="4">
        <v>9.3554781867368805E-2</v>
      </c>
      <c r="J60" s="4">
        <v>6.942052924628396E-2</v>
      </c>
      <c r="K60" s="4">
        <v>3.2777109646590794E-2</v>
      </c>
      <c r="L60" s="4">
        <v>9.5453008961402536E-3</v>
      </c>
      <c r="M60" s="4">
        <v>1.3642207264416199E-3</v>
      </c>
    </row>
    <row r="61" spans="1:13" x14ac:dyDescent="0.35">
      <c r="A61" s="27" t="s">
        <v>83</v>
      </c>
      <c r="B61" s="4">
        <v>6.2770015178095773E-4</v>
      </c>
      <c r="D61" s="4">
        <v>9.9693786932338285E-4</v>
      </c>
      <c r="E61" s="4">
        <v>2.7544717523577756E-4</v>
      </c>
      <c r="F61" s="4"/>
      <c r="G61" s="4">
        <v>0</v>
      </c>
      <c r="H61" s="4">
        <v>1.0558541283813112E-3</v>
      </c>
      <c r="I61" s="4">
        <v>2.1215062637176536E-3</v>
      </c>
      <c r="J61" s="4">
        <v>3.0215116616038771E-4</v>
      </c>
      <c r="K61" s="4">
        <v>5.338393181382726E-4</v>
      </c>
      <c r="L61" s="4">
        <v>0</v>
      </c>
      <c r="M61" s="4">
        <v>0</v>
      </c>
    </row>
    <row r="62" spans="1:13" x14ac:dyDescent="0.35">
      <c r="A62" s="27" t="s">
        <v>84</v>
      </c>
      <c r="B62" s="4">
        <v>3.2172461130588109E-4</v>
      </c>
      <c r="D62" s="4">
        <v>3.542391144816182E-4</v>
      </c>
      <c r="E62" s="4">
        <v>2.4827081504405306E-4</v>
      </c>
      <c r="F62" s="4"/>
      <c r="G62" s="4">
        <v>0</v>
      </c>
      <c r="H62" s="4">
        <v>2.2989863686477817E-4</v>
      </c>
      <c r="I62" s="4">
        <v>1.4938377518588239E-4</v>
      </c>
      <c r="J62" s="4">
        <v>6.9382732928576667E-4</v>
      </c>
      <c r="K62" s="4">
        <v>3.0926995460148134E-4</v>
      </c>
      <c r="L62" s="4">
        <v>5.1061979621541481E-4</v>
      </c>
      <c r="M62" s="4">
        <v>1.6769451599474267E-4</v>
      </c>
    </row>
    <row r="63" spans="1:13" x14ac:dyDescent="0.35">
      <c r="A63" s="27" t="s">
        <v>85</v>
      </c>
      <c r="B63" s="4">
        <v>1.0126391087219216E-4</v>
      </c>
      <c r="D63" s="4">
        <v>2.0663697134077388E-4</v>
      </c>
      <c r="E63" s="4">
        <v>0</v>
      </c>
      <c r="F63" s="4"/>
      <c r="G63" s="4">
        <v>1.6710367615300496E-3</v>
      </c>
      <c r="H63" s="4">
        <v>0</v>
      </c>
      <c r="I63" s="4">
        <v>0</v>
      </c>
      <c r="J63" s="4">
        <v>1.5599815466698825E-4</v>
      </c>
      <c r="K63" s="4">
        <v>0</v>
      </c>
      <c r="L63" s="4">
        <v>0</v>
      </c>
      <c r="M63" s="4">
        <v>0</v>
      </c>
    </row>
    <row r="64" spans="1:13" x14ac:dyDescent="0.35">
      <c r="A64" s="27" t="s">
        <v>86</v>
      </c>
      <c r="B64" s="4">
        <v>4.5629911410923811E-2</v>
      </c>
      <c r="D64" s="4">
        <v>7.5550061032046895E-2</v>
      </c>
      <c r="E64" s="4">
        <v>1.6854875481500751E-2</v>
      </c>
      <c r="F64" s="4"/>
      <c r="G64" s="4">
        <v>2.3754778650363337E-2</v>
      </c>
      <c r="H64" s="4">
        <v>2.7595701771639915E-2</v>
      </c>
      <c r="I64" s="4">
        <v>3.538566853180055E-2</v>
      </c>
      <c r="J64" s="4">
        <v>3.4030195444502052E-2</v>
      </c>
      <c r="K64" s="4">
        <v>4.8329329203679869E-2</v>
      </c>
      <c r="L64" s="4">
        <v>6.8891346293578584E-2</v>
      </c>
      <c r="M64" s="4">
        <v>6.087085892343546E-2</v>
      </c>
    </row>
    <row r="65" spans="1:13" x14ac:dyDescent="0.35">
      <c r="A65" s="27" t="s">
        <v>87</v>
      </c>
      <c r="B65" s="4">
        <v>4.5497278697774083E-4</v>
      </c>
      <c r="D65" s="4">
        <v>7.2910787715183163E-4</v>
      </c>
      <c r="E65" s="4">
        <v>1.9334301035810292E-4</v>
      </c>
      <c r="F65" s="4"/>
      <c r="G65" s="4">
        <v>2.6394195504137481E-3</v>
      </c>
      <c r="H65" s="4">
        <v>1.4174781972845496E-3</v>
      </c>
      <c r="I65" s="4">
        <v>4.4750787444089609E-4</v>
      </c>
      <c r="J65" s="4">
        <v>2.9672885183753693E-4</v>
      </c>
      <c r="K65" s="4">
        <v>2.0689225980881479E-4</v>
      </c>
      <c r="L65" s="4">
        <v>1.4781373829928751E-4</v>
      </c>
      <c r="M65" s="4">
        <v>0</v>
      </c>
    </row>
    <row r="66" spans="1:13" x14ac:dyDescent="0.35">
      <c r="A66" s="27" t="s">
        <v>88</v>
      </c>
      <c r="B66" s="4">
        <v>4.1700030437660385E-5</v>
      </c>
      <c r="D66" s="4">
        <v>0</v>
      </c>
      <c r="E66" s="4">
        <v>8.254887859076802E-5</v>
      </c>
      <c r="F66" s="4"/>
      <c r="G66" s="4">
        <v>0</v>
      </c>
      <c r="H66" s="4">
        <v>0</v>
      </c>
      <c r="I66" s="4">
        <v>8.5602366478841399E-5</v>
      </c>
      <c r="J66" s="4">
        <v>1.5337369916413969E-4</v>
      </c>
      <c r="K66" s="4">
        <v>0</v>
      </c>
      <c r="L66" s="4">
        <v>0</v>
      </c>
      <c r="M66" s="4">
        <v>0</v>
      </c>
    </row>
    <row r="67" spans="1:13" x14ac:dyDescent="0.35">
      <c r="A67" s="27" t="s">
        <v>89</v>
      </c>
      <c r="B67" s="4">
        <v>5.3956351763535301E-3</v>
      </c>
      <c r="D67" s="4">
        <v>3.321651293532144E-3</v>
      </c>
      <c r="E67" s="4">
        <v>7.4171177980264548E-3</v>
      </c>
      <c r="F67" s="4"/>
      <c r="G67" s="4">
        <v>2.4998081203064518E-2</v>
      </c>
      <c r="H67" s="4">
        <v>1.0563768505932205E-2</v>
      </c>
      <c r="I67" s="4">
        <v>7.2572422441749265E-3</v>
      </c>
      <c r="J67" s="4">
        <v>6.9279138890391495E-3</v>
      </c>
      <c r="K67" s="4">
        <v>1.5232289440692353E-3</v>
      </c>
      <c r="L67" s="4">
        <v>1.5967847278697718E-3</v>
      </c>
      <c r="M67" s="4">
        <v>8.9502017804432338E-4</v>
      </c>
    </row>
    <row r="68" spans="1:13" x14ac:dyDescent="0.35">
      <c r="A68" s="27" t="s">
        <v>90</v>
      </c>
      <c r="B68" s="4">
        <v>1.14470709473467E-3</v>
      </c>
      <c r="D68" s="4">
        <v>1.1359066510694821E-3</v>
      </c>
      <c r="E68" s="4">
        <v>1.1640927419285304E-3</v>
      </c>
      <c r="F68" s="4"/>
      <c r="G68" s="4">
        <v>1.1166810152685471E-2</v>
      </c>
      <c r="H68" s="4">
        <v>2.1366624163542979E-3</v>
      </c>
      <c r="I68" s="4">
        <v>1.6379535120736063E-3</v>
      </c>
      <c r="J68" s="4">
        <v>3.0007883941536389E-4</v>
      </c>
      <c r="K68" s="4">
        <v>3.4144448386607171E-4</v>
      </c>
      <c r="L68" s="4">
        <v>1.20803582106142E-4</v>
      </c>
      <c r="M68" s="4">
        <v>0</v>
      </c>
    </row>
    <row r="69" spans="1:13" x14ac:dyDescent="0.35">
      <c r="A69" s="27" t="s">
        <v>91</v>
      </c>
      <c r="B69" s="4">
        <v>1.0648900350729656E-4</v>
      </c>
      <c r="D69" s="4">
        <v>2.1729918365109705E-4</v>
      </c>
      <c r="E69" s="4">
        <v>0</v>
      </c>
      <c r="F69" s="4"/>
      <c r="G69" s="4">
        <v>0</v>
      </c>
      <c r="H69" s="4">
        <v>2.2629038843804226E-4</v>
      </c>
      <c r="I69" s="4">
        <v>0</v>
      </c>
      <c r="J69" s="4">
        <v>1.3798593698316705E-4</v>
      </c>
      <c r="K69" s="4">
        <v>3.2953173095119187E-4</v>
      </c>
      <c r="L69" s="4">
        <v>0</v>
      </c>
      <c r="M69" s="4">
        <v>4.4602419157974162E-5</v>
      </c>
    </row>
    <row r="70" spans="1:13" x14ac:dyDescent="0.35">
      <c r="A70" s="27" t="s">
        <v>92</v>
      </c>
      <c r="B70" s="4">
        <v>5.1215844412857876E-3</v>
      </c>
      <c r="D70" s="4">
        <v>5.0701829736209897E-3</v>
      </c>
      <c r="E70" s="4">
        <v>5.2199861601385832E-3</v>
      </c>
      <c r="F70" s="4"/>
      <c r="G70" s="4">
        <v>1.6293196766266376E-2</v>
      </c>
      <c r="H70" s="4">
        <v>9.8493097299121191E-3</v>
      </c>
      <c r="I70" s="4">
        <v>5.8447643844929311E-3</v>
      </c>
      <c r="J70" s="4">
        <v>6.3223586770331883E-3</v>
      </c>
      <c r="K70" s="4">
        <v>4.4961671223135132E-3</v>
      </c>
      <c r="L70" s="4">
        <v>2.674699580426479E-3</v>
      </c>
      <c r="M70" s="4">
        <v>7.2344864970704079E-4</v>
      </c>
    </row>
    <row r="71" spans="1:13" x14ac:dyDescent="0.35">
      <c r="A71" s="27" t="s">
        <v>93</v>
      </c>
      <c r="B71" s="4">
        <v>2.4438991460861348E-4</v>
      </c>
      <c r="D71" s="4">
        <v>3.7551762545051334E-4</v>
      </c>
      <c r="E71" s="4">
        <v>1.1949751789091102E-4</v>
      </c>
      <c r="F71" s="4"/>
      <c r="G71" s="4">
        <v>0</v>
      </c>
      <c r="H71" s="4">
        <v>3.4806949969588092E-4</v>
      </c>
      <c r="I71" s="4">
        <v>5.3007228979601057E-4</v>
      </c>
      <c r="J71" s="4">
        <v>1.3488231049420195E-4</v>
      </c>
      <c r="K71" s="4">
        <v>4.9072879411572376E-4</v>
      </c>
      <c r="L71" s="4">
        <v>0</v>
      </c>
      <c r="M71" s="4">
        <v>7.308555936054067E-5</v>
      </c>
    </row>
    <row r="72" spans="1:13" x14ac:dyDescent="0.35">
      <c r="A72" s="27" t="s">
        <v>94</v>
      </c>
      <c r="B72" s="4">
        <v>6.0579574143734567E-4</v>
      </c>
      <c r="D72" s="4">
        <v>7.8237956066922365E-4</v>
      </c>
      <c r="E72" s="4">
        <v>4.4023086502472395E-4</v>
      </c>
      <c r="F72" s="4"/>
      <c r="G72" s="4">
        <v>3.4355566064693693E-3</v>
      </c>
      <c r="H72" s="4">
        <v>1.1458198976696777E-3</v>
      </c>
      <c r="I72" s="4">
        <v>4.0886077170689894E-4</v>
      </c>
      <c r="J72" s="4">
        <v>9.5365686671336036E-4</v>
      </c>
      <c r="K72" s="4">
        <v>4.7153021797735292E-4</v>
      </c>
      <c r="L72" s="4">
        <v>1.496660255821205E-4</v>
      </c>
      <c r="M72" s="4">
        <v>0</v>
      </c>
    </row>
    <row r="73" spans="1:13" x14ac:dyDescent="0.35">
      <c r="A73" s="27" t="s">
        <v>95</v>
      </c>
      <c r="B73" s="4">
        <v>6.8415121957655713E-5</v>
      </c>
      <c r="D73" s="4">
        <v>9.8498488022429452E-5</v>
      </c>
      <c r="E73" s="4">
        <v>3.9879275733346036E-5</v>
      </c>
      <c r="F73" s="4"/>
      <c r="G73" s="4">
        <v>0</v>
      </c>
      <c r="H73" s="4">
        <v>2.2629038843804226E-4</v>
      </c>
      <c r="I73" s="4">
        <v>0</v>
      </c>
      <c r="J73" s="4">
        <v>0</v>
      </c>
      <c r="K73" s="4">
        <v>2.9552509086832414E-4</v>
      </c>
      <c r="L73" s="4">
        <v>0</v>
      </c>
      <c r="M73" s="4">
        <v>0</v>
      </c>
    </row>
    <row r="74" spans="1:13" x14ac:dyDescent="0.35">
      <c r="A74" s="27" t="s">
        <v>96</v>
      </c>
      <c r="B74" s="4">
        <v>2.1375474252148452E-3</v>
      </c>
      <c r="D74" s="4">
        <v>1.030112930936272E-3</v>
      </c>
      <c r="E74" s="4">
        <v>3.1351307073638137E-3</v>
      </c>
      <c r="F74" s="4"/>
      <c r="G74" s="4">
        <v>1.6612448728436854E-2</v>
      </c>
      <c r="H74" s="4">
        <v>3.8912887532670673E-3</v>
      </c>
      <c r="I74" s="4">
        <v>2.3281195671552221E-3</v>
      </c>
      <c r="J74" s="4">
        <v>1.7042184774766602E-3</v>
      </c>
      <c r="K74" s="4">
        <v>1.1243035874872725E-3</v>
      </c>
      <c r="L74" s="4">
        <v>6.8743077205792654E-4</v>
      </c>
      <c r="M74" s="4">
        <v>0</v>
      </c>
    </row>
    <row r="75" spans="1:13" x14ac:dyDescent="0.35">
      <c r="A75" s="27" t="s">
        <v>97</v>
      </c>
      <c r="B75" s="4">
        <v>6.7302714884919857E-4</v>
      </c>
      <c r="D75" s="4">
        <v>1.1107023013939201E-3</v>
      </c>
      <c r="E75" s="4">
        <v>2.5481181491010562E-4</v>
      </c>
      <c r="F75" s="4"/>
      <c r="G75" s="4">
        <v>0</v>
      </c>
      <c r="H75" s="4">
        <v>7.3372563881590443E-4</v>
      </c>
      <c r="I75" s="4">
        <v>6.1376211967829983E-4</v>
      </c>
      <c r="J75" s="4">
        <v>1.0497073835997169E-3</v>
      </c>
      <c r="K75" s="4">
        <v>7.182794720540399E-4</v>
      </c>
      <c r="L75" s="4">
        <v>1.1901246931460383E-3</v>
      </c>
      <c r="M75" s="4">
        <v>1.6011834367958008E-4</v>
      </c>
    </row>
    <row r="76" spans="1:13" x14ac:dyDescent="0.35">
      <c r="A76" s="27" t="s">
        <v>98</v>
      </c>
      <c r="B76" s="4">
        <v>6.6382874913622396E-4</v>
      </c>
      <c r="D76" s="4">
        <v>5.2142053271184044E-4</v>
      </c>
      <c r="E76" s="4">
        <v>8.0827155877989676E-4</v>
      </c>
      <c r="F76" s="4"/>
      <c r="G76" s="4">
        <v>4.9437279113037523E-3</v>
      </c>
      <c r="H76" s="4">
        <v>1.180362052092697E-3</v>
      </c>
      <c r="I76" s="4">
        <v>8.4209881891936342E-4</v>
      </c>
      <c r="J76" s="4">
        <v>3.1203016379693167E-4</v>
      </c>
      <c r="K76" s="4">
        <v>4.5956299842905797E-4</v>
      </c>
      <c r="L76" s="4">
        <v>1.79078198619795E-4</v>
      </c>
      <c r="M76" s="4">
        <v>8.0460842711794957E-5</v>
      </c>
    </row>
    <row r="77" spans="1:13" x14ac:dyDescent="0.35">
      <c r="A77" s="27" t="s">
        <v>99</v>
      </c>
      <c r="B77" s="4">
        <v>1.7048590989622399E-3</v>
      </c>
      <c r="D77" s="4">
        <v>2.8388633846595439E-3</v>
      </c>
      <c r="E77" s="4">
        <v>6.2090567931083072E-4</v>
      </c>
      <c r="F77" s="4"/>
      <c r="G77" s="4">
        <v>3.7651157420409017E-3</v>
      </c>
      <c r="H77" s="4">
        <v>2.4688351436614581E-3</v>
      </c>
      <c r="I77" s="4">
        <v>2.9429015430582741E-3</v>
      </c>
      <c r="J77" s="4">
        <v>3.3390274787726496E-3</v>
      </c>
      <c r="K77" s="4">
        <v>8.7873545933497995E-4</v>
      </c>
      <c r="L77" s="4">
        <v>1.4984760665609023E-4</v>
      </c>
      <c r="M77" s="4">
        <v>6.9286035638933414E-5</v>
      </c>
    </row>
    <row r="78" spans="1:13" x14ac:dyDescent="0.35">
      <c r="A78" s="27" t="s">
        <v>100</v>
      </c>
      <c r="B78" s="4">
        <v>1.8644256100477995E-3</v>
      </c>
      <c r="D78" s="4">
        <v>2.3692041623419465E-3</v>
      </c>
      <c r="E78" s="4">
        <v>1.392403250174891E-3</v>
      </c>
      <c r="F78" s="4"/>
      <c r="G78" s="4">
        <v>4.1793016786915325E-3</v>
      </c>
      <c r="H78" s="4">
        <v>4.3094583800247386E-3</v>
      </c>
      <c r="I78" s="4">
        <v>9.7327243257863075E-4</v>
      </c>
      <c r="J78" s="4">
        <v>2.8226960881176182E-3</v>
      </c>
      <c r="K78" s="4">
        <v>1.2551850312059831E-3</v>
      </c>
      <c r="L78" s="4">
        <v>1.6560209788580513E-3</v>
      </c>
      <c r="M78" s="4">
        <v>6.4446138783402459E-4</v>
      </c>
    </row>
    <row r="79" spans="1:13" x14ac:dyDescent="0.35">
      <c r="A79" s="27" t="s">
        <v>101</v>
      </c>
      <c r="B79" s="4">
        <v>2.986194516021376E-4</v>
      </c>
      <c r="D79" s="4">
        <v>4.6828532908774976E-4</v>
      </c>
      <c r="E79" s="4">
        <v>1.3685467783423655E-4</v>
      </c>
      <c r="F79" s="4"/>
      <c r="G79" s="4">
        <v>1.2478513787822234E-3</v>
      </c>
      <c r="H79" s="4">
        <v>5.4168926305569142E-4</v>
      </c>
      <c r="I79" s="4">
        <v>3.8043988525627453E-4</v>
      </c>
      <c r="J79" s="4">
        <v>2.7482289046101252E-4</v>
      </c>
      <c r="K79" s="4">
        <v>3.3286551932149152E-4</v>
      </c>
      <c r="L79" s="4">
        <v>1.3896889660539315E-4</v>
      </c>
      <c r="M79" s="4">
        <v>0</v>
      </c>
    </row>
    <row r="80" spans="1:13" x14ac:dyDescent="0.35">
      <c r="A80" s="27" t="s">
        <v>102</v>
      </c>
      <c r="B80" s="4">
        <v>1.3197361987790965E-4</v>
      </c>
      <c r="D80" s="4">
        <v>2.1158749748522907E-4</v>
      </c>
      <c r="E80" s="4">
        <v>5.5990010133484232E-5</v>
      </c>
      <c r="F80" s="4"/>
      <c r="G80" s="4">
        <v>0</v>
      </c>
      <c r="H80" s="4">
        <v>0</v>
      </c>
      <c r="I80" s="4">
        <v>0</v>
      </c>
      <c r="J80" s="4">
        <v>2.5164229267679084E-4</v>
      </c>
      <c r="K80" s="4">
        <v>3.4968537606704949E-4</v>
      </c>
      <c r="L80" s="4">
        <v>2.7218259966258721E-4</v>
      </c>
      <c r="M80" s="4">
        <v>0</v>
      </c>
    </row>
    <row r="81" spans="1:13" x14ac:dyDescent="0.35">
      <c r="A81" s="27" t="s">
        <v>103</v>
      </c>
      <c r="B81" s="4">
        <v>5.1523263664343953E-5</v>
      </c>
      <c r="D81" s="4">
        <v>5.3624504881485706E-5</v>
      </c>
      <c r="E81" s="4">
        <v>4.9973105450895782E-5</v>
      </c>
      <c r="F81" s="4"/>
      <c r="G81" s="4">
        <v>0</v>
      </c>
      <c r="H81" s="4">
        <v>0</v>
      </c>
      <c r="I81" s="4">
        <v>2.8656534260615901E-4</v>
      </c>
      <c r="J81" s="4">
        <v>0</v>
      </c>
      <c r="K81" s="4">
        <v>0</v>
      </c>
      <c r="L81" s="4">
        <v>0</v>
      </c>
      <c r="M81" s="4">
        <v>0</v>
      </c>
    </row>
    <row r="82" spans="1:13" x14ac:dyDescent="0.35">
      <c r="A82" s="27" t="s">
        <v>104</v>
      </c>
      <c r="B82" s="4">
        <v>9.2744931068310644E-5</v>
      </c>
      <c r="D82" s="4">
        <v>8.7834458738891871E-5</v>
      </c>
      <c r="E82" s="4">
        <v>9.8387566340980221E-5</v>
      </c>
      <c r="F82" s="4"/>
      <c r="G82" s="4">
        <v>0</v>
      </c>
      <c r="H82" s="4">
        <v>1.956164884404665E-4</v>
      </c>
      <c r="I82" s="4">
        <v>0</v>
      </c>
      <c r="J82" s="4">
        <v>0</v>
      </c>
      <c r="K82" s="4">
        <v>3.4769402220394334E-4</v>
      </c>
      <c r="L82" s="4">
        <v>1.4633619763306329E-4</v>
      </c>
      <c r="M82" s="4">
        <v>0</v>
      </c>
    </row>
    <row r="83" spans="1:13" x14ac:dyDescent="0.35">
      <c r="A83" s="27" t="s">
        <v>105</v>
      </c>
      <c r="B83" s="4">
        <v>3.0231221091635741E-4</v>
      </c>
      <c r="D83" s="4">
        <v>2.5079657181551997E-4</v>
      </c>
      <c r="E83" s="4">
        <v>3.5515307747098891E-4</v>
      </c>
      <c r="F83" s="4"/>
      <c r="G83" s="4">
        <v>2.0552759443047916E-3</v>
      </c>
      <c r="H83" s="4">
        <v>7.3986327323214438E-4</v>
      </c>
      <c r="I83" s="4">
        <v>2.3157880717863583E-4</v>
      </c>
      <c r="J83" s="4">
        <v>1.4844692521364736E-4</v>
      </c>
      <c r="K83" s="4">
        <v>2.7649991758818765E-4</v>
      </c>
      <c r="L83" s="4">
        <v>1.5919068575276319E-4</v>
      </c>
      <c r="M83" s="4">
        <v>0</v>
      </c>
    </row>
    <row r="84" spans="1:13" x14ac:dyDescent="0.35">
      <c r="A84" s="27" t="s">
        <v>106</v>
      </c>
      <c r="B84" s="4">
        <v>5.1603938962542098E-5</v>
      </c>
      <c r="D84" s="4">
        <v>1.0530189447188409E-4</v>
      </c>
      <c r="E84" s="4">
        <v>0</v>
      </c>
      <c r="F84" s="4"/>
      <c r="G84" s="4">
        <v>0</v>
      </c>
      <c r="H84" s="4">
        <v>2.3130588147712749E-4</v>
      </c>
      <c r="I84" s="4">
        <v>1.4616058212896618E-4</v>
      </c>
      <c r="J84" s="4">
        <v>0</v>
      </c>
      <c r="K84" s="4">
        <v>0</v>
      </c>
      <c r="L84" s="4">
        <v>0</v>
      </c>
      <c r="M84" s="4">
        <v>0</v>
      </c>
    </row>
    <row r="85" spans="1:13" x14ac:dyDescent="0.35">
      <c r="A85" s="27" t="s">
        <v>107</v>
      </c>
      <c r="B85" s="4">
        <v>1.2984774765903038E-3</v>
      </c>
      <c r="D85" s="4">
        <v>1.9816240756577244E-3</v>
      </c>
      <c r="E85" s="4">
        <v>6.4805487823610701E-4</v>
      </c>
      <c r="F85" s="4"/>
      <c r="G85" s="4">
        <v>4.9418195743499583E-3</v>
      </c>
      <c r="H85" s="4">
        <v>1.0524690201620631E-3</v>
      </c>
      <c r="I85" s="4">
        <v>9.5668419479748637E-4</v>
      </c>
      <c r="J85" s="4">
        <v>1.530049269790979E-3</v>
      </c>
      <c r="K85" s="4">
        <v>1.3961594758841369E-3</v>
      </c>
      <c r="L85" s="4">
        <v>1.6815427263273529E-3</v>
      </c>
      <c r="M85" s="4">
        <v>4.4036474799111778E-4</v>
      </c>
    </row>
    <row r="86" spans="1:13" x14ac:dyDescent="0.35">
      <c r="A86" s="27" t="s">
        <v>108</v>
      </c>
      <c r="B86" s="4">
        <v>0</v>
      </c>
      <c r="D86" s="4">
        <v>0</v>
      </c>
      <c r="E86" s="4">
        <v>0</v>
      </c>
      <c r="F86" s="4"/>
      <c r="G86" s="4">
        <v>0</v>
      </c>
      <c r="H86" s="4">
        <v>0</v>
      </c>
      <c r="I86" s="4">
        <v>0</v>
      </c>
      <c r="J86" s="4">
        <v>0</v>
      </c>
      <c r="K86" s="4">
        <v>0</v>
      </c>
      <c r="L86" s="4">
        <v>0</v>
      </c>
      <c r="M86" s="4">
        <v>0</v>
      </c>
    </row>
    <row r="87" spans="1:13" x14ac:dyDescent="0.35">
      <c r="A87" s="27" t="s">
        <v>109</v>
      </c>
      <c r="B87" s="4">
        <v>1.1791585369961123E-4</v>
      </c>
      <c r="D87" s="4">
        <v>1.4609215040776655E-4</v>
      </c>
      <c r="E87" s="4">
        <v>9.1699188574867802E-5</v>
      </c>
      <c r="F87" s="4"/>
      <c r="G87" s="4">
        <v>0</v>
      </c>
      <c r="H87" s="4">
        <v>2.119079701393109E-4</v>
      </c>
      <c r="I87" s="4">
        <v>1.4525052104435608E-4</v>
      </c>
      <c r="J87" s="4">
        <v>0</v>
      </c>
      <c r="K87" s="4">
        <v>1.9268772277023714E-4</v>
      </c>
      <c r="L87" s="4">
        <v>2.9396549735137838E-4</v>
      </c>
      <c r="M87" s="4">
        <v>0</v>
      </c>
    </row>
    <row r="88" spans="1:13" x14ac:dyDescent="0.35">
      <c r="A88" s="27" t="s">
        <v>110</v>
      </c>
      <c r="B88" s="4">
        <v>6.2562400845159174E-3</v>
      </c>
      <c r="D88" s="4">
        <v>5.5157228564528815E-3</v>
      </c>
      <c r="E88" s="4">
        <v>7.0339136350633042E-3</v>
      </c>
      <c r="F88" s="4"/>
      <c r="G88" s="4">
        <v>6.4876532985153543E-3</v>
      </c>
      <c r="H88" s="4">
        <v>7.3625624372946038E-3</v>
      </c>
      <c r="I88" s="4">
        <v>5.1368485558876157E-3</v>
      </c>
      <c r="J88" s="4">
        <v>2.7816395760080397E-3</v>
      </c>
      <c r="K88" s="4">
        <v>5.3154892436602132E-3</v>
      </c>
      <c r="L88" s="4">
        <v>4.7699606222536941E-3</v>
      </c>
      <c r="M88" s="4">
        <v>1.1046672372835879E-2</v>
      </c>
    </row>
    <row r="89" spans="1:13" x14ac:dyDescent="0.35">
      <c r="A89" s="27" t="s">
        <v>111</v>
      </c>
      <c r="B89" s="4">
        <v>9.276585061187033E-4</v>
      </c>
      <c r="D89" s="4">
        <v>1.2991534326709838E-3</v>
      </c>
      <c r="E89" s="4">
        <v>5.7605845206546401E-4</v>
      </c>
      <c r="F89" s="4"/>
      <c r="G89" s="4">
        <v>1.2478513787822234E-3</v>
      </c>
      <c r="H89" s="4">
        <v>3.42281822023388E-3</v>
      </c>
      <c r="I89" s="4">
        <v>7.5109518596542624E-4</v>
      </c>
      <c r="J89" s="4">
        <v>6.9316220028459868E-4</v>
      </c>
      <c r="K89" s="4">
        <v>1.6477833005520582E-3</v>
      </c>
      <c r="L89" s="4">
        <v>0</v>
      </c>
      <c r="M89" s="4">
        <v>0</v>
      </c>
    </row>
    <row r="90" spans="1:13" x14ac:dyDescent="0.35">
      <c r="A90" s="27" t="s">
        <v>112</v>
      </c>
      <c r="B90" s="4">
        <v>3.0113208638379564E-5</v>
      </c>
      <c r="D90" s="4">
        <v>6.144836967872162E-5</v>
      </c>
      <c r="E90" s="4">
        <v>0</v>
      </c>
      <c r="F90" s="4"/>
      <c r="G90" s="4">
        <v>0</v>
      </c>
      <c r="H90" s="4">
        <v>0</v>
      </c>
      <c r="I90" s="4">
        <v>1.6748554607575955E-4</v>
      </c>
      <c r="J90" s="4">
        <v>0</v>
      </c>
      <c r="K90" s="4">
        <v>0</v>
      </c>
      <c r="L90" s="4">
        <v>0</v>
      </c>
      <c r="M90" s="4">
        <v>0</v>
      </c>
    </row>
    <row r="91" spans="1:13" x14ac:dyDescent="0.35">
      <c r="A91" s="27" t="s">
        <v>113</v>
      </c>
      <c r="B91" s="4">
        <v>9.4660716579160181E-3</v>
      </c>
      <c r="D91" s="4">
        <v>1.3764153360595197E-2</v>
      </c>
      <c r="E91" s="4">
        <v>5.2058109885939393E-3</v>
      </c>
      <c r="F91" s="4"/>
      <c r="G91" s="4">
        <v>1.502362714212995E-2</v>
      </c>
      <c r="H91" s="4">
        <v>9.7891114006534996E-3</v>
      </c>
      <c r="I91" s="4">
        <v>1.4102817695181749E-2</v>
      </c>
      <c r="J91" s="4">
        <v>9.0989729151358632E-3</v>
      </c>
      <c r="K91" s="4">
        <v>7.9198781450201313E-3</v>
      </c>
      <c r="L91" s="4">
        <v>1.1128125578907031E-2</v>
      </c>
      <c r="M91" s="4">
        <v>4.4627521614618044E-3</v>
      </c>
    </row>
    <row r="92" spans="1:13" x14ac:dyDescent="0.35">
      <c r="A92" s="27" t="s">
        <v>114</v>
      </c>
      <c r="B92" s="4">
        <v>2.5376036488404144E-3</v>
      </c>
      <c r="D92" s="4">
        <v>4.0407401415722653E-3</v>
      </c>
      <c r="E92" s="4">
        <v>9.4118496457768939E-4</v>
      </c>
      <c r="F92" s="4"/>
      <c r="G92" s="4">
        <v>7.3890957322385589E-3</v>
      </c>
      <c r="H92" s="4">
        <v>3.976693140195703E-3</v>
      </c>
      <c r="I92" s="4">
        <v>4.2202669208516201E-3</v>
      </c>
      <c r="J92" s="4">
        <v>2.1156593100362521E-3</v>
      </c>
      <c r="K92" s="4">
        <v>1.7957829765888396E-3</v>
      </c>
      <c r="L92" s="4">
        <v>2.17417680833003E-3</v>
      </c>
      <c r="M92" s="4">
        <v>4.2291413314597383E-4</v>
      </c>
    </row>
    <row r="93" spans="1:13" x14ac:dyDescent="0.35">
      <c r="A93" s="27" t="s">
        <v>115</v>
      </c>
      <c r="B93" s="4">
        <v>7.2553569750583805E-3</v>
      </c>
      <c r="D93" s="4">
        <v>1.1817657356536948E-2</v>
      </c>
      <c r="E93" s="4">
        <v>2.8482736147324795E-3</v>
      </c>
      <c r="F93" s="4"/>
      <c r="G93" s="4">
        <v>1.7156373385900873E-2</v>
      </c>
      <c r="H93" s="4">
        <v>4.847042477313138E-3</v>
      </c>
      <c r="I93" s="4">
        <v>6.1157622447774555E-3</v>
      </c>
      <c r="J93" s="4">
        <v>9.6618403650584831E-3</v>
      </c>
      <c r="K93" s="4">
        <v>1.2112369133443686E-2</v>
      </c>
      <c r="L93" s="4">
        <v>7.1356399146804356E-3</v>
      </c>
      <c r="M93" s="4">
        <v>2.0902616961992141E-3</v>
      </c>
    </row>
    <row r="94" spans="1:13" x14ac:dyDescent="0.35">
      <c r="A94" s="27" t="s">
        <v>116</v>
      </c>
      <c r="B94" s="4">
        <v>9.9133014363961898E-4</v>
      </c>
      <c r="D94" s="4">
        <v>1.3148821635491806E-3</v>
      </c>
      <c r="E94" s="4">
        <v>6.8684344328732885E-4</v>
      </c>
      <c r="F94" s="4"/>
      <c r="G94" s="4">
        <v>8.1854136385476413E-4</v>
      </c>
      <c r="H94" s="4">
        <v>1.222580529076561E-3</v>
      </c>
      <c r="I94" s="4">
        <v>1.2932251351004374E-3</v>
      </c>
      <c r="J94" s="4">
        <v>1.5159597784500998E-3</v>
      </c>
      <c r="K94" s="4">
        <v>1.2156445658908651E-3</v>
      </c>
      <c r="L94" s="4">
        <v>8.6981209343992255E-4</v>
      </c>
      <c r="M94" s="4">
        <v>1.4319635159374417E-4</v>
      </c>
    </row>
    <row r="95" spans="1:13" x14ac:dyDescent="0.35">
      <c r="A95" s="27" t="s">
        <v>117</v>
      </c>
      <c r="B95" s="4">
        <v>1.6592688536174328E-3</v>
      </c>
      <c r="D95" s="4">
        <v>1.9506958004364202E-3</v>
      </c>
      <c r="E95" s="4">
        <v>1.3922770108926645E-3</v>
      </c>
      <c r="F95" s="4"/>
      <c r="G95" s="4">
        <v>3.2675813666546787E-3</v>
      </c>
      <c r="H95" s="4">
        <v>6.353611738866137E-3</v>
      </c>
      <c r="I95" s="4">
        <v>2.7087957598763324E-3</v>
      </c>
      <c r="J95" s="4">
        <v>1.2597032857662633E-3</v>
      </c>
      <c r="K95" s="4">
        <v>4.8766424002969638E-4</v>
      </c>
      <c r="L95" s="4">
        <v>3.135455752193938E-4</v>
      </c>
      <c r="M95" s="4">
        <v>0</v>
      </c>
    </row>
    <row r="96" spans="1:13" x14ac:dyDescent="0.35">
      <c r="A96" s="27" t="s">
        <v>118</v>
      </c>
      <c r="B96" s="4">
        <v>2.1072261028221049E-2</v>
      </c>
      <c r="D96" s="4">
        <v>6.8539236407170745E-3</v>
      </c>
      <c r="E96" s="4">
        <v>3.4954143977755939E-2</v>
      </c>
      <c r="F96" s="4"/>
      <c r="G96" s="4">
        <v>8.1414947993594264E-2</v>
      </c>
      <c r="H96" s="4">
        <v>5.5247097664352589E-2</v>
      </c>
      <c r="I96" s="4">
        <v>3.0618965509097314E-2</v>
      </c>
      <c r="J96" s="4">
        <v>2.1297784180738369E-2</v>
      </c>
      <c r="K96" s="4">
        <v>1.1558043236118767E-2</v>
      </c>
      <c r="L96" s="4">
        <v>3.0722047890154309E-3</v>
      </c>
      <c r="M96" s="4">
        <v>5.1669768176927481E-4</v>
      </c>
    </row>
    <row r="97" spans="1:13" x14ac:dyDescent="0.35">
      <c r="A97" s="27" t="s">
        <v>119</v>
      </c>
      <c r="B97" s="4">
        <v>5.6435943729913609E-4</v>
      </c>
      <c r="D97" s="4">
        <v>3.9573692616661556E-4</v>
      </c>
      <c r="E97" s="4">
        <v>7.3329036760707601E-4</v>
      </c>
      <c r="F97" s="4"/>
      <c r="G97" s="4">
        <v>4.3492465586760492E-3</v>
      </c>
      <c r="H97" s="4">
        <v>2.0293168174581895E-4</v>
      </c>
      <c r="I97" s="4">
        <v>6.0434582295452945E-4</v>
      </c>
      <c r="J97" s="4">
        <v>7.5579231171470594E-4</v>
      </c>
      <c r="K97" s="4">
        <v>7.4438885908518777E-4</v>
      </c>
      <c r="L97" s="4">
        <v>0</v>
      </c>
      <c r="M97" s="4">
        <v>0</v>
      </c>
    </row>
    <row r="98" spans="1:13" x14ac:dyDescent="0.35">
      <c r="A98" s="27" t="s">
        <v>120</v>
      </c>
      <c r="B98" s="4">
        <v>7.0043124476010092E-4</v>
      </c>
      <c r="D98" s="4">
        <v>6.7805216337722316E-4</v>
      </c>
      <c r="E98" s="4">
        <v>7.2877933513734012E-4</v>
      </c>
      <c r="F98" s="4"/>
      <c r="G98" s="4">
        <v>3.5148672304877548E-3</v>
      </c>
      <c r="H98" s="4">
        <v>5.9804824969087963E-4</v>
      </c>
      <c r="I98" s="4">
        <v>1.1525521355137216E-4</v>
      </c>
      <c r="J98" s="4">
        <v>1.0400481251452527E-3</v>
      </c>
      <c r="K98" s="4">
        <v>9.3730170954781425E-4</v>
      </c>
      <c r="L98" s="4">
        <v>4.7056994520014217E-4</v>
      </c>
      <c r="M98" s="4">
        <v>3.6336799294222873E-4</v>
      </c>
    </row>
    <row r="99" spans="1:13" x14ac:dyDescent="0.35">
      <c r="A99" s="27" t="s">
        <v>121</v>
      </c>
      <c r="B99" s="4">
        <v>2.6858676910983628E-4</v>
      </c>
      <c r="D99" s="4">
        <v>3.3175016007998406E-4</v>
      </c>
      <c r="E99" s="4">
        <v>2.098566239749453E-4</v>
      </c>
      <c r="F99" s="4"/>
      <c r="G99" s="4">
        <v>0</v>
      </c>
      <c r="H99" s="4">
        <v>0</v>
      </c>
      <c r="I99" s="4">
        <v>1.2873260652204881E-4</v>
      </c>
      <c r="J99" s="4">
        <v>4.5098030568015141E-4</v>
      </c>
      <c r="K99" s="4">
        <v>5.0033181215426421E-4</v>
      </c>
      <c r="L99" s="4">
        <v>3.5795708714467744E-4</v>
      </c>
      <c r="M99" s="4">
        <v>2.1541139984980384E-4</v>
      </c>
    </row>
    <row r="100" spans="1:13" x14ac:dyDescent="0.35">
      <c r="A100" s="27" t="s">
        <v>122</v>
      </c>
      <c r="B100" s="4">
        <v>2.2344293046235469E-3</v>
      </c>
      <c r="D100" s="4">
        <v>2.4756392099404981E-3</v>
      </c>
      <c r="E100" s="4">
        <v>2.0216042915170776E-3</v>
      </c>
      <c r="F100" s="4"/>
      <c r="G100" s="4">
        <v>9.6364954547920687E-3</v>
      </c>
      <c r="H100" s="4">
        <v>7.6280195303806714E-3</v>
      </c>
      <c r="I100" s="4">
        <v>3.8150614171590783E-3</v>
      </c>
      <c r="J100" s="4">
        <v>1.2691680447875157E-3</v>
      </c>
      <c r="K100" s="4">
        <v>3.2882929444401913E-4</v>
      </c>
      <c r="L100" s="4">
        <v>0</v>
      </c>
      <c r="M100" s="4">
        <v>8.2786562147139171E-5</v>
      </c>
    </row>
    <row r="101" spans="1:13" x14ac:dyDescent="0.35">
      <c r="A101" s="27" t="s">
        <v>123</v>
      </c>
      <c r="B101" s="4">
        <v>2.0861290682236667E-3</v>
      </c>
      <c r="D101" s="4">
        <v>2.0512279266866472E-3</v>
      </c>
      <c r="E101" s="4">
        <v>2.139757024813557E-3</v>
      </c>
      <c r="F101" s="4"/>
      <c r="G101" s="4">
        <v>0</v>
      </c>
      <c r="H101" s="4">
        <v>1.0935084151410554E-3</v>
      </c>
      <c r="I101" s="4">
        <v>2.1147439003108511E-3</v>
      </c>
      <c r="J101" s="4">
        <v>2.0926900300549606E-3</v>
      </c>
      <c r="K101" s="4">
        <v>2.4684652708309445E-3</v>
      </c>
      <c r="L101" s="4">
        <v>3.4714991424849681E-3</v>
      </c>
      <c r="M101" s="4">
        <v>1.847337976939803E-3</v>
      </c>
    </row>
    <row r="102" spans="1:13" x14ac:dyDescent="0.35">
      <c r="A102" s="27" t="s">
        <v>124</v>
      </c>
      <c r="B102" s="4">
        <v>1.2111966585602513E-4</v>
      </c>
      <c r="D102" s="4">
        <v>1.5484027339381678E-4</v>
      </c>
      <c r="E102" s="4">
        <v>8.955476535720039E-5</v>
      </c>
      <c r="F102" s="4"/>
      <c r="G102" s="4">
        <v>0</v>
      </c>
      <c r="H102" s="4">
        <v>2.5657127379298913E-4</v>
      </c>
      <c r="I102" s="4">
        <v>1.2173310627447225E-4</v>
      </c>
      <c r="J102" s="4">
        <v>1.5100273211084237E-4</v>
      </c>
      <c r="K102" s="4">
        <v>1.4900979463317658E-4</v>
      </c>
      <c r="L102" s="4">
        <v>1.7013921323486713E-4</v>
      </c>
      <c r="M102" s="4">
        <v>0</v>
      </c>
    </row>
    <row r="103" spans="1:13" x14ac:dyDescent="0.35">
      <c r="A103" s="27" t="s">
        <v>125</v>
      </c>
      <c r="B103" s="4">
        <v>2.2440696475647712E-4</v>
      </c>
      <c r="D103" s="4">
        <v>9.7947166639803304E-5</v>
      </c>
      <c r="E103" s="4">
        <v>3.4921369410354771E-4</v>
      </c>
      <c r="F103" s="4"/>
      <c r="G103" s="4">
        <v>3.5148672304877548E-3</v>
      </c>
      <c r="H103" s="4">
        <v>2.3611329555855691E-4</v>
      </c>
      <c r="I103" s="4">
        <v>1.095343042050574E-4</v>
      </c>
      <c r="J103" s="4">
        <v>1.2911873789298362E-4</v>
      </c>
      <c r="K103" s="4">
        <v>0</v>
      </c>
      <c r="L103" s="4">
        <v>0</v>
      </c>
      <c r="M103" s="4">
        <v>0</v>
      </c>
    </row>
    <row r="104" spans="1:13" x14ac:dyDescent="0.35">
      <c r="A104" s="27" t="s">
        <v>126</v>
      </c>
      <c r="B104" s="4">
        <v>3.2724473671602172E-5</v>
      </c>
      <c r="D104" s="4">
        <v>0</v>
      </c>
      <c r="E104" s="4">
        <v>6.4780974395265578E-5</v>
      </c>
      <c r="F104" s="4"/>
      <c r="G104" s="4">
        <v>0</v>
      </c>
      <c r="H104" s="4">
        <v>0</v>
      </c>
      <c r="I104" s="4">
        <v>0</v>
      </c>
      <c r="J104" s="4">
        <v>0</v>
      </c>
      <c r="K104" s="4">
        <v>0</v>
      </c>
      <c r="L104" s="4">
        <v>0</v>
      </c>
      <c r="M104" s="4">
        <v>1.55562116295878E-4</v>
      </c>
    </row>
    <row r="105" spans="1:13" x14ac:dyDescent="0.35">
      <c r="A105" s="27" t="s">
        <v>127</v>
      </c>
      <c r="B105" s="4">
        <v>6.0785589926963014E-4</v>
      </c>
      <c r="D105" s="4">
        <v>2.2791507484688577E-4</v>
      </c>
      <c r="E105" s="4">
        <v>9.8220128136633348E-4</v>
      </c>
      <c r="F105" s="4"/>
      <c r="G105" s="4">
        <v>0</v>
      </c>
      <c r="H105" s="4">
        <v>0</v>
      </c>
      <c r="I105" s="4">
        <v>3.5728399617626221E-4</v>
      </c>
      <c r="J105" s="4">
        <v>5.3022240947421246E-4</v>
      </c>
      <c r="K105" s="4">
        <v>3.0910115516509566E-4</v>
      </c>
      <c r="L105" s="4">
        <v>5.5367806169192007E-4</v>
      </c>
      <c r="M105" s="4">
        <v>1.5754115407539703E-3</v>
      </c>
    </row>
    <row r="106" spans="1:13" x14ac:dyDescent="0.35">
      <c r="A106" s="27" t="s">
        <v>286</v>
      </c>
      <c r="B106" s="4">
        <v>1.3136520843069363E-2</v>
      </c>
      <c r="D106" s="4">
        <v>1.3238544587979639E-2</v>
      </c>
      <c r="E106" s="4">
        <v>1.3111381625276275E-2</v>
      </c>
      <c r="F106" s="4"/>
      <c r="G106" s="4">
        <v>9.0419477241576729E-3</v>
      </c>
      <c r="H106" s="4">
        <v>1.422228445139383E-2</v>
      </c>
      <c r="I106" s="4">
        <v>1.5470775689565222E-2</v>
      </c>
      <c r="J106" s="4">
        <v>1.3673596269443306E-2</v>
      </c>
      <c r="K106" s="4">
        <v>1.5278668731685948E-2</v>
      </c>
      <c r="L106" s="4">
        <v>1.6734696215351629E-2</v>
      </c>
      <c r="M106" s="4">
        <v>7.1666104532466003E-3</v>
      </c>
    </row>
    <row r="107" spans="1:13" x14ac:dyDescent="0.35">
      <c r="A107" s="27" t="s">
        <v>128</v>
      </c>
      <c r="B107" s="4">
        <v>7.1805468734069441E-2</v>
      </c>
      <c r="D107" s="4">
        <v>1.2074846201314139E-2</v>
      </c>
      <c r="E107" s="4">
        <v>0.12992726312378347</v>
      </c>
      <c r="F107" s="4"/>
      <c r="G107" s="4">
        <v>3.7486975702171306E-2</v>
      </c>
      <c r="H107" s="4">
        <v>8.7565899982092618E-2</v>
      </c>
      <c r="I107" s="4">
        <v>0.11018757638610578</v>
      </c>
      <c r="J107" s="4">
        <v>8.7130660657203859E-2</v>
      </c>
      <c r="K107" s="4">
        <v>7.1298514824496687E-2</v>
      </c>
      <c r="L107" s="4">
        <v>6.258827012409808E-2</v>
      </c>
      <c r="M107" s="4">
        <v>3.1914463748249661E-2</v>
      </c>
    </row>
    <row r="108" spans="1:13" x14ac:dyDescent="0.35">
      <c r="A108" s="27" t="s">
        <v>129</v>
      </c>
      <c r="B108" s="4">
        <v>1.464873448117462E-5</v>
      </c>
      <c r="D108" s="4">
        <v>2.989189436881916E-5</v>
      </c>
      <c r="E108" s="4">
        <v>0</v>
      </c>
      <c r="F108" s="4"/>
      <c r="G108" s="4">
        <v>0</v>
      </c>
      <c r="H108" s="4">
        <v>0</v>
      </c>
      <c r="I108" s="4">
        <v>0</v>
      </c>
      <c r="J108" s="4">
        <v>0</v>
      </c>
      <c r="K108" s="4">
        <v>0</v>
      </c>
      <c r="L108" s="4">
        <v>0</v>
      </c>
      <c r="M108" s="4">
        <v>6.9635593220416684E-5</v>
      </c>
    </row>
    <row r="109" spans="1:13" x14ac:dyDescent="0.35">
      <c r="A109" s="27" t="s">
        <v>130</v>
      </c>
      <c r="B109" s="4">
        <v>4.4530203168223736E-5</v>
      </c>
      <c r="D109" s="4">
        <v>4.8595853454817781E-5</v>
      </c>
      <c r="E109" s="4">
        <v>4.1008077592282572E-5</v>
      </c>
      <c r="F109" s="4"/>
      <c r="G109" s="4">
        <v>0</v>
      </c>
      <c r="H109" s="4">
        <v>0</v>
      </c>
      <c r="I109" s="4">
        <v>0</v>
      </c>
      <c r="J109" s="4">
        <v>2.5959715307973652E-4</v>
      </c>
      <c r="K109" s="4">
        <v>0</v>
      </c>
      <c r="L109" s="4">
        <v>0</v>
      </c>
      <c r="M109" s="4">
        <v>0</v>
      </c>
    </row>
    <row r="110" spans="1:13" x14ac:dyDescent="0.35">
      <c r="A110" s="27" t="s">
        <v>131</v>
      </c>
      <c r="B110" s="4">
        <v>4.5533105310002449E-4</v>
      </c>
      <c r="D110" s="4">
        <v>2.8357726358893082E-4</v>
      </c>
      <c r="E110" s="4">
        <v>5.8768896560035613E-4</v>
      </c>
      <c r="F110" s="4"/>
      <c r="G110" s="4">
        <v>1.9683814577709157E-3</v>
      </c>
      <c r="H110" s="4">
        <v>1.0577968496911839E-3</v>
      </c>
      <c r="I110" s="4">
        <v>5.2139777944089924E-4</v>
      </c>
      <c r="J110" s="4">
        <v>5.7026509270557307E-4</v>
      </c>
      <c r="K110" s="4">
        <v>1.0764785021145893E-4</v>
      </c>
      <c r="L110" s="4">
        <v>1.8277205384458891E-4</v>
      </c>
      <c r="M110" s="4">
        <v>9.1898493693728768E-5</v>
      </c>
    </row>
    <row r="111" spans="1:13" x14ac:dyDescent="0.35">
      <c r="A111" s="27" t="s">
        <v>132</v>
      </c>
      <c r="B111" s="4">
        <v>4.2159946607148207E-4</v>
      </c>
      <c r="D111" s="4">
        <v>4.9869379131089455E-4</v>
      </c>
      <c r="E111" s="4">
        <v>3.5080484823188965E-4</v>
      </c>
      <c r="F111" s="4"/>
      <c r="G111" s="4">
        <v>0</v>
      </c>
      <c r="H111" s="4">
        <v>9.4249001375915542E-4</v>
      </c>
      <c r="I111" s="4">
        <v>7.5371043021218846E-4</v>
      </c>
      <c r="J111" s="4">
        <v>5.5806875427338366E-4</v>
      </c>
      <c r="K111" s="4">
        <v>1.6703109764050898E-4</v>
      </c>
      <c r="L111" s="4">
        <v>4.5766694487869993E-4</v>
      </c>
      <c r="M111" s="4">
        <v>0</v>
      </c>
    </row>
    <row r="112" spans="1:13" x14ac:dyDescent="0.35">
      <c r="A112" s="27" t="s">
        <v>133</v>
      </c>
      <c r="B112" s="4">
        <v>7.602788103891501E-5</v>
      </c>
      <c r="D112" s="4">
        <v>6.1779994246526952E-5</v>
      </c>
      <c r="E112" s="4">
        <v>9.0570420442576434E-5</v>
      </c>
      <c r="F112" s="4"/>
      <c r="G112" s="4">
        <v>0</v>
      </c>
      <c r="H112" s="4">
        <v>2.0771711500699197E-4</v>
      </c>
      <c r="I112" s="4">
        <v>1.6838943208805594E-4</v>
      </c>
      <c r="J112" s="4">
        <v>1.3414074084055976E-4</v>
      </c>
      <c r="K112" s="4">
        <v>0</v>
      </c>
      <c r="L112" s="4">
        <v>0</v>
      </c>
      <c r="M112" s="4">
        <v>0</v>
      </c>
    </row>
    <row r="113" spans="1:13" x14ac:dyDescent="0.35">
      <c r="A113" s="27" t="s">
        <v>134</v>
      </c>
      <c r="B113" s="4">
        <v>4.574292683934153E-3</v>
      </c>
      <c r="D113" s="4">
        <v>5.3425914789993773E-3</v>
      </c>
      <c r="E113" s="4">
        <v>3.5992386217779124E-3</v>
      </c>
      <c r="F113" s="4"/>
      <c r="G113" s="4">
        <v>1.7913363525166696E-2</v>
      </c>
      <c r="H113" s="4">
        <v>9.7835790596283549E-3</v>
      </c>
      <c r="I113" s="4">
        <v>6.0446118052022461E-3</v>
      </c>
      <c r="J113" s="4">
        <v>5.4521114373325694E-3</v>
      </c>
      <c r="K113" s="4">
        <v>2.4894330348622313E-3</v>
      </c>
      <c r="L113" s="4">
        <v>1.5908652398119966E-3</v>
      </c>
      <c r="M113" s="4">
        <v>4.6370168565029003E-4</v>
      </c>
    </row>
    <row r="114" spans="1:13" x14ac:dyDescent="0.35">
      <c r="A114" s="27" t="s">
        <v>135</v>
      </c>
      <c r="B114" s="4">
        <v>2.6291311839905806E-5</v>
      </c>
      <c r="D114" s="4">
        <v>0</v>
      </c>
      <c r="E114" s="4">
        <v>5.2045964626067399E-5</v>
      </c>
      <c r="F114" s="4"/>
      <c r="G114" s="4">
        <v>0</v>
      </c>
      <c r="H114" s="4">
        <v>2.4013291680825716E-4</v>
      </c>
      <c r="I114" s="4">
        <v>0</v>
      </c>
      <c r="J114" s="4">
        <v>0</v>
      </c>
      <c r="K114" s="4">
        <v>0</v>
      </c>
      <c r="L114" s="4">
        <v>0</v>
      </c>
      <c r="M114" s="4">
        <v>0</v>
      </c>
    </row>
    <row r="115" spans="1:13" x14ac:dyDescent="0.35">
      <c r="A115" s="27" t="s">
        <v>136</v>
      </c>
      <c r="B115" s="4">
        <v>2.161044724526207E-4</v>
      </c>
      <c r="D115" s="4">
        <v>2.860100467031682E-4</v>
      </c>
      <c r="E115" s="4">
        <v>1.5033629262728213E-4</v>
      </c>
      <c r="F115" s="4"/>
      <c r="G115" s="4">
        <v>0</v>
      </c>
      <c r="H115" s="4">
        <v>3.9546954456258184E-4</v>
      </c>
      <c r="I115" s="4">
        <v>1.8208429820056588E-4</v>
      </c>
      <c r="J115" s="4">
        <v>0</v>
      </c>
      <c r="K115" s="4">
        <v>4.5424771548988074E-4</v>
      </c>
      <c r="L115" s="4">
        <v>2.964601575046227E-4</v>
      </c>
      <c r="M115" s="4">
        <v>1.5451410622807949E-4</v>
      </c>
    </row>
    <row r="116" spans="1:13" x14ac:dyDescent="0.35">
      <c r="A116" s="27" t="s">
        <v>137</v>
      </c>
      <c r="B116" s="4">
        <v>1.3431673656237475E-4</v>
      </c>
      <c r="D116" s="4">
        <v>1.3300142538472335E-4</v>
      </c>
      <c r="E116" s="4">
        <v>1.3686563664458485E-4</v>
      </c>
      <c r="F116" s="4"/>
      <c r="G116" s="4">
        <v>0</v>
      </c>
      <c r="H116" s="4">
        <v>0</v>
      </c>
      <c r="I116" s="4">
        <v>0</v>
      </c>
      <c r="J116" s="4">
        <v>4.4240975095313968E-4</v>
      </c>
      <c r="K116" s="4">
        <v>1.6858823784339266E-4</v>
      </c>
      <c r="L116" s="4">
        <v>1.1421778749785976E-4</v>
      </c>
      <c r="M116" s="4">
        <v>8.5254661321775262E-5</v>
      </c>
    </row>
    <row r="117" spans="1:13" x14ac:dyDescent="0.35">
      <c r="A117" s="27" t="s">
        <v>138</v>
      </c>
      <c r="B117" s="4">
        <v>2.4773391989333657E-3</v>
      </c>
      <c r="D117" s="4">
        <v>1.8430791349600992E-3</v>
      </c>
      <c r="E117" s="4">
        <v>3.072012474748045E-3</v>
      </c>
      <c r="F117" s="4"/>
      <c r="G117" s="4">
        <v>4.4208222778469594E-3</v>
      </c>
      <c r="H117" s="4">
        <v>3.8047448774514085E-3</v>
      </c>
      <c r="I117" s="4">
        <v>4.2629859157624793E-3</v>
      </c>
      <c r="J117" s="4">
        <v>2.9728210032270424E-3</v>
      </c>
      <c r="K117" s="4">
        <v>1.8834633633100964E-3</v>
      </c>
      <c r="L117" s="4">
        <v>1.9343522471859667E-3</v>
      </c>
      <c r="M117" s="4">
        <v>2.1372494206083108E-4</v>
      </c>
    </row>
    <row r="118" spans="1:13" x14ac:dyDescent="0.35">
      <c r="A118" s="27" t="s">
        <v>139</v>
      </c>
      <c r="B118" s="4">
        <v>5.8500235109662938E-3</v>
      </c>
      <c r="D118" s="4">
        <v>6.866170646133778E-3</v>
      </c>
      <c r="E118" s="4">
        <v>4.8778494815485797E-3</v>
      </c>
      <c r="F118" s="4"/>
      <c r="G118" s="4">
        <v>9.5186538728103086E-3</v>
      </c>
      <c r="H118" s="4">
        <v>4.1332905588696489E-3</v>
      </c>
      <c r="I118" s="4">
        <v>5.1709934136799762E-3</v>
      </c>
      <c r="J118" s="4">
        <v>5.1235005771271243E-3</v>
      </c>
      <c r="K118" s="4">
        <v>7.0901180948061146E-3</v>
      </c>
      <c r="L118" s="4">
        <v>8.4691839041847843E-3</v>
      </c>
      <c r="M118" s="4">
        <v>4.5679139957732233E-3</v>
      </c>
    </row>
    <row r="119" spans="1:13" x14ac:dyDescent="0.35">
      <c r="A119" s="27" t="s">
        <v>140</v>
      </c>
      <c r="B119" s="4">
        <v>7.6305056642893528E-3</v>
      </c>
      <c r="D119" s="4">
        <v>1.2087979463810489E-2</v>
      </c>
      <c r="E119" s="4">
        <v>3.3785741520318854E-3</v>
      </c>
      <c r="F119" s="4"/>
      <c r="G119" s="4">
        <v>3.2361011578353721E-2</v>
      </c>
      <c r="H119" s="4">
        <v>1.6892588852985162E-2</v>
      </c>
      <c r="I119" s="4">
        <v>1.3917338566701291E-2</v>
      </c>
      <c r="J119" s="4">
        <v>6.808083636967506E-3</v>
      </c>
      <c r="K119" s="4">
        <v>3.6858059864726032E-3</v>
      </c>
      <c r="L119" s="4">
        <v>7.058564122233603E-4</v>
      </c>
      <c r="M119" s="4">
        <v>1.3011976268258684E-4</v>
      </c>
    </row>
    <row r="120" spans="1:13" x14ac:dyDescent="0.35">
      <c r="A120" s="27" t="s">
        <v>141</v>
      </c>
      <c r="B120" s="4">
        <v>3.7396618361418758E-3</v>
      </c>
      <c r="D120" s="4">
        <v>6.0336798985160811E-3</v>
      </c>
      <c r="E120" s="4">
        <v>1.5496497335286577E-3</v>
      </c>
      <c r="F120" s="4"/>
      <c r="G120" s="4">
        <v>1.3860578475219744E-2</v>
      </c>
      <c r="H120" s="4">
        <v>9.1340166341819205E-3</v>
      </c>
      <c r="I120" s="4">
        <v>6.1680822308105938E-3</v>
      </c>
      <c r="J120" s="4">
        <v>2.9057913946928895E-3</v>
      </c>
      <c r="K120" s="4">
        <v>1.796267756363978E-3</v>
      </c>
      <c r="L120" s="4">
        <v>1.2590757788720486E-3</v>
      </c>
      <c r="M120" s="4">
        <v>3.6596084965480677E-4</v>
      </c>
    </row>
    <row r="121" spans="1:13" x14ac:dyDescent="0.35">
      <c r="A121" s="27" t="s">
        <v>142</v>
      </c>
      <c r="B121" s="4">
        <v>0.16525142870443901</v>
      </c>
      <c r="D121" s="4">
        <v>0.18974851909934068</v>
      </c>
      <c r="E121" s="4">
        <v>0.14156557898020264</v>
      </c>
      <c r="F121" s="4"/>
      <c r="G121" s="4">
        <v>0.26574026425674507</v>
      </c>
      <c r="H121" s="4">
        <v>0.26653083575635989</v>
      </c>
      <c r="I121" s="4">
        <v>0.27663096403878545</v>
      </c>
      <c r="J121" s="4">
        <v>0.20853769980925593</v>
      </c>
      <c r="K121" s="4">
        <v>0.15772070225876503</v>
      </c>
      <c r="L121" s="4">
        <v>8.4623797357401026E-2</v>
      </c>
      <c r="M121" s="4">
        <v>1.8377496758214904E-2</v>
      </c>
    </row>
    <row r="122" spans="1:13" x14ac:dyDescent="0.35">
      <c r="A122" s="27" t="s">
        <v>143</v>
      </c>
      <c r="B122" s="4">
        <v>3.2699527345292035E-3</v>
      </c>
      <c r="D122" s="4">
        <v>4.5934519279234977E-3</v>
      </c>
      <c r="E122" s="4">
        <v>2.017000388631663E-3</v>
      </c>
      <c r="F122" s="4"/>
      <c r="G122" s="4">
        <v>2.994416781939561E-3</v>
      </c>
      <c r="H122" s="4">
        <v>1.3529128296444583E-3</v>
      </c>
      <c r="I122" s="4">
        <v>1.6626438899322929E-3</v>
      </c>
      <c r="J122" s="4">
        <v>2.1867717110885866E-3</v>
      </c>
      <c r="K122" s="4">
        <v>3.6168534835544293E-3</v>
      </c>
      <c r="L122" s="4">
        <v>6.8723571114587831E-3</v>
      </c>
      <c r="M122" s="4">
        <v>4.000952354382273E-3</v>
      </c>
    </row>
    <row r="123" spans="1:13" x14ac:dyDescent="0.35">
      <c r="A123" s="27" t="s">
        <v>144</v>
      </c>
      <c r="B123" s="4">
        <v>8.5211381429258089E-4</v>
      </c>
      <c r="D123" s="4">
        <v>9.3117645679969825E-4</v>
      </c>
      <c r="E123" s="4">
        <v>7.8348963807325293E-4</v>
      </c>
      <c r="F123" s="4"/>
      <c r="G123" s="4">
        <v>0</v>
      </c>
      <c r="H123" s="4">
        <v>4.9250801344037295E-4</v>
      </c>
      <c r="I123" s="4">
        <v>7.0578178342050788E-4</v>
      </c>
      <c r="J123" s="4">
        <v>2.7471285198512993E-3</v>
      </c>
      <c r="K123" s="4">
        <v>1.045022918102939E-3</v>
      </c>
      <c r="L123" s="4">
        <v>1.0792946006116107E-4</v>
      </c>
      <c r="M123" s="4">
        <v>1.4740331149028167E-4</v>
      </c>
    </row>
    <row r="124" spans="1:13" x14ac:dyDescent="0.35">
      <c r="A124" s="27" t="s">
        <v>145</v>
      </c>
      <c r="B124" s="4">
        <v>2.164798969847344E-4</v>
      </c>
      <c r="D124" s="4">
        <v>3.3643178870564603E-4</v>
      </c>
      <c r="E124" s="4">
        <v>1.0216478687762731E-4</v>
      </c>
      <c r="F124" s="4"/>
      <c r="G124" s="4">
        <v>2.5093306027803778E-3</v>
      </c>
      <c r="H124" s="4">
        <v>7.1919609700072317E-4</v>
      </c>
      <c r="I124" s="4">
        <v>0</v>
      </c>
      <c r="J124" s="4">
        <v>1.5073777494363866E-4</v>
      </c>
      <c r="K124" s="4">
        <v>0</v>
      </c>
      <c r="L124" s="4">
        <v>0</v>
      </c>
      <c r="M124" s="4">
        <v>0</v>
      </c>
    </row>
    <row r="125" spans="1:13" x14ac:dyDescent="0.35">
      <c r="A125" s="27" t="s">
        <v>146</v>
      </c>
      <c r="B125" s="4">
        <v>2.6370894050494425E-5</v>
      </c>
      <c r="D125" s="4">
        <v>5.3811882547378416E-5</v>
      </c>
      <c r="E125" s="4">
        <v>0</v>
      </c>
      <c r="F125" s="4"/>
      <c r="G125" s="4">
        <v>0</v>
      </c>
      <c r="H125" s="4">
        <v>2.4085978462189315E-4</v>
      </c>
      <c r="I125" s="4">
        <v>0</v>
      </c>
      <c r="J125" s="4">
        <v>0</v>
      </c>
      <c r="K125" s="4">
        <v>0</v>
      </c>
      <c r="L125" s="4">
        <v>0</v>
      </c>
      <c r="M125" s="4">
        <v>0</v>
      </c>
    </row>
    <row r="126" spans="1:13" x14ac:dyDescent="0.35">
      <c r="A126" s="27" t="s">
        <v>284</v>
      </c>
      <c r="B126" s="4">
        <v>2.0320693484734581E-3</v>
      </c>
      <c r="D126" s="4">
        <v>3.7681741335762208E-3</v>
      </c>
      <c r="E126" s="4">
        <v>3.6711247921520458E-4</v>
      </c>
      <c r="F126" s="4"/>
      <c r="G126" s="4">
        <v>3.1558643934301218E-3</v>
      </c>
      <c r="H126" s="4">
        <v>1.1364164838602083E-3</v>
      </c>
      <c r="I126" s="4">
        <v>3.2725913690416094E-3</v>
      </c>
      <c r="J126" s="4">
        <v>2.1875796670488465E-3</v>
      </c>
      <c r="K126" s="4">
        <v>2.2652705139255976E-3</v>
      </c>
      <c r="L126" s="4">
        <v>1.5348709724964081E-3</v>
      </c>
      <c r="M126" s="4">
        <v>1.2320435953269804E-3</v>
      </c>
    </row>
    <row r="127" spans="1:13" x14ac:dyDescent="0.35">
      <c r="A127" s="27" t="s">
        <v>283</v>
      </c>
      <c r="B127" s="4">
        <v>1.3556024156322758E-3</v>
      </c>
      <c r="D127" s="4">
        <v>2.279510950849432E-3</v>
      </c>
      <c r="E127" s="4">
        <v>4.7215535593547069E-4</v>
      </c>
      <c r="F127" s="4"/>
      <c r="G127" s="4">
        <v>0</v>
      </c>
      <c r="H127" s="4">
        <v>8.1904662289480033E-4</v>
      </c>
      <c r="I127" s="4">
        <v>1.9265377057208447E-3</v>
      </c>
      <c r="J127" s="4">
        <v>2.1139816256043899E-3</v>
      </c>
      <c r="K127" s="4">
        <v>1.4092503909180383E-3</v>
      </c>
      <c r="L127" s="4">
        <v>9.0872702354091999E-4</v>
      </c>
      <c r="M127" s="4">
        <v>1.0682477164718528E-3</v>
      </c>
    </row>
    <row r="128" spans="1:13" x14ac:dyDescent="0.35">
      <c r="A128" s="27" t="s">
        <v>147</v>
      </c>
      <c r="B128" s="4">
        <v>3.9555105134734632E-3</v>
      </c>
      <c r="D128" s="4">
        <v>3.864810223625038E-3</v>
      </c>
      <c r="E128" s="4">
        <v>3.7548697986439679E-3</v>
      </c>
      <c r="F128" s="4"/>
      <c r="G128" s="4">
        <v>1.1937448579885114E-2</v>
      </c>
      <c r="H128" s="4">
        <v>6.6282503784879168E-3</v>
      </c>
      <c r="I128" s="4">
        <v>5.9951941937762621E-3</v>
      </c>
      <c r="J128" s="4">
        <v>4.7462321289177831E-3</v>
      </c>
      <c r="K128" s="4">
        <v>4.2894742478936342E-3</v>
      </c>
      <c r="L128" s="4">
        <v>1.1511117637591152E-3</v>
      </c>
      <c r="M128" s="4">
        <v>7.0770852549792849E-5</v>
      </c>
    </row>
    <row r="129" spans="1:13" x14ac:dyDescent="0.35">
      <c r="A129" s="27" t="s">
        <v>148</v>
      </c>
      <c r="B129" s="4">
        <v>0</v>
      </c>
      <c r="D129" s="4">
        <v>0</v>
      </c>
      <c r="E129" s="4">
        <v>0</v>
      </c>
      <c r="F129" s="4"/>
      <c r="G129" s="4">
        <v>0</v>
      </c>
      <c r="H129" s="4">
        <v>0</v>
      </c>
      <c r="I129" s="4">
        <v>0</v>
      </c>
      <c r="J129" s="4">
        <v>0</v>
      </c>
      <c r="K129" s="4">
        <v>0</v>
      </c>
      <c r="L129" s="4">
        <v>0</v>
      </c>
      <c r="M129" s="4">
        <v>0</v>
      </c>
    </row>
    <row r="130" spans="1:13" x14ac:dyDescent="0.35">
      <c r="A130" s="27" t="s">
        <v>149</v>
      </c>
      <c r="B130" s="4">
        <v>8.1160873198155032E-3</v>
      </c>
      <c r="D130" s="4">
        <v>9.6418559902029001E-3</v>
      </c>
      <c r="E130" s="4">
        <v>6.712837291231637E-3</v>
      </c>
      <c r="F130" s="4"/>
      <c r="G130" s="4">
        <v>2.6904238305511703E-3</v>
      </c>
      <c r="H130" s="4">
        <v>6.7549264672687424E-3</v>
      </c>
      <c r="I130" s="4">
        <v>8.9326310652355755E-3</v>
      </c>
      <c r="J130" s="4">
        <v>8.1704520215790458E-3</v>
      </c>
      <c r="K130" s="4">
        <v>1.0069986833544263E-2</v>
      </c>
      <c r="L130" s="4">
        <v>1.4001338878858592E-2</v>
      </c>
      <c r="M130" s="4">
        <v>4.0400233332358506E-3</v>
      </c>
    </row>
    <row r="131" spans="1:13" x14ac:dyDescent="0.35">
      <c r="A131" s="27" t="s">
        <v>150</v>
      </c>
      <c r="B131" s="4">
        <v>2.6309078907130286E-5</v>
      </c>
      <c r="D131" s="4">
        <v>0</v>
      </c>
      <c r="E131" s="4">
        <v>5.2081136098601937E-5</v>
      </c>
      <c r="F131" s="4"/>
      <c r="G131" s="4">
        <v>0</v>
      </c>
      <c r="H131" s="4">
        <v>0</v>
      </c>
      <c r="I131" s="4">
        <v>0</v>
      </c>
      <c r="J131" s="4">
        <v>1.5337369916413969E-4</v>
      </c>
      <c r="K131" s="4">
        <v>0</v>
      </c>
      <c r="L131" s="4">
        <v>0</v>
      </c>
      <c r="M131" s="4">
        <v>0</v>
      </c>
    </row>
    <row r="132" spans="1:13" x14ac:dyDescent="0.35">
      <c r="A132" s="27" t="s">
        <v>151</v>
      </c>
      <c r="B132" s="4">
        <v>1.3614970265110884E-3</v>
      </c>
      <c r="D132" s="4">
        <v>1.1573666962074068E-3</v>
      </c>
      <c r="E132" s="4">
        <v>1.53113828714683E-3</v>
      </c>
      <c r="F132" s="4"/>
      <c r="G132" s="4">
        <v>3.0706061700287836E-3</v>
      </c>
      <c r="H132" s="4">
        <v>2.3785197058183846E-3</v>
      </c>
      <c r="I132" s="4">
        <v>1.8023413559114881E-3</v>
      </c>
      <c r="J132" s="4">
        <v>1.5996845407596418E-3</v>
      </c>
      <c r="K132" s="4">
        <v>1.0644813871071193E-3</v>
      </c>
      <c r="L132" s="4">
        <v>1.5269531840182299E-3</v>
      </c>
      <c r="M132" s="4">
        <v>0</v>
      </c>
    </row>
    <row r="133" spans="1:13" x14ac:dyDescent="0.35">
      <c r="A133" s="27" t="s">
        <v>152</v>
      </c>
      <c r="B133" s="4">
        <v>5.4229394392981091E-3</v>
      </c>
      <c r="D133" s="4">
        <v>6.6445267432667654E-3</v>
      </c>
      <c r="E133" s="4">
        <v>4.1102920562875907E-3</v>
      </c>
      <c r="F133" s="4"/>
      <c r="G133" s="4">
        <v>1.379122583125874E-2</v>
      </c>
      <c r="H133" s="4">
        <v>1.3349332461639806E-2</v>
      </c>
      <c r="I133" s="4">
        <v>1.255113592630828E-2</v>
      </c>
      <c r="J133" s="4">
        <v>4.9165319358989417E-3</v>
      </c>
      <c r="K133" s="4">
        <v>4.3631813807076185E-4</v>
      </c>
      <c r="L133" s="4">
        <v>1.1891065415627646E-3</v>
      </c>
      <c r="M133" s="4">
        <v>9.3405011090800076E-5</v>
      </c>
    </row>
    <row r="134" spans="1:13" x14ac:dyDescent="0.35">
      <c r="A134" s="27" t="s">
        <v>153</v>
      </c>
      <c r="B134" s="4">
        <v>3.9015657949491513E-3</v>
      </c>
      <c r="D134" s="4">
        <v>5.6913856454405814E-3</v>
      </c>
      <c r="E134" s="4">
        <v>2.1578992548167844E-3</v>
      </c>
      <c r="F134" s="4"/>
      <c r="G134" s="4">
        <v>3.5902344147402273E-3</v>
      </c>
      <c r="H134" s="4">
        <v>3.4422034443272551E-3</v>
      </c>
      <c r="I134" s="4">
        <v>5.7947886294068629E-3</v>
      </c>
      <c r="J134" s="4">
        <v>4.6090239395766069E-3</v>
      </c>
      <c r="K134" s="4">
        <v>4.346291396288296E-3</v>
      </c>
      <c r="L134" s="4">
        <v>4.1281841660831117E-3</v>
      </c>
      <c r="M134" s="4">
        <v>1.5523245314875013E-3</v>
      </c>
    </row>
    <row r="135" spans="1:13" x14ac:dyDescent="0.35">
      <c r="A135" s="27" t="s">
        <v>154</v>
      </c>
      <c r="B135" s="4">
        <v>1.3845569365598805E-2</v>
      </c>
      <c r="D135" s="4">
        <v>1.7305051817028776E-2</v>
      </c>
      <c r="E135" s="4">
        <v>1.0588326441422847E-2</v>
      </c>
      <c r="F135" s="4"/>
      <c r="G135" s="4">
        <v>2.2175038409578209E-2</v>
      </c>
      <c r="H135" s="4">
        <v>1.2685722971348299E-2</v>
      </c>
      <c r="I135" s="4">
        <v>1.5659003341820851E-2</v>
      </c>
      <c r="J135" s="4">
        <v>1.8181201170726958E-2</v>
      </c>
      <c r="K135" s="4">
        <v>1.7681321416782064E-2</v>
      </c>
      <c r="L135" s="4">
        <v>1.3528379430962016E-2</v>
      </c>
      <c r="M135" s="4">
        <v>5.1118423034084062E-3</v>
      </c>
    </row>
    <row r="136" spans="1:13" x14ac:dyDescent="0.35">
      <c r="A136" s="27" t="s">
        <v>155</v>
      </c>
      <c r="B136" s="4">
        <v>0.15389687791967752</v>
      </c>
      <c r="D136" s="4">
        <v>0.14512881576470732</v>
      </c>
      <c r="E136" s="4">
        <v>0.16263309793157166</v>
      </c>
      <c r="F136" s="4"/>
      <c r="G136" s="4">
        <v>0.17615523830938995</v>
      </c>
      <c r="H136" s="4">
        <v>0.16338679438360945</v>
      </c>
      <c r="I136" s="4">
        <v>0.16584081896901331</v>
      </c>
      <c r="J136" s="4">
        <v>0.18312001542139966</v>
      </c>
      <c r="K136" s="4">
        <v>0.16663682125632823</v>
      </c>
      <c r="L136" s="4">
        <v>0.15991121418176654</v>
      </c>
      <c r="M136" s="4">
        <v>9.7354842822941323E-2</v>
      </c>
    </row>
    <row r="137" spans="1:13" x14ac:dyDescent="0.35">
      <c r="A137" s="27" t="s">
        <v>156</v>
      </c>
      <c r="B137" s="4">
        <v>2.2501204005786544E-4</v>
      </c>
      <c r="D137" s="4">
        <v>1.6351575023272526E-4</v>
      </c>
      <c r="E137" s="4">
        <v>2.4632492935965398E-4</v>
      </c>
      <c r="F137" s="4"/>
      <c r="G137" s="4">
        <v>0</v>
      </c>
      <c r="H137" s="4">
        <v>9.8553335099245951E-4</v>
      </c>
      <c r="I137" s="4">
        <v>5.5953849305223483E-4</v>
      </c>
      <c r="J137" s="4">
        <v>0</v>
      </c>
      <c r="K137" s="4">
        <v>0</v>
      </c>
      <c r="L137" s="4">
        <v>0</v>
      </c>
      <c r="M137" s="4">
        <v>7.8467974984607243E-5</v>
      </c>
    </row>
    <row r="138" spans="1:13" x14ac:dyDescent="0.35">
      <c r="A138" s="27" t="s">
        <v>157</v>
      </c>
      <c r="B138" s="4">
        <v>5.2317021392733808E-4</v>
      </c>
      <c r="D138" s="4">
        <v>6.1055634600708122E-4</v>
      </c>
      <c r="E138" s="4">
        <v>4.4335397268969312E-4</v>
      </c>
      <c r="F138" s="4"/>
      <c r="G138" s="4">
        <v>0</v>
      </c>
      <c r="H138" s="4">
        <v>7.0779586951722417E-4</v>
      </c>
      <c r="I138" s="4">
        <v>1.0444949643812389E-3</v>
      </c>
      <c r="J138" s="4">
        <v>7.5797356977208357E-4</v>
      </c>
      <c r="K138" s="4">
        <v>7.373601661772414E-4</v>
      </c>
      <c r="L138" s="4">
        <v>1.3895627211200806E-4</v>
      </c>
      <c r="M138" s="4">
        <v>0</v>
      </c>
    </row>
    <row r="139" spans="1:13" x14ac:dyDescent="0.35">
      <c r="A139" s="27" t="s">
        <v>158</v>
      </c>
      <c r="B139" s="4">
        <v>1.7903739712316756E-2</v>
      </c>
      <c r="D139" s="4">
        <v>2.5344919892539629E-2</v>
      </c>
      <c r="E139" s="4">
        <v>1.080350772741915E-2</v>
      </c>
      <c r="F139" s="4"/>
      <c r="G139" s="4">
        <v>6.5429217024193798E-2</v>
      </c>
      <c r="H139" s="4">
        <v>3.2954099248581475E-2</v>
      </c>
      <c r="I139" s="4">
        <v>2.2976849256506428E-2</v>
      </c>
      <c r="J139" s="4">
        <v>1.6133075841891473E-2</v>
      </c>
      <c r="K139" s="4">
        <v>1.440185452450771E-2</v>
      </c>
      <c r="L139" s="4">
        <v>9.4023869875461772E-3</v>
      </c>
      <c r="M139" s="4">
        <v>5.0827478663878637E-3</v>
      </c>
    </row>
    <row r="140" spans="1:13" x14ac:dyDescent="0.35">
      <c r="A140" s="27" t="s">
        <v>282</v>
      </c>
      <c r="B140" s="4">
        <v>1.1469626674414661E-3</v>
      </c>
      <c r="D140" s="4">
        <v>1.4659883900362133E-3</v>
      </c>
      <c r="E140" s="4">
        <v>8.4834188738933266E-4</v>
      </c>
      <c r="F140" s="4"/>
      <c r="G140" s="4">
        <v>8.8204199887341999E-3</v>
      </c>
      <c r="H140" s="4">
        <v>2.1331438120487795E-3</v>
      </c>
      <c r="I140" s="4">
        <v>9.4047758957090891E-4</v>
      </c>
      <c r="J140" s="4">
        <v>5.5520185501191073E-4</v>
      </c>
      <c r="K140" s="4">
        <v>1.0080606218218172E-3</v>
      </c>
      <c r="L140" s="4">
        <v>5.3494490924769003E-4</v>
      </c>
      <c r="M140" s="4">
        <v>1.6116091774962573E-4</v>
      </c>
    </row>
    <row r="141" spans="1:13" x14ac:dyDescent="0.35">
      <c r="A141" s="27" t="s">
        <v>159</v>
      </c>
      <c r="B141" s="4">
        <v>1.2315498929547537E-4</v>
      </c>
      <c r="D141" s="4">
        <v>2.0958257392440357E-4</v>
      </c>
      <c r="E141" s="4">
        <v>4.0477753725775456E-5</v>
      </c>
      <c r="F141" s="4"/>
      <c r="G141" s="4">
        <v>0</v>
      </c>
      <c r="H141" s="4">
        <v>5.5966278085237359E-4</v>
      </c>
      <c r="I141" s="4">
        <v>2.2615272285510298E-4</v>
      </c>
      <c r="J141" s="4">
        <v>1.2369516215243205E-4</v>
      </c>
      <c r="K141" s="4">
        <v>0</v>
      </c>
      <c r="L141" s="4">
        <v>0</v>
      </c>
      <c r="M141" s="4">
        <v>0</v>
      </c>
    </row>
    <row r="142" spans="1:13" x14ac:dyDescent="0.35">
      <c r="A142" s="27" t="s">
        <v>160</v>
      </c>
      <c r="B142" s="4">
        <v>4.941029499088076E-2</v>
      </c>
      <c r="D142" s="4">
        <v>5.8424450264541614E-2</v>
      </c>
      <c r="E142" s="4">
        <v>4.102871801418876E-2</v>
      </c>
      <c r="F142" s="4"/>
      <c r="G142" s="4">
        <v>9.4502280451512086E-2</v>
      </c>
      <c r="H142" s="4">
        <v>7.4844953198550473E-2</v>
      </c>
      <c r="I142" s="4">
        <v>6.4755951741598192E-2</v>
      </c>
      <c r="J142" s="4">
        <v>5.2809302105989796E-2</v>
      </c>
      <c r="K142" s="4">
        <v>5.2691540611888445E-2</v>
      </c>
      <c r="L142" s="4">
        <v>3.2886438970906505E-2</v>
      </c>
      <c r="M142" s="4">
        <v>1.9151654303281616E-2</v>
      </c>
    </row>
    <row r="143" spans="1:13" x14ac:dyDescent="0.35">
      <c r="A143" s="27" t="s">
        <v>161</v>
      </c>
      <c r="B143" s="4">
        <v>6.2892603863227573E-3</v>
      </c>
      <c r="D143" s="4">
        <v>6.5477973517182302E-3</v>
      </c>
      <c r="E143" s="4">
        <v>6.0980533025936793E-3</v>
      </c>
      <c r="F143" s="4"/>
      <c r="G143" s="4">
        <v>1.0643983818809575E-2</v>
      </c>
      <c r="H143" s="4">
        <v>8.1534594810044533E-3</v>
      </c>
      <c r="I143" s="4">
        <v>5.1628816672630714E-3</v>
      </c>
      <c r="J143" s="4">
        <v>6.8549649719162426E-3</v>
      </c>
      <c r="K143" s="4">
        <v>6.4413868245648794E-3</v>
      </c>
      <c r="L143" s="4">
        <v>6.9893474490803744E-3</v>
      </c>
      <c r="M143" s="4">
        <v>4.3361754368429649E-3</v>
      </c>
    </row>
    <row r="144" spans="1:13" x14ac:dyDescent="0.35">
      <c r="A144" s="27" t="s">
        <v>162</v>
      </c>
      <c r="B144" s="4">
        <v>2.4076701042023441E-5</v>
      </c>
      <c r="D144" s="4">
        <v>0</v>
      </c>
      <c r="E144" s="4">
        <v>4.7661947732998386E-5</v>
      </c>
      <c r="F144" s="4"/>
      <c r="G144" s="4">
        <v>0</v>
      </c>
      <c r="H144" s="4">
        <v>0</v>
      </c>
      <c r="I144" s="4">
        <v>0</v>
      </c>
      <c r="J144" s="4">
        <v>0</v>
      </c>
      <c r="K144" s="4">
        <v>1.6304698311550372E-4</v>
      </c>
      <c r="L144" s="4">
        <v>0</v>
      </c>
      <c r="M144" s="4">
        <v>0</v>
      </c>
    </row>
    <row r="145" spans="1:13" x14ac:dyDescent="0.35">
      <c r="A145" s="27" t="s">
        <v>163</v>
      </c>
      <c r="B145" s="4">
        <v>7.115301760171929E-3</v>
      </c>
      <c r="D145" s="4">
        <v>9.1826397164516751E-3</v>
      </c>
      <c r="E145" s="4">
        <v>5.177185041927772E-3</v>
      </c>
      <c r="F145" s="4"/>
      <c r="G145" s="4">
        <v>2.3352805291675684E-2</v>
      </c>
      <c r="H145" s="4">
        <v>1.5485628792868356E-2</v>
      </c>
      <c r="I145" s="4">
        <v>1.2128403484619923E-2</v>
      </c>
      <c r="J145" s="4">
        <v>5.6168420916791161E-3</v>
      </c>
      <c r="K145" s="4">
        <v>5.0495027326192612E-3</v>
      </c>
      <c r="L145" s="4">
        <v>2.6012739855711016E-3</v>
      </c>
      <c r="M145" s="4">
        <v>6.3514658985801807E-4</v>
      </c>
    </row>
    <row r="146" spans="1:13" x14ac:dyDescent="0.35">
      <c r="A146" s="27" t="s">
        <v>164</v>
      </c>
      <c r="B146" s="4">
        <v>1.4311223437091132E-3</v>
      </c>
      <c r="D146" s="4">
        <v>1.8422178484014799E-3</v>
      </c>
      <c r="E146" s="4">
        <v>1.0458765900060462E-3</v>
      </c>
      <c r="F146" s="4"/>
      <c r="G146" s="4">
        <v>2.8765738353628474E-3</v>
      </c>
      <c r="H146" s="4">
        <v>1.686031714087742E-3</v>
      </c>
      <c r="I146" s="4">
        <v>1.9038889166764967E-3</v>
      </c>
      <c r="J146" s="4">
        <v>2.1980787083113111E-3</v>
      </c>
      <c r="K146" s="4">
        <v>2.2821158106524232E-3</v>
      </c>
      <c r="L146" s="4">
        <v>3.3601920778620416E-4</v>
      </c>
      <c r="M146" s="4">
        <v>7.6187273858016878E-5</v>
      </c>
    </row>
    <row r="147" spans="1:13" x14ac:dyDescent="0.35">
      <c r="A147" s="27" t="s">
        <v>165</v>
      </c>
      <c r="B147" s="4">
        <v>8.3584107625549846E-3</v>
      </c>
      <c r="D147" s="4">
        <v>8.3587366879088396E-3</v>
      </c>
      <c r="E147" s="4">
        <v>8.4373061420291474E-3</v>
      </c>
      <c r="F147" s="4"/>
      <c r="G147" s="4">
        <v>7.2231215530095131E-3</v>
      </c>
      <c r="H147" s="4">
        <v>6.7877355738569295E-3</v>
      </c>
      <c r="I147" s="4">
        <v>1.0494260976988589E-2</v>
      </c>
      <c r="J147" s="4">
        <v>1.0903676073173611E-2</v>
      </c>
      <c r="K147" s="4">
        <v>8.1702719920344318E-3</v>
      </c>
      <c r="L147" s="4">
        <v>1.1367883169339364E-2</v>
      </c>
      <c r="M147" s="4">
        <v>3.6938723134575919E-3</v>
      </c>
    </row>
    <row r="148" spans="1:13" x14ac:dyDescent="0.35">
      <c r="A148" s="27" t="s">
        <v>166</v>
      </c>
      <c r="B148" s="4">
        <v>9.4982651978580152E-3</v>
      </c>
      <c r="D148" s="4">
        <v>9.6564750373480963E-3</v>
      </c>
      <c r="E148" s="4">
        <v>9.2122082933324863E-3</v>
      </c>
      <c r="F148" s="4"/>
      <c r="G148" s="4">
        <v>3.7483057974513262E-2</v>
      </c>
      <c r="H148" s="4">
        <v>1.7453029897060494E-2</v>
      </c>
      <c r="I148" s="4">
        <v>1.4271886205894337E-2</v>
      </c>
      <c r="J148" s="4">
        <v>8.2733232063686296E-3</v>
      </c>
      <c r="K148" s="4">
        <v>6.9727889466734338E-3</v>
      </c>
      <c r="L148" s="4">
        <v>2.7203541649657307E-3</v>
      </c>
      <c r="M148" s="4">
        <v>2.5186084906469808E-3</v>
      </c>
    </row>
    <row r="149" spans="1:13" x14ac:dyDescent="0.35">
      <c r="A149" s="27" t="s">
        <v>167</v>
      </c>
      <c r="B149" s="4">
        <v>1.3070375953150382E-2</v>
      </c>
      <c r="D149" s="4">
        <v>1.5503489907151646E-2</v>
      </c>
      <c r="E149" s="4">
        <v>1.0573519653959799E-2</v>
      </c>
      <c r="F149" s="4"/>
      <c r="G149" s="4">
        <v>0.10112642974167524</v>
      </c>
      <c r="H149" s="4">
        <v>3.4056670550981057E-2</v>
      </c>
      <c r="I149" s="4">
        <v>1.5816891113604868E-2</v>
      </c>
      <c r="J149" s="4">
        <v>6.7658224602457941E-3</v>
      </c>
      <c r="K149" s="4">
        <v>3.5013675018180299E-3</v>
      </c>
      <c r="L149" s="4">
        <v>1.35506426004707E-3</v>
      </c>
      <c r="M149" s="4">
        <v>6.0055427935949289E-4</v>
      </c>
    </row>
    <row r="150" spans="1:13" x14ac:dyDescent="0.35">
      <c r="A150" s="27" t="s">
        <v>168</v>
      </c>
      <c r="B150" s="4">
        <v>0.50203520803579949</v>
      </c>
      <c r="D150" s="4">
        <v>0.42494127905453843</v>
      </c>
      <c r="E150" s="4">
        <v>0.57753475033567059</v>
      </c>
      <c r="F150" s="4"/>
      <c r="G150" s="4">
        <v>0.30348201397932856</v>
      </c>
      <c r="H150" s="4">
        <v>0.34194266556508929</v>
      </c>
      <c r="I150" s="4">
        <v>0.41860389689948296</v>
      </c>
      <c r="J150" s="4">
        <v>0.47548115237636818</v>
      </c>
      <c r="K150" s="4">
        <v>0.58668349058792313</v>
      </c>
      <c r="L150" s="4">
        <v>0.66032398551828342</v>
      </c>
      <c r="M150" s="4">
        <v>0.55822185319357209</v>
      </c>
    </row>
    <row r="151" spans="1:13" x14ac:dyDescent="0.35">
      <c r="A151" s="27" t="s">
        <v>169</v>
      </c>
      <c r="B151" s="4">
        <v>9.236210183317954E-4</v>
      </c>
      <c r="D151" s="4">
        <v>1.223468448094794E-3</v>
      </c>
      <c r="E151" s="4">
        <v>6.4148873351392729E-4</v>
      </c>
      <c r="F151" s="4"/>
      <c r="G151" s="4">
        <v>4.6188683031163228E-3</v>
      </c>
      <c r="H151" s="4">
        <v>2.2565032315952434E-3</v>
      </c>
      <c r="I151" s="4">
        <v>1.1468039258971223E-3</v>
      </c>
      <c r="J151" s="4">
        <v>3.097236368552179E-4</v>
      </c>
      <c r="K151" s="4">
        <v>9.98881494906078E-4</v>
      </c>
      <c r="L151" s="4">
        <v>3.5729713409608891E-4</v>
      </c>
      <c r="M151" s="4">
        <v>7.1362756823716258E-5</v>
      </c>
    </row>
    <row r="152" spans="1:13" x14ac:dyDescent="0.35">
      <c r="A152" s="27" t="s">
        <v>170</v>
      </c>
      <c r="B152" s="4">
        <v>1.5012835680941802E-3</v>
      </c>
      <c r="D152" s="4">
        <v>1.7076106793193595E-3</v>
      </c>
      <c r="E152" s="4">
        <v>1.3153508147088809E-3</v>
      </c>
      <c r="F152" s="4"/>
      <c r="G152" s="4">
        <v>0</v>
      </c>
      <c r="H152" s="4">
        <v>2.4306528296079133E-3</v>
      </c>
      <c r="I152" s="4">
        <v>1.9041720746251444E-3</v>
      </c>
      <c r="J152" s="4">
        <v>1.3500215176161002E-3</v>
      </c>
      <c r="K152" s="4">
        <v>1.8690731662234525E-3</v>
      </c>
      <c r="L152" s="4">
        <v>2.3215584991072963E-3</v>
      </c>
      <c r="M152" s="4">
        <v>3.2407755859596655E-4</v>
      </c>
    </row>
    <row r="153" spans="1:13" x14ac:dyDescent="0.35">
      <c r="A153" s="27" t="s">
        <v>171</v>
      </c>
      <c r="B153" s="4">
        <v>9.8232405614447869E-3</v>
      </c>
      <c r="D153" s="4">
        <v>1.0725994734920296E-2</v>
      </c>
      <c r="E153" s="4">
        <v>8.7556355580870066E-3</v>
      </c>
      <c r="F153" s="4"/>
      <c r="G153" s="4">
        <v>7.7010635329356958E-3</v>
      </c>
      <c r="H153" s="4">
        <v>1.5659286220420149E-2</v>
      </c>
      <c r="I153" s="4">
        <v>1.5998280052228631E-2</v>
      </c>
      <c r="J153" s="4">
        <v>1.0940011710445794E-2</v>
      </c>
      <c r="K153" s="4">
        <v>8.5743797503374988E-3</v>
      </c>
      <c r="L153" s="4">
        <v>6.9093858690752611E-3</v>
      </c>
      <c r="M153" s="4">
        <v>3.8154627444810414E-3</v>
      </c>
    </row>
    <row r="154" spans="1:13" x14ac:dyDescent="0.35">
      <c r="A154" s="27" t="s">
        <v>172</v>
      </c>
      <c r="B154" s="4">
        <v>2.2986687795930808E-5</v>
      </c>
      <c r="D154" s="4">
        <v>0</v>
      </c>
      <c r="E154" s="4">
        <v>4.5504170624213187E-5</v>
      </c>
      <c r="F154" s="4"/>
      <c r="G154" s="4">
        <v>0</v>
      </c>
      <c r="H154" s="4">
        <v>0</v>
      </c>
      <c r="I154" s="4">
        <v>0</v>
      </c>
      <c r="J154" s="4">
        <v>1.3400519840463127E-4</v>
      </c>
      <c r="K154" s="4">
        <v>0</v>
      </c>
      <c r="L154" s="4">
        <v>0</v>
      </c>
      <c r="M154" s="4">
        <v>0</v>
      </c>
    </row>
    <row r="155" spans="1:13" x14ac:dyDescent="0.35">
      <c r="A155" s="27" t="s">
        <v>173</v>
      </c>
      <c r="B155" s="4">
        <v>3.2809420936190826E-4</v>
      </c>
      <c r="D155" s="4">
        <v>5.5760149646724071E-4</v>
      </c>
      <c r="E155" s="4">
        <v>1.0855594825205727E-4</v>
      </c>
      <c r="F155" s="4"/>
      <c r="G155" s="4">
        <v>0</v>
      </c>
      <c r="H155" s="4">
        <v>1.9688021663343667E-4</v>
      </c>
      <c r="I155" s="4">
        <v>0</v>
      </c>
      <c r="J155" s="4">
        <v>2.6633286678682389E-4</v>
      </c>
      <c r="K155" s="4">
        <v>5.3361412135946086E-4</v>
      </c>
      <c r="L155" s="4">
        <v>6.4730764128504662E-4</v>
      </c>
      <c r="M155" s="4">
        <v>4.4520876956058452E-4</v>
      </c>
    </row>
    <row r="156" spans="1:13" x14ac:dyDescent="0.35">
      <c r="A156" s="27" t="s">
        <v>174</v>
      </c>
      <c r="B156" s="4">
        <v>4.0436199390228182E-4</v>
      </c>
      <c r="D156" s="4">
        <v>5.9608774692513754E-4</v>
      </c>
      <c r="E156" s="4">
        <v>1.7561627829557175E-4</v>
      </c>
      <c r="F156" s="4"/>
      <c r="G156" s="4">
        <v>0</v>
      </c>
      <c r="H156" s="4">
        <v>9.1431556702395228E-4</v>
      </c>
      <c r="I156" s="4">
        <v>9.4385777268877818E-4</v>
      </c>
      <c r="J156" s="4">
        <v>4.0200569842502998E-4</v>
      </c>
      <c r="K156" s="4">
        <v>4.442196297548651E-4</v>
      </c>
      <c r="L156" s="4">
        <v>0</v>
      </c>
      <c r="M156" s="4">
        <v>0</v>
      </c>
    </row>
    <row r="157" spans="1:13" x14ac:dyDescent="0.35">
      <c r="A157" s="60" t="s">
        <v>175</v>
      </c>
      <c r="B157" s="62">
        <v>5.0717872239203557E-2</v>
      </c>
      <c r="C157" s="61"/>
      <c r="D157" s="62">
        <v>1.5901263671760531E-2</v>
      </c>
      <c r="E157" s="62">
        <v>8.4662026382419237E-2</v>
      </c>
      <c r="F157" s="62"/>
      <c r="G157" s="62">
        <v>2.5976134162890175E-2</v>
      </c>
      <c r="H157" s="62">
        <v>3.6057764418113467E-2</v>
      </c>
      <c r="I157" s="62">
        <v>6.4261423785199043E-2</v>
      </c>
      <c r="J157" s="62">
        <v>6.2841575483377418E-2</v>
      </c>
      <c r="K157" s="62">
        <v>6.1060454809548331E-2</v>
      </c>
      <c r="L157" s="62">
        <v>5.568542771402861E-2</v>
      </c>
      <c r="M157" s="62">
        <v>3.1645258267632301E-2</v>
      </c>
    </row>
    <row r="158" spans="1:13" x14ac:dyDescent="0.35">
      <c r="A158" s="43"/>
      <c r="B158" s="80" t="s">
        <v>34</v>
      </c>
      <c r="C158" s="80"/>
      <c r="D158" s="80"/>
      <c r="E158" s="80"/>
      <c r="F158" s="80"/>
      <c r="G158" s="80"/>
      <c r="H158" s="80"/>
      <c r="I158" s="80"/>
      <c r="J158" s="80"/>
      <c r="K158" s="80"/>
      <c r="L158" s="80"/>
      <c r="M158" s="80"/>
    </row>
    <row r="159" spans="1:13" x14ac:dyDescent="0.35">
      <c r="A159" s="27" t="s">
        <v>39</v>
      </c>
      <c r="B159" s="33">
        <v>16342.125301467157</v>
      </c>
      <c r="D159" s="33">
        <v>9489.5578806064768</v>
      </c>
      <c r="E159" s="33">
        <v>5805.7565074357899</v>
      </c>
      <c r="F159" s="33"/>
      <c r="G159" s="33">
        <v>0</v>
      </c>
      <c r="H159" s="33">
        <v>4711.7513376528541</v>
      </c>
      <c r="I159" s="33">
        <v>5308.6287752047656</v>
      </c>
      <c r="J159" s="33">
        <v>3793.6340791930988</v>
      </c>
      <c r="K159" s="33">
        <v>2174.5131785638546</v>
      </c>
      <c r="L159" s="33">
        <v>0</v>
      </c>
      <c r="M159" s="33">
        <v>353.5979308525857</v>
      </c>
    </row>
    <row r="160" spans="1:13" x14ac:dyDescent="0.35">
      <c r="A160" s="27" t="s">
        <v>40</v>
      </c>
      <c r="B160" s="33">
        <v>50733.781702955144</v>
      </c>
      <c r="D160" s="33">
        <v>34679.00810691504</v>
      </c>
      <c r="E160" s="33">
        <v>16054.773596040104</v>
      </c>
      <c r="F160" s="33"/>
      <c r="G160" s="33">
        <v>3556.0421473832666</v>
      </c>
      <c r="H160" s="33">
        <v>12551.981777541399</v>
      </c>
      <c r="I160" s="33">
        <v>15891.134476451445</v>
      </c>
      <c r="J160" s="33">
        <v>8371.3612949218423</v>
      </c>
      <c r="K160" s="33">
        <v>4091.7182556340604</v>
      </c>
      <c r="L160" s="33">
        <v>3601.376185927023</v>
      </c>
      <c r="M160" s="33">
        <v>2670.1675650961015</v>
      </c>
    </row>
    <row r="161" spans="1:13" x14ac:dyDescent="0.35">
      <c r="A161" s="27" t="s">
        <v>41</v>
      </c>
      <c r="B161" s="33">
        <v>40601.732016915805</v>
      </c>
      <c r="D161" s="33">
        <v>26956.078719089572</v>
      </c>
      <c r="E161" s="33">
        <v>13645.653297826235</v>
      </c>
      <c r="F161" s="33"/>
      <c r="G161" s="33">
        <v>2854.953123769279</v>
      </c>
      <c r="H161" s="33">
        <v>3982.2732894046003</v>
      </c>
      <c r="I161" s="33">
        <v>11925.108627318583</v>
      </c>
      <c r="J161" s="33">
        <v>10712.99086848447</v>
      </c>
      <c r="K161" s="33">
        <v>6423.5533384273167</v>
      </c>
      <c r="L161" s="33">
        <v>3331.7581018967549</v>
      </c>
      <c r="M161" s="33">
        <v>1371.0946676148014</v>
      </c>
    </row>
    <row r="162" spans="1:13" x14ac:dyDescent="0.35">
      <c r="A162" s="27" t="s">
        <v>42</v>
      </c>
      <c r="B162" s="33">
        <v>298311.40148679406</v>
      </c>
      <c r="D162" s="33">
        <v>192947.66930832536</v>
      </c>
      <c r="E162" s="33">
        <v>105363.73217846914</v>
      </c>
      <c r="F162" s="33"/>
      <c r="G162" s="33">
        <v>58055.529161800572</v>
      </c>
      <c r="H162" s="33">
        <v>72476.321672250095</v>
      </c>
      <c r="I162" s="33">
        <v>86808.539507701018</v>
      </c>
      <c r="J162" s="33">
        <v>41792.27812597085</v>
      </c>
      <c r="K162" s="33">
        <v>19972.387980581174</v>
      </c>
      <c r="L162" s="33">
        <v>9757.9790761623899</v>
      </c>
      <c r="M162" s="33">
        <v>9448.3659623281892</v>
      </c>
    </row>
    <row r="163" spans="1:13" x14ac:dyDescent="0.35">
      <c r="A163" s="27" t="s">
        <v>43</v>
      </c>
      <c r="B163" s="33">
        <v>547128.96805463487</v>
      </c>
      <c r="D163" s="33">
        <v>422275.06578300806</v>
      </c>
      <c r="E163" s="33">
        <v>123908.83300304555</v>
      </c>
      <c r="F163" s="33"/>
      <c r="G163" s="33">
        <v>60908.246995768641</v>
      </c>
      <c r="H163" s="33">
        <v>148853.10166258249</v>
      </c>
      <c r="I163" s="33">
        <v>193357.27054964271</v>
      </c>
      <c r="J163" s="33">
        <v>80489.248407902312</v>
      </c>
      <c r="K163" s="33">
        <v>46153.72425053722</v>
      </c>
      <c r="L163" s="33">
        <v>13812.296362216377</v>
      </c>
      <c r="M163" s="33">
        <v>3555.0798259844632</v>
      </c>
    </row>
    <row r="164" spans="1:13" x14ac:dyDescent="0.35">
      <c r="A164" s="27" t="s">
        <v>44</v>
      </c>
      <c r="B164" s="33">
        <v>426924.78946040606</v>
      </c>
      <c r="D164" s="33">
        <v>247051.91069523606</v>
      </c>
      <c r="E164" s="33">
        <v>178209.36805362097</v>
      </c>
      <c r="F164" s="33"/>
      <c r="G164" s="33">
        <v>91535.603918990921</v>
      </c>
      <c r="H164" s="33">
        <v>103743.96563310694</v>
      </c>
      <c r="I164" s="33">
        <v>120798.07624344352</v>
      </c>
      <c r="J164" s="33">
        <v>67048.191109128966</v>
      </c>
      <c r="K164" s="33">
        <v>27229.630047911953</v>
      </c>
      <c r="L164" s="33">
        <v>9494.3810061898221</v>
      </c>
      <c r="M164" s="33">
        <v>7074.9415016341245</v>
      </c>
    </row>
    <row r="165" spans="1:13" x14ac:dyDescent="0.35">
      <c r="A165" s="27" t="s">
        <v>45</v>
      </c>
      <c r="B165" s="33">
        <v>70050.49245895377</v>
      </c>
      <c r="D165" s="33">
        <v>51846.55870979985</v>
      </c>
      <c r="E165" s="33">
        <v>18203.933749153945</v>
      </c>
      <c r="F165" s="33"/>
      <c r="G165" s="33">
        <v>7219.5293381603542</v>
      </c>
      <c r="H165" s="33">
        <v>13512.186313423295</v>
      </c>
      <c r="I165" s="33">
        <v>19273.656829186999</v>
      </c>
      <c r="J165" s="33">
        <v>15365.927493401325</v>
      </c>
      <c r="K165" s="33">
        <v>12264.530321521326</v>
      </c>
      <c r="L165" s="33">
        <v>1710.5196374174484</v>
      </c>
      <c r="M165" s="33">
        <v>704.14252584304631</v>
      </c>
    </row>
    <row r="166" spans="1:13" x14ac:dyDescent="0.35">
      <c r="A166" s="27" t="s">
        <v>46</v>
      </c>
      <c r="B166" s="33">
        <v>1024359.9146129001</v>
      </c>
      <c r="D166" s="33">
        <v>758262.15446605079</v>
      </c>
      <c r="E166" s="33">
        <v>263309.55140846554</v>
      </c>
      <c r="F166" s="33"/>
      <c r="G166" s="33">
        <v>174376.14578334658</v>
      </c>
      <c r="H166" s="33">
        <v>289626.76993747574</v>
      </c>
      <c r="I166" s="33">
        <v>250822.23124615668</v>
      </c>
      <c r="J166" s="33">
        <v>187822.59528793456</v>
      </c>
      <c r="K166" s="33">
        <v>87488.48215464309</v>
      </c>
      <c r="L166" s="33">
        <v>24246.163756567672</v>
      </c>
      <c r="M166" s="33">
        <v>9977.5264467702345</v>
      </c>
    </row>
    <row r="167" spans="1:13" x14ac:dyDescent="0.35">
      <c r="A167" s="27" t="s">
        <v>47</v>
      </c>
      <c r="B167" s="33">
        <v>2672.4457599105831</v>
      </c>
      <c r="D167" s="33">
        <v>1711.0111196134376</v>
      </c>
      <c r="E167" s="33">
        <v>961.43464029714528</v>
      </c>
      <c r="F167" s="33"/>
      <c r="G167" s="33">
        <v>0</v>
      </c>
      <c r="H167" s="33">
        <v>513.43167893591385</v>
      </c>
      <c r="I167" s="33">
        <v>992.27992509194814</v>
      </c>
      <c r="J167" s="33">
        <v>0</v>
      </c>
      <c r="K167" s="33">
        <v>1166.7341558827211</v>
      </c>
      <c r="L167" s="33">
        <v>0</v>
      </c>
      <c r="M167" s="33">
        <v>0</v>
      </c>
    </row>
    <row r="168" spans="1:13" x14ac:dyDescent="0.35">
      <c r="A168" s="27" t="s">
        <v>48</v>
      </c>
      <c r="B168" s="33">
        <v>1309.1018476753338</v>
      </c>
      <c r="D168" s="33">
        <v>1309.1018476753338</v>
      </c>
      <c r="E168" s="33">
        <v>0</v>
      </c>
      <c r="F168" s="33"/>
      <c r="G168" s="33">
        <v>0</v>
      </c>
      <c r="H168" s="33">
        <v>658.6973881908491</v>
      </c>
      <c r="I168" s="33">
        <v>0</v>
      </c>
      <c r="J168" s="33">
        <v>650.40445948448473</v>
      </c>
      <c r="K168" s="33">
        <v>0</v>
      </c>
      <c r="L168" s="33">
        <v>0</v>
      </c>
      <c r="M168" s="33">
        <v>0</v>
      </c>
    </row>
    <row r="169" spans="1:13" x14ac:dyDescent="0.35">
      <c r="A169" s="27" t="s">
        <v>49</v>
      </c>
      <c r="B169" s="33">
        <v>68764.959019441245</v>
      </c>
      <c r="D169" s="33">
        <v>47119.518448386654</v>
      </c>
      <c r="E169" s="33">
        <v>21645.440571054594</v>
      </c>
      <c r="F169" s="33"/>
      <c r="G169" s="33">
        <v>4284.9519069063153</v>
      </c>
      <c r="H169" s="33">
        <v>9710.5968061540934</v>
      </c>
      <c r="I169" s="33">
        <v>19769.688006038821</v>
      </c>
      <c r="J169" s="33">
        <v>10620.523270981535</v>
      </c>
      <c r="K169" s="33">
        <v>8456.5065257166225</v>
      </c>
      <c r="L169" s="33">
        <v>8005.0055595534013</v>
      </c>
      <c r="M169" s="33">
        <v>7917.6869440904857</v>
      </c>
    </row>
    <row r="170" spans="1:13" x14ac:dyDescent="0.35">
      <c r="A170" s="27" t="s">
        <v>50</v>
      </c>
      <c r="B170" s="33">
        <v>6337.3739397418385</v>
      </c>
      <c r="D170" s="33">
        <v>3504.3736200880726</v>
      </c>
      <c r="E170" s="33">
        <v>2833.0003196537664</v>
      </c>
      <c r="F170" s="33"/>
      <c r="G170" s="33">
        <v>0</v>
      </c>
      <c r="H170" s="33">
        <v>1038.590200888942</v>
      </c>
      <c r="I170" s="33">
        <v>1015.3049920576063</v>
      </c>
      <c r="J170" s="33">
        <v>2384.0733835636042</v>
      </c>
      <c r="K170" s="33">
        <v>1899.4053632316859</v>
      </c>
      <c r="L170" s="33">
        <v>0</v>
      </c>
      <c r="M170" s="33">
        <v>0</v>
      </c>
    </row>
    <row r="171" spans="1:13" x14ac:dyDescent="0.35">
      <c r="A171" s="27" t="s">
        <v>51</v>
      </c>
      <c r="B171" s="33">
        <v>428.47308629067419</v>
      </c>
      <c r="D171" s="33">
        <v>0</v>
      </c>
      <c r="E171" s="33">
        <v>428.47308629067419</v>
      </c>
      <c r="F171" s="33"/>
      <c r="G171" s="33">
        <v>0</v>
      </c>
      <c r="H171" s="33">
        <v>0</v>
      </c>
      <c r="I171" s="33">
        <v>0</v>
      </c>
      <c r="J171" s="33">
        <v>0</v>
      </c>
      <c r="K171" s="33">
        <v>428.47308629067419</v>
      </c>
      <c r="L171" s="33">
        <v>0</v>
      </c>
      <c r="M171" s="33">
        <v>0</v>
      </c>
    </row>
    <row r="172" spans="1:13" x14ac:dyDescent="0.35">
      <c r="A172" s="27" t="s">
        <v>52</v>
      </c>
      <c r="B172" s="33">
        <v>3156.6729753942595</v>
      </c>
      <c r="D172" s="33">
        <v>1425.5811800283971</v>
      </c>
      <c r="E172" s="33">
        <v>1731.0917953658623</v>
      </c>
      <c r="F172" s="33"/>
      <c r="G172" s="33">
        <v>0</v>
      </c>
      <c r="H172" s="33">
        <v>0</v>
      </c>
      <c r="I172" s="33">
        <v>0</v>
      </c>
      <c r="J172" s="33">
        <v>1398.747552303128</v>
      </c>
      <c r="K172" s="33">
        <v>0</v>
      </c>
      <c r="L172" s="33">
        <v>1385.3410214509315</v>
      </c>
      <c r="M172" s="33">
        <v>372.58440164019981</v>
      </c>
    </row>
    <row r="173" spans="1:13" x14ac:dyDescent="0.35">
      <c r="A173" s="27" t="s">
        <v>53</v>
      </c>
      <c r="B173" s="33">
        <v>0</v>
      </c>
      <c r="D173" s="33">
        <v>0</v>
      </c>
      <c r="E173" s="33">
        <v>0</v>
      </c>
      <c r="F173" s="33"/>
      <c r="G173" s="33">
        <v>0</v>
      </c>
      <c r="H173" s="33">
        <v>0</v>
      </c>
      <c r="I173" s="33">
        <v>0</v>
      </c>
      <c r="J173" s="33">
        <v>0</v>
      </c>
      <c r="K173" s="33">
        <v>0</v>
      </c>
      <c r="L173" s="33">
        <v>0</v>
      </c>
      <c r="M173" s="33">
        <v>0</v>
      </c>
    </row>
    <row r="174" spans="1:13" x14ac:dyDescent="0.35">
      <c r="A174" s="27" t="s">
        <v>54</v>
      </c>
      <c r="B174" s="33">
        <v>9329.9697200610062</v>
      </c>
      <c r="D174" s="33">
        <v>8429.3234125234867</v>
      </c>
      <c r="E174" s="33">
        <v>900.64630753752022</v>
      </c>
      <c r="F174" s="33"/>
      <c r="G174" s="33">
        <v>0</v>
      </c>
      <c r="H174" s="33">
        <v>2487.8633654857795</v>
      </c>
      <c r="I174" s="33">
        <v>5362.8725376838483</v>
      </c>
      <c r="J174" s="33">
        <v>711.16951612918501</v>
      </c>
      <c r="K174" s="33">
        <v>0</v>
      </c>
      <c r="L174" s="33">
        <v>0</v>
      </c>
      <c r="M174" s="33">
        <v>768.06430076219374</v>
      </c>
    </row>
    <row r="175" spans="1:13" x14ac:dyDescent="0.35">
      <c r="A175" s="27" t="s">
        <v>55</v>
      </c>
      <c r="B175" s="33">
        <v>3391.55430076637</v>
      </c>
      <c r="D175" s="33">
        <v>3391.55430076637</v>
      </c>
      <c r="E175" s="33">
        <v>0</v>
      </c>
      <c r="F175" s="33"/>
      <c r="G175" s="33">
        <v>2122.6091194832097</v>
      </c>
      <c r="H175" s="33">
        <v>0</v>
      </c>
      <c r="I175" s="33">
        <v>568.09970494400807</v>
      </c>
      <c r="J175" s="33">
        <v>700.84547633915224</v>
      </c>
      <c r="K175" s="33">
        <v>0</v>
      </c>
      <c r="L175" s="33">
        <v>0</v>
      </c>
      <c r="M175" s="33">
        <v>0</v>
      </c>
    </row>
    <row r="176" spans="1:13" x14ac:dyDescent="0.35">
      <c r="A176" s="27" t="s">
        <v>56</v>
      </c>
      <c r="B176" s="33">
        <v>188845.69700710024</v>
      </c>
      <c r="D176" s="33">
        <v>123099.65989183461</v>
      </c>
      <c r="E176" s="33">
        <v>65746.037115265644</v>
      </c>
      <c r="F176" s="33"/>
      <c r="G176" s="33">
        <v>1485.9788552202485</v>
      </c>
      <c r="H176" s="33">
        <v>2293.3022176846071</v>
      </c>
      <c r="I176" s="33">
        <v>11740.157459993325</v>
      </c>
      <c r="J176" s="33">
        <v>9237.6941684372268</v>
      </c>
      <c r="K176" s="33">
        <v>14197.808984787282</v>
      </c>
      <c r="L176" s="33">
        <v>31116.019067527021</v>
      </c>
      <c r="M176" s="33">
        <v>118774.73625345055</v>
      </c>
    </row>
    <row r="177" spans="1:13" x14ac:dyDescent="0.35">
      <c r="A177" s="27" t="s">
        <v>57</v>
      </c>
      <c r="B177" s="33">
        <v>191913.13617965204</v>
      </c>
      <c r="D177" s="33">
        <v>107777.19024669702</v>
      </c>
      <c r="E177" s="33">
        <v>83241.506635344762</v>
      </c>
      <c r="F177" s="33"/>
      <c r="G177" s="33">
        <v>9906.0300805803217</v>
      </c>
      <c r="H177" s="33">
        <v>43449.856353959643</v>
      </c>
      <c r="I177" s="33">
        <v>63915.050435552614</v>
      </c>
      <c r="J177" s="33">
        <v>37323.645052340558</v>
      </c>
      <c r="K177" s="33">
        <v>24899.089386368105</v>
      </c>
      <c r="L177" s="33">
        <v>9855.1521271730708</v>
      </c>
      <c r="M177" s="33">
        <v>2564.3127436778032</v>
      </c>
    </row>
    <row r="178" spans="1:13" x14ac:dyDescent="0.35">
      <c r="A178" s="27" t="s">
        <v>58</v>
      </c>
      <c r="B178" s="33">
        <v>546.10022223218562</v>
      </c>
      <c r="D178" s="33">
        <v>0</v>
      </c>
      <c r="E178" s="33">
        <v>546.10022223218562</v>
      </c>
      <c r="F178" s="33"/>
      <c r="G178" s="33">
        <v>0</v>
      </c>
      <c r="H178" s="33">
        <v>0</v>
      </c>
      <c r="I178" s="33">
        <v>0</v>
      </c>
      <c r="J178" s="33">
        <v>546.10022223218562</v>
      </c>
      <c r="K178" s="33">
        <v>0</v>
      </c>
      <c r="L178" s="33">
        <v>0</v>
      </c>
      <c r="M178" s="33">
        <v>0</v>
      </c>
    </row>
    <row r="179" spans="1:13" x14ac:dyDescent="0.35">
      <c r="A179" s="27" t="s">
        <v>59</v>
      </c>
      <c r="B179" s="33">
        <v>3953951.835570131</v>
      </c>
      <c r="D179" s="33">
        <v>1808265.346107224</v>
      </c>
      <c r="E179" s="33">
        <v>2126762.1657784656</v>
      </c>
      <c r="F179" s="33"/>
      <c r="G179" s="33">
        <v>147390.6457331024</v>
      </c>
      <c r="H179" s="33">
        <v>429534.14290042664</v>
      </c>
      <c r="I179" s="33">
        <v>826182.5101564608</v>
      </c>
      <c r="J179" s="33">
        <v>832776.1782469633</v>
      </c>
      <c r="K179" s="33">
        <v>658177.74679707002</v>
      </c>
      <c r="L179" s="33">
        <v>604298.23048687587</v>
      </c>
      <c r="M179" s="33">
        <v>455592.38124922966</v>
      </c>
    </row>
    <row r="180" spans="1:13" x14ac:dyDescent="0.35">
      <c r="A180" s="27" t="s">
        <v>60</v>
      </c>
      <c r="B180" s="33">
        <v>81353.343184750222</v>
      </c>
      <c r="D180" s="33">
        <v>61752.403000348844</v>
      </c>
      <c r="E180" s="33">
        <v>19600.940184401385</v>
      </c>
      <c r="F180" s="33"/>
      <c r="G180" s="33">
        <v>12368.344291283887</v>
      </c>
      <c r="H180" s="33">
        <v>17042.572526295797</v>
      </c>
      <c r="I180" s="33">
        <v>21131.578993448751</v>
      </c>
      <c r="J180" s="33">
        <v>12878.921442655452</v>
      </c>
      <c r="K180" s="33">
        <v>8399.5856949151839</v>
      </c>
      <c r="L180" s="33">
        <v>5496.264219231025</v>
      </c>
      <c r="M180" s="33">
        <v>4036.0760169201203</v>
      </c>
    </row>
    <row r="181" spans="1:13" x14ac:dyDescent="0.35">
      <c r="A181" s="27" t="s">
        <v>61</v>
      </c>
      <c r="B181" s="33">
        <v>2930.0354563737533</v>
      </c>
      <c r="D181" s="33">
        <v>541.12492910961919</v>
      </c>
      <c r="E181" s="33">
        <v>2388.9105272641345</v>
      </c>
      <c r="F181" s="33"/>
      <c r="G181" s="33">
        <v>0</v>
      </c>
      <c r="H181" s="33">
        <v>682.25748570674648</v>
      </c>
      <c r="I181" s="33">
        <v>1855.2024264007005</v>
      </c>
      <c r="J181" s="33">
        <v>0</v>
      </c>
      <c r="K181" s="33">
        <v>0</v>
      </c>
      <c r="L181" s="33">
        <v>0</v>
      </c>
      <c r="M181" s="33">
        <v>392.57554426630651</v>
      </c>
    </row>
    <row r="182" spans="1:13" x14ac:dyDescent="0.35">
      <c r="A182" s="27" t="s">
        <v>62</v>
      </c>
      <c r="B182" s="33">
        <v>225559.69262959639</v>
      </c>
      <c r="D182" s="33">
        <v>114647.94733761439</v>
      </c>
      <c r="E182" s="33">
        <v>109682.53176781605</v>
      </c>
      <c r="F182" s="33"/>
      <c r="G182" s="33">
        <v>6704.813787875225</v>
      </c>
      <c r="H182" s="33">
        <v>15802.830193496817</v>
      </c>
      <c r="I182" s="33">
        <v>39568.855350557693</v>
      </c>
      <c r="J182" s="33">
        <v>43754.488326688836</v>
      </c>
      <c r="K182" s="33">
        <v>41907.261152968284</v>
      </c>
      <c r="L182" s="33">
        <v>45617.599887696633</v>
      </c>
      <c r="M182" s="33">
        <v>32203.843930312934</v>
      </c>
    </row>
    <row r="183" spans="1:13" x14ac:dyDescent="0.35">
      <c r="A183" s="27" t="s">
        <v>63</v>
      </c>
      <c r="B183" s="33">
        <v>7650.2010111612071</v>
      </c>
      <c r="D183" s="33">
        <v>1098.8212560153711</v>
      </c>
      <c r="E183" s="33">
        <v>6551.3797551458365</v>
      </c>
      <c r="F183" s="33"/>
      <c r="G183" s="33">
        <v>2074.1972019958926</v>
      </c>
      <c r="H183" s="33">
        <v>1211.2742738988441</v>
      </c>
      <c r="I183" s="33">
        <v>3348.699468437163</v>
      </c>
      <c r="J183" s="33">
        <v>1016.0300668293073</v>
      </c>
      <c r="K183" s="33">
        <v>0</v>
      </c>
      <c r="L183" s="33">
        <v>0</v>
      </c>
      <c r="M183" s="33">
        <v>0</v>
      </c>
    </row>
    <row r="184" spans="1:13" x14ac:dyDescent="0.35">
      <c r="A184" s="27" t="s">
        <v>64</v>
      </c>
      <c r="B184" s="33">
        <v>563966.81231841596</v>
      </c>
      <c r="D184" s="33">
        <v>471298.5496241136</v>
      </c>
      <c r="E184" s="33">
        <v>90997.743015784334</v>
      </c>
      <c r="F184" s="33"/>
      <c r="G184" s="33">
        <v>85087.027043783499</v>
      </c>
      <c r="H184" s="33">
        <v>119686.7811206074</v>
      </c>
      <c r="I184" s="33">
        <v>144192.06452741861</v>
      </c>
      <c r="J184" s="33">
        <v>103838.67196604352</v>
      </c>
      <c r="K184" s="33">
        <v>65828.201419308767</v>
      </c>
      <c r="L184" s="33">
        <v>30629.095283431434</v>
      </c>
      <c r="M184" s="33">
        <v>14704.97095782267</v>
      </c>
    </row>
    <row r="185" spans="1:13" x14ac:dyDescent="0.35">
      <c r="A185" s="27" t="s">
        <v>65</v>
      </c>
      <c r="B185" s="33">
        <v>20002.980669626697</v>
      </c>
      <c r="D185" s="33">
        <v>8007.4724322409547</v>
      </c>
      <c r="E185" s="33">
        <v>11995.508237385737</v>
      </c>
      <c r="F185" s="33"/>
      <c r="G185" s="33">
        <v>0</v>
      </c>
      <c r="H185" s="33">
        <v>383.15988283303466</v>
      </c>
      <c r="I185" s="33">
        <v>624.43107517123383</v>
      </c>
      <c r="J185" s="33">
        <v>535.67338587744052</v>
      </c>
      <c r="K185" s="33">
        <v>0</v>
      </c>
      <c r="L185" s="33">
        <v>1362.0973107834998</v>
      </c>
      <c r="M185" s="33">
        <v>17097.619014961481</v>
      </c>
    </row>
    <row r="186" spans="1:13" x14ac:dyDescent="0.35">
      <c r="A186" s="27" t="s">
        <v>293</v>
      </c>
      <c r="B186" s="33">
        <v>146572.646412195</v>
      </c>
      <c r="D186" s="33">
        <v>60688.000349571084</v>
      </c>
      <c r="E186" s="33">
        <v>85360.522075507077</v>
      </c>
      <c r="F186" s="33"/>
      <c r="G186" s="33">
        <v>1599.7077032558482</v>
      </c>
      <c r="H186" s="33">
        <v>12207.565187389786</v>
      </c>
      <c r="I186" s="33">
        <v>52683.390729624189</v>
      </c>
      <c r="J186" s="33">
        <v>41924.073313839486</v>
      </c>
      <c r="K186" s="33">
        <v>21176.392064988726</v>
      </c>
      <c r="L186" s="33">
        <v>12258.483087061575</v>
      </c>
      <c r="M186" s="33">
        <v>4723.0343260353766</v>
      </c>
    </row>
    <row r="187" spans="1:13" x14ac:dyDescent="0.35">
      <c r="A187" s="27" t="s">
        <v>66</v>
      </c>
      <c r="B187" s="33">
        <v>2212.8225509426516</v>
      </c>
      <c r="D187" s="33">
        <v>1197.1675089409455</v>
      </c>
      <c r="E187" s="33">
        <v>1015.6550420017059</v>
      </c>
      <c r="F187" s="33"/>
      <c r="G187" s="33">
        <v>0</v>
      </c>
      <c r="H187" s="33">
        <v>0</v>
      </c>
      <c r="I187" s="33">
        <v>0</v>
      </c>
      <c r="J187" s="33">
        <v>2212.8225509426516</v>
      </c>
      <c r="K187" s="33">
        <v>0</v>
      </c>
      <c r="L187" s="33">
        <v>0</v>
      </c>
      <c r="M187" s="33">
        <v>0</v>
      </c>
    </row>
    <row r="188" spans="1:13" x14ac:dyDescent="0.35">
      <c r="A188" s="27" t="s">
        <v>67</v>
      </c>
      <c r="B188" s="33">
        <v>1877339.2840691295</v>
      </c>
      <c r="D188" s="33">
        <v>1157189.4456526928</v>
      </c>
      <c r="E188" s="33">
        <v>714844.0511838313</v>
      </c>
      <c r="F188" s="33"/>
      <c r="G188" s="33">
        <v>67185.910694331906</v>
      </c>
      <c r="H188" s="33">
        <v>138523.45036504263</v>
      </c>
      <c r="I188" s="33">
        <v>289821.13798998331</v>
      </c>
      <c r="J188" s="33">
        <v>359517.79370217834</v>
      </c>
      <c r="K188" s="33">
        <v>387335.69521712407</v>
      </c>
      <c r="L188" s="33">
        <v>369465.89829940716</v>
      </c>
      <c r="M188" s="33">
        <v>265489.3978010696</v>
      </c>
    </row>
    <row r="189" spans="1:13" x14ac:dyDescent="0.35">
      <c r="A189" s="27" t="s">
        <v>68</v>
      </c>
      <c r="B189" s="33">
        <v>254166.28342771024</v>
      </c>
      <c r="D189" s="33">
        <v>30666.128689025601</v>
      </c>
      <c r="E189" s="33">
        <v>219106.65090684115</v>
      </c>
      <c r="F189" s="33"/>
      <c r="G189" s="33">
        <v>37428.173450228969</v>
      </c>
      <c r="H189" s="33">
        <v>63907.190807103085</v>
      </c>
      <c r="I189" s="33">
        <v>51379.569060390415</v>
      </c>
      <c r="J189" s="33">
        <v>40775.075321064956</v>
      </c>
      <c r="K189" s="33">
        <v>23436.438670760243</v>
      </c>
      <c r="L189" s="33">
        <v>20276.171750234229</v>
      </c>
      <c r="M189" s="33">
        <v>16963.664367928563</v>
      </c>
    </row>
    <row r="190" spans="1:13" x14ac:dyDescent="0.35">
      <c r="A190" s="27" t="s">
        <v>69</v>
      </c>
      <c r="B190" s="33">
        <v>368719.40242503636</v>
      </c>
      <c r="D190" s="33">
        <v>54453.893027500242</v>
      </c>
      <c r="E190" s="33">
        <v>310682.35620502476</v>
      </c>
      <c r="F190" s="33"/>
      <c r="G190" s="33">
        <v>26497.776798190753</v>
      </c>
      <c r="H190" s="33">
        <v>59923.829798729836</v>
      </c>
      <c r="I190" s="33">
        <v>77099.705754639886</v>
      </c>
      <c r="J190" s="33">
        <v>66112.369584741173</v>
      </c>
      <c r="K190" s="33">
        <v>41080.655916288837</v>
      </c>
      <c r="L190" s="33">
        <v>35122.061260732968</v>
      </c>
      <c r="M190" s="33">
        <v>62883.00331171271</v>
      </c>
    </row>
    <row r="191" spans="1:13" x14ac:dyDescent="0.35">
      <c r="A191" s="27" t="s">
        <v>70</v>
      </c>
      <c r="B191" s="33">
        <v>36751.285498240541</v>
      </c>
      <c r="D191" s="33">
        <v>23959.033911094797</v>
      </c>
      <c r="E191" s="33">
        <v>12792.251587145738</v>
      </c>
      <c r="F191" s="33"/>
      <c r="G191" s="33">
        <v>0</v>
      </c>
      <c r="H191" s="33">
        <v>6592.124256599488</v>
      </c>
      <c r="I191" s="33">
        <v>5582.7849626988909</v>
      </c>
      <c r="J191" s="33">
        <v>6364.1871555885264</v>
      </c>
      <c r="K191" s="33">
        <v>5582.9566362855485</v>
      </c>
      <c r="L191" s="33">
        <v>6516.0743563341584</v>
      </c>
      <c r="M191" s="33">
        <v>6113.1581307339202</v>
      </c>
    </row>
    <row r="192" spans="1:13" x14ac:dyDescent="0.35">
      <c r="A192" s="27" t="s">
        <v>71</v>
      </c>
      <c r="B192" s="33">
        <v>11251.904919727018</v>
      </c>
      <c r="D192" s="33">
        <v>7158.199955545585</v>
      </c>
      <c r="E192" s="33">
        <v>4093.7049641814328</v>
      </c>
      <c r="F192" s="33"/>
      <c r="G192" s="33">
        <v>0</v>
      </c>
      <c r="H192" s="33">
        <v>4682.4856334014139</v>
      </c>
      <c r="I192" s="33">
        <v>1388.8700094847964</v>
      </c>
      <c r="J192" s="33">
        <v>1677.3437690286696</v>
      </c>
      <c r="K192" s="33">
        <v>1101.565041511989</v>
      </c>
      <c r="L192" s="33">
        <v>1582.4907504386947</v>
      </c>
      <c r="M192" s="33">
        <v>819.14971586145361</v>
      </c>
    </row>
    <row r="193" spans="1:13" x14ac:dyDescent="0.35">
      <c r="A193" s="27" t="s">
        <v>72</v>
      </c>
      <c r="B193" s="33">
        <v>17375.750207335695</v>
      </c>
      <c r="D193" s="33">
        <v>8035.2216610149399</v>
      </c>
      <c r="E193" s="33">
        <v>9340.5285463207565</v>
      </c>
      <c r="F193" s="33"/>
      <c r="G193" s="33">
        <v>4961.5763468931746</v>
      </c>
      <c r="H193" s="33">
        <v>3552.0100575694732</v>
      </c>
      <c r="I193" s="33">
        <v>6542.3936858859743</v>
      </c>
      <c r="J193" s="33">
        <v>2319.7701169870734</v>
      </c>
      <c r="K193" s="33">
        <v>0</v>
      </c>
      <c r="L193" s="33">
        <v>0</v>
      </c>
      <c r="M193" s="33">
        <v>0</v>
      </c>
    </row>
    <row r="194" spans="1:13" x14ac:dyDescent="0.35">
      <c r="A194" s="27" t="s">
        <v>73</v>
      </c>
      <c r="B194" s="33">
        <v>15825.386644724007</v>
      </c>
      <c r="D194" s="33">
        <v>6475.2638554657769</v>
      </c>
      <c r="E194" s="33">
        <v>9350.1227892582283</v>
      </c>
      <c r="F194" s="33"/>
      <c r="G194" s="33">
        <v>0</v>
      </c>
      <c r="H194" s="33">
        <v>821.70724546253109</v>
      </c>
      <c r="I194" s="33">
        <v>1465.6714258190723</v>
      </c>
      <c r="J194" s="33">
        <v>2695.4447864122913</v>
      </c>
      <c r="K194" s="33">
        <v>2770.1344151583717</v>
      </c>
      <c r="L194" s="33">
        <v>4591.9772400558195</v>
      </c>
      <c r="M194" s="33">
        <v>3480.4515318159197</v>
      </c>
    </row>
    <row r="195" spans="1:13" x14ac:dyDescent="0.35">
      <c r="A195" s="27" t="s">
        <v>74</v>
      </c>
      <c r="B195" s="33">
        <v>6103.5668653203384</v>
      </c>
      <c r="D195" s="33">
        <v>3328.9368563640874</v>
      </c>
      <c r="E195" s="33">
        <v>2774.630008956251</v>
      </c>
      <c r="F195" s="33"/>
      <c r="G195" s="33">
        <v>0</v>
      </c>
      <c r="H195" s="33">
        <v>2104.3166301089677</v>
      </c>
      <c r="I195" s="33">
        <v>1732.5634259990184</v>
      </c>
      <c r="J195" s="33">
        <v>0</v>
      </c>
      <c r="K195" s="33">
        <v>359.80909725048582</v>
      </c>
      <c r="L195" s="33">
        <v>641.17586230640063</v>
      </c>
      <c r="M195" s="33">
        <v>1265.7018496554656</v>
      </c>
    </row>
    <row r="196" spans="1:13" x14ac:dyDescent="0.35">
      <c r="A196" s="27" t="s">
        <v>75</v>
      </c>
      <c r="B196" s="33">
        <v>99948.776785264286</v>
      </c>
      <c r="D196" s="33">
        <v>15591.40747698208</v>
      </c>
      <c r="E196" s="33">
        <v>84357.369308282199</v>
      </c>
      <c r="F196" s="33"/>
      <c r="G196" s="33">
        <v>5508.2177894122897</v>
      </c>
      <c r="H196" s="33">
        <v>16906.605666416577</v>
      </c>
      <c r="I196" s="33">
        <v>23319.887887864148</v>
      </c>
      <c r="J196" s="33">
        <v>17275.904569081002</v>
      </c>
      <c r="K196" s="33">
        <v>13740.723326716809</v>
      </c>
      <c r="L196" s="33">
        <v>18292.025409033544</v>
      </c>
      <c r="M196" s="33">
        <v>4905.4121367399202</v>
      </c>
    </row>
    <row r="197" spans="1:13" x14ac:dyDescent="0.35">
      <c r="A197" s="27" t="s">
        <v>76</v>
      </c>
      <c r="B197" s="33">
        <v>47703.712679870827</v>
      </c>
      <c r="D197" s="33">
        <v>35958.716493548724</v>
      </c>
      <c r="E197" s="33">
        <v>10217.201713085629</v>
      </c>
      <c r="F197" s="33"/>
      <c r="G197" s="33">
        <v>1343.6346201737902</v>
      </c>
      <c r="H197" s="33">
        <v>18227.045851337243</v>
      </c>
      <c r="I197" s="33">
        <v>16118.434175098217</v>
      </c>
      <c r="J197" s="33">
        <v>6637.4917828528487</v>
      </c>
      <c r="K197" s="33">
        <v>3648.4812462848618</v>
      </c>
      <c r="L197" s="33">
        <v>1351.6566918877281</v>
      </c>
      <c r="M197" s="33">
        <v>376.96831223613503</v>
      </c>
    </row>
    <row r="198" spans="1:13" x14ac:dyDescent="0.35">
      <c r="A198" s="27" t="s">
        <v>77</v>
      </c>
      <c r="B198" s="33">
        <v>10274.558394336642</v>
      </c>
      <c r="D198" s="33">
        <v>5687.1176090923336</v>
      </c>
      <c r="E198" s="33">
        <v>4587.4407852443073</v>
      </c>
      <c r="F198" s="33"/>
      <c r="G198" s="33">
        <v>1462.1417627186759</v>
      </c>
      <c r="H198" s="33">
        <v>3914.679973219384</v>
      </c>
      <c r="I198" s="33">
        <v>2442.6124106916222</v>
      </c>
      <c r="J198" s="33">
        <v>0</v>
      </c>
      <c r="K198" s="33">
        <v>1705.9125088266437</v>
      </c>
      <c r="L198" s="33">
        <v>0</v>
      </c>
      <c r="M198" s="33">
        <v>749.21173888031535</v>
      </c>
    </row>
    <row r="199" spans="1:13" x14ac:dyDescent="0.35">
      <c r="A199" s="27" t="s">
        <v>78</v>
      </c>
      <c r="B199" s="33">
        <v>242243.53017535846</v>
      </c>
      <c r="D199" s="33">
        <v>187936.76932881877</v>
      </c>
      <c r="E199" s="33">
        <v>53300.600322097816</v>
      </c>
      <c r="F199" s="33"/>
      <c r="G199" s="33">
        <v>10836.466761493763</v>
      </c>
      <c r="H199" s="33">
        <v>16447.764334872587</v>
      </c>
      <c r="I199" s="33">
        <v>37709.460205061805</v>
      </c>
      <c r="J199" s="33">
        <v>37428.123190375176</v>
      </c>
      <c r="K199" s="33">
        <v>48090.285917663648</v>
      </c>
      <c r="L199" s="33">
        <v>48008.241215924769</v>
      </c>
      <c r="M199" s="33">
        <v>43723.188549966777</v>
      </c>
    </row>
    <row r="200" spans="1:13" x14ac:dyDescent="0.35">
      <c r="A200" s="27" t="s">
        <v>79</v>
      </c>
      <c r="B200" s="33">
        <v>7719043.1044457396</v>
      </c>
      <c r="D200" s="33">
        <v>3671867.1363134426</v>
      </c>
      <c r="E200" s="33">
        <v>4010869.5425957618</v>
      </c>
      <c r="F200" s="33"/>
      <c r="G200" s="33">
        <v>376651.69993657985</v>
      </c>
      <c r="H200" s="33">
        <v>1076583.1519065942</v>
      </c>
      <c r="I200" s="33">
        <v>1711889.8915157383</v>
      </c>
      <c r="J200" s="33">
        <v>1413027.1840679673</v>
      </c>
      <c r="K200" s="33">
        <v>1100531.2598000562</v>
      </c>
      <c r="L200" s="33">
        <v>912668.52314764727</v>
      </c>
      <c r="M200" s="33">
        <v>1127691.394070996</v>
      </c>
    </row>
    <row r="201" spans="1:13" x14ac:dyDescent="0.35">
      <c r="A201" s="27" t="s">
        <v>80</v>
      </c>
      <c r="B201" s="33">
        <v>6394.8003928226799</v>
      </c>
      <c r="D201" s="33">
        <v>3088.5255392464442</v>
      </c>
      <c r="E201" s="33">
        <v>3306.2748535762366</v>
      </c>
      <c r="F201" s="33"/>
      <c r="G201" s="33">
        <v>1666.0442522215446</v>
      </c>
      <c r="H201" s="33">
        <v>1310.7469338201902</v>
      </c>
      <c r="I201" s="33">
        <v>1841.3470736882869</v>
      </c>
      <c r="J201" s="33">
        <v>1576.6621330926587</v>
      </c>
      <c r="K201" s="33">
        <v>0</v>
      </c>
      <c r="L201" s="33">
        <v>0</v>
      </c>
      <c r="M201" s="33">
        <v>0</v>
      </c>
    </row>
    <row r="202" spans="1:13" x14ac:dyDescent="0.35">
      <c r="A202" s="27" t="s">
        <v>81</v>
      </c>
      <c r="B202" s="33">
        <v>56341.716334573619</v>
      </c>
      <c r="D202" s="33">
        <v>32434.386281817031</v>
      </c>
      <c r="E202" s="33">
        <v>23422.545710423918</v>
      </c>
      <c r="F202" s="33"/>
      <c r="G202" s="33">
        <v>6845.7294152363993</v>
      </c>
      <c r="H202" s="33">
        <v>17301.326744192</v>
      </c>
      <c r="I202" s="33">
        <v>14529.467500347477</v>
      </c>
      <c r="J202" s="33">
        <v>7734.0422363594898</v>
      </c>
      <c r="K202" s="33">
        <v>5782.8220883007962</v>
      </c>
      <c r="L202" s="33">
        <v>3066.6766133609276</v>
      </c>
      <c r="M202" s="33">
        <v>1081.651736776533</v>
      </c>
    </row>
    <row r="203" spans="1:13" x14ac:dyDescent="0.35">
      <c r="A203" s="27" t="s">
        <v>82</v>
      </c>
      <c r="B203" s="33">
        <v>1273027.2275499934</v>
      </c>
      <c r="D203" s="33">
        <v>984042.92186377081</v>
      </c>
      <c r="E203" s="33">
        <v>285764.84838008869</v>
      </c>
      <c r="F203" s="33"/>
      <c r="G203" s="33">
        <v>171712.53537548528</v>
      </c>
      <c r="H203" s="33">
        <v>305475.19795635465</v>
      </c>
      <c r="I203" s="33">
        <v>380739.78101859591</v>
      </c>
      <c r="J203" s="33">
        <v>269541.24947210512</v>
      </c>
      <c r="K203" s="33">
        <v>109556.31913924302</v>
      </c>
      <c r="L203" s="33">
        <v>29506.293857109922</v>
      </c>
      <c r="M203" s="33">
        <v>6495.8507310997629</v>
      </c>
    </row>
    <row r="204" spans="1:13" x14ac:dyDescent="0.35">
      <c r="A204" s="27" t="s">
        <v>83</v>
      </c>
      <c r="B204" s="33">
        <v>14208.060553823427</v>
      </c>
      <c r="D204" s="33">
        <v>11058.52813642293</v>
      </c>
      <c r="E204" s="33">
        <v>3149.5324174004954</v>
      </c>
      <c r="F204" s="33"/>
      <c r="G204" s="33">
        <v>0</v>
      </c>
      <c r="H204" s="33">
        <v>2616.6585102684107</v>
      </c>
      <c r="I204" s="33">
        <v>8633.8914393767973</v>
      </c>
      <c r="J204" s="33">
        <v>1173.1717366687189</v>
      </c>
      <c r="K204" s="33">
        <v>1784.3388675094984</v>
      </c>
      <c r="L204" s="33">
        <v>0</v>
      </c>
      <c r="M204" s="33">
        <v>0</v>
      </c>
    </row>
    <row r="205" spans="1:13" x14ac:dyDescent="0.35">
      <c r="A205" s="27" t="s">
        <v>84</v>
      </c>
      <c r="B205" s="33">
        <v>7282.2712343144194</v>
      </c>
      <c r="D205" s="33">
        <v>3929.3955371313309</v>
      </c>
      <c r="E205" s="33">
        <v>2838.7910662230042</v>
      </c>
      <c r="F205" s="33"/>
      <c r="G205" s="33">
        <v>0</v>
      </c>
      <c r="H205" s="33">
        <v>569.74368758075184</v>
      </c>
      <c r="I205" s="33">
        <v>607.94696665144022</v>
      </c>
      <c r="J205" s="33">
        <v>2693.9449653301235</v>
      </c>
      <c r="K205" s="33">
        <v>1033.7237850386014</v>
      </c>
      <c r="L205" s="33">
        <v>1578.4204102441565</v>
      </c>
      <c r="M205" s="33">
        <v>798.49141946934492</v>
      </c>
    </row>
    <row r="206" spans="1:13" x14ac:dyDescent="0.35">
      <c r="A206" s="27" t="s">
        <v>85</v>
      </c>
      <c r="B206" s="33">
        <v>2292.1195311279066</v>
      </c>
      <c r="D206" s="33">
        <v>2292.1195311279066</v>
      </c>
      <c r="E206" s="33">
        <v>0</v>
      </c>
      <c r="F206" s="33"/>
      <c r="G206" s="33">
        <v>1686.4206408888419</v>
      </c>
      <c r="H206" s="33">
        <v>0</v>
      </c>
      <c r="I206" s="33">
        <v>0</v>
      </c>
      <c r="J206" s="33">
        <v>605.69889023906455</v>
      </c>
      <c r="K206" s="33">
        <v>0</v>
      </c>
      <c r="L206" s="33">
        <v>0</v>
      </c>
      <c r="M206" s="33">
        <v>0</v>
      </c>
    </row>
    <row r="207" spans="1:13" x14ac:dyDescent="0.35">
      <c r="A207" s="27" t="s">
        <v>86</v>
      </c>
      <c r="B207" s="33">
        <v>1032837.9602148626</v>
      </c>
      <c r="D207" s="33">
        <v>838038.65951886401</v>
      </c>
      <c r="E207" s="33">
        <v>192722.89387174026</v>
      </c>
      <c r="F207" s="33"/>
      <c r="G207" s="33">
        <v>23973.469619565833</v>
      </c>
      <c r="H207" s="33">
        <v>68388.734718772874</v>
      </c>
      <c r="I207" s="33">
        <v>144009.01182255388</v>
      </c>
      <c r="J207" s="33">
        <v>132130.09897042846</v>
      </c>
      <c r="K207" s="33">
        <v>161539.05793138198</v>
      </c>
      <c r="L207" s="33">
        <v>212955.91726942899</v>
      </c>
      <c r="M207" s="33">
        <v>289841.66988272901</v>
      </c>
    </row>
    <row r="208" spans="1:13" x14ac:dyDescent="0.35">
      <c r="A208" s="27" t="s">
        <v>87</v>
      </c>
      <c r="B208" s="33">
        <v>10298.358044650153</v>
      </c>
      <c r="D208" s="33">
        <v>8087.6253396245747</v>
      </c>
      <c r="E208" s="33">
        <v>2210.7327050255781</v>
      </c>
      <c r="F208" s="33"/>
      <c r="G208" s="33">
        <v>2663.7185442333839</v>
      </c>
      <c r="H208" s="33">
        <v>3512.8492547836622</v>
      </c>
      <c r="I208" s="33">
        <v>1821.2222477336859</v>
      </c>
      <c r="J208" s="33">
        <v>1152.1183480892892</v>
      </c>
      <c r="K208" s="33">
        <v>691.52999417724016</v>
      </c>
      <c r="L208" s="33">
        <v>456.91965563288994</v>
      </c>
      <c r="M208" s="33">
        <v>0</v>
      </c>
    </row>
    <row r="209" spans="1:13" x14ac:dyDescent="0.35">
      <c r="A209" s="27" t="s">
        <v>88</v>
      </c>
      <c r="B209" s="33">
        <v>943.88468104323374</v>
      </c>
      <c r="D209" s="33">
        <v>0</v>
      </c>
      <c r="E209" s="33">
        <v>943.88468104323374</v>
      </c>
      <c r="F209" s="33"/>
      <c r="G209" s="33">
        <v>0</v>
      </c>
      <c r="H209" s="33">
        <v>0</v>
      </c>
      <c r="I209" s="33">
        <v>348.37584586572149</v>
      </c>
      <c r="J209" s="33">
        <v>595.5088351775122</v>
      </c>
      <c r="K209" s="33">
        <v>0</v>
      </c>
      <c r="L209" s="33">
        <v>0</v>
      </c>
      <c r="M209" s="33">
        <v>0</v>
      </c>
    </row>
    <row r="210" spans="1:13" x14ac:dyDescent="0.35">
      <c r="A210" s="27" t="s">
        <v>89</v>
      </c>
      <c r="B210" s="33">
        <v>122130.7834552229</v>
      </c>
      <c r="D210" s="33">
        <v>36845.399717678563</v>
      </c>
      <c r="E210" s="33">
        <v>84809.194098891719</v>
      </c>
      <c r="F210" s="33"/>
      <c r="G210" s="33">
        <v>25228.218249886348</v>
      </c>
      <c r="H210" s="33">
        <v>26179.539406574513</v>
      </c>
      <c r="I210" s="33">
        <v>29534.789859948578</v>
      </c>
      <c r="J210" s="33">
        <v>26899.226873680484</v>
      </c>
      <c r="K210" s="33">
        <v>5091.3383796773769</v>
      </c>
      <c r="L210" s="33">
        <v>4935.9574852294418</v>
      </c>
      <c r="M210" s="33">
        <v>4261.713200226076</v>
      </c>
    </row>
    <row r="211" spans="1:13" x14ac:dyDescent="0.35">
      <c r="A211" s="27" t="s">
        <v>90</v>
      </c>
      <c r="B211" s="33">
        <v>25910.568401546268</v>
      </c>
      <c r="D211" s="33">
        <v>12600.038626005062</v>
      </c>
      <c r="E211" s="33">
        <v>13310.529775541212</v>
      </c>
      <c r="F211" s="33"/>
      <c r="G211" s="33">
        <v>11269.613911505328</v>
      </c>
      <c r="H211" s="33">
        <v>5295.1593833282213</v>
      </c>
      <c r="I211" s="33">
        <v>6665.9773990992953</v>
      </c>
      <c r="J211" s="33">
        <v>1165.1254491190159</v>
      </c>
      <c r="K211" s="33">
        <v>1141.266000757827</v>
      </c>
      <c r="L211" s="33">
        <v>373.42625773658557</v>
      </c>
      <c r="M211" s="33">
        <v>0</v>
      </c>
    </row>
    <row r="212" spans="1:13" x14ac:dyDescent="0.35">
      <c r="A212" s="27" t="s">
        <v>91</v>
      </c>
      <c r="B212" s="33">
        <v>2410.3900657904605</v>
      </c>
      <c r="D212" s="33">
        <v>2410.3900657904605</v>
      </c>
      <c r="E212" s="33">
        <v>0</v>
      </c>
      <c r="F212" s="33"/>
      <c r="G212" s="33">
        <v>0</v>
      </c>
      <c r="H212" s="33">
        <v>560.80158686892753</v>
      </c>
      <c r="I212" s="33">
        <v>0</v>
      </c>
      <c r="J212" s="33">
        <v>535.76229204580602</v>
      </c>
      <c r="K212" s="33">
        <v>1101.4480493203282</v>
      </c>
      <c r="L212" s="33">
        <v>0</v>
      </c>
      <c r="M212" s="33">
        <v>212.37813755539887</v>
      </c>
    </row>
    <row r="213" spans="1:13" x14ac:dyDescent="0.35">
      <c r="A213" s="27" t="s">
        <v>92</v>
      </c>
      <c r="B213" s="33">
        <v>115927.61554517107</v>
      </c>
      <c r="D213" s="33">
        <v>56240.978295521876</v>
      </c>
      <c r="E213" s="33">
        <v>59686.63724964916</v>
      </c>
      <c r="F213" s="33"/>
      <c r="G213" s="33">
        <v>16443.195006395938</v>
      </c>
      <c r="H213" s="33">
        <v>24408.94005363647</v>
      </c>
      <c r="I213" s="33">
        <v>23786.430446836486</v>
      </c>
      <c r="J213" s="33">
        <v>24548.018805396136</v>
      </c>
      <c r="K213" s="33">
        <v>15028.278132717711</v>
      </c>
      <c r="L213" s="33">
        <v>8267.9920369471693</v>
      </c>
      <c r="M213" s="33">
        <v>3444.761063241127</v>
      </c>
    </row>
    <row r="214" spans="1:13" x14ac:dyDescent="0.35">
      <c r="A214" s="27" t="s">
        <v>93</v>
      </c>
      <c r="B214" s="33">
        <v>5531.792043782415</v>
      </c>
      <c r="D214" s="33">
        <v>4165.4273095129074</v>
      </c>
      <c r="E214" s="33">
        <v>1366.3647342695085</v>
      </c>
      <c r="F214" s="33"/>
      <c r="G214" s="33">
        <v>0</v>
      </c>
      <c r="H214" s="33">
        <v>862.59928721439451</v>
      </c>
      <c r="I214" s="33">
        <v>2157.2345476372911</v>
      </c>
      <c r="J214" s="33">
        <v>523.71174488327267</v>
      </c>
      <c r="K214" s="33">
        <v>1640.2434796306097</v>
      </c>
      <c r="L214" s="33">
        <v>0</v>
      </c>
      <c r="M214" s="33">
        <v>348.00298441684737</v>
      </c>
    </row>
    <row r="215" spans="1:13" x14ac:dyDescent="0.35">
      <c r="A215" s="27" t="s">
        <v>94</v>
      </c>
      <c r="B215" s="33">
        <v>13712.251866068897</v>
      </c>
      <c r="D215" s="33">
        <v>8678.541212297283</v>
      </c>
      <c r="E215" s="33">
        <v>5033.7106537716136</v>
      </c>
      <c r="F215" s="33"/>
      <c r="G215" s="33">
        <v>3467.1849880711206</v>
      </c>
      <c r="H215" s="33">
        <v>2839.6151569428393</v>
      </c>
      <c r="I215" s="33">
        <v>1663.9401811386747</v>
      </c>
      <c r="J215" s="33">
        <v>3702.793196946589</v>
      </c>
      <c r="K215" s="33">
        <v>1576.0729241083909</v>
      </c>
      <c r="L215" s="33">
        <v>462.64541886128205</v>
      </c>
      <c r="M215" s="33">
        <v>0</v>
      </c>
    </row>
    <row r="216" spans="1:13" x14ac:dyDescent="0.35">
      <c r="A216" s="27" t="s">
        <v>95</v>
      </c>
      <c r="B216" s="33">
        <v>1548.583655450178</v>
      </c>
      <c r="D216" s="33">
        <v>1092.5939666936526</v>
      </c>
      <c r="E216" s="33">
        <v>455.9896887565252</v>
      </c>
      <c r="F216" s="33"/>
      <c r="G216" s="33">
        <v>0</v>
      </c>
      <c r="H216" s="33">
        <v>560.80158686892753</v>
      </c>
      <c r="I216" s="33">
        <v>0</v>
      </c>
      <c r="J216" s="33">
        <v>0</v>
      </c>
      <c r="K216" s="33">
        <v>987.78206858125031</v>
      </c>
      <c r="L216" s="33">
        <v>0</v>
      </c>
      <c r="M216" s="33">
        <v>0</v>
      </c>
    </row>
    <row r="217" spans="1:13" x14ac:dyDescent="0.35">
      <c r="A217" s="27" t="s">
        <v>96</v>
      </c>
      <c r="B217" s="33">
        <v>48383.616234523281</v>
      </c>
      <c r="D217" s="33">
        <v>11426.522335020973</v>
      </c>
      <c r="E217" s="33">
        <v>35847.874595838395</v>
      </c>
      <c r="F217" s="33"/>
      <c r="G217" s="33">
        <v>16765.386062298017</v>
      </c>
      <c r="H217" s="33">
        <v>9643.5421886903259</v>
      </c>
      <c r="I217" s="33">
        <v>9474.7453469608263</v>
      </c>
      <c r="J217" s="33">
        <v>6617.0221227043839</v>
      </c>
      <c r="K217" s="33">
        <v>3757.944613428203</v>
      </c>
      <c r="L217" s="33">
        <v>2124.9759004415455</v>
      </c>
      <c r="M217" s="33">
        <v>0</v>
      </c>
    </row>
    <row r="218" spans="1:13" x14ac:dyDescent="0.35">
      <c r="A218" s="27" t="s">
        <v>97</v>
      </c>
      <c r="B218" s="33">
        <v>15234.042015260569</v>
      </c>
      <c r="D218" s="33">
        <v>12320.459508164337</v>
      </c>
      <c r="E218" s="33">
        <v>2913.5825070962346</v>
      </c>
      <c r="F218" s="33"/>
      <c r="G218" s="33">
        <v>0</v>
      </c>
      <c r="H218" s="33">
        <v>1818.3472369929555</v>
      </c>
      <c r="I218" s="33">
        <v>2497.8269456617932</v>
      </c>
      <c r="J218" s="33">
        <v>4075.7315282310037</v>
      </c>
      <c r="K218" s="33">
        <v>2400.8234990819051</v>
      </c>
      <c r="L218" s="33">
        <v>3678.8959619669386</v>
      </c>
      <c r="M218" s="33">
        <v>762.41684332597129</v>
      </c>
    </row>
    <row r="219" spans="1:13" x14ac:dyDescent="0.35">
      <c r="A219" s="27" t="s">
        <v>98</v>
      </c>
      <c r="B219" s="33">
        <v>15025.835246870585</v>
      </c>
      <c r="D219" s="33">
        <v>5783.8545503502401</v>
      </c>
      <c r="E219" s="33">
        <v>9241.9806965203516</v>
      </c>
      <c r="F219" s="33"/>
      <c r="G219" s="33">
        <v>4989.2408021754973</v>
      </c>
      <c r="H219" s="33">
        <v>2925.2188591062854</v>
      </c>
      <c r="I219" s="33">
        <v>3427.0885305030752</v>
      </c>
      <c r="J219" s="33">
        <v>1211.529228255094</v>
      </c>
      <c r="K219" s="33">
        <v>1536.072919892682</v>
      </c>
      <c r="L219" s="33">
        <v>553.56389592853839</v>
      </c>
      <c r="M219" s="33">
        <v>383.12101100941817</v>
      </c>
    </row>
    <row r="220" spans="1:13" x14ac:dyDescent="0.35">
      <c r="A220" s="27" t="s">
        <v>99</v>
      </c>
      <c r="B220" s="33">
        <v>38589.669358953921</v>
      </c>
      <c r="D220" s="33">
        <v>31490.077346570379</v>
      </c>
      <c r="E220" s="33">
        <v>7099.5920123835467</v>
      </c>
      <c r="F220" s="33"/>
      <c r="G220" s="33">
        <v>3799.7781071551271</v>
      </c>
      <c r="H220" s="33">
        <v>6118.3626747903272</v>
      </c>
      <c r="I220" s="33">
        <v>11976.722800249616</v>
      </c>
      <c r="J220" s="33">
        <v>12964.545912018522</v>
      </c>
      <c r="K220" s="33">
        <v>2937.1419097011712</v>
      </c>
      <c r="L220" s="33">
        <v>463.2067196087113</v>
      </c>
      <c r="M220" s="33">
        <v>329.91123543044199</v>
      </c>
    </row>
    <row r="221" spans="1:13" x14ac:dyDescent="0.35">
      <c r="A221" s="27" t="s">
        <v>100</v>
      </c>
      <c r="B221" s="33">
        <v>42201.474526490514</v>
      </c>
      <c r="D221" s="33">
        <v>26280.384862870636</v>
      </c>
      <c r="E221" s="33">
        <v>15921.089663619878</v>
      </c>
      <c r="F221" s="33"/>
      <c r="G221" s="33">
        <v>4217.777117598167</v>
      </c>
      <c r="H221" s="33">
        <v>10679.866320195793</v>
      </c>
      <c r="I221" s="33">
        <v>3960.9256251248207</v>
      </c>
      <c r="J221" s="33">
        <v>10959.769951796688</v>
      </c>
      <c r="K221" s="33">
        <v>4195.4111677417659</v>
      </c>
      <c r="L221" s="33">
        <v>5119.0677137776538</v>
      </c>
      <c r="M221" s="33">
        <v>3068.6566302556207</v>
      </c>
    </row>
    <row r="222" spans="1:13" x14ac:dyDescent="0.35">
      <c r="A222" s="27" t="s">
        <v>101</v>
      </c>
      <c r="B222" s="33">
        <v>6759.2834554439996</v>
      </c>
      <c r="D222" s="33">
        <v>5194.4525801849695</v>
      </c>
      <c r="E222" s="33">
        <v>1564.8308752590294</v>
      </c>
      <c r="F222" s="33"/>
      <c r="G222" s="33">
        <v>1259.3393337517546</v>
      </c>
      <c r="H222" s="33">
        <v>1342.4352682777153</v>
      </c>
      <c r="I222" s="33">
        <v>1548.2757344094221</v>
      </c>
      <c r="J222" s="33">
        <v>1067.0633900758116</v>
      </c>
      <c r="K222" s="33">
        <v>1112.591117961136</v>
      </c>
      <c r="L222" s="33">
        <v>429.57861096815924</v>
      </c>
      <c r="M222" s="33">
        <v>0</v>
      </c>
    </row>
    <row r="223" spans="1:13" x14ac:dyDescent="0.35">
      <c r="A223" s="27" t="s">
        <v>102</v>
      </c>
      <c r="B223" s="33">
        <v>2987.2371026396481</v>
      </c>
      <c r="D223" s="33">
        <v>2347.0332166675189</v>
      </c>
      <c r="E223" s="33">
        <v>640.20388597212923</v>
      </c>
      <c r="F223" s="33"/>
      <c r="G223" s="33">
        <v>0</v>
      </c>
      <c r="H223" s="33">
        <v>0</v>
      </c>
      <c r="I223" s="33">
        <v>0</v>
      </c>
      <c r="J223" s="33">
        <v>977.05936161179829</v>
      </c>
      <c r="K223" s="33">
        <v>1168.8108888122356</v>
      </c>
      <c r="L223" s="33">
        <v>841.36685221561413</v>
      </c>
      <c r="M223" s="33">
        <v>0</v>
      </c>
    </row>
    <row r="224" spans="1:13" x14ac:dyDescent="0.35">
      <c r="A224" s="27" t="s">
        <v>103</v>
      </c>
      <c r="B224" s="33">
        <v>1166.2346233254757</v>
      </c>
      <c r="D224" s="33">
        <v>594.82954182102674</v>
      </c>
      <c r="E224" s="33">
        <v>571.40508150444884</v>
      </c>
      <c r="F224" s="33"/>
      <c r="G224" s="33">
        <v>0</v>
      </c>
      <c r="H224" s="33">
        <v>0</v>
      </c>
      <c r="I224" s="33">
        <v>1166.2346233254757</v>
      </c>
      <c r="J224" s="33">
        <v>0</v>
      </c>
      <c r="K224" s="33">
        <v>0</v>
      </c>
      <c r="L224" s="33">
        <v>0</v>
      </c>
      <c r="M224" s="33">
        <v>0</v>
      </c>
    </row>
    <row r="225" spans="1:13" x14ac:dyDescent="0.35">
      <c r="A225" s="27" t="s">
        <v>104</v>
      </c>
      <c r="B225" s="33">
        <v>2099.2915055699568</v>
      </c>
      <c r="D225" s="33">
        <v>974.30327726515702</v>
      </c>
      <c r="E225" s="33">
        <v>1124.9882283047996</v>
      </c>
      <c r="F225" s="33"/>
      <c r="G225" s="33">
        <v>0</v>
      </c>
      <c r="H225" s="33">
        <v>484.78434233267041</v>
      </c>
      <c r="I225" s="33">
        <v>0</v>
      </c>
      <c r="J225" s="33">
        <v>0</v>
      </c>
      <c r="K225" s="33">
        <v>1162.1548595986189</v>
      </c>
      <c r="L225" s="33">
        <v>452.35230363866725</v>
      </c>
      <c r="M225" s="33">
        <v>0</v>
      </c>
    </row>
    <row r="226" spans="1:13" x14ac:dyDescent="0.35">
      <c r="A226" s="27" t="s">
        <v>105</v>
      </c>
      <c r="B226" s="33">
        <v>6842.8694603195245</v>
      </c>
      <c r="D226" s="33">
        <v>2781.9596699869203</v>
      </c>
      <c r="E226" s="33">
        <v>4060.9097903326028</v>
      </c>
      <c r="F226" s="33"/>
      <c r="G226" s="33">
        <v>2074.1972019958926</v>
      </c>
      <c r="H226" s="33">
        <v>1833.5577598260591</v>
      </c>
      <c r="I226" s="33">
        <v>942.45598753830154</v>
      </c>
      <c r="J226" s="33">
        <v>576.37949662448739</v>
      </c>
      <c r="K226" s="33">
        <v>924.19110592372317</v>
      </c>
      <c r="L226" s="33">
        <v>492.0879084110598</v>
      </c>
      <c r="M226" s="33">
        <v>0</v>
      </c>
    </row>
    <row r="227" spans="1:13" x14ac:dyDescent="0.35">
      <c r="A227" s="27" t="s">
        <v>106</v>
      </c>
      <c r="B227" s="33">
        <v>1168.0607173908425</v>
      </c>
      <c r="D227" s="33">
        <v>1168.0607173908425</v>
      </c>
      <c r="E227" s="33">
        <v>0</v>
      </c>
      <c r="F227" s="33"/>
      <c r="G227" s="33">
        <v>0</v>
      </c>
      <c r="H227" s="33">
        <v>573.2311755698156</v>
      </c>
      <c r="I227" s="33">
        <v>594.82954182102674</v>
      </c>
      <c r="J227" s="33">
        <v>0</v>
      </c>
      <c r="K227" s="33">
        <v>0</v>
      </c>
      <c r="L227" s="33">
        <v>0</v>
      </c>
      <c r="M227" s="33">
        <v>0</v>
      </c>
    </row>
    <row r="228" spans="1:13" x14ac:dyDescent="0.35">
      <c r="A228" s="27" t="s">
        <v>107</v>
      </c>
      <c r="B228" s="33">
        <v>29391.17755958228</v>
      </c>
      <c r="D228" s="33">
        <v>21981.154764786752</v>
      </c>
      <c r="E228" s="33">
        <v>7410.0227947955282</v>
      </c>
      <c r="F228" s="33"/>
      <c r="G228" s="33">
        <v>4987.3148967120524</v>
      </c>
      <c r="H228" s="33">
        <v>2608.2694042432686</v>
      </c>
      <c r="I228" s="33">
        <v>3893.4164941727427</v>
      </c>
      <c r="J228" s="33">
        <v>5940.769919373939</v>
      </c>
      <c r="K228" s="33">
        <v>4666.6132175309185</v>
      </c>
      <c r="L228" s="33">
        <v>5197.9601644997329</v>
      </c>
      <c r="M228" s="33">
        <v>2096.8334630496311</v>
      </c>
    </row>
    <row r="229" spans="1:13" x14ac:dyDescent="0.35">
      <c r="A229" s="27" t="s">
        <v>108</v>
      </c>
      <c r="B229" s="33">
        <v>0</v>
      </c>
      <c r="D229" s="33">
        <v>0</v>
      </c>
      <c r="E229" s="33">
        <v>0</v>
      </c>
      <c r="F229" s="33"/>
      <c r="G229" s="33">
        <v>0</v>
      </c>
      <c r="H229" s="33">
        <v>0</v>
      </c>
      <c r="I229" s="33">
        <v>0</v>
      </c>
      <c r="J229" s="33">
        <v>0</v>
      </c>
      <c r="K229" s="33">
        <v>0</v>
      </c>
      <c r="L229" s="33">
        <v>0</v>
      </c>
      <c r="M229" s="33">
        <v>0</v>
      </c>
    </row>
    <row r="230" spans="1:13" x14ac:dyDescent="0.35">
      <c r="A230" s="27" t="s">
        <v>109</v>
      </c>
      <c r="B230" s="33">
        <v>2669.038050837516</v>
      </c>
      <c r="D230" s="33">
        <v>1620.5264194561023</v>
      </c>
      <c r="E230" s="33">
        <v>1048.5116313814137</v>
      </c>
      <c r="F230" s="33"/>
      <c r="G230" s="33">
        <v>0</v>
      </c>
      <c r="H230" s="33">
        <v>525.15852195302807</v>
      </c>
      <c r="I230" s="33">
        <v>591.1258673411993</v>
      </c>
      <c r="J230" s="33">
        <v>0</v>
      </c>
      <c r="K230" s="33">
        <v>644.05183610281483</v>
      </c>
      <c r="L230" s="33">
        <v>908.70182544047373</v>
      </c>
      <c r="M230" s="33">
        <v>0</v>
      </c>
    </row>
    <row r="231" spans="1:13" x14ac:dyDescent="0.35">
      <c r="A231" s="27" t="s">
        <v>110</v>
      </c>
      <c r="B231" s="33">
        <v>141610.66825913099</v>
      </c>
      <c r="D231" s="33">
        <v>61183.127131275294</v>
      </c>
      <c r="E231" s="33">
        <v>80427.541127855919</v>
      </c>
      <c r="F231" s="33"/>
      <c r="G231" s="33">
        <v>6547.3798574778557</v>
      </c>
      <c r="H231" s="33">
        <v>18246.186798989322</v>
      </c>
      <c r="I231" s="33">
        <v>20905.426267436047</v>
      </c>
      <c r="J231" s="33">
        <v>10800.358554431481</v>
      </c>
      <c r="K231" s="33">
        <v>17766.833080726585</v>
      </c>
      <c r="L231" s="33">
        <v>14744.832178519557</v>
      </c>
      <c r="M231" s="33">
        <v>52599.651521550368</v>
      </c>
    </row>
    <row r="232" spans="1:13" x14ac:dyDescent="0.35">
      <c r="A232" s="27" t="s">
        <v>111</v>
      </c>
      <c r="B232" s="33">
        <v>20997.650216919636</v>
      </c>
      <c r="D232" s="33">
        <v>14410.852702860147</v>
      </c>
      <c r="E232" s="33">
        <v>6586.7975140594899</v>
      </c>
      <c r="F232" s="33"/>
      <c r="G232" s="33">
        <v>1259.3393337517546</v>
      </c>
      <c r="H232" s="33">
        <v>8482.5604070965583</v>
      </c>
      <c r="I232" s="33">
        <v>3056.7311570884308</v>
      </c>
      <c r="J232" s="33">
        <v>2691.362448256551</v>
      </c>
      <c r="K232" s="33">
        <v>5507.6568707263432</v>
      </c>
      <c r="L232" s="33">
        <v>0</v>
      </c>
      <c r="M232" s="33">
        <v>0</v>
      </c>
    </row>
    <row r="233" spans="1:13" x14ac:dyDescent="0.35">
      <c r="A233" s="27" t="s">
        <v>112</v>
      </c>
      <c r="B233" s="33">
        <v>681.61572143974593</v>
      </c>
      <c r="D233" s="33">
        <v>681.61572143974593</v>
      </c>
      <c r="E233" s="33">
        <v>0</v>
      </c>
      <c r="F233" s="33"/>
      <c r="G233" s="33">
        <v>0</v>
      </c>
      <c r="H233" s="33">
        <v>0</v>
      </c>
      <c r="I233" s="33">
        <v>681.61572143974593</v>
      </c>
      <c r="J233" s="33">
        <v>0</v>
      </c>
      <c r="K233" s="33">
        <v>0</v>
      </c>
      <c r="L233" s="33">
        <v>0</v>
      </c>
      <c r="M233" s="33">
        <v>0</v>
      </c>
    </row>
    <row r="234" spans="1:13" x14ac:dyDescent="0.35">
      <c r="A234" s="27" t="s">
        <v>113</v>
      </c>
      <c r="B234" s="33">
        <v>214265.55169837797</v>
      </c>
      <c r="D234" s="33">
        <v>152678.79964825424</v>
      </c>
      <c r="E234" s="33">
        <v>59524.554765906672</v>
      </c>
      <c r="F234" s="33"/>
      <c r="G234" s="33">
        <v>15161.937485030117</v>
      </c>
      <c r="H234" s="33">
        <v>24259.754227370871</v>
      </c>
      <c r="I234" s="33">
        <v>57394.219876659459</v>
      </c>
      <c r="J234" s="33">
        <v>35328.865323939412</v>
      </c>
      <c r="K234" s="33">
        <v>26471.910029748142</v>
      </c>
      <c r="L234" s="33">
        <v>34399.098256066929</v>
      </c>
      <c r="M234" s="33">
        <v>21249.766499563055</v>
      </c>
    </row>
    <row r="235" spans="1:13" x14ac:dyDescent="0.35">
      <c r="A235" s="27" t="s">
        <v>114</v>
      </c>
      <c r="B235" s="33">
        <v>57438.931951874758</v>
      </c>
      <c r="D235" s="33">
        <v>44821.889028929887</v>
      </c>
      <c r="E235" s="33">
        <v>10761.746074070252</v>
      </c>
      <c r="F235" s="33"/>
      <c r="G235" s="33">
        <v>7457.1211401363744</v>
      </c>
      <c r="H235" s="33">
        <v>9855.1946413010573</v>
      </c>
      <c r="I235" s="33">
        <v>17175.215111537957</v>
      </c>
      <c r="J235" s="33">
        <v>8214.5362485116566</v>
      </c>
      <c r="K235" s="33">
        <v>6002.3405055927469</v>
      </c>
      <c r="L235" s="33">
        <v>6720.7833992786682</v>
      </c>
      <c r="M235" s="33">
        <v>2013.7409055163325</v>
      </c>
    </row>
    <row r="236" spans="1:13" x14ac:dyDescent="0.35">
      <c r="A236" s="27" t="s">
        <v>115</v>
      </c>
      <c r="B236" s="33">
        <v>164225.78670525321</v>
      </c>
      <c r="D236" s="33">
        <v>131087.30283519594</v>
      </c>
      <c r="E236" s="33">
        <v>32567.878307510899</v>
      </c>
      <c r="F236" s="33"/>
      <c r="G236" s="33">
        <v>17314.318192669474</v>
      </c>
      <c r="H236" s="33">
        <v>12012.128008002204</v>
      </c>
      <c r="I236" s="33">
        <v>24889.31010645147</v>
      </c>
      <c r="J236" s="33">
        <v>37514.328289816207</v>
      </c>
      <c r="K236" s="33">
        <v>40485.161523505325</v>
      </c>
      <c r="L236" s="33">
        <v>22057.585242411831</v>
      </c>
      <c r="M236" s="33">
        <v>9952.95534239675</v>
      </c>
    </row>
    <row r="237" spans="1:13" x14ac:dyDescent="0.35">
      <c r="A237" s="27" t="s">
        <v>116</v>
      </c>
      <c r="B237" s="33">
        <v>22438.864591157915</v>
      </c>
      <c r="D237" s="33">
        <v>14585.323568416507</v>
      </c>
      <c r="E237" s="33">
        <v>7853.5410227414104</v>
      </c>
      <c r="F237" s="33"/>
      <c r="G237" s="33">
        <v>826.07700991690888</v>
      </c>
      <c r="H237" s="33">
        <v>3029.8463205338958</v>
      </c>
      <c r="I237" s="33">
        <v>5263.036746148663</v>
      </c>
      <c r="J237" s="33">
        <v>5886.0642128390054</v>
      </c>
      <c r="K237" s="33">
        <v>4063.2485736727735</v>
      </c>
      <c r="L237" s="33">
        <v>2688.7503609115352</v>
      </c>
      <c r="M237" s="33">
        <v>681.84136713513544</v>
      </c>
    </row>
    <row r="238" spans="1:13" x14ac:dyDescent="0.35">
      <c r="A238" s="27" t="s">
        <v>117</v>
      </c>
      <c r="B238" s="33">
        <v>37557.729244418588</v>
      </c>
      <c r="D238" s="33">
        <v>21638.08303256541</v>
      </c>
      <c r="E238" s="33">
        <v>15919.646211853196</v>
      </c>
      <c r="F238" s="33"/>
      <c r="G238" s="33">
        <v>3297.6633365412217</v>
      </c>
      <c r="H238" s="33">
        <v>15745.76618167213</v>
      </c>
      <c r="I238" s="33">
        <v>11023.982781570054</v>
      </c>
      <c r="J238" s="33">
        <v>4891.0891532526084</v>
      </c>
      <c r="K238" s="33">
        <v>1630.0003169756865</v>
      </c>
      <c r="L238" s="33">
        <v>969.22747440690614</v>
      </c>
      <c r="M238" s="33">
        <v>0</v>
      </c>
    </row>
    <row r="239" spans="1:13" x14ac:dyDescent="0.35">
      <c r="A239" s="27" t="s">
        <v>118</v>
      </c>
      <c r="B239" s="33">
        <v>476972.89835834765</v>
      </c>
      <c r="D239" s="33">
        <v>76027.112378833903</v>
      </c>
      <c r="E239" s="33">
        <v>399674.49107507587</v>
      </c>
      <c r="F239" s="33"/>
      <c r="G239" s="33">
        <v>82164.469348701386</v>
      </c>
      <c r="H239" s="33">
        <v>136915.49276099514</v>
      </c>
      <c r="I239" s="33">
        <v>124609.96637752651</v>
      </c>
      <c r="J239" s="33">
        <v>82693.569487166475</v>
      </c>
      <c r="K239" s="33">
        <v>38632.346996255124</v>
      </c>
      <c r="L239" s="33">
        <v>9496.7542961966501</v>
      </c>
      <c r="M239" s="33">
        <v>2460.2990915063838</v>
      </c>
    </row>
    <row r="240" spans="1:13" x14ac:dyDescent="0.35">
      <c r="A240" s="27" t="s">
        <v>119</v>
      </c>
      <c r="B240" s="33">
        <v>12774.336658223336</v>
      </c>
      <c r="D240" s="33">
        <v>4389.7097976679279</v>
      </c>
      <c r="E240" s="33">
        <v>8384.6268605554051</v>
      </c>
      <c r="F240" s="33"/>
      <c r="G240" s="33">
        <v>4389.2865421765036</v>
      </c>
      <c r="H240" s="33">
        <v>502.91313711803895</v>
      </c>
      <c r="I240" s="33">
        <v>2459.5054544343639</v>
      </c>
      <c r="J240" s="33">
        <v>2934.5383311363544</v>
      </c>
      <c r="K240" s="33">
        <v>2488.0931933580741</v>
      </c>
      <c r="L240" s="33">
        <v>0</v>
      </c>
      <c r="M240" s="33">
        <v>0</v>
      </c>
    </row>
    <row r="241" spans="1:13" x14ac:dyDescent="0.35">
      <c r="A241" s="27" t="s">
        <v>120</v>
      </c>
      <c r="B241" s="33">
        <v>15854.336678277881</v>
      </c>
      <c r="D241" s="33">
        <v>7521.2900998118312</v>
      </c>
      <c r="E241" s="33">
        <v>8333.0465784660428</v>
      </c>
      <c r="F241" s="33"/>
      <c r="G241" s="33">
        <v>3547.2257606415055</v>
      </c>
      <c r="H241" s="33">
        <v>1482.1062872613252</v>
      </c>
      <c r="I241" s="33">
        <v>469.05400122691901</v>
      </c>
      <c r="J241" s="33">
        <v>4038.2272248058089</v>
      </c>
      <c r="K241" s="33">
        <v>3132.8975107376223</v>
      </c>
      <c r="L241" s="33">
        <v>1454.6188993386229</v>
      </c>
      <c r="M241" s="33">
        <v>1730.2069942660701</v>
      </c>
    </row>
    <row r="242" spans="1:13" x14ac:dyDescent="0.35">
      <c r="A242" s="27" t="s">
        <v>121</v>
      </c>
      <c r="B242" s="33">
        <v>6079.4904519953188</v>
      </c>
      <c r="D242" s="33">
        <v>3679.9369272602949</v>
      </c>
      <c r="E242" s="33">
        <v>2399.5535247350253</v>
      </c>
      <c r="F242" s="33"/>
      <c r="G242" s="33">
        <v>0</v>
      </c>
      <c r="H242" s="33">
        <v>0</v>
      </c>
      <c r="I242" s="33">
        <v>523.90293086935753</v>
      </c>
      <c r="J242" s="33">
        <v>1751.0352686751785</v>
      </c>
      <c r="K242" s="33">
        <v>1672.3412246811613</v>
      </c>
      <c r="L242" s="33">
        <v>1106.511687420646</v>
      </c>
      <c r="M242" s="33">
        <v>1025.6993403489769</v>
      </c>
    </row>
    <row r="243" spans="1:13" x14ac:dyDescent="0.35">
      <c r="A243" s="27" t="s">
        <v>122</v>
      </c>
      <c r="B243" s="33">
        <v>50576.548011425883</v>
      </c>
      <c r="D243" s="33">
        <v>27461.015075432359</v>
      </c>
      <c r="E243" s="33">
        <v>23115.532935993531</v>
      </c>
      <c r="F243" s="33"/>
      <c r="G243" s="33">
        <v>9725.2108480921743</v>
      </c>
      <c r="H243" s="33">
        <v>18904.052827130588</v>
      </c>
      <c r="I243" s="33">
        <v>15526.150770154043</v>
      </c>
      <c r="J243" s="33">
        <v>4927.8382676750871</v>
      </c>
      <c r="K243" s="33">
        <v>1099.1001803659076</v>
      </c>
      <c r="L243" s="33">
        <v>0</v>
      </c>
      <c r="M243" s="33">
        <v>394.1951180080851</v>
      </c>
    </row>
    <row r="244" spans="1:13" x14ac:dyDescent="0.35">
      <c r="A244" s="27" t="s">
        <v>123</v>
      </c>
      <c r="B244" s="33">
        <v>47219.756185045851</v>
      </c>
      <c r="D244" s="33">
        <v>22753.235120736248</v>
      </c>
      <c r="E244" s="33">
        <v>24466.521064309618</v>
      </c>
      <c r="F244" s="33"/>
      <c r="G244" s="33">
        <v>0</v>
      </c>
      <c r="H244" s="33">
        <v>2709.9748190742703</v>
      </c>
      <c r="I244" s="33">
        <v>8606.3706573143227</v>
      </c>
      <c r="J244" s="33">
        <v>8125.3527102579019</v>
      </c>
      <c r="K244" s="33">
        <v>8250.7570652564063</v>
      </c>
      <c r="L244" s="33">
        <v>10731.047133808604</v>
      </c>
      <c r="M244" s="33">
        <v>8796.2537993343576</v>
      </c>
    </row>
    <row r="245" spans="1:13" x14ac:dyDescent="0.35">
      <c r="A245" s="27" t="s">
        <v>124</v>
      </c>
      <c r="B245" s="33">
        <v>2741.5566841248456</v>
      </c>
      <c r="D245" s="33">
        <v>1717.5649282327652</v>
      </c>
      <c r="E245" s="33">
        <v>1023.9917558920806</v>
      </c>
      <c r="F245" s="33"/>
      <c r="G245" s="33">
        <v>0</v>
      </c>
      <c r="H245" s="33">
        <v>635.84484732760052</v>
      </c>
      <c r="I245" s="33">
        <v>495.41707329683896</v>
      </c>
      <c r="J245" s="33">
        <v>586.30300760832574</v>
      </c>
      <c r="K245" s="33">
        <v>498.05992022250638</v>
      </c>
      <c r="L245" s="33">
        <v>525.93183566957418</v>
      </c>
      <c r="M245" s="33">
        <v>0</v>
      </c>
    </row>
    <row r="246" spans="1:13" x14ac:dyDescent="0.35">
      <c r="A246" s="27" t="s">
        <v>125</v>
      </c>
      <c r="B246" s="33">
        <v>5079.4758212395118</v>
      </c>
      <c r="D246" s="33">
        <v>1086.4784371209614</v>
      </c>
      <c r="E246" s="33">
        <v>3992.9973841185506</v>
      </c>
      <c r="F246" s="33"/>
      <c r="G246" s="33">
        <v>3547.2257606415055</v>
      </c>
      <c r="H246" s="33">
        <v>585.14509495548054</v>
      </c>
      <c r="I246" s="33">
        <v>445.77162347704524</v>
      </c>
      <c r="J246" s="33">
        <v>501.33334216548093</v>
      </c>
      <c r="K246" s="33">
        <v>0</v>
      </c>
      <c r="L246" s="33">
        <v>0</v>
      </c>
      <c r="M246" s="33">
        <v>0</v>
      </c>
    </row>
    <row r="247" spans="1:13" x14ac:dyDescent="0.35">
      <c r="A247" s="27" t="s">
        <v>126</v>
      </c>
      <c r="B247" s="33">
        <v>740.72198676219773</v>
      </c>
      <c r="D247" s="33">
        <v>0</v>
      </c>
      <c r="E247" s="33">
        <v>740.72198676219773</v>
      </c>
      <c r="F247" s="33"/>
      <c r="G247" s="33">
        <v>0</v>
      </c>
      <c r="H247" s="33">
        <v>0</v>
      </c>
      <c r="I247" s="33">
        <v>0</v>
      </c>
      <c r="J247" s="33">
        <v>0</v>
      </c>
      <c r="K247" s="33">
        <v>0</v>
      </c>
      <c r="L247" s="33">
        <v>0</v>
      </c>
      <c r="M247" s="33">
        <v>740.72198676219773</v>
      </c>
    </row>
    <row r="248" spans="1:13" x14ac:dyDescent="0.35">
      <c r="A248" s="27" t="s">
        <v>127</v>
      </c>
      <c r="B248" s="33">
        <v>13758.883760530736</v>
      </c>
      <c r="D248" s="33">
        <v>2528.1467837306773</v>
      </c>
      <c r="E248" s="33">
        <v>11230.736976800059</v>
      </c>
      <c r="F248" s="33"/>
      <c r="G248" s="33">
        <v>0</v>
      </c>
      <c r="H248" s="33">
        <v>0</v>
      </c>
      <c r="I248" s="33">
        <v>1454.0382410217126</v>
      </c>
      <c r="J248" s="33">
        <v>2058.7110513197308</v>
      </c>
      <c r="K248" s="33">
        <v>1033.1595789471373</v>
      </c>
      <c r="L248" s="33">
        <v>1711.5214877220756</v>
      </c>
      <c r="M248" s="33">
        <v>7501.4534015200788</v>
      </c>
    </row>
    <row r="249" spans="1:13" x14ac:dyDescent="0.35">
      <c r="A249" s="27" t="s">
        <v>286</v>
      </c>
      <c r="B249" s="33">
        <v>297346.56439915049</v>
      </c>
      <c r="D249" s="33">
        <v>146848.48706852971</v>
      </c>
      <c r="E249" s="33">
        <v>149918.84171754285</v>
      </c>
      <c r="F249" s="33"/>
      <c r="G249" s="33">
        <v>9125.1895989980476</v>
      </c>
      <c r="H249" s="33">
        <v>35246.215026170721</v>
      </c>
      <c r="I249" s="33">
        <v>62961.396848570766</v>
      </c>
      <c r="J249" s="33">
        <v>53090.897797212514</v>
      </c>
      <c r="K249" s="33">
        <v>51068.404921587156</v>
      </c>
      <c r="L249" s="33">
        <v>51730.047016044853</v>
      </c>
      <c r="M249" s="33">
        <v>34124.413190566869</v>
      </c>
    </row>
    <row r="250" spans="1:13" x14ac:dyDescent="0.35">
      <c r="A250" s="27" t="s">
        <v>128</v>
      </c>
      <c r="B250" s="33">
        <v>1625324.5199554262</v>
      </c>
      <c r="D250" s="33">
        <v>133940.16875980262</v>
      </c>
      <c r="E250" s="33">
        <v>1485621.0696740814</v>
      </c>
      <c r="F250" s="33"/>
      <c r="G250" s="33">
        <v>37832.087865472939</v>
      </c>
      <c r="H250" s="33">
        <v>217009.19780341769</v>
      </c>
      <c r="I250" s="33">
        <v>448430.24447100487</v>
      </c>
      <c r="J250" s="33">
        <v>338304.92789177166</v>
      </c>
      <c r="K250" s="33">
        <v>238312.74107108664</v>
      </c>
      <c r="L250" s="33">
        <v>193471.94084123257</v>
      </c>
      <c r="M250" s="33">
        <v>151963.38001143548</v>
      </c>
    </row>
    <row r="251" spans="1:13" x14ac:dyDescent="0.35">
      <c r="A251" s="27" t="s">
        <v>129</v>
      </c>
      <c r="B251" s="33">
        <v>331.57568299910065</v>
      </c>
      <c r="D251" s="33">
        <v>331.57568299910065</v>
      </c>
      <c r="E251" s="33">
        <v>0</v>
      </c>
      <c r="F251" s="33"/>
      <c r="G251" s="33">
        <v>0</v>
      </c>
      <c r="H251" s="33">
        <v>0</v>
      </c>
      <c r="I251" s="33">
        <v>0</v>
      </c>
      <c r="J251" s="33">
        <v>0</v>
      </c>
      <c r="K251" s="33">
        <v>0</v>
      </c>
      <c r="L251" s="33">
        <v>0</v>
      </c>
      <c r="M251" s="33">
        <v>331.57568299910065</v>
      </c>
    </row>
    <row r="252" spans="1:13" x14ac:dyDescent="0.35">
      <c r="A252" s="27" t="s">
        <v>130</v>
      </c>
      <c r="B252" s="33">
        <v>1007.9459456765678</v>
      </c>
      <c r="D252" s="33">
        <v>539.04925199432728</v>
      </c>
      <c r="E252" s="33">
        <v>468.89669368224054</v>
      </c>
      <c r="F252" s="33"/>
      <c r="G252" s="33">
        <v>0</v>
      </c>
      <c r="H252" s="33">
        <v>0</v>
      </c>
      <c r="I252" s="33">
        <v>0</v>
      </c>
      <c r="J252" s="33">
        <v>1007.9459456765678</v>
      </c>
      <c r="K252" s="33">
        <v>0</v>
      </c>
      <c r="L252" s="33">
        <v>0</v>
      </c>
      <c r="M252" s="33">
        <v>0</v>
      </c>
    </row>
    <row r="253" spans="1:13" x14ac:dyDescent="0.35">
      <c r="A253" s="27" t="s">
        <v>131</v>
      </c>
      <c r="B253" s="33">
        <v>10306.467436921841</v>
      </c>
      <c r="D253" s="33">
        <v>3145.579323189284</v>
      </c>
      <c r="E253" s="33">
        <v>6719.7837368363353</v>
      </c>
      <c r="F253" s="33"/>
      <c r="G253" s="33">
        <v>1986.5027484424061</v>
      </c>
      <c r="H253" s="33">
        <v>2621.4730373057314</v>
      </c>
      <c r="I253" s="33">
        <v>2121.9319034845757</v>
      </c>
      <c r="J253" s="33">
        <v>2214.1860237461965</v>
      </c>
      <c r="K253" s="33">
        <v>359.80909725048582</v>
      </c>
      <c r="L253" s="33">
        <v>564.98228691634495</v>
      </c>
      <c r="M253" s="33">
        <v>437.58233977610007</v>
      </c>
    </row>
    <row r="254" spans="1:13" x14ac:dyDescent="0.35">
      <c r="A254" s="27" t="s">
        <v>132</v>
      </c>
      <c r="B254" s="33">
        <v>9542.9493308351975</v>
      </c>
      <c r="D254" s="33">
        <v>5531.7582894246316</v>
      </c>
      <c r="E254" s="33">
        <v>4011.1910414105664</v>
      </c>
      <c r="F254" s="33"/>
      <c r="G254" s="33">
        <v>0</v>
      </c>
      <c r="H254" s="33">
        <v>2335.7151798295108</v>
      </c>
      <c r="I254" s="33">
        <v>3067.3744133918231</v>
      </c>
      <c r="J254" s="33">
        <v>2166.8309209302242</v>
      </c>
      <c r="K254" s="33">
        <v>558.29548232252409</v>
      </c>
      <c r="L254" s="33">
        <v>1414.7333343611158</v>
      </c>
      <c r="M254" s="33">
        <v>0</v>
      </c>
    </row>
    <row r="255" spans="1:13" x14ac:dyDescent="0.35">
      <c r="A255" s="27" t="s">
        <v>133</v>
      </c>
      <c r="B255" s="33">
        <v>1720.899277330011</v>
      </c>
      <c r="D255" s="33">
        <v>685.2942652353521</v>
      </c>
      <c r="E255" s="33">
        <v>1035.6050120946588</v>
      </c>
      <c r="F255" s="33"/>
      <c r="G255" s="33">
        <v>0</v>
      </c>
      <c r="H255" s="33">
        <v>514.77258278537431</v>
      </c>
      <c r="I255" s="33">
        <v>685.2942652353521</v>
      </c>
      <c r="J255" s="33">
        <v>520.83242930928463</v>
      </c>
      <c r="K255" s="33">
        <v>0</v>
      </c>
      <c r="L255" s="33">
        <v>0</v>
      </c>
      <c r="M255" s="33">
        <v>0</v>
      </c>
    </row>
    <row r="256" spans="1:13" x14ac:dyDescent="0.35">
      <c r="A256" s="27" t="s">
        <v>134</v>
      </c>
      <c r="B256" s="33">
        <v>103539.6076611552</v>
      </c>
      <c r="D256" s="33">
        <v>59262.668226281894</v>
      </c>
      <c r="E256" s="33">
        <v>41154.601449610382</v>
      </c>
      <c r="F256" s="33"/>
      <c r="G256" s="33">
        <v>18078.277325823619</v>
      </c>
      <c r="H256" s="33">
        <v>24246.043766014485</v>
      </c>
      <c r="I256" s="33">
        <v>24599.749249779848</v>
      </c>
      <c r="J256" s="33">
        <v>21169.08276320064</v>
      </c>
      <c r="K256" s="33">
        <v>8320.8410681662517</v>
      </c>
      <c r="L256" s="33">
        <v>4917.659250735127</v>
      </c>
      <c r="M256" s="33">
        <v>2207.9542374351468</v>
      </c>
    </row>
    <row r="257" spans="1:13" x14ac:dyDescent="0.35">
      <c r="A257" s="27" t="s">
        <v>135</v>
      </c>
      <c r="B257" s="33">
        <v>595.10667569694965</v>
      </c>
      <c r="D257" s="33">
        <v>0</v>
      </c>
      <c r="E257" s="33">
        <v>595.10667569694965</v>
      </c>
      <c r="F257" s="33"/>
      <c r="G257" s="33">
        <v>0</v>
      </c>
      <c r="H257" s="33">
        <v>595.10667569694965</v>
      </c>
      <c r="I257" s="33">
        <v>0</v>
      </c>
      <c r="J257" s="33">
        <v>0</v>
      </c>
      <c r="K257" s="33">
        <v>0</v>
      </c>
      <c r="L257" s="33">
        <v>0</v>
      </c>
      <c r="M257" s="33">
        <v>0</v>
      </c>
    </row>
    <row r="258" spans="1:13" x14ac:dyDescent="0.35">
      <c r="A258" s="27" t="s">
        <v>136</v>
      </c>
      <c r="B258" s="33">
        <v>4891.5480135654916</v>
      </c>
      <c r="D258" s="33">
        <v>3172.5649572457651</v>
      </c>
      <c r="E258" s="33">
        <v>1718.9830563197265</v>
      </c>
      <c r="F258" s="33"/>
      <c r="G258" s="33">
        <v>0</v>
      </c>
      <c r="H258" s="33">
        <v>980.06791043955786</v>
      </c>
      <c r="I258" s="33">
        <v>741.02824505637386</v>
      </c>
      <c r="J258" s="33">
        <v>0</v>
      </c>
      <c r="K258" s="33">
        <v>1518.3067763773265</v>
      </c>
      <c r="L258" s="33">
        <v>916.41328224588619</v>
      </c>
      <c r="M258" s="33">
        <v>735.73179944634762</v>
      </c>
    </row>
    <row r="259" spans="1:13" x14ac:dyDescent="0.35">
      <c r="A259" s="27" t="s">
        <v>137</v>
      </c>
      <c r="B259" s="33">
        <v>3040.2738012020077</v>
      </c>
      <c r="D259" s="33">
        <v>1475.3176201437141</v>
      </c>
      <c r="E259" s="33">
        <v>1564.9561810582941</v>
      </c>
      <c r="F259" s="33"/>
      <c r="G259" s="33">
        <v>0</v>
      </c>
      <c r="H259" s="33">
        <v>0</v>
      </c>
      <c r="I259" s="33">
        <v>0</v>
      </c>
      <c r="J259" s="33">
        <v>1717.7581090961703</v>
      </c>
      <c r="K259" s="33">
        <v>563.50016787445509</v>
      </c>
      <c r="L259" s="33">
        <v>353.06834622505613</v>
      </c>
      <c r="M259" s="33">
        <v>405.94717800632662</v>
      </c>
    </row>
    <row r="260" spans="1:13" x14ac:dyDescent="0.35">
      <c r="A260" s="27" t="s">
        <v>138</v>
      </c>
      <c r="B260" s="33">
        <v>56074.839636311641</v>
      </c>
      <c r="D260" s="33">
        <v>20444.345729832981</v>
      </c>
      <c r="E260" s="33">
        <v>35126.164817612407</v>
      </c>
      <c r="F260" s="33"/>
      <c r="G260" s="33">
        <v>4461.5212009076276</v>
      </c>
      <c r="H260" s="33">
        <v>9429.0658106779319</v>
      </c>
      <c r="I260" s="33">
        <v>17349.068552730878</v>
      </c>
      <c r="J260" s="33">
        <v>11542.664632013406</v>
      </c>
      <c r="K260" s="33">
        <v>6295.4090687900325</v>
      </c>
      <c r="L260" s="33">
        <v>5979.441240213725</v>
      </c>
      <c r="M260" s="33">
        <v>1017.6691309780622</v>
      </c>
    </row>
    <row r="261" spans="1:13" x14ac:dyDescent="0.35">
      <c r="A261" s="27" t="s">
        <v>139</v>
      </c>
      <c r="B261" s="33">
        <v>132415.91235763236</v>
      </c>
      <c r="D261" s="33">
        <v>76162.96222279605</v>
      </c>
      <c r="E261" s="33">
        <v>55774.560244399174</v>
      </c>
      <c r="F261" s="33"/>
      <c r="G261" s="33">
        <v>9606.2843942976615</v>
      </c>
      <c r="H261" s="33">
        <v>10243.280416830899</v>
      </c>
      <c r="I261" s="33">
        <v>21044.385553314187</v>
      </c>
      <c r="J261" s="33">
        <v>19893.175148961007</v>
      </c>
      <c r="K261" s="33">
        <v>23698.466677042506</v>
      </c>
      <c r="L261" s="33">
        <v>26179.816825662267</v>
      </c>
      <c r="M261" s="33">
        <v>21750.50334152369</v>
      </c>
    </row>
    <row r="262" spans="1:13" x14ac:dyDescent="0.35">
      <c r="A262" s="27" t="s">
        <v>140</v>
      </c>
      <c r="B262" s="33">
        <v>172717.31769844811</v>
      </c>
      <c r="D262" s="33">
        <v>134085.84940581667</v>
      </c>
      <c r="E262" s="33">
        <v>38631.468292631354</v>
      </c>
      <c r="F262" s="33"/>
      <c r="G262" s="33">
        <v>32658.933149866032</v>
      </c>
      <c r="H262" s="33">
        <v>41863.866602854963</v>
      </c>
      <c r="I262" s="33">
        <v>56639.37569497685</v>
      </c>
      <c r="J262" s="33">
        <v>26433.958224498052</v>
      </c>
      <c r="K262" s="33">
        <v>12319.674958933581</v>
      </c>
      <c r="L262" s="33">
        <v>2181.9329685468051</v>
      </c>
      <c r="M262" s="33">
        <v>619.57609877171171</v>
      </c>
    </row>
    <row r="263" spans="1:13" x14ac:dyDescent="0.35">
      <c r="A263" s="27" t="s">
        <v>141</v>
      </c>
      <c r="B263" s="33">
        <v>84647.648511749416</v>
      </c>
      <c r="D263" s="33">
        <v>66928.562929598163</v>
      </c>
      <c r="E263" s="33">
        <v>17719.08558215122</v>
      </c>
      <c r="F263" s="33"/>
      <c r="G263" s="33">
        <v>13988.181572898227</v>
      </c>
      <c r="H263" s="33">
        <v>22636.273057345934</v>
      </c>
      <c r="I263" s="33">
        <v>25102.236689438898</v>
      </c>
      <c r="J263" s="33">
        <v>11282.406684802656</v>
      </c>
      <c r="K263" s="33">
        <v>6003.9608646887737</v>
      </c>
      <c r="L263" s="33">
        <v>3892.0365448919988</v>
      </c>
      <c r="M263" s="33">
        <v>1742.5530976829043</v>
      </c>
    </row>
    <row r="264" spans="1:13" x14ac:dyDescent="0.35">
      <c r="A264" s="27" t="s">
        <v>142</v>
      </c>
      <c r="B264" s="33">
        <v>3740483.8902410022</v>
      </c>
      <c r="D264" s="33">
        <v>2104784.462374547</v>
      </c>
      <c r="E264" s="33">
        <v>1618696.5061615393</v>
      </c>
      <c r="F264" s="33"/>
      <c r="G264" s="33">
        <v>268186.71921226394</v>
      </c>
      <c r="H264" s="33">
        <v>660527.01872750057</v>
      </c>
      <c r="I264" s="33">
        <v>1125804.6950545732</v>
      </c>
      <c r="J264" s="33">
        <v>809695.81734547904</v>
      </c>
      <c r="K264" s="33">
        <v>527175.81805826002</v>
      </c>
      <c r="L264" s="33">
        <v>261587.8388015677</v>
      </c>
      <c r="M264" s="33">
        <v>87505.983041331841</v>
      </c>
    </row>
    <row r="265" spans="1:13" x14ac:dyDescent="0.35">
      <c r="A265" s="27" t="s">
        <v>143</v>
      </c>
      <c r="B265" s="33">
        <v>74015.732397885411</v>
      </c>
      <c r="D265" s="33">
        <v>50952.841647718451</v>
      </c>
      <c r="E265" s="33">
        <v>23062.890750166916</v>
      </c>
      <c r="F265" s="33"/>
      <c r="G265" s="33">
        <v>3021.9839471772202</v>
      </c>
      <c r="H265" s="33">
        <v>3352.8408652127869</v>
      </c>
      <c r="I265" s="33">
        <v>6766.4597995874901</v>
      </c>
      <c r="J265" s="33">
        <v>8490.6465813010564</v>
      </c>
      <c r="K265" s="33">
        <v>12089.203678927392</v>
      </c>
      <c r="L265" s="33">
        <v>21243.729310167411</v>
      </c>
      <c r="M265" s="33">
        <v>19050.868215512044</v>
      </c>
    </row>
    <row r="266" spans="1:13" x14ac:dyDescent="0.35">
      <c r="A266" s="27" t="s">
        <v>144</v>
      </c>
      <c r="B266" s="33">
        <v>19287.687979472175</v>
      </c>
      <c r="D266" s="33">
        <v>10329.070009631494</v>
      </c>
      <c r="E266" s="33">
        <v>8958.6179698406795</v>
      </c>
      <c r="F266" s="33"/>
      <c r="G266" s="33">
        <v>0</v>
      </c>
      <c r="H266" s="33">
        <v>1220.5523946000335</v>
      </c>
      <c r="I266" s="33">
        <v>2872.3192583292794</v>
      </c>
      <c r="J266" s="33">
        <v>10666.361402607869</v>
      </c>
      <c r="K266" s="33">
        <v>3492.9518056335633</v>
      </c>
      <c r="L266" s="33">
        <v>333.62996086289479</v>
      </c>
      <c r="M266" s="33">
        <v>701.87315743853537</v>
      </c>
    </row>
    <row r="267" spans="1:13" x14ac:dyDescent="0.35">
      <c r="A267" s="27" t="s">
        <v>145</v>
      </c>
      <c r="B267" s="33">
        <v>4900.0457882920518</v>
      </c>
      <c r="D267" s="33">
        <v>3731.8678684696033</v>
      </c>
      <c r="E267" s="33">
        <v>1168.1779198224481</v>
      </c>
      <c r="F267" s="33"/>
      <c r="G267" s="33">
        <v>2532.4319732308718</v>
      </c>
      <c r="H267" s="33">
        <v>1782.3395648921892</v>
      </c>
      <c r="I267" s="33">
        <v>0</v>
      </c>
      <c r="J267" s="33">
        <v>585.27425016899087</v>
      </c>
      <c r="K267" s="33">
        <v>0</v>
      </c>
      <c r="L267" s="33">
        <v>0</v>
      </c>
      <c r="M267" s="33">
        <v>0</v>
      </c>
    </row>
    <row r="268" spans="1:13" x14ac:dyDescent="0.35">
      <c r="A268" s="27" t="s">
        <v>146</v>
      </c>
      <c r="B268" s="33">
        <v>596.90802760652321</v>
      </c>
      <c r="D268" s="33">
        <v>596.90802760652321</v>
      </c>
      <c r="E268" s="33">
        <v>0</v>
      </c>
      <c r="F268" s="33"/>
      <c r="G268" s="33">
        <v>0</v>
      </c>
      <c r="H268" s="33">
        <v>596.90802760652321</v>
      </c>
      <c r="I268" s="33">
        <v>0</v>
      </c>
      <c r="J268" s="33">
        <v>0</v>
      </c>
      <c r="K268" s="33">
        <v>0</v>
      </c>
      <c r="L268" s="33">
        <v>0</v>
      </c>
      <c r="M268" s="33">
        <v>0</v>
      </c>
    </row>
    <row r="269" spans="1:13" x14ac:dyDescent="0.35">
      <c r="A269" s="27" t="s">
        <v>284</v>
      </c>
      <c r="B269" s="33">
        <v>45996.10860498008</v>
      </c>
      <c r="D269" s="33">
        <v>41798.452001201724</v>
      </c>
      <c r="E269" s="33">
        <v>4197.6566037783441</v>
      </c>
      <c r="F269" s="33"/>
      <c r="G269" s="33">
        <v>3184.9178758064068</v>
      </c>
      <c r="H269" s="33">
        <v>2816.311253393354</v>
      </c>
      <c r="I269" s="33">
        <v>13318.461080682042</v>
      </c>
      <c r="J269" s="33">
        <v>8493.7836570538839</v>
      </c>
      <c r="K269" s="33">
        <v>7571.5858425656788</v>
      </c>
      <c r="L269" s="33">
        <v>4744.5705944733427</v>
      </c>
      <c r="M269" s="33">
        <v>5866.4783010053698</v>
      </c>
    </row>
    <row r="270" spans="1:13" x14ac:dyDescent="0.35">
      <c r="A270" s="27" t="s">
        <v>283</v>
      </c>
      <c r="B270" s="33">
        <v>30684.206708514266</v>
      </c>
      <c r="D270" s="33">
        <v>25285.463380342055</v>
      </c>
      <c r="E270" s="33">
        <v>5398.7433281722051</v>
      </c>
      <c r="F270" s="33"/>
      <c r="G270" s="33">
        <v>0</v>
      </c>
      <c r="H270" s="33">
        <v>2029.7929974378981</v>
      </c>
      <c r="I270" s="33">
        <v>7840.4281380304856</v>
      </c>
      <c r="J270" s="33">
        <v>8208.0222509536761</v>
      </c>
      <c r="K270" s="33">
        <v>4710.3691338012231</v>
      </c>
      <c r="L270" s="33">
        <v>2809.0436209650998</v>
      </c>
      <c r="M270" s="33">
        <v>5086.5505673258731</v>
      </c>
    </row>
    <row r="271" spans="1:13" x14ac:dyDescent="0.35">
      <c r="A271" s="27" t="s">
        <v>147</v>
      </c>
      <c r="B271" s="33">
        <v>89533.406575195084</v>
      </c>
      <c r="D271" s="33">
        <v>42870.387328048157</v>
      </c>
      <c r="E271" s="33">
        <v>42934.127546686017</v>
      </c>
      <c r="F271" s="33"/>
      <c r="G271" s="33">
        <v>12047.346981304236</v>
      </c>
      <c r="H271" s="33">
        <v>16426.38627330977</v>
      </c>
      <c r="I271" s="33">
        <v>24398.634457171327</v>
      </c>
      <c r="J271" s="33">
        <v>18428.343203413842</v>
      </c>
      <c r="K271" s="33">
        <v>14337.414577086683</v>
      </c>
      <c r="L271" s="33">
        <v>3558.2997679608698</v>
      </c>
      <c r="M271" s="33">
        <v>336.98131494837571</v>
      </c>
    </row>
    <row r="272" spans="1:13" x14ac:dyDescent="0.35">
      <c r="A272" s="27" t="s">
        <v>148</v>
      </c>
      <c r="B272" s="33">
        <v>0</v>
      </c>
      <c r="D272" s="33">
        <v>0</v>
      </c>
      <c r="E272" s="33">
        <v>0</v>
      </c>
      <c r="F272" s="33"/>
      <c r="G272" s="33">
        <v>0</v>
      </c>
      <c r="H272" s="33">
        <v>0</v>
      </c>
      <c r="I272" s="33">
        <v>0</v>
      </c>
      <c r="J272" s="33">
        <v>0</v>
      </c>
      <c r="K272" s="33">
        <v>0</v>
      </c>
      <c r="L272" s="33">
        <v>0</v>
      </c>
      <c r="M272" s="33">
        <v>0</v>
      </c>
    </row>
    <row r="273" spans="1:13" x14ac:dyDescent="0.35">
      <c r="A273" s="27" t="s">
        <v>149</v>
      </c>
      <c r="B273" s="33">
        <v>183708.51077999591</v>
      </c>
      <c r="D273" s="33">
        <v>106952.23748232421</v>
      </c>
      <c r="E273" s="33">
        <v>76756.273297671563</v>
      </c>
      <c r="F273" s="33"/>
      <c r="G273" s="33">
        <v>2715.1923793862793</v>
      </c>
      <c r="H273" s="33">
        <v>16740.319852623445</v>
      </c>
      <c r="I273" s="33">
        <v>36353.117690117193</v>
      </c>
      <c r="J273" s="33">
        <v>31723.668352271881</v>
      </c>
      <c r="K273" s="33">
        <v>33658.571581173557</v>
      </c>
      <c r="L273" s="33">
        <v>43280.732985550225</v>
      </c>
      <c r="M273" s="33">
        <v>19236.907938873228</v>
      </c>
    </row>
    <row r="274" spans="1:13" x14ac:dyDescent="0.35">
      <c r="A274" s="27" t="s">
        <v>150</v>
      </c>
      <c r="B274" s="33">
        <v>595.5088351775122</v>
      </c>
      <c r="D274" s="33">
        <v>0</v>
      </c>
      <c r="E274" s="33">
        <v>595.5088351775122</v>
      </c>
      <c r="F274" s="33"/>
      <c r="G274" s="33">
        <v>0</v>
      </c>
      <c r="H274" s="33">
        <v>0</v>
      </c>
      <c r="I274" s="33">
        <v>0</v>
      </c>
      <c r="J274" s="33">
        <v>595.5088351775122</v>
      </c>
      <c r="K274" s="33">
        <v>0</v>
      </c>
      <c r="L274" s="33">
        <v>0</v>
      </c>
      <c r="M274" s="33">
        <v>0</v>
      </c>
    </row>
    <row r="275" spans="1:13" x14ac:dyDescent="0.35">
      <c r="A275" s="27" t="s">
        <v>151</v>
      </c>
      <c r="B275" s="33">
        <v>30817.63186074622</v>
      </c>
      <c r="D275" s="33">
        <v>12838.084065213539</v>
      </c>
      <c r="E275" s="33">
        <v>17507.421039130833</v>
      </c>
      <c r="F275" s="33"/>
      <c r="G275" s="33">
        <v>3098.8747491322342</v>
      </c>
      <c r="H275" s="33">
        <v>5894.5394659887515</v>
      </c>
      <c r="I275" s="33">
        <v>7334.9864055409507</v>
      </c>
      <c r="J275" s="33">
        <v>6211.1449532149081</v>
      </c>
      <c r="K275" s="33">
        <v>3557.9910437838612</v>
      </c>
      <c r="L275" s="33">
        <v>4720.0952430855168</v>
      </c>
      <c r="M275" s="33">
        <v>0</v>
      </c>
    </row>
    <row r="276" spans="1:13" x14ac:dyDescent="0.35">
      <c r="A276" s="27" t="s">
        <v>152</v>
      </c>
      <c r="B276" s="33">
        <v>122748.8183882931</v>
      </c>
      <c r="D276" s="33">
        <v>73704.378381673669</v>
      </c>
      <c r="E276" s="33">
        <v>46998.115210948919</v>
      </c>
      <c r="F276" s="33"/>
      <c r="G276" s="33">
        <v>13918.190455426364</v>
      </c>
      <c r="H276" s="33">
        <v>33082.831665111698</v>
      </c>
      <c r="I276" s="33">
        <v>51079.342485047542</v>
      </c>
      <c r="J276" s="33">
        <v>19089.571564201899</v>
      </c>
      <c r="K276" s="33">
        <v>1458.3778037821157</v>
      </c>
      <c r="L276" s="33">
        <v>3675.748666754977</v>
      </c>
      <c r="M276" s="33">
        <v>444.75574796841352</v>
      </c>
    </row>
    <row r="277" spans="1:13" x14ac:dyDescent="0.35">
      <c r="A277" s="27" t="s">
        <v>153</v>
      </c>
      <c r="B277" s="33">
        <v>88312.362060265863</v>
      </c>
      <c r="D277" s="33">
        <v>63131.665705561187</v>
      </c>
      <c r="E277" s="33">
        <v>24673.963894210454</v>
      </c>
      <c r="F277" s="33"/>
      <c r="G277" s="33">
        <v>3623.2867893962921</v>
      </c>
      <c r="H277" s="33">
        <v>8530.6016186938032</v>
      </c>
      <c r="I277" s="33">
        <v>23583.044177659096</v>
      </c>
      <c r="J277" s="33">
        <v>17895.600696343346</v>
      </c>
      <c r="K277" s="33">
        <v>14527.32386772344</v>
      </c>
      <c r="L277" s="33">
        <v>12760.98222843564</v>
      </c>
      <c r="M277" s="33">
        <v>7391.5226820142434</v>
      </c>
    </row>
    <row r="278" spans="1:13" x14ac:dyDescent="0.35">
      <c r="A278" s="27" t="s">
        <v>154</v>
      </c>
      <c r="B278" s="33">
        <v>313395.95408802351</v>
      </c>
      <c r="D278" s="33">
        <v>191956.19738143796</v>
      </c>
      <c r="E278" s="33">
        <v>121069.59290736813</v>
      </c>
      <c r="F278" s="33"/>
      <c r="G278" s="33">
        <v>22379.185992398099</v>
      </c>
      <c r="H278" s="33">
        <v>31438.248977417683</v>
      </c>
      <c r="I278" s="33">
        <v>63727.426694090071</v>
      </c>
      <c r="J278" s="33">
        <v>70592.71563712215</v>
      </c>
      <c r="K278" s="33">
        <v>59099.185767955278</v>
      </c>
      <c r="L278" s="33">
        <v>41818.727690591339</v>
      </c>
      <c r="M278" s="33">
        <v>24340.463328448917</v>
      </c>
    </row>
    <row r="279" spans="1:13" x14ac:dyDescent="0.35">
      <c r="A279" s="27" t="s">
        <v>155</v>
      </c>
      <c r="B279" s="33">
        <v>3483472.4100722815</v>
      </c>
      <c r="D279" s="33">
        <v>1609840.634932447</v>
      </c>
      <c r="E279" s="33">
        <v>1859587.8271008057</v>
      </c>
      <c r="F279" s="33"/>
      <c r="G279" s="33">
        <v>177776.95663238462</v>
      </c>
      <c r="H279" s="33">
        <v>404911.46882644889</v>
      </c>
      <c r="I279" s="33">
        <v>674922.17755071539</v>
      </c>
      <c r="J279" s="33">
        <v>711005.78310093121</v>
      </c>
      <c r="K279" s="33">
        <v>556977.62758059846</v>
      </c>
      <c r="L279" s="33">
        <v>494315.19530226418</v>
      </c>
      <c r="M279" s="33">
        <v>463563.2010789339</v>
      </c>
    </row>
    <row r="280" spans="1:13" x14ac:dyDescent="0.35">
      <c r="A280" s="27" t="s">
        <v>156</v>
      </c>
      <c r="B280" s="33">
        <v>5093.1717658674625</v>
      </c>
      <c r="D280" s="33">
        <v>1813.7976099996515</v>
      </c>
      <c r="E280" s="33">
        <v>2816.5413189227302</v>
      </c>
      <c r="F280" s="33"/>
      <c r="G280" s="33">
        <v>0</v>
      </c>
      <c r="H280" s="33">
        <v>2442.3868418085631</v>
      </c>
      <c r="I280" s="33">
        <v>2277.1531188881891</v>
      </c>
      <c r="J280" s="33">
        <v>0</v>
      </c>
      <c r="K280" s="33">
        <v>0</v>
      </c>
      <c r="L280" s="33">
        <v>0</v>
      </c>
      <c r="M280" s="33">
        <v>373.6318051707093</v>
      </c>
    </row>
    <row r="281" spans="1:13" x14ac:dyDescent="0.35">
      <c r="A281" s="27" t="s">
        <v>157</v>
      </c>
      <c r="B281" s="33">
        <v>11842.014150141989</v>
      </c>
      <c r="D281" s="33">
        <v>6772.59309627122</v>
      </c>
      <c r="E281" s="33">
        <v>5069.4210538707712</v>
      </c>
      <c r="F281" s="33"/>
      <c r="G281" s="33">
        <v>0</v>
      </c>
      <c r="H281" s="33">
        <v>1754.087080517832</v>
      </c>
      <c r="I281" s="33">
        <v>4250.7798754458654</v>
      </c>
      <c r="J281" s="33">
        <v>2943.0075696827907</v>
      </c>
      <c r="K281" s="33">
        <v>2464.6000381757717</v>
      </c>
      <c r="L281" s="33">
        <v>429.53958631973052</v>
      </c>
      <c r="M281" s="33">
        <v>0</v>
      </c>
    </row>
    <row r="282" spans="1:13" x14ac:dyDescent="0.35">
      <c r="A282" s="27" t="s">
        <v>158</v>
      </c>
      <c r="B282" s="33">
        <v>405253.07704761752</v>
      </c>
      <c r="D282" s="33">
        <v>281138.39224229468</v>
      </c>
      <c r="E282" s="33">
        <v>123530.02995952948</v>
      </c>
      <c r="F282" s="33"/>
      <c r="G282" s="33">
        <v>66031.570727243874</v>
      </c>
      <c r="H282" s="33">
        <v>81668.122450992203</v>
      </c>
      <c r="I282" s="33">
        <v>93508.855237584081</v>
      </c>
      <c r="J282" s="33">
        <v>62640.395679271438</v>
      </c>
      <c r="K282" s="33">
        <v>48137.684728648092</v>
      </c>
      <c r="L282" s="33">
        <v>29064.520483056298</v>
      </c>
      <c r="M282" s="33">
        <v>24201.927740821695</v>
      </c>
    </row>
    <row r="283" spans="1:13" x14ac:dyDescent="0.35">
      <c r="A283" s="27" t="s">
        <v>282</v>
      </c>
      <c r="B283" s="33">
        <v>25961.623532743517</v>
      </c>
      <c r="D283" s="33">
        <v>16261.468600733971</v>
      </c>
      <c r="E283" s="33">
        <v>9700.1549320095401</v>
      </c>
      <c r="F283" s="33"/>
      <c r="G283" s="33">
        <v>8901.6224374920148</v>
      </c>
      <c r="H283" s="33">
        <v>5286.4394421423895</v>
      </c>
      <c r="I283" s="33">
        <v>3827.4604927599048</v>
      </c>
      <c r="J283" s="33">
        <v>2155.6995219415103</v>
      </c>
      <c r="K283" s="33">
        <v>3369.4066495427478</v>
      </c>
      <c r="L283" s="33">
        <v>1653.61384217965</v>
      </c>
      <c r="M283" s="33">
        <v>767.38114668529397</v>
      </c>
    </row>
    <row r="284" spans="1:13" x14ac:dyDescent="0.35">
      <c r="A284" s="27" t="s">
        <v>159</v>
      </c>
      <c r="B284" s="33">
        <v>2787.6264494296279</v>
      </c>
      <c r="D284" s="33">
        <v>2324.7936124845482</v>
      </c>
      <c r="E284" s="33">
        <v>462.83283694507992</v>
      </c>
      <c r="F284" s="33"/>
      <c r="G284" s="33">
        <v>0</v>
      </c>
      <c r="H284" s="33">
        <v>1386.9779347673089</v>
      </c>
      <c r="I284" s="33">
        <v>920.37345882203385</v>
      </c>
      <c r="J284" s="33">
        <v>480.27505584028523</v>
      </c>
      <c r="K284" s="33">
        <v>0</v>
      </c>
      <c r="L284" s="33">
        <v>0</v>
      </c>
      <c r="M284" s="33">
        <v>0</v>
      </c>
    </row>
    <row r="285" spans="1:13" x14ac:dyDescent="0.35">
      <c r="A285" s="27" t="s">
        <v>160</v>
      </c>
      <c r="B285" s="33">
        <v>1118407.3497845682</v>
      </c>
      <c r="D285" s="33">
        <v>648072.91104707739</v>
      </c>
      <c r="E285" s="33">
        <v>469132.70146793197</v>
      </c>
      <c r="F285" s="33"/>
      <c r="G285" s="33">
        <v>95372.286255732499</v>
      </c>
      <c r="H285" s="33">
        <v>185483.65581320247</v>
      </c>
      <c r="I285" s="33">
        <v>263537.21737815731</v>
      </c>
      <c r="J285" s="33">
        <v>205044.32086507487</v>
      </c>
      <c r="K285" s="33">
        <v>176119.59387074457</v>
      </c>
      <c r="L285" s="33">
        <v>101658.07686396281</v>
      </c>
      <c r="M285" s="33">
        <v>91192.198737691302</v>
      </c>
    </row>
    <row r="286" spans="1:13" x14ac:dyDescent="0.35">
      <c r="A286" s="27" t="s">
        <v>161</v>
      </c>
      <c r="B286" s="33">
        <v>142358.08634760231</v>
      </c>
      <c r="D286" s="33">
        <v>72631.408108426316</v>
      </c>
      <c r="E286" s="33">
        <v>69726.678239175846</v>
      </c>
      <c r="F286" s="33"/>
      <c r="G286" s="33">
        <v>10741.974339865243</v>
      </c>
      <c r="H286" s="33">
        <v>20206.218421295129</v>
      </c>
      <c r="I286" s="33">
        <v>21011.373188870548</v>
      </c>
      <c r="J286" s="33">
        <v>26615.985842786184</v>
      </c>
      <c r="K286" s="33">
        <v>21530.105560260883</v>
      </c>
      <c r="L286" s="33">
        <v>21605.368122590917</v>
      </c>
      <c r="M286" s="33">
        <v>20647.06087193331</v>
      </c>
    </row>
    <row r="287" spans="1:13" x14ac:dyDescent="0.35">
      <c r="A287" s="27" t="s">
        <v>162</v>
      </c>
      <c r="B287" s="33">
        <v>544.97872172053576</v>
      </c>
      <c r="D287" s="33">
        <v>0</v>
      </c>
      <c r="E287" s="33">
        <v>544.97872172053576</v>
      </c>
      <c r="F287" s="33"/>
      <c r="G287" s="33">
        <v>0</v>
      </c>
      <c r="H287" s="33">
        <v>0</v>
      </c>
      <c r="I287" s="33">
        <v>0</v>
      </c>
      <c r="J287" s="33">
        <v>0</v>
      </c>
      <c r="K287" s="33">
        <v>544.97872172053576</v>
      </c>
      <c r="L287" s="33">
        <v>0</v>
      </c>
      <c r="M287" s="33">
        <v>0</v>
      </c>
    </row>
    <row r="288" spans="1:13" x14ac:dyDescent="0.35">
      <c r="A288" s="27" t="s">
        <v>163</v>
      </c>
      <c r="B288" s="33">
        <v>161055.62182901488</v>
      </c>
      <c r="D288" s="33">
        <v>101858.38335134632</v>
      </c>
      <c r="E288" s="33">
        <v>59197.23847766847</v>
      </c>
      <c r="F288" s="33"/>
      <c r="G288" s="33">
        <v>23567.795618380143</v>
      </c>
      <c r="H288" s="33">
        <v>38377.083802131907</v>
      </c>
      <c r="I288" s="33">
        <v>49358.948785599241</v>
      </c>
      <c r="J288" s="33">
        <v>21808.68760172616</v>
      </c>
      <c r="K288" s="33">
        <v>16877.782660950867</v>
      </c>
      <c r="L288" s="33">
        <v>8041.019917156591</v>
      </c>
      <c r="M288" s="33">
        <v>3024.3034430699122</v>
      </c>
    </row>
    <row r="289" spans="1:13" x14ac:dyDescent="0.35">
      <c r="A289" s="27" t="s">
        <v>164</v>
      </c>
      <c r="B289" s="33">
        <v>32393.608415829018</v>
      </c>
      <c r="D289" s="33">
        <v>20434.791913155841</v>
      </c>
      <c r="E289" s="33">
        <v>11958.816502673186</v>
      </c>
      <c r="F289" s="33"/>
      <c r="G289" s="33">
        <v>2903.056116225036</v>
      </c>
      <c r="H289" s="33">
        <v>4178.3889598591022</v>
      </c>
      <c r="I289" s="33">
        <v>7748.2543890359493</v>
      </c>
      <c r="J289" s="33">
        <v>8534.5486113241695</v>
      </c>
      <c r="K289" s="33">
        <v>7627.8906456461827</v>
      </c>
      <c r="L289" s="33">
        <v>1038.6976371359992</v>
      </c>
      <c r="M289" s="33">
        <v>362.7720566025834</v>
      </c>
    </row>
    <row r="290" spans="1:13" x14ac:dyDescent="0.35">
      <c r="A290" s="27" t="s">
        <v>165</v>
      </c>
      <c r="B290" s="33">
        <v>189193.52801041226</v>
      </c>
      <c r="D290" s="33">
        <v>92719.243287373509</v>
      </c>
      <c r="E290" s="33">
        <v>96474.284723038596</v>
      </c>
      <c r="F290" s="33"/>
      <c r="G290" s="33">
        <v>7289.6189713330014</v>
      </c>
      <c r="H290" s="33">
        <v>16821.628648659404</v>
      </c>
      <c r="I290" s="33">
        <v>42708.481026604379</v>
      </c>
      <c r="J290" s="33">
        <v>42336.04244323208</v>
      </c>
      <c r="K290" s="33">
        <v>27308.842526535725</v>
      </c>
      <c r="L290" s="33">
        <v>35140.233396251941</v>
      </c>
      <c r="M290" s="33">
        <v>17588.680997795629</v>
      </c>
    </row>
    <row r="291" spans="1:13" x14ac:dyDescent="0.35">
      <c r="A291" s="27" t="s">
        <v>166</v>
      </c>
      <c r="B291" s="33">
        <v>214994.25594297636</v>
      </c>
      <c r="D291" s="33">
        <v>107114.39918683702</v>
      </c>
      <c r="E291" s="33">
        <v>105334.71120500981</v>
      </c>
      <c r="F291" s="33"/>
      <c r="G291" s="33">
        <v>37828.134070475717</v>
      </c>
      <c r="H291" s="33">
        <v>43252.773259621696</v>
      </c>
      <c r="I291" s="33">
        <v>58082.277787340172</v>
      </c>
      <c r="J291" s="33">
        <v>32123.089503103063</v>
      </c>
      <c r="K291" s="33">
        <v>23306.298187027507</v>
      </c>
      <c r="L291" s="33">
        <v>8409.1188177576241</v>
      </c>
      <c r="M291" s="33">
        <v>11992.56431765068</v>
      </c>
    </row>
    <row r="292" spans="1:13" x14ac:dyDescent="0.35">
      <c r="A292" s="27" t="s">
        <v>167</v>
      </c>
      <c r="B292" s="33">
        <v>295849.36769045377</v>
      </c>
      <c r="D292" s="33">
        <v>171972.38125515773</v>
      </c>
      <c r="E292" s="33">
        <v>120900.28836804039</v>
      </c>
      <c r="F292" s="33"/>
      <c r="G292" s="33">
        <v>102057.418712682</v>
      </c>
      <c r="H292" s="33">
        <v>84400.55726755588</v>
      </c>
      <c r="I292" s="33">
        <v>64369.982365266595</v>
      </c>
      <c r="J292" s="33">
        <v>26269.869438350666</v>
      </c>
      <c r="K292" s="33">
        <v>11703.195906807137</v>
      </c>
      <c r="L292" s="33">
        <v>4188.7547273008013</v>
      </c>
      <c r="M292" s="33">
        <v>2859.5892724910864</v>
      </c>
    </row>
    <row r="293" spans="1:13" x14ac:dyDescent="0.35">
      <c r="A293" s="27" t="s">
        <v>168</v>
      </c>
      <c r="B293" s="33">
        <v>11363621.015043331</v>
      </c>
      <c r="D293" s="33">
        <v>4713658.9303619331</v>
      </c>
      <c r="E293" s="33">
        <v>6603677.8805246316</v>
      </c>
      <c r="F293" s="33"/>
      <c r="G293" s="33">
        <v>306275.92659579701</v>
      </c>
      <c r="H293" s="33">
        <v>847415.53006612568</v>
      </c>
      <c r="I293" s="33">
        <v>1703591.7657847726</v>
      </c>
      <c r="J293" s="33">
        <v>1846165.4686797583</v>
      </c>
      <c r="K293" s="33">
        <v>1960968.6278503491</v>
      </c>
      <c r="L293" s="33">
        <v>2041183.8002381797</v>
      </c>
      <c r="M293" s="33">
        <v>2658019.8958284226</v>
      </c>
    </row>
    <row r="294" spans="1:13" x14ac:dyDescent="0.35">
      <c r="A294" s="27" t="s">
        <v>169</v>
      </c>
      <c r="B294" s="33">
        <v>20906.261245929349</v>
      </c>
      <c r="D294" s="33">
        <v>13571.317404628799</v>
      </c>
      <c r="E294" s="33">
        <v>7334.9438413005555</v>
      </c>
      <c r="F294" s="33"/>
      <c r="G294" s="33">
        <v>4661.390475210389</v>
      </c>
      <c r="H294" s="33">
        <v>5592.1535235684696</v>
      </c>
      <c r="I294" s="33">
        <v>4667.1465306428236</v>
      </c>
      <c r="J294" s="33">
        <v>1202.5736043127156</v>
      </c>
      <c r="K294" s="33">
        <v>3338.7257454409755</v>
      </c>
      <c r="L294" s="33">
        <v>1104.4716502551939</v>
      </c>
      <c r="M294" s="33">
        <v>339.79971649878712</v>
      </c>
    </row>
    <row r="295" spans="1:13" x14ac:dyDescent="0.35">
      <c r="A295" s="27" t="s">
        <v>170</v>
      </c>
      <c r="B295" s="33">
        <v>33981.71528782048</v>
      </c>
      <c r="D295" s="33">
        <v>18941.662589390515</v>
      </c>
      <c r="E295" s="33">
        <v>15040.052698429985</v>
      </c>
      <c r="F295" s="33"/>
      <c r="G295" s="33">
        <v>0</v>
      </c>
      <c r="H295" s="33">
        <v>6023.7377883364406</v>
      </c>
      <c r="I295" s="33">
        <v>7749.4067565922614</v>
      </c>
      <c r="J295" s="33">
        <v>5241.7705630204464</v>
      </c>
      <c r="K295" s="33">
        <v>6247.3103486313757</v>
      </c>
      <c r="L295" s="33">
        <v>7176.3675159606446</v>
      </c>
      <c r="M295" s="33">
        <v>1543.1223152793252</v>
      </c>
    </row>
    <row r="296" spans="1:13" x14ac:dyDescent="0.35">
      <c r="A296" s="27" t="s">
        <v>171</v>
      </c>
      <c r="B296" s="33">
        <v>222350.10830535222</v>
      </c>
      <c r="D296" s="33">
        <v>118978.04087605067</v>
      </c>
      <c r="E296" s="33">
        <v>100114.14348880085</v>
      </c>
      <c r="F296" s="33"/>
      <c r="G296" s="33">
        <v>7771.9609752017786</v>
      </c>
      <c r="H296" s="33">
        <v>38807.448351041086</v>
      </c>
      <c r="I296" s="33">
        <v>65108.180706306128</v>
      </c>
      <c r="J296" s="33">
        <v>42477.123952938862</v>
      </c>
      <c r="K296" s="33">
        <v>28659.558285571533</v>
      </c>
      <c r="L296" s="33">
        <v>21358.192061555092</v>
      </c>
      <c r="M296" s="33">
        <v>18167.643972737802</v>
      </c>
    </row>
    <row r="297" spans="1:13" x14ac:dyDescent="0.35">
      <c r="A297" s="27" t="s">
        <v>172</v>
      </c>
      <c r="B297" s="33">
        <v>520.30615447483262</v>
      </c>
      <c r="D297" s="33">
        <v>0</v>
      </c>
      <c r="E297" s="33">
        <v>520.30615447483262</v>
      </c>
      <c r="F297" s="33"/>
      <c r="G297" s="33">
        <v>0</v>
      </c>
      <c r="H297" s="33">
        <v>0</v>
      </c>
      <c r="I297" s="33">
        <v>0</v>
      </c>
      <c r="J297" s="33">
        <v>520.30615447483262</v>
      </c>
      <c r="K297" s="33">
        <v>0</v>
      </c>
      <c r="L297" s="33">
        <v>0</v>
      </c>
      <c r="M297" s="33">
        <v>0</v>
      </c>
    </row>
    <row r="298" spans="1:13" x14ac:dyDescent="0.35">
      <c r="A298" s="27" t="s">
        <v>173</v>
      </c>
      <c r="B298" s="33">
        <v>7426.4477724700619</v>
      </c>
      <c r="D298" s="33">
        <v>6185.1917028485632</v>
      </c>
      <c r="E298" s="33">
        <v>1241.2560696214971</v>
      </c>
      <c r="F298" s="33"/>
      <c r="G298" s="33">
        <v>0</v>
      </c>
      <c r="H298" s="33">
        <v>487.9161623842441</v>
      </c>
      <c r="I298" s="33">
        <v>0</v>
      </c>
      <c r="J298" s="33">
        <v>1034.0989109219588</v>
      </c>
      <c r="K298" s="33">
        <v>1783.5861553138643</v>
      </c>
      <c r="L298" s="33">
        <v>2000.9478682261797</v>
      </c>
      <c r="M298" s="33">
        <v>2119.8986756238151</v>
      </c>
    </row>
    <row r="299" spans="1:13" x14ac:dyDescent="0.35">
      <c r="A299" s="27" t="s">
        <v>174</v>
      </c>
      <c r="B299" s="33">
        <v>9152.7772913989102</v>
      </c>
      <c r="D299" s="33">
        <v>6612.1002361184701</v>
      </c>
      <c r="E299" s="33">
        <v>2008.0407832887713</v>
      </c>
      <c r="F299" s="33"/>
      <c r="G299" s="33">
        <v>0</v>
      </c>
      <c r="H299" s="33">
        <v>2265.8921769732401</v>
      </c>
      <c r="I299" s="33">
        <v>3841.2168198488271</v>
      </c>
      <c r="J299" s="33">
        <v>1560.8800368543598</v>
      </c>
      <c r="K299" s="33">
        <v>1484.7882577224841</v>
      </c>
      <c r="L299" s="33">
        <v>0</v>
      </c>
      <c r="M299" s="33">
        <v>0</v>
      </c>
    </row>
    <row r="300" spans="1:13" x14ac:dyDescent="0.35">
      <c r="A300" s="27" t="s">
        <v>175</v>
      </c>
      <c r="B300" s="33">
        <v>1148004.5016575777</v>
      </c>
      <c r="D300" s="33">
        <v>176384.68467266523</v>
      </c>
      <c r="E300" s="33">
        <v>968046.94542974222</v>
      </c>
      <c r="F300" s="33"/>
      <c r="G300" s="33">
        <v>26215.275349589032</v>
      </c>
      <c r="H300" s="33">
        <v>89359.745432407144</v>
      </c>
      <c r="I300" s="33">
        <v>261524.63756054931</v>
      </c>
      <c r="J300" s="33">
        <v>243996.94094080763</v>
      </c>
      <c r="K300" s="33">
        <v>204092.39087980401</v>
      </c>
      <c r="L300" s="33">
        <v>172133.97582399673</v>
      </c>
      <c r="M300" s="33">
        <v>150681.53567042062</v>
      </c>
    </row>
    <row r="301" spans="1:13" x14ac:dyDescent="0.35">
      <c r="A301" s="29"/>
      <c r="B301" s="3"/>
      <c r="C301" s="3"/>
      <c r="D301" s="3"/>
      <c r="E301" s="3"/>
      <c r="F301" s="3"/>
      <c r="G301" s="3"/>
      <c r="H301" s="3"/>
      <c r="I301" s="3"/>
      <c r="J301" s="3"/>
      <c r="K301" s="3"/>
      <c r="L301" s="3"/>
      <c r="M301" s="3"/>
    </row>
    <row r="302" spans="1:13" x14ac:dyDescent="0.35">
      <c r="A302" s="17" t="s">
        <v>285</v>
      </c>
    </row>
    <row r="303" spans="1:13" x14ac:dyDescent="0.35">
      <c r="A303" s="12" t="s">
        <v>25</v>
      </c>
    </row>
    <row r="304" spans="1:13" x14ac:dyDescent="0.35">
      <c r="A304" s="12" t="s">
        <v>26</v>
      </c>
    </row>
    <row r="305" spans="1:1" x14ac:dyDescent="0.35">
      <c r="A305" s="79" t="s">
        <v>295</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B159&lt;'8'!$C$104</xm:f>
            <x14:dxf>
              <font>
                <color rgb="FFFF0000"/>
              </font>
              <numFmt numFmtId="168" formatCode="\*\*0.0%"/>
            </x14:dxf>
          </x14:cfRule>
          <x14:cfRule type="expression" priority="4" id="{767842BC-2D6D-4943-A760-DEC36DBD32AF}">
            <xm:f>B159&lt;'8'!$C$103</xm:f>
            <x14:dxf>
              <font>
                <color rgb="FF00B050"/>
              </font>
              <numFmt numFmtId="167" formatCode="\*0.0%"/>
            </x14:dxf>
          </x14:cfRule>
          <xm:sqref>B16:M157</xm:sqref>
        </x14:conditionalFormatting>
        <x14:conditionalFormatting xmlns:xm="http://schemas.microsoft.com/office/excel/2006/main">
          <x14:cfRule type="expression" priority="1" id="{65207585-0AA8-41C6-B943-9579A529B922}">
            <xm:f>B159&lt;'8'!$C$104</xm:f>
            <x14:dxf>
              <font>
                <color rgb="FFFF0000"/>
              </font>
              <numFmt numFmtId="170" formatCode="\*\*#,###,###,##0"/>
            </x14:dxf>
          </x14:cfRule>
          <x14:cfRule type="expression" priority="2" id="{7DAE0285-42A3-4634-A750-BD06D1D2DFF9}">
            <xm:f>B159&lt;'8'!$C$103</xm:f>
            <x14:dxf>
              <font>
                <color rgb="FF00B050"/>
              </font>
              <numFmt numFmtId="169" formatCode="\*#,###,###,##0"/>
            </x14:dxf>
          </x14:cfRule>
          <xm:sqref>B159:M300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workbookViewId="0">
      <pane xSplit="1" ySplit="15" topLeftCell="B16" activePane="bottomRight" state="frozen"/>
      <selection pane="topRight" activeCell="B1" sqref="B1"/>
      <selection pane="bottomLeft" activeCell="A16" sqref="A16"/>
      <selection pane="bottomRight" activeCell="B157" sqref="A14:J157"/>
    </sheetView>
  </sheetViews>
  <sheetFormatPr defaultColWidth="8.81640625" defaultRowHeight="14.5" x14ac:dyDescent="0.35"/>
  <cols>
    <col min="1" max="1" width="30.7265625" style="1" customWidth="1"/>
    <col min="2" max="2" width="12.81640625" style="1" customWidth="1"/>
    <col min="3" max="3" width="7" style="1" customWidth="1"/>
    <col min="4" max="5" width="12.81640625" style="1" customWidth="1"/>
    <col min="6" max="6" width="7" style="1" customWidth="1"/>
    <col min="7" max="10" width="12.81640625" style="1" customWidth="1"/>
    <col min="11" max="16384" width="8.81640625" style="1"/>
  </cols>
  <sheetData>
    <row r="1" spans="1:10" x14ac:dyDescent="0.35">
      <c r="A1" s="20"/>
      <c r="B1" s="20"/>
      <c r="C1" s="20"/>
      <c r="D1" s="20"/>
      <c r="E1" s="20"/>
      <c r="F1" s="34"/>
      <c r="G1" s="20"/>
      <c r="H1" s="20"/>
      <c r="I1" s="20"/>
      <c r="J1" s="20"/>
    </row>
    <row r="2" spans="1:10" x14ac:dyDescent="0.35">
      <c r="A2" s="20"/>
      <c r="B2" s="20"/>
      <c r="C2" s="20"/>
      <c r="D2" s="20"/>
      <c r="E2" s="20"/>
      <c r="F2" s="34"/>
      <c r="G2" s="20"/>
      <c r="H2" s="20"/>
      <c r="I2" s="20"/>
      <c r="J2" s="20"/>
    </row>
    <row r="3" spans="1:10" x14ac:dyDescent="0.35">
      <c r="A3" s="20"/>
      <c r="B3" s="20"/>
      <c r="C3" s="20"/>
      <c r="D3" s="20"/>
      <c r="E3" s="20"/>
      <c r="F3" s="34"/>
      <c r="G3" s="20"/>
      <c r="H3" s="20"/>
      <c r="I3" s="20"/>
      <c r="J3" s="20"/>
    </row>
    <row r="4" spans="1:10" x14ac:dyDescent="0.35">
      <c r="A4" s="20"/>
      <c r="B4" s="20"/>
      <c r="C4" s="20"/>
      <c r="D4" s="20"/>
      <c r="E4" s="20"/>
      <c r="F4" s="34"/>
      <c r="G4" s="20"/>
      <c r="H4" s="20"/>
      <c r="I4" s="20"/>
      <c r="J4" s="20"/>
    </row>
    <row r="5" spans="1:10" x14ac:dyDescent="0.35">
      <c r="A5" s="20"/>
      <c r="B5" s="20"/>
      <c r="C5" s="20"/>
      <c r="D5" s="20"/>
      <c r="E5" s="20"/>
      <c r="F5" s="34"/>
      <c r="G5" s="20"/>
      <c r="H5" s="20"/>
      <c r="I5" s="20"/>
      <c r="J5" s="20"/>
    </row>
    <row r="6" spans="1:10" x14ac:dyDescent="0.35">
      <c r="A6" s="20"/>
      <c r="B6" s="20"/>
      <c r="C6" s="20"/>
      <c r="D6" s="20"/>
      <c r="E6" s="20"/>
      <c r="F6" s="34"/>
      <c r="G6" s="20"/>
      <c r="H6" s="20"/>
      <c r="I6" s="20"/>
      <c r="J6" s="20"/>
    </row>
    <row r="7" spans="1:10" x14ac:dyDescent="0.35">
      <c r="A7" s="20"/>
      <c r="B7" s="20"/>
      <c r="C7" s="20"/>
      <c r="D7" s="20"/>
      <c r="E7" s="20"/>
      <c r="F7" s="34"/>
      <c r="G7" s="20"/>
      <c r="H7" s="20"/>
      <c r="I7" s="20"/>
      <c r="J7" s="20"/>
    </row>
    <row r="8" spans="1:10" x14ac:dyDescent="0.35">
      <c r="A8" s="21" t="s">
        <v>288</v>
      </c>
      <c r="B8" s="21"/>
      <c r="C8" s="21"/>
      <c r="D8" s="20"/>
      <c r="E8" s="20"/>
      <c r="F8" s="34"/>
      <c r="G8" s="21"/>
      <c r="H8" s="20"/>
      <c r="I8" s="20"/>
      <c r="J8" s="21"/>
    </row>
    <row r="9" spans="1:10" x14ac:dyDescent="0.35">
      <c r="A9" s="20" t="s">
        <v>0</v>
      </c>
      <c r="B9" s="21" t="s">
        <v>287</v>
      </c>
      <c r="C9" s="21"/>
      <c r="D9" s="20"/>
      <c r="E9" s="20"/>
      <c r="F9" s="34"/>
      <c r="G9" s="20"/>
      <c r="H9" s="20"/>
      <c r="I9" s="20"/>
      <c r="J9" s="21"/>
    </row>
    <row r="10" spans="1:10" x14ac:dyDescent="0.35">
      <c r="A10" s="20" t="s">
        <v>10</v>
      </c>
      <c r="B10" s="22">
        <v>2</v>
      </c>
      <c r="C10" s="21"/>
      <c r="D10" s="20"/>
      <c r="E10" s="20"/>
      <c r="F10" s="34"/>
      <c r="G10" s="20"/>
      <c r="H10" s="20"/>
      <c r="I10" s="20"/>
      <c r="J10" s="21"/>
    </row>
    <row r="11" spans="1:10" x14ac:dyDescent="0.35">
      <c r="A11" s="20" t="s">
        <v>1</v>
      </c>
      <c r="B11" s="21" t="s">
        <v>276</v>
      </c>
      <c r="C11" s="21"/>
      <c r="D11" s="20"/>
      <c r="E11" s="20"/>
      <c r="F11" s="34"/>
      <c r="G11" s="20"/>
      <c r="H11" s="20"/>
      <c r="I11" s="20"/>
      <c r="J11" s="21"/>
    </row>
    <row r="12" spans="1:10" x14ac:dyDescent="0.35">
      <c r="A12" s="23" t="s">
        <v>11</v>
      </c>
      <c r="B12" s="24" t="s">
        <v>27</v>
      </c>
      <c r="C12" s="24"/>
      <c r="D12" s="23"/>
      <c r="E12" s="23"/>
      <c r="F12" s="35"/>
      <c r="G12" s="23"/>
      <c r="H12" s="23"/>
      <c r="I12" s="23"/>
      <c r="J12" s="24"/>
    </row>
    <row r="13" spans="1:10" ht="25" customHeight="1" x14ac:dyDescent="0.35">
      <c r="A13" s="32"/>
      <c r="B13" s="36"/>
      <c r="C13" s="36"/>
      <c r="D13" s="36"/>
      <c r="E13" s="36"/>
      <c r="F13" s="37"/>
      <c r="G13" s="82" t="s">
        <v>17</v>
      </c>
      <c r="H13" s="82"/>
      <c r="I13" s="82"/>
      <c r="J13" s="82"/>
    </row>
    <row r="14" spans="1:10" s="49" customFormat="1" ht="25" customHeight="1" x14ac:dyDescent="0.35">
      <c r="A14" s="50"/>
      <c r="B14" s="30" t="s">
        <v>13</v>
      </c>
      <c r="C14" s="30"/>
      <c r="D14" s="30" t="s">
        <v>14</v>
      </c>
      <c r="E14" s="30" t="s">
        <v>15</v>
      </c>
      <c r="F14" s="38"/>
      <c r="G14" s="30" t="s">
        <v>28</v>
      </c>
      <c r="H14" s="30" t="s">
        <v>29</v>
      </c>
      <c r="I14" s="30" t="s">
        <v>30</v>
      </c>
      <c r="J14" s="30" t="s">
        <v>31</v>
      </c>
    </row>
    <row r="15" spans="1:10" ht="15" customHeight="1" x14ac:dyDescent="0.35">
      <c r="A15" s="43"/>
      <c r="B15" s="80" t="s">
        <v>33</v>
      </c>
      <c r="C15" s="80"/>
      <c r="D15" s="80"/>
      <c r="E15" s="80"/>
      <c r="F15" s="80"/>
      <c r="G15" s="80"/>
      <c r="H15" s="80"/>
      <c r="I15" s="80"/>
      <c r="J15" s="80"/>
    </row>
    <row r="16" spans="1:10" ht="15" customHeight="1" x14ac:dyDescent="0.35">
      <c r="A16" s="27" t="s">
        <v>39</v>
      </c>
      <c r="B16" s="4">
        <v>9.47297977681909E-4</v>
      </c>
      <c r="D16" s="4">
        <v>1.2668830078649579E-3</v>
      </c>
      <c r="E16" s="4">
        <v>6.1676158730453775E-4</v>
      </c>
      <c r="F16" s="4"/>
      <c r="G16" s="4">
        <v>8.784827151205861E-4</v>
      </c>
      <c r="H16" s="4">
        <v>1.4226226644377469E-3</v>
      </c>
      <c r="I16" s="4">
        <v>6.4473371514382706E-4</v>
      </c>
      <c r="J16" s="4">
        <v>7.4756516800952985E-4</v>
      </c>
    </row>
    <row r="17" spans="1:10" x14ac:dyDescent="0.35">
      <c r="A17" s="27" t="s">
        <v>40</v>
      </c>
      <c r="B17" s="4">
        <v>7.3328943594845456E-4</v>
      </c>
      <c r="D17" s="4">
        <v>1.0916162417255271E-3</v>
      </c>
      <c r="E17" s="4">
        <v>3.6013822324696906E-4</v>
      </c>
      <c r="F17" s="4"/>
      <c r="G17" s="4">
        <v>4.9249466904919441E-4</v>
      </c>
      <c r="H17" s="4">
        <v>1.1447591573747102E-3</v>
      </c>
      <c r="I17" s="4">
        <v>6.092517879356849E-4</v>
      </c>
      <c r="J17" s="4">
        <v>6.9544463556266796E-4</v>
      </c>
    </row>
    <row r="18" spans="1:10" x14ac:dyDescent="0.35">
      <c r="A18" s="27" t="s">
        <v>41</v>
      </c>
      <c r="B18" s="4">
        <v>9.5241413199260701E-4</v>
      </c>
      <c r="D18" s="4">
        <v>1.0816766988859658E-3</v>
      </c>
      <c r="E18" s="4">
        <v>8.2312849954795358E-4</v>
      </c>
      <c r="F18" s="4"/>
      <c r="G18" s="4">
        <v>3.938247998241407E-4</v>
      </c>
      <c r="H18" s="4">
        <v>4.4514838440121168E-4</v>
      </c>
      <c r="I18" s="4">
        <v>1.8566446164130928E-3</v>
      </c>
      <c r="J18" s="4">
        <v>1.5369632137698563E-3</v>
      </c>
    </row>
    <row r="19" spans="1:10" x14ac:dyDescent="0.35">
      <c r="A19" s="27" t="s">
        <v>42</v>
      </c>
      <c r="B19" s="4">
        <v>3.2499615132286837E-2</v>
      </c>
      <c r="D19" s="4">
        <v>2.7737359351070384E-2</v>
      </c>
      <c r="E19" s="4">
        <v>3.7528610117770866E-2</v>
      </c>
      <c r="F19" s="4"/>
      <c r="G19" s="4">
        <v>1.1509935611382109E-2</v>
      </c>
      <c r="H19" s="4">
        <v>3.626049086675362E-2</v>
      </c>
      <c r="I19" s="4">
        <v>4.4117766065826285E-2</v>
      </c>
      <c r="J19" s="4">
        <v>4.7686029040400514E-2</v>
      </c>
    </row>
    <row r="20" spans="1:10" x14ac:dyDescent="0.35">
      <c r="A20" s="27" t="s">
        <v>43</v>
      </c>
      <c r="B20" s="4">
        <v>5.8793660628478489E-2</v>
      </c>
      <c r="D20" s="4">
        <v>8.6810423057294625E-2</v>
      </c>
      <c r="E20" s="4">
        <v>2.9372881845242768E-2</v>
      </c>
      <c r="F20" s="4"/>
      <c r="G20" s="4">
        <v>1.2522697802923819E-2</v>
      </c>
      <c r="H20" s="4">
        <v>8.5307605462471986E-2</v>
      </c>
      <c r="I20" s="4">
        <v>7.4597758056560395E-2</v>
      </c>
      <c r="J20" s="4">
        <v>7.888059955580215E-2</v>
      </c>
    </row>
    <row r="21" spans="1:10" x14ac:dyDescent="0.35">
      <c r="A21" s="27" t="s">
        <v>44</v>
      </c>
      <c r="B21" s="4">
        <v>6.0987730927061978E-3</v>
      </c>
      <c r="D21" s="4">
        <v>7.6741934658581326E-3</v>
      </c>
      <c r="E21" s="4">
        <v>4.4804283797627359E-3</v>
      </c>
      <c r="F21" s="4"/>
      <c r="G21" s="4">
        <v>2.1847251227509776E-3</v>
      </c>
      <c r="H21" s="4">
        <v>5.1044226635089352E-3</v>
      </c>
      <c r="I21" s="4">
        <v>1.0455096065212706E-2</v>
      </c>
      <c r="J21" s="4">
        <v>8.9102404151537411E-3</v>
      </c>
    </row>
    <row r="22" spans="1:10" x14ac:dyDescent="0.35">
      <c r="A22" s="27" t="s">
        <v>45</v>
      </c>
      <c r="B22" s="4">
        <v>4.76851710881066E-3</v>
      </c>
      <c r="D22" s="4">
        <v>8.3016861165378167E-3</v>
      </c>
      <c r="E22" s="4">
        <v>1.070120408902488E-3</v>
      </c>
      <c r="F22" s="4"/>
      <c r="G22" s="4">
        <v>8.6379220370497319E-4</v>
      </c>
      <c r="H22" s="4">
        <v>7.0864316414179064E-3</v>
      </c>
      <c r="I22" s="4">
        <v>4.0421194227836894E-3</v>
      </c>
      <c r="J22" s="4">
        <v>8.4042337539195957E-3</v>
      </c>
    </row>
    <row r="23" spans="1:10" x14ac:dyDescent="0.35">
      <c r="A23" s="27" t="s">
        <v>46</v>
      </c>
      <c r="B23" s="4">
        <v>7.0823263722762583E-2</v>
      </c>
      <c r="D23" s="4">
        <v>9.3200154229502855E-2</v>
      </c>
      <c r="E23" s="4">
        <v>4.7309918934975166E-2</v>
      </c>
      <c r="F23" s="4"/>
      <c r="G23" s="4">
        <v>6.6274888557627618E-3</v>
      </c>
      <c r="H23" s="4">
        <v>8.2148911814495101E-2</v>
      </c>
      <c r="I23" s="4">
        <v>0.10427830026419423</v>
      </c>
      <c r="J23" s="4">
        <v>0.11955518238693781</v>
      </c>
    </row>
    <row r="24" spans="1:10" x14ac:dyDescent="0.35">
      <c r="A24" s="27" t="s">
        <v>47</v>
      </c>
      <c r="B24" s="4">
        <v>5.6560182139863433E-4</v>
      </c>
      <c r="D24" s="4">
        <v>8.9024180932944705E-4</v>
      </c>
      <c r="E24" s="4">
        <v>2.2676670354947285E-4</v>
      </c>
      <c r="F24" s="4"/>
      <c r="G24" s="4">
        <v>8.7046935862723708E-4</v>
      </c>
      <c r="H24" s="4">
        <v>4.2716651216951717E-4</v>
      </c>
      <c r="I24" s="4">
        <v>0</v>
      </c>
      <c r="J24" s="4">
        <v>8.4483316953992476E-4</v>
      </c>
    </row>
    <row r="25" spans="1:10" x14ac:dyDescent="0.35">
      <c r="A25" s="27" t="s">
        <v>48</v>
      </c>
      <c r="B25" s="4">
        <v>1.6458579337261096E-4</v>
      </c>
      <c r="D25" s="4">
        <v>0</v>
      </c>
      <c r="E25" s="4">
        <v>3.3986183446823957E-4</v>
      </c>
      <c r="F25" s="4"/>
      <c r="G25" s="4">
        <v>5.2237420552671634E-4</v>
      </c>
      <c r="H25" s="4">
        <v>0</v>
      </c>
      <c r="I25" s="4">
        <v>0</v>
      </c>
      <c r="J25" s="4">
        <v>0</v>
      </c>
    </row>
    <row r="26" spans="1:10" x14ac:dyDescent="0.35">
      <c r="A26" s="27" t="s">
        <v>49</v>
      </c>
      <c r="B26" s="4">
        <v>0</v>
      </c>
      <c r="D26" s="4">
        <v>0</v>
      </c>
      <c r="E26" s="4">
        <v>0</v>
      </c>
      <c r="F26" s="4"/>
      <c r="G26" s="4">
        <v>0</v>
      </c>
      <c r="H26" s="4">
        <v>0</v>
      </c>
      <c r="I26" s="4">
        <v>0</v>
      </c>
      <c r="J26" s="4">
        <v>0</v>
      </c>
    </row>
    <row r="27" spans="1:10" x14ac:dyDescent="0.35">
      <c r="A27" s="27" t="s">
        <v>50</v>
      </c>
      <c r="B27" s="4">
        <v>1.4591367314411611E-3</v>
      </c>
      <c r="D27" s="4">
        <v>2.2678542501654931E-3</v>
      </c>
      <c r="E27" s="4">
        <v>6.1544564938486625E-4</v>
      </c>
      <c r="F27" s="4"/>
      <c r="G27" s="4">
        <v>0</v>
      </c>
      <c r="H27" s="4">
        <v>4.3704285853234182E-3</v>
      </c>
      <c r="I27" s="4">
        <v>1.0196759237230419E-3</v>
      </c>
      <c r="J27" s="4">
        <v>3.9015945997643878E-4</v>
      </c>
    </row>
    <row r="28" spans="1:10" x14ac:dyDescent="0.35">
      <c r="A28" s="27" t="s">
        <v>51</v>
      </c>
      <c r="B28" s="4">
        <v>0</v>
      </c>
      <c r="D28" s="4">
        <v>0</v>
      </c>
      <c r="E28" s="4">
        <v>0</v>
      </c>
      <c r="F28" s="4"/>
      <c r="G28" s="4">
        <v>0</v>
      </c>
      <c r="H28" s="4">
        <v>0</v>
      </c>
      <c r="I28" s="4">
        <v>0</v>
      </c>
      <c r="J28" s="4">
        <v>0</v>
      </c>
    </row>
    <row r="29" spans="1:10" x14ac:dyDescent="0.35">
      <c r="A29" s="27" t="s">
        <v>52</v>
      </c>
      <c r="B29" s="4">
        <v>0</v>
      </c>
      <c r="D29" s="4">
        <v>0</v>
      </c>
      <c r="E29" s="4">
        <v>0</v>
      </c>
      <c r="F29" s="4"/>
      <c r="G29" s="4">
        <v>0</v>
      </c>
      <c r="H29" s="4">
        <v>0</v>
      </c>
      <c r="I29" s="4">
        <v>0</v>
      </c>
      <c r="J29" s="4">
        <v>0</v>
      </c>
    </row>
    <row r="30" spans="1:10" x14ac:dyDescent="0.35">
      <c r="A30" s="27" t="s">
        <v>53</v>
      </c>
      <c r="B30" s="4">
        <v>2.0240685464990174E-4</v>
      </c>
      <c r="D30" s="4">
        <v>3.953422799663837E-4</v>
      </c>
      <c r="E30" s="4">
        <v>0</v>
      </c>
      <c r="F30" s="4"/>
      <c r="G30" s="4">
        <v>0</v>
      </c>
      <c r="H30" s="4">
        <v>0</v>
      </c>
      <c r="I30" s="4">
        <v>5.5324991565817365E-4</v>
      </c>
      <c r="J30" s="4">
        <v>4.1481466244423218E-4</v>
      </c>
    </row>
    <row r="31" spans="1:10" x14ac:dyDescent="0.35">
      <c r="A31" s="27" t="s">
        <v>54</v>
      </c>
      <c r="B31" s="4">
        <v>0</v>
      </c>
      <c r="D31" s="4">
        <v>0</v>
      </c>
      <c r="E31" s="4">
        <v>0</v>
      </c>
      <c r="F31" s="4"/>
      <c r="G31" s="4">
        <v>0</v>
      </c>
      <c r="H31" s="4">
        <v>0</v>
      </c>
      <c r="I31" s="4">
        <v>0</v>
      </c>
      <c r="J31" s="4">
        <v>0</v>
      </c>
    </row>
    <row r="32" spans="1:10" x14ac:dyDescent="0.35">
      <c r="A32" s="27" t="s">
        <v>55</v>
      </c>
      <c r="B32" s="4">
        <v>4.9489978748838961E-5</v>
      </c>
      <c r="D32" s="4">
        <v>9.66641227042227E-5</v>
      </c>
      <c r="E32" s="4">
        <v>0</v>
      </c>
      <c r="F32" s="4"/>
      <c r="G32" s="4">
        <v>0</v>
      </c>
      <c r="H32" s="4">
        <v>0</v>
      </c>
      <c r="I32" s="4">
        <v>0</v>
      </c>
      <c r="J32" s="4">
        <v>2.3555549270538726E-4</v>
      </c>
    </row>
    <row r="33" spans="1:10" x14ac:dyDescent="0.35">
      <c r="A33" s="27" t="s">
        <v>56</v>
      </c>
      <c r="B33" s="4">
        <v>1.2459626779598405E-4</v>
      </c>
      <c r="D33" s="4">
        <v>2.4336217600420262E-4</v>
      </c>
      <c r="E33" s="4">
        <v>0</v>
      </c>
      <c r="F33" s="4"/>
      <c r="G33" s="4">
        <v>0</v>
      </c>
      <c r="H33" s="4">
        <v>4.6751881145909972E-4</v>
      </c>
      <c r="I33" s="4">
        <v>0</v>
      </c>
      <c r="J33" s="4">
        <v>0</v>
      </c>
    </row>
    <row r="34" spans="1:10" x14ac:dyDescent="0.35">
      <c r="A34" s="27" t="s">
        <v>57</v>
      </c>
      <c r="B34" s="4">
        <v>3.7076429158924271E-3</v>
      </c>
      <c r="D34" s="4">
        <v>5.4906774512956747E-3</v>
      </c>
      <c r="E34" s="4">
        <v>1.8512972191515901E-3</v>
      </c>
      <c r="F34" s="4"/>
      <c r="G34" s="4">
        <v>1.7111875389569146E-3</v>
      </c>
      <c r="H34" s="4">
        <v>4.7264960641268836E-4</v>
      </c>
      <c r="I34" s="4">
        <v>5.3721143046872831E-3</v>
      </c>
      <c r="J34" s="4">
        <v>9.1547110308988853E-3</v>
      </c>
    </row>
    <row r="35" spans="1:10" x14ac:dyDescent="0.35">
      <c r="A35" s="27" t="s">
        <v>58</v>
      </c>
      <c r="B35" s="4">
        <v>0</v>
      </c>
      <c r="D35" s="4">
        <v>0</v>
      </c>
      <c r="E35" s="4">
        <v>0</v>
      </c>
      <c r="F35" s="4"/>
      <c r="G35" s="4">
        <v>0</v>
      </c>
      <c r="H35" s="4">
        <v>0</v>
      </c>
      <c r="I35" s="4">
        <v>0</v>
      </c>
      <c r="J35" s="4">
        <v>0</v>
      </c>
    </row>
    <row r="36" spans="1:10" x14ac:dyDescent="0.35">
      <c r="A36" s="27" t="s">
        <v>59</v>
      </c>
      <c r="B36" s="4">
        <v>1.1145202866786276E-2</v>
      </c>
      <c r="D36" s="4">
        <v>1.0064405529999151E-2</v>
      </c>
      <c r="E36" s="4">
        <v>1.2374105399707711E-2</v>
      </c>
      <c r="F36" s="4"/>
      <c r="G36" s="4">
        <v>9.7781579200711868E-3</v>
      </c>
      <c r="H36" s="4">
        <v>9.8603580952716201E-3</v>
      </c>
      <c r="I36" s="4">
        <v>1.3094473419693621E-2</v>
      </c>
      <c r="J36" s="4">
        <v>1.2892276462649038E-2</v>
      </c>
    </row>
    <row r="37" spans="1:10" x14ac:dyDescent="0.35">
      <c r="A37" s="27" t="s">
        <v>60</v>
      </c>
      <c r="B37" s="4">
        <v>1.7014838996910449E-3</v>
      </c>
      <c r="D37" s="4">
        <v>2.8778318705389294E-4</v>
      </c>
      <c r="E37" s="4">
        <v>3.2092355346600792E-3</v>
      </c>
      <c r="F37" s="4"/>
      <c r="G37" s="4">
        <v>4.8350518745187982E-4</v>
      </c>
      <c r="H37" s="4">
        <v>2.6942168166173034E-3</v>
      </c>
      <c r="I37" s="4">
        <v>1.735416661334523E-3</v>
      </c>
      <c r="J37" s="4">
        <v>2.2351088953578234E-3</v>
      </c>
    </row>
    <row r="38" spans="1:10" x14ac:dyDescent="0.35">
      <c r="A38" s="27" t="s">
        <v>61</v>
      </c>
      <c r="B38" s="4">
        <v>1.5233923121510385E-4</v>
      </c>
      <c r="D38" s="4">
        <v>0</v>
      </c>
      <c r="E38" s="4">
        <v>3.1457326614474585E-4</v>
      </c>
      <c r="F38" s="4"/>
      <c r="G38" s="4">
        <v>4.8350518745187982E-4</v>
      </c>
      <c r="H38" s="4">
        <v>0</v>
      </c>
      <c r="I38" s="4">
        <v>0</v>
      </c>
      <c r="J38" s="4">
        <v>0</v>
      </c>
    </row>
    <row r="39" spans="1:10" x14ac:dyDescent="0.35">
      <c r="A39" s="27" t="s">
        <v>62</v>
      </c>
      <c r="B39" s="4">
        <v>1.3387202431229578E-3</v>
      </c>
      <c r="D39" s="4">
        <v>2.5083382713918115E-4</v>
      </c>
      <c r="E39" s="4">
        <v>2.4992091390484924E-3</v>
      </c>
      <c r="F39" s="4"/>
      <c r="G39" s="4">
        <v>1.3919091656658499E-3</v>
      </c>
      <c r="H39" s="4">
        <v>5.9870758734524804E-4</v>
      </c>
      <c r="I39" s="4">
        <v>2.9386450478247244E-3</v>
      </c>
      <c r="J39" s="4">
        <v>6.1124317984801466E-4</v>
      </c>
    </row>
    <row r="40" spans="1:10" x14ac:dyDescent="0.35">
      <c r="A40" s="27" t="s">
        <v>63</v>
      </c>
      <c r="B40" s="4">
        <v>1.6804286521203821E-3</v>
      </c>
      <c r="D40" s="4">
        <v>1.1539211223697244E-3</v>
      </c>
      <c r="E40" s="4">
        <v>2.250066196532105E-3</v>
      </c>
      <c r="F40" s="4"/>
      <c r="G40" s="4">
        <v>8.8825273662998484E-4</v>
      </c>
      <c r="H40" s="4">
        <v>4.5508714716959138E-3</v>
      </c>
      <c r="I40" s="4">
        <v>0</v>
      </c>
      <c r="J40" s="4">
        <v>8.9354502391077162E-4</v>
      </c>
    </row>
    <row r="41" spans="1:10" x14ac:dyDescent="0.35">
      <c r="A41" s="27" t="s">
        <v>64</v>
      </c>
      <c r="B41" s="4">
        <v>3.3819337766862155E-2</v>
      </c>
      <c r="D41" s="4">
        <v>5.2993031178060833E-2</v>
      </c>
      <c r="E41" s="4">
        <v>1.3810465449875402E-2</v>
      </c>
      <c r="F41" s="4"/>
      <c r="G41" s="4">
        <v>5.7819113792293248E-3</v>
      </c>
      <c r="H41" s="4">
        <v>3.4554261871764531E-2</v>
      </c>
      <c r="I41" s="4">
        <v>5.3951701667521654E-2</v>
      </c>
      <c r="J41" s="4">
        <v>5.4970927054718864E-2</v>
      </c>
    </row>
    <row r="42" spans="1:10" x14ac:dyDescent="0.35">
      <c r="A42" s="27" t="s">
        <v>65</v>
      </c>
      <c r="B42" s="4">
        <v>1.2326647419257154E-4</v>
      </c>
      <c r="D42" s="4">
        <v>2.4076481517881386E-4</v>
      </c>
      <c r="E42" s="4">
        <v>0</v>
      </c>
      <c r="F42" s="4"/>
      <c r="G42" s="4">
        <v>0</v>
      </c>
      <c r="H42" s="4">
        <v>4.625290670955581E-4</v>
      </c>
      <c r="I42" s="4">
        <v>0</v>
      </c>
      <c r="J42" s="4">
        <v>0</v>
      </c>
    </row>
    <row r="43" spans="1:10" x14ac:dyDescent="0.35">
      <c r="A43" s="27" t="s">
        <v>293</v>
      </c>
      <c r="B43" s="4">
        <v>1.5623070878920133E-3</v>
      </c>
      <c r="D43" s="4">
        <v>1.5179803867135134E-3</v>
      </c>
      <c r="E43" s="4">
        <v>1.6212630316486171E-3</v>
      </c>
      <c r="F43" s="4"/>
      <c r="G43" s="4">
        <v>0</v>
      </c>
      <c r="H43" s="4">
        <v>8.3919588757684583E-4</v>
      </c>
      <c r="I43" s="4">
        <v>3.240962799454317E-3</v>
      </c>
      <c r="J43" s="4">
        <v>3.1579856265401816E-3</v>
      </c>
    </row>
    <row r="44" spans="1:10" x14ac:dyDescent="0.35">
      <c r="A44" s="27" t="s">
        <v>66</v>
      </c>
      <c r="B44" s="4">
        <v>0</v>
      </c>
      <c r="D44" s="4">
        <v>0</v>
      </c>
      <c r="E44" s="4">
        <v>0</v>
      </c>
      <c r="F44" s="4"/>
      <c r="G44" s="4">
        <v>0</v>
      </c>
      <c r="H44" s="4">
        <v>0</v>
      </c>
      <c r="I44" s="4">
        <v>0</v>
      </c>
      <c r="J44" s="4">
        <v>0</v>
      </c>
    </row>
    <row r="45" spans="1:10" x14ac:dyDescent="0.35">
      <c r="A45" s="27" t="s">
        <v>67</v>
      </c>
      <c r="B45" s="4">
        <v>1.6529292699026359E-2</v>
      </c>
      <c r="D45" s="4">
        <v>2.1597399132714752E-2</v>
      </c>
      <c r="E45" s="4">
        <v>1.1299177768707789E-2</v>
      </c>
      <c r="F45" s="4"/>
      <c r="G45" s="4">
        <v>1.1018198150395274E-2</v>
      </c>
      <c r="H45" s="4">
        <v>1.9650065652848495E-2</v>
      </c>
      <c r="I45" s="4">
        <v>1.9873410019149457E-2</v>
      </c>
      <c r="J45" s="4">
        <v>1.7519470841025984E-2</v>
      </c>
    </row>
    <row r="46" spans="1:10" x14ac:dyDescent="0.35">
      <c r="A46" s="27" t="s">
        <v>68</v>
      </c>
      <c r="B46" s="4">
        <v>3.0066129827237099E-2</v>
      </c>
      <c r="D46" s="4">
        <v>6.5450643993854897E-3</v>
      </c>
      <c r="E46" s="4">
        <v>5.4836127275513132E-2</v>
      </c>
      <c r="F46" s="4"/>
      <c r="G46" s="4">
        <v>1.7541572322313844E-2</v>
      </c>
      <c r="H46" s="4">
        <v>3.4705127842797279E-2</v>
      </c>
      <c r="I46" s="4">
        <v>4.4099984541996255E-2</v>
      </c>
      <c r="J46" s="4">
        <v>2.9048760884773289E-2</v>
      </c>
    </row>
    <row r="47" spans="1:10" x14ac:dyDescent="0.35">
      <c r="A47" s="27" t="s">
        <v>69</v>
      </c>
      <c r="B47" s="4">
        <v>5.6664194908706965E-2</v>
      </c>
      <c r="D47" s="4">
        <v>1.0550373633035149E-2</v>
      </c>
      <c r="E47" s="4">
        <v>0.10585488754878146</v>
      </c>
      <c r="F47" s="4"/>
      <c r="G47" s="4">
        <v>4.1154914697829809E-2</v>
      </c>
      <c r="H47" s="4">
        <v>8.6601362725510236E-2</v>
      </c>
      <c r="I47" s="4">
        <v>5.5328401904061575E-2</v>
      </c>
      <c r="J47" s="4">
        <v>4.3272461578995454E-2</v>
      </c>
    </row>
    <row r="48" spans="1:10" x14ac:dyDescent="0.35">
      <c r="A48" s="27" t="s">
        <v>70</v>
      </c>
      <c r="B48" s="4">
        <v>1.8118371174955354E-4</v>
      </c>
      <c r="D48" s="4">
        <v>1.2839887896256338E-4</v>
      </c>
      <c r="E48" s="4">
        <v>2.3839093530397796E-4</v>
      </c>
      <c r="F48" s="4"/>
      <c r="G48" s="4">
        <v>0</v>
      </c>
      <c r="H48" s="4">
        <v>4.3318533162043391E-4</v>
      </c>
      <c r="I48" s="4">
        <v>0</v>
      </c>
      <c r="J48" s="4">
        <v>3.1288817764778368E-4</v>
      </c>
    </row>
    <row r="49" spans="1:10" x14ac:dyDescent="0.35">
      <c r="A49" s="27" t="s">
        <v>71</v>
      </c>
      <c r="B49" s="4">
        <v>8.5669331433397547E-4</v>
      </c>
      <c r="D49" s="4">
        <v>0</v>
      </c>
      <c r="E49" s="4">
        <v>1.769030943801211E-3</v>
      </c>
      <c r="F49" s="4"/>
      <c r="G49" s="4">
        <v>5.0396741506542736E-4</v>
      </c>
      <c r="H49" s="4">
        <v>1.2538688268265293E-3</v>
      </c>
      <c r="I49" s="4">
        <v>1.2834715822619244E-3</v>
      </c>
      <c r="J49" s="4">
        <v>4.5867679315286759E-4</v>
      </c>
    </row>
    <row r="50" spans="1:10" x14ac:dyDescent="0.35">
      <c r="A50" s="27" t="s">
        <v>72</v>
      </c>
      <c r="B50" s="4">
        <v>2.0495490068693088E-4</v>
      </c>
      <c r="D50" s="4">
        <v>1.8363872351198756E-4</v>
      </c>
      <c r="E50" s="4">
        <v>2.2907709375208371E-4</v>
      </c>
      <c r="F50" s="4"/>
      <c r="G50" s="4">
        <v>0</v>
      </c>
      <c r="H50" s="4">
        <v>0</v>
      </c>
      <c r="I50" s="4">
        <v>5.3251804149738609E-4</v>
      </c>
      <c r="J50" s="4">
        <v>4.4749912156151971E-4</v>
      </c>
    </row>
    <row r="51" spans="1:10" x14ac:dyDescent="0.35">
      <c r="A51" s="27" t="s">
        <v>73</v>
      </c>
      <c r="B51" s="4">
        <v>0</v>
      </c>
      <c r="D51" s="4">
        <v>0</v>
      </c>
      <c r="E51" s="4">
        <v>0</v>
      </c>
      <c r="F51" s="4"/>
      <c r="G51" s="4">
        <v>0</v>
      </c>
      <c r="H51" s="4">
        <v>0</v>
      </c>
      <c r="I51" s="4">
        <v>0</v>
      </c>
      <c r="J51" s="4">
        <v>0</v>
      </c>
    </row>
    <row r="52" spans="1:10" x14ac:dyDescent="0.35">
      <c r="A52" s="27" t="s">
        <v>74</v>
      </c>
      <c r="B52" s="4">
        <v>2.4551842597413744E-4</v>
      </c>
      <c r="D52" s="4">
        <v>2.5511730443693233E-4</v>
      </c>
      <c r="E52" s="4">
        <v>2.3727084414290985E-4</v>
      </c>
      <c r="F52" s="4"/>
      <c r="G52" s="4">
        <v>0</v>
      </c>
      <c r="H52" s="4">
        <v>9.2125137239814974E-4</v>
      </c>
      <c r="I52" s="4">
        <v>0</v>
      </c>
      <c r="J52" s="4">
        <v>0</v>
      </c>
    </row>
    <row r="53" spans="1:10" x14ac:dyDescent="0.35">
      <c r="A53" s="27" t="s">
        <v>75</v>
      </c>
      <c r="B53" s="4">
        <v>1.7416751343798801E-3</v>
      </c>
      <c r="D53" s="4">
        <v>3.1166401037100008E-4</v>
      </c>
      <c r="E53" s="4">
        <v>3.2669814340983748E-3</v>
      </c>
      <c r="F53" s="4"/>
      <c r="G53" s="4">
        <v>8.5612821187233267E-4</v>
      </c>
      <c r="H53" s="4">
        <v>1.0912319412461897E-3</v>
      </c>
      <c r="I53" s="4">
        <v>2.2265321808739194E-3</v>
      </c>
      <c r="J53" s="4">
        <v>3.4139878524453151E-3</v>
      </c>
    </row>
    <row r="54" spans="1:10" x14ac:dyDescent="0.35">
      <c r="A54" s="27" t="s">
        <v>76</v>
      </c>
      <c r="B54" s="4">
        <v>5.492511895414928E-4</v>
      </c>
      <c r="D54" s="4">
        <v>8.4096043520706654E-4</v>
      </c>
      <c r="E54" s="4">
        <v>2.4510427719971794E-4</v>
      </c>
      <c r="F54" s="4"/>
      <c r="G54" s="4">
        <v>0</v>
      </c>
      <c r="H54" s="4">
        <v>0</v>
      </c>
      <c r="I54" s="4">
        <v>1.1790269999360726E-3</v>
      </c>
      <c r="J54" s="4">
        <v>1.4451885935999804E-3</v>
      </c>
    </row>
    <row r="55" spans="1:10" x14ac:dyDescent="0.35">
      <c r="A55" s="27" t="s">
        <v>77</v>
      </c>
      <c r="B55" s="4">
        <v>8.722961549393187E-4</v>
      </c>
      <c r="D55" s="4">
        <v>1.1364176412427343E-3</v>
      </c>
      <c r="E55" s="4">
        <v>5.9981591720696594E-4</v>
      </c>
      <c r="F55" s="4"/>
      <c r="G55" s="4">
        <v>8.7056172699639923E-4</v>
      </c>
      <c r="H55" s="4">
        <v>0</v>
      </c>
      <c r="I55" s="4">
        <v>1.1539352924363156E-3</v>
      </c>
      <c r="J55" s="4">
        <v>1.7021246236375626E-3</v>
      </c>
    </row>
    <row r="56" spans="1:10" x14ac:dyDescent="0.35">
      <c r="A56" s="27" t="s">
        <v>78</v>
      </c>
      <c r="B56" s="4">
        <v>2.0704251150676389E-3</v>
      </c>
      <c r="D56" s="4">
        <v>3.0144278763200622E-3</v>
      </c>
      <c r="E56" s="4">
        <v>1.0884406305922494E-3</v>
      </c>
      <c r="F56" s="4"/>
      <c r="G56" s="4">
        <v>0</v>
      </c>
      <c r="H56" s="4">
        <v>1.6574264034591051E-3</v>
      </c>
      <c r="I56" s="4">
        <v>2.2081553301272054E-3</v>
      </c>
      <c r="J56" s="4">
        <v>5.5626269636721527E-3</v>
      </c>
    </row>
    <row r="57" spans="1:10" x14ac:dyDescent="0.35">
      <c r="A57" s="27" t="s">
        <v>79</v>
      </c>
      <c r="B57" s="4">
        <v>1.5734661747793942E-2</v>
      </c>
      <c r="D57" s="4">
        <v>1.574695213152446E-2</v>
      </c>
      <c r="E57" s="4">
        <v>1.5528891043967551E-2</v>
      </c>
      <c r="F57" s="4"/>
      <c r="G57" s="4">
        <v>9.9459479690532319E-3</v>
      </c>
      <c r="H57" s="4">
        <v>9.936723089333039E-3</v>
      </c>
      <c r="I57" s="4">
        <v>1.8892142090440996E-2</v>
      </c>
      <c r="J57" s="4">
        <v>2.863939039289546E-2</v>
      </c>
    </row>
    <row r="58" spans="1:10" x14ac:dyDescent="0.35">
      <c r="A58" s="27" t="s">
        <v>80</v>
      </c>
      <c r="B58" s="4">
        <v>2.3813796605323827E-4</v>
      </c>
      <c r="D58" s="4">
        <v>2.6234072504645404E-4</v>
      </c>
      <c r="E58" s="4">
        <v>2.1439385990263416E-4</v>
      </c>
      <c r="F58" s="4"/>
      <c r="G58" s="4">
        <v>0</v>
      </c>
      <c r="H58" s="4">
        <v>0</v>
      </c>
      <c r="I58" s="4">
        <v>6.4473371514382706E-4</v>
      </c>
      <c r="J58" s="4">
        <v>4.9417214242057682E-4</v>
      </c>
    </row>
    <row r="59" spans="1:10" x14ac:dyDescent="0.35">
      <c r="A59" s="27" t="s">
        <v>81</v>
      </c>
      <c r="B59" s="4">
        <v>3.3353303388354631E-4</v>
      </c>
      <c r="D59" s="4">
        <v>6.5145871807405372E-4</v>
      </c>
      <c r="E59" s="4">
        <v>0</v>
      </c>
      <c r="F59" s="4"/>
      <c r="G59" s="4">
        <v>0</v>
      </c>
      <c r="H59" s="4">
        <v>3.1048537281755964E-4</v>
      </c>
      <c r="I59" s="4">
        <v>0</v>
      </c>
      <c r="J59" s="4">
        <v>1.1936610452084372E-3</v>
      </c>
    </row>
    <row r="60" spans="1:10" x14ac:dyDescent="0.35">
      <c r="A60" s="27" t="s">
        <v>82</v>
      </c>
      <c r="B60" s="4">
        <v>0.14306477174492235</v>
      </c>
      <c r="D60" s="4">
        <v>0.21253551855005962</v>
      </c>
      <c r="E60" s="4">
        <v>7.054867373295623E-2</v>
      </c>
      <c r="F60" s="4"/>
      <c r="G60" s="4">
        <v>5.8421373837810563E-2</v>
      </c>
      <c r="H60" s="4">
        <v>0.17401681162164057</v>
      </c>
      <c r="I60" s="4">
        <v>0.20978084247297055</v>
      </c>
      <c r="J60" s="4">
        <v>0.16458527159959407</v>
      </c>
    </row>
    <row r="61" spans="1:10" x14ac:dyDescent="0.35">
      <c r="A61" s="27" t="s">
        <v>83</v>
      </c>
      <c r="B61" s="4">
        <v>2.5397653963129272E-4</v>
      </c>
      <c r="D61" s="4">
        <v>2.6930389011200725E-4</v>
      </c>
      <c r="E61" s="4">
        <v>2.3973822061324862E-4</v>
      </c>
      <c r="F61" s="4"/>
      <c r="G61" s="4">
        <v>4.3760669607347246E-4</v>
      </c>
      <c r="H61" s="4">
        <v>0</v>
      </c>
      <c r="I61" s="4">
        <v>0</v>
      </c>
      <c r="J61" s="4">
        <v>5.5259021948832567E-4</v>
      </c>
    </row>
    <row r="62" spans="1:10" x14ac:dyDescent="0.35">
      <c r="A62" s="27" t="s">
        <v>84</v>
      </c>
      <c r="B62" s="4">
        <v>2.9775675973518057E-4</v>
      </c>
      <c r="D62" s="4">
        <v>2.5084647825925879E-4</v>
      </c>
      <c r="E62" s="4">
        <v>3.4965568640979276E-4</v>
      </c>
      <c r="F62" s="4"/>
      <c r="G62" s="4">
        <v>0</v>
      </c>
      <c r="H62" s="4">
        <v>0</v>
      </c>
      <c r="I62" s="4">
        <v>1.4293031244539309E-3</v>
      </c>
      <c r="J62" s="4">
        <v>0</v>
      </c>
    </row>
    <row r="63" spans="1:10" x14ac:dyDescent="0.35">
      <c r="A63" s="27" t="s">
        <v>85</v>
      </c>
      <c r="B63" s="4">
        <v>0</v>
      </c>
      <c r="D63" s="4">
        <v>0</v>
      </c>
      <c r="E63" s="4">
        <v>0</v>
      </c>
      <c r="F63" s="4"/>
      <c r="G63" s="4">
        <v>0</v>
      </c>
      <c r="H63" s="4">
        <v>0</v>
      </c>
      <c r="I63" s="4">
        <v>0</v>
      </c>
      <c r="J63" s="4">
        <v>0</v>
      </c>
    </row>
    <row r="64" spans="1:10" x14ac:dyDescent="0.35">
      <c r="A64" s="27" t="s">
        <v>86</v>
      </c>
      <c r="B64" s="4">
        <v>5.4908296390806478E-3</v>
      </c>
      <c r="D64" s="4">
        <v>8.0018513020141905E-3</v>
      </c>
      <c r="E64" s="4">
        <v>2.8786503323574475E-3</v>
      </c>
      <c r="F64" s="4"/>
      <c r="G64" s="4">
        <v>2.9890777889491921E-3</v>
      </c>
      <c r="H64" s="4">
        <v>4.7125423610567809E-3</v>
      </c>
      <c r="I64" s="4">
        <v>9.9453696482862744E-3</v>
      </c>
      <c r="J64" s="4">
        <v>5.8129057833438691E-3</v>
      </c>
    </row>
    <row r="65" spans="1:10" x14ac:dyDescent="0.35">
      <c r="A65" s="27" t="s">
        <v>87</v>
      </c>
      <c r="B65" s="4">
        <v>2.8869860526964028E-4</v>
      </c>
      <c r="D65" s="4">
        <v>2.6930389011200725E-4</v>
      </c>
      <c r="E65" s="4">
        <v>3.1143763453325474E-4</v>
      </c>
      <c r="F65" s="4"/>
      <c r="G65" s="4">
        <v>4.3760669607347246E-4</v>
      </c>
      <c r="H65" s="4">
        <v>5.6592007083803013E-4</v>
      </c>
      <c r="I65" s="4">
        <v>0</v>
      </c>
      <c r="J65" s="4">
        <v>0</v>
      </c>
    </row>
    <row r="66" spans="1:10" x14ac:dyDescent="0.35">
      <c r="A66" s="27" t="s">
        <v>88</v>
      </c>
      <c r="B66" s="4">
        <v>1.0934552483645109E-3</v>
      </c>
      <c r="D66" s="4">
        <v>2.6930389011200725E-4</v>
      </c>
      <c r="E66" s="4">
        <v>1.9732218226953891E-3</v>
      </c>
      <c r="F66" s="4"/>
      <c r="G66" s="4">
        <v>4.3760669607347246E-4</v>
      </c>
      <c r="H66" s="4">
        <v>9.9277100342381715E-4</v>
      </c>
      <c r="I66" s="4">
        <v>2.2388064000682583E-3</v>
      </c>
      <c r="J66" s="4">
        <v>1.0690370863887413E-3</v>
      </c>
    </row>
    <row r="67" spans="1:10" x14ac:dyDescent="0.35">
      <c r="A67" s="27" t="s">
        <v>89</v>
      </c>
      <c r="B67" s="4">
        <v>6.9725868464709115E-2</v>
      </c>
      <c r="D67" s="4">
        <v>3.0658925189712818E-2</v>
      </c>
      <c r="E67" s="4">
        <v>0.11102352027301682</v>
      </c>
      <c r="F67" s="4"/>
      <c r="G67" s="4">
        <v>5.8991231725094025E-2</v>
      </c>
      <c r="H67" s="4">
        <v>0.106124131079519</v>
      </c>
      <c r="I67" s="4">
        <v>7.9164496473445034E-2</v>
      </c>
      <c r="J67" s="4">
        <v>3.0294815006896871E-2</v>
      </c>
    </row>
    <row r="68" spans="1:10" x14ac:dyDescent="0.35">
      <c r="A68" s="27" t="s">
        <v>90</v>
      </c>
      <c r="B68" s="4">
        <v>8.5988986559308318E-4</v>
      </c>
      <c r="D68" s="4">
        <v>1.4983946577296649E-3</v>
      </c>
      <c r="E68" s="4">
        <v>1.9151114342411639E-4</v>
      </c>
      <c r="F68" s="4"/>
      <c r="G68" s="4">
        <v>0</v>
      </c>
      <c r="H68" s="4">
        <v>4.4514838440121168E-4</v>
      </c>
      <c r="I68" s="4">
        <v>1.8608849853121083E-3</v>
      </c>
      <c r="J68" s="4">
        <v>1.6829694447413049E-3</v>
      </c>
    </row>
    <row r="69" spans="1:10" x14ac:dyDescent="0.35">
      <c r="A69" s="27" t="s">
        <v>91</v>
      </c>
      <c r="B69" s="4">
        <v>0</v>
      </c>
      <c r="D69" s="4">
        <v>0</v>
      </c>
      <c r="E69" s="4">
        <v>0</v>
      </c>
      <c r="F69" s="4"/>
      <c r="G69" s="4">
        <v>0</v>
      </c>
      <c r="H69" s="4">
        <v>0</v>
      </c>
      <c r="I69" s="4">
        <v>0</v>
      </c>
      <c r="J69" s="4">
        <v>0</v>
      </c>
    </row>
    <row r="70" spans="1:10" x14ac:dyDescent="0.35">
      <c r="A70" s="27" t="s">
        <v>92</v>
      </c>
      <c r="B70" s="4">
        <v>1.0981536456219262E-2</v>
      </c>
      <c r="D70" s="4">
        <v>8.7459301628719475E-3</v>
      </c>
      <c r="E70" s="4">
        <v>1.3077888378870544E-2</v>
      </c>
      <c r="F70" s="4"/>
      <c r="G70" s="4">
        <v>2.2312753449607128E-3</v>
      </c>
      <c r="H70" s="4">
        <v>7.4041131512885237E-3</v>
      </c>
      <c r="I70" s="4">
        <v>2.0558227969202394E-2</v>
      </c>
      <c r="J70" s="4">
        <v>1.914589853253279E-2</v>
      </c>
    </row>
    <row r="71" spans="1:10" x14ac:dyDescent="0.35">
      <c r="A71" s="27" t="s">
        <v>93</v>
      </c>
      <c r="B71" s="4">
        <v>3.0257969850397556E-4</v>
      </c>
      <c r="D71" s="4">
        <v>0</v>
      </c>
      <c r="E71" s="4">
        <v>6.2481268461364657E-4</v>
      </c>
      <c r="F71" s="4"/>
      <c r="G71" s="4">
        <v>5.2237420552671634E-4</v>
      </c>
      <c r="H71" s="4">
        <v>0</v>
      </c>
      <c r="I71" s="4">
        <v>6.6240349987444825E-4</v>
      </c>
      <c r="J71" s="4">
        <v>0</v>
      </c>
    </row>
    <row r="72" spans="1:10" x14ac:dyDescent="0.35">
      <c r="A72" s="27" t="s">
        <v>94</v>
      </c>
      <c r="B72" s="4">
        <v>6.3722831257468488E-4</v>
      </c>
      <c r="D72" s="4">
        <v>9.7680973894933112E-4</v>
      </c>
      <c r="E72" s="4">
        <v>2.8315136329960593E-4</v>
      </c>
      <c r="F72" s="4"/>
      <c r="G72" s="4">
        <v>0</v>
      </c>
      <c r="H72" s="4">
        <v>1.3746817143189712E-3</v>
      </c>
      <c r="I72" s="4">
        <v>9.8501519682742122E-4</v>
      </c>
      <c r="J72" s="4">
        <v>3.1255223763825029E-4</v>
      </c>
    </row>
    <row r="73" spans="1:10" x14ac:dyDescent="0.35">
      <c r="A73" s="27" t="s">
        <v>95</v>
      </c>
      <c r="B73" s="4">
        <v>1.3106337650958003E-4</v>
      </c>
      <c r="D73" s="4">
        <v>0</v>
      </c>
      <c r="E73" s="4">
        <v>2.7063963820561442E-4</v>
      </c>
      <c r="F73" s="4"/>
      <c r="G73" s="4">
        <v>0</v>
      </c>
      <c r="H73" s="4">
        <v>0</v>
      </c>
      <c r="I73" s="4">
        <v>6.2913531740885383E-4</v>
      </c>
      <c r="J73" s="4">
        <v>0</v>
      </c>
    </row>
    <row r="74" spans="1:10" x14ac:dyDescent="0.35">
      <c r="A74" s="27" t="s">
        <v>96</v>
      </c>
      <c r="B74" s="4">
        <v>1.9147105972569865E-3</v>
      </c>
      <c r="D74" s="4">
        <v>1.1213452397840734E-3</v>
      </c>
      <c r="E74" s="4">
        <v>2.7682868769165494E-3</v>
      </c>
      <c r="F74" s="4"/>
      <c r="G74" s="4">
        <v>1.3044686708707125E-3</v>
      </c>
      <c r="H74" s="4">
        <v>1.6187424256601029E-3</v>
      </c>
      <c r="I74" s="4">
        <v>1.2906897814077148E-3</v>
      </c>
      <c r="J74" s="4">
        <v>3.8240270248536237E-3</v>
      </c>
    </row>
    <row r="75" spans="1:10" x14ac:dyDescent="0.35">
      <c r="A75" s="27" t="s">
        <v>97</v>
      </c>
      <c r="B75" s="4">
        <v>2.7431769617114189E-4</v>
      </c>
      <c r="D75" s="4">
        <v>0</v>
      </c>
      <c r="E75" s="4">
        <v>5.6645299413394005E-4</v>
      </c>
      <c r="F75" s="4"/>
      <c r="G75" s="4">
        <v>8.7064919555302064E-4</v>
      </c>
      <c r="H75" s="4">
        <v>0</v>
      </c>
      <c r="I75" s="4">
        <v>0</v>
      </c>
      <c r="J75" s="4">
        <v>0</v>
      </c>
    </row>
    <row r="76" spans="1:10" x14ac:dyDescent="0.35">
      <c r="A76" s="27" t="s">
        <v>98</v>
      </c>
      <c r="B76" s="4">
        <v>2.2316830951868622E-3</v>
      </c>
      <c r="D76" s="4">
        <v>2.1156414719111492E-3</v>
      </c>
      <c r="E76" s="4">
        <v>2.3716382894855281E-3</v>
      </c>
      <c r="F76" s="4"/>
      <c r="G76" s="4">
        <v>1.8515386585691233E-3</v>
      </c>
      <c r="H76" s="4">
        <v>1.7555592074598905E-3</v>
      </c>
      <c r="I76" s="4">
        <v>2.2928074920215862E-3</v>
      </c>
      <c r="J76" s="4">
        <v>3.3451058812657918E-3</v>
      </c>
    </row>
    <row r="77" spans="1:10" x14ac:dyDescent="0.35">
      <c r="A77" s="27" t="s">
        <v>99</v>
      </c>
      <c r="B77" s="4">
        <v>6.6304579559862261E-3</v>
      </c>
      <c r="D77" s="4">
        <v>9.0106026301823572E-3</v>
      </c>
      <c r="E77" s="4">
        <v>4.165464781638358E-3</v>
      </c>
      <c r="F77" s="4"/>
      <c r="G77" s="4">
        <v>2.5506133507397178E-3</v>
      </c>
      <c r="H77" s="4">
        <v>8.6719582111913843E-3</v>
      </c>
      <c r="I77" s="4">
        <v>1.2125770272627862E-2</v>
      </c>
      <c r="J77" s="4">
        <v>4.710298272360719E-3</v>
      </c>
    </row>
    <row r="78" spans="1:10" x14ac:dyDescent="0.35">
      <c r="A78" s="27" t="s">
        <v>100</v>
      </c>
      <c r="B78" s="4">
        <v>1.8591948139160899E-2</v>
      </c>
      <c r="D78" s="4">
        <v>2.3739408429361376E-2</v>
      </c>
      <c r="E78" s="4">
        <v>1.2964424325302181E-2</v>
      </c>
      <c r="F78" s="4"/>
      <c r="G78" s="4">
        <v>6.5448253577625138E-3</v>
      </c>
      <c r="H78" s="4">
        <v>2.6334695665411693E-2</v>
      </c>
      <c r="I78" s="4">
        <v>2.8590599561802155E-2</v>
      </c>
      <c r="J78" s="4">
        <v>1.6922664293835484E-2</v>
      </c>
    </row>
    <row r="79" spans="1:10" x14ac:dyDescent="0.35">
      <c r="A79" s="27" t="s">
        <v>101</v>
      </c>
      <c r="B79" s="4">
        <v>1.9901554832889724E-4</v>
      </c>
      <c r="D79" s="4">
        <v>3.8871836016223801E-4</v>
      </c>
      <c r="E79" s="4">
        <v>0</v>
      </c>
      <c r="F79" s="4"/>
      <c r="G79" s="4">
        <v>0</v>
      </c>
      <c r="H79" s="4">
        <v>0</v>
      </c>
      <c r="I79" s="4">
        <v>0</v>
      </c>
      <c r="J79" s="4">
        <v>9.4724642701015489E-4</v>
      </c>
    </row>
    <row r="80" spans="1:10" x14ac:dyDescent="0.35">
      <c r="A80" s="27" t="s">
        <v>102</v>
      </c>
      <c r="B80" s="4">
        <v>6.5666919590643479E-5</v>
      </c>
      <c r="D80" s="4">
        <v>1.2826102038015531E-4</v>
      </c>
      <c r="E80" s="4">
        <v>0</v>
      </c>
      <c r="F80" s="4"/>
      <c r="G80" s="4">
        <v>0</v>
      </c>
      <c r="H80" s="4">
        <v>0</v>
      </c>
      <c r="I80" s="4">
        <v>0</v>
      </c>
      <c r="J80" s="4">
        <v>3.1255223763825029E-4</v>
      </c>
    </row>
    <row r="81" spans="1:10" x14ac:dyDescent="0.35">
      <c r="A81" s="27" t="s">
        <v>103</v>
      </c>
      <c r="B81" s="4">
        <v>0</v>
      </c>
      <c r="D81" s="4">
        <v>0</v>
      </c>
      <c r="E81" s="4">
        <v>0</v>
      </c>
      <c r="F81" s="4"/>
      <c r="G81" s="4">
        <v>0</v>
      </c>
      <c r="H81" s="4">
        <v>0</v>
      </c>
      <c r="I81" s="4">
        <v>0</v>
      </c>
      <c r="J81" s="4">
        <v>0</v>
      </c>
    </row>
    <row r="82" spans="1:10" x14ac:dyDescent="0.35">
      <c r="A82" s="27" t="s">
        <v>104</v>
      </c>
      <c r="B82" s="4">
        <v>9.7039302264731193E-4</v>
      </c>
      <c r="D82" s="4">
        <v>8.3459090830137245E-4</v>
      </c>
      <c r="E82" s="4">
        <v>1.1214760691879726E-3</v>
      </c>
      <c r="F82" s="4"/>
      <c r="G82" s="4">
        <v>5.1758821481152396E-4</v>
      </c>
      <c r="H82" s="4">
        <v>4.819368442876845E-4</v>
      </c>
      <c r="I82" s="4">
        <v>1.324357195964018E-3</v>
      </c>
      <c r="J82" s="4">
        <v>1.9180589348458869E-3</v>
      </c>
    </row>
    <row r="83" spans="1:10" x14ac:dyDescent="0.35">
      <c r="A83" s="27" t="s">
        <v>105</v>
      </c>
      <c r="B83" s="4">
        <v>5.5878173595922905E-4</v>
      </c>
      <c r="D83" s="4">
        <v>4.617818575316327E-4</v>
      </c>
      <c r="E83" s="4">
        <v>6.6565647224709271E-4</v>
      </c>
      <c r="F83" s="4"/>
      <c r="G83" s="4">
        <v>4.804245479262066E-4</v>
      </c>
      <c r="H83" s="4">
        <v>0</v>
      </c>
      <c r="I83" s="4">
        <v>1.1348841570048534E-3</v>
      </c>
      <c r="J83" s="4">
        <v>8.1385729406801199E-4</v>
      </c>
    </row>
    <row r="84" spans="1:10" x14ac:dyDescent="0.35">
      <c r="A84" s="27" t="s">
        <v>106</v>
      </c>
      <c r="B84" s="4">
        <v>1.6605125656490966E-4</v>
      </c>
      <c r="D84" s="4">
        <v>0</v>
      </c>
      <c r="E84" s="4">
        <v>3.4288794625270418E-4</v>
      </c>
      <c r="F84" s="4"/>
      <c r="G84" s="4">
        <v>0</v>
      </c>
      <c r="H84" s="4">
        <v>6.2306911341544053E-4</v>
      </c>
      <c r="I84" s="4">
        <v>0</v>
      </c>
      <c r="J84" s="4">
        <v>0</v>
      </c>
    </row>
    <row r="85" spans="1:10" x14ac:dyDescent="0.35">
      <c r="A85" s="27" t="s">
        <v>107</v>
      </c>
      <c r="B85" s="4">
        <v>7.1101771616476602E-3</v>
      </c>
      <c r="D85" s="4">
        <v>6.8359749933619542E-3</v>
      </c>
      <c r="E85" s="4">
        <v>7.1256228506905222E-3</v>
      </c>
      <c r="F85" s="4"/>
      <c r="G85" s="4">
        <v>4.5607800994650576E-4</v>
      </c>
      <c r="H85" s="4">
        <v>1.1858642467662658E-2</v>
      </c>
      <c r="I85" s="4">
        <v>9.7441717534854731E-3</v>
      </c>
      <c r="J85" s="4">
        <v>8.4538819720675236E-3</v>
      </c>
    </row>
    <row r="86" spans="1:10" x14ac:dyDescent="0.35">
      <c r="A86" s="27" t="s">
        <v>108</v>
      </c>
      <c r="B86" s="4">
        <v>0</v>
      </c>
      <c r="D86" s="4">
        <v>0</v>
      </c>
      <c r="E86" s="4">
        <v>0</v>
      </c>
      <c r="F86" s="4"/>
      <c r="G86" s="4">
        <v>0</v>
      </c>
      <c r="H86" s="4">
        <v>0</v>
      </c>
      <c r="I86" s="4">
        <v>0</v>
      </c>
      <c r="J86" s="4">
        <v>0</v>
      </c>
    </row>
    <row r="87" spans="1:10" x14ac:dyDescent="0.35">
      <c r="A87" s="27" t="s">
        <v>109</v>
      </c>
      <c r="B87" s="4">
        <v>0</v>
      </c>
      <c r="D87" s="4">
        <v>0</v>
      </c>
      <c r="E87" s="4">
        <v>0</v>
      </c>
      <c r="F87" s="4"/>
      <c r="G87" s="4">
        <v>0</v>
      </c>
      <c r="H87" s="4">
        <v>0</v>
      </c>
      <c r="I87" s="4">
        <v>0</v>
      </c>
      <c r="J87" s="4">
        <v>0</v>
      </c>
    </row>
    <row r="88" spans="1:10" x14ac:dyDescent="0.35">
      <c r="A88" s="27" t="s">
        <v>110</v>
      </c>
      <c r="B88" s="4">
        <v>9.3047360395123613E-3</v>
      </c>
      <c r="D88" s="4">
        <v>1.0717841559487792E-2</v>
      </c>
      <c r="E88" s="4">
        <v>7.882808660009075E-3</v>
      </c>
      <c r="F88" s="4"/>
      <c r="G88" s="4">
        <v>2.3873559648234723E-3</v>
      </c>
      <c r="H88" s="4">
        <v>1.3253515038441306E-2</v>
      </c>
      <c r="I88" s="4">
        <v>1.1138909901828488E-2</v>
      </c>
      <c r="J88" s="4">
        <v>1.2850708906578195E-2</v>
      </c>
    </row>
    <row r="89" spans="1:10" x14ac:dyDescent="0.35">
      <c r="A89" s="27" t="s">
        <v>111</v>
      </c>
      <c r="B89" s="4">
        <v>1.6998587001173953E-3</v>
      </c>
      <c r="D89" s="4">
        <v>2.2864883852072295E-3</v>
      </c>
      <c r="E89" s="4">
        <v>1.0928248366721119E-3</v>
      </c>
      <c r="F89" s="4"/>
      <c r="G89" s="4">
        <v>8.7432284212148124E-4</v>
      </c>
      <c r="H89" s="4">
        <v>1.0594399077009248E-3</v>
      </c>
      <c r="I89" s="4">
        <v>3.6965025132703953E-3</v>
      </c>
      <c r="J89" s="4">
        <v>1.7704533513086E-3</v>
      </c>
    </row>
    <row r="90" spans="1:10" x14ac:dyDescent="0.35">
      <c r="A90" s="27" t="s">
        <v>112</v>
      </c>
      <c r="B90" s="4">
        <v>0</v>
      </c>
      <c r="D90" s="4">
        <v>0</v>
      </c>
      <c r="E90" s="4">
        <v>0</v>
      </c>
      <c r="F90" s="4"/>
      <c r="G90" s="4">
        <v>0</v>
      </c>
      <c r="H90" s="4">
        <v>0</v>
      </c>
      <c r="I90" s="4">
        <v>0</v>
      </c>
      <c r="J90" s="4">
        <v>0</v>
      </c>
    </row>
    <row r="91" spans="1:10" x14ac:dyDescent="0.35">
      <c r="A91" s="27" t="s">
        <v>113</v>
      </c>
      <c r="B91" s="4">
        <v>3.5534302924134114E-3</v>
      </c>
      <c r="D91" s="4">
        <v>4.5622237661230068E-3</v>
      </c>
      <c r="E91" s="4">
        <v>2.5144276871567786E-3</v>
      </c>
      <c r="F91" s="4"/>
      <c r="G91" s="4">
        <v>1.2159093102916483E-3</v>
      </c>
      <c r="H91" s="4">
        <v>1.9822332857813915E-3</v>
      </c>
      <c r="I91" s="4">
        <v>6.3747016487593925E-3</v>
      </c>
      <c r="J91" s="4">
        <v>6.2544681124231168E-3</v>
      </c>
    </row>
    <row r="92" spans="1:10" x14ac:dyDescent="0.35">
      <c r="A92" s="27" t="s">
        <v>114</v>
      </c>
      <c r="B92" s="4">
        <v>2.5651365777054169E-4</v>
      </c>
      <c r="D92" s="4">
        <v>5.0102401166665156E-4</v>
      </c>
      <c r="E92" s="4">
        <v>0</v>
      </c>
      <c r="F92" s="4"/>
      <c r="G92" s="4">
        <v>0</v>
      </c>
      <c r="H92" s="4">
        <v>3.2457985021422479E-4</v>
      </c>
      <c r="I92" s="4">
        <v>0</v>
      </c>
      <c r="J92" s="4">
        <v>8.0919647747831371E-4</v>
      </c>
    </row>
    <row r="93" spans="1:10" x14ac:dyDescent="0.35">
      <c r="A93" s="27" t="s">
        <v>115</v>
      </c>
      <c r="B93" s="4">
        <v>1.7608773722592448E-3</v>
      </c>
      <c r="D93" s="4">
        <v>1.8438624811752053E-3</v>
      </c>
      <c r="E93" s="4">
        <v>1.6867748248789816E-3</v>
      </c>
      <c r="F93" s="4"/>
      <c r="G93" s="4">
        <v>8.742493477503473E-4</v>
      </c>
      <c r="H93" s="4">
        <v>2.4119973138102556E-4</v>
      </c>
      <c r="I93" s="4">
        <v>2.5988817267609326E-3</v>
      </c>
      <c r="J93" s="4">
        <v>4.1872514034524341E-3</v>
      </c>
    </row>
    <row r="94" spans="1:10" x14ac:dyDescent="0.35">
      <c r="A94" s="27" t="s">
        <v>116</v>
      </c>
      <c r="B94" s="4">
        <v>0</v>
      </c>
      <c r="D94" s="4">
        <v>0</v>
      </c>
      <c r="E94" s="4">
        <v>0</v>
      </c>
      <c r="F94" s="4"/>
      <c r="G94" s="4">
        <v>0</v>
      </c>
      <c r="H94" s="4">
        <v>0</v>
      </c>
      <c r="I94" s="4">
        <v>0</v>
      </c>
      <c r="J94" s="4">
        <v>0</v>
      </c>
    </row>
    <row r="95" spans="1:10" x14ac:dyDescent="0.35">
      <c r="A95" s="27" t="s">
        <v>117</v>
      </c>
      <c r="B95" s="4">
        <v>1.6962736009621545E-3</v>
      </c>
      <c r="D95" s="4">
        <v>2.6961067051807694E-3</v>
      </c>
      <c r="E95" s="4">
        <v>6.5236845239480354E-4</v>
      </c>
      <c r="F95" s="4"/>
      <c r="G95" s="4">
        <v>8.9109822832978379E-4</v>
      </c>
      <c r="H95" s="4">
        <v>2.7510034666183539E-3</v>
      </c>
      <c r="I95" s="4">
        <v>1.2000758386528942E-3</v>
      </c>
      <c r="J95" s="4">
        <v>2.0578504942821412E-3</v>
      </c>
    </row>
    <row r="96" spans="1:10" x14ac:dyDescent="0.35">
      <c r="A96" s="27" t="s">
        <v>118</v>
      </c>
      <c r="B96" s="4">
        <v>4.9598296867536494E-2</v>
      </c>
      <c r="D96" s="4">
        <v>6.4732736916572192E-3</v>
      </c>
      <c r="E96" s="4">
        <v>9.5297666901030254E-2</v>
      </c>
      <c r="F96" s="4"/>
      <c r="G96" s="4">
        <v>3.1421706172061318E-3</v>
      </c>
      <c r="H96" s="4">
        <v>3.6175963654972276E-2</v>
      </c>
      <c r="I96" s="4">
        <v>8.3462668226785927E-2</v>
      </c>
      <c r="J96" s="4">
        <v>0.10271347584418219</v>
      </c>
    </row>
    <row r="97" spans="1:10" x14ac:dyDescent="0.35">
      <c r="A97" s="27" t="s">
        <v>119</v>
      </c>
      <c r="B97" s="4">
        <v>4.7397519324092176E-4</v>
      </c>
      <c r="D97" s="4">
        <v>4.2525232783072078E-4</v>
      </c>
      <c r="E97" s="4">
        <v>5.2915444569999102E-4</v>
      </c>
      <c r="F97" s="4"/>
      <c r="G97" s="4">
        <v>0</v>
      </c>
      <c r="H97" s="4">
        <v>9.6153800372774723E-4</v>
      </c>
      <c r="I97" s="4">
        <v>0</v>
      </c>
      <c r="J97" s="4">
        <v>1.0362740467089804E-3</v>
      </c>
    </row>
    <row r="98" spans="1:10" x14ac:dyDescent="0.35">
      <c r="A98" s="27" t="s">
        <v>120</v>
      </c>
      <c r="B98" s="4">
        <v>2.8039977562127253E-4</v>
      </c>
      <c r="D98" s="4">
        <v>2.5131690900331068E-4</v>
      </c>
      <c r="E98" s="4">
        <v>3.133169948956561E-4</v>
      </c>
      <c r="F98" s="4"/>
      <c r="G98" s="4">
        <v>0</v>
      </c>
      <c r="H98" s="4">
        <v>0</v>
      </c>
      <c r="I98" s="4">
        <v>1.3459854807263121E-3</v>
      </c>
      <c r="J98" s="4">
        <v>0</v>
      </c>
    </row>
    <row r="99" spans="1:10" x14ac:dyDescent="0.35">
      <c r="A99" s="27" t="s">
        <v>121</v>
      </c>
      <c r="B99" s="4">
        <v>1.6248760190710923E-4</v>
      </c>
      <c r="D99" s="4">
        <v>0</v>
      </c>
      <c r="E99" s="4">
        <v>3.355291688965725E-4</v>
      </c>
      <c r="F99" s="4"/>
      <c r="G99" s="4">
        <v>0</v>
      </c>
      <c r="H99" s="4">
        <v>6.0969731970494511E-4</v>
      </c>
      <c r="I99" s="4">
        <v>0</v>
      </c>
      <c r="J99" s="4">
        <v>0</v>
      </c>
    </row>
    <row r="100" spans="1:10" x14ac:dyDescent="0.35">
      <c r="A100" s="27" t="s">
        <v>122</v>
      </c>
      <c r="B100" s="4">
        <v>4.0540768074737114E-3</v>
      </c>
      <c r="D100" s="4">
        <v>5.2316167623259711E-3</v>
      </c>
      <c r="E100" s="4">
        <v>2.6623340229489068E-3</v>
      </c>
      <c r="F100" s="4"/>
      <c r="G100" s="4">
        <v>0</v>
      </c>
      <c r="H100" s="4">
        <v>3.672763983714732E-3</v>
      </c>
      <c r="I100" s="4">
        <v>3.8670452327576074E-3</v>
      </c>
      <c r="J100" s="4">
        <v>1.0802862947456301E-2</v>
      </c>
    </row>
    <row r="101" spans="1:10" x14ac:dyDescent="0.35">
      <c r="A101" s="27" t="s">
        <v>123</v>
      </c>
      <c r="B101" s="4">
        <v>2.0461109661357385E-4</v>
      </c>
      <c r="D101" s="4">
        <v>1.3652817994796906E-4</v>
      </c>
      <c r="E101" s="4">
        <v>2.7817297767805915E-4</v>
      </c>
      <c r="F101" s="4"/>
      <c r="G101" s="4">
        <v>0</v>
      </c>
      <c r="H101" s="4">
        <v>5.0547414241930227E-4</v>
      </c>
      <c r="I101" s="4">
        <v>0</v>
      </c>
      <c r="J101" s="4">
        <v>3.3269802483200665E-4</v>
      </c>
    </row>
    <row r="102" spans="1:10" x14ac:dyDescent="0.35">
      <c r="A102" s="27" t="s">
        <v>124</v>
      </c>
      <c r="B102" s="4">
        <v>9.9612836973072711E-5</v>
      </c>
      <c r="D102" s="4">
        <v>1.9456438938775518E-4</v>
      </c>
      <c r="E102" s="4">
        <v>0</v>
      </c>
      <c r="F102" s="4"/>
      <c r="G102" s="4">
        <v>0</v>
      </c>
      <c r="H102" s="4">
        <v>3.7377423875951016E-4</v>
      </c>
      <c r="I102" s="4">
        <v>0</v>
      </c>
      <c r="J102" s="4">
        <v>0</v>
      </c>
    </row>
    <row r="103" spans="1:10" x14ac:dyDescent="0.35">
      <c r="A103" s="27" t="s">
        <v>125</v>
      </c>
      <c r="B103" s="4">
        <v>1.3530403294357029E-3</v>
      </c>
      <c r="D103" s="4">
        <v>1.9981277588415627E-3</v>
      </c>
      <c r="E103" s="4">
        <v>6.8151965775179639E-4</v>
      </c>
      <c r="F103" s="4"/>
      <c r="G103" s="4">
        <v>0</v>
      </c>
      <c r="H103" s="4">
        <v>3.2528322613356478E-3</v>
      </c>
      <c r="I103" s="4">
        <v>1.2399620601653112E-3</v>
      </c>
      <c r="J103" s="4">
        <v>1.0843955776906301E-3</v>
      </c>
    </row>
    <row r="104" spans="1:10" x14ac:dyDescent="0.35">
      <c r="A104" s="27" t="s">
        <v>126</v>
      </c>
      <c r="B104" s="4">
        <v>0</v>
      </c>
      <c r="D104" s="4">
        <v>0</v>
      </c>
      <c r="E104" s="4">
        <v>0</v>
      </c>
      <c r="F104" s="4"/>
      <c r="G104" s="4">
        <v>0</v>
      </c>
      <c r="H104" s="4">
        <v>0</v>
      </c>
      <c r="I104" s="4">
        <v>0</v>
      </c>
      <c r="J104" s="4">
        <v>0</v>
      </c>
    </row>
    <row r="105" spans="1:10" x14ac:dyDescent="0.35">
      <c r="A105" s="27" t="s">
        <v>127</v>
      </c>
      <c r="B105" s="4">
        <v>5.3896039287055413E-4</v>
      </c>
      <c r="D105" s="4">
        <v>0</v>
      </c>
      <c r="E105" s="4">
        <v>1.1129275745690918E-3</v>
      </c>
      <c r="F105" s="4"/>
      <c r="G105" s="4">
        <v>4.2044825927128676E-4</v>
      </c>
      <c r="H105" s="4">
        <v>0</v>
      </c>
      <c r="I105" s="4">
        <v>7.1699278390916442E-4</v>
      </c>
      <c r="J105" s="4">
        <v>1.2238160749898704E-3</v>
      </c>
    </row>
    <row r="106" spans="1:10" x14ac:dyDescent="0.35">
      <c r="A106" s="27" t="s">
        <v>286</v>
      </c>
      <c r="B106" s="4">
        <v>8.3545904924255013E-4</v>
      </c>
      <c r="D106" s="4">
        <v>1.631823615447192E-3</v>
      </c>
      <c r="E106" s="4">
        <v>0</v>
      </c>
      <c r="F106" s="4"/>
      <c r="G106" s="4">
        <v>0</v>
      </c>
      <c r="H106" s="4">
        <v>8.6411843078537253E-4</v>
      </c>
      <c r="I106" s="4">
        <v>1.7310530041651573E-3</v>
      </c>
      <c r="J106" s="4">
        <v>1.1639685231070744E-3</v>
      </c>
    </row>
    <row r="107" spans="1:10" x14ac:dyDescent="0.35">
      <c r="A107" s="27" t="s">
        <v>128</v>
      </c>
      <c r="B107" s="4">
        <v>7.5693547883761846E-4</v>
      </c>
      <c r="D107" s="4">
        <v>5.1110012489201265E-4</v>
      </c>
      <c r="E107" s="4">
        <v>1.0226946710671411E-3</v>
      </c>
      <c r="F107" s="4"/>
      <c r="G107" s="4">
        <v>0</v>
      </c>
      <c r="H107" s="4">
        <v>6.1838029428076433E-4</v>
      </c>
      <c r="I107" s="4">
        <v>0</v>
      </c>
      <c r="J107" s="4">
        <v>2.8183558914316618E-3</v>
      </c>
    </row>
    <row r="108" spans="1:10" x14ac:dyDescent="0.35">
      <c r="A108" s="27" t="s">
        <v>129</v>
      </c>
      <c r="B108" s="4">
        <v>0</v>
      </c>
      <c r="D108" s="4">
        <v>0</v>
      </c>
      <c r="E108" s="4">
        <v>0</v>
      </c>
      <c r="F108" s="4"/>
      <c r="G108" s="4">
        <v>0</v>
      </c>
      <c r="H108" s="4">
        <v>0</v>
      </c>
      <c r="I108" s="4">
        <v>0</v>
      </c>
      <c r="J108" s="4">
        <v>0</v>
      </c>
    </row>
    <row r="109" spans="1:10" x14ac:dyDescent="0.35">
      <c r="A109" s="27" t="s">
        <v>130</v>
      </c>
      <c r="B109" s="4">
        <v>1.6109066101323627E-4</v>
      </c>
      <c r="D109" s="4">
        <v>0</v>
      </c>
      <c r="E109" s="4">
        <v>3.3264455239895942E-4</v>
      </c>
      <c r="F109" s="4"/>
      <c r="G109" s="4">
        <v>0</v>
      </c>
      <c r="H109" s="4">
        <v>6.0445562059200308E-4</v>
      </c>
      <c r="I109" s="4">
        <v>0</v>
      </c>
      <c r="J109" s="4">
        <v>0</v>
      </c>
    </row>
    <row r="110" spans="1:10" x14ac:dyDescent="0.35">
      <c r="A110" s="27" t="s">
        <v>131</v>
      </c>
      <c r="B110" s="4">
        <v>1.1883313626271886E-3</v>
      </c>
      <c r="D110" s="4">
        <v>4.447022197661604E-4</v>
      </c>
      <c r="E110" s="4">
        <v>1.983703300292074E-3</v>
      </c>
      <c r="F110" s="4"/>
      <c r="G110" s="4">
        <v>0</v>
      </c>
      <c r="H110" s="4">
        <v>4.4820039451540168E-4</v>
      </c>
      <c r="I110" s="4">
        <v>3.3935072325709716E-3</v>
      </c>
      <c r="J110" s="4">
        <v>1.722701221157274E-3</v>
      </c>
    </row>
    <row r="111" spans="1:10" x14ac:dyDescent="0.35">
      <c r="A111" s="27" t="s">
        <v>132</v>
      </c>
      <c r="B111" s="4">
        <v>0</v>
      </c>
      <c r="D111" s="4">
        <v>0</v>
      </c>
      <c r="E111" s="4">
        <v>0</v>
      </c>
      <c r="F111" s="4"/>
      <c r="G111" s="4">
        <v>0</v>
      </c>
      <c r="H111" s="4">
        <v>0</v>
      </c>
      <c r="I111" s="4">
        <v>0</v>
      </c>
      <c r="J111" s="4">
        <v>0</v>
      </c>
    </row>
    <row r="112" spans="1:10" x14ac:dyDescent="0.35">
      <c r="A112" s="27" t="s">
        <v>133</v>
      </c>
      <c r="B112" s="4">
        <v>3.622698393349028E-3</v>
      </c>
      <c r="D112" s="4">
        <v>5.1260284088168835E-3</v>
      </c>
      <c r="E112" s="4">
        <v>2.0614020944972463E-3</v>
      </c>
      <c r="F112" s="4"/>
      <c r="G112" s="4">
        <v>9.3000371631331777E-3</v>
      </c>
      <c r="H112" s="4">
        <v>2.5984903790654268E-3</v>
      </c>
      <c r="I112" s="4">
        <v>0</v>
      </c>
      <c r="J112" s="4">
        <v>0</v>
      </c>
    </row>
    <row r="113" spans="1:10" x14ac:dyDescent="0.35">
      <c r="A113" s="27" t="s">
        <v>134</v>
      </c>
      <c r="B113" s="4">
        <v>1.3841843031546298E-3</v>
      </c>
      <c r="D113" s="4">
        <v>1.658977847381967E-3</v>
      </c>
      <c r="E113" s="4">
        <v>1.1043837734696132E-3</v>
      </c>
      <c r="F113" s="4"/>
      <c r="G113" s="4">
        <v>0</v>
      </c>
      <c r="H113" s="4">
        <v>9.3878889520659459E-4</v>
      </c>
      <c r="I113" s="4">
        <v>1.8222795343356146E-3</v>
      </c>
      <c r="J113" s="4">
        <v>3.5905413928059874E-3</v>
      </c>
    </row>
    <row r="114" spans="1:10" x14ac:dyDescent="0.35">
      <c r="A114" s="27" t="s">
        <v>135</v>
      </c>
      <c r="B114" s="4">
        <v>0</v>
      </c>
      <c r="D114" s="4">
        <v>0</v>
      </c>
      <c r="E114" s="4">
        <v>0</v>
      </c>
      <c r="F114" s="4"/>
      <c r="G114" s="4">
        <v>0</v>
      </c>
      <c r="H114" s="4">
        <v>0</v>
      </c>
      <c r="I114" s="4">
        <v>0</v>
      </c>
      <c r="J114" s="4">
        <v>0</v>
      </c>
    </row>
    <row r="115" spans="1:10" x14ac:dyDescent="0.35">
      <c r="A115" s="27" t="s">
        <v>136</v>
      </c>
      <c r="B115" s="4">
        <v>0</v>
      </c>
      <c r="D115" s="4">
        <v>0</v>
      </c>
      <c r="E115" s="4">
        <v>0</v>
      </c>
      <c r="F115" s="4"/>
      <c r="G115" s="4">
        <v>0</v>
      </c>
      <c r="H115" s="4">
        <v>0</v>
      </c>
      <c r="I115" s="4">
        <v>0</v>
      </c>
      <c r="J115" s="4">
        <v>0</v>
      </c>
    </row>
    <row r="116" spans="1:10" x14ac:dyDescent="0.35">
      <c r="A116" s="27" t="s">
        <v>137</v>
      </c>
      <c r="B116" s="4">
        <v>0</v>
      </c>
      <c r="D116" s="4">
        <v>0</v>
      </c>
      <c r="E116" s="4">
        <v>0</v>
      </c>
      <c r="F116" s="4"/>
      <c r="G116" s="4">
        <v>0</v>
      </c>
      <c r="H116" s="4">
        <v>0</v>
      </c>
      <c r="I116" s="4">
        <v>0</v>
      </c>
      <c r="J116" s="4">
        <v>0</v>
      </c>
    </row>
    <row r="117" spans="1:10" x14ac:dyDescent="0.35">
      <c r="A117" s="27" t="s">
        <v>138</v>
      </c>
      <c r="B117" s="4">
        <v>5.268329953065598E-4</v>
      </c>
      <c r="D117" s="4">
        <v>2.8778318705389294E-4</v>
      </c>
      <c r="E117" s="4">
        <v>7.8363729168121391E-4</v>
      </c>
      <c r="F117" s="4"/>
      <c r="G117" s="4">
        <v>0</v>
      </c>
      <c r="H117" s="4">
        <v>5.5285523731931274E-4</v>
      </c>
      <c r="I117" s="4">
        <v>0</v>
      </c>
      <c r="J117" s="4">
        <v>1.8062631060732442E-3</v>
      </c>
    </row>
    <row r="118" spans="1:10" x14ac:dyDescent="0.35">
      <c r="A118" s="27" t="s">
        <v>139</v>
      </c>
      <c r="B118" s="4">
        <v>1.0005184569558106E-3</v>
      </c>
      <c r="D118" s="4">
        <v>9.3508511076529157E-4</v>
      </c>
      <c r="E118" s="4">
        <v>1.0774400004799037E-3</v>
      </c>
      <c r="F118" s="4"/>
      <c r="G118" s="4">
        <v>0</v>
      </c>
      <c r="H118" s="4">
        <v>0</v>
      </c>
      <c r="I118" s="4">
        <v>0</v>
      </c>
      <c r="J118" s="4">
        <v>4.7621280923380626E-3</v>
      </c>
    </row>
    <row r="119" spans="1:10" x14ac:dyDescent="0.35">
      <c r="A119" s="27" t="s">
        <v>140</v>
      </c>
      <c r="B119" s="4">
        <v>1.7196115746847911E-2</v>
      </c>
      <c r="D119" s="4">
        <v>2.4651962022069349E-2</v>
      </c>
      <c r="E119" s="4">
        <v>9.4468156857892352E-3</v>
      </c>
      <c r="F119" s="4"/>
      <c r="G119" s="4">
        <v>7.0299138439364845E-3</v>
      </c>
      <c r="H119" s="4">
        <v>1.6319767559102062E-2</v>
      </c>
      <c r="I119" s="4">
        <v>2.4570615576651716E-2</v>
      </c>
      <c r="J119" s="4">
        <v>2.6241207241056875E-2</v>
      </c>
    </row>
    <row r="120" spans="1:10" x14ac:dyDescent="0.35">
      <c r="A120" s="27" t="s">
        <v>141</v>
      </c>
      <c r="B120" s="4">
        <v>6.864820860494193E-3</v>
      </c>
      <c r="D120" s="4">
        <v>1.0951232565205029E-2</v>
      </c>
      <c r="E120" s="4">
        <v>2.597756147333566E-3</v>
      </c>
      <c r="F120" s="4"/>
      <c r="G120" s="4">
        <v>8.6363267312727378E-4</v>
      </c>
      <c r="H120" s="4">
        <v>7.9986887404002727E-3</v>
      </c>
      <c r="I120" s="4">
        <v>8.408831447253181E-3</v>
      </c>
      <c r="J120" s="4">
        <v>1.289519194173905E-2</v>
      </c>
    </row>
    <row r="121" spans="1:10" x14ac:dyDescent="0.35">
      <c r="A121" s="27" t="s">
        <v>142</v>
      </c>
      <c r="B121" s="4">
        <v>3.1181786373352678E-2</v>
      </c>
      <c r="D121" s="4">
        <v>2.9796778425895749E-2</v>
      </c>
      <c r="E121" s="4">
        <v>3.2887399616453962E-2</v>
      </c>
      <c r="F121" s="4"/>
      <c r="G121" s="4">
        <v>2.0631700042040898E-2</v>
      </c>
      <c r="H121" s="4">
        <v>3.491915467124751E-2</v>
      </c>
      <c r="I121" s="4">
        <v>3.2089431660920438E-2</v>
      </c>
      <c r="J121" s="4">
        <v>4.1362371219981368E-2</v>
      </c>
    </row>
    <row r="122" spans="1:10" x14ac:dyDescent="0.35">
      <c r="A122" s="27" t="s">
        <v>143</v>
      </c>
      <c r="B122" s="4">
        <v>9.441150590114879E-4</v>
      </c>
      <c r="D122" s="4">
        <v>1.1206428041160275E-3</v>
      </c>
      <c r="E122" s="4">
        <v>7.6479588200412693E-4</v>
      </c>
      <c r="F122" s="4"/>
      <c r="G122" s="4">
        <v>0</v>
      </c>
      <c r="H122" s="4">
        <v>3.7377423875951016E-4</v>
      </c>
      <c r="I122" s="4">
        <v>1.7993613386423921E-3</v>
      </c>
      <c r="J122" s="4">
        <v>2.2353926631793536E-3</v>
      </c>
    </row>
    <row r="123" spans="1:10" x14ac:dyDescent="0.35">
      <c r="A123" s="27" t="s">
        <v>144</v>
      </c>
      <c r="B123" s="4">
        <v>3.1936300880484134E-3</v>
      </c>
      <c r="D123" s="4">
        <v>4.1449635484421821E-3</v>
      </c>
      <c r="E123" s="4">
        <v>2.2125898092989925E-3</v>
      </c>
      <c r="F123" s="4"/>
      <c r="G123" s="4">
        <v>3.1679768951351252E-3</v>
      </c>
      <c r="H123" s="4">
        <v>2.5670040072042445E-3</v>
      </c>
      <c r="I123" s="4">
        <v>3.7918290940249138E-3</v>
      </c>
      <c r="J123" s="4">
        <v>3.4338177596993946E-3</v>
      </c>
    </row>
    <row r="124" spans="1:10" x14ac:dyDescent="0.35">
      <c r="A124" s="27" t="s">
        <v>145</v>
      </c>
      <c r="B124" s="4">
        <v>1.902327071186861E-3</v>
      </c>
      <c r="D124" s="4">
        <v>2.7005831699459994E-3</v>
      </c>
      <c r="E124" s="4">
        <v>8.7413209737061896E-4</v>
      </c>
      <c r="F124" s="4"/>
      <c r="G124" s="4">
        <v>0</v>
      </c>
      <c r="H124" s="4">
        <v>9.2843398500977101E-4</v>
      </c>
      <c r="I124" s="4">
        <v>4.8706852819865769E-3</v>
      </c>
      <c r="J124" s="4">
        <v>3.0472227328019776E-3</v>
      </c>
    </row>
    <row r="125" spans="1:10" x14ac:dyDescent="0.35">
      <c r="A125" s="27" t="s">
        <v>146</v>
      </c>
      <c r="B125" s="4">
        <v>0</v>
      </c>
      <c r="D125" s="4">
        <v>0</v>
      </c>
      <c r="E125" s="4">
        <v>0</v>
      </c>
      <c r="F125" s="4"/>
      <c r="G125" s="4">
        <v>0</v>
      </c>
      <c r="H125" s="4">
        <v>0</v>
      </c>
      <c r="I125" s="4">
        <v>0</v>
      </c>
      <c r="J125" s="4">
        <v>0</v>
      </c>
    </row>
    <row r="126" spans="1:10" x14ac:dyDescent="0.35">
      <c r="A126" s="27" t="s">
        <v>284</v>
      </c>
      <c r="B126" s="4">
        <v>2.1670859780043128E-4</v>
      </c>
      <c r="D126" s="4">
        <v>1.6010843763488773E-4</v>
      </c>
      <c r="E126" s="4">
        <v>2.782244153019392E-4</v>
      </c>
      <c r="F126" s="4"/>
      <c r="G126" s="4">
        <v>0</v>
      </c>
      <c r="H126" s="4">
        <v>0</v>
      </c>
      <c r="I126" s="4">
        <v>6.4676707001394096E-4</v>
      </c>
      <c r="J126" s="4">
        <v>3.9015945997643878E-4</v>
      </c>
    </row>
    <row r="127" spans="1:10" x14ac:dyDescent="0.35">
      <c r="A127" s="27" t="s">
        <v>283</v>
      </c>
      <c r="B127" s="4">
        <v>1.900247984158639E-4</v>
      </c>
      <c r="D127" s="4">
        <v>1.9840832779257042E-4</v>
      </c>
      <c r="E127" s="4">
        <v>1.8263254268242226E-4</v>
      </c>
      <c r="F127" s="4"/>
      <c r="G127" s="4">
        <v>0</v>
      </c>
      <c r="H127" s="4">
        <v>0</v>
      </c>
      <c r="I127" s="4">
        <v>4.8761220077640104E-4</v>
      </c>
      <c r="J127" s="4">
        <v>4.2096315134247534E-4</v>
      </c>
    </row>
    <row r="128" spans="1:10" x14ac:dyDescent="0.35">
      <c r="A128" s="27" t="s">
        <v>147</v>
      </c>
      <c r="B128" s="4">
        <v>5.20722198225283E-3</v>
      </c>
      <c r="D128" s="4">
        <v>3.6909522272533107E-3</v>
      </c>
      <c r="E128" s="4">
        <v>6.8505474205570079E-3</v>
      </c>
      <c r="F128" s="4"/>
      <c r="G128" s="4">
        <v>9.6808840016635673E-4</v>
      </c>
      <c r="H128" s="4">
        <v>8.975428338930223E-3</v>
      </c>
      <c r="I128" s="4">
        <v>9.4381220734943462E-3</v>
      </c>
      <c r="J128" s="4">
        <v>2.5893786714455982E-3</v>
      </c>
    </row>
    <row r="129" spans="1:10" x14ac:dyDescent="0.35">
      <c r="A129" s="27" t="s">
        <v>148</v>
      </c>
      <c r="B129" s="4">
        <v>0</v>
      </c>
      <c r="D129" s="4">
        <v>0</v>
      </c>
      <c r="E129" s="4">
        <v>0</v>
      </c>
      <c r="F129" s="4"/>
      <c r="G129" s="4">
        <v>0</v>
      </c>
      <c r="H129" s="4">
        <v>0</v>
      </c>
      <c r="I129" s="4">
        <v>0</v>
      </c>
      <c r="J129" s="4">
        <v>0</v>
      </c>
    </row>
    <row r="130" spans="1:10" x14ac:dyDescent="0.35">
      <c r="A130" s="27" t="s">
        <v>149</v>
      </c>
      <c r="B130" s="4">
        <v>1.5716480067306659E-3</v>
      </c>
      <c r="D130" s="4">
        <v>2.4140300388465724E-3</v>
      </c>
      <c r="E130" s="4">
        <v>6.9323731105629225E-4</v>
      </c>
      <c r="F130" s="4"/>
      <c r="G130" s="4">
        <v>9.1859179153091944E-4</v>
      </c>
      <c r="H130" s="4">
        <v>9.2505813419111621E-4</v>
      </c>
      <c r="I130" s="4">
        <v>2.8441410692796689E-3</v>
      </c>
      <c r="J130" s="4">
        <v>2.1094428226216262E-3</v>
      </c>
    </row>
    <row r="131" spans="1:10" x14ac:dyDescent="0.35">
      <c r="A131" s="27" t="s">
        <v>150</v>
      </c>
      <c r="B131" s="4">
        <v>0</v>
      </c>
      <c r="D131" s="4">
        <v>0</v>
      </c>
      <c r="E131" s="4">
        <v>0</v>
      </c>
      <c r="F131" s="4"/>
      <c r="G131" s="4">
        <v>0</v>
      </c>
      <c r="H131" s="4">
        <v>0</v>
      </c>
      <c r="I131" s="4">
        <v>0</v>
      </c>
      <c r="J131" s="4">
        <v>0</v>
      </c>
    </row>
    <row r="132" spans="1:10" x14ac:dyDescent="0.35">
      <c r="A132" s="27" t="s">
        <v>151</v>
      </c>
      <c r="B132" s="4">
        <v>2.0121880617506049E-3</v>
      </c>
      <c r="D132" s="4">
        <v>1.9729294419582582E-3</v>
      </c>
      <c r="E132" s="4">
        <v>2.0692683295025034E-3</v>
      </c>
      <c r="F132" s="4"/>
      <c r="G132" s="4">
        <v>0</v>
      </c>
      <c r="H132" s="4">
        <v>1.3650215646653183E-3</v>
      </c>
      <c r="I132" s="4">
        <v>2.0336290641310459E-3</v>
      </c>
      <c r="J132" s="4">
        <v>5.8293975693039131E-3</v>
      </c>
    </row>
    <row r="133" spans="1:10" x14ac:dyDescent="0.35">
      <c r="A133" s="27" t="s">
        <v>152</v>
      </c>
      <c r="B133" s="4">
        <v>1.5601701362587864E-3</v>
      </c>
      <c r="D133" s="4">
        <v>1.829401559999112E-3</v>
      </c>
      <c r="E133" s="4">
        <v>1.2876121862077461E-3</v>
      </c>
      <c r="F133" s="4"/>
      <c r="G133" s="4">
        <v>3.3225251470213774E-4</v>
      </c>
      <c r="H133" s="4">
        <v>2.4749925784439564E-3</v>
      </c>
      <c r="I133" s="4">
        <v>6.2913531740885383E-4</v>
      </c>
      <c r="J133" s="4">
        <v>3.1643379920360082E-3</v>
      </c>
    </row>
    <row r="134" spans="1:10" x14ac:dyDescent="0.35">
      <c r="A134" s="27" t="s">
        <v>153</v>
      </c>
      <c r="B134" s="4">
        <v>2.4849097543964515E-4</v>
      </c>
      <c r="D134" s="4">
        <v>2.5143370862131952E-4</v>
      </c>
      <c r="E134" s="4">
        <v>2.4730335838984145E-4</v>
      </c>
      <c r="F134" s="4"/>
      <c r="G134" s="4">
        <v>0</v>
      </c>
      <c r="H134" s="4">
        <v>0</v>
      </c>
      <c r="I134" s="4">
        <v>1.1928156657480106E-3</v>
      </c>
      <c r="J134" s="4">
        <v>0</v>
      </c>
    </row>
    <row r="135" spans="1:10" x14ac:dyDescent="0.35">
      <c r="A135" s="27" t="s">
        <v>154</v>
      </c>
      <c r="B135" s="4">
        <v>4.4561985206657065E-3</v>
      </c>
      <c r="D135" s="4">
        <v>5.3987905153443068E-3</v>
      </c>
      <c r="E135" s="4">
        <v>3.4941728902718439E-3</v>
      </c>
      <c r="F135" s="4"/>
      <c r="G135" s="4">
        <v>0</v>
      </c>
      <c r="H135" s="4">
        <v>2.9240098564115961E-3</v>
      </c>
      <c r="I135" s="4">
        <v>9.9557940473156206E-3</v>
      </c>
      <c r="J135" s="4">
        <v>7.6293217109814808E-3</v>
      </c>
    </row>
    <row r="136" spans="1:10" x14ac:dyDescent="0.35">
      <c r="A136" s="27" t="s">
        <v>155</v>
      </c>
      <c r="B136" s="4">
        <v>0.2330280982788491</v>
      </c>
      <c r="D136" s="4">
        <v>0.22449763128871494</v>
      </c>
      <c r="E136" s="4">
        <v>0.24302467819647774</v>
      </c>
      <c r="F136" s="4"/>
      <c r="G136" s="4">
        <v>0.22469869592411401</v>
      </c>
      <c r="H136" s="4">
        <v>0.32119124664663995</v>
      </c>
      <c r="I136" s="4">
        <v>0.24647603191695849</v>
      </c>
      <c r="J136" s="4">
        <v>0.12035218479739831</v>
      </c>
    </row>
    <row r="137" spans="1:10" x14ac:dyDescent="0.35">
      <c r="A137" s="27" t="s">
        <v>156</v>
      </c>
      <c r="B137" s="4">
        <v>0</v>
      </c>
      <c r="D137" s="4">
        <v>0</v>
      </c>
      <c r="E137" s="4">
        <v>0</v>
      </c>
      <c r="F137" s="4"/>
      <c r="G137" s="4">
        <v>0</v>
      </c>
      <c r="H137" s="4">
        <v>0</v>
      </c>
      <c r="I137" s="4">
        <v>0</v>
      </c>
      <c r="J137" s="4">
        <v>0</v>
      </c>
    </row>
    <row r="138" spans="1:10" x14ac:dyDescent="0.35">
      <c r="A138" s="27" t="s">
        <v>157</v>
      </c>
      <c r="B138" s="4">
        <v>8.9123671959378582E-4</v>
      </c>
      <c r="D138" s="4">
        <v>7.4962209709007179E-4</v>
      </c>
      <c r="E138" s="4">
        <v>1.0478520992156036E-3</v>
      </c>
      <c r="F138" s="4"/>
      <c r="G138" s="4">
        <v>2.1316864995265536E-3</v>
      </c>
      <c r="H138" s="4">
        <v>4.8641319353985558E-4</v>
      </c>
      <c r="I138" s="4">
        <v>0</v>
      </c>
      <c r="J138" s="4">
        <v>4.2822195135664576E-4</v>
      </c>
    </row>
    <row r="139" spans="1:10" x14ac:dyDescent="0.35">
      <c r="A139" s="27" t="s">
        <v>158</v>
      </c>
      <c r="B139" s="4">
        <v>4.5269209454955805E-3</v>
      </c>
      <c r="D139" s="4">
        <v>6.3004789335960086E-3</v>
      </c>
      <c r="E139" s="4">
        <v>2.6869356896908696E-3</v>
      </c>
      <c r="F139" s="4"/>
      <c r="G139" s="4">
        <v>0</v>
      </c>
      <c r="H139" s="4">
        <v>5.2665496264101726E-3</v>
      </c>
      <c r="I139" s="4">
        <v>5.9567140729825645E-3</v>
      </c>
      <c r="J139" s="4">
        <v>8.9597586016346674E-3</v>
      </c>
    </row>
    <row r="140" spans="1:10" x14ac:dyDescent="0.35">
      <c r="A140" s="27" t="s">
        <v>282</v>
      </c>
      <c r="B140" s="4">
        <v>8.1317297060289062E-3</v>
      </c>
      <c r="D140" s="4">
        <v>1.0646988337813211E-2</v>
      </c>
      <c r="E140" s="4">
        <v>5.5355132403728316E-3</v>
      </c>
      <c r="F140" s="4"/>
      <c r="G140" s="4">
        <v>4.427667022176036E-4</v>
      </c>
      <c r="H140" s="4">
        <v>1.3410361682955596E-2</v>
      </c>
      <c r="I140" s="4">
        <v>1.3185352067725763E-2</v>
      </c>
      <c r="J140" s="4">
        <v>7.9556786744407991E-3</v>
      </c>
    </row>
    <row r="141" spans="1:10" x14ac:dyDescent="0.35">
      <c r="A141" s="27" t="s">
        <v>159</v>
      </c>
      <c r="B141" s="4">
        <v>2.2459478049874104E-3</v>
      </c>
      <c r="D141" s="4">
        <v>2.9917614849422377E-3</v>
      </c>
      <c r="E141" s="4">
        <v>1.2070155779642343E-3</v>
      </c>
      <c r="F141" s="4"/>
      <c r="G141" s="4">
        <v>1.3668383775342933E-3</v>
      </c>
      <c r="H141" s="4">
        <v>2.7990503557476774E-3</v>
      </c>
      <c r="I141" s="4">
        <v>3.5993955614699487E-3</v>
      </c>
      <c r="J141" s="4">
        <v>1.5206905086153108E-3</v>
      </c>
    </row>
    <row r="142" spans="1:10" x14ac:dyDescent="0.35">
      <c r="A142" s="27" t="s">
        <v>160</v>
      </c>
      <c r="B142" s="4">
        <v>3.8857412991338311E-2</v>
      </c>
      <c r="D142" s="4">
        <v>4.2891578622524039E-2</v>
      </c>
      <c r="E142" s="4">
        <v>3.4893226072134596E-2</v>
      </c>
      <c r="F142" s="4"/>
      <c r="G142" s="4">
        <v>7.2794548671720957E-3</v>
      </c>
      <c r="H142" s="4">
        <v>4.4729333577137105E-2</v>
      </c>
      <c r="I142" s="4">
        <v>6.314283539231208E-2</v>
      </c>
      <c r="J142" s="4">
        <v>5.4684416261052679E-2</v>
      </c>
    </row>
    <row r="143" spans="1:10" x14ac:dyDescent="0.35">
      <c r="A143" s="27" t="s">
        <v>161</v>
      </c>
      <c r="B143" s="4">
        <v>1.4341486667847248E-3</v>
      </c>
      <c r="D143" s="4">
        <v>7.5161680175670441E-4</v>
      </c>
      <c r="E143" s="4">
        <v>2.1668306201638476E-3</v>
      </c>
      <c r="F143" s="4"/>
      <c r="G143" s="4">
        <v>1.3968911078623672E-3</v>
      </c>
      <c r="H143" s="4">
        <v>0</v>
      </c>
      <c r="I143" s="4">
        <v>3.2120569003630927E-3</v>
      </c>
      <c r="J143" s="4">
        <v>1.5463238925381927E-3</v>
      </c>
    </row>
    <row r="144" spans="1:10" x14ac:dyDescent="0.35">
      <c r="A144" s="27" t="s">
        <v>162</v>
      </c>
      <c r="B144" s="4">
        <v>0</v>
      </c>
      <c r="D144" s="4">
        <v>0</v>
      </c>
      <c r="E144" s="4">
        <v>0</v>
      </c>
      <c r="F144" s="4"/>
      <c r="G144" s="4">
        <v>0</v>
      </c>
      <c r="H144" s="4">
        <v>0</v>
      </c>
      <c r="I144" s="4">
        <v>0</v>
      </c>
      <c r="J144" s="4">
        <v>0</v>
      </c>
    </row>
    <row r="145" spans="1:10" x14ac:dyDescent="0.35">
      <c r="A145" s="27" t="s">
        <v>163</v>
      </c>
      <c r="B145" s="4">
        <v>1.1759910439061636E-2</v>
      </c>
      <c r="D145" s="4">
        <v>1.0707371638358634E-2</v>
      </c>
      <c r="E145" s="4">
        <v>1.2963695934147552E-2</v>
      </c>
      <c r="F145" s="4"/>
      <c r="G145" s="4">
        <v>8.586136431158268E-4</v>
      </c>
      <c r="H145" s="4">
        <v>1.0160532553075067E-2</v>
      </c>
      <c r="I145" s="4">
        <v>1.6072703113101248E-2</v>
      </c>
      <c r="J145" s="4">
        <v>2.5860349848554648E-2</v>
      </c>
    </row>
    <row r="146" spans="1:10" x14ac:dyDescent="0.35">
      <c r="A146" s="27" t="s">
        <v>164</v>
      </c>
      <c r="B146" s="4">
        <v>7.4455497907847978E-4</v>
      </c>
      <c r="D146" s="4">
        <v>9.4286251809102997E-4</v>
      </c>
      <c r="E146" s="4">
        <v>5.4066522720019319E-4</v>
      </c>
      <c r="F146" s="4"/>
      <c r="G146" s="4">
        <v>4.3557706041470555E-4</v>
      </c>
      <c r="H146" s="4">
        <v>0</v>
      </c>
      <c r="I146" s="4">
        <v>1.2071064415405928E-3</v>
      </c>
      <c r="J146" s="4">
        <v>1.6937180840782941E-3</v>
      </c>
    </row>
    <row r="147" spans="1:10" x14ac:dyDescent="0.35">
      <c r="A147" s="27" t="s">
        <v>165</v>
      </c>
      <c r="B147" s="4">
        <v>4.6156794367338696E-4</v>
      </c>
      <c r="D147" s="4">
        <v>5.1429095615041799E-4</v>
      </c>
      <c r="E147" s="4">
        <v>4.0940137620249021E-4</v>
      </c>
      <c r="F147" s="4"/>
      <c r="G147" s="4">
        <v>0</v>
      </c>
      <c r="H147" s="4">
        <v>0</v>
      </c>
      <c r="I147" s="4">
        <v>4.2455688867764149E-4</v>
      </c>
      <c r="J147" s="4">
        <v>1.7759386086776338E-3</v>
      </c>
    </row>
    <row r="148" spans="1:10" x14ac:dyDescent="0.35">
      <c r="A148" s="27" t="s">
        <v>166</v>
      </c>
      <c r="B148" s="4">
        <v>3.2605189437539032E-3</v>
      </c>
      <c r="D148" s="4">
        <v>4.8189863874848922E-3</v>
      </c>
      <c r="E148" s="4">
        <v>1.6381272096673268E-3</v>
      </c>
      <c r="F148" s="4"/>
      <c r="G148" s="4">
        <v>1.3853634074276861E-3</v>
      </c>
      <c r="H148" s="4">
        <v>4.4374398549476383E-3</v>
      </c>
      <c r="I148" s="4">
        <v>3.5444189595702879E-3</v>
      </c>
      <c r="J148" s="4">
        <v>4.2981795072300185E-3</v>
      </c>
    </row>
    <row r="149" spans="1:10" x14ac:dyDescent="0.35">
      <c r="A149" s="27" t="s">
        <v>167</v>
      </c>
      <c r="B149" s="4">
        <v>7.1224800387488267E-3</v>
      </c>
      <c r="D149" s="4">
        <v>5.9488619995640615E-3</v>
      </c>
      <c r="E149" s="4">
        <v>8.418375329296568E-3</v>
      </c>
      <c r="F149" s="4"/>
      <c r="G149" s="4">
        <v>3.4784855303468992E-4</v>
      </c>
      <c r="H149" s="4">
        <v>2.1569585226802585E-3</v>
      </c>
      <c r="I149" s="4">
        <v>8.1282902043620896E-3</v>
      </c>
      <c r="J149" s="4">
        <v>2.2583310394397871E-2</v>
      </c>
    </row>
    <row r="150" spans="1:10" x14ac:dyDescent="0.35">
      <c r="A150" s="27" t="s">
        <v>168</v>
      </c>
      <c r="B150" s="4">
        <v>2.7359260617824836E-2</v>
      </c>
      <c r="D150" s="4">
        <v>2.2682034722108058E-2</v>
      </c>
      <c r="E150" s="4">
        <v>3.2515856818796984E-2</v>
      </c>
      <c r="F150" s="4"/>
      <c r="G150" s="4">
        <v>2.9051497676276312E-2</v>
      </c>
      <c r="H150" s="4">
        <v>2.2309778664832521E-2</v>
      </c>
      <c r="I150" s="4">
        <v>2.7662877840001376E-2</v>
      </c>
      <c r="J150" s="4">
        <v>3.0925607623817707E-2</v>
      </c>
    </row>
    <row r="151" spans="1:10" x14ac:dyDescent="0.35">
      <c r="A151" s="27" t="s">
        <v>169</v>
      </c>
      <c r="B151" s="4">
        <v>2.6490684388367183E-3</v>
      </c>
      <c r="D151" s="4">
        <v>2.1786872296093614E-3</v>
      </c>
      <c r="E151" s="4">
        <v>3.1668664508244719E-3</v>
      </c>
      <c r="F151" s="4"/>
      <c r="G151" s="4">
        <v>4.1647524845791741E-4</v>
      </c>
      <c r="H151" s="4">
        <v>8.8516265574577625E-4</v>
      </c>
      <c r="I151" s="4">
        <v>3.1669621573447654E-3</v>
      </c>
      <c r="J151" s="4">
        <v>7.7211056883245222E-3</v>
      </c>
    </row>
    <row r="152" spans="1:10" x14ac:dyDescent="0.35">
      <c r="A152" s="27" t="s">
        <v>170</v>
      </c>
      <c r="B152" s="4">
        <v>1.9704592021466136E-4</v>
      </c>
      <c r="D152" s="4">
        <v>1.5347552531723817E-4</v>
      </c>
      <c r="E152" s="4">
        <v>2.4463431461136818E-4</v>
      </c>
      <c r="F152" s="4"/>
      <c r="G152" s="4">
        <v>0</v>
      </c>
      <c r="H152" s="4">
        <v>0</v>
      </c>
      <c r="I152" s="4">
        <v>0</v>
      </c>
      <c r="J152" s="4">
        <v>9.378716660459242E-4</v>
      </c>
    </row>
    <row r="153" spans="1:10" x14ac:dyDescent="0.35">
      <c r="A153" s="27" t="s">
        <v>171</v>
      </c>
      <c r="B153" s="4">
        <v>1.3114234628905432E-4</v>
      </c>
      <c r="D153" s="4">
        <v>2.5614801569706088E-4</v>
      </c>
      <c r="E153" s="4">
        <v>0</v>
      </c>
      <c r="F153" s="4"/>
      <c r="G153" s="4">
        <v>0</v>
      </c>
      <c r="H153" s="4">
        <v>0</v>
      </c>
      <c r="I153" s="4">
        <v>6.2951439109517563E-4</v>
      </c>
      <c r="J153" s="4">
        <v>0</v>
      </c>
    </row>
    <row r="154" spans="1:10" x14ac:dyDescent="0.35">
      <c r="A154" s="27" t="s">
        <v>172</v>
      </c>
      <c r="B154" s="4">
        <v>0</v>
      </c>
      <c r="D154" s="4">
        <v>0</v>
      </c>
      <c r="E154" s="4">
        <v>0</v>
      </c>
      <c r="F154" s="4"/>
      <c r="G154" s="4">
        <v>0</v>
      </c>
      <c r="H154" s="4">
        <v>0</v>
      </c>
      <c r="I154" s="4">
        <v>0</v>
      </c>
      <c r="J154" s="4">
        <v>0</v>
      </c>
    </row>
    <row r="155" spans="1:10" x14ac:dyDescent="0.35">
      <c r="A155" s="27" t="s">
        <v>173</v>
      </c>
      <c r="B155" s="4">
        <v>0</v>
      </c>
      <c r="D155" s="4">
        <v>0</v>
      </c>
      <c r="E155" s="4">
        <v>0</v>
      </c>
      <c r="F155" s="4"/>
      <c r="G155" s="4">
        <v>0</v>
      </c>
      <c r="H155" s="4">
        <v>0</v>
      </c>
      <c r="I155" s="4">
        <v>0</v>
      </c>
      <c r="J155" s="4">
        <v>0</v>
      </c>
    </row>
    <row r="156" spans="1:10" x14ac:dyDescent="0.35">
      <c r="A156" s="27" t="s">
        <v>174</v>
      </c>
      <c r="B156" s="4">
        <v>6.9899529786427011E-5</v>
      </c>
      <c r="D156" s="4">
        <v>1.3652817994796906E-4</v>
      </c>
      <c r="E156" s="4">
        <v>0</v>
      </c>
      <c r="F156" s="4"/>
      <c r="G156" s="4">
        <v>0</v>
      </c>
      <c r="H156" s="4">
        <v>0</v>
      </c>
      <c r="I156" s="4">
        <v>0</v>
      </c>
      <c r="J156" s="4">
        <v>3.3269802483200665E-4</v>
      </c>
    </row>
    <row r="157" spans="1:10" x14ac:dyDescent="0.35">
      <c r="A157" s="60" t="s">
        <v>175</v>
      </c>
      <c r="B157" s="62">
        <v>2.6788967015164925E-3</v>
      </c>
      <c r="C157" s="61"/>
      <c r="D157" s="62">
        <v>2.2208227204294911E-3</v>
      </c>
      <c r="E157" s="62">
        <v>3.1839142559458005E-3</v>
      </c>
      <c r="F157" s="62"/>
      <c r="G157" s="62">
        <v>3.389065580417822E-3</v>
      </c>
      <c r="H157" s="62">
        <v>2.9114776790375714E-3</v>
      </c>
      <c r="I157" s="62">
        <v>2.569919968967091E-3</v>
      </c>
      <c r="J157" s="62">
        <v>1.4269324732078736E-3</v>
      </c>
    </row>
    <row r="158" spans="1:10" x14ac:dyDescent="0.35">
      <c r="A158" s="43"/>
      <c r="B158" s="80" t="s">
        <v>34</v>
      </c>
      <c r="C158" s="80"/>
      <c r="D158" s="80"/>
      <c r="E158" s="80"/>
      <c r="F158" s="80"/>
      <c r="G158" s="80"/>
      <c r="H158" s="80"/>
      <c r="I158" s="80"/>
      <c r="J158" s="80"/>
    </row>
    <row r="159" spans="1:10" x14ac:dyDescent="0.35">
      <c r="A159" s="27" t="s">
        <v>39</v>
      </c>
      <c r="B159" s="33">
        <v>4570.7774175957147</v>
      </c>
      <c r="D159" s="33">
        <v>3129.6222996570709</v>
      </c>
      <c r="E159" s="33">
        <v>1441.1551179386443</v>
      </c>
      <c r="F159" s="33"/>
      <c r="G159" s="33">
        <v>1335.5104953233019</v>
      </c>
      <c r="H159" s="33">
        <v>1829.3597927222431</v>
      </c>
      <c r="I159" s="33">
        <v>648.06882570573032</v>
      </c>
      <c r="J159" s="33">
        <v>757.83830384443957</v>
      </c>
    </row>
    <row r="160" spans="1:10" x14ac:dyDescent="0.35">
      <c r="A160" s="27" t="s">
        <v>40</v>
      </c>
      <c r="B160" s="33">
        <v>3538.1715926349798</v>
      </c>
      <c r="D160" s="33">
        <v>2696.6551067170167</v>
      </c>
      <c r="E160" s="33">
        <v>841.516485917963</v>
      </c>
      <c r="F160" s="33"/>
      <c r="G160" s="33">
        <v>748.71342154488582</v>
      </c>
      <c r="H160" s="33">
        <v>1472.0532908700397</v>
      </c>
      <c r="I160" s="33">
        <v>612.40335582344369</v>
      </c>
      <c r="J160" s="33">
        <v>705.00152439661042</v>
      </c>
    </row>
    <row r="161" spans="1:10" x14ac:dyDescent="0.35">
      <c r="A161" s="27" t="s">
        <v>41</v>
      </c>
      <c r="B161" s="33">
        <v>4595.4632114422266</v>
      </c>
      <c r="D161" s="33">
        <v>2672.1011307571434</v>
      </c>
      <c r="E161" s="33">
        <v>1923.3620806850834</v>
      </c>
      <c r="F161" s="33"/>
      <c r="G161" s="33">
        <v>598.71087322593723</v>
      </c>
      <c r="H161" s="33">
        <v>572.41922020178595</v>
      </c>
      <c r="I161" s="33">
        <v>1866.2487598361163</v>
      </c>
      <c r="J161" s="33">
        <v>1558.0843581783874</v>
      </c>
    </row>
    <row r="162" spans="1:10" x14ac:dyDescent="0.35">
      <c r="A162" s="27" t="s">
        <v>42</v>
      </c>
      <c r="B162" s="33">
        <v>156812.86187342563</v>
      </c>
      <c r="D162" s="33">
        <v>68520.500961652026</v>
      </c>
      <c r="E162" s="33">
        <v>87691.175413043675</v>
      </c>
      <c r="F162" s="33"/>
      <c r="G162" s="33">
        <v>17497.942241682267</v>
      </c>
      <c r="H162" s="33">
        <v>46627.602465638847</v>
      </c>
      <c r="I162" s="33">
        <v>44345.980635838168</v>
      </c>
      <c r="J162" s="33">
        <v>48341.336530266388</v>
      </c>
    </row>
    <row r="163" spans="1:10" x14ac:dyDescent="0.35">
      <c r="A163" s="27" t="s">
        <v>43</v>
      </c>
      <c r="B163" s="33">
        <v>283683.42657717876</v>
      </c>
      <c r="D163" s="33">
        <v>214450.61158459669</v>
      </c>
      <c r="E163" s="33">
        <v>68634.104119355659</v>
      </c>
      <c r="F163" s="33"/>
      <c r="G163" s="33">
        <v>19037.590675043783</v>
      </c>
      <c r="H163" s="33">
        <v>109697.60804994378</v>
      </c>
      <c r="I163" s="33">
        <v>74983.64104196195</v>
      </c>
      <c r="J163" s="33">
        <v>79964.586810229099</v>
      </c>
    </row>
    <row r="164" spans="1:10" x14ac:dyDescent="0.35">
      <c r="A164" s="27" t="s">
        <v>44</v>
      </c>
      <c r="B164" s="33">
        <v>29426.996556454516</v>
      </c>
      <c r="D164" s="33">
        <v>18957.809721600039</v>
      </c>
      <c r="E164" s="33">
        <v>10469.186834854474</v>
      </c>
      <c r="F164" s="33"/>
      <c r="G164" s="33">
        <v>3321.3212742949809</v>
      </c>
      <c r="H164" s="33">
        <v>6563.8105023259623</v>
      </c>
      <c r="I164" s="33">
        <v>10509.178705058872</v>
      </c>
      <c r="J164" s="33">
        <v>9032.686074774696</v>
      </c>
    </row>
    <row r="165" spans="1:10" x14ac:dyDescent="0.35">
      <c r="A165" s="27" t="s">
        <v>45</v>
      </c>
      <c r="B165" s="33">
        <v>23008.420613022088</v>
      </c>
      <c r="D165" s="33">
        <v>20507.925225751937</v>
      </c>
      <c r="E165" s="33">
        <v>2500.4953872701544</v>
      </c>
      <c r="F165" s="33"/>
      <c r="G165" s="33">
        <v>1313.1772930422248</v>
      </c>
      <c r="H165" s="33">
        <v>9112.488815724113</v>
      </c>
      <c r="I165" s="33">
        <v>4063.0286987572481</v>
      </c>
      <c r="J165" s="33">
        <v>8519.7258054985014</v>
      </c>
    </row>
    <row r="166" spans="1:10" x14ac:dyDescent="0.35">
      <c r="A166" s="27" t="s">
        <v>46</v>
      </c>
      <c r="B166" s="33">
        <v>341727.08280934318</v>
      </c>
      <c r="D166" s="33">
        <v>230235.37232509939</v>
      </c>
      <c r="E166" s="33">
        <v>110546.65725921126</v>
      </c>
      <c r="F166" s="33"/>
      <c r="G166" s="33">
        <v>10075.418414230762</v>
      </c>
      <c r="H166" s="33">
        <v>105635.82322000801</v>
      </c>
      <c r="I166" s="33">
        <v>104817.71623146818</v>
      </c>
      <c r="J166" s="33">
        <v>121198.12494363645</v>
      </c>
    </row>
    <row r="167" spans="1:10" x14ac:dyDescent="0.35">
      <c r="A167" s="27" t="s">
        <v>47</v>
      </c>
      <c r="B167" s="33">
        <v>2729.0674038237776</v>
      </c>
      <c r="D167" s="33">
        <v>2199.1932966721733</v>
      </c>
      <c r="E167" s="33">
        <v>529.87410715160422</v>
      </c>
      <c r="F167" s="33"/>
      <c r="G167" s="33">
        <v>1323.3282161327936</v>
      </c>
      <c r="H167" s="33">
        <v>549.29621303984709</v>
      </c>
      <c r="I167" s="33">
        <v>0</v>
      </c>
      <c r="J167" s="33">
        <v>856.44297465113664</v>
      </c>
    </row>
    <row r="168" spans="1:10" x14ac:dyDescent="0.35">
      <c r="A168" s="27" t="s">
        <v>48</v>
      </c>
      <c r="B168" s="33">
        <v>794.13768985920149</v>
      </c>
      <c r="D168" s="33">
        <v>0</v>
      </c>
      <c r="E168" s="33">
        <v>794.13768985920149</v>
      </c>
      <c r="F168" s="33"/>
      <c r="G168" s="33">
        <v>794.13768985920149</v>
      </c>
      <c r="H168" s="33">
        <v>0</v>
      </c>
      <c r="I168" s="33">
        <v>0</v>
      </c>
      <c r="J168" s="33">
        <v>0</v>
      </c>
    </row>
    <row r="169" spans="1:10" x14ac:dyDescent="0.35">
      <c r="A169" s="27" t="s">
        <v>49</v>
      </c>
      <c r="B169" s="33">
        <v>0</v>
      </c>
      <c r="D169" s="33">
        <v>0</v>
      </c>
      <c r="E169" s="33">
        <v>0</v>
      </c>
      <c r="F169" s="33"/>
      <c r="G169" s="33">
        <v>0</v>
      </c>
      <c r="H169" s="33">
        <v>0</v>
      </c>
      <c r="I169" s="33">
        <v>0</v>
      </c>
      <c r="J169" s="33">
        <v>0</v>
      </c>
    </row>
    <row r="170" spans="1:10" x14ac:dyDescent="0.35">
      <c r="A170" s="27" t="s">
        <v>50</v>
      </c>
      <c r="B170" s="33">
        <v>7040.4343494705327</v>
      </c>
      <c r="D170" s="33">
        <v>5602.3541160688974</v>
      </c>
      <c r="E170" s="33">
        <v>1438.080233401635</v>
      </c>
      <c r="F170" s="33"/>
      <c r="G170" s="33">
        <v>0</v>
      </c>
      <c r="H170" s="33">
        <v>5619.9627145083177</v>
      </c>
      <c r="I170" s="33">
        <v>1024.950553951071</v>
      </c>
      <c r="J170" s="33">
        <v>395.52108101114419</v>
      </c>
    </row>
    <row r="171" spans="1:10" x14ac:dyDescent="0.35">
      <c r="A171" s="27" t="s">
        <v>51</v>
      </c>
      <c r="B171" s="33">
        <v>0</v>
      </c>
      <c r="D171" s="33">
        <v>0</v>
      </c>
      <c r="E171" s="33">
        <v>0</v>
      </c>
      <c r="F171" s="33"/>
      <c r="G171" s="33">
        <v>0</v>
      </c>
      <c r="H171" s="33">
        <v>0</v>
      </c>
      <c r="I171" s="33">
        <v>0</v>
      </c>
      <c r="J171" s="33">
        <v>0</v>
      </c>
    </row>
    <row r="172" spans="1:10" x14ac:dyDescent="0.35">
      <c r="A172" s="27" t="s">
        <v>52</v>
      </c>
      <c r="B172" s="33">
        <v>0</v>
      </c>
      <c r="D172" s="33">
        <v>0</v>
      </c>
      <c r="E172" s="33">
        <v>0</v>
      </c>
      <c r="F172" s="33"/>
      <c r="G172" s="33">
        <v>0</v>
      </c>
      <c r="H172" s="33">
        <v>0</v>
      </c>
      <c r="I172" s="33">
        <v>0</v>
      </c>
      <c r="J172" s="33">
        <v>0</v>
      </c>
    </row>
    <row r="173" spans="1:10" x14ac:dyDescent="0.35">
      <c r="A173" s="27" t="s">
        <v>53</v>
      </c>
      <c r="B173" s="33">
        <v>976.62689269564271</v>
      </c>
      <c r="D173" s="33">
        <v>976.62689269564271</v>
      </c>
      <c r="E173" s="33">
        <v>0</v>
      </c>
      <c r="F173" s="33"/>
      <c r="G173" s="33">
        <v>0</v>
      </c>
      <c r="H173" s="33">
        <v>0</v>
      </c>
      <c r="I173" s="33">
        <v>556.11179428146238</v>
      </c>
      <c r="J173" s="33">
        <v>420.51509841418027</v>
      </c>
    </row>
    <row r="174" spans="1:10" x14ac:dyDescent="0.35">
      <c r="A174" s="27" t="s">
        <v>54</v>
      </c>
      <c r="B174" s="33">
        <v>0</v>
      </c>
      <c r="D174" s="33">
        <v>0</v>
      </c>
      <c r="E174" s="33">
        <v>0</v>
      </c>
      <c r="F174" s="33"/>
      <c r="G174" s="33">
        <v>0</v>
      </c>
      <c r="H174" s="33">
        <v>0</v>
      </c>
      <c r="I174" s="33">
        <v>0</v>
      </c>
      <c r="J174" s="33">
        <v>0</v>
      </c>
    </row>
    <row r="175" spans="1:10" x14ac:dyDescent="0.35">
      <c r="A175" s="27" t="s">
        <v>55</v>
      </c>
      <c r="B175" s="33">
        <v>238.79252631366083</v>
      </c>
      <c r="D175" s="33">
        <v>238.79252631366083</v>
      </c>
      <c r="E175" s="33">
        <v>0</v>
      </c>
      <c r="F175" s="33"/>
      <c r="G175" s="33">
        <v>0</v>
      </c>
      <c r="H175" s="33">
        <v>0</v>
      </c>
      <c r="I175" s="33">
        <v>0</v>
      </c>
      <c r="J175" s="33">
        <v>238.79252631366083</v>
      </c>
    </row>
    <row r="176" spans="1:10" x14ac:dyDescent="0.35">
      <c r="A176" s="27" t="s">
        <v>56</v>
      </c>
      <c r="B176" s="33">
        <v>601.18549872997175</v>
      </c>
      <c r="D176" s="33">
        <v>601.18549872997175</v>
      </c>
      <c r="E176" s="33">
        <v>0</v>
      </c>
      <c r="F176" s="33"/>
      <c r="G176" s="33">
        <v>0</v>
      </c>
      <c r="H176" s="33">
        <v>601.18549872997175</v>
      </c>
      <c r="I176" s="33">
        <v>0</v>
      </c>
      <c r="J176" s="33">
        <v>0</v>
      </c>
    </row>
    <row r="177" spans="1:10" x14ac:dyDescent="0.35">
      <c r="A177" s="27" t="s">
        <v>57</v>
      </c>
      <c r="B177" s="33">
        <v>17889.630202673528</v>
      </c>
      <c r="D177" s="33">
        <v>13563.799092039664</v>
      </c>
      <c r="E177" s="33">
        <v>4325.8311106338651</v>
      </c>
      <c r="F177" s="33"/>
      <c r="G177" s="33">
        <v>2601.427300057594</v>
      </c>
      <c r="H177" s="33">
        <v>607.78322153267072</v>
      </c>
      <c r="I177" s="33">
        <v>5399.9034441978747</v>
      </c>
      <c r="J177" s="33">
        <v>9280.5162368853853</v>
      </c>
    </row>
    <row r="178" spans="1:10" x14ac:dyDescent="0.35">
      <c r="A178" s="27" t="s">
        <v>58</v>
      </c>
      <c r="B178" s="33">
        <v>0</v>
      </c>
      <c r="D178" s="33">
        <v>0</v>
      </c>
      <c r="E178" s="33">
        <v>0</v>
      </c>
      <c r="F178" s="33"/>
      <c r="G178" s="33">
        <v>0</v>
      </c>
      <c r="H178" s="33">
        <v>0</v>
      </c>
      <c r="I178" s="33">
        <v>0</v>
      </c>
      <c r="J178" s="33">
        <v>0</v>
      </c>
    </row>
    <row r="179" spans="1:10" x14ac:dyDescent="0.35">
      <c r="A179" s="27" t="s">
        <v>59</v>
      </c>
      <c r="B179" s="33">
        <v>53776.364753451962</v>
      </c>
      <c r="D179" s="33">
        <v>24862.428325216559</v>
      </c>
      <c r="E179" s="33">
        <v>28913.936428235433</v>
      </c>
      <c r="F179" s="33"/>
      <c r="G179" s="33">
        <v>14865.212829362499</v>
      </c>
      <c r="H179" s="33">
        <v>12679.49899312357</v>
      </c>
      <c r="I179" s="33">
        <v>13162.209161719829</v>
      </c>
      <c r="J179" s="33">
        <v>13069.443769246067</v>
      </c>
    </row>
    <row r="180" spans="1:10" x14ac:dyDescent="0.35">
      <c r="A180" s="27" t="s">
        <v>60</v>
      </c>
      <c r="B180" s="33">
        <v>8209.7759821482232</v>
      </c>
      <c r="D180" s="33">
        <v>710.92016711794872</v>
      </c>
      <c r="E180" s="33">
        <v>7498.8558150302742</v>
      </c>
      <c r="F180" s="33"/>
      <c r="G180" s="33">
        <v>735.04719133444701</v>
      </c>
      <c r="H180" s="33">
        <v>3464.5110333200996</v>
      </c>
      <c r="I180" s="33">
        <v>1744.3937107745828</v>
      </c>
      <c r="J180" s="33">
        <v>2265.8240467190935</v>
      </c>
    </row>
    <row r="181" spans="1:10" x14ac:dyDescent="0.35">
      <c r="A181" s="27" t="s">
        <v>61</v>
      </c>
      <c r="B181" s="33">
        <v>735.04719133444701</v>
      </c>
      <c r="D181" s="33">
        <v>0</v>
      </c>
      <c r="E181" s="33">
        <v>735.04719133444701</v>
      </c>
      <c r="F181" s="33"/>
      <c r="G181" s="33">
        <v>735.04719133444701</v>
      </c>
      <c r="H181" s="33">
        <v>0</v>
      </c>
      <c r="I181" s="33">
        <v>0</v>
      </c>
      <c r="J181" s="33">
        <v>0</v>
      </c>
    </row>
    <row r="182" spans="1:10" x14ac:dyDescent="0.35">
      <c r="A182" s="27" t="s">
        <v>62</v>
      </c>
      <c r="B182" s="33">
        <v>6459.4165720887268</v>
      </c>
      <c r="D182" s="33">
        <v>619.64296154391729</v>
      </c>
      <c r="E182" s="33">
        <v>5839.7736105448093</v>
      </c>
      <c r="F182" s="33"/>
      <c r="G182" s="33">
        <v>2116.0453897243469</v>
      </c>
      <c r="H182" s="33">
        <v>769.88200403794769</v>
      </c>
      <c r="I182" s="33">
        <v>2953.8462167825141</v>
      </c>
      <c r="J182" s="33">
        <v>619.64296154391729</v>
      </c>
    </row>
    <row r="183" spans="1:10" x14ac:dyDescent="0.35">
      <c r="A183" s="27" t="s">
        <v>63</v>
      </c>
      <c r="B183" s="33">
        <v>8108.1829751058413</v>
      </c>
      <c r="D183" s="33">
        <v>2850.5688798365759</v>
      </c>
      <c r="E183" s="33">
        <v>5257.6140952692649</v>
      </c>
      <c r="F183" s="33"/>
      <c r="G183" s="33">
        <v>1350.3633388007577</v>
      </c>
      <c r="H183" s="33">
        <v>5851.9954027707763</v>
      </c>
      <c r="I183" s="33">
        <v>0</v>
      </c>
      <c r="J183" s="33">
        <v>905.82423353430772</v>
      </c>
    </row>
    <row r="184" spans="1:10" x14ac:dyDescent="0.35">
      <c r="A184" s="27" t="s">
        <v>64</v>
      </c>
      <c r="B184" s="33">
        <v>163180.61368724014</v>
      </c>
      <c r="D184" s="33">
        <v>130910.40851576408</v>
      </c>
      <c r="E184" s="33">
        <v>32270.205171476191</v>
      </c>
      <c r="F184" s="33"/>
      <c r="G184" s="33">
        <v>8789.932001029807</v>
      </c>
      <c r="H184" s="33">
        <v>44433.551436764283</v>
      </c>
      <c r="I184" s="33">
        <v>54230.785707703828</v>
      </c>
      <c r="J184" s="33">
        <v>55726.344541742343</v>
      </c>
    </row>
    <row r="185" spans="1:10" x14ac:dyDescent="0.35">
      <c r="A185" s="27" t="s">
        <v>65</v>
      </c>
      <c r="B185" s="33">
        <v>594.76915380393825</v>
      </c>
      <c r="D185" s="33">
        <v>594.76915380393825</v>
      </c>
      <c r="E185" s="33">
        <v>0</v>
      </c>
      <c r="F185" s="33"/>
      <c r="G185" s="33">
        <v>0</v>
      </c>
      <c r="H185" s="33">
        <v>594.76915380393825</v>
      </c>
      <c r="I185" s="33">
        <v>0</v>
      </c>
      <c r="J185" s="33">
        <v>0</v>
      </c>
    </row>
    <row r="186" spans="1:10" x14ac:dyDescent="0.35">
      <c r="A186" s="27" t="s">
        <v>293</v>
      </c>
      <c r="B186" s="33">
        <v>7538.2383631398225</v>
      </c>
      <c r="D186" s="33">
        <v>3749.9163215606663</v>
      </c>
      <c r="E186" s="33">
        <v>3788.3220415791552</v>
      </c>
      <c r="F186" s="33"/>
      <c r="G186" s="33">
        <v>0</v>
      </c>
      <c r="H186" s="33">
        <v>1079.1274828717005</v>
      </c>
      <c r="I186" s="33">
        <v>3257.7278126827387</v>
      </c>
      <c r="J186" s="33">
        <v>3201.3830675853833</v>
      </c>
    </row>
    <row r="187" spans="1:10" x14ac:dyDescent="0.35">
      <c r="A187" s="27" t="s">
        <v>66</v>
      </c>
      <c r="B187" s="33">
        <v>0</v>
      </c>
      <c r="D187" s="33">
        <v>0</v>
      </c>
      <c r="E187" s="33">
        <v>0</v>
      </c>
      <c r="F187" s="33"/>
      <c r="G187" s="33">
        <v>0</v>
      </c>
      <c r="H187" s="33">
        <v>0</v>
      </c>
      <c r="I187" s="33">
        <v>0</v>
      </c>
      <c r="J187" s="33">
        <v>0</v>
      </c>
    </row>
    <row r="188" spans="1:10" x14ac:dyDescent="0.35">
      <c r="A188" s="27" t="s">
        <v>67</v>
      </c>
      <c r="B188" s="33">
        <v>79754.965784281172</v>
      </c>
      <c r="D188" s="33">
        <v>53352.75753224345</v>
      </c>
      <c r="E188" s="33">
        <v>26402.208252037773</v>
      </c>
      <c r="F188" s="33"/>
      <c r="G188" s="33">
        <v>16750.379963235609</v>
      </c>
      <c r="H188" s="33">
        <v>25268.14799754402</v>
      </c>
      <c r="I188" s="33">
        <v>19976.212180877752</v>
      </c>
      <c r="J188" s="33">
        <v>17760.225642623838</v>
      </c>
    </row>
    <row r="189" spans="1:10" x14ac:dyDescent="0.35">
      <c r="A189" s="27" t="s">
        <v>68</v>
      </c>
      <c r="B189" s="33">
        <v>145071.1291341763</v>
      </c>
      <c r="D189" s="33">
        <v>16168.485463806826</v>
      </c>
      <c r="E189" s="33">
        <v>128132.7616663315</v>
      </c>
      <c r="F189" s="33"/>
      <c r="G189" s="33">
        <v>26667.518367401404</v>
      </c>
      <c r="H189" s="33">
        <v>44627.550976063329</v>
      </c>
      <c r="I189" s="33">
        <v>44328.10713085912</v>
      </c>
      <c r="J189" s="33">
        <v>29447.952659852468</v>
      </c>
    </row>
    <row r="190" spans="1:10" x14ac:dyDescent="0.35">
      <c r="A190" s="27" t="s">
        <v>69</v>
      </c>
      <c r="B190" s="33">
        <v>273408.60909335612</v>
      </c>
      <c r="D190" s="33">
        <v>26062.931136242994</v>
      </c>
      <c r="E190" s="33">
        <v>247345.67795711308</v>
      </c>
      <c r="F190" s="33"/>
      <c r="G190" s="33">
        <v>62565.625443799858</v>
      </c>
      <c r="H190" s="33">
        <v>111361.25897981277</v>
      </c>
      <c r="I190" s="33">
        <v>55614.607407557385</v>
      </c>
      <c r="J190" s="33">
        <v>43867.117262185689</v>
      </c>
    </row>
    <row r="191" spans="1:10" x14ac:dyDescent="0.35">
      <c r="A191" s="27" t="s">
        <v>70</v>
      </c>
      <c r="B191" s="33">
        <v>874.22377922473868</v>
      </c>
      <c r="D191" s="33">
        <v>317.18792687054588</v>
      </c>
      <c r="E191" s="33">
        <v>557.0358523541928</v>
      </c>
      <c r="F191" s="33"/>
      <c r="G191" s="33">
        <v>0</v>
      </c>
      <c r="H191" s="33">
        <v>557.0358523541928</v>
      </c>
      <c r="I191" s="33">
        <v>0</v>
      </c>
      <c r="J191" s="33">
        <v>317.18792687054588</v>
      </c>
    </row>
    <row r="192" spans="1:10" x14ac:dyDescent="0.35">
      <c r="A192" s="27" t="s">
        <v>71</v>
      </c>
      <c r="B192" s="33">
        <v>4133.6037310509537</v>
      </c>
      <c r="D192" s="33">
        <v>0</v>
      </c>
      <c r="E192" s="33">
        <v>4133.6037310509537</v>
      </c>
      <c r="F192" s="33"/>
      <c r="G192" s="33">
        <v>766.15482642529332</v>
      </c>
      <c r="H192" s="33">
        <v>1612.3581287458367</v>
      </c>
      <c r="I192" s="33">
        <v>1290.1107877654701</v>
      </c>
      <c r="J192" s="33">
        <v>464.97998811435372</v>
      </c>
    </row>
    <row r="193" spans="1:10" x14ac:dyDescent="0.35">
      <c r="A193" s="27" t="s">
        <v>72</v>
      </c>
      <c r="B193" s="33">
        <v>988.92138878814649</v>
      </c>
      <c r="D193" s="33">
        <v>453.64871153512007</v>
      </c>
      <c r="E193" s="33">
        <v>535.27267725302636</v>
      </c>
      <c r="F193" s="33"/>
      <c r="G193" s="33">
        <v>0</v>
      </c>
      <c r="H193" s="33">
        <v>0</v>
      </c>
      <c r="I193" s="33">
        <v>535.27267725302636</v>
      </c>
      <c r="J193" s="33">
        <v>453.64871153512007</v>
      </c>
    </row>
    <row r="194" spans="1:10" x14ac:dyDescent="0.35">
      <c r="A194" s="27" t="s">
        <v>73</v>
      </c>
      <c r="B194" s="33">
        <v>0</v>
      </c>
      <c r="D194" s="33">
        <v>0</v>
      </c>
      <c r="E194" s="33">
        <v>0</v>
      </c>
      <c r="F194" s="33"/>
      <c r="G194" s="33">
        <v>0</v>
      </c>
      <c r="H194" s="33">
        <v>0</v>
      </c>
      <c r="I194" s="33">
        <v>0</v>
      </c>
      <c r="J194" s="33">
        <v>0</v>
      </c>
    </row>
    <row r="195" spans="1:10" x14ac:dyDescent="0.35">
      <c r="A195" s="27" t="s">
        <v>74</v>
      </c>
      <c r="B195" s="33">
        <v>1184.6431677098512</v>
      </c>
      <c r="D195" s="33">
        <v>630.2245748325106</v>
      </c>
      <c r="E195" s="33">
        <v>554.41859287734076</v>
      </c>
      <c r="F195" s="33"/>
      <c r="G195" s="33">
        <v>0</v>
      </c>
      <c r="H195" s="33">
        <v>1184.6431677098512</v>
      </c>
      <c r="I195" s="33">
        <v>0</v>
      </c>
      <c r="J195" s="33">
        <v>0</v>
      </c>
    </row>
    <row r="196" spans="1:10" x14ac:dyDescent="0.35">
      <c r="A196" s="27" t="s">
        <v>75</v>
      </c>
      <c r="B196" s="33">
        <v>8403.7014335152307</v>
      </c>
      <c r="D196" s="33">
        <v>769.91374168119341</v>
      </c>
      <c r="E196" s="33">
        <v>7633.787691834038</v>
      </c>
      <c r="F196" s="33"/>
      <c r="G196" s="33">
        <v>1301.5261343428092</v>
      </c>
      <c r="H196" s="33">
        <v>1403.2222934104504</v>
      </c>
      <c r="I196" s="33">
        <v>2238.0496970490949</v>
      </c>
      <c r="J196" s="33">
        <v>3460.9033087128755</v>
      </c>
    </row>
    <row r="197" spans="1:10" x14ac:dyDescent="0.35">
      <c r="A197" s="27" t="s">
        <v>76</v>
      </c>
      <c r="B197" s="33">
        <v>2650.1744887993791</v>
      </c>
      <c r="D197" s="33">
        <v>2077.4519153025803</v>
      </c>
      <c r="E197" s="33">
        <v>572.72257349679921</v>
      </c>
      <c r="F197" s="33"/>
      <c r="G197" s="33">
        <v>0</v>
      </c>
      <c r="H197" s="33">
        <v>0</v>
      </c>
      <c r="I197" s="33">
        <v>1185.1259293202429</v>
      </c>
      <c r="J197" s="33">
        <v>1465.0485594791364</v>
      </c>
    </row>
    <row r="198" spans="1:10" x14ac:dyDescent="0.35">
      <c r="A198" s="27" t="s">
        <v>77</v>
      </c>
      <c r="B198" s="33">
        <v>4208.8885022311533</v>
      </c>
      <c r="D198" s="33">
        <v>2807.3294611084229</v>
      </c>
      <c r="E198" s="33">
        <v>1401.5590411227304</v>
      </c>
      <c r="F198" s="33"/>
      <c r="G198" s="33">
        <v>1323.4686388461023</v>
      </c>
      <c r="H198" s="33">
        <v>0</v>
      </c>
      <c r="I198" s="33">
        <v>1159.904426190549</v>
      </c>
      <c r="J198" s="33">
        <v>1725.5154371945023</v>
      </c>
    </row>
    <row r="199" spans="1:10" x14ac:dyDescent="0.35">
      <c r="A199" s="27" t="s">
        <v>78</v>
      </c>
      <c r="B199" s="33">
        <v>9989.9425352218823</v>
      </c>
      <c r="D199" s="33">
        <v>7446.6392270412261</v>
      </c>
      <c r="E199" s="33">
        <v>2543.3033081806598</v>
      </c>
      <c r="F199" s="33"/>
      <c r="G199" s="33">
        <v>0</v>
      </c>
      <c r="H199" s="33">
        <v>2131.2954571004598</v>
      </c>
      <c r="I199" s="33">
        <v>2219.577785616736</v>
      </c>
      <c r="J199" s="33">
        <v>5639.0692925046897</v>
      </c>
    </row>
    <row r="200" spans="1:10" x14ac:dyDescent="0.35">
      <c r="A200" s="27" t="s">
        <v>79</v>
      </c>
      <c r="B200" s="33">
        <v>75920.817192405535</v>
      </c>
      <c r="D200" s="33">
        <v>38900.208019606303</v>
      </c>
      <c r="E200" s="33">
        <v>36285.561981464794</v>
      </c>
      <c r="F200" s="33"/>
      <c r="G200" s="33">
        <v>15120.295106531235</v>
      </c>
      <c r="H200" s="33">
        <v>12777.697238659499</v>
      </c>
      <c r="I200" s="33">
        <v>18989.868300724182</v>
      </c>
      <c r="J200" s="33">
        <v>29032.956546490612</v>
      </c>
    </row>
    <row r="201" spans="1:10" x14ac:dyDescent="0.35">
      <c r="A201" s="27" t="s">
        <v>80</v>
      </c>
      <c r="B201" s="33">
        <v>1149.0319447022118</v>
      </c>
      <c r="D201" s="33">
        <v>648.06882570573032</v>
      </c>
      <c r="E201" s="33">
        <v>500.96311899648146</v>
      </c>
      <c r="F201" s="33"/>
      <c r="G201" s="33">
        <v>0</v>
      </c>
      <c r="H201" s="33">
        <v>0</v>
      </c>
      <c r="I201" s="33">
        <v>648.06882570573032</v>
      </c>
      <c r="J201" s="33">
        <v>500.96311899648146</v>
      </c>
    </row>
    <row r="202" spans="1:10" x14ac:dyDescent="0.35">
      <c r="A202" s="27" t="s">
        <v>81</v>
      </c>
      <c r="B202" s="33">
        <v>1609.3196599317664</v>
      </c>
      <c r="D202" s="33">
        <v>1609.3196599317664</v>
      </c>
      <c r="E202" s="33">
        <v>0</v>
      </c>
      <c r="F202" s="33"/>
      <c r="G202" s="33">
        <v>0</v>
      </c>
      <c r="H202" s="33">
        <v>399.25517247772922</v>
      </c>
      <c r="I202" s="33">
        <v>0</v>
      </c>
      <c r="J202" s="33">
        <v>1210.0644874540371</v>
      </c>
    </row>
    <row r="203" spans="1:10" x14ac:dyDescent="0.35">
      <c r="A203" s="27" t="s">
        <v>82</v>
      </c>
      <c r="B203" s="33">
        <v>690297.29119167814</v>
      </c>
      <c r="D203" s="33">
        <v>525033.40418497997</v>
      </c>
      <c r="E203" s="33">
        <v>164847.46181806424</v>
      </c>
      <c r="F203" s="33"/>
      <c r="G203" s="33">
        <v>88814.903889022258</v>
      </c>
      <c r="H203" s="33">
        <v>223769.35669316433</v>
      </c>
      <c r="I203" s="33">
        <v>210866.00722701242</v>
      </c>
      <c r="J203" s="33">
        <v>166847.02338247889</v>
      </c>
    </row>
    <row r="204" spans="1:10" x14ac:dyDescent="0.35">
      <c r="A204" s="27" t="s">
        <v>83</v>
      </c>
      <c r="B204" s="33">
        <v>1225.4541435700412</v>
      </c>
      <c r="D204" s="33">
        <v>665.27015884388175</v>
      </c>
      <c r="E204" s="33">
        <v>560.18398472615945</v>
      </c>
      <c r="F204" s="33"/>
      <c r="G204" s="33">
        <v>665.27015884388175</v>
      </c>
      <c r="H204" s="33">
        <v>0</v>
      </c>
      <c r="I204" s="33">
        <v>0</v>
      </c>
      <c r="J204" s="33">
        <v>560.18398472615945</v>
      </c>
    </row>
    <row r="205" spans="1:10" x14ac:dyDescent="0.35">
      <c r="A205" s="27" t="s">
        <v>84</v>
      </c>
      <c r="B205" s="33">
        <v>1436.6966945970157</v>
      </c>
      <c r="D205" s="33">
        <v>619.67421401732236</v>
      </c>
      <c r="E205" s="33">
        <v>817.02248057969337</v>
      </c>
      <c r="F205" s="33"/>
      <c r="G205" s="33">
        <v>0</v>
      </c>
      <c r="H205" s="33">
        <v>0</v>
      </c>
      <c r="I205" s="33">
        <v>1436.6966945970157</v>
      </c>
      <c r="J205" s="33">
        <v>0</v>
      </c>
    </row>
    <row r="206" spans="1:10" x14ac:dyDescent="0.35">
      <c r="A206" s="27" t="s">
        <v>85</v>
      </c>
      <c r="B206" s="33">
        <v>0</v>
      </c>
      <c r="D206" s="33">
        <v>0</v>
      </c>
      <c r="E206" s="33">
        <v>0</v>
      </c>
      <c r="F206" s="33"/>
      <c r="G206" s="33">
        <v>0</v>
      </c>
      <c r="H206" s="33">
        <v>0</v>
      </c>
      <c r="I206" s="33">
        <v>0</v>
      </c>
      <c r="J206" s="33">
        <v>0</v>
      </c>
    </row>
    <row r="207" spans="1:10" x14ac:dyDescent="0.35">
      <c r="A207" s="27" t="s">
        <v>86</v>
      </c>
      <c r="B207" s="33">
        <v>26493.627886327482</v>
      </c>
      <c r="D207" s="33">
        <v>19767.23353131672</v>
      </c>
      <c r="E207" s="33">
        <v>6726.3943550107542</v>
      </c>
      <c r="F207" s="33"/>
      <c r="G207" s="33">
        <v>4544.1358034363329</v>
      </c>
      <c r="H207" s="33">
        <v>6059.8890572468244</v>
      </c>
      <c r="I207" s="33">
        <v>9996.8155500236026</v>
      </c>
      <c r="J207" s="33">
        <v>5892.787475620712</v>
      </c>
    </row>
    <row r="208" spans="1:10" x14ac:dyDescent="0.35">
      <c r="A208" s="27" t="s">
        <v>87</v>
      </c>
      <c r="B208" s="33">
        <v>1392.9904808695251</v>
      </c>
      <c r="D208" s="33">
        <v>665.27015884388175</v>
      </c>
      <c r="E208" s="33">
        <v>727.72032202564333</v>
      </c>
      <c r="F208" s="33"/>
      <c r="G208" s="33">
        <v>665.27015884388175</v>
      </c>
      <c r="H208" s="33">
        <v>727.72032202564333</v>
      </c>
      <c r="I208" s="33">
        <v>0</v>
      </c>
      <c r="J208" s="33">
        <v>0</v>
      </c>
    </row>
    <row r="209" spans="1:10" x14ac:dyDescent="0.35">
      <c r="A209" s="27" t="s">
        <v>88</v>
      </c>
      <c r="B209" s="33">
        <v>5275.9962272972007</v>
      </c>
      <c r="D209" s="33">
        <v>665.27015884388175</v>
      </c>
      <c r="E209" s="33">
        <v>4610.7260684533194</v>
      </c>
      <c r="F209" s="33"/>
      <c r="G209" s="33">
        <v>665.27015884388175</v>
      </c>
      <c r="H209" s="33">
        <v>1276.6107292138677</v>
      </c>
      <c r="I209" s="33">
        <v>2250.3874089336914</v>
      </c>
      <c r="J209" s="33">
        <v>1083.7279303057599</v>
      </c>
    </row>
    <row r="210" spans="1:10" x14ac:dyDescent="0.35">
      <c r="A210" s="27" t="s">
        <v>89</v>
      </c>
      <c r="B210" s="33">
        <v>336432.07576629875</v>
      </c>
      <c r="D210" s="33">
        <v>75737.740076683476</v>
      </c>
      <c r="E210" s="33">
        <v>259422.95653055797</v>
      </c>
      <c r="F210" s="33"/>
      <c r="G210" s="33">
        <v>89681.228491897753</v>
      </c>
      <c r="H210" s="33">
        <v>136465.71454784556</v>
      </c>
      <c r="I210" s="33">
        <v>79574.002509991362</v>
      </c>
      <c r="J210" s="33">
        <v>30711.130216563444</v>
      </c>
    </row>
    <row r="211" spans="1:10" x14ac:dyDescent="0.35">
      <c r="A211" s="27" t="s">
        <v>90</v>
      </c>
      <c r="B211" s="33">
        <v>4149.0273091156614</v>
      </c>
      <c r="D211" s="33">
        <v>3701.5330582266729</v>
      </c>
      <c r="E211" s="33">
        <v>447.49425088898766</v>
      </c>
      <c r="F211" s="33"/>
      <c r="G211" s="33">
        <v>0</v>
      </c>
      <c r="H211" s="33">
        <v>572.41922020178595</v>
      </c>
      <c r="I211" s="33">
        <v>1870.5110635258359</v>
      </c>
      <c r="J211" s="33">
        <v>1706.0970253880394</v>
      </c>
    </row>
    <row r="212" spans="1:10" x14ac:dyDescent="0.35">
      <c r="A212" s="27" t="s">
        <v>91</v>
      </c>
      <c r="B212" s="33">
        <v>0</v>
      </c>
      <c r="D212" s="33">
        <v>0</v>
      </c>
      <c r="E212" s="33">
        <v>0</v>
      </c>
      <c r="F212" s="33"/>
      <c r="G212" s="33">
        <v>0</v>
      </c>
      <c r="H212" s="33">
        <v>0</v>
      </c>
      <c r="I212" s="33">
        <v>0</v>
      </c>
      <c r="J212" s="33">
        <v>0</v>
      </c>
    </row>
    <row r="213" spans="1:10" x14ac:dyDescent="0.35">
      <c r="A213" s="27" t="s">
        <v>92</v>
      </c>
      <c r="B213" s="33">
        <v>52986.663148399173</v>
      </c>
      <c r="D213" s="33">
        <v>21605.355742434171</v>
      </c>
      <c r="E213" s="33">
        <v>30558.429962230137</v>
      </c>
      <c r="F213" s="33"/>
      <c r="G213" s="33">
        <v>3392.0890984657726</v>
      </c>
      <c r="H213" s="33">
        <v>9520.9975479242203</v>
      </c>
      <c r="I213" s="33">
        <v>20664.572591212436</v>
      </c>
      <c r="J213" s="33">
        <v>19409.00391079675</v>
      </c>
    </row>
    <row r="214" spans="1:10" x14ac:dyDescent="0.35">
      <c r="A214" s="27" t="s">
        <v>93</v>
      </c>
      <c r="B214" s="33">
        <v>1459.9677034350157</v>
      </c>
      <c r="D214" s="33">
        <v>0</v>
      </c>
      <c r="E214" s="33">
        <v>1459.9677034350157</v>
      </c>
      <c r="F214" s="33"/>
      <c r="G214" s="33">
        <v>794.13768985920149</v>
      </c>
      <c r="H214" s="33">
        <v>0</v>
      </c>
      <c r="I214" s="33">
        <v>665.83001357581429</v>
      </c>
      <c r="J214" s="33">
        <v>0</v>
      </c>
    </row>
    <row r="215" spans="1:10" x14ac:dyDescent="0.35">
      <c r="A215" s="27" t="s">
        <v>94</v>
      </c>
      <c r="B215" s="33">
        <v>3074.6701139343272</v>
      </c>
      <c r="D215" s="33">
        <v>2413.0448688312435</v>
      </c>
      <c r="E215" s="33">
        <v>661.62524510308333</v>
      </c>
      <c r="F215" s="33"/>
      <c r="G215" s="33">
        <v>0</v>
      </c>
      <c r="H215" s="33">
        <v>1767.7122112767076</v>
      </c>
      <c r="I215" s="33">
        <v>990.11053232704148</v>
      </c>
      <c r="J215" s="33">
        <v>316.84737033057741</v>
      </c>
    </row>
    <row r="216" spans="1:10" x14ac:dyDescent="0.35">
      <c r="A216" s="27" t="s">
        <v>95</v>
      </c>
      <c r="B216" s="33">
        <v>632.38973980475498</v>
      </c>
      <c r="D216" s="33">
        <v>0</v>
      </c>
      <c r="E216" s="33">
        <v>632.38973980475498</v>
      </c>
      <c r="F216" s="33"/>
      <c r="G216" s="33">
        <v>0</v>
      </c>
      <c r="H216" s="33">
        <v>0</v>
      </c>
      <c r="I216" s="33">
        <v>632.38973980475498</v>
      </c>
      <c r="J216" s="33">
        <v>0</v>
      </c>
    </row>
    <row r="217" spans="1:10" x14ac:dyDescent="0.35">
      <c r="A217" s="27" t="s">
        <v>96</v>
      </c>
      <c r="B217" s="33">
        <v>9238.6093556215274</v>
      </c>
      <c r="D217" s="33">
        <v>2770.0956175557303</v>
      </c>
      <c r="E217" s="33">
        <v>6468.5137380657989</v>
      </c>
      <c r="F217" s="33"/>
      <c r="G217" s="33">
        <v>1983.1142614219093</v>
      </c>
      <c r="H217" s="33">
        <v>2081.5514769312535</v>
      </c>
      <c r="I217" s="33">
        <v>1297.3663255700644</v>
      </c>
      <c r="J217" s="33">
        <v>3876.5772916983015</v>
      </c>
    </row>
    <row r="218" spans="1:10" x14ac:dyDescent="0.35">
      <c r="A218" s="27" t="s">
        <v>97</v>
      </c>
      <c r="B218" s="33">
        <v>1323.6016126353049</v>
      </c>
      <c r="D218" s="33">
        <v>0</v>
      </c>
      <c r="E218" s="33">
        <v>1323.6016126353049</v>
      </c>
      <c r="F218" s="33"/>
      <c r="G218" s="33">
        <v>1323.6016126353049</v>
      </c>
      <c r="H218" s="33">
        <v>0</v>
      </c>
      <c r="I218" s="33">
        <v>0</v>
      </c>
      <c r="J218" s="33">
        <v>0</v>
      </c>
    </row>
    <row r="219" spans="1:10" x14ac:dyDescent="0.35">
      <c r="A219" s="27" t="s">
        <v>98</v>
      </c>
      <c r="B219" s="33">
        <v>10768.02329893227</v>
      </c>
      <c r="D219" s="33">
        <v>5226.3379392315728</v>
      </c>
      <c r="E219" s="33">
        <v>5541.6853597006984</v>
      </c>
      <c r="F219" s="33"/>
      <c r="G219" s="33">
        <v>2814.7956339430839</v>
      </c>
      <c r="H219" s="33">
        <v>2257.485071868814</v>
      </c>
      <c r="I219" s="33">
        <v>2304.6678404157233</v>
      </c>
      <c r="J219" s="33">
        <v>3391.0747527046506</v>
      </c>
    </row>
    <row r="220" spans="1:10" x14ac:dyDescent="0.35">
      <c r="A220" s="27" t="s">
        <v>99</v>
      </c>
      <c r="B220" s="33">
        <v>31992.412321729014</v>
      </c>
      <c r="D220" s="33">
        <v>22259.184746894392</v>
      </c>
      <c r="E220" s="33">
        <v>9733.2275748346201</v>
      </c>
      <c r="F220" s="33"/>
      <c r="G220" s="33">
        <v>3877.5616648951909</v>
      </c>
      <c r="H220" s="33">
        <v>11151.327806232368</v>
      </c>
      <c r="I220" s="33">
        <v>12188.495058935077</v>
      </c>
      <c r="J220" s="33">
        <v>4775.0277916663663</v>
      </c>
    </row>
    <row r="221" spans="1:10" x14ac:dyDescent="0.35">
      <c r="A221" s="27" t="s">
        <v>100</v>
      </c>
      <c r="B221" s="33">
        <v>89707.419107488502</v>
      </c>
      <c r="D221" s="33">
        <v>58644.232766531706</v>
      </c>
      <c r="E221" s="33">
        <v>30293.304336918831</v>
      </c>
      <c r="F221" s="33"/>
      <c r="G221" s="33">
        <v>9949.74949979536</v>
      </c>
      <c r="H221" s="33">
        <v>33863.95746965061</v>
      </c>
      <c r="I221" s="33">
        <v>28738.494434258828</v>
      </c>
      <c r="J221" s="33">
        <v>17155.217703783728</v>
      </c>
    </row>
    <row r="222" spans="1:10" x14ac:dyDescent="0.35">
      <c r="A222" s="27" t="s">
        <v>101</v>
      </c>
      <c r="B222" s="33">
        <v>960.26360816068723</v>
      </c>
      <c r="D222" s="33">
        <v>960.26360816068723</v>
      </c>
      <c r="E222" s="33">
        <v>0</v>
      </c>
      <c r="F222" s="33"/>
      <c r="G222" s="33">
        <v>0</v>
      </c>
      <c r="H222" s="33">
        <v>0</v>
      </c>
      <c r="I222" s="33">
        <v>0</v>
      </c>
      <c r="J222" s="33">
        <v>960.26360816068723</v>
      </c>
    </row>
    <row r="223" spans="1:10" x14ac:dyDescent="0.35">
      <c r="A223" s="27" t="s">
        <v>102</v>
      </c>
      <c r="B223" s="33">
        <v>316.84737033057741</v>
      </c>
      <c r="D223" s="33">
        <v>316.84737033057741</v>
      </c>
      <c r="E223" s="33">
        <v>0</v>
      </c>
      <c r="F223" s="33"/>
      <c r="G223" s="33">
        <v>0</v>
      </c>
      <c r="H223" s="33">
        <v>0</v>
      </c>
      <c r="I223" s="33">
        <v>0</v>
      </c>
      <c r="J223" s="33">
        <v>316.84737033057741</v>
      </c>
    </row>
    <row r="224" spans="1:10" x14ac:dyDescent="0.35">
      <c r="A224" s="27" t="s">
        <v>103</v>
      </c>
      <c r="B224" s="33">
        <v>0</v>
      </c>
      <c r="D224" s="33">
        <v>0</v>
      </c>
      <c r="E224" s="33">
        <v>0</v>
      </c>
      <c r="F224" s="33"/>
      <c r="G224" s="33">
        <v>0</v>
      </c>
      <c r="H224" s="33">
        <v>0</v>
      </c>
      <c r="I224" s="33">
        <v>0</v>
      </c>
      <c r="J224" s="33">
        <v>0</v>
      </c>
    </row>
    <row r="225" spans="1:10" x14ac:dyDescent="0.35">
      <c r="A225" s="27" t="s">
        <v>104</v>
      </c>
      <c r="B225" s="33">
        <v>4682.2125863316787</v>
      </c>
      <c r="D225" s="33">
        <v>2061.7170658187906</v>
      </c>
      <c r="E225" s="33">
        <v>2620.4955205128881</v>
      </c>
      <c r="F225" s="33"/>
      <c r="G225" s="33">
        <v>786.86180301402669</v>
      </c>
      <c r="H225" s="33">
        <v>619.72574148449496</v>
      </c>
      <c r="I225" s="33">
        <v>1331.2078965994065</v>
      </c>
      <c r="J225" s="33">
        <v>1944.4171452337509</v>
      </c>
    </row>
    <row r="226" spans="1:10" x14ac:dyDescent="0.35">
      <c r="A226" s="27" t="s">
        <v>105</v>
      </c>
      <c r="B226" s="33">
        <v>2696.1600259480338</v>
      </c>
      <c r="D226" s="33">
        <v>1140.7547421001577</v>
      </c>
      <c r="E226" s="33">
        <v>1555.4052838478756</v>
      </c>
      <c r="F226" s="33"/>
      <c r="G226" s="33">
        <v>730.3638590980471</v>
      </c>
      <c r="H226" s="33">
        <v>0</v>
      </c>
      <c r="I226" s="33">
        <v>1140.7547421001577</v>
      </c>
      <c r="J226" s="33">
        <v>825.04142474982859</v>
      </c>
    </row>
    <row r="227" spans="1:10" x14ac:dyDescent="0.35">
      <c r="A227" s="27" t="s">
        <v>106</v>
      </c>
      <c r="B227" s="33">
        <v>801.20864981423881</v>
      </c>
      <c r="D227" s="33">
        <v>0</v>
      </c>
      <c r="E227" s="33">
        <v>801.20864981423881</v>
      </c>
      <c r="F227" s="33"/>
      <c r="G227" s="33">
        <v>0</v>
      </c>
      <c r="H227" s="33">
        <v>801.20864981423881</v>
      </c>
      <c r="I227" s="33">
        <v>0</v>
      </c>
      <c r="J227" s="33">
        <v>0</v>
      </c>
    </row>
    <row r="228" spans="1:10" x14ac:dyDescent="0.35">
      <c r="A228" s="27" t="s">
        <v>107</v>
      </c>
      <c r="B228" s="33">
        <v>34307.090241120197</v>
      </c>
      <c r="D228" s="33">
        <v>16887.131365964411</v>
      </c>
      <c r="E228" s="33">
        <v>16650.076871117821</v>
      </c>
      <c r="F228" s="33"/>
      <c r="G228" s="33">
        <v>693.35111378499369</v>
      </c>
      <c r="H228" s="33">
        <v>15249.105942779568</v>
      </c>
      <c r="I228" s="33">
        <v>9794.5768887664763</v>
      </c>
      <c r="J228" s="33">
        <v>8570.0562957891416</v>
      </c>
    </row>
    <row r="229" spans="1:10" x14ac:dyDescent="0.35">
      <c r="A229" s="27" t="s">
        <v>108</v>
      </c>
      <c r="B229" s="33">
        <v>0</v>
      </c>
      <c r="D229" s="33">
        <v>0</v>
      </c>
      <c r="E229" s="33">
        <v>0</v>
      </c>
      <c r="F229" s="33"/>
      <c r="G229" s="33">
        <v>0</v>
      </c>
      <c r="H229" s="33">
        <v>0</v>
      </c>
      <c r="I229" s="33">
        <v>0</v>
      </c>
      <c r="J229" s="33">
        <v>0</v>
      </c>
    </row>
    <row r="230" spans="1:10" x14ac:dyDescent="0.35">
      <c r="A230" s="27" t="s">
        <v>109</v>
      </c>
      <c r="B230" s="33">
        <v>0</v>
      </c>
      <c r="D230" s="33">
        <v>0</v>
      </c>
      <c r="E230" s="33">
        <v>0</v>
      </c>
      <c r="F230" s="33"/>
      <c r="G230" s="33">
        <v>0</v>
      </c>
      <c r="H230" s="33">
        <v>0</v>
      </c>
      <c r="I230" s="33">
        <v>0</v>
      </c>
      <c r="J230" s="33">
        <v>0</v>
      </c>
    </row>
    <row r="231" spans="1:10" x14ac:dyDescent="0.35">
      <c r="A231" s="27" t="s">
        <v>110</v>
      </c>
      <c r="B231" s="33">
        <v>44895.986656875451</v>
      </c>
      <c r="D231" s="33">
        <v>26476.63260184777</v>
      </c>
      <c r="E231" s="33">
        <v>18419.354055027678</v>
      </c>
      <c r="F231" s="33"/>
      <c r="G231" s="33">
        <v>3629.370154035169</v>
      </c>
      <c r="H231" s="33">
        <v>17042.781708490831</v>
      </c>
      <c r="I231" s="33">
        <v>11196.529807828578</v>
      </c>
      <c r="J231" s="33">
        <v>13027.30498652086</v>
      </c>
    </row>
    <row r="232" spans="1:10" x14ac:dyDescent="0.35">
      <c r="A232" s="27" t="s">
        <v>111</v>
      </c>
      <c r="B232" s="33">
        <v>8201.9342832474176</v>
      </c>
      <c r="D232" s="33">
        <v>5648.3866259371298</v>
      </c>
      <c r="E232" s="33">
        <v>2553.5476573102883</v>
      </c>
      <c r="F232" s="33"/>
      <c r="G232" s="33">
        <v>1329.1864619030723</v>
      </c>
      <c r="H232" s="33">
        <v>1362.3407094525774</v>
      </c>
      <c r="I232" s="33">
        <v>3715.6239649403451</v>
      </c>
      <c r="J232" s="33">
        <v>1794.7831469514229</v>
      </c>
    </row>
    <row r="233" spans="1:10" x14ac:dyDescent="0.35">
      <c r="A233" s="27" t="s">
        <v>112</v>
      </c>
      <c r="B233" s="33">
        <v>0</v>
      </c>
      <c r="D233" s="33">
        <v>0</v>
      </c>
      <c r="E233" s="33">
        <v>0</v>
      </c>
      <c r="F233" s="33"/>
      <c r="G233" s="33">
        <v>0</v>
      </c>
      <c r="H233" s="33">
        <v>0</v>
      </c>
      <c r="I233" s="33">
        <v>0</v>
      </c>
      <c r="J233" s="33">
        <v>0</v>
      </c>
    </row>
    <row r="234" spans="1:10" x14ac:dyDescent="0.35">
      <c r="A234" s="27" t="s">
        <v>113</v>
      </c>
      <c r="B234" s="33">
        <v>17145.543765762795</v>
      </c>
      <c r="D234" s="33">
        <v>11270.209755631975</v>
      </c>
      <c r="E234" s="33">
        <v>5875.3340101308204</v>
      </c>
      <c r="F234" s="33"/>
      <c r="G234" s="33">
        <v>1848.4821810442934</v>
      </c>
      <c r="H234" s="33">
        <v>2548.9667523589906</v>
      </c>
      <c r="I234" s="33">
        <v>6407.6770218450338</v>
      </c>
      <c r="J234" s="33">
        <v>6340.4178105144747</v>
      </c>
    </row>
    <row r="235" spans="1:10" x14ac:dyDescent="0.35">
      <c r="A235" s="27" t="s">
        <v>114</v>
      </c>
      <c r="B235" s="33">
        <v>1237.6959118096706</v>
      </c>
      <c r="D235" s="33">
        <v>1237.6959118096706</v>
      </c>
      <c r="E235" s="33">
        <v>0</v>
      </c>
      <c r="F235" s="33"/>
      <c r="G235" s="33">
        <v>0</v>
      </c>
      <c r="H235" s="33">
        <v>417.37935318525507</v>
      </c>
      <c r="I235" s="33">
        <v>0</v>
      </c>
      <c r="J235" s="33">
        <v>820.31655862441551</v>
      </c>
    </row>
    <row r="236" spans="1:10" x14ac:dyDescent="0.35">
      <c r="A236" s="27" t="s">
        <v>115</v>
      </c>
      <c r="B236" s="33">
        <v>8496.3535422857749</v>
      </c>
      <c r="D236" s="33">
        <v>4554.953458813814</v>
      </c>
      <c r="E236" s="33">
        <v>3941.4000834719618</v>
      </c>
      <c r="F236" s="33"/>
      <c r="G236" s="33">
        <v>1329.0747323239843</v>
      </c>
      <c r="H236" s="33">
        <v>310.16031280384686</v>
      </c>
      <c r="I236" s="33">
        <v>2612.3253511479775</v>
      </c>
      <c r="J236" s="33">
        <v>4244.7931460099671</v>
      </c>
    </row>
    <row r="237" spans="1:10" x14ac:dyDescent="0.35">
      <c r="A237" s="27" t="s">
        <v>116</v>
      </c>
      <c r="B237" s="33">
        <v>0</v>
      </c>
      <c r="D237" s="33">
        <v>0</v>
      </c>
      <c r="E237" s="33">
        <v>0</v>
      </c>
      <c r="F237" s="33"/>
      <c r="G237" s="33">
        <v>0</v>
      </c>
      <c r="H237" s="33">
        <v>0</v>
      </c>
      <c r="I237" s="33">
        <v>0</v>
      </c>
      <c r="J237" s="33">
        <v>0</v>
      </c>
    </row>
    <row r="238" spans="1:10" x14ac:dyDescent="0.35">
      <c r="A238" s="27" t="s">
        <v>117</v>
      </c>
      <c r="B238" s="33">
        <v>8184.6359350563707</v>
      </c>
      <c r="D238" s="33">
        <v>6660.2800845901838</v>
      </c>
      <c r="E238" s="33">
        <v>1524.3558504661869</v>
      </c>
      <c r="F238" s="33"/>
      <c r="G238" s="33">
        <v>1354.6891883183719</v>
      </c>
      <c r="H238" s="33">
        <v>3537.5333581235427</v>
      </c>
      <c r="I238" s="33">
        <v>1206.2836505147002</v>
      </c>
      <c r="J238" s="33">
        <v>2086.1297380997544</v>
      </c>
    </row>
    <row r="239" spans="1:10" x14ac:dyDescent="0.35">
      <c r="A239" s="27" t="s">
        <v>118</v>
      </c>
      <c r="B239" s="33">
        <v>239315.16863162574</v>
      </c>
      <c r="D239" s="33">
        <v>15991.138543515268</v>
      </c>
      <c r="E239" s="33">
        <v>222677.16279518927</v>
      </c>
      <c r="F239" s="33"/>
      <c r="G239" s="33">
        <v>4776.8746785180192</v>
      </c>
      <c r="H239" s="33">
        <v>46518.908370929748</v>
      </c>
      <c r="I239" s="33">
        <v>83894.408059510024</v>
      </c>
      <c r="J239" s="33">
        <v>104124.97752266804</v>
      </c>
    </row>
    <row r="240" spans="1:10" x14ac:dyDescent="0.35">
      <c r="A240" s="27" t="s">
        <v>119</v>
      </c>
      <c r="B240" s="33">
        <v>2286.962667298792</v>
      </c>
      <c r="D240" s="33">
        <v>1050.5146567582401</v>
      </c>
      <c r="E240" s="33">
        <v>1236.4480105405519</v>
      </c>
      <c r="F240" s="33"/>
      <c r="G240" s="33">
        <v>0</v>
      </c>
      <c r="H240" s="33">
        <v>1236.4480105405519</v>
      </c>
      <c r="I240" s="33">
        <v>0</v>
      </c>
      <c r="J240" s="33">
        <v>1050.5146567582401</v>
      </c>
    </row>
    <row r="241" spans="1:10" x14ac:dyDescent="0.35">
      <c r="A241" s="27" t="s">
        <v>120</v>
      </c>
      <c r="B241" s="33">
        <v>1352.9480612266002</v>
      </c>
      <c r="D241" s="33">
        <v>620.83633438509821</v>
      </c>
      <c r="E241" s="33">
        <v>732.11172684150199</v>
      </c>
      <c r="F241" s="33"/>
      <c r="G241" s="33">
        <v>0</v>
      </c>
      <c r="H241" s="33">
        <v>0</v>
      </c>
      <c r="I241" s="33">
        <v>1352.9480612266002</v>
      </c>
      <c r="J241" s="33">
        <v>0</v>
      </c>
    </row>
    <row r="242" spans="1:10" x14ac:dyDescent="0.35">
      <c r="A242" s="27" t="s">
        <v>121</v>
      </c>
      <c r="B242" s="33">
        <v>784.01377278743121</v>
      </c>
      <c r="D242" s="33">
        <v>0</v>
      </c>
      <c r="E242" s="33">
        <v>784.01377278743121</v>
      </c>
      <c r="F242" s="33"/>
      <c r="G242" s="33">
        <v>0</v>
      </c>
      <c r="H242" s="33">
        <v>784.01377278743121</v>
      </c>
      <c r="I242" s="33">
        <v>0</v>
      </c>
      <c r="J242" s="33">
        <v>0</v>
      </c>
    </row>
    <row r="243" spans="1:10" x14ac:dyDescent="0.35">
      <c r="A243" s="27" t="s">
        <v>122</v>
      </c>
      <c r="B243" s="33">
        <v>19561.197381782662</v>
      </c>
      <c r="D243" s="33">
        <v>12923.833046137395</v>
      </c>
      <c r="E243" s="33">
        <v>6220.9391470102801</v>
      </c>
      <c r="F243" s="33"/>
      <c r="G243" s="33">
        <v>0</v>
      </c>
      <c r="H243" s="33">
        <v>4722.8312383322873</v>
      </c>
      <c r="I243" s="33">
        <v>3887.0488762715045</v>
      </c>
      <c r="J243" s="33">
        <v>10951.317267178856</v>
      </c>
    </row>
    <row r="244" spans="1:10" x14ac:dyDescent="0.35">
      <c r="A244" s="27" t="s">
        <v>123</v>
      </c>
      <c r="B244" s="33">
        <v>987.2625106615161</v>
      </c>
      <c r="D244" s="33">
        <v>337.27000350004141</v>
      </c>
      <c r="E244" s="33">
        <v>649.99250716147469</v>
      </c>
      <c r="F244" s="33"/>
      <c r="G244" s="33">
        <v>0</v>
      </c>
      <c r="H244" s="33">
        <v>649.99250716147469</v>
      </c>
      <c r="I244" s="33">
        <v>0</v>
      </c>
      <c r="J244" s="33">
        <v>337.27000350004141</v>
      </c>
    </row>
    <row r="245" spans="1:10" x14ac:dyDescent="0.35">
      <c r="A245" s="27" t="s">
        <v>124</v>
      </c>
      <c r="B245" s="33">
        <v>480.63873930495294</v>
      </c>
      <c r="D245" s="33">
        <v>480.63873930495294</v>
      </c>
      <c r="E245" s="33">
        <v>0</v>
      </c>
      <c r="F245" s="33"/>
      <c r="G245" s="33">
        <v>0</v>
      </c>
      <c r="H245" s="33">
        <v>480.63873930495294</v>
      </c>
      <c r="I245" s="33">
        <v>0</v>
      </c>
      <c r="J245" s="33">
        <v>0</v>
      </c>
    </row>
    <row r="246" spans="1:10" x14ac:dyDescent="0.35">
      <c r="A246" s="27" t="s">
        <v>125</v>
      </c>
      <c r="B246" s="33">
        <v>6528.5119662291081</v>
      </c>
      <c r="D246" s="33">
        <v>4936.0399917061113</v>
      </c>
      <c r="E246" s="33">
        <v>1592.4719745229963</v>
      </c>
      <c r="F246" s="33"/>
      <c r="G246" s="33">
        <v>0</v>
      </c>
      <c r="H246" s="33">
        <v>4182.8382888227216</v>
      </c>
      <c r="I246" s="33">
        <v>1246.3761974534382</v>
      </c>
      <c r="J246" s="33">
        <v>1099.2974799529479</v>
      </c>
    </row>
    <row r="247" spans="1:10" x14ac:dyDescent="0.35">
      <c r="A247" s="27" t="s">
        <v>126</v>
      </c>
      <c r="B247" s="33">
        <v>0</v>
      </c>
      <c r="D247" s="33">
        <v>0</v>
      </c>
      <c r="E247" s="33">
        <v>0</v>
      </c>
      <c r="F247" s="33"/>
      <c r="G247" s="33">
        <v>0</v>
      </c>
      <c r="H247" s="33">
        <v>0</v>
      </c>
      <c r="I247" s="33">
        <v>0</v>
      </c>
      <c r="J247" s="33">
        <v>0</v>
      </c>
    </row>
    <row r="248" spans="1:10" x14ac:dyDescent="0.35">
      <c r="A248" s="27" t="s">
        <v>127</v>
      </c>
      <c r="B248" s="33">
        <v>2600.5206922741318</v>
      </c>
      <c r="D248" s="33">
        <v>0</v>
      </c>
      <c r="E248" s="33">
        <v>2600.5206922741318</v>
      </c>
      <c r="F248" s="33"/>
      <c r="G248" s="33">
        <v>639.18510100695539</v>
      </c>
      <c r="H248" s="33">
        <v>0</v>
      </c>
      <c r="I248" s="33">
        <v>720.70167976842686</v>
      </c>
      <c r="J248" s="33">
        <v>1240.6339114987495</v>
      </c>
    </row>
    <row r="249" spans="1:10" x14ac:dyDescent="0.35">
      <c r="A249" s="27" t="s">
        <v>286</v>
      </c>
      <c r="B249" s="33">
        <v>4031.1469522487523</v>
      </c>
      <c r="D249" s="33">
        <v>4031.1469522487523</v>
      </c>
      <c r="E249" s="33">
        <v>0</v>
      </c>
      <c r="F249" s="33"/>
      <c r="G249" s="33">
        <v>0</v>
      </c>
      <c r="H249" s="33">
        <v>1111.1755442570297</v>
      </c>
      <c r="I249" s="33">
        <v>1740.0074810628291</v>
      </c>
      <c r="J249" s="33">
        <v>1179.9639269288932</v>
      </c>
    </row>
    <row r="250" spans="1:10" x14ac:dyDescent="0.35">
      <c r="A250" s="27" t="s">
        <v>128</v>
      </c>
      <c r="B250" s="33">
        <v>3652.2653639716077</v>
      </c>
      <c r="D250" s="33">
        <v>1262.5872620355321</v>
      </c>
      <c r="E250" s="33">
        <v>2389.6781019360756</v>
      </c>
      <c r="F250" s="33"/>
      <c r="G250" s="33">
        <v>0</v>
      </c>
      <c r="H250" s="33">
        <v>795.17926660902083</v>
      </c>
      <c r="I250" s="33">
        <v>0</v>
      </c>
      <c r="J250" s="33">
        <v>2857.0860973625868</v>
      </c>
    </row>
    <row r="251" spans="1:10" x14ac:dyDescent="0.35">
      <c r="A251" s="27" t="s">
        <v>129</v>
      </c>
      <c r="B251" s="33">
        <v>0</v>
      </c>
      <c r="D251" s="33">
        <v>0</v>
      </c>
      <c r="E251" s="33">
        <v>0</v>
      </c>
      <c r="F251" s="33"/>
      <c r="G251" s="33">
        <v>0</v>
      </c>
      <c r="H251" s="33">
        <v>0</v>
      </c>
      <c r="I251" s="33">
        <v>0</v>
      </c>
      <c r="J251" s="33">
        <v>0</v>
      </c>
    </row>
    <row r="252" spans="1:10" x14ac:dyDescent="0.35">
      <c r="A252" s="27" t="s">
        <v>130</v>
      </c>
      <c r="B252" s="33">
        <v>777.27343760055021</v>
      </c>
      <c r="D252" s="33">
        <v>0</v>
      </c>
      <c r="E252" s="33">
        <v>777.27343760055021</v>
      </c>
      <c r="F252" s="33"/>
      <c r="G252" s="33">
        <v>0</v>
      </c>
      <c r="H252" s="33">
        <v>777.27343760055021</v>
      </c>
      <c r="I252" s="33">
        <v>0</v>
      </c>
      <c r="J252" s="33">
        <v>0</v>
      </c>
    </row>
    <row r="253" spans="1:10" x14ac:dyDescent="0.35">
      <c r="A253" s="27" t="s">
        <v>131</v>
      </c>
      <c r="B253" s="33">
        <v>5733.7799561321999</v>
      </c>
      <c r="D253" s="33">
        <v>1098.5623574134536</v>
      </c>
      <c r="E253" s="33">
        <v>4635.2175987187466</v>
      </c>
      <c r="F253" s="33"/>
      <c r="G253" s="33">
        <v>0</v>
      </c>
      <c r="H253" s="33">
        <v>576.34381997757214</v>
      </c>
      <c r="I253" s="33">
        <v>3411.0613352142896</v>
      </c>
      <c r="J253" s="33">
        <v>1746.3748009403384</v>
      </c>
    </row>
    <row r="254" spans="1:10" x14ac:dyDescent="0.35">
      <c r="A254" s="27" t="s">
        <v>132</v>
      </c>
      <c r="B254" s="33">
        <v>0</v>
      </c>
      <c r="D254" s="33">
        <v>0</v>
      </c>
      <c r="E254" s="33">
        <v>0</v>
      </c>
      <c r="F254" s="33"/>
      <c r="G254" s="33">
        <v>0</v>
      </c>
      <c r="H254" s="33">
        <v>0</v>
      </c>
      <c r="I254" s="33">
        <v>0</v>
      </c>
      <c r="J254" s="33">
        <v>0</v>
      </c>
    </row>
    <row r="255" spans="1:10" x14ac:dyDescent="0.35">
      <c r="A255" s="27" t="s">
        <v>133</v>
      </c>
      <c r="B255" s="33">
        <v>17479.767081947863</v>
      </c>
      <c r="D255" s="33">
        <v>12662.994702206162</v>
      </c>
      <c r="E255" s="33">
        <v>4816.772379741702</v>
      </c>
      <c r="F255" s="33"/>
      <c r="G255" s="33">
        <v>14138.351301034099</v>
      </c>
      <c r="H255" s="33">
        <v>3341.4157809137632</v>
      </c>
      <c r="I255" s="33">
        <v>0</v>
      </c>
      <c r="J255" s="33">
        <v>0</v>
      </c>
    </row>
    <row r="256" spans="1:10" x14ac:dyDescent="0.35">
      <c r="A256" s="27" t="s">
        <v>134</v>
      </c>
      <c r="B256" s="33">
        <v>6678.7837657287846</v>
      </c>
      <c r="D256" s="33">
        <v>4098.2269345877294</v>
      </c>
      <c r="E256" s="33">
        <v>2580.5568311410557</v>
      </c>
      <c r="F256" s="33"/>
      <c r="G256" s="33">
        <v>0</v>
      </c>
      <c r="H256" s="33">
        <v>1207.1947830409608</v>
      </c>
      <c r="I256" s="33">
        <v>1831.7059123564181</v>
      </c>
      <c r="J256" s="33">
        <v>3639.8830703314065</v>
      </c>
    </row>
    <row r="257" spans="1:10" x14ac:dyDescent="0.35">
      <c r="A257" s="27" t="s">
        <v>135</v>
      </c>
      <c r="B257" s="33">
        <v>0</v>
      </c>
      <c r="D257" s="33">
        <v>0</v>
      </c>
      <c r="E257" s="33">
        <v>0</v>
      </c>
      <c r="F257" s="33"/>
      <c r="G257" s="33">
        <v>0</v>
      </c>
      <c r="H257" s="33">
        <v>0</v>
      </c>
      <c r="I257" s="33">
        <v>0</v>
      </c>
      <c r="J257" s="33">
        <v>0</v>
      </c>
    </row>
    <row r="258" spans="1:10" x14ac:dyDescent="0.35">
      <c r="A258" s="27" t="s">
        <v>136</v>
      </c>
      <c r="B258" s="33">
        <v>0</v>
      </c>
      <c r="D258" s="33">
        <v>0</v>
      </c>
      <c r="E258" s="33">
        <v>0</v>
      </c>
      <c r="F258" s="33"/>
      <c r="G258" s="33">
        <v>0</v>
      </c>
      <c r="H258" s="33">
        <v>0</v>
      </c>
      <c r="I258" s="33">
        <v>0</v>
      </c>
      <c r="J258" s="33">
        <v>0</v>
      </c>
    </row>
    <row r="259" spans="1:10" x14ac:dyDescent="0.35">
      <c r="A259" s="27" t="s">
        <v>137</v>
      </c>
      <c r="B259" s="33">
        <v>0</v>
      </c>
      <c r="D259" s="33">
        <v>0</v>
      </c>
      <c r="E259" s="33">
        <v>0</v>
      </c>
      <c r="F259" s="33"/>
      <c r="G259" s="33">
        <v>0</v>
      </c>
      <c r="H259" s="33">
        <v>0</v>
      </c>
      <c r="I259" s="33">
        <v>0</v>
      </c>
      <c r="J259" s="33">
        <v>0</v>
      </c>
    </row>
    <row r="260" spans="1:10" x14ac:dyDescent="0.35">
      <c r="A260" s="27" t="s">
        <v>138</v>
      </c>
      <c r="B260" s="33">
        <v>2542.0051710488519</v>
      </c>
      <c r="D260" s="33">
        <v>710.92016711794872</v>
      </c>
      <c r="E260" s="33">
        <v>1831.0850039309034</v>
      </c>
      <c r="F260" s="33"/>
      <c r="G260" s="33">
        <v>0</v>
      </c>
      <c r="H260" s="33">
        <v>710.92016711794872</v>
      </c>
      <c r="I260" s="33">
        <v>0</v>
      </c>
      <c r="J260" s="33">
        <v>1831.0850039309034</v>
      </c>
    </row>
    <row r="261" spans="1:10" x14ac:dyDescent="0.35">
      <c r="A261" s="27" t="s">
        <v>139</v>
      </c>
      <c r="B261" s="33">
        <v>4827.5698636368625</v>
      </c>
      <c r="D261" s="33">
        <v>2309.971162736048</v>
      </c>
      <c r="E261" s="33">
        <v>2517.5987009008149</v>
      </c>
      <c r="F261" s="33"/>
      <c r="G261" s="33">
        <v>0</v>
      </c>
      <c r="H261" s="33">
        <v>0</v>
      </c>
      <c r="I261" s="33">
        <v>0</v>
      </c>
      <c r="J261" s="33">
        <v>4827.5698636368625</v>
      </c>
    </row>
    <row r="262" spans="1:10" x14ac:dyDescent="0.35">
      <c r="A262" s="27" t="s">
        <v>140</v>
      </c>
      <c r="B262" s="33">
        <v>82972.432516315661</v>
      </c>
      <c r="D262" s="33">
        <v>60898.543587373868</v>
      </c>
      <c r="E262" s="33">
        <v>22073.888928941822</v>
      </c>
      <c r="F262" s="33"/>
      <c r="G262" s="33">
        <v>10687.203695871265</v>
      </c>
      <c r="H262" s="33">
        <v>20985.695887948903</v>
      </c>
      <c r="I262" s="33">
        <v>24697.715676425272</v>
      </c>
      <c r="J262" s="33">
        <v>26601.817256070251</v>
      </c>
    </row>
    <row r="263" spans="1:10" x14ac:dyDescent="0.35">
      <c r="A263" s="27" t="s">
        <v>141</v>
      </c>
      <c r="B263" s="33">
        <v>33123.229336738899</v>
      </c>
      <c r="D263" s="33">
        <v>27053.185994305863</v>
      </c>
      <c r="E263" s="33">
        <v>6070.0433424330404</v>
      </c>
      <c r="F263" s="33"/>
      <c r="G263" s="33">
        <v>1312.934767199456</v>
      </c>
      <c r="H263" s="33">
        <v>10285.566188397172</v>
      </c>
      <c r="I263" s="33">
        <v>8452.3290679208731</v>
      </c>
      <c r="J263" s="33">
        <v>13072.399313221384</v>
      </c>
    </row>
    <row r="264" spans="1:10" x14ac:dyDescent="0.35">
      <c r="A264" s="27" t="s">
        <v>142</v>
      </c>
      <c r="B264" s="33">
        <v>150454.24813888111</v>
      </c>
      <c r="D264" s="33">
        <v>73607.950884730963</v>
      </c>
      <c r="E264" s="33">
        <v>76846.297254150224</v>
      </c>
      <c r="F264" s="33"/>
      <c r="G264" s="33">
        <v>31365.275000004538</v>
      </c>
      <c r="H264" s="33">
        <v>44902.769475190398</v>
      </c>
      <c r="I264" s="33">
        <v>32255.425465717719</v>
      </c>
      <c r="J264" s="33">
        <v>41930.778197968619</v>
      </c>
    </row>
    <row r="265" spans="1:10" x14ac:dyDescent="0.35">
      <c r="A265" s="27" t="s">
        <v>143</v>
      </c>
      <c r="B265" s="33">
        <v>4555.4196177021631</v>
      </c>
      <c r="D265" s="33">
        <v>2768.3603678782592</v>
      </c>
      <c r="E265" s="33">
        <v>1787.0592498239034</v>
      </c>
      <c r="F265" s="33"/>
      <c r="G265" s="33">
        <v>0</v>
      </c>
      <c r="H265" s="33">
        <v>480.63873930495294</v>
      </c>
      <c r="I265" s="33">
        <v>1808.6691642830101</v>
      </c>
      <c r="J265" s="33">
        <v>2266.1117141142004</v>
      </c>
    </row>
    <row r="266" spans="1:10" x14ac:dyDescent="0.35">
      <c r="A266" s="27" t="s">
        <v>144</v>
      </c>
      <c r="B266" s="33">
        <v>15409.483214908245</v>
      </c>
      <c r="D266" s="33">
        <v>10239.438268520142</v>
      </c>
      <c r="E266" s="33">
        <v>5170.0449463881059</v>
      </c>
      <c r="F266" s="33"/>
      <c r="G266" s="33">
        <v>4816.106588749366</v>
      </c>
      <c r="H266" s="33">
        <v>3300.9272493154613</v>
      </c>
      <c r="I266" s="33">
        <v>3811.4436557631552</v>
      </c>
      <c r="J266" s="33">
        <v>3481.0057210802647</v>
      </c>
    </row>
    <row r="267" spans="1:10" x14ac:dyDescent="0.35">
      <c r="A267" s="27" t="s">
        <v>145</v>
      </c>
      <c r="B267" s="33">
        <v>9178.857996867393</v>
      </c>
      <c r="D267" s="33">
        <v>6671.3384410966009</v>
      </c>
      <c r="E267" s="33">
        <v>2042.5395676564378</v>
      </c>
      <c r="F267" s="33"/>
      <c r="G267" s="33">
        <v>0</v>
      </c>
      <c r="H267" s="33">
        <v>1193.8793362644924</v>
      </c>
      <c r="I267" s="33">
        <v>4895.8806045610081</v>
      </c>
      <c r="J267" s="33">
        <v>3089.0980560418916</v>
      </c>
    </row>
    <row r="268" spans="1:10" x14ac:dyDescent="0.35">
      <c r="A268" s="27" t="s">
        <v>146</v>
      </c>
      <c r="B268" s="33">
        <v>0</v>
      </c>
      <c r="D268" s="33">
        <v>0</v>
      </c>
      <c r="E268" s="33">
        <v>0</v>
      </c>
      <c r="F268" s="33"/>
      <c r="G268" s="33">
        <v>0</v>
      </c>
      <c r="H268" s="33">
        <v>0</v>
      </c>
      <c r="I268" s="33">
        <v>0</v>
      </c>
      <c r="J268" s="33">
        <v>0</v>
      </c>
    </row>
    <row r="269" spans="1:10" x14ac:dyDescent="0.35">
      <c r="A269" s="27" t="s">
        <v>284</v>
      </c>
      <c r="B269" s="33">
        <v>1045.6337798259824</v>
      </c>
      <c r="D269" s="33">
        <v>395.52108101114419</v>
      </c>
      <c r="E269" s="33">
        <v>650.11269881483827</v>
      </c>
      <c r="F269" s="33"/>
      <c r="G269" s="33">
        <v>0</v>
      </c>
      <c r="H269" s="33">
        <v>0</v>
      </c>
      <c r="I269" s="33">
        <v>650.11269881483827</v>
      </c>
      <c r="J269" s="33">
        <v>395.52108101114419</v>
      </c>
    </row>
    <row r="270" spans="1:10" x14ac:dyDescent="0.35">
      <c r="A270" s="27" t="s">
        <v>283</v>
      </c>
      <c r="B270" s="33">
        <v>916.88262600098233</v>
      </c>
      <c r="D270" s="33">
        <v>490.13454537033851</v>
      </c>
      <c r="E270" s="33">
        <v>426.74808063064381</v>
      </c>
      <c r="F270" s="33"/>
      <c r="G270" s="33">
        <v>0</v>
      </c>
      <c r="H270" s="33">
        <v>0</v>
      </c>
      <c r="I270" s="33">
        <v>490.13454537033851</v>
      </c>
      <c r="J270" s="33">
        <v>426.74808063064381</v>
      </c>
    </row>
    <row r="271" spans="1:10" x14ac:dyDescent="0.35">
      <c r="A271" s="27" t="s">
        <v>147</v>
      </c>
      <c r="B271" s="33">
        <v>25125.201579266253</v>
      </c>
      <c r="D271" s="33">
        <v>9117.8793350839478</v>
      </c>
      <c r="E271" s="33">
        <v>16007.3222441823</v>
      </c>
      <c r="F271" s="33"/>
      <c r="G271" s="33">
        <v>1471.7332470741253</v>
      </c>
      <c r="H271" s="33">
        <v>11541.562029161134</v>
      </c>
      <c r="I271" s="33">
        <v>9486.9440598004621</v>
      </c>
      <c r="J271" s="33">
        <v>2624.9622432305259</v>
      </c>
    </row>
    <row r="272" spans="1:10" x14ac:dyDescent="0.35">
      <c r="A272" s="27" t="s">
        <v>148</v>
      </c>
      <c r="B272" s="33">
        <v>0</v>
      </c>
      <c r="D272" s="33">
        <v>0</v>
      </c>
      <c r="E272" s="33">
        <v>0</v>
      </c>
      <c r="F272" s="33"/>
      <c r="G272" s="33">
        <v>0</v>
      </c>
      <c r="H272" s="33">
        <v>0</v>
      </c>
      <c r="I272" s="33">
        <v>0</v>
      </c>
      <c r="J272" s="33">
        <v>0</v>
      </c>
    </row>
    <row r="273" spans="1:10" x14ac:dyDescent="0.35">
      <c r="A273" s="27" t="s">
        <v>149</v>
      </c>
      <c r="B273" s="33">
        <v>7583.3089342728726</v>
      </c>
      <c r="D273" s="33">
        <v>5963.4569212104989</v>
      </c>
      <c r="E273" s="33">
        <v>1619.8520130623722</v>
      </c>
      <c r="F273" s="33"/>
      <c r="G273" s="33">
        <v>1396.4861885062596</v>
      </c>
      <c r="H273" s="33">
        <v>1189.5383076078765</v>
      </c>
      <c r="I273" s="33">
        <v>2858.8533833667047</v>
      </c>
      <c r="J273" s="33">
        <v>2138.4310547920304</v>
      </c>
    </row>
    <row r="274" spans="1:10" x14ac:dyDescent="0.35">
      <c r="A274" s="27" t="s">
        <v>150</v>
      </c>
      <c r="B274" s="33">
        <v>0</v>
      </c>
      <c r="D274" s="33">
        <v>0</v>
      </c>
      <c r="E274" s="33">
        <v>0</v>
      </c>
      <c r="F274" s="33"/>
      <c r="G274" s="33">
        <v>0</v>
      </c>
      <c r="H274" s="33">
        <v>0</v>
      </c>
      <c r="I274" s="33">
        <v>0</v>
      </c>
      <c r="J274" s="33">
        <v>0</v>
      </c>
    </row>
    <row r="275" spans="1:10" x14ac:dyDescent="0.35">
      <c r="A275" s="27" t="s">
        <v>151</v>
      </c>
      <c r="B275" s="33">
        <v>9708.9447769239123</v>
      </c>
      <c r="D275" s="33">
        <v>4873.7917699348545</v>
      </c>
      <c r="E275" s="33">
        <v>4835.1530069890605</v>
      </c>
      <c r="F275" s="33"/>
      <c r="G275" s="33">
        <v>0</v>
      </c>
      <c r="H275" s="33">
        <v>1755.2901616286679</v>
      </c>
      <c r="I275" s="33">
        <v>2044.1487214895319</v>
      </c>
      <c r="J275" s="33">
        <v>5909.5058938057155</v>
      </c>
    </row>
    <row r="276" spans="1:10" x14ac:dyDescent="0.35">
      <c r="A276" s="27" t="s">
        <v>152</v>
      </c>
      <c r="B276" s="33">
        <v>7527.9274256124882</v>
      </c>
      <c r="D276" s="33">
        <v>4519.2301748915243</v>
      </c>
      <c r="E276" s="33">
        <v>3008.697250720963</v>
      </c>
      <c r="F276" s="33"/>
      <c r="G276" s="33">
        <v>505.10580668779107</v>
      </c>
      <c r="H276" s="33">
        <v>3182.6091510223187</v>
      </c>
      <c r="I276" s="33">
        <v>632.38973980475498</v>
      </c>
      <c r="J276" s="33">
        <v>3207.8227280976234</v>
      </c>
    </row>
    <row r="277" spans="1:10" x14ac:dyDescent="0.35">
      <c r="A277" s="27" t="s">
        <v>153</v>
      </c>
      <c r="B277" s="33">
        <v>1198.9859218270685</v>
      </c>
      <c r="D277" s="33">
        <v>621.12486828036924</v>
      </c>
      <c r="E277" s="33">
        <v>577.8610535466994</v>
      </c>
      <c r="F277" s="33"/>
      <c r="G277" s="33">
        <v>0</v>
      </c>
      <c r="H277" s="33">
        <v>0</v>
      </c>
      <c r="I277" s="33">
        <v>1198.9859218270685</v>
      </c>
      <c r="J277" s="33">
        <v>0</v>
      </c>
    </row>
    <row r="278" spans="1:10" x14ac:dyDescent="0.35">
      <c r="A278" s="27" t="s">
        <v>154</v>
      </c>
      <c r="B278" s="33">
        <v>21501.462102161968</v>
      </c>
      <c r="D278" s="33">
        <v>13336.807805539423</v>
      </c>
      <c r="E278" s="33">
        <v>8164.6542966225416</v>
      </c>
      <c r="F278" s="33"/>
      <c r="G278" s="33">
        <v>0</v>
      </c>
      <c r="H278" s="33">
        <v>3760.0034067761653</v>
      </c>
      <c r="I278" s="33">
        <v>10007.293872901644</v>
      </c>
      <c r="J278" s="33">
        <v>7734.1648224841556</v>
      </c>
    </row>
    <row r="279" spans="1:10" x14ac:dyDescent="0.35">
      <c r="A279" s="27" t="s">
        <v>155</v>
      </c>
      <c r="B279" s="33">
        <v>1124376.4838225932</v>
      </c>
      <c r="D279" s="33">
        <v>554583.80035060458</v>
      </c>
      <c r="E279" s="33">
        <v>567863.28133517527</v>
      </c>
      <c r="F279" s="33"/>
      <c r="G279" s="33">
        <v>341597.46290616726</v>
      </c>
      <c r="H279" s="33">
        <v>413021.92568534613</v>
      </c>
      <c r="I279" s="33">
        <v>247751.01536825649</v>
      </c>
      <c r="J279" s="33">
        <v>122006.07986281965</v>
      </c>
    </row>
    <row r="280" spans="1:10" x14ac:dyDescent="0.35">
      <c r="A280" s="27" t="s">
        <v>156</v>
      </c>
      <c r="B280" s="33">
        <v>0</v>
      </c>
      <c r="D280" s="33">
        <v>0</v>
      </c>
      <c r="E280" s="33">
        <v>0</v>
      </c>
      <c r="F280" s="33"/>
      <c r="G280" s="33">
        <v>0</v>
      </c>
      <c r="H280" s="33">
        <v>0</v>
      </c>
      <c r="I280" s="33">
        <v>0</v>
      </c>
      <c r="J280" s="33">
        <v>0</v>
      </c>
    </row>
    <row r="281" spans="1:10" x14ac:dyDescent="0.35">
      <c r="A281" s="27" t="s">
        <v>157</v>
      </c>
      <c r="B281" s="33">
        <v>4300.278019826239</v>
      </c>
      <c r="D281" s="33">
        <v>1851.8158478757177</v>
      </c>
      <c r="E281" s="33">
        <v>2448.4621719505208</v>
      </c>
      <c r="F281" s="33"/>
      <c r="G281" s="33">
        <v>3240.6894795487478</v>
      </c>
      <c r="H281" s="33">
        <v>625.481908277564</v>
      </c>
      <c r="I281" s="33">
        <v>0</v>
      </c>
      <c r="J281" s="33">
        <v>434.10663199992695</v>
      </c>
    </row>
    <row r="282" spans="1:10" x14ac:dyDescent="0.35">
      <c r="A282" s="27" t="s">
        <v>158</v>
      </c>
      <c r="B282" s="33">
        <v>21842.70263042851</v>
      </c>
      <c r="D282" s="33">
        <v>15564.278032532822</v>
      </c>
      <c r="E282" s="33">
        <v>6278.4245978956869</v>
      </c>
      <c r="F282" s="33"/>
      <c r="G282" s="33">
        <v>0</v>
      </c>
      <c r="H282" s="33">
        <v>6772.2906247517585</v>
      </c>
      <c r="I282" s="33">
        <v>5987.5272591901603</v>
      </c>
      <c r="J282" s="33">
        <v>9082.8847464865903</v>
      </c>
    </row>
    <row r="283" spans="1:10" x14ac:dyDescent="0.35">
      <c r="A283" s="27" t="s">
        <v>282</v>
      </c>
      <c r="B283" s="33">
        <v>39236.151012654045</v>
      </c>
      <c r="D283" s="33">
        <v>26301.601583846343</v>
      </c>
      <c r="E283" s="33">
        <v>12934.549428807693</v>
      </c>
      <c r="F283" s="33"/>
      <c r="G283" s="33">
        <v>673.11464143051285</v>
      </c>
      <c r="H283" s="33">
        <v>17244.471834952608</v>
      </c>
      <c r="I283" s="33">
        <v>13253.557911333111</v>
      </c>
      <c r="J283" s="33">
        <v>8065.006624937796</v>
      </c>
    </row>
    <row r="284" spans="1:10" x14ac:dyDescent="0.35">
      <c r="A284" s="27" t="s">
        <v>159</v>
      </c>
      <c r="B284" s="33">
        <v>10836.851497620555</v>
      </c>
      <c r="D284" s="33">
        <v>7390.6457031969503</v>
      </c>
      <c r="E284" s="33">
        <v>2820.3712964956708</v>
      </c>
      <c r="F284" s="33"/>
      <c r="G284" s="33">
        <v>2077.9316054694973</v>
      </c>
      <c r="H284" s="33">
        <v>3599.3171672359231</v>
      </c>
      <c r="I284" s="33">
        <v>3618.014693479895</v>
      </c>
      <c r="J284" s="33">
        <v>1541.5880314352396</v>
      </c>
    </row>
    <row r="285" spans="1:10" x14ac:dyDescent="0.35">
      <c r="A285" s="27" t="s">
        <v>160</v>
      </c>
      <c r="B285" s="33">
        <v>187489.67061200491</v>
      </c>
      <c r="D285" s="33">
        <v>105956.46171840859</v>
      </c>
      <c r="E285" s="33">
        <v>81533.208893596311</v>
      </c>
      <c r="F285" s="33"/>
      <c r="G285" s="33">
        <v>11066.567626212374</v>
      </c>
      <c r="H285" s="33">
        <v>57517.742720354545</v>
      </c>
      <c r="I285" s="33">
        <v>63469.463785211374</v>
      </c>
      <c r="J285" s="33">
        <v>55435.896480226533</v>
      </c>
    </row>
    <row r="286" spans="1:10" x14ac:dyDescent="0.35">
      <c r="A286" s="27" t="s">
        <v>161</v>
      </c>
      <c r="B286" s="33">
        <v>6919.8652314823876</v>
      </c>
      <c r="D286" s="33">
        <v>1856.7434316914041</v>
      </c>
      <c r="E286" s="33">
        <v>5063.1217997909844</v>
      </c>
      <c r="F286" s="33"/>
      <c r="G286" s="33">
        <v>2123.6191711727724</v>
      </c>
      <c r="H286" s="33">
        <v>0</v>
      </c>
      <c r="I286" s="33">
        <v>3228.6723877220024</v>
      </c>
      <c r="J286" s="33">
        <v>1567.5736725876141</v>
      </c>
    </row>
    <row r="287" spans="1:10" x14ac:dyDescent="0.35">
      <c r="A287" s="27" t="s">
        <v>162</v>
      </c>
      <c r="B287" s="33">
        <v>0</v>
      </c>
      <c r="D287" s="33">
        <v>0</v>
      </c>
      <c r="E287" s="33">
        <v>0</v>
      </c>
      <c r="F287" s="33"/>
      <c r="G287" s="33">
        <v>0</v>
      </c>
      <c r="H287" s="33">
        <v>0</v>
      </c>
      <c r="I287" s="33">
        <v>0</v>
      </c>
      <c r="J287" s="33">
        <v>0</v>
      </c>
    </row>
    <row r="288" spans="1:10" x14ac:dyDescent="0.35">
      <c r="A288" s="27" t="s">
        <v>163</v>
      </c>
      <c r="B288" s="33">
        <v>56742.370757873898</v>
      </c>
      <c r="D288" s="33">
        <v>26450.76841514857</v>
      </c>
      <c r="E288" s="33">
        <v>30291.602342725346</v>
      </c>
      <c r="F288" s="33"/>
      <c r="G288" s="33">
        <v>1305.3046031208037</v>
      </c>
      <c r="H288" s="33">
        <v>13065.495292518148</v>
      </c>
      <c r="I288" s="33">
        <v>16155.844789504632</v>
      </c>
      <c r="J288" s="33">
        <v>26215.726072730333</v>
      </c>
    </row>
    <row r="289" spans="1:10" x14ac:dyDescent="0.35">
      <c r="A289" s="27" t="s">
        <v>164</v>
      </c>
      <c r="B289" s="33">
        <v>3592.5286073746015</v>
      </c>
      <c r="D289" s="33">
        <v>2329.1839450127377</v>
      </c>
      <c r="E289" s="33">
        <v>1263.3446623618638</v>
      </c>
      <c r="F289" s="33"/>
      <c r="G289" s="33">
        <v>662.18461182364979</v>
      </c>
      <c r="H289" s="33">
        <v>0</v>
      </c>
      <c r="I289" s="33">
        <v>1213.3506216539679</v>
      </c>
      <c r="J289" s="33">
        <v>1716.9933738969839</v>
      </c>
    </row>
    <row r="290" spans="1:10" x14ac:dyDescent="0.35">
      <c r="A290" s="27" t="s">
        <v>165</v>
      </c>
      <c r="B290" s="33">
        <v>2227.0968410499736</v>
      </c>
      <c r="D290" s="33">
        <v>1270.4696762748529</v>
      </c>
      <c r="E290" s="33">
        <v>956.62716477512083</v>
      </c>
      <c r="F290" s="33"/>
      <c r="G290" s="33">
        <v>0</v>
      </c>
      <c r="H290" s="33">
        <v>0</v>
      </c>
      <c r="I290" s="33">
        <v>426.75305762351661</v>
      </c>
      <c r="J290" s="33">
        <v>1800.3437834264571</v>
      </c>
    </row>
    <row r="291" spans="1:10" x14ac:dyDescent="0.35">
      <c r="A291" s="27" t="s">
        <v>166</v>
      </c>
      <c r="B291" s="33">
        <v>15732.226510418723</v>
      </c>
      <c r="D291" s="33">
        <v>11904.498810378074</v>
      </c>
      <c r="E291" s="33">
        <v>3827.7277000406498</v>
      </c>
      <c r="F291" s="33"/>
      <c r="G291" s="33">
        <v>2106.0942220161505</v>
      </c>
      <c r="H291" s="33">
        <v>5706.1329445870479</v>
      </c>
      <c r="I291" s="33">
        <v>3562.7537058852622</v>
      </c>
      <c r="J291" s="33">
        <v>4357.2456379302603</v>
      </c>
    </row>
    <row r="292" spans="1:10" x14ac:dyDescent="0.35">
      <c r="A292" s="27" t="s">
        <v>167</v>
      </c>
      <c r="B292" s="33">
        <v>34366.452463092923</v>
      </c>
      <c r="D292" s="33">
        <v>14695.667284064459</v>
      </c>
      <c r="E292" s="33">
        <v>19670.785179028462</v>
      </c>
      <c r="F292" s="33"/>
      <c r="G292" s="33">
        <v>528.81563332419671</v>
      </c>
      <c r="H292" s="33">
        <v>2773.6470777515169</v>
      </c>
      <c r="I292" s="33">
        <v>8170.3366273643915</v>
      </c>
      <c r="J292" s="33">
        <v>22893.653124652821</v>
      </c>
    </row>
    <row r="293" spans="1:10" x14ac:dyDescent="0.35">
      <c r="A293" s="27" t="s">
        <v>168</v>
      </c>
      <c r="B293" s="33">
        <v>132010.30039152139</v>
      </c>
      <c r="D293" s="33">
        <v>56032.168106458688</v>
      </c>
      <c r="E293" s="33">
        <v>75978.132285062748</v>
      </c>
      <c r="F293" s="33"/>
      <c r="G293" s="33">
        <v>44165.445015274767</v>
      </c>
      <c r="H293" s="33">
        <v>28688.29036272048</v>
      </c>
      <c r="I293" s="33">
        <v>27805.973747489705</v>
      </c>
      <c r="J293" s="33">
        <v>31350.591266036507</v>
      </c>
    </row>
    <row r="294" spans="1:10" x14ac:dyDescent="0.35">
      <c r="A294" s="27" t="s">
        <v>169</v>
      </c>
      <c r="B294" s="33">
        <v>12781.936078371134</v>
      </c>
      <c r="D294" s="33">
        <v>5382.0819250346676</v>
      </c>
      <c r="E294" s="33">
        <v>7399.8541533364705</v>
      </c>
      <c r="F294" s="33"/>
      <c r="G294" s="33">
        <v>633.14514421786885</v>
      </c>
      <c r="H294" s="33">
        <v>1138.236450830439</v>
      </c>
      <c r="I294" s="33">
        <v>3183.3443763787927</v>
      </c>
      <c r="J294" s="33">
        <v>7827.2101069440387</v>
      </c>
    </row>
    <row r="295" spans="1:10" x14ac:dyDescent="0.35">
      <c r="A295" s="27" t="s">
        <v>170</v>
      </c>
      <c r="B295" s="33">
        <v>950.76001803623535</v>
      </c>
      <c r="D295" s="33">
        <v>379.13558197759897</v>
      </c>
      <c r="E295" s="33">
        <v>571.62443605863632</v>
      </c>
      <c r="F295" s="33"/>
      <c r="G295" s="33">
        <v>0</v>
      </c>
      <c r="H295" s="33">
        <v>0</v>
      </c>
      <c r="I295" s="33">
        <v>0</v>
      </c>
      <c r="J295" s="33">
        <v>950.76001803623535</v>
      </c>
    </row>
    <row r="296" spans="1:10" x14ac:dyDescent="0.35">
      <c r="A296" s="27" t="s">
        <v>171</v>
      </c>
      <c r="B296" s="33">
        <v>632.77077438225604</v>
      </c>
      <c r="D296" s="33">
        <v>632.77077438225604</v>
      </c>
      <c r="E296" s="33">
        <v>0</v>
      </c>
      <c r="F296" s="33"/>
      <c r="G296" s="33">
        <v>0</v>
      </c>
      <c r="H296" s="33">
        <v>0</v>
      </c>
      <c r="I296" s="33">
        <v>632.77077438225604</v>
      </c>
      <c r="J296" s="33">
        <v>0</v>
      </c>
    </row>
    <row r="297" spans="1:10" x14ac:dyDescent="0.35">
      <c r="A297" s="27" t="s">
        <v>172</v>
      </c>
      <c r="B297" s="33">
        <v>0</v>
      </c>
      <c r="D297" s="33">
        <v>0</v>
      </c>
      <c r="E297" s="33">
        <v>0</v>
      </c>
      <c r="F297" s="33"/>
      <c r="G297" s="33">
        <v>0</v>
      </c>
      <c r="H297" s="33">
        <v>0</v>
      </c>
      <c r="I297" s="33">
        <v>0</v>
      </c>
      <c r="J297" s="33">
        <v>0</v>
      </c>
    </row>
    <row r="298" spans="1:10" x14ac:dyDescent="0.35">
      <c r="A298" s="27" t="s">
        <v>173</v>
      </c>
      <c r="B298" s="33">
        <v>0</v>
      </c>
      <c r="D298" s="33">
        <v>0</v>
      </c>
      <c r="E298" s="33">
        <v>0</v>
      </c>
      <c r="F298" s="33"/>
      <c r="G298" s="33">
        <v>0</v>
      </c>
      <c r="H298" s="33">
        <v>0</v>
      </c>
      <c r="I298" s="33">
        <v>0</v>
      </c>
      <c r="J298" s="33">
        <v>0</v>
      </c>
    </row>
    <row r="299" spans="1:10" x14ac:dyDescent="0.35">
      <c r="A299" s="27" t="s">
        <v>174</v>
      </c>
      <c r="B299" s="33">
        <v>337.27000350004141</v>
      </c>
      <c r="D299" s="33">
        <v>337.27000350004141</v>
      </c>
      <c r="E299" s="33">
        <v>0</v>
      </c>
      <c r="F299" s="33"/>
      <c r="G299" s="33">
        <v>0</v>
      </c>
      <c r="H299" s="33">
        <v>0</v>
      </c>
      <c r="I299" s="33">
        <v>0</v>
      </c>
      <c r="J299" s="33">
        <v>337.27000350004141</v>
      </c>
    </row>
    <row r="300" spans="1:10" x14ac:dyDescent="0.35">
      <c r="A300" s="27" t="s">
        <v>175</v>
      </c>
      <c r="B300" s="33">
        <v>12925.859482278796</v>
      </c>
      <c r="D300" s="33">
        <v>5486.1705984630908</v>
      </c>
      <c r="E300" s="33">
        <v>7439.6888838157083</v>
      </c>
      <c r="F300" s="33"/>
      <c r="G300" s="33">
        <v>5152.2159446992346</v>
      </c>
      <c r="H300" s="33">
        <v>3743.8881978902127</v>
      </c>
      <c r="I300" s="33">
        <v>2583.213778535955</v>
      </c>
      <c r="J300" s="33">
        <v>1446.5415611533961</v>
      </c>
    </row>
    <row r="301" spans="1:10" x14ac:dyDescent="0.35">
      <c r="A301" s="29"/>
      <c r="B301" s="3"/>
      <c r="C301" s="3"/>
      <c r="D301" s="3"/>
      <c r="E301" s="3"/>
      <c r="F301" s="3"/>
      <c r="G301" s="3"/>
      <c r="H301" s="3"/>
      <c r="I301" s="3"/>
      <c r="J301" s="3"/>
    </row>
    <row r="302" spans="1:10" ht="15" customHeight="1" x14ac:dyDescent="0.35">
      <c r="A302" s="18" t="s">
        <v>32</v>
      </c>
      <c r="B302" s="19"/>
      <c r="C302" s="19"/>
      <c r="D302" s="19"/>
      <c r="E302" s="19"/>
      <c r="F302" s="19"/>
      <c r="J302" s="14"/>
    </row>
    <row r="303" spans="1:10" x14ac:dyDescent="0.35">
      <c r="A303" s="17" t="s">
        <v>285</v>
      </c>
      <c r="B303" s="13"/>
      <c r="C303" s="13"/>
      <c r="J303" s="13"/>
    </row>
    <row r="304" spans="1:10" x14ac:dyDescent="0.35">
      <c r="A304" s="12" t="s">
        <v>25</v>
      </c>
      <c r="B304" s="13"/>
      <c r="C304" s="13"/>
      <c r="G304" s="2"/>
    </row>
    <row r="305" spans="1:7" x14ac:dyDescent="0.35">
      <c r="A305" s="12" t="s">
        <v>26</v>
      </c>
    </row>
    <row r="306" spans="1:7" x14ac:dyDescent="0.35">
      <c r="A306" s="79" t="s">
        <v>295</v>
      </c>
    </row>
    <row r="317" spans="1:7" x14ac:dyDescent="0.35">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B159&lt;'8'!$D$104</xm:f>
            <x14:dxf>
              <font>
                <color rgb="FFFF0000"/>
              </font>
              <numFmt numFmtId="168" formatCode="\*\*0.0%"/>
            </x14:dxf>
          </x14:cfRule>
          <x14:cfRule type="expression" priority="4" id="{761348D4-36D2-4D95-8EEE-18A116371C7A}">
            <xm:f>B159&lt;'8'!$D$103</xm:f>
            <x14:dxf>
              <font>
                <color rgb="FF00B050"/>
              </font>
              <numFmt numFmtId="167" formatCode="\*0.0%"/>
            </x14:dxf>
          </x14:cfRule>
          <xm:sqref>B16:J157</xm:sqref>
        </x14:conditionalFormatting>
        <x14:conditionalFormatting xmlns:xm="http://schemas.microsoft.com/office/excel/2006/main">
          <x14:cfRule type="expression" priority="1" id="{A6AB442B-BCE3-4191-BC05-BDABE4069671}">
            <xm:f>B159&lt;'8'!$D$104</xm:f>
            <x14:dxf>
              <font>
                <color rgb="FFFF0000"/>
              </font>
              <numFmt numFmtId="170" formatCode="\*\*#,###,###,##0"/>
            </x14:dxf>
          </x14:cfRule>
          <x14:cfRule type="expression" priority="2" id="{FC1D749C-547A-4A2A-9E50-DADA91608584}">
            <xm:f>B159&lt;'8'!$D$103</xm:f>
            <x14:dxf>
              <font>
                <color rgb="FF00B050"/>
              </font>
              <numFmt numFmtId="169" formatCode="\*#,###,###,##0"/>
            </x14:dxf>
          </x14:cfRule>
          <xm:sqref>B159:J300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2B084-5E95-4962-96FF-5A5FA6850FC1}">
  <sheetPr filterMode="1"/>
  <dimension ref="A1:B143"/>
  <sheetViews>
    <sheetView workbookViewId="0">
      <selection activeCell="D53" sqref="D53"/>
    </sheetView>
  </sheetViews>
  <sheetFormatPr defaultRowHeight="14.5" x14ac:dyDescent="0.35"/>
  <cols>
    <col min="1" max="1" width="24.81640625" customWidth="1"/>
    <col min="2" max="2" width="27.453125" customWidth="1"/>
  </cols>
  <sheetData>
    <row r="1" spans="1:2" ht="16.5" x14ac:dyDescent="0.35">
      <c r="A1" s="50"/>
      <c r="B1" s="30" t="s">
        <v>13</v>
      </c>
    </row>
    <row r="2" spans="1:2" hidden="1" x14ac:dyDescent="0.35">
      <c r="A2" s="27" t="s">
        <v>39</v>
      </c>
      <c r="B2" s="4">
        <v>9.47297977681909E-4</v>
      </c>
    </row>
    <row r="3" spans="1:2" hidden="1" x14ac:dyDescent="0.35">
      <c r="A3" s="27" t="s">
        <v>40</v>
      </c>
      <c r="B3" s="4">
        <v>7.3328943594845456E-4</v>
      </c>
    </row>
    <row r="4" spans="1:2" hidden="1" x14ac:dyDescent="0.35">
      <c r="A4" s="27" t="s">
        <v>41</v>
      </c>
      <c r="B4" s="4">
        <v>9.5241413199260701E-4</v>
      </c>
    </row>
    <row r="5" spans="1:2" x14ac:dyDescent="0.35">
      <c r="A5" s="27" t="s">
        <v>42</v>
      </c>
      <c r="B5" s="4">
        <v>3.2499615132286837E-2</v>
      </c>
    </row>
    <row r="6" spans="1:2" x14ac:dyDescent="0.35">
      <c r="A6" s="27" t="s">
        <v>43</v>
      </c>
      <c r="B6" s="4">
        <v>5.8793660628478489E-2</v>
      </c>
    </row>
    <row r="7" spans="1:2" hidden="1" x14ac:dyDescent="0.35">
      <c r="A7" s="27" t="s">
        <v>44</v>
      </c>
      <c r="B7" s="4">
        <v>6.0987730927061978E-3</v>
      </c>
    </row>
    <row r="8" spans="1:2" hidden="1" x14ac:dyDescent="0.35">
      <c r="A8" s="27" t="s">
        <v>45</v>
      </c>
      <c r="B8" s="4">
        <v>4.76851710881066E-3</v>
      </c>
    </row>
    <row r="9" spans="1:2" x14ac:dyDescent="0.35">
      <c r="A9" s="27" t="s">
        <v>46</v>
      </c>
      <c r="B9" s="4">
        <v>7.0823263722762583E-2</v>
      </c>
    </row>
    <row r="10" spans="1:2" hidden="1" x14ac:dyDescent="0.35">
      <c r="A10" s="27" t="s">
        <v>47</v>
      </c>
      <c r="B10" s="4">
        <v>5.6560182139863433E-4</v>
      </c>
    </row>
    <row r="11" spans="1:2" hidden="1" x14ac:dyDescent="0.35">
      <c r="A11" s="27" t="s">
        <v>48</v>
      </c>
      <c r="B11" s="4">
        <v>1.6458579337261096E-4</v>
      </c>
    </row>
    <row r="12" spans="1:2" hidden="1" x14ac:dyDescent="0.35">
      <c r="A12" s="27" t="s">
        <v>49</v>
      </c>
      <c r="B12" s="4">
        <v>0</v>
      </c>
    </row>
    <row r="13" spans="1:2" hidden="1" x14ac:dyDescent="0.35">
      <c r="A13" s="27" t="s">
        <v>50</v>
      </c>
      <c r="B13" s="4">
        <v>1.4591367314411611E-3</v>
      </c>
    </row>
    <row r="14" spans="1:2" hidden="1" x14ac:dyDescent="0.35">
      <c r="A14" s="27" t="s">
        <v>51</v>
      </c>
      <c r="B14" s="4">
        <v>0</v>
      </c>
    </row>
    <row r="15" spans="1:2" hidden="1" x14ac:dyDescent="0.35">
      <c r="A15" s="27" t="s">
        <v>52</v>
      </c>
      <c r="B15" s="4">
        <v>0</v>
      </c>
    </row>
    <row r="16" spans="1:2" hidden="1" x14ac:dyDescent="0.35">
      <c r="A16" s="27" t="s">
        <v>53</v>
      </c>
      <c r="B16" s="4">
        <v>2.0240685464990174E-4</v>
      </c>
    </row>
    <row r="17" spans="1:2" hidden="1" x14ac:dyDescent="0.35">
      <c r="A17" s="27" t="s">
        <v>54</v>
      </c>
      <c r="B17" s="4">
        <v>0</v>
      </c>
    </row>
    <row r="18" spans="1:2" hidden="1" x14ac:dyDescent="0.35">
      <c r="A18" s="27" t="s">
        <v>55</v>
      </c>
      <c r="B18" s="4">
        <v>4.9489978748838961E-5</v>
      </c>
    </row>
    <row r="19" spans="1:2" hidden="1" x14ac:dyDescent="0.35">
      <c r="A19" s="27" t="s">
        <v>56</v>
      </c>
      <c r="B19" s="4">
        <v>1.2459626779598405E-4</v>
      </c>
    </row>
    <row r="20" spans="1:2" hidden="1" x14ac:dyDescent="0.35">
      <c r="A20" s="27" t="s">
        <v>57</v>
      </c>
      <c r="B20" s="4">
        <v>3.7076429158924271E-3</v>
      </c>
    </row>
    <row r="21" spans="1:2" hidden="1" x14ac:dyDescent="0.35">
      <c r="A21" s="27" t="s">
        <v>58</v>
      </c>
      <c r="B21" s="4">
        <v>0</v>
      </c>
    </row>
    <row r="22" spans="1:2" hidden="1" x14ac:dyDescent="0.35">
      <c r="A22" s="27" t="s">
        <v>59</v>
      </c>
      <c r="B22" s="4">
        <v>1.1145202866786276E-2</v>
      </c>
    </row>
    <row r="23" spans="1:2" hidden="1" x14ac:dyDescent="0.35">
      <c r="A23" s="27" t="s">
        <v>60</v>
      </c>
      <c r="B23" s="4">
        <v>1.7014838996910449E-3</v>
      </c>
    </row>
    <row r="24" spans="1:2" hidden="1" x14ac:dyDescent="0.35">
      <c r="A24" s="27" t="s">
        <v>61</v>
      </c>
      <c r="B24" s="4">
        <v>1.5233923121510385E-4</v>
      </c>
    </row>
    <row r="25" spans="1:2" hidden="1" x14ac:dyDescent="0.35">
      <c r="A25" s="27" t="s">
        <v>62</v>
      </c>
      <c r="B25" s="4">
        <v>1.3387202431229578E-3</v>
      </c>
    </row>
    <row r="26" spans="1:2" hidden="1" x14ac:dyDescent="0.35">
      <c r="A26" s="27" t="s">
        <v>63</v>
      </c>
      <c r="B26" s="4">
        <v>1.6804286521203821E-3</v>
      </c>
    </row>
    <row r="27" spans="1:2" x14ac:dyDescent="0.35">
      <c r="A27" s="27" t="s">
        <v>64</v>
      </c>
      <c r="B27" s="4">
        <v>3.3819337766862155E-2</v>
      </c>
    </row>
    <row r="28" spans="1:2" hidden="1" x14ac:dyDescent="0.35">
      <c r="A28" s="27" t="s">
        <v>65</v>
      </c>
      <c r="B28" s="4">
        <v>1.2326647419257154E-4</v>
      </c>
    </row>
    <row r="29" spans="1:2" hidden="1" x14ac:dyDescent="0.35">
      <c r="A29" s="27" t="s">
        <v>293</v>
      </c>
      <c r="B29" s="4">
        <v>1.5623070878920133E-3</v>
      </c>
    </row>
    <row r="30" spans="1:2" hidden="1" x14ac:dyDescent="0.35">
      <c r="A30" s="27" t="s">
        <v>66</v>
      </c>
      <c r="B30" s="4">
        <v>0</v>
      </c>
    </row>
    <row r="31" spans="1:2" hidden="1" x14ac:dyDescent="0.35">
      <c r="A31" s="27" t="s">
        <v>67</v>
      </c>
      <c r="B31" s="4">
        <v>1.6529292699026359E-2</v>
      </c>
    </row>
    <row r="32" spans="1:2" x14ac:dyDescent="0.35">
      <c r="A32" s="27" t="s">
        <v>68</v>
      </c>
      <c r="B32" s="4">
        <v>3.0066129827237099E-2</v>
      </c>
    </row>
    <row r="33" spans="1:2" x14ac:dyDescent="0.35">
      <c r="A33" s="27" t="s">
        <v>69</v>
      </c>
      <c r="B33" s="4">
        <v>5.6664194908706965E-2</v>
      </c>
    </row>
    <row r="34" spans="1:2" hidden="1" x14ac:dyDescent="0.35">
      <c r="A34" s="27" t="s">
        <v>70</v>
      </c>
      <c r="B34" s="4">
        <v>1.8118371174955354E-4</v>
      </c>
    </row>
    <row r="35" spans="1:2" hidden="1" x14ac:dyDescent="0.35">
      <c r="A35" s="27" t="s">
        <v>71</v>
      </c>
      <c r="B35" s="4">
        <v>8.5669331433397547E-4</v>
      </c>
    </row>
    <row r="36" spans="1:2" hidden="1" x14ac:dyDescent="0.35">
      <c r="A36" s="27" t="s">
        <v>72</v>
      </c>
      <c r="B36" s="4">
        <v>2.0495490068693088E-4</v>
      </c>
    </row>
    <row r="37" spans="1:2" hidden="1" x14ac:dyDescent="0.35">
      <c r="A37" s="27" t="s">
        <v>73</v>
      </c>
      <c r="B37" s="4">
        <v>0</v>
      </c>
    </row>
    <row r="38" spans="1:2" hidden="1" x14ac:dyDescent="0.35">
      <c r="A38" s="27" t="s">
        <v>74</v>
      </c>
      <c r="B38" s="4">
        <v>2.4551842597413744E-4</v>
      </c>
    </row>
    <row r="39" spans="1:2" hidden="1" x14ac:dyDescent="0.35">
      <c r="A39" s="27" t="s">
        <v>75</v>
      </c>
      <c r="B39" s="4">
        <v>1.7416751343798801E-3</v>
      </c>
    </row>
    <row r="40" spans="1:2" hidden="1" x14ac:dyDescent="0.35">
      <c r="A40" s="27" t="s">
        <v>76</v>
      </c>
      <c r="B40" s="4">
        <v>5.492511895414928E-4</v>
      </c>
    </row>
    <row r="41" spans="1:2" hidden="1" x14ac:dyDescent="0.35">
      <c r="A41" s="27" t="s">
        <v>77</v>
      </c>
      <c r="B41" s="4">
        <v>8.722961549393187E-4</v>
      </c>
    </row>
    <row r="42" spans="1:2" hidden="1" x14ac:dyDescent="0.35">
      <c r="A42" s="27" t="s">
        <v>78</v>
      </c>
      <c r="B42" s="4">
        <v>2.0704251150676389E-3</v>
      </c>
    </row>
    <row r="43" spans="1:2" hidden="1" x14ac:dyDescent="0.35">
      <c r="A43" s="27" t="s">
        <v>79</v>
      </c>
      <c r="B43" s="4">
        <v>1.5734661747793942E-2</v>
      </c>
    </row>
    <row r="44" spans="1:2" hidden="1" x14ac:dyDescent="0.35">
      <c r="A44" s="27" t="s">
        <v>80</v>
      </c>
      <c r="B44" s="4">
        <v>2.3813796605323827E-4</v>
      </c>
    </row>
    <row r="45" spans="1:2" hidden="1" x14ac:dyDescent="0.35">
      <c r="A45" s="27" t="s">
        <v>81</v>
      </c>
      <c r="B45" s="4">
        <v>3.3353303388354631E-4</v>
      </c>
    </row>
    <row r="46" spans="1:2" x14ac:dyDescent="0.35">
      <c r="A46" s="27" t="s">
        <v>82</v>
      </c>
      <c r="B46" s="4">
        <v>0.14306477174492235</v>
      </c>
    </row>
    <row r="47" spans="1:2" hidden="1" x14ac:dyDescent="0.35">
      <c r="A47" s="27" t="s">
        <v>83</v>
      </c>
      <c r="B47" s="4">
        <v>2.5397653963129272E-4</v>
      </c>
    </row>
    <row r="48" spans="1:2" hidden="1" x14ac:dyDescent="0.35">
      <c r="A48" s="27" t="s">
        <v>84</v>
      </c>
      <c r="B48" s="4">
        <v>2.9775675973518057E-4</v>
      </c>
    </row>
    <row r="49" spans="1:2" hidden="1" x14ac:dyDescent="0.35">
      <c r="A49" s="27" t="s">
        <v>85</v>
      </c>
      <c r="B49" s="4">
        <v>0</v>
      </c>
    </row>
    <row r="50" spans="1:2" hidden="1" x14ac:dyDescent="0.35">
      <c r="A50" s="27" t="s">
        <v>86</v>
      </c>
      <c r="B50" s="4">
        <v>5.4908296390806478E-3</v>
      </c>
    </row>
    <row r="51" spans="1:2" hidden="1" x14ac:dyDescent="0.35">
      <c r="A51" s="27" t="s">
        <v>87</v>
      </c>
      <c r="B51" s="4">
        <v>2.8869860526964028E-4</v>
      </c>
    </row>
    <row r="52" spans="1:2" hidden="1" x14ac:dyDescent="0.35">
      <c r="A52" s="27" t="s">
        <v>88</v>
      </c>
      <c r="B52" s="4">
        <v>1.0934552483645109E-3</v>
      </c>
    </row>
    <row r="53" spans="1:2" x14ac:dyDescent="0.35">
      <c r="A53" s="27" t="s">
        <v>89</v>
      </c>
      <c r="B53" s="4">
        <v>6.9725868464709115E-2</v>
      </c>
    </row>
    <row r="54" spans="1:2" hidden="1" x14ac:dyDescent="0.35">
      <c r="A54" s="27" t="s">
        <v>90</v>
      </c>
      <c r="B54" s="4">
        <v>8.5988986559308318E-4</v>
      </c>
    </row>
    <row r="55" spans="1:2" hidden="1" x14ac:dyDescent="0.35">
      <c r="A55" s="27" t="s">
        <v>91</v>
      </c>
      <c r="B55" s="4">
        <v>0</v>
      </c>
    </row>
    <row r="56" spans="1:2" hidden="1" x14ac:dyDescent="0.35">
      <c r="A56" s="27" t="s">
        <v>92</v>
      </c>
      <c r="B56" s="4">
        <v>1.0981536456219262E-2</v>
      </c>
    </row>
    <row r="57" spans="1:2" hidden="1" x14ac:dyDescent="0.35">
      <c r="A57" s="27" t="s">
        <v>93</v>
      </c>
      <c r="B57" s="4">
        <v>3.0257969850397556E-4</v>
      </c>
    </row>
    <row r="58" spans="1:2" hidden="1" x14ac:dyDescent="0.35">
      <c r="A58" s="27" t="s">
        <v>94</v>
      </c>
      <c r="B58" s="4">
        <v>6.3722831257468488E-4</v>
      </c>
    </row>
    <row r="59" spans="1:2" hidden="1" x14ac:dyDescent="0.35">
      <c r="A59" s="27" t="s">
        <v>95</v>
      </c>
      <c r="B59" s="4">
        <v>1.3106337650958003E-4</v>
      </c>
    </row>
    <row r="60" spans="1:2" hidden="1" x14ac:dyDescent="0.35">
      <c r="A60" s="27" t="s">
        <v>96</v>
      </c>
      <c r="B60" s="4">
        <v>1.9147105972569865E-3</v>
      </c>
    </row>
    <row r="61" spans="1:2" hidden="1" x14ac:dyDescent="0.35">
      <c r="A61" s="27" t="s">
        <v>97</v>
      </c>
      <c r="B61" s="4">
        <v>2.7431769617114189E-4</v>
      </c>
    </row>
    <row r="62" spans="1:2" hidden="1" x14ac:dyDescent="0.35">
      <c r="A62" s="27" t="s">
        <v>98</v>
      </c>
      <c r="B62" s="4">
        <v>2.2316830951868622E-3</v>
      </c>
    </row>
    <row r="63" spans="1:2" hidden="1" x14ac:dyDescent="0.35">
      <c r="A63" s="27" t="s">
        <v>99</v>
      </c>
      <c r="B63" s="4">
        <v>6.6304579559862261E-3</v>
      </c>
    </row>
    <row r="64" spans="1:2" hidden="1" x14ac:dyDescent="0.35">
      <c r="A64" s="27" t="s">
        <v>100</v>
      </c>
      <c r="B64" s="4">
        <v>1.8591948139160899E-2</v>
      </c>
    </row>
    <row r="65" spans="1:2" hidden="1" x14ac:dyDescent="0.35">
      <c r="A65" s="27" t="s">
        <v>101</v>
      </c>
      <c r="B65" s="4">
        <v>1.9901554832889724E-4</v>
      </c>
    </row>
    <row r="66" spans="1:2" hidden="1" x14ac:dyDescent="0.35">
      <c r="A66" s="27" t="s">
        <v>102</v>
      </c>
      <c r="B66" s="4">
        <v>6.5666919590643479E-5</v>
      </c>
    </row>
    <row r="67" spans="1:2" hidden="1" x14ac:dyDescent="0.35">
      <c r="A67" s="27" t="s">
        <v>103</v>
      </c>
      <c r="B67" s="4">
        <v>0</v>
      </c>
    </row>
    <row r="68" spans="1:2" hidden="1" x14ac:dyDescent="0.35">
      <c r="A68" s="27" t="s">
        <v>104</v>
      </c>
      <c r="B68" s="4">
        <v>9.7039302264731193E-4</v>
      </c>
    </row>
    <row r="69" spans="1:2" hidden="1" x14ac:dyDescent="0.35">
      <c r="A69" s="27" t="s">
        <v>105</v>
      </c>
      <c r="B69" s="4">
        <v>5.5878173595922905E-4</v>
      </c>
    </row>
    <row r="70" spans="1:2" hidden="1" x14ac:dyDescent="0.35">
      <c r="A70" s="27" t="s">
        <v>106</v>
      </c>
      <c r="B70" s="4">
        <v>1.6605125656490966E-4</v>
      </c>
    </row>
    <row r="71" spans="1:2" hidden="1" x14ac:dyDescent="0.35">
      <c r="A71" s="27" t="s">
        <v>107</v>
      </c>
      <c r="B71" s="4">
        <v>7.1101771616476602E-3</v>
      </c>
    </row>
    <row r="72" spans="1:2" hidden="1" x14ac:dyDescent="0.35">
      <c r="A72" s="27" t="s">
        <v>108</v>
      </c>
      <c r="B72" s="4">
        <v>0</v>
      </c>
    </row>
    <row r="73" spans="1:2" hidden="1" x14ac:dyDescent="0.35">
      <c r="A73" s="27" t="s">
        <v>109</v>
      </c>
      <c r="B73" s="4">
        <v>0</v>
      </c>
    </row>
    <row r="74" spans="1:2" hidden="1" x14ac:dyDescent="0.35">
      <c r="A74" s="27" t="s">
        <v>110</v>
      </c>
      <c r="B74" s="4">
        <v>9.3047360395123613E-3</v>
      </c>
    </row>
    <row r="75" spans="1:2" hidden="1" x14ac:dyDescent="0.35">
      <c r="A75" s="27" t="s">
        <v>111</v>
      </c>
      <c r="B75" s="4">
        <v>1.6998587001173953E-3</v>
      </c>
    </row>
    <row r="76" spans="1:2" hidden="1" x14ac:dyDescent="0.35">
      <c r="A76" s="27" t="s">
        <v>112</v>
      </c>
      <c r="B76" s="4">
        <v>0</v>
      </c>
    </row>
    <row r="77" spans="1:2" hidden="1" x14ac:dyDescent="0.35">
      <c r="A77" s="27" t="s">
        <v>113</v>
      </c>
      <c r="B77" s="4">
        <v>3.5534302924134114E-3</v>
      </c>
    </row>
    <row r="78" spans="1:2" hidden="1" x14ac:dyDescent="0.35">
      <c r="A78" s="27" t="s">
        <v>114</v>
      </c>
      <c r="B78" s="4">
        <v>2.5651365777054169E-4</v>
      </c>
    </row>
    <row r="79" spans="1:2" hidden="1" x14ac:dyDescent="0.35">
      <c r="A79" s="27" t="s">
        <v>115</v>
      </c>
      <c r="B79" s="4">
        <v>1.7608773722592448E-3</v>
      </c>
    </row>
    <row r="80" spans="1:2" hidden="1" x14ac:dyDescent="0.35">
      <c r="A80" s="27" t="s">
        <v>116</v>
      </c>
      <c r="B80" s="4">
        <v>0</v>
      </c>
    </row>
    <row r="81" spans="1:2" hidden="1" x14ac:dyDescent="0.35">
      <c r="A81" s="27" t="s">
        <v>117</v>
      </c>
      <c r="B81" s="4">
        <v>1.6962736009621545E-3</v>
      </c>
    </row>
    <row r="82" spans="1:2" x14ac:dyDescent="0.35">
      <c r="A82" s="27" t="s">
        <v>118</v>
      </c>
      <c r="B82" s="4">
        <v>4.9598296867536494E-2</v>
      </c>
    </row>
    <row r="83" spans="1:2" hidden="1" x14ac:dyDescent="0.35">
      <c r="A83" s="27" t="s">
        <v>119</v>
      </c>
      <c r="B83" s="4">
        <v>4.7397519324092176E-4</v>
      </c>
    </row>
    <row r="84" spans="1:2" hidden="1" x14ac:dyDescent="0.35">
      <c r="A84" s="27" t="s">
        <v>120</v>
      </c>
      <c r="B84" s="4">
        <v>2.8039977562127253E-4</v>
      </c>
    </row>
    <row r="85" spans="1:2" hidden="1" x14ac:dyDescent="0.35">
      <c r="A85" s="27" t="s">
        <v>121</v>
      </c>
      <c r="B85" s="4">
        <v>1.6248760190710923E-4</v>
      </c>
    </row>
    <row r="86" spans="1:2" hidden="1" x14ac:dyDescent="0.35">
      <c r="A86" s="27" t="s">
        <v>122</v>
      </c>
      <c r="B86" s="4">
        <v>4.0540768074737114E-3</v>
      </c>
    </row>
    <row r="87" spans="1:2" hidden="1" x14ac:dyDescent="0.35">
      <c r="A87" s="27" t="s">
        <v>123</v>
      </c>
      <c r="B87" s="4">
        <v>2.0461109661357385E-4</v>
      </c>
    </row>
    <row r="88" spans="1:2" hidden="1" x14ac:dyDescent="0.35">
      <c r="A88" s="27" t="s">
        <v>124</v>
      </c>
      <c r="B88" s="4">
        <v>9.9612836973072711E-5</v>
      </c>
    </row>
    <row r="89" spans="1:2" hidden="1" x14ac:dyDescent="0.35">
      <c r="A89" s="27" t="s">
        <v>125</v>
      </c>
      <c r="B89" s="4">
        <v>1.3530403294357029E-3</v>
      </c>
    </row>
    <row r="90" spans="1:2" hidden="1" x14ac:dyDescent="0.35">
      <c r="A90" s="27" t="s">
        <v>126</v>
      </c>
      <c r="B90" s="4">
        <v>0</v>
      </c>
    </row>
    <row r="91" spans="1:2" hidden="1" x14ac:dyDescent="0.35">
      <c r="A91" s="27" t="s">
        <v>127</v>
      </c>
      <c r="B91" s="4">
        <v>5.3896039287055413E-4</v>
      </c>
    </row>
    <row r="92" spans="1:2" hidden="1" x14ac:dyDescent="0.35">
      <c r="A92" s="27" t="s">
        <v>286</v>
      </c>
      <c r="B92" s="4">
        <v>8.3545904924255013E-4</v>
      </c>
    </row>
    <row r="93" spans="1:2" hidden="1" x14ac:dyDescent="0.35">
      <c r="A93" s="27" t="s">
        <v>128</v>
      </c>
      <c r="B93" s="4">
        <v>7.5693547883761846E-4</v>
      </c>
    </row>
    <row r="94" spans="1:2" hidden="1" x14ac:dyDescent="0.35">
      <c r="A94" s="27" t="s">
        <v>129</v>
      </c>
      <c r="B94" s="4">
        <v>0</v>
      </c>
    </row>
    <row r="95" spans="1:2" hidden="1" x14ac:dyDescent="0.35">
      <c r="A95" s="27" t="s">
        <v>130</v>
      </c>
      <c r="B95" s="4">
        <v>1.6109066101323627E-4</v>
      </c>
    </row>
    <row r="96" spans="1:2" hidden="1" x14ac:dyDescent="0.35">
      <c r="A96" s="27" t="s">
        <v>131</v>
      </c>
      <c r="B96" s="4">
        <v>1.1883313626271886E-3</v>
      </c>
    </row>
    <row r="97" spans="1:2" hidden="1" x14ac:dyDescent="0.35">
      <c r="A97" s="27" t="s">
        <v>132</v>
      </c>
      <c r="B97" s="4">
        <v>0</v>
      </c>
    </row>
    <row r="98" spans="1:2" hidden="1" x14ac:dyDescent="0.35">
      <c r="A98" s="27" t="s">
        <v>133</v>
      </c>
      <c r="B98" s="4">
        <v>3.622698393349028E-3</v>
      </c>
    </row>
    <row r="99" spans="1:2" hidden="1" x14ac:dyDescent="0.35">
      <c r="A99" s="27" t="s">
        <v>134</v>
      </c>
      <c r="B99" s="4">
        <v>1.3841843031546298E-3</v>
      </c>
    </row>
    <row r="100" spans="1:2" hidden="1" x14ac:dyDescent="0.35">
      <c r="A100" s="27" t="s">
        <v>135</v>
      </c>
      <c r="B100" s="4">
        <v>0</v>
      </c>
    </row>
    <row r="101" spans="1:2" hidden="1" x14ac:dyDescent="0.35">
      <c r="A101" s="27" t="s">
        <v>136</v>
      </c>
      <c r="B101" s="4">
        <v>0</v>
      </c>
    </row>
    <row r="102" spans="1:2" hidden="1" x14ac:dyDescent="0.35">
      <c r="A102" s="27" t="s">
        <v>137</v>
      </c>
      <c r="B102" s="4">
        <v>0</v>
      </c>
    </row>
    <row r="103" spans="1:2" hidden="1" x14ac:dyDescent="0.35">
      <c r="A103" s="27" t="s">
        <v>138</v>
      </c>
      <c r="B103" s="4">
        <v>5.268329953065598E-4</v>
      </c>
    </row>
    <row r="104" spans="1:2" hidden="1" x14ac:dyDescent="0.35">
      <c r="A104" s="27" t="s">
        <v>139</v>
      </c>
      <c r="B104" s="4">
        <v>1.0005184569558106E-3</v>
      </c>
    </row>
    <row r="105" spans="1:2" hidden="1" x14ac:dyDescent="0.35">
      <c r="A105" s="27" t="s">
        <v>140</v>
      </c>
      <c r="B105" s="4">
        <v>1.7196115746847911E-2</v>
      </c>
    </row>
    <row r="106" spans="1:2" hidden="1" x14ac:dyDescent="0.35">
      <c r="A106" s="27" t="s">
        <v>141</v>
      </c>
      <c r="B106" s="4">
        <v>6.864820860494193E-3</v>
      </c>
    </row>
    <row r="107" spans="1:2" x14ac:dyDescent="0.35">
      <c r="A107" s="27" t="s">
        <v>142</v>
      </c>
      <c r="B107" s="4">
        <v>3.1181786373352678E-2</v>
      </c>
    </row>
    <row r="108" spans="1:2" hidden="1" x14ac:dyDescent="0.35">
      <c r="A108" s="27" t="s">
        <v>143</v>
      </c>
      <c r="B108" s="4">
        <v>9.441150590114879E-4</v>
      </c>
    </row>
    <row r="109" spans="1:2" hidden="1" x14ac:dyDescent="0.35">
      <c r="A109" s="27" t="s">
        <v>144</v>
      </c>
      <c r="B109" s="4">
        <v>3.1936300880484134E-3</v>
      </c>
    </row>
    <row r="110" spans="1:2" hidden="1" x14ac:dyDescent="0.35">
      <c r="A110" s="27" t="s">
        <v>145</v>
      </c>
      <c r="B110" s="4">
        <v>1.902327071186861E-3</v>
      </c>
    </row>
    <row r="111" spans="1:2" hidden="1" x14ac:dyDescent="0.35">
      <c r="A111" s="27" t="s">
        <v>146</v>
      </c>
      <c r="B111" s="4">
        <v>0</v>
      </c>
    </row>
    <row r="112" spans="1:2" hidden="1" x14ac:dyDescent="0.35">
      <c r="A112" s="27" t="s">
        <v>284</v>
      </c>
      <c r="B112" s="4">
        <v>2.1670859780043128E-4</v>
      </c>
    </row>
    <row r="113" spans="1:2" hidden="1" x14ac:dyDescent="0.35">
      <c r="A113" s="27" t="s">
        <v>283</v>
      </c>
      <c r="B113" s="4">
        <v>1.900247984158639E-4</v>
      </c>
    </row>
    <row r="114" spans="1:2" hidden="1" x14ac:dyDescent="0.35">
      <c r="A114" s="27" t="s">
        <v>147</v>
      </c>
      <c r="B114" s="4">
        <v>5.20722198225283E-3</v>
      </c>
    </row>
    <row r="115" spans="1:2" hidden="1" x14ac:dyDescent="0.35">
      <c r="A115" s="27" t="s">
        <v>148</v>
      </c>
      <c r="B115" s="4">
        <v>0</v>
      </c>
    </row>
    <row r="116" spans="1:2" hidden="1" x14ac:dyDescent="0.35">
      <c r="A116" s="27" t="s">
        <v>149</v>
      </c>
      <c r="B116" s="4">
        <v>1.5716480067306659E-3</v>
      </c>
    </row>
    <row r="117" spans="1:2" hidden="1" x14ac:dyDescent="0.35">
      <c r="A117" s="27" t="s">
        <v>150</v>
      </c>
      <c r="B117" s="4">
        <v>0</v>
      </c>
    </row>
    <row r="118" spans="1:2" hidden="1" x14ac:dyDescent="0.35">
      <c r="A118" s="27" t="s">
        <v>151</v>
      </c>
      <c r="B118" s="4">
        <v>2.0121880617506049E-3</v>
      </c>
    </row>
    <row r="119" spans="1:2" hidden="1" x14ac:dyDescent="0.35">
      <c r="A119" s="27" t="s">
        <v>152</v>
      </c>
      <c r="B119" s="4">
        <v>1.5601701362587864E-3</v>
      </c>
    </row>
    <row r="120" spans="1:2" hidden="1" x14ac:dyDescent="0.35">
      <c r="A120" s="27" t="s">
        <v>153</v>
      </c>
      <c r="B120" s="4">
        <v>2.4849097543964515E-4</v>
      </c>
    </row>
    <row r="121" spans="1:2" hidden="1" x14ac:dyDescent="0.35">
      <c r="A121" s="27" t="s">
        <v>154</v>
      </c>
      <c r="B121" s="4">
        <v>4.4561985206657065E-3</v>
      </c>
    </row>
    <row r="122" spans="1:2" x14ac:dyDescent="0.35">
      <c r="A122" s="27" t="s">
        <v>155</v>
      </c>
      <c r="B122" s="4">
        <v>0.2330280982788491</v>
      </c>
    </row>
    <row r="123" spans="1:2" hidden="1" x14ac:dyDescent="0.35">
      <c r="A123" s="27" t="s">
        <v>156</v>
      </c>
      <c r="B123" s="4">
        <v>0</v>
      </c>
    </row>
    <row r="124" spans="1:2" hidden="1" x14ac:dyDescent="0.35">
      <c r="A124" s="27" t="s">
        <v>157</v>
      </c>
      <c r="B124" s="4">
        <v>8.9123671959378582E-4</v>
      </c>
    </row>
    <row r="125" spans="1:2" hidden="1" x14ac:dyDescent="0.35">
      <c r="A125" s="27" t="s">
        <v>158</v>
      </c>
      <c r="B125" s="4">
        <v>4.5269209454955805E-3</v>
      </c>
    </row>
    <row r="126" spans="1:2" hidden="1" x14ac:dyDescent="0.35">
      <c r="A126" s="27" t="s">
        <v>282</v>
      </c>
      <c r="B126" s="4">
        <v>8.1317297060289062E-3</v>
      </c>
    </row>
    <row r="127" spans="1:2" hidden="1" x14ac:dyDescent="0.35">
      <c r="A127" s="27" t="s">
        <v>159</v>
      </c>
      <c r="B127" s="4">
        <v>2.2459478049874104E-3</v>
      </c>
    </row>
    <row r="128" spans="1:2" x14ac:dyDescent="0.35">
      <c r="A128" s="27" t="s">
        <v>160</v>
      </c>
      <c r="B128" s="4">
        <v>3.8857412991338311E-2</v>
      </c>
    </row>
    <row r="129" spans="1:2" hidden="1" x14ac:dyDescent="0.35">
      <c r="A129" s="27" t="s">
        <v>161</v>
      </c>
      <c r="B129" s="4">
        <v>1.4341486667847248E-3</v>
      </c>
    </row>
    <row r="130" spans="1:2" hidden="1" x14ac:dyDescent="0.35">
      <c r="A130" s="27" t="s">
        <v>162</v>
      </c>
      <c r="B130" s="4">
        <v>0</v>
      </c>
    </row>
    <row r="131" spans="1:2" hidden="1" x14ac:dyDescent="0.35">
      <c r="A131" s="27" t="s">
        <v>163</v>
      </c>
      <c r="B131" s="4">
        <v>1.1759910439061636E-2</v>
      </c>
    </row>
    <row r="132" spans="1:2" hidden="1" x14ac:dyDescent="0.35">
      <c r="A132" s="27" t="s">
        <v>164</v>
      </c>
      <c r="B132" s="4">
        <v>7.4455497907847978E-4</v>
      </c>
    </row>
    <row r="133" spans="1:2" hidden="1" x14ac:dyDescent="0.35">
      <c r="A133" s="27" t="s">
        <v>165</v>
      </c>
      <c r="B133" s="4">
        <v>4.6156794367338696E-4</v>
      </c>
    </row>
    <row r="134" spans="1:2" hidden="1" x14ac:dyDescent="0.35">
      <c r="A134" s="27" t="s">
        <v>166</v>
      </c>
      <c r="B134" s="4">
        <v>3.2605189437539032E-3</v>
      </c>
    </row>
    <row r="135" spans="1:2" hidden="1" x14ac:dyDescent="0.35">
      <c r="A135" s="27" t="s">
        <v>167</v>
      </c>
      <c r="B135" s="4">
        <v>7.1224800387488267E-3</v>
      </c>
    </row>
    <row r="136" spans="1:2" hidden="1" x14ac:dyDescent="0.35">
      <c r="A136" s="27" t="s">
        <v>168</v>
      </c>
      <c r="B136" s="4">
        <v>2.7359260617824836E-2</v>
      </c>
    </row>
    <row r="137" spans="1:2" hidden="1" x14ac:dyDescent="0.35">
      <c r="A137" s="27" t="s">
        <v>169</v>
      </c>
      <c r="B137" s="4">
        <v>2.6490684388367183E-3</v>
      </c>
    </row>
    <row r="138" spans="1:2" hidden="1" x14ac:dyDescent="0.35">
      <c r="A138" s="27" t="s">
        <v>170</v>
      </c>
      <c r="B138" s="4">
        <v>1.9704592021466136E-4</v>
      </c>
    </row>
    <row r="139" spans="1:2" hidden="1" x14ac:dyDescent="0.35">
      <c r="A139" s="27" t="s">
        <v>171</v>
      </c>
      <c r="B139" s="4">
        <v>1.3114234628905432E-4</v>
      </c>
    </row>
    <row r="140" spans="1:2" hidden="1" x14ac:dyDescent="0.35">
      <c r="A140" s="27" t="s">
        <v>172</v>
      </c>
      <c r="B140" s="4">
        <v>0</v>
      </c>
    </row>
    <row r="141" spans="1:2" hidden="1" x14ac:dyDescent="0.35">
      <c r="A141" s="27" t="s">
        <v>173</v>
      </c>
      <c r="B141" s="4">
        <v>0</v>
      </c>
    </row>
    <row r="142" spans="1:2" hidden="1" x14ac:dyDescent="0.35">
      <c r="A142" s="27" t="s">
        <v>174</v>
      </c>
      <c r="B142" s="4">
        <v>6.9899529786427011E-5</v>
      </c>
    </row>
    <row r="143" spans="1:2" hidden="1" x14ac:dyDescent="0.35">
      <c r="A143" s="60" t="s">
        <v>175</v>
      </c>
      <c r="B143" s="62">
        <v>2.6788967015164925E-3</v>
      </c>
    </row>
  </sheetData>
  <autoFilter ref="A1:B143" xr:uid="{86E2B084-5E95-4962-96FF-5A5FA6850FC1}">
    <filterColumn colId="1">
      <filters>
        <filter val="14.3%"/>
        <filter val="23.3%"/>
        <filter val="3.0%"/>
        <filter val="3.1%"/>
        <filter val="3.2%"/>
        <filter val="3.4%"/>
        <filter val="3.9%"/>
        <filter val="5.0%"/>
        <filter val="5.7%"/>
        <filter val="5.9%"/>
        <filter val="7.0%"/>
        <filter val="7.1%"/>
      </filters>
    </filterColumn>
    <sortState xmlns:xlrd2="http://schemas.microsoft.com/office/spreadsheetml/2017/richdata2" ref="A143:B143">
      <sortCondition descending="1" ref="B1:B143"/>
    </sortState>
  </autoFilter>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1" id="{A8BEF471-D291-4D1A-85E6-8E137E290BBE}">
            <xm:f>B145&lt;'8'!$D$104</xm:f>
            <x14:dxf>
              <font>
                <color rgb="FFFF0000"/>
              </font>
              <numFmt numFmtId="168" formatCode="\*\*0.0%"/>
            </x14:dxf>
          </x14:cfRule>
          <x14:cfRule type="expression" priority="2" id="{EF332ED6-7D16-41FF-8FE9-3B3D58B652E0}">
            <xm:f>B145&lt;'8'!$D$103</xm:f>
            <x14:dxf>
              <font>
                <color rgb="FF00B050"/>
              </font>
              <numFmt numFmtId="167" formatCode="\*0.0%"/>
            </x14:dxf>
          </x14:cfRule>
          <xm:sqref>B2:B143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1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1640625" defaultRowHeight="14.5" x14ac:dyDescent="0.35"/>
  <cols>
    <col min="1" max="1" width="30.7265625" style="1" customWidth="1"/>
    <col min="2" max="2" width="12.81640625" style="1" customWidth="1"/>
    <col min="3" max="3" width="7" style="1" customWidth="1"/>
    <col min="4" max="5" width="12.81640625" style="1" customWidth="1"/>
    <col min="6" max="6" width="7" style="1" customWidth="1"/>
    <col min="7" max="13" width="12.81640625" style="1" customWidth="1"/>
    <col min="14" max="16384" width="8.81640625" style="1"/>
  </cols>
  <sheetData>
    <row r="1" spans="1:13" x14ac:dyDescent="0.35">
      <c r="A1" s="20"/>
      <c r="B1" s="20"/>
      <c r="C1" s="20"/>
      <c r="D1" s="20"/>
      <c r="E1" s="20"/>
      <c r="F1" s="34"/>
      <c r="G1" s="20"/>
      <c r="H1" s="20"/>
      <c r="I1" s="20"/>
      <c r="J1" s="20"/>
      <c r="K1" s="20"/>
      <c r="L1" s="20"/>
      <c r="M1" s="20"/>
    </row>
    <row r="2" spans="1:13" x14ac:dyDescent="0.35">
      <c r="A2" s="20"/>
      <c r="B2" s="20"/>
      <c r="C2" s="20"/>
      <c r="D2" s="20"/>
      <c r="E2" s="20"/>
      <c r="F2" s="34"/>
      <c r="G2" s="20"/>
      <c r="H2" s="20"/>
      <c r="I2" s="20"/>
      <c r="J2" s="20"/>
      <c r="K2" s="20"/>
      <c r="L2" s="20"/>
      <c r="M2" s="20"/>
    </row>
    <row r="3" spans="1:13" x14ac:dyDescent="0.35">
      <c r="A3" s="20"/>
      <c r="B3" s="20"/>
      <c r="C3" s="20"/>
      <c r="D3" s="20"/>
      <c r="E3" s="20"/>
      <c r="F3" s="34"/>
      <c r="G3" s="20"/>
      <c r="H3" s="20"/>
      <c r="I3" s="20"/>
      <c r="J3" s="20"/>
      <c r="K3" s="20"/>
      <c r="L3" s="20"/>
      <c r="M3" s="20"/>
    </row>
    <row r="4" spans="1:13" x14ac:dyDescent="0.35">
      <c r="A4" s="20"/>
      <c r="B4" s="20"/>
      <c r="C4" s="20"/>
      <c r="D4" s="20"/>
      <c r="E4" s="20"/>
      <c r="F4" s="34"/>
      <c r="G4" s="20"/>
      <c r="H4" s="20"/>
      <c r="I4" s="20"/>
      <c r="J4" s="20"/>
      <c r="K4" s="20"/>
      <c r="L4" s="20"/>
      <c r="M4" s="20"/>
    </row>
    <row r="5" spans="1:13" x14ac:dyDescent="0.35">
      <c r="A5" s="20"/>
      <c r="B5" s="20"/>
      <c r="C5" s="20"/>
      <c r="D5" s="20"/>
      <c r="E5" s="20"/>
      <c r="F5" s="34"/>
      <c r="G5" s="20"/>
      <c r="H5" s="20"/>
      <c r="I5" s="20"/>
      <c r="J5" s="20"/>
      <c r="K5" s="20"/>
      <c r="L5" s="20"/>
      <c r="M5" s="20"/>
    </row>
    <row r="6" spans="1:13" x14ac:dyDescent="0.35">
      <c r="A6" s="20"/>
      <c r="B6" s="20"/>
      <c r="C6" s="20"/>
      <c r="D6" s="20"/>
      <c r="E6" s="20"/>
      <c r="F6" s="34"/>
      <c r="G6" s="20"/>
      <c r="H6" s="20"/>
      <c r="I6" s="20"/>
      <c r="J6" s="20"/>
      <c r="K6" s="20"/>
      <c r="L6" s="20"/>
      <c r="M6" s="20"/>
    </row>
    <row r="7" spans="1:13" x14ac:dyDescent="0.35">
      <c r="A7" s="20"/>
      <c r="B7" s="20"/>
      <c r="C7" s="20"/>
      <c r="D7" s="20"/>
      <c r="E7" s="20"/>
      <c r="F7" s="34"/>
      <c r="G7" s="20"/>
      <c r="H7" s="20"/>
      <c r="I7" s="20"/>
      <c r="J7" s="20"/>
      <c r="K7" s="20"/>
      <c r="L7" s="20"/>
      <c r="M7" s="20"/>
    </row>
    <row r="8" spans="1:13" x14ac:dyDescent="0.35">
      <c r="A8" s="21" t="s">
        <v>288</v>
      </c>
      <c r="B8" s="21"/>
      <c r="C8" s="21"/>
      <c r="D8" s="20"/>
      <c r="E8" s="20"/>
      <c r="F8" s="34"/>
      <c r="G8" s="21"/>
      <c r="H8" s="20"/>
      <c r="I8" s="20"/>
      <c r="J8" s="20"/>
      <c r="K8" s="20"/>
      <c r="L8" s="20"/>
      <c r="M8" s="20"/>
    </row>
    <row r="9" spans="1:13" x14ac:dyDescent="0.35">
      <c r="A9" s="20" t="s">
        <v>0</v>
      </c>
      <c r="B9" s="21" t="s">
        <v>287</v>
      </c>
      <c r="C9" s="21"/>
      <c r="D9" s="20"/>
      <c r="E9" s="20"/>
      <c r="F9" s="34"/>
      <c r="G9" s="20"/>
      <c r="H9" s="20"/>
      <c r="I9" s="20"/>
      <c r="J9" s="20"/>
      <c r="K9" s="20"/>
      <c r="L9" s="20"/>
      <c r="M9" s="20"/>
    </row>
    <row r="10" spans="1:13" x14ac:dyDescent="0.35">
      <c r="A10" s="20" t="s">
        <v>10</v>
      </c>
      <c r="B10" s="22">
        <v>3</v>
      </c>
      <c r="C10" s="21"/>
      <c r="D10" s="20"/>
      <c r="E10" s="20"/>
      <c r="F10" s="34"/>
      <c r="G10" s="20"/>
      <c r="H10" s="20"/>
      <c r="I10" s="20"/>
      <c r="J10" s="20"/>
      <c r="K10" s="20"/>
      <c r="L10" s="20"/>
      <c r="M10" s="20"/>
    </row>
    <row r="11" spans="1:13" x14ac:dyDescent="0.35">
      <c r="A11" s="20" t="s">
        <v>1</v>
      </c>
      <c r="B11" s="21" t="s">
        <v>238</v>
      </c>
      <c r="C11" s="21"/>
      <c r="D11" s="20"/>
      <c r="E11" s="20"/>
      <c r="F11" s="34"/>
      <c r="G11" s="20"/>
      <c r="H11" s="20"/>
      <c r="I11" s="20"/>
      <c r="J11" s="20"/>
      <c r="K11" s="20"/>
      <c r="L11" s="20"/>
      <c r="M11" s="20"/>
    </row>
    <row r="12" spans="1:13" x14ac:dyDescent="0.35">
      <c r="A12" s="23" t="s">
        <v>11</v>
      </c>
      <c r="B12" s="24" t="s">
        <v>12</v>
      </c>
      <c r="C12" s="24"/>
      <c r="D12" s="23"/>
      <c r="E12" s="23"/>
      <c r="F12" s="35"/>
      <c r="G12" s="23"/>
      <c r="H12" s="23"/>
      <c r="I12" s="23"/>
      <c r="J12" s="23"/>
      <c r="K12" s="23"/>
      <c r="L12" s="23"/>
      <c r="M12" s="23"/>
    </row>
    <row r="13" spans="1:13" ht="25" customHeight="1" x14ac:dyDescent="0.35">
      <c r="A13" s="32"/>
      <c r="B13" s="83" t="s">
        <v>274</v>
      </c>
      <c r="C13" s="36"/>
      <c r="D13" s="36"/>
      <c r="E13" s="36"/>
      <c r="F13" s="37"/>
      <c r="G13" s="82" t="s">
        <v>17</v>
      </c>
      <c r="H13" s="82"/>
      <c r="I13" s="82"/>
      <c r="J13" s="82"/>
      <c r="K13" s="82"/>
      <c r="L13" s="82"/>
      <c r="M13" s="82"/>
    </row>
    <row r="14" spans="1:13" s="49" customFormat="1" ht="25" customHeight="1" x14ac:dyDescent="0.35">
      <c r="A14" s="50"/>
      <c r="B14" s="84"/>
      <c r="C14" s="30"/>
      <c r="D14" s="30" t="s">
        <v>14</v>
      </c>
      <c r="E14" s="30" t="s">
        <v>15</v>
      </c>
      <c r="F14" s="38"/>
      <c r="G14" s="30" t="s">
        <v>18</v>
      </c>
      <c r="H14" s="30" t="s">
        <v>19</v>
      </c>
      <c r="I14" s="30" t="s">
        <v>20</v>
      </c>
      <c r="J14" s="30" t="s">
        <v>21</v>
      </c>
      <c r="K14" s="30" t="s">
        <v>22</v>
      </c>
      <c r="L14" s="30" t="s">
        <v>23</v>
      </c>
      <c r="M14" s="30" t="s">
        <v>24</v>
      </c>
    </row>
    <row r="15" spans="1:13" x14ac:dyDescent="0.35">
      <c r="A15" s="43"/>
      <c r="B15" s="80" t="s">
        <v>33</v>
      </c>
      <c r="C15" s="80"/>
      <c r="D15" s="80"/>
      <c r="E15" s="80"/>
      <c r="F15" s="80"/>
      <c r="G15" s="80"/>
      <c r="H15" s="80"/>
      <c r="I15" s="80"/>
      <c r="J15" s="80"/>
      <c r="K15" s="80"/>
      <c r="L15" s="80"/>
      <c r="M15" s="80"/>
    </row>
    <row r="16" spans="1:13" x14ac:dyDescent="0.35">
      <c r="A16" s="27" t="s">
        <v>39</v>
      </c>
      <c r="B16" s="4">
        <v>4.9655803456125373E-4</v>
      </c>
      <c r="D16" s="4">
        <v>5.424293474658549E-4</v>
      </c>
      <c r="E16" s="4">
        <v>4.1403617899326981E-4</v>
      </c>
      <c r="F16" s="4"/>
      <c r="G16" s="4">
        <v>0</v>
      </c>
      <c r="H16" s="4">
        <v>1.4532142133894068E-3</v>
      </c>
      <c r="I16" s="4">
        <v>6.1221546663367565E-4</v>
      </c>
      <c r="J16" s="4">
        <v>8.3327403716263793E-4</v>
      </c>
      <c r="K16" s="4">
        <v>4.6604041985157633E-4</v>
      </c>
      <c r="L16" s="4">
        <v>0</v>
      </c>
      <c r="M16" s="4">
        <v>7.4260577415438716E-5</v>
      </c>
    </row>
    <row r="17" spans="1:13" x14ac:dyDescent="0.35">
      <c r="A17" s="27" t="s">
        <v>40</v>
      </c>
      <c r="B17" s="4">
        <v>1.369446047632592E-3</v>
      </c>
      <c r="D17" s="4">
        <v>1.7191627634306262E-3</v>
      </c>
      <c r="E17" s="4">
        <v>1.0431600402138316E-3</v>
      </c>
      <c r="F17" s="4"/>
      <c r="G17" s="4">
        <v>1.5102636587215528E-3</v>
      </c>
      <c r="H17" s="4">
        <v>2.8491554871904468E-3</v>
      </c>
      <c r="I17" s="4">
        <v>2.5273145960612322E-3</v>
      </c>
      <c r="J17" s="4">
        <v>1.4478994933766775E-3</v>
      </c>
      <c r="K17" s="4">
        <v>8.5387537352100344E-4</v>
      </c>
      <c r="L17" s="4">
        <v>5.6955399193967774E-4</v>
      </c>
      <c r="M17" s="4">
        <v>3.970623956725274E-4</v>
      </c>
    </row>
    <row r="18" spans="1:13" x14ac:dyDescent="0.35">
      <c r="A18" s="27" t="s">
        <v>41</v>
      </c>
      <c r="B18" s="4">
        <v>9.3567286585348084E-4</v>
      </c>
      <c r="D18" s="4">
        <v>1.3116110567935964E-3</v>
      </c>
      <c r="E18" s="4">
        <v>5.7983830273071143E-4</v>
      </c>
      <c r="F18" s="4"/>
      <c r="G18" s="4">
        <v>1.1780633978829621E-3</v>
      </c>
      <c r="H18" s="4">
        <v>2.0771711500699197E-4</v>
      </c>
      <c r="I18" s="4">
        <v>1.1290523644757308E-3</v>
      </c>
      <c r="J18" s="4">
        <v>2.1231597987942915E-3</v>
      </c>
      <c r="K18" s="4">
        <v>1.1083769605510644E-3</v>
      </c>
      <c r="L18" s="4">
        <v>5.0498684266985503E-4</v>
      </c>
      <c r="M18" s="4">
        <v>2.8794931424740725E-4</v>
      </c>
    </row>
    <row r="19" spans="1:13" x14ac:dyDescent="0.35">
      <c r="A19" s="27" t="s">
        <v>42</v>
      </c>
      <c r="B19" s="4">
        <v>7.6489364928523269E-3</v>
      </c>
      <c r="D19" s="4">
        <v>9.5515835645345864E-3</v>
      </c>
      <c r="E19" s="4">
        <v>5.8756454163717163E-3</v>
      </c>
      <c r="F19" s="4"/>
      <c r="G19" s="4">
        <v>3.6850466353414081E-2</v>
      </c>
      <c r="H19" s="4">
        <v>1.8030621165246664E-2</v>
      </c>
      <c r="I19" s="4">
        <v>1.2885009189804644E-2</v>
      </c>
      <c r="J19" s="4">
        <v>5.6843384275551672E-3</v>
      </c>
      <c r="K19" s="4">
        <v>3.251235754323754E-3</v>
      </c>
      <c r="L19" s="4">
        <v>1.1195941711828142E-3</v>
      </c>
      <c r="M19" s="4">
        <v>5.0901643468693211E-4</v>
      </c>
    </row>
    <row r="20" spans="1:13" x14ac:dyDescent="0.35">
      <c r="A20" s="27" t="s">
        <v>43</v>
      </c>
      <c r="B20" s="4">
        <v>1.7200286897510235E-2</v>
      </c>
      <c r="D20" s="4">
        <v>2.6750450403500756E-2</v>
      </c>
      <c r="E20" s="4">
        <v>8.0159196521609848E-3</v>
      </c>
      <c r="F20" s="4"/>
      <c r="G20" s="4">
        <v>4.7064863480175786E-2</v>
      </c>
      <c r="H20" s="4">
        <v>3.9735967871007034E-2</v>
      </c>
      <c r="I20" s="4">
        <v>3.5262353764223799E-2</v>
      </c>
      <c r="J20" s="4">
        <v>1.4055787166477311E-2</v>
      </c>
      <c r="K20" s="4">
        <v>9.6660506519440099E-3</v>
      </c>
      <c r="L20" s="4">
        <v>3.5781137203072097E-3</v>
      </c>
      <c r="M20" s="4">
        <v>4.002748172169432E-4</v>
      </c>
    </row>
    <row r="21" spans="1:13" x14ac:dyDescent="0.35">
      <c r="A21" s="27" t="s">
        <v>44</v>
      </c>
      <c r="B21" s="4">
        <v>7.9765203420929E-3</v>
      </c>
      <c r="D21" s="4">
        <v>9.8315130324036232E-3</v>
      </c>
      <c r="E21" s="4">
        <v>6.1925126225394599E-3</v>
      </c>
      <c r="F21" s="4"/>
      <c r="G21" s="4">
        <v>4.6985669573030277E-2</v>
      </c>
      <c r="H21" s="4">
        <v>1.7139226196747119E-2</v>
      </c>
      <c r="I21" s="4">
        <v>1.0833767327283366E-2</v>
      </c>
      <c r="J21" s="4">
        <v>6.4765130382849071E-3</v>
      </c>
      <c r="K21" s="4">
        <v>3.281702913855284E-3</v>
      </c>
      <c r="L21" s="4">
        <v>1.7526704817067624E-3</v>
      </c>
      <c r="M21" s="4">
        <v>1.0569054579263959E-3</v>
      </c>
    </row>
    <row r="22" spans="1:13" x14ac:dyDescent="0.35">
      <c r="A22" s="27" t="s">
        <v>45</v>
      </c>
      <c r="B22" s="4">
        <v>2.057039973751301E-3</v>
      </c>
      <c r="D22" s="4">
        <v>3.3319032403502798E-3</v>
      </c>
      <c r="E22" s="4">
        <v>8.3977526507427618E-4</v>
      </c>
      <c r="F22" s="4"/>
      <c r="G22" s="4">
        <v>3.36795086626965E-3</v>
      </c>
      <c r="H22" s="4">
        <v>3.9763100145582186E-3</v>
      </c>
      <c r="I22" s="4">
        <v>2.8103389230507078E-3</v>
      </c>
      <c r="J22" s="4">
        <v>2.43217658383166E-3</v>
      </c>
      <c r="K22" s="4">
        <v>2.9956151216436349E-3</v>
      </c>
      <c r="L22" s="4">
        <v>5.5335396261472429E-4</v>
      </c>
      <c r="M22" s="4">
        <v>1.4787991102150911E-4</v>
      </c>
    </row>
    <row r="23" spans="1:13" x14ac:dyDescent="0.35">
      <c r="A23" s="27" t="s">
        <v>46</v>
      </c>
      <c r="B23" s="4">
        <v>2.3011914768958829E-2</v>
      </c>
      <c r="D23" s="4">
        <v>3.367409904860505E-2</v>
      </c>
      <c r="E23" s="4">
        <v>1.2689227800643882E-2</v>
      </c>
      <c r="F23" s="4"/>
      <c r="G23" s="4">
        <v>0.106286573929881</v>
      </c>
      <c r="H23" s="4">
        <v>5.6175730656038175E-2</v>
      </c>
      <c r="I23" s="4">
        <v>3.016394940876951E-2</v>
      </c>
      <c r="J23" s="4">
        <v>2.306834633119844E-2</v>
      </c>
      <c r="K23" s="4">
        <v>1.2857502263056418E-2</v>
      </c>
      <c r="L23" s="4">
        <v>4.2333095226521822E-3</v>
      </c>
      <c r="M23" s="4">
        <v>1.2615916583628476E-3</v>
      </c>
    </row>
    <row r="24" spans="1:13" x14ac:dyDescent="0.35">
      <c r="A24" s="27" t="s">
        <v>47</v>
      </c>
      <c r="B24" s="4">
        <v>1.1806640341709634E-4</v>
      </c>
      <c r="D24" s="4">
        <v>1.5424944069706886E-4</v>
      </c>
      <c r="E24" s="4">
        <v>8.4083737122556937E-5</v>
      </c>
      <c r="F24" s="4"/>
      <c r="G24" s="4">
        <v>0</v>
      </c>
      <c r="H24" s="4">
        <v>2.071760436904028E-4</v>
      </c>
      <c r="I24" s="4">
        <v>2.4382146697408586E-4</v>
      </c>
      <c r="J24" s="4">
        <v>0</v>
      </c>
      <c r="K24" s="4">
        <v>3.4906405815976504E-4</v>
      </c>
      <c r="L24" s="4">
        <v>0</v>
      </c>
      <c r="M24" s="4">
        <v>0</v>
      </c>
    </row>
    <row r="25" spans="1:13" x14ac:dyDescent="0.35">
      <c r="A25" s="27" t="s">
        <v>48</v>
      </c>
      <c r="B25" s="4">
        <v>5.7835017338901424E-5</v>
      </c>
      <c r="D25" s="4">
        <v>1.1801689977622154E-4</v>
      </c>
      <c r="E25" s="4">
        <v>0</v>
      </c>
      <c r="F25" s="4"/>
      <c r="G25" s="4">
        <v>0</v>
      </c>
      <c r="H25" s="4">
        <v>2.6579255716633563E-4</v>
      </c>
      <c r="I25" s="4">
        <v>0</v>
      </c>
      <c r="J25" s="4">
        <v>1.6751210395434823E-4</v>
      </c>
      <c r="K25" s="4">
        <v>0</v>
      </c>
      <c r="L25" s="4">
        <v>0</v>
      </c>
      <c r="M25" s="4">
        <v>0</v>
      </c>
    </row>
    <row r="26" spans="1:13" x14ac:dyDescent="0.35">
      <c r="A26" s="27" t="s">
        <v>49</v>
      </c>
      <c r="B26" s="4">
        <v>5.790008280273267E-4</v>
      </c>
      <c r="D26" s="4">
        <v>9.5955035150215051E-4</v>
      </c>
      <c r="E26" s="4">
        <v>2.153126258690284E-4</v>
      </c>
      <c r="F26" s="4"/>
      <c r="G26" s="4">
        <v>0</v>
      </c>
      <c r="H26" s="4">
        <v>8.2996117526520127E-4</v>
      </c>
      <c r="I26" s="4">
        <v>1.5824484090963317E-3</v>
      </c>
      <c r="J26" s="4">
        <v>4.2794770221074032E-4</v>
      </c>
      <c r="K26" s="4">
        <v>3.2989239155253755E-4</v>
      </c>
      <c r="L26" s="4">
        <v>4.7277511381526248E-4</v>
      </c>
      <c r="M26" s="4">
        <v>8.0460842711794957E-5</v>
      </c>
    </row>
    <row r="27" spans="1:13" x14ac:dyDescent="0.35">
      <c r="A27" s="27" t="s">
        <v>50</v>
      </c>
      <c r="B27" s="4">
        <v>1.5584769456054309E-4</v>
      </c>
      <c r="D27" s="4">
        <v>1.185544384767776E-4</v>
      </c>
      <c r="E27" s="4">
        <v>1.9350324444613768E-4</v>
      </c>
      <c r="F27" s="4"/>
      <c r="G27" s="4">
        <v>0</v>
      </c>
      <c r="H27" s="4">
        <v>0</v>
      </c>
      <c r="I27" s="4">
        <v>1.0422889844141289E-4</v>
      </c>
      <c r="J27" s="4">
        <v>3.1010227940058891E-4</v>
      </c>
      <c r="K27" s="4">
        <v>5.6826496493406881E-4</v>
      </c>
      <c r="L27" s="4">
        <v>0</v>
      </c>
      <c r="M27" s="4">
        <v>0</v>
      </c>
    </row>
    <row r="28" spans="1:13" x14ac:dyDescent="0.35">
      <c r="A28" s="27" t="s">
        <v>51</v>
      </c>
      <c r="B28" s="4">
        <v>1.8929580168936972E-5</v>
      </c>
      <c r="D28" s="4">
        <v>0</v>
      </c>
      <c r="E28" s="4">
        <v>3.7472769174013581E-5</v>
      </c>
      <c r="F28" s="4"/>
      <c r="G28" s="4">
        <v>0</v>
      </c>
      <c r="H28" s="4">
        <v>0</v>
      </c>
      <c r="I28" s="4">
        <v>0</v>
      </c>
      <c r="J28" s="4">
        <v>0</v>
      </c>
      <c r="K28" s="4">
        <v>1.2819077384402551E-4</v>
      </c>
      <c r="L28" s="4">
        <v>0</v>
      </c>
      <c r="M28" s="4">
        <v>0</v>
      </c>
    </row>
    <row r="29" spans="1:13" x14ac:dyDescent="0.35">
      <c r="A29" s="27" t="s">
        <v>52</v>
      </c>
      <c r="B29" s="4">
        <v>1.6460465140531467E-5</v>
      </c>
      <c r="D29" s="4">
        <v>0</v>
      </c>
      <c r="E29" s="4">
        <v>3.2584938767961674E-5</v>
      </c>
      <c r="F29" s="4"/>
      <c r="G29" s="4">
        <v>0</v>
      </c>
      <c r="H29" s="4">
        <v>0</v>
      </c>
      <c r="I29" s="4">
        <v>0</v>
      </c>
      <c r="J29" s="4">
        <v>0</v>
      </c>
      <c r="K29" s="4">
        <v>0</v>
      </c>
      <c r="L29" s="4">
        <v>0</v>
      </c>
      <c r="M29" s="4">
        <v>7.824800539718613E-5</v>
      </c>
    </row>
    <row r="30" spans="1:13" x14ac:dyDescent="0.35">
      <c r="A30" s="27" t="s">
        <v>53</v>
      </c>
      <c r="B30" s="4">
        <v>0</v>
      </c>
      <c r="D30" s="4">
        <v>0</v>
      </c>
      <c r="E30" s="4">
        <v>0</v>
      </c>
      <c r="F30" s="4"/>
      <c r="G30" s="4">
        <v>0</v>
      </c>
      <c r="H30" s="4">
        <v>0</v>
      </c>
      <c r="I30" s="4">
        <v>0</v>
      </c>
      <c r="J30" s="4">
        <v>0</v>
      </c>
      <c r="K30" s="4">
        <v>0</v>
      </c>
      <c r="L30" s="4">
        <v>0</v>
      </c>
      <c r="M30" s="4">
        <v>0</v>
      </c>
    </row>
    <row r="31" spans="1:13" x14ac:dyDescent="0.35">
      <c r="A31" s="27" t="s">
        <v>54</v>
      </c>
      <c r="B31" s="4">
        <v>2.7298598971809817E-4</v>
      </c>
      <c r="D31" s="4">
        <v>4.7585516780460134E-4</v>
      </c>
      <c r="E31" s="4">
        <v>7.8767400496388467E-5</v>
      </c>
      <c r="F31" s="4"/>
      <c r="G31" s="4">
        <v>0</v>
      </c>
      <c r="H31" s="4">
        <v>6.9810990262654938E-4</v>
      </c>
      <c r="I31" s="4">
        <v>9.1844999674001084E-4</v>
      </c>
      <c r="J31" s="4">
        <v>1.8316218497243771E-4</v>
      </c>
      <c r="K31" s="4">
        <v>0</v>
      </c>
      <c r="L31" s="4">
        <v>0</v>
      </c>
      <c r="M31" s="4">
        <v>0</v>
      </c>
    </row>
    <row r="32" spans="1:13" x14ac:dyDescent="0.35">
      <c r="A32" s="27" t="s">
        <v>55</v>
      </c>
      <c r="B32" s="4">
        <v>2.509816661248042E-5</v>
      </c>
      <c r="D32" s="4">
        <v>5.1214782150323371E-5</v>
      </c>
      <c r="E32" s="4">
        <v>0</v>
      </c>
      <c r="F32" s="4"/>
      <c r="G32" s="4">
        <v>0</v>
      </c>
      <c r="H32" s="4">
        <v>0</v>
      </c>
      <c r="I32" s="4">
        <v>1.3959256853267297E-4</v>
      </c>
      <c r="J32" s="4">
        <v>0</v>
      </c>
      <c r="K32" s="4">
        <v>0</v>
      </c>
      <c r="L32" s="4">
        <v>0</v>
      </c>
      <c r="M32" s="4">
        <v>0</v>
      </c>
    </row>
    <row r="33" spans="1:13" x14ac:dyDescent="0.35">
      <c r="A33" s="27" t="s">
        <v>56</v>
      </c>
      <c r="B33" s="4">
        <v>7.1059719041998617E-3</v>
      </c>
      <c r="D33" s="4">
        <v>9.4619849094417195E-3</v>
      </c>
      <c r="E33" s="4">
        <v>4.8877198986189271E-3</v>
      </c>
      <c r="F33" s="4"/>
      <c r="G33" s="4">
        <v>1.472423447462445E-3</v>
      </c>
      <c r="H33" s="4">
        <v>6.9711999636482577E-4</v>
      </c>
      <c r="I33" s="4">
        <v>2.3971517290953199E-3</v>
      </c>
      <c r="J33" s="4">
        <v>1.8472504515109377E-3</v>
      </c>
      <c r="K33" s="4">
        <v>3.4924420546091832E-3</v>
      </c>
      <c r="L33" s="4">
        <v>8.8821077494531178E-3</v>
      </c>
      <c r="M33" s="4">
        <v>2.1331804321970786E-2</v>
      </c>
    </row>
    <row r="34" spans="1:13" x14ac:dyDescent="0.35">
      <c r="A34" s="27" t="s">
        <v>57</v>
      </c>
      <c r="B34" s="4">
        <v>6.0587473920685562E-3</v>
      </c>
      <c r="D34" s="4">
        <v>6.5875300831592827E-3</v>
      </c>
      <c r="E34" s="4">
        <v>5.5593189952711898E-3</v>
      </c>
      <c r="F34" s="4"/>
      <c r="G34" s="4">
        <v>6.7022869441838119E-3</v>
      </c>
      <c r="H34" s="4">
        <v>1.2114326833569408E-2</v>
      </c>
      <c r="I34" s="4">
        <v>1.2331621839602465E-2</v>
      </c>
      <c r="J34" s="4">
        <v>6.6128088363581108E-3</v>
      </c>
      <c r="K34" s="4">
        <v>4.8791917978618276E-3</v>
      </c>
      <c r="L34" s="4">
        <v>1.9502277684606451E-3</v>
      </c>
      <c r="M34" s="4">
        <v>4.5267140433103776E-4</v>
      </c>
    </row>
    <row r="35" spans="1:13" x14ac:dyDescent="0.35">
      <c r="A35" s="27" t="s">
        <v>58</v>
      </c>
      <c r="B35" s="4">
        <v>2.4126247990301023E-5</v>
      </c>
      <c r="D35" s="4">
        <v>0</v>
      </c>
      <c r="E35" s="4">
        <v>4.7760030275744331E-5</v>
      </c>
      <c r="F35" s="4"/>
      <c r="G35" s="4">
        <v>0</v>
      </c>
      <c r="H35" s="4">
        <v>0</v>
      </c>
      <c r="I35" s="4">
        <v>0</v>
      </c>
      <c r="J35" s="4">
        <v>1.4064847782341004E-4</v>
      </c>
      <c r="K35" s="4">
        <v>0</v>
      </c>
      <c r="L35" s="4">
        <v>0</v>
      </c>
      <c r="M35" s="4">
        <v>0</v>
      </c>
    </row>
    <row r="36" spans="1:13" x14ac:dyDescent="0.35">
      <c r="A36" s="27" t="s">
        <v>59</v>
      </c>
      <c r="B36" s="4">
        <v>2.2406906351897498E-2</v>
      </c>
      <c r="D36" s="4">
        <v>1.9995726702093396E-2</v>
      </c>
      <c r="E36" s="4">
        <v>2.4714526030995287E-2</v>
      </c>
      <c r="F36" s="4"/>
      <c r="G36" s="4">
        <v>2.745111093293166E-2</v>
      </c>
      <c r="H36" s="4">
        <v>2.8546250368837782E-2</v>
      </c>
      <c r="I36" s="4">
        <v>2.5941360176895006E-2</v>
      </c>
      <c r="J36" s="4">
        <v>2.3114668342380212E-2</v>
      </c>
      <c r="K36" s="4">
        <v>1.7046099138659104E-2</v>
      </c>
      <c r="L36" s="4">
        <v>2.6988808369218017E-2</v>
      </c>
      <c r="M36" s="4">
        <v>1.5333037689468363E-2</v>
      </c>
    </row>
    <row r="37" spans="1:13" x14ac:dyDescent="0.35">
      <c r="A37" s="27" t="s">
        <v>60</v>
      </c>
      <c r="B37" s="4">
        <v>5.49799970549757E-4</v>
      </c>
      <c r="D37" s="4">
        <v>2.9491682932727709E-4</v>
      </c>
      <c r="E37" s="4">
        <v>8.0227531750960864E-4</v>
      </c>
      <c r="F37" s="4"/>
      <c r="G37" s="4">
        <v>0</v>
      </c>
      <c r="H37" s="4">
        <v>1.4179746915926339E-3</v>
      </c>
      <c r="I37" s="4">
        <v>4.9931074156247244E-4</v>
      </c>
      <c r="J37" s="4">
        <v>9.8195447048709714E-4</v>
      </c>
      <c r="K37" s="4">
        <v>5.6632227374773365E-4</v>
      </c>
      <c r="L37" s="4">
        <v>2.7713553691748472E-4</v>
      </c>
      <c r="M37" s="4">
        <v>7.064941734340748E-5</v>
      </c>
    </row>
    <row r="38" spans="1:13" x14ac:dyDescent="0.35">
      <c r="A38" s="27" t="s">
        <v>61</v>
      </c>
      <c r="B38" s="4">
        <v>8.7480899294281535E-5</v>
      </c>
      <c r="D38" s="4">
        <v>0</v>
      </c>
      <c r="E38" s="4">
        <v>1.7317613582202497E-4</v>
      </c>
      <c r="F38" s="4"/>
      <c r="G38" s="4">
        <v>0</v>
      </c>
      <c r="H38" s="4">
        <v>2.7529934841540651E-4</v>
      </c>
      <c r="I38" s="4">
        <v>2.2245050548459159E-4</v>
      </c>
      <c r="J38" s="4">
        <v>0</v>
      </c>
      <c r="K38" s="4">
        <v>0</v>
      </c>
      <c r="L38" s="4">
        <v>0</v>
      </c>
      <c r="M38" s="4">
        <v>8.2446428705347334E-5</v>
      </c>
    </row>
    <row r="39" spans="1:13" x14ac:dyDescent="0.35">
      <c r="A39" s="27" t="s">
        <v>62</v>
      </c>
      <c r="B39" s="4">
        <v>2.5300553739786994E-3</v>
      </c>
      <c r="D39" s="4">
        <v>2.0477260515899039E-3</v>
      </c>
      <c r="E39" s="4">
        <v>3.0219454070271336E-3</v>
      </c>
      <c r="F39" s="4"/>
      <c r="G39" s="4">
        <v>3.5024501069509553E-3</v>
      </c>
      <c r="H39" s="4">
        <v>1.7634560861815333E-3</v>
      </c>
      <c r="I39" s="4">
        <v>3.4308191944084411E-3</v>
      </c>
      <c r="J39" s="4">
        <v>2.7106015448483513E-3</v>
      </c>
      <c r="K39" s="4">
        <v>2.6652381468739426E-3</v>
      </c>
      <c r="L39" s="4">
        <v>3.9126320001376608E-3</v>
      </c>
      <c r="M39" s="4">
        <v>8.1339435006237313E-4</v>
      </c>
    </row>
    <row r="40" spans="1:13" x14ac:dyDescent="0.35">
      <c r="A40" s="27" t="s">
        <v>63</v>
      </c>
      <c r="B40" s="4">
        <v>3.1639545198200626E-4</v>
      </c>
      <c r="D40" s="4">
        <v>9.9059884663236155E-5</v>
      </c>
      <c r="E40" s="4">
        <v>5.3023353666009924E-4</v>
      </c>
      <c r="F40" s="4"/>
      <c r="G40" s="4">
        <v>2.0552759443047916E-3</v>
      </c>
      <c r="H40" s="4">
        <v>4.8876417678475744E-4</v>
      </c>
      <c r="I40" s="4">
        <v>8.2283718152821865E-4</v>
      </c>
      <c r="J40" s="4">
        <v>1.3585133193988753E-4</v>
      </c>
      <c r="K40" s="4">
        <v>0</v>
      </c>
      <c r="L40" s="4">
        <v>0</v>
      </c>
      <c r="M40" s="4">
        <v>0</v>
      </c>
    </row>
    <row r="41" spans="1:13" x14ac:dyDescent="0.35">
      <c r="A41" s="27" t="s">
        <v>64</v>
      </c>
      <c r="B41" s="4">
        <v>1.5989178468045255E-2</v>
      </c>
      <c r="D41" s="4">
        <v>2.7931109266843068E-2</v>
      </c>
      <c r="E41" s="4">
        <v>4.5165339249592512E-3</v>
      </c>
      <c r="F41" s="4"/>
      <c r="G41" s="4">
        <v>4.9231685659481952E-2</v>
      </c>
      <c r="H41" s="4">
        <v>2.8901086051895588E-2</v>
      </c>
      <c r="I41" s="4">
        <v>2.3822408890840457E-2</v>
      </c>
      <c r="J41" s="4">
        <v>1.5882930034986038E-2</v>
      </c>
      <c r="K41" s="4">
        <v>1.5130114756230034E-2</v>
      </c>
      <c r="L41" s="4">
        <v>7.4614190288373435E-3</v>
      </c>
      <c r="M41" s="4">
        <v>1.7541211866684652E-3</v>
      </c>
    </row>
    <row r="42" spans="1:13" x14ac:dyDescent="0.35">
      <c r="A42" s="27" t="s">
        <v>65</v>
      </c>
      <c r="B42" s="4">
        <v>7.8398231990265516E-4</v>
      </c>
      <c r="D42" s="4">
        <v>5.5291221837926814E-4</v>
      </c>
      <c r="E42" s="4">
        <v>1.0155756881382934E-3</v>
      </c>
      <c r="F42" s="4"/>
      <c r="G42" s="4">
        <v>0</v>
      </c>
      <c r="H42" s="4">
        <v>0</v>
      </c>
      <c r="I42" s="4">
        <v>0</v>
      </c>
      <c r="J42" s="4">
        <v>0</v>
      </c>
      <c r="K42" s="4">
        <v>0</v>
      </c>
      <c r="L42" s="4">
        <v>4.4063916479022866E-4</v>
      </c>
      <c r="M42" s="4">
        <v>3.4407518808110315E-3</v>
      </c>
    </row>
    <row r="43" spans="1:13" x14ac:dyDescent="0.35">
      <c r="A43" s="27" t="s">
        <v>293</v>
      </c>
      <c r="B43" s="4">
        <v>5.3977083215676737E-3</v>
      </c>
      <c r="D43" s="4">
        <v>4.5248315079455736E-3</v>
      </c>
      <c r="E43" s="4">
        <v>6.249811117350317E-3</v>
      </c>
      <c r="F43" s="4"/>
      <c r="G43" s="4">
        <v>1.5851148373245772E-3</v>
      </c>
      <c r="H43" s="4">
        <v>4.2251329274394451E-3</v>
      </c>
      <c r="I43" s="4">
        <v>1.0878560207733159E-2</v>
      </c>
      <c r="J43" s="4">
        <v>9.3846057731232363E-3</v>
      </c>
      <c r="K43" s="4">
        <v>5.2762229374179693E-3</v>
      </c>
      <c r="L43" s="4">
        <v>2.4727852069159062E-3</v>
      </c>
      <c r="M43" s="4">
        <v>8.6469675653735054E-4</v>
      </c>
    </row>
    <row r="44" spans="1:13" x14ac:dyDescent="0.35">
      <c r="A44" s="27" t="s">
        <v>66</v>
      </c>
      <c r="B44" s="4">
        <v>9.7760637057339104E-5</v>
      </c>
      <c r="D44" s="4">
        <v>1.0792590215110006E-4</v>
      </c>
      <c r="E44" s="4">
        <v>8.8825665291690381E-5</v>
      </c>
      <c r="F44" s="4"/>
      <c r="G44" s="4">
        <v>0</v>
      </c>
      <c r="H44" s="4">
        <v>0</v>
      </c>
      <c r="I44" s="4">
        <v>0</v>
      </c>
      <c r="J44" s="4">
        <v>5.699139293722414E-4</v>
      </c>
      <c r="K44" s="4">
        <v>0</v>
      </c>
      <c r="L44" s="4">
        <v>0</v>
      </c>
      <c r="M44" s="4">
        <v>0</v>
      </c>
    </row>
    <row r="45" spans="1:13" x14ac:dyDescent="0.35">
      <c r="A45" s="27" t="s">
        <v>67</v>
      </c>
      <c r="B45" s="4">
        <v>9.7766251353051236E-3</v>
      </c>
      <c r="D45" s="4">
        <v>1.2501474620967208E-2</v>
      </c>
      <c r="E45" s="4">
        <v>7.1873576954929038E-3</v>
      </c>
      <c r="F45" s="4"/>
      <c r="G45" s="4">
        <v>6.5314023455458337E-3</v>
      </c>
      <c r="H45" s="4">
        <v>9.0958030999772361E-3</v>
      </c>
      <c r="I45" s="4">
        <v>1.0177989207828152E-2</v>
      </c>
      <c r="J45" s="4">
        <v>7.9745313344223388E-3</v>
      </c>
      <c r="K45" s="4">
        <v>1.2931987252863269E-2</v>
      </c>
      <c r="L45" s="4">
        <v>1.6204080769608172E-2</v>
      </c>
      <c r="M45" s="4">
        <v>5.5576108157872556E-3</v>
      </c>
    </row>
    <row r="46" spans="1:13" x14ac:dyDescent="0.35">
      <c r="A46" s="27" t="s">
        <v>68</v>
      </c>
      <c r="B46" s="4">
        <v>7.0964422326708979E-3</v>
      </c>
      <c r="D46" s="4">
        <v>2.1310234667226572E-3</v>
      </c>
      <c r="E46" s="4">
        <v>1.1775198899425632E-2</v>
      </c>
      <c r="F46" s="4"/>
      <c r="G46" s="4">
        <v>2.2424367353898765E-2</v>
      </c>
      <c r="H46" s="4">
        <v>1.5200365279700482E-2</v>
      </c>
      <c r="I46" s="4">
        <v>7.6268628266097545E-3</v>
      </c>
      <c r="J46" s="4">
        <v>6.5509187299243573E-3</v>
      </c>
      <c r="K46" s="4">
        <v>4.4550701065888968E-3</v>
      </c>
      <c r="L46" s="4">
        <v>4.9401228484654306E-3</v>
      </c>
      <c r="M46" s="4">
        <v>2.8754202050572946E-3</v>
      </c>
    </row>
    <row r="47" spans="1:13" x14ac:dyDescent="0.35">
      <c r="A47" s="27" t="s">
        <v>69</v>
      </c>
      <c r="B47" s="4">
        <v>1.0826466204821432E-2</v>
      </c>
      <c r="D47" s="4">
        <v>3.3510623281625628E-3</v>
      </c>
      <c r="E47" s="4">
        <v>1.7910066902355651E-2</v>
      </c>
      <c r="F47" s="4"/>
      <c r="G47" s="4">
        <v>1.9148177867324288E-2</v>
      </c>
      <c r="H47" s="4">
        <v>1.548057870792616E-2</v>
      </c>
      <c r="I47" s="4">
        <v>1.2434586207845376E-2</v>
      </c>
      <c r="J47" s="4">
        <v>1.1025987212963727E-2</v>
      </c>
      <c r="K47" s="4">
        <v>6.4593065171763787E-3</v>
      </c>
      <c r="L47" s="4">
        <v>5.9494232067749415E-3</v>
      </c>
      <c r="M47" s="4">
        <v>1.1334982807710626E-2</v>
      </c>
    </row>
    <row r="48" spans="1:13" x14ac:dyDescent="0.35">
      <c r="A48" s="27" t="s">
        <v>70</v>
      </c>
      <c r="B48" s="4">
        <v>5.9407501024528867E-4</v>
      </c>
      <c r="D48" s="4">
        <v>7.2095893074725461E-4</v>
      </c>
      <c r="E48" s="4">
        <v>4.7661348146459505E-4</v>
      </c>
      <c r="F48" s="4"/>
      <c r="G48" s="4">
        <v>0</v>
      </c>
      <c r="H48" s="4">
        <v>2.4054310762595978E-4</v>
      </c>
      <c r="I48" s="4">
        <v>3.0940550450612347E-4</v>
      </c>
      <c r="J48" s="4">
        <v>7.0089133618561074E-4</v>
      </c>
      <c r="K48" s="4">
        <v>6.6560655645737064E-4</v>
      </c>
      <c r="L48" s="4">
        <v>1.0127946368218611E-3</v>
      </c>
      <c r="M48" s="4">
        <v>7.3815083893724338E-4</v>
      </c>
    </row>
    <row r="49" spans="1:13" x14ac:dyDescent="0.35">
      <c r="A49" s="27" t="s">
        <v>71</v>
      </c>
      <c r="B49" s="4">
        <v>2.5731866506024329E-4</v>
      </c>
      <c r="D49" s="4">
        <v>2.5427164316497731E-4</v>
      </c>
      <c r="E49" s="4">
        <v>2.6271319008771871E-4</v>
      </c>
      <c r="F49" s="4"/>
      <c r="G49" s="4">
        <v>0</v>
      </c>
      <c r="H49" s="4">
        <v>1.0041914462292564E-3</v>
      </c>
      <c r="I49" s="4">
        <v>2.0974258274202256E-4</v>
      </c>
      <c r="J49" s="4">
        <v>1.3209048377453171E-4</v>
      </c>
      <c r="K49" s="4">
        <v>0</v>
      </c>
      <c r="L49" s="4">
        <v>3.7208994451627057E-4</v>
      </c>
      <c r="M49" s="4">
        <v>1.7203305105007596E-4</v>
      </c>
    </row>
    <row r="50" spans="1:13" x14ac:dyDescent="0.35">
      <c r="A50" s="27" t="s">
        <v>72</v>
      </c>
      <c r="B50" s="4">
        <v>6.9990599858934469E-4</v>
      </c>
      <c r="D50" s="4">
        <v>6.247817072866839E-4</v>
      </c>
      <c r="E50" s="4">
        <v>7.7941782493329693E-4</v>
      </c>
      <c r="F50" s="4"/>
      <c r="G50" s="4">
        <v>4.916315816928472E-3</v>
      </c>
      <c r="H50" s="4">
        <v>1.2086036805309267E-3</v>
      </c>
      <c r="I50" s="4">
        <v>1.3676424635549413E-3</v>
      </c>
      <c r="J50" s="4">
        <v>5.9745834660317068E-4</v>
      </c>
      <c r="K50" s="4">
        <v>0</v>
      </c>
      <c r="L50" s="4">
        <v>0</v>
      </c>
      <c r="M50" s="4">
        <v>0</v>
      </c>
    </row>
    <row r="51" spans="1:13" x14ac:dyDescent="0.35">
      <c r="A51" s="27" t="s">
        <v>73</v>
      </c>
      <c r="B51" s="4">
        <v>6.9915225665423018E-4</v>
      </c>
      <c r="D51" s="4">
        <v>5.8375180419470234E-4</v>
      </c>
      <c r="E51" s="4">
        <v>8.1772929091948816E-4</v>
      </c>
      <c r="F51" s="4"/>
      <c r="G51" s="4">
        <v>0</v>
      </c>
      <c r="H51" s="4">
        <v>3.3156905421084245E-4</v>
      </c>
      <c r="I51" s="4">
        <v>3.6014248410003033E-4</v>
      </c>
      <c r="J51" s="4">
        <v>6.9421360920953617E-4</v>
      </c>
      <c r="K51" s="4">
        <v>8.2877008076585857E-4</v>
      </c>
      <c r="L51" s="4">
        <v>1.4855069456308091E-3</v>
      </c>
      <c r="M51" s="4">
        <v>7.3094415398841802E-4</v>
      </c>
    </row>
    <row r="52" spans="1:13" x14ac:dyDescent="0.35">
      <c r="A52" s="27" t="s">
        <v>74</v>
      </c>
      <c r="B52" s="4">
        <v>1.6785361445519542E-4</v>
      </c>
      <c r="D52" s="4">
        <v>1.6451892974258229E-4</v>
      </c>
      <c r="E52" s="4">
        <v>1.726793558164652E-4</v>
      </c>
      <c r="F52" s="4"/>
      <c r="G52" s="4">
        <v>0</v>
      </c>
      <c r="H52" s="4">
        <v>5.9504288707027623E-4</v>
      </c>
      <c r="I52" s="4">
        <v>3.17517796216293E-4</v>
      </c>
      <c r="J52" s="4">
        <v>0</v>
      </c>
      <c r="K52" s="4">
        <v>0</v>
      </c>
      <c r="L52" s="4">
        <v>2.0742071378720582E-4</v>
      </c>
      <c r="M52" s="4">
        <v>8.2188777263770931E-5</v>
      </c>
    </row>
    <row r="53" spans="1:13" x14ac:dyDescent="0.35">
      <c r="A53" s="27" t="s">
        <v>75</v>
      </c>
      <c r="B53" s="4">
        <v>2.5207676817567311E-3</v>
      </c>
      <c r="D53" s="4">
        <v>1.1049333941949107E-3</v>
      </c>
      <c r="E53" s="4">
        <v>3.9181732259051692E-3</v>
      </c>
      <c r="F53" s="4"/>
      <c r="G53" s="4">
        <v>4.2948439067289597E-3</v>
      </c>
      <c r="H53" s="4">
        <v>3.6350839143541643E-3</v>
      </c>
      <c r="I53" s="4">
        <v>3.3663185819466095E-3</v>
      </c>
      <c r="J53" s="4">
        <v>2.3499334907802569E-3</v>
      </c>
      <c r="K53" s="4">
        <v>2.5734305655701227E-3</v>
      </c>
      <c r="L53" s="4">
        <v>3.6044686127988815E-3</v>
      </c>
      <c r="M53" s="4">
        <v>2.4091078552557145E-4</v>
      </c>
    </row>
    <row r="54" spans="1:13" x14ac:dyDescent="0.35">
      <c r="A54" s="27" t="s">
        <v>76</v>
      </c>
      <c r="B54" s="4">
        <v>6.1872791945410315E-4</v>
      </c>
      <c r="D54" s="4">
        <v>8.1791570241492918E-4</v>
      </c>
      <c r="E54" s="4">
        <v>4.3135724346261118E-4</v>
      </c>
      <c r="F54" s="4"/>
      <c r="G54" s="4">
        <v>0</v>
      </c>
      <c r="H54" s="4">
        <v>1.9202107593067922E-3</v>
      </c>
      <c r="I54" s="4">
        <v>1.3453721519404837E-3</v>
      </c>
      <c r="J54" s="4">
        <v>5.6939214590056317E-4</v>
      </c>
      <c r="K54" s="4">
        <v>4.6677434399869106E-4</v>
      </c>
      <c r="L54" s="4">
        <v>0</v>
      </c>
      <c r="M54" s="4">
        <v>0</v>
      </c>
    </row>
    <row r="55" spans="1:13" x14ac:dyDescent="0.35">
      <c r="A55" s="27" t="s">
        <v>77</v>
      </c>
      <c r="B55" s="4">
        <v>3.6115364566101984E-4</v>
      </c>
      <c r="D55" s="4">
        <v>3.7563121046168012E-4</v>
      </c>
      <c r="E55" s="4">
        <v>3.5053140510003133E-4</v>
      </c>
      <c r="F55" s="4"/>
      <c r="G55" s="4">
        <v>1.4488038018696785E-3</v>
      </c>
      <c r="H55" s="4">
        <v>8.9083845384868793E-4</v>
      </c>
      <c r="I55" s="4">
        <v>5.036675907373339E-4</v>
      </c>
      <c r="J55" s="4">
        <v>0</v>
      </c>
      <c r="K55" s="4">
        <v>5.1037568429289262E-4</v>
      </c>
      <c r="L55" s="4">
        <v>0</v>
      </c>
      <c r="M55" s="4">
        <v>1.5734508457537335E-4</v>
      </c>
    </row>
    <row r="56" spans="1:13" x14ac:dyDescent="0.35">
      <c r="A56" s="27" t="s">
        <v>78</v>
      </c>
      <c r="B56" s="4">
        <v>1.2721001017738764E-3</v>
      </c>
      <c r="D56" s="4">
        <v>2.0690768058935706E-3</v>
      </c>
      <c r="E56" s="4">
        <v>5.1099967998230423E-4</v>
      </c>
      <c r="F56" s="4"/>
      <c r="G56" s="4">
        <v>0</v>
      </c>
      <c r="H56" s="4">
        <v>6.5683698336278394E-4</v>
      </c>
      <c r="I56" s="4">
        <v>1.7222184721337737E-3</v>
      </c>
      <c r="J56" s="4">
        <v>5.9491351834081512E-4</v>
      </c>
      <c r="K56" s="4">
        <v>2.9541621087541092E-3</v>
      </c>
      <c r="L56" s="4">
        <v>1.4424141902600893E-3</v>
      </c>
      <c r="M56" s="4">
        <v>7.3811023924756679E-4</v>
      </c>
    </row>
    <row r="57" spans="1:13" x14ac:dyDescent="0.35">
      <c r="A57" s="27" t="s">
        <v>79</v>
      </c>
      <c r="B57" s="4">
        <v>0.13498755198364867</v>
      </c>
      <c r="D57" s="4">
        <v>0.10423026848168086</v>
      </c>
      <c r="E57" s="4">
        <v>0.16504624489964301</v>
      </c>
      <c r="F57" s="4"/>
      <c r="G57" s="4">
        <v>9.9205767223461971E-2</v>
      </c>
      <c r="H57" s="4">
        <v>0.13239390783996022</v>
      </c>
      <c r="I57" s="4">
        <v>0.15421327837417478</v>
      </c>
      <c r="J57" s="4">
        <v>0.1414742391783087</v>
      </c>
      <c r="K57" s="4">
        <v>0.12803778298556159</v>
      </c>
      <c r="L57" s="4">
        <v>0.13151213143912305</v>
      </c>
      <c r="M57" s="4">
        <v>0.12933447742348411</v>
      </c>
    </row>
    <row r="58" spans="1:13" x14ac:dyDescent="0.35">
      <c r="A58" s="27" t="s">
        <v>80</v>
      </c>
      <c r="B58" s="4">
        <v>2.8251689679796175E-4</v>
      </c>
      <c r="D58" s="4">
        <v>2.7843380533670002E-4</v>
      </c>
      <c r="E58" s="4">
        <v>2.8915532475208463E-4</v>
      </c>
      <c r="F58" s="4"/>
      <c r="G58" s="4">
        <v>1.650846250512388E-3</v>
      </c>
      <c r="H58" s="4">
        <v>5.2890262749464775E-4</v>
      </c>
      <c r="I58" s="4">
        <v>4.524529151121505E-4</v>
      </c>
      <c r="J58" s="4">
        <v>4.0607038787654893E-4</v>
      </c>
      <c r="K58" s="4">
        <v>0</v>
      </c>
      <c r="L58" s="4">
        <v>0</v>
      </c>
      <c r="M58" s="4">
        <v>0</v>
      </c>
    </row>
    <row r="59" spans="1:13" x14ac:dyDescent="0.35">
      <c r="A59" s="27" t="s">
        <v>81</v>
      </c>
      <c r="B59" s="4">
        <v>1.1016737420380218E-3</v>
      </c>
      <c r="D59" s="4">
        <v>1.5280383164743172E-3</v>
      </c>
      <c r="E59" s="4">
        <v>6.9849315305995437E-4</v>
      </c>
      <c r="F59" s="4"/>
      <c r="G59" s="4">
        <v>5.3236899634573212E-3</v>
      </c>
      <c r="H59" s="4">
        <v>3.8533408162245821E-3</v>
      </c>
      <c r="I59" s="4">
        <v>1.5296310189892332E-3</v>
      </c>
      <c r="J59" s="4">
        <v>4.4665255832007639E-4</v>
      </c>
      <c r="K59" s="4">
        <v>3.1976910450139844E-4</v>
      </c>
      <c r="L59" s="4">
        <v>3.1900990700830991E-4</v>
      </c>
      <c r="M59" s="4">
        <v>0</v>
      </c>
    </row>
    <row r="60" spans="1:13" x14ac:dyDescent="0.35">
      <c r="A60" s="27" t="s">
        <v>82</v>
      </c>
      <c r="B60" s="4">
        <v>3.6183245022889478E-2</v>
      </c>
      <c r="D60" s="4">
        <v>5.6367216091720455E-2</v>
      </c>
      <c r="E60" s="4">
        <v>1.6663891938599733E-2</v>
      </c>
      <c r="F60" s="4"/>
      <c r="G60" s="4">
        <v>0.11988912226788853</v>
      </c>
      <c r="H60" s="4">
        <v>7.9566217381432949E-2</v>
      </c>
      <c r="I60" s="4">
        <v>5.9011667815787427E-2</v>
      </c>
      <c r="J60" s="4">
        <v>4.3423594918015201E-2</v>
      </c>
      <c r="K60" s="4">
        <v>2.023038899439724E-2</v>
      </c>
      <c r="L60" s="4">
        <v>6.4078131258842388E-3</v>
      </c>
      <c r="M60" s="4">
        <v>9.7568029148670796E-4</v>
      </c>
    </row>
    <row r="61" spans="1:13" x14ac:dyDescent="0.35">
      <c r="A61" s="27" t="s">
        <v>83</v>
      </c>
      <c r="B61" s="4">
        <v>6.0464079725987914E-4</v>
      </c>
      <c r="D61" s="4">
        <v>9.4988344353369772E-4</v>
      </c>
      <c r="E61" s="4">
        <v>2.7544717523577756E-4</v>
      </c>
      <c r="F61" s="4"/>
      <c r="G61" s="4">
        <v>0</v>
      </c>
      <c r="H61" s="4">
        <v>1.0558541283813112E-3</v>
      </c>
      <c r="I61" s="4">
        <v>2.1215062637176536E-3</v>
      </c>
      <c r="J61" s="4">
        <v>3.0215116616038771E-4</v>
      </c>
      <c r="K61" s="4">
        <v>3.7768178722527779E-4</v>
      </c>
      <c r="L61" s="4">
        <v>0</v>
      </c>
      <c r="M61" s="4">
        <v>0</v>
      </c>
    </row>
    <row r="62" spans="1:13" x14ac:dyDescent="0.35">
      <c r="A62" s="27" t="s">
        <v>84</v>
      </c>
      <c r="B62" s="4">
        <v>1.5945483895250459E-4</v>
      </c>
      <c r="D62" s="4">
        <v>1.5998151048892637E-4</v>
      </c>
      <c r="E62" s="4">
        <v>1.154949838894158E-4</v>
      </c>
      <c r="F62" s="4"/>
      <c r="G62" s="4">
        <v>0</v>
      </c>
      <c r="H62" s="4">
        <v>0</v>
      </c>
      <c r="I62" s="4">
        <v>1.4938377518588239E-4</v>
      </c>
      <c r="J62" s="4">
        <v>4.3200388103475002E-4</v>
      </c>
      <c r="K62" s="4">
        <v>0</v>
      </c>
      <c r="L62" s="4">
        <v>1.6999438881497606E-4</v>
      </c>
      <c r="M62" s="4">
        <v>1.6769451599474267E-4</v>
      </c>
    </row>
    <row r="63" spans="1:13" x14ac:dyDescent="0.35">
      <c r="A63" s="27" t="s">
        <v>85</v>
      </c>
      <c r="B63" s="4">
        <v>1.0126391087219216E-4</v>
      </c>
      <c r="D63" s="4">
        <v>2.0663697134077388E-4</v>
      </c>
      <c r="E63" s="4">
        <v>0</v>
      </c>
      <c r="F63" s="4"/>
      <c r="G63" s="4">
        <v>1.6710367615300496E-3</v>
      </c>
      <c r="H63" s="4">
        <v>0</v>
      </c>
      <c r="I63" s="4">
        <v>0</v>
      </c>
      <c r="J63" s="4">
        <v>1.5599815466698825E-4</v>
      </c>
      <c r="K63" s="4">
        <v>0</v>
      </c>
      <c r="L63" s="4">
        <v>0</v>
      </c>
      <c r="M63" s="4">
        <v>0</v>
      </c>
    </row>
    <row r="64" spans="1:13" x14ac:dyDescent="0.35">
      <c r="A64" s="27" t="s">
        <v>86</v>
      </c>
      <c r="B64" s="4">
        <v>2.256593914848171E-2</v>
      </c>
      <c r="D64" s="4">
        <v>3.7057511091644638E-2</v>
      </c>
      <c r="E64" s="4">
        <v>8.6904806541087832E-3</v>
      </c>
      <c r="F64" s="4"/>
      <c r="G64" s="4">
        <v>8.9357214504852296E-3</v>
      </c>
      <c r="H64" s="4">
        <v>7.7755501223317836E-3</v>
      </c>
      <c r="I64" s="4">
        <v>1.326239934357727E-2</v>
      </c>
      <c r="J64" s="4">
        <v>1.3270425928864536E-2</v>
      </c>
      <c r="K64" s="4">
        <v>2.3929101335578618E-2</v>
      </c>
      <c r="L64" s="4">
        <v>3.6768615732571126E-2</v>
      </c>
      <c r="M64" s="4">
        <v>3.8507058882493499E-2</v>
      </c>
    </row>
    <row r="65" spans="1:13" x14ac:dyDescent="0.35">
      <c r="A65" s="27" t="s">
        <v>87</v>
      </c>
      <c r="B65" s="4">
        <v>1.8519646760904767E-4</v>
      </c>
      <c r="D65" s="4">
        <v>3.0666697406525297E-4</v>
      </c>
      <c r="E65" s="4">
        <v>6.9111663529491276E-5</v>
      </c>
      <c r="F65" s="4"/>
      <c r="G65" s="4">
        <v>0</v>
      </c>
      <c r="H65" s="4">
        <v>4.1885667527363644E-4</v>
      </c>
      <c r="I65" s="4">
        <v>4.4750787444089609E-4</v>
      </c>
      <c r="J65" s="4">
        <v>1.651319472057287E-4</v>
      </c>
      <c r="K65" s="4">
        <v>2.0689225980881479E-4</v>
      </c>
      <c r="L65" s="4">
        <v>0</v>
      </c>
      <c r="M65" s="4">
        <v>0</v>
      </c>
    </row>
    <row r="66" spans="1:13" x14ac:dyDescent="0.35">
      <c r="A66" s="27" t="s">
        <v>88</v>
      </c>
      <c r="B66" s="4">
        <v>4.1700030437660385E-5</v>
      </c>
      <c r="D66" s="4">
        <v>0</v>
      </c>
      <c r="E66" s="4">
        <v>8.254887859076802E-5</v>
      </c>
      <c r="F66" s="4"/>
      <c r="G66" s="4">
        <v>0</v>
      </c>
      <c r="H66" s="4">
        <v>0</v>
      </c>
      <c r="I66" s="4">
        <v>8.5602366478841399E-5</v>
      </c>
      <c r="J66" s="4">
        <v>1.5337369916413969E-4</v>
      </c>
      <c r="K66" s="4">
        <v>0</v>
      </c>
      <c r="L66" s="4">
        <v>0</v>
      </c>
      <c r="M66" s="4">
        <v>0</v>
      </c>
    </row>
    <row r="67" spans="1:13" x14ac:dyDescent="0.35">
      <c r="A67" s="27" t="s">
        <v>89</v>
      </c>
      <c r="B67" s="4">
        <v>3.2846964518762128E-3</v>
      </c>
      <c r="D67" s="4">
        <v>1.6505186560278656E-3</v>
      </c>
      <c r="E67" s="4">
        <v>4.8595132167729678E-3</v>
      </c>
      <c r="F67" s="4"/>
      <c r="G67" s="4">
        <v>1.2777005369009735E-2</v>
      </c>
      <c r="H67" s="4">
        <v>8.0357199579380346E-3</v>
      </c>
      <c r="I67" s="4">
        <v>5.2807855108427254E-3</v>
      </c>
      <c r="J67" s="4">
        <v>3.8916038413068848E-3</v>
      </c>
      <c r="K67" s="4">
        <v>6.5856749872825204E-4</v>
      </c>
      <c r="L67" s="4">
        <v>6.2922136452558952E-4</v>
      </c>
      <c r="M67" s="4">
        <v>1.6651131126190809E-4</v>
      </c>
    </row>
    <row r="68" spans="1:13" x14ac:dyDescent="0.35">
      <c r="A68" s="27" t="s">
        <v>90</v>
      </c>
      <c r="B68" s="4">
        <v>5.1438260427884525E-4</v>
      </c>
      <c r="D68" s="4">
        <v>3.293535172280198E-4</v>
      </c>
      <c r="E68" s="4">
        <v>6.9875611211464399E-4</v>
      </c>
      <c r="F68" s="4"/>
      <c r="G68" s="4">
        <v>5.2897165156265361E-3</v>
      </c>
      <c r="H68" s="4">
        <v>7.4611832031139041E-4</v>
      </c>
      <c r="I68" s="4">
        <v>9.7478366474977271E-4</v>
      </c>
      <c r="J68" s="4">
        <v>1.2582789195466254E-4</v>
      </c>
      <c r="K68" s="4">
        <v>0</v>
      </c>
      <c r="L68" s="4">
        <v>0</v>
      </c>
      <c r="M68" s="4">
        <v>0</v>
      </c>
    </row>
    <row r="69" spans="1:13" x14ac:dyDescent="0.35">
      <c r="A69" s="27" t="s">
        <v>91</v>
      </c>
      <c r="B69" s="4">
        <v>7.2846334016922303E-5</v>
      </c>
      <c r="D69" s="4">
        <v>1.4864867162333556E-4</v>
      </c>
      <c r="E69" s="4">
        <v>0</v>
      </c>
      <c r="F69" s="4"/>
      <c r="G69" s="4">
        <v>0</v>
      </c>
      <c r="H69" s="4">
        <v>2.2629038843804226E-4</v>
      </c>
      <c r="I69" s="4">
        <v>0</v>
      </c>
      <c r="J69" s="4">
        <v>1.3798593698316705E-4</v>
      </c>
      <c r="K69" s="4">
        <v>1.6524357115511239E-4</v>
      </c>
      <c r="L69" s="4">
        <v>0</v>
      </c>
      <c r="M69" s="4">
        <v>0</v>
      </c>
    </row>
    <row r="70" spans="1:13" x14ac:dyDescent="0.35">
      <c r="A70" s="27" t="s">
        <v>92</v>
      </c>
      <c r="B70" s="4">
        <v>4.8447693159099957E-3</v>
      </c>
      <c r="D70" s="4">
        <v>4.7258447966207181E-3</v>
      </c>
      <c r="E70" s="4">
        <v>5.0060525560401995E-3</v>
      </c>
      <c r="F70" s="4"/>
      <c r="G70" s="4">
        <v>1.6293196766266376E-2</v>
      </c>
      <c r="H70" s="4">
        <v>9.3955528995833953E-3</v>
      </c>
      <c r="I70" s="4">
        <v>5.3038914528132537E-3</v>
      </c>
      <c r="J70" s="4">
        <v>6.0616561403737399E-3</v>
      </c>
      <c r="K70" s="4">
        <v>4.1584506414216859E-3</v>
      </c>
      <c r="L70" s="4">
        <v>2.5250008900722927E-3</v>
      </c>
      <c r="M70" s="4">
        <v>6.5283284694857301E-4</v>
      </c>
    </row>
    <row r="71" spans="1:13" x14ac:dyDescent="0.35">
      <c r="A71" s="27" t="s">
        <v>93</v>
      </c>
      <c r="B71" s="4">
        <v>2.2901543578293741E-4</v>
      </c>
      <c r="D71" s="4">
        <v>3.4414479268988401E-4</v>
      </c>
      <c r="E71" s="4">
        <v>1.1949751789091102E-4</v>
      </c>
      <c r="F71" s="4"/>
      <c r="G71" s="4">
        <v>0</v>
      </c>
      <c r="H71" s="4">
        <v>3.4806949969588092E-4</v>
      </c>
      <c r="I71" s="4">
        <v>5.3007228979601057E-4</v>
      </c>
      <c r="J71" s="4">
        <v>1.3488231049420195E-4</v>
      </c>
      <c r="K71" s="4">
        <v>4.9072879411572376E-4</v>
      </c>
      <c r="L71" s="4">
        <v>0</v>
      </c>
      <c r="M71" s="4">
        <v>0</v>
      </c>
    </row>
    <row r="72" spans="1:13" x14ac:dyDescent="0.35">
      <c r="A72" s="27" t="s">
        <v>94</v>
      </c>
      <c r="B72" s="4">
        <v>5.0269284528047637E-4</v>
      </c>
      <c r="D72" s="4">
        <v>7.3616189474099705E-4</v>
      </c>
      <c r="E72" s="4">
        <v>2.809658829195653E-4</v>
      </c>
      <c r="F72" s="4"/>
      <c r="G72" s="4">
        <v>2.0895179687717169E-3</v>
      </c>
      <c r="H72" s="4">
        <v>9.3895151592521514E-4</v>
      </c>
      <c r="I72" s="4">
        <v>4.0886077170689894E-4</v>
      </c>
      <c r="J72" s="4">
        <v>9.5365686671336036E-4</v>
      </c>
      <c r="K72" s="4">
        <v>4.7153021797735292E-4</v>
      </c>
      <c r="L72" s="4">
        <v>0</v>
      </c>
      <c r="M72" s="4">
        <v>0</v>
      </c>
    </row>
    <row r="73" spans="1:13" x14ac:dyDescent="0.35">
      <c r="A73" s="27" t="s">
        <v>95</v>
      </c>
      <c r="B73" s="4">
        <v>4.4920982397410901E-5</v>
      </c>
      <c r="D73" s="4">
        <v>5.0556849178223997E-5</v>
      </c>
      <c r="E73" s="4">
        <v>3.9879275733346036E-5</v>
      </c>
      <c r="F73" s="4"/>
      <c r="G73" s="4">
        <v>0</v>
      </c>
      <c r="H73" s="4">
        <v>2.2629038843804226E-4</v>
      </c>
      <c r="I73" s="4">
        <v>0</v>
      </c>
      <c r="J73" s="4">
        <v>0</v>
      </c>
      <c r="K73" s="4">
        <v>1.3642320354968713E-4</v>
      </c>
      <c r="L73" s="4">
        <v>0</v>
      </c>
      <c r="M73" s="4">
        <v>0</v>
      </c>
    </row>
    <row r="74" spans="1:13" x14ac:dyDescent="0.35">
      <c r="A74" s="27" t="s">
        <v>96</v>
      </c>
      <c r="B74" s="4">
        <v>1.2007633611346364E-3</v>
      </c>
      <c r="D74" s="4">
        <v>5.0235664670944861E-4</v>
      </c>
      <c r="E74" s="4">
        <v>1.7926664737299102E-3</v>
      </c>
      <c r="F74" s="4"/>
      <c r="G74" s="4">
        <v>1.3157020677726844E-2</v>
      </c>
      <c r="H74" s="4">
        <v>1.8914063973717503E-3</v>
      </c>
      <c r="I74" s="4">
        <v>1.116422022833608E-3</v>
      </c>
      <c r="J74" s="4">
        <v>6.1757517434950899E-4</v>
      </c>
      <c r="K74" s="4">
        <v>1.7947884050832158E-4</v>
      </c>
      <c r="L74" s="4">
        <v>5.4109457442486325E-4</v>
      </c>
      <c r="M74" s="4">
        <v>0</v>
      </c>
    </row>
    <row r="75" spans="1:13" x14ac:dyDescent="0.35">
      <c r="A75" s="27" t="s">
        <v>97</v>
      </c>
      <c r="B75" s="4">
        <v>2.6506828189108088E-4</v>
      </c>
      <c r="D75" s="4">
        <v>3.8611092184414854E-4</v>
      </c>
      <c r="E75" s="4">
        <v>1.50155490571193E-4</v>
      </c>
      <c r="F75" s="4"/>
      <c r="G75" s="4">
        <v>0</v>
      </c>
      <c r="H75" s="4">
        <v>5.2181766867659353E-4</v>
      </c>
      <c r="I75" s="4">
        <v>4.2618399984262271E-4</v>
      </c>
      <c r="J75" s="4">
        <v>2.8941666421694725E-4</v>
      </c>
      <c r="K75" s="4">
        <v>3.228085031477812E-4</v>
      </c>
      <c r="L75" s="4">
        <v>2.4893910668969559E-4</v>
      </c>
      <c r="M75" s="4">
        <v>0</v>
      </c>
    </row>
    <row r="76" spans="1:13" x14ac:dyDescent="0.35">
      <c r="A76" s="27" t="s">
        <v>98</v>
      </c>
      <c r="B76" s="4">
        <v>5.808467858798499E-4</v>
      </c>
      <c r="D76" s="4">
        <v>3.907743275279461E-4</v>
      </c>
      <c r="E76" s="4">
        <v>7.7074279653786631E-4</v>
      </c>
      <c r="F76" s="4"/>
      <c r="G76" s="4">
        <v>4.9437279113037523E-3</v>
      </c>
      <c r="H76" s="4">
        <v>8.3535451232539951E-4</v>
      </c>
      <c r="I76" s="4">
        <v>7.3665776565571509E-4</v>
      </c>
      <c r="J76" s="4">
        <v>3.1203016379693167E-4</v>
      </c>
      <c r="K76" s="4">
        <v>2.8179555571785221E-4</v>
      </c>
      <c r="L76" s="4">
        <v>1.79078198619795E-4</v>
      </c>
      <c r="M76" s="4">
        <v>8.0460842711794957E-5</v>
      </c>
    </row>
    <row r="77" spans="1:13" x14ac:dyDescent="0.35">
      <c r="A77" s="27" t="s">
        <v>99</v>
      </c>
      <c r="B77" s="4">
        <v>1.6149532427888131E-3</v>
      </c>
      <c r="D77" s="4">
        <v>2.6936437070620763E-3</v>
      </c>
      <c r="E77" s="4">
        <v>5.8380834931189864E-4</v>
      </c>
      <c r="F77" s="4"/>
      <c r="G77" s="4">
        <v>3.7651157420409017E-3</v>
      </c>
      <c r="H77" s="4">
        <v>2.0057474585873855E-3</v>
      </c>
      <c r="I77" s="4">
        <v>2.8386726446168612E-3</v>
      </c>
      <c r="J77" s="4">
        <v>3.3390274787726496E-3</v>
      </c>
      <c r="K77" s="4">
        <v>8.7873545933497995E-4</v>
      </c>
      <c r="L77" s="4">
        <v>0</v>
      </c>
      <c r="M77" s="4">
        <v>6.9286035638933414E-5</v>
      </c>
    </row>
    <row r="78" spans="1:13" x14ac:dyDescent="0.35">
      <c r="A78" s="27" t="s">
        <v>100</v>
      </c>
      <c r="B78" s="4">
        <v>1.6771263100693163E-3</v>
      </c>
      <c r="D78" s="4">
        <v>2.0360475639849508E-3</v>
      </c>
      <c r="E78" s="4">
        <v>1.3448267235653048E-3</v>
      </c>
      <c r="F78" s="4"/>
      <c r="G78" s="4">
        <v>2.9918187430323278E-3</v>
      </c>
      <c r="H78" s="4">
        <v>4.0840766340331271E-3</v>
      </c>
      <c r="I78" s="4">
        <v>9.7327243257863075E-4</v>
      </c>
      <c r="J78" s="4">
        <v>2.5542883143038616E-3</v>
      </c>
      <c r="K78" s="4">
        <v>1.0881539335654742E-3</v>
      </c>
      <c r="L78" s="4">
        <v>1.4898796354369341E-3</v>
      </c>
      <c r="M78" s="4">
        <v>5.6706054391698218E-4</v>
      </c>
    </row>
    <row r="79" spans="1:13" x14ac:dyDescent="0.35">
      <c r="A79" s="27" t="s">
        <v>101</v>
      </c>
      <c r="B79" s="4">
        <v>2.986194516021376E-4</v>
      </c>
      <c r="D79" s="4">
        <v>4.6828532908774976E-4</v>
      </c>
      <c r="E79" s="4">
        <v>1.3685467783423655E-4</v>
      </c>
      <c r="F79" s="4"/>
      <c r="G79" s="4">
        <v>1.2478513787822234E-3</v>
      </c>
      <c r="H79" s="4">
        <v>5.4168926305569142E-4</v>
      </c>
      <c r="I79" s="4">
        <v>3.8043988525627453E-4</v>
      </c>
      <c r="J79" s="4">
        <v>2.7482289046101252E-4</v>
      </c>
      <c r="K79" s="4">
        <v>3.3286551932149152E-4</v>
      </c>
      <c r="L79" s="4">
        <v>1.3896889660539315E-4</v>
      </c>
      <c r="M79" s="4">
        <v>0</v>
      </c>
    </row>
    <row r="80" spans="1:13" x14ac:dyDescent="0.35">
      <c r="A80" s="27" t="s">
        <v>102</v>
      </c>
      <c r="B80" s="4">
        <v>1.5598262245221123E-5</v>
      </c>
      <c r="D80" s="4">
        <v>3.1829480421704131E-5</v>
      </c>
      <c r="E80" s="4">
        <v>0</v>
      </c>
      <c r="F80" s="4"/>
      <c r="G80" s="4">
        <v>0</v>
      </c>
      <c r="H80" s="4">
        <v>0</v>
      </c>
      <c r="I80" s="4">
        <v>0</v>
      </c>
      <c r="J80" s="4">
        <v>0</v>
      </c>
      <c r="K80" s="4">
        <v>0</v>
      </c>
      <c r="L80" s="4">
        <v>1.1421778749785976E-4</v>
      </c>
      <c r="M80" s="4">
        <v>0</v>
      </c>
    </row>
    <row r="81" spans="1:13" x14ac:dyDescent="0.35">
      <c r="A81" s="27" t="s">
        <v>103</v>
      </c>
      <c r="B81" s="4">
        <v>2.5244195365723844E-5</v>
      </c>
      <c r="D81" s="4">
        <v>0</v>
      </c>
      <c r="E81" s="4">
        <v>4.9973105450895782E-5</v>
      </c>
      <c r="F81" s="4"/>
      <c r="G81" s="4">
        <v>0</v>
      </c>
      <c r="H81" s="4">
        <v>0</v>
      </c>
      <c r="I81" s="4">
        <v>1.4040476047719281E-4</v>
      </c>
      <c r="J81" s="4">
        <v>0</v>
      </c>
      <c r="K81" s="4">
        <v>0</v>
      </c>
      <c r="L81" s="4">
        <v>0</v>
      </c>
      <c r="M81" s="4">
        <v>0</v>
      </c>
    </row>
    <row r="82" spans="1:13" x14ac:dyDescent="0.35">
      <c r="A82" s="27" t="s">
        <v>104</v>
      </c>
      <c r="B82" s="4">
        <v>7.2760387183744485E-5</v>
      </c>
      <c r="D82" s="4">
        <v>4.7054425789685134E-5</v>
      </c>
      <c r="E82" s="4">
        <v>9.8387566340980221E-5</v>
      </c>
      <c r="F82" s="4"/>
      <c r="G82" s="4">
        <v>0</v>
      </c>
      <c r="H82" s="4">
        <v>1.956164884404665E-4</v>
      </c>
      <c r="I82" s="4">
        <v>0</v>
      </c>
      <c r="J82" s="4">
        <v>0</v>
      </c>
      <c r="K82" s="4">
        <v>3.4769402220394334E-4</v>
      </c>
      <c r="L82" s="4">
        <v>0</v>
      </c>
      <c r="M82" s="4">
        <v>0</v>
      </c>
    </row>
    <row r="83" spans="1:13" x14ac:dyDescent="0.35">
      <c r="A83" s="27" t="s">
        <v>105</v>
      </c>
      <c r="B83" s="4">
        <v>2.773212762345794E-4</v>
      </c>
      <c r="D83" s="4">
        <v>1.9980060485019711E-4</v>
      </c>
      <c r="E83" s="4">
        <v>3.5515307747098891E-4</v>
      </c>
      <c r="F83" s="4"/>
      <c r="G83" s="4">
        <v>2.0552759443047916E-3</v>
      </c>
      <c r="H83" s="4">
        <v>5.1160741154511924E-4</v>
      </c>
      <c r="I83" s="4">
        <v>2.3157880717863583E-4</v>
      </c>
      <c r="J83" s="4">
        <v>1.4844692521364736E-4</v>
      </c>
      <c r="K83" s="4">
        <v>2.7649991758818765E-4</v>
      </c>
      <c r="L83" s="4">
        <v>1.5919068575276319E-4</v>
      </c>
      <c r="M83" s="4">
        <v>0</v>
      </c>
    </row>
    <row r="84" spans="1:13" x14ac:dyDescent="0.35">
      <c r="A84" s="27" t="s">
        <v>106</v>
      </c>
      <c r="B84" s="4">
        <v>2.5324870663921988E-5</v>
      </c>
      <c r="D84" s="4">
        <v>5.1677389590398381E-5</v>
      </c>
      <c r="E84" s="4">
        <v>0</v>
      </c>
      <c r="F84" s="4"/>
      <c r="G84" s="4">
        <v>0</v>
      </c>
      <c r="H84" s="4">
        <v>2.3130588147712749E-4</v>
      </c>
      <c r="I84" s="4">
        <v>0</v>
      </c>
      <c r="J84" s="4">
        <v>0</v>
      </c>
      <c r="K84" s="4">
        <v>0</v>
      </c>
      <c r="L84" s="4">
        <v>0</v>
      </c>
      <c r="M84" s="4">
        <v>0</v>
      </c>
    </row>
    <row r="85" spans="1:13" x14ac:dyDescent="0.35">
      <c r="A85" s="27" t="s">
        <v>107</v>
      </c>
      <c r="B85" s="4">
        <v>1.1008914084076281E-3</v>
      </c>
      <c r="D85" s="4">
        <v>1.6188082674536805E-3</v>
      </c>
      <c r="E85" s="4">
        <v>6.0888751775515083E-4</v>
      </c>
      <c r="F85" s="4"/>
      <c r="G85" s="4">
        <v>2.9284800407530344E-3</v>
      </c>
      <c r="H85" s="4">
        <v>1.0524690201620631E-3</v>
      </c>
      <c r="I85" s="4">
        <v>7.1367495639759867E-4</v>
      </c>
      <c r="J85" s="4">
        <v>1.530049269790979E-3</v>
      </c>
      <c r="K85" s="4">
        <v>1.1168827346302211E-3</v>
      </c>
      <c r="L85" s="4">
        <v>1.5139499647017392E-3</v>
      </c>
      <c r="M85" s="4">
        <v>4.4036474799111778E-4</v>
      </c>
    </row>
    <row r="86" spans="1:13" x14ac:dyDescent="0.35">
      <c r="A86" s="27" t="s">
        <v>108</v>
      </c>
      <c r="B86" s="4">
        <v>0</v>
      </c>
      <c r="D86" s="4">
        <v>0</v>
      </c>
      <c r="E86" s="4">
        <v>0</v>
      </c>
      <c r="F86" s="4"/>
      <c r="G86" s="4">
        <v>0</v>
      </c>
      <c r="H86" s="4">
        <v>0</v>
      </c>
      <c r="I86" s="4">
        <v>0</v>
      </c>
      <c r="J86" s="4">
        <v>0</v>
      </c>
      <c r="K86" s="4">
        <v>0</v>
      </c>
      <c r="L86" s="4">
        <v>0</v>
      </c>
      <c r="M86" s="4">
        <v>0</v>
      </c>
    </row>
    <row r="87" spans="1:13" x14ac:dyDescent="0.35">
      <c r="A87" s="27" t="s">
        <v>109</v>
      </c>
      <c r="B87" s="4">
        <v>9.4714792394289617E-5</v>
      </c>
      <c r="D87" s="4">
        <v>9.8748560784073662E-5</v>
      </c>
      <c r="E87" s="4">
        <v>9.1699188574867802E-5</v>
      </c>
      <c r="F87" s="4"/>
      <c r="G87" s="4">
        <v>0</v>
      </c>
      <c r="H87" s="4">
        <v>0</v>
      </c>
      <c r="I87" s="4">
        <v>1.4525052104435608E-4</v>
      </c>
      <c r="J87" s="4">
        <v>0</v>
      </c>
      <c r="K87" s="4">
        <v>1.9268772277023714E-4</v>
      </c>
      <c r="L87" s="4">
        <v>2.9396549735137838E-4</v>
      </c>
      <c r="M87" s="4">
        <v>0</v>
      </c>
    </row>
    <row r="88" spans="1:13" x14ac:dyDescent="0.35">
      <c r="A88" s="27" t="s">
        <v>110</v>
      </c>
      <c r="B88" s="4">
        <v>4.4038761543008405E-3</v>
      </c>
      <c r="D88" s="4">
        <v>3.6112412717282127E-3</v>
      </c>
      <c r="E88" s="4">
        <v>5.2145550098529562E-3</v>
      </c>
      <c r="F88" s="4"/>
      <c r="G88" s="4">
        <v>5.1562755924221193E-3</v>
      </c>
      <c r="H88" s="4">
        <v>4.6540572434884695E-3</v>
      </c>
      <c r="I88" s="4">
        <v>4.6205842951256302E-3</v>
      </c>
      <c r="J88" s="4">
        <v>1.7790994778165493E-3</v>
      </c>
      <c r="K88" s="4">
        <v>3.7673697399249208E-3</v>
      </c>
      <c r="L88" s="4">
        <v>2.6980350249832768E-3</v>
      </c>
      <c r="M88" s="4">
        <v>7.6235197935434363E-3</v>
      </c>
    </row>
    <row r="89" spans="1:13" x14ac:dyDescent="0.35">
      <c r="A89" s="27" t="s">
        <v>111</v>
      </c>
      <c r="B89" s="4">
        <v>6.7719954058693185E-4</v>
      </c>
      <c r="D89" s="4">
        <v>9.2685408588616717E-4</v>
      </c>
      <c r="E89" s="4">
        <v>4.4142462612056034E-4</v>
      </c>
      <c r="F89" s="4"/>
      <c r="G89" s="4">
        <v>0</v>
      </c>
      <c r="H89" s="4">
        <v>2.7315968292206823E-3</v>
      </c>
      <c r="I89" s="4">
        <v>6.0563636071325809E-4</v>
      </c>
      <c r="J89" s="4">
        <v>5.7801148018621123E-4</v>
      </c>
      <c r="K89" s="4">
        <v>1.1518193279978944E-3</v>
      </c>
      <c r="L89" s="4">
        <v>0</v>
      </c>
      <c r="M89" s="4">
        <v>0</v>
      </c>
    </row>
    <row r="90" spans="1:13" x14ac:dyDescent="0.35">
      <c r="A90" s="27" t="s">
        <v>112</v>
      </c>
      <c r="B90" s="4">
        <v>0</v>
      </c>
      <c r="D90" s="4">
        <v>0</v>
      </c>
      <c r="E90" s="4">
        <v>0</v>
      </c>
      <c r="F90" s="4"/>
      <c r="G90" s="4">
        <v>0</v>
      </c>
      <c r="H90" s="4">
        <v>0</v>
      </c>
      <c r="I90" s="4">
        <v>0</v>
      </c>
      <c r="J90" s="4">
        <v>0</v>
      </c>
      <c r="K90" s="4">
        <v>0</v>
      </c>
      <c r="L90" s="4">
        <v>0</v>
      </c>
      <c r="M90" s="4">
        <v>0</v>
      </c>
    </row>
    <row r="91" spans="1:13" x14ac:dyDescent="0.35">
      <c r="A91" s="27" t="s">
        <v>113</v>
      </c>
      <c r="B91" s="4">
        <v>3.0585467253297464E-3</v>
      </c>
      <c r="D91" s="4">
        <v>4.2228847126598223E-3</v>
      </c>
      <c r="E91" s="4">
        <v>1.9090220388605914E-3</v>
      </c>
      <c r="F91" s="4"/>
      <c r="G91" s="4">
        <v>6.3513480164039092E-3</v>
      </c>
      <c r="H91" s="4">
        <v>3.506158129442191E-3</v>
      </c>
      <c r="I91" s="4">
        <v>4.7781170923685409E-3</v>
      </c>
      <c r="J91" s="4">
        <v>3.5819273353439427E-3</v>
      </c>
      <c r="K91" s="4">
        <v>2.1032242716319365E-3</v>
      </c>
      <c r="L91" s="4">
        <v>2.6677899845501968E-3</v>
      </c>
      <c r="M91" s="4">
        <v>1.1554717382742333E-3</v>
      </c>
    </row>
    <row r="92" spans="1:13" x14ac:dyDescent="0.35">
      <c r="A92" s="27" t="s">
        <v>114</v>
      </c>
      <c r="B92" s="4">
        <v>1.5534576527636091E-3</v>
      </c>
      <c r="D92" s="4">
        <v>2.7391573785635133E-3</v>
      </c>
      <c r="E92" s="4">
        <v>2.5566127728038915E-4</v>
      </c>
      <c r="F92" s="4"/>
      <c r="G92" s="4">
        <v>3.9482908270051988E-3</v>
      </c>
      <c r="H92" s="4">
        <v>2.548910359728619E-3</v>
      </c>
      <c r="I92" s="4">
        <v>2.6358885229887329E-3</v>
      </c>
      <c r="J92" s="4">
        <v>1.1497528972025974E-3</v>
      </c>
      <c r="K92" s="4">
        <v>1.2807810253720726E-3</v>
      </c>
      <c r="L92" s="4">
        <v>1.3952515128429839E-3</v>
      </c>
      <c r="M92" s="4">
        <v>2.2594041506178038E-4</v>
      </c>
    </row>
    <row r="93" spans="1:13" x14ac:dyDescent="0.35">
      <c r="A93" s="27" t="s">
        <v>115</v>
      </c>
      <c r="B93" s="4">
        <v>8.8652673805677791E-4</v>
      </c>
      <c r="D93" s="4">
        <v>1.5211053948063968E-3</v>
      </c>
      <c r="E93" s="4">
        <v>2.7931643653123222E-4</v>
      </c>
      <c r="F93" s="4"/>
      <c r="G93" s="4">
        <v>1.6370827277095283E-3</v>
      </c>
      <c r="H93" s="4">
        <v>4.8450748163150981E-4</v>
      </c>
      <c r="I93" s="4">
        <v>1.0193957464519898E-3</v>
      </c>
      <c r="J93" s="4">
        <v>1.273679163646042E-3</v>
      </c>
      <c r="K93" s="4">
        <v>1.5189131579033031E-3</v>
      </c>
      <c r="L93" s="4">
        <v>6.2698299153149156E-4</v>
      </c>
      <c r="M93" s="4">
        <v>2.3200854953254592E-4</v>
      </c>
    </row>
    <row r="94" spans="1:13" x14ac:dyDescent="0.35">
      <c r="A94" s="27" t="s">
        <v>116</v>
      </c>
      <c r="B94" s="4">
        <v>2.518255881212087E-4</v>
      </c>
      <c r="D94" s="4">
        <v>3.4722501449602542E-4</v>
      </c>
      <c r="E94" s="4">
        <v>1.6166406367993129E-4</v>
      </c>
      <c r="F94" s="4"/>
      <c r="G94" s="4">
        <v>8.1854136385476413E-4</v>
      </c>
      <c r="H94" s="4">
        <v>0</v>
      </c>
      <c r="I94" s="4">
        <v>4.8068633112435236E-4</v>
      </c>
      <c r="J94" s="4">
        <v>6.6483373682790683E-4</v>
      </c>
      <c r="K94" s="4">
        <v>0</v>
      </c>
      <c r="L94" s="4">
        <v>0</v>
      </c>
      <c r="M94" s="4">
        <v>7.064941734340748E-5</v>
      </c>
    </row>
    <row r="95" spans="1:13" x14ac:dyDescent="0.35">
      <c r="A95" s="27" t="s">
        <v>117</v>
      </c>
      <c r="B95" s="4">
        <v>1.3285552159159647E-3</v>
      </c>
      <c r="D95" s="4">
        <v>1.3745433512730783E-3</v>
      </c>
      <c r="E95" s="4">
        <v>1.296532158952525E-3</v>
      </c>
      <c r="F95" s="4"/>
      <c r="G95" s="4">
        <v>3.2675813666546787E-3</v>
      </c>
      <c r="H95" s="4">
        <v>4.8533538435481284E-3</v>
      </c>
      <c r="I95" s="4">
        <v>2.4184743922162012E-3</v>
      </c>
      <c r="J95" s="4">
        <v>9.8601322153512964E-4</v>
      </c>
      <c r="K95" s="4">
        <v>1.6437364514677681E-4</v>
      </c>
      <c r="L95" s="4">
        <v>1.7024488293301712E-4</v>
      </c>
      <c r="M95" s="4">
        <v>0</v>
      </c>
    </row>
    <row r="96" spans="1:13" x14ac:dyDescent="0.35">
      <c r="A96" s="27" t="s">
        <v>118</v>
      </c>
      <c r="B96" s="4">
        <v>1.8533997114712795E-2</v>
      </c>
      <c r="D96" s="4">
        <v>5.897326542501153E-3</v>
      </c>
      <c r="E96" s="4">
        <v>3.0857432734583377E-2</v>
      </c>
      <c r="F96" s="4"/>
      <c r="G96" s="4">
        <v>7.1784441131396717E-2</v>
      </c>
      <c r="H96" s="4">
        <v>4.8939045841181139E-2</v>
      </c>
      <c r="I96" s="4">
        <v>2.7450980461520592E-2</v>
      </c>
      <c r="J96" s="4">
        <v>1.8349992587454914E-2</v>
      </c>
      <c r="K96" s="4">
        <v>9.8860643766104771E-3</v>
      </c>
      <c r="L96" s="4">
        <v>2.5895293559922644E-3</v>
      </c>
      <c r="M96" s="4">
        <v>3.7324618571374699E-4</v>
      </c>
    </row>
    <row r="97" spans="1:13" x14ac:dyDescent="0.35">
      <c r="A97" s="27" t="s">
        <v>119</v>
      </c>
      <c r="B97" s="4">
        <v>3.7021765731465344E-4</v>
      </c>
      <c r="D97" s="4">
        <v>2.5362122955811052E-4</v>
      </c>
      <c r="E97" s="4">
        <v>4.8683765040659989E-4</v>
      </c>
      <c r="F97" s="4"/>
      <c r="G97" s="4">
        <v>2.0552759443047916E-3</v>
      </c>
      <c r="H97" s="4">
        <v>0</v>
      </c>
      <c r="I97" s="4">
        <v>6.0434582295452945E-4</v>
      </c>
      <c r="J97" s="4">
        <v>6.1782927257471982E-4</v>
      </c>
      <c r="K97" s="4">
        <v>4.3301852141880068E-4</v>
      </c>
      <c r="L97" s="4">
        <v>0</v>
      </c>
      <c r="M97" s="4">
        <v>0</v>
      </c>
    </row>
    <row r="98" spans="1:13" x14ac:dyDescent="0.35">
      <c r="A98" s="27" t="s">
        <v>120</v>
      </c>
      <c r="B98" s="4">
        <v>5.4732022674422096E-4</v>
      </c>
      <c r="D98" s="4">
        <v>4.984121578717022E-4</v>
      </c>
      <c r="E98" s="4">
        <v>5.9995336932764482E-4</v>
      </c>
      <c r="F98" s="4"/>
      <c r="G98" s="4">
        <v>2.0552759443047916E-3</v>
      </c>
      <c r="H98" s="4">
        <v>3.7337186382446812E-4</v>
      </c>
      <c r="I98" s="4">
        <v>1.1525521355137216E-4</v>
      </c>
      <c r="J98" s="4">
        <v>8.9828382754116129E-4</v>
      </c>
      <c r="K98" s="4">
        <v>7.6457943772621621E-4</v>
      </c>
      <c r="L98" s="4">
        <v>4.7056994520014217E-4</v>
      </c>
      <c r="M98" s="4">
        <v>2.9866190235471502E-4</v>
      </c>
    </row>
    <row r="99" spans="1:13" x14ac:dyDescent="0.35">
      <c r="A99" s="27" t="s">
        <v>121</v>
      </c>
      <c r="B99" s="4">
        <v>2.4544117876135701E-4</v>
      </c>
      <c r="D99" s="4">
        <v>2.8451976330476554E-4</v>
      </c>
      <c r="E99" s="4">
        <v>2.098566239749453E-4</v>
      </c>
      <c r="F99" s="4"/>
      <c r="G99" s="4">
        <v>0</v>
      </c>
      <c r="H99" s="4">
        <v>0</v>
      </c>
      <c r="I99" s="4">
        <v>0</v>
      </c>
      <c r="J99" s="4">
        <v>4.5098030568015141E-4</v>
      </c>
      <c r="K99" s="4">
        <v>5.0033181215426421E-4</v>
      </c>
      <c r="L99" s="4">
        <v>3.5795708714467744E-4</v>
      </c>
      <c r="M99" s="4">
        <v>2.1541139984980384E-4</v>
      </c>
    </row>
    <row r="100" spans="1:13" x14ac:dyDescent="0.35">
      <c r="A100" s="27" t="s">
        <v>122</v>
      </c>
      <c r="B100" s="4">
        <v>1.9057292770307619E-3</v>
      </c>
      <c r="D100" s="4">
        <v>2.2657500480161162E-3</v>
      </c>
      <c r="E100" s="4">
        <v>1.5745294771673246E-3</v>
      </c>
      <c r="F100" s="4"/>
      <c r="G100" s="4">
        <v>7.1535516203589736E-3</v>
      </c>
      <c r="H100" s="4">
        <v>6.0218093727875781E-3</v>
      </c>
      <c r="I100" s="4">
        <v>3.7182011765793852E-3</v>
      </c>
      <c r="J100" s="4">
        <v>1.1250441957083004E-3</v>
      </c>
      <c r="K100" s="4">
        <v>3.2882929444401913E-4</v>
      </c>
      <c r="L100" s="4">
        <v>0</v>
      </c>
      <c r="M100" s="4">
        <v>8.2786562147139171E-5</v>
      </c>
    </row>
    <row r="101" spans="1:13" x14ac:dyDescent="0.35">
      <c r="A101" s="27" t="s">
        <v>123</v>
      </c>
      <c r="B101" s="4">
        <v>6.7824129662213571E-4</v>
      </c>
      <c r="D101" s="4">
        <v>7.2252026918032022E-4</v>
      </c>
      <c r="E101" s="4">
        <v>6.4171337768505253E-4</v>
      </c>
      <c r="F101" s="4"/>
      <c r="G101" s="4">
        <v>0</v>
      </c>
      <c r="H101" s="4">
        <v>2.7706777089413963E-4</v>
      </c>
      <c r="I101" s="4">
        <v>9.0611445953954039E-4</v>
      </c>
      <c r="J101" s="4">
        <v>7.1980082844765373E-4</v>
      </c>
      <c r="K101" s="4">
        <v>5.9389999499267381E-4</v>
      </c>
      <c r="L101" s="4">
        <v>1.3044370125931089E-3</v>
      </c>
      <c r="M101" s="4">
        <v>4.5482196546161062E-4</v>
      </c>
    </row>
    <row r="102" spans="1:13" x14ac:dyDescent="0.35">
      <c r="A102" s="27" t="s">
        <v>124</v>
      </c>
      <c r="B102" s="4">
        <v>9.9232556709406264E-5</v>
      </c>
      <c r="D102" s="4">
        <v>1.1017790645076562E-4</v>
      </c>
      <c r="E102" s="4">
        <v>8.955476535720039E-5</v>
      </c>
      <c r="F102" s="4"/>
      <c r="G102" s="4">
        <v>0</v>
      </c>
      <c r="H102" s="4">
        <v>2.5657127379298913E-4</v>
      </c>
      <c r="I102" s="4">
        <v>0</v>
      </c>
      <c r="J102" s="4">
        <v>1.5100273211084237E-4</v>
      </c>
      <c r="K102" s="4">
        <v>1.4900979463317658E-4</v>
      </c>
      <c r="L102" s="4">
        <v>1.7013921323486713E-4</v>
      </c>
      <c r="M102" s="4">
        <v>0</v>
      </c>
    </row>
    <row r="103" spans="1:13" x14ac:dyDescent="0.35">
      <c r="A103" s="27" t="s">
        <v>125</v>
      </c>
      <c r="B103" s="4">
        <v>0</v>
      </c>
      <c r="D103" s="4">
        <v>0</v>
      </c>
      <c r="E103" s="4">
        <v>0</v>
      </c>
      <c r="F103" s="4"/>
      <c r="G103" s="4">
        <v>0</v>
      </c>
      <c r="H103" s="4">
        <v>0</v>
      </c>
      <c r="I103" s="4">
        <v>0</v>
      </c>
      <c r="J103" s="4">
        <v>0</v>
      </c>
      <c r="K103" s="4">
        <v>0</v>
      </c>
      <c r="L103" s="4">
        <v>0</v>
      </c>
      <c r="M103" s="4">
        <v>0</v>
      </c>
    </row>
    <row r="104" spans="1:13" x14ac:dyDescent="0.35">
      <c r="A104" s="27" t="s">
        <v>126</v>
      </c>
      <c r="B104" s="4">
        <v>3.2724473671602172E-5</v>
      </c>
      <c r="D104" s="4">
        <v>0</v>
      </c>
      <c r="E104" s="4">
        <v>6.4780974395265578E-5</v>
      </c>
      <c r="F104" s="4"/>
      <c r="G104" s="4">
        <v>0</v>
      </c>
      <c r="H104" s="4">
        <v>0</v>
      </c>
      <c r="I104" s="4">
        <v>0</v>
      </c>
      <c r="J104" s="4">
        <v>0</v>
      </c>
      <c r="K104" s="4">
        <v>0</v>
      </c>
      <c r="L104" s="4">
        <v>0</v>
      </c>
      <c r="M104" s="4">
        <v>1.55562116295878E-4</v>
      </c>
    </row>
    <row r="105" spans="1:13" x14ac:dyDescent="0.35">
      <c r="A105" s="27" t="s">
        <v>127</v>
      </c>
      <c r="B105" s="4">
        <v>4.4949451015478283E-4</v>
      </c>
      <c r="D105" s="4">
        <v>1.2915229855028465E-4</v>
      </c>
      <c r="E105" s="4">
        <v>7.6452184623722417E-4</v>
      </c>
      <c r="F105" s="4"/>
      <c r="G105" s="4">
        <v>0</v>
      </c>
      <c r="H105" s="4">
        <v>0</v>
      </c>
      <c r="I105" s="4">
        <v>2.0790022099037984E-4</v>
      </c>
      <c r="J105" s="4">
        <v>5.3022240947421246E-4</v>
      </c>
      <c r="K105" s="4">
        <v>1.6322716181614696E-4</v>
      </c>
      <c r="L105" s="4">
        <v>5.5367806169192007E-4</v>
      </c>
      <c r="M105" s="4">
        <v>1.0526859423991188E-3</v>
      </c>
    </row>
    <row r="106" spans="1:13" x14ac:dyDescent="0.35">
      <c r="A106" s="27" t="s">
        <v>286</v>
      </c>
      <c r="B106" s="4">
        <v>6.7944002622442219E-3</v>
      </c>
      <c r="D106" s="4">
        <v>6.4523965995796654E-3</v>
      </c>
      <c r="E106" s="4">
        <v>7.1399135160907703E-3</v>
      </c>
      <c r="F106" s="4"/>
      <c r="G106" s="4">
        <v>5.3926678360981771E-3</v>
      </c>
      <c r="H106" s="4">
        <v>5.4982452022950944E-3</v>
      </c>
      <c r="I106" s="4">
        <v>5.604503285466282E-3</v>
      </c>
      <c r="J106" s="4">
        <v>6.3049788230248715E-3</v>
      </c>
      <c r="K106" s="4">
        <v>8.4339575392491928E-3</v>
      </c>
      <c r="L106" s="4">
        <v>1.0661148330447557E-2</v>
      </c>
      <c r="M106" s="4">
        <v>5.5210079302044669E-3</v>
      </c>
    </row>
    <row r="107" spans="1:13" x14ac:dyDescent="0.35">
      <c r="A107" s="27" t="s">
        <v>128</v>
      </c>
      <c r="B107" s="4">
        <v>5.5604753395289634E-2</v>
      </c>
      <c r="D107" s="4">
        <v>9.8452386949564406E-3</v>
      </c>
      <c r="E107" s="4">
        <v>0.10020211704379962</v>
      </c>
      <c r="F107" s="4"/>
      <c r="G107" s="4">
        <v>2.4359801637015812E-2</v>
      </c>
      <c r="H107" s="4">
        <v>6.0707530202790336E-2</v>
      </c>
      <c r="I107" s="4">
        <v>8.4156401181669865E-2</v>
      </c>
      <c r="J107" s="4">
        <v>6.8412295557025618E-2</v>
      </c>
      <c r="K107" s="4">
        <v>5.5623548628758984E-2</v>
      </c>
      <c r="L107" s="4">
        <v>5.1530169618946083E-2</v>
      </c>
      <c r="M107" s="4">
        <v>2.7356654626397477E-2</v>
      </c>
    </row>
    <row r="108" spans="1:13" x14ac:dyDescent="0.35">
      <c r="A108" s="27" t="s">
        <v>129</v>
      </c>
      <c r="B108" s="4">
        <v>1.464873448117462E-5</v>
      </c>
      <c r="D108" s="4">
        <v>2.989189436881916E-5</v>
      </c>
      <c r="E108" s="4">
        <v>0</v>
      </c>
      <c r="F108" s="4"/>
      <c r="G108" s="4">
        <v>0</v>
      </c>
      <c r="H108" s="4">
        <v>0</v>
      </c>
      <c r="I108" s="4">
        <v>0</v>
      </c>
      <c r="J108" s="4">
        <v>0</v>
      </c>
      <c r="K108" s="4">
        <v>0</v>
      </c>
      <c r="L108" s="4">
        <v>0</v>
      </c>
      <c r="M108" s="4">
        <v>6.9635593220416684E-5</v>
      </c>
    </row>
    <row r="109" spans="1:13" x14ac:dyDescent="0.35">
      <c r="A109" s="27" t="s">
        <v>130</v>
      </c>
      <c r="B109" s="4">
        <v>4.4530203168223736E-5</v>
      </c>
      <c r="D109" s="4">
        <v>4.8595853454817781E-5</v>
      </c>
      <c r="E109" s="4">
        <v>4.1008077592282572E-5</v>
      </c>
      <c r="F109" s="4"/>
      <c r="G109" s="4">
        <v>0</v>
      </c>
      <c r="H109" s="4">
        <v>0</v>
      </c>
      <c r="I109" s="4">
        <v>0</v>
      </c>
      <c r="J109" s="4">
        <v>2.5959715307973652E-4</v>
      </c>
      <c r="K109" s="4">
        <v>0</v>
      </c>
      <c r="L109" s="4">
        <v>0</v>
      </c>
      <c r="M109" s="4">
        <v>0</v>
      </c>
    </row>
    <row r="110" spans="1:13" x14ac:dyDescent="0.35">
      <c r="A110" s="27" t="s">
        <v>131</v>
      </c>
      <c r="B110" s="4">
        <v>3.1646109846669376E-4</v>
      </c>
      <c r="D110" s="4">
        <v>1.0449196462275061E-4</v>
      </c>
      <c r="E110" s="4">
        <v>4.8651631056708956E-4</v>
      </c>
      <c r="F110" s="4"/>
      <c r="G110" s="4">
        <v>0</v>
      </c>
      <c r="H110" s="4">
        <v>8.4463747224700655E-4</v>
      </c>
      <c r="I110" s="4">
        <v>4.5535733170964997E-4</v>
      </c>
      <c r="J110" s="4">
        <v>5.7026509270557307E-4</v>
      </c>
      <c r="K110" s="4">
        <v>0</v>
      </c>
      <c r="L110" s="4">
        <v>1.8277205384458891E-4</v>
      </c>
      <c r="M110" s="4">
        <v>9.1898493693728768E-5</v>
      </c>
    </row>
    <row r="111" spans="1:13" x14ac:dyDescent="0.35">
      <c r="A111" s="27" t="s">
        <v>132</v>
      </c>
      <c r="B111" s="4">
        <v>3.2805061084812244E-4</v>
      </c>
      <c r="D111" s="4">
        <v>4.4089228118464129E-4</v>
      </c>
      <c r="E111" s="4">
        <v>2.2169054646692642E-4</v>
      </c>
      <c r="F111" s="4"/>
      <c r="G111" s="4">
        <v>0</v>
      </c>
      <c r="H111" s="4">
        <v>7.1819291684603094E-4</v>
      </c>
      <c r="I111" s="4">
        <v>5.2753552610120111E-4</v>
      </c>
      <c r="J111" s="4">
        <v>3.9293680706765493E-4</v>
      </c>
      <c r="K111" s="4">
        <v>1.6703109764050898E-4</v>
      </c>
      <c r="L111" s="4">
        <v>4.5766694487869993E-4</v>
      </c>
      <c r="M111" s="4">
        <v>0</v>
      </c>
    </row>
    <row r="112" spans="1:13" x14ac:dyDescent="0.35">
      <c r="A112" s="27" t="s">
        <v>133</v>
      </c>
      <c r="B112" s="4">
        <v>7.602788103891501E-5</v>
      </c>
      <c r="D112" s="4">
        <v>6.1779994246526952E-5</v>
      </c>
      <c r="E112" s="4">
        <v>9.0570420442576434E-5</v>
      </c>
      <c r="F112" s="4"/>
      <c r="G112" s="4">
        <v>0</v>
      </c>
      <c r="H112" s="4">
        <v>2.0771711500699197E-4</v>
      </c>
      <c r="I112" s="4">
        <v>1.6838943208805594E-4</v>
      </c>
      <c r="J112" s="4">
        <v>1.3414074084055976E-4</v>
      </c>
      <c r="K112" s="4">
        <v>0</v>
      </c>
      <c r="L112" s="4">
        <v>0</v>
      </c>
      <c r="M112" s="4">
        <v>0</v>
      </c>
    </row>
    <row r="113" spans="1:13" x14ac:dyDescent="0.35">
      <c r="A113" s="27" t="s">
        <v>134</v>
      </c>
      <c r="B113" s="4">
        <v>1.5655963754978189E-3</v>
      </c>
      <c r="D113" s="4">
        <v>1.7268265336708593E-3</v>
      </c>
      <c r="E113" s="4">
        <v>1.4240221609258994E-3</v>
      </c>
      <c r="F113" s="4"/>
      <c r="G113" s="4">
        <v>9.8692332149601363E-3</v>
      </c>
      <c r="H113" s="4">
        <v>2.9124353229689173E-3</v>
      </c>
      <c r="I113" s="4">
        <v>2.010675534834078E-3</v>
      </c>
      <c r="J113" s="4">
        <v>1.3844105546710261E-3</v>
      </c>
      <c r="K113" s="4">
        <v>9.2289365182421184E-4</v>
      </c>
      <c r="L113" s="4">
        <v>3.931057126977953E-4</v>
      </c>
      <c r="M113" s="4">
        <v>8.4342152517638574E-5</v>
      </c>
    </row>
    <row r="114" spans="1:13" x14ac:dyDescent="0.35">
      <c r="A114" s="27" t="s">
        <v>135</v>
      </c>
      <c r="B114" s="4">
        <v>2.6291311839905806E-5</v>
      </c>
      <c r="D114" s="4">
        <v>0</v>
      </c>
      <c r="E114" s="4">
        <v>5.2045964626067399E-5</v>
      </c>
      <c r="F114" s="4"/>
      <c r="G114" s="4">
        <v>0</v>
      </c>
      <c r="H114" s="4">
        <v>2.4013291680825716E-4</v>
      </c>
      <c r="I114" s="4">
        <v>0</v>
      </c>
      <c r="J114" s="4">
        <v>0</v>
      </c>
      <c r="K114" s="4">
        <v>0</v>
      </c>
      <c r="L114" s="4">
        <v>0</v>
      </c>
      <c r="M114" s="4">
        <v>0</v>
      </c>
    </row>
    <row r="115" spans="1:13" x14ac:dyDescent="0.35">
      <c r="A115" s="27" t="s">
        <v>136</v>
      </c>
      <c r="B115" s="4">
        <v>1.7231850765912272E-4</v>
      </c>
      <c r="D115" s="4">
        <v>2.3219816415578987E-4</v>
      </c>
      <c r="E115" s="4">
        <v>1.1586162809285269E-4</v>
      </c>
      <c r="F115" s="4"/>
      <c r="G115" s="4">
        <v>0</v>
      </c>
      <c r="H115" s="4">
        <v>1.5460975994068872E-4</v>
      </c>
      <c r="I115" s="4">
        <v>8.522405762087275E-5</v>
      </c>
      <c r="J115" s="4">
        <v>0</v>
      </c>
      <c r="K115" s="4">
        <v>4.5424771548988074E-4</v>
      </c>
      <c r="L115" s="4">
        <v>2.964601575046227E-4</v>
      </c>
      <c r="M115" s="4">
        <v>1.5451410622807949E-4</v>
      </c>
    </row>
    <row r="116" spans="1:13" x14ac:dyDescent="0.35">
      <c r="A116" s="27" t="s">
        <v>137</v>
      </c>
      <c r="B116" s="4">
        <v>1.3431673656237475E-4</v>
      </c>
      <c r="D116" s="4">
        <v>1.3300142538472335E-4</v>
      </c>
      <c r="E116" s="4">
        <v>1.3686563664458485E-4</v>
      </c>
      <c r="F116" s="4"/>
      <c r="G116" s="4">
        <v>0</v>
      </c>
      <c r="H116" s="4">
        <v>0</v>
      </c>
      <c r="I116" s="4">
        <v>0</v>
      </c>
      <c r="J116" s="4">
        <v>4.4240975095313968E-4</v>
      </c>
      <c r="K116" s="4">
        <v>1.6858823784339266E-4</v>
      </c>
      <c r="L116" s="4">
        <v>1.1421778749785976E-4</v>
      </c>
      <c r="M116" s="4">
        <v>8.5254661321775262E-5</v>
      </c>
    </row>
    <row r="117" spans="1:13" x14ac:dyDescent="0.35">
      <c r="A117" s="27" t="s">
        <v>138</v>
      </c>
      <c r="B117" s="4">
        <v>1.9032239033060704E-4</v>
      </c>
      <c r="D117" s="4">
        <v>1.4416428369361855E-4</v>
      </c>
      <c r="E117" s="4">
        <v>2.3690454231787392E-4</v>
      </c>
      <c r="F117" s="4"/>
      <c r="G117" s="4">
        <v>0</v>
      </c>
      <c r="H117" s="4">
        <v>4.7681976025251531E-4</v>
      </c>
      <c r="I117" s="4">
        <v>3.6788551522966696E-4</v>
      </c>
      <c r="J117" s="4">
        <v>4.195787363393803E-4</v>
      </c>
      <c r="K117" s="4">
        <v>0</v>
      </c>
      <c r="L117" s="4">
        <v>0</v>
      </c>
      <c r="M117" s="4">
        <v>0</v>
      </c>
    </row>
    <row r="118" spans="1:13" x14ac:dyDescent="0.35">
      <c r="A118" s="27" t="s">
        <v>139</v>
      </c>
      <c r="B118" s="4">
        <v>1.8710606356905476E-3</v>
      </c>
      <c r="D118" s="4">
        <v>2.0211733335085877E-3</v>
      </c>
      <c r="E118" s="4">
        <v>1.7013281179430319E-3</v>
      </c>
      <c r="F118" s="4"/>
      <c r="G118" s="4">
        <v>9.5186538728103086E-3</v>
      </c>
      <c r="H118" s="4">
        <v>2.4085924853424708E-3</v>
      </c>
      <c r="I118" s="4">
        <v>1.2449358753186118E-3</v>
      </c>
      <c r="J118" s="4">
        <v>1.4810215184848225E-3</v>
      </c>
      <c r="K118" s="4">
        <v>1.3301324816120616E-3</v>
      </c>
      <c r="L118" s="4">
        <v>2.2872993061344854E-3</v>
      </c>
      <c r="M118" s="4">
        <v>9.330927583457517E-4</v>
      </c>
    </row>
    <row r="119" spans="1:13" x14ac:dyDescent="0.35">
      <c r="A119" s="27" t="s">
        <v>140</v>
      </c>
      <c r="B119" s="4">
        <v>5.3402194191867532E-3</v>
      </c>
      <c r="D119" s="4">
        <v>8.1395093133275667E-3</v>
      </c>
      <c r="E119" s="4">
        <v>2.6752057781013129E-3</v>
      </c>
      <c r="F119" s="4"/>
      <c r="G119" s="4">
        <v>2.5664398686663273E-2</v>
      </c>
      <c r="H119" s="4">
        <v>1.0551883368278286E-2</v>
      </c>
      <c r="I119" s="4">
        <v>1.0258603785526971E-2</v>
      </c>
      <c r="J119" s="4">
        <v>4.0406751223755893E-3</v>
      </c>
      <c r="K119" s="4">
        <v>2.9164560447982445E-3</v>
      </c>
      <c r="L119" s="4">
        <v>3.2986634881076424E-4</v>
      </c>
      <c r="M119" s="4">
        <v>1.3011976268258684E-4</v>
      </c>
    </row>
    <row r="120" spans="1:13" x14ac:dyDescent="0.35">
      <c r="A120" s="27" t="s">
        <v>141</v>
      </c>
      <c r="B120" s="4">
        <v>3.0618376340309328E-3</v>
      </c>
      <c r="D120" s="4">
        <v>4.9880697112458308E-3</v>
      </c>
      <c r="E120" s="4">
        <v>1.2221951472073558E-3</v>
      </c>
      <c r="F120" s="4"/>
      <c r="G120" s="4">
        <v>1.0454938907366868E-2</v>
      </c>
      <c r="H120" s="4">
        <v>7.7775945344334798E-3</v>
      </c>
      <c r="I120" s="4">
        <v>5.8268028398352446E-3</v>
      </c>
      <c r="J120" s="4">
        <v>1.7158555294420664E-3</v>
      </c>
      <c r="K120" s="4">
        <v>1.2884107864002516E-3</v>
      </c>
      <c r="L120" s="4">
        <v>1.0804207978300539E-3</v>
      </c>
      <c r="M120" s="4">
        <v>3.0605664901901981E-4</v>
      </c>
    </row>
    <row r="121" spans="1:13" x14ac:dyDescent="0.35">
      <c r="A121" s="27" t="s">
        <v>142</v>
      </c>
      <c r="B121" s="4">
        <v>4.9228848119321655E-2</v>
      </c>
      <c r="D121" s="4">
        <v>5.3649518794932766E-2</v>
      </c>
      <c r="E121" s="4">
        <v>4.5316489859838743E-2</v>
      </c>
      <c r="F121" s="4"/>
      <c r="G121" s="4">
        <v>8.6282679459241826E-2</v>
      </c>
      <c r="H121" s="4">
        <v>7.3883993416082733E-2</v>
      </c>
      <c r="I121" s="4">
        <v>8.3823119733831067E-2</v>
      </c>
      <c r="J121" s="4">
        <v>6.1250029647883591E-2</v>
      </c>
      <c r="K121" s="4">
        <v>4.7652486587687233E-2</v>
      </c>
      <c r="L121" s="4">
        <v>2.5228483344868196E-2</v>
      </c>
      <c r="M121" s="4">
        <v>5.8606978643094823E-3</v>
      </c>
    </row>
    <row r="122" spans="1:13" x14ac:dyDescent="0.35">
      <c r="A122" s="27" t="s">
        <v>143</v>
      </c>
      <c r="B122" s="4">
        <v>1.6633255277292225E-3</v>
      </c>
      <c r="D122" s="4">
        <v>2.4508157847244463E-3</v>
      </c>
      <c r="E122" s="4">
        <v>9.1513560568471633E-4</v>
      </c>
      <c r="F122" s="4"/>
      <c r="G122" s="4">
        <v>2.994416781939561E-3</v>
      </c>
      <c r="H122" s="4">
        <v>6.8201890085635311E-4</v>
      </c>
      <c r="I122" s="4">
        <v>4.8195327047112339E-4</v>
      </c>
      <c r="J122" s="4">
        <v>1.2893908880672455E-3</v>
      </c>
      <c r="K122" s="4">
        <v>1.4024711570599121E-3</v>
      </c>
      <c r="L122" s="4">
        <v>3.6158065638088916E-3</v>
      </c>
      <c r="M122" s="4">
        <v>2.1221433063718558E-3</v>
      </c>
    </row>
    <row r="123" spans="1:13" x14ac:dyDescent="0.35">
      <c r="A123" s="27" t="s">
        <v>144</v>
      </c>
      <c r="B123" s="4">
        <v>7.8781320630451134E-5</v>
      </c>
      <c r="D123" s="4">
        <v>1.1369095671587683E-4</v>
      </c>
      <c r="E123" s="4">
        <v>4.5661695389921849E-5</v>
      </c>
      <c r="F123" s="4"/>
      <c r="G123" s="4">
        <v>0</v>
      </c>
      <c r="H123" s="4">
        <v>0</v>
      </c>
      <c r="I123" s="4">
        <v>3.0987953088083158E-4</v>
      </c>
      <c r="J123" s="4">
        <v>1.3446909297062077E-4</v>
      </c>
      <c r="K123" s="4">
        <v>0</v>
      </c>
      <c r="L123" s="4">
        <v>0</v>
      </c>
      <c r="M123" s="4">
        <v>0</v>
      </c>
    </row>
    <row r="124" spans="1:13" x14ac:dyDescent="0.35">
      <c r="A124" s="27" t="s">
        <v>145</v>
      </c>
      <c r="B124" s="4">
        <v>1.9427317473804848E-4</v>
      </c>
      <c r="D124" s="4">
        <v>3.3643178870564603E-4</v>
      </c>
      <c r="E124" s="4">
        <v>5.8204626671484454E-5</v>
      </c>
      <c r="F124" s="4"/>
      <c r="G124" s="4">
        <v>2.5093306027803778E-3</v>
      </c>
      <c r="H124" s="4">
        <v>5.1636996879841858E-4</v>
      </c>
      <c r="I124" s="4">
        <v>0</v>
      </c>
      <c r="J124" s="4">
        <v>1.5073777494363866E-4</v>
      </c>
      <c r="K124" s="4">
        <v>0</v>
      </c>
      <c r="L124" s="4">
        <v>0</v>
      </c>
      <c r="M124" s="4">
        <v>0</v>
      </c>
    </row>
    <row r="125" spans="1:13" x14ac:dyDescent="0.35">
      <c r="A125" s="27" t="s">
        <v>146</v>
      </c>
      <c r="B125" s="4">
        <v>2.6370894050494425E-5</v>
      </c>
      <c r="D125" s="4">
        <v>5.3811882547378416E-5</v>
      </c>
      <c r="E125" s="4">
        <v>0</v>
      </c>
      <c r="F125" s="4"/>
      <c r="G125" s="4">
        <v>0</v>
      </c>
      <c r="H125" s="4">
        <v>2.4085978462189315E-4</v>
      </c>
      <c r="I125" s="4">
        <v>0</v>
      </c>
      <c r="J125" s="4">
        <v>0</v>
      </c>
      <c r="K125" s="4">
        <v>0</v>
      </c>
      <c r="L125" s="4">
        <v>0</v>
      </c>
      <c r="M125" s="4">
        <v>0</v>
      </c>
    </row>
    <row r="126" spans="1:13" x14ac:dyDescent="0.35">
      <c r="A126" s="27" t="s">
        <v>284</v>
      </c>
      <c r="B126" s="4">
        <v>1.0683673647249488E-3</v>
      </c>
      <c r="D126" s="4">
        <v>1.9602281098872248E-3</v>
      </c>
      <c r="E126" s="4">
        <v>2.1328813298547919E-4</v>
      </c>
      <c r="F126" s="4"/>
      <c r="G126" s="4">
        <v>0</v>
      </c>
      <c r="H126" s="4">
        <v>2.0282612820230467E-4</v>
      </c>
      <c r="I126" s="4">
        <v>1.7020267291672697E-3</v>
      </c>
      <c r="J126" s="4">
        <v>1.106068054026607E-3</v>
      </c>
      <c r="K126" s="4">
        <v>1.8055296146542656E-3</v>
      </c>
      <c r="L126" s="4">
        <v>6.2308520998683619E-4</v>
      </c>
      <c r="M126" s="4">
        <v>9.4457397781346614E-4</v>
      </c>
    </row>
    <row r="127" spans="1:13" x14ac:dyDescent="0.35">
      <c r="A127" s="27" t="s">
        <v>283</v>
      </c>
      <c r="B127" s="4">
        <v>1.1200136014256159E-3</v>
      </c>
      <c r="D127" s="4">
        <v>1.8644855334632232E-3</v>
      </c>
      <c r="E127" s="4">
        <v>4.0840733804432485E-4</v>
      </c>
      <c r="F127" s="4"/>
      <c r="G127" s="4">
        <v>0</v>
      </c>
      <c r="H127" s="4">
        <v>5.781868382729071E-4</v>
      </c>
      <c r="I127" s="4">
        <v>1.3311533725252984E-3</v>
      </c>
      <c r="J127" s="4">
        <v>1.7060923543588851E-3</v>
      </c>
      <c r="K127" s="4">
        <v>1.4092503909180383E-3</v>
      </c>
      <c r="L127" s="4">
        <v>7.9389757824851266E-4</v>
      </c>
      <c r="M127" s="4">
        <v>9.8971253636435052E-4</v>
      </c>
    </row>
    <row r="128" spans="1:13" x14ac:dyDescent="0.35">
      <c r="A128" s="27" t="s">
        <v>147</v>
      </c>
      <c r="B128" s="4">
        <v>7.7455070710768744E-4</v>
      </c>
      <c r="D128" s="4">
        <v>9.1592997386263735E-4</v>
      </c>
      <c r="E128" s="4">
        <v>6.4473742654202017E-4</v>
      </c>
      <c r="F128" s="4"/>
      <c r="G128" s="4">
        <v>0</v>
      </c>
      <c r="H128" s="4">
        <v>1.6870729342182917E-3</v>
      </c>
      <c r="I128" s="4">
        <v>1.0616572345631483E-3</v>
      </c>
      <c r="J128" s="4">
        <v>1.1325146220454113E-3</v>
      </c>
      <c r="K128" s="4">
        <v>1.2442597394596532E-3</v>
      </c>
      <c r="L128" s="4">
        <v>1.534365005266226E-4</v>
      </c>
      <c r="M128" s="4">
        <v>0</v>
      </c>
    </row>
    <row r="129" spans="1:13" x14ac:dyDescent="0.35">
      <c r="A129" s="27" t="s">
        <v>148</v>
      </c>
      <c r="B129" s="4">
        <v>0</v>
      </c>
      <c r="D129" s="4">
        <v>0</v>
      </c>
      <c r="E129" s="4">
        <v>0</v>
      </c>
      <c r="F129" s="4"/>
      <c r="G129" s="4">
        <v>0</v>
      </c>
      <c r="H129" s="4">
        <v>0</v>
      </c>
      <c r="I129" s="4">
        <v>0</v>
      </c>
      <c r="J129" s="4">
        <v>0</v>
      </c>
      <c r="K129" s="4">
        <v>0</v>
      </c>
      <c r="L129" s="4">
        <v>0</v>
      </c>
      <c r="M129" s="4">
        <v>0</v>
      </c>
    </row>
    <row r="130" spans="1:13" x14ac:dyDescent="0.35">
      <c r="A130" s="27" t="s">
        <v>149</v>
      </c>
      <c r="B130" s="4">
        <v>1.4016937328865753E-3</v>
      </c>
      <c r="D130" s="4">
        <v>1.8319489051814928E-3</v>
      </c>
      <c r="E130" s="4">
        <v>9.9758208186751527E-4</v>
      </c>
      <c r="F130" s="4"/>
      <c r="G130" s="4">
        <v>2.6904238305511703E-3</v>
      </c>
      <c r="H130" s="4">
        <v>9.5968352295988061E-4</v>
      </c>
      <c r="I130" s="4">
        <v>7.1601581814000276E-4</v>
      </c>
      <c r="J130" s="4">
        <v>1.8260241308725124E-3</v>
      </c>
      <c r="K130" s="4">
        <v>1.9167927431769309E-3</v>
      </c>
      <c r="L130" s="4">
        <v>1.9847618227546177E-3</v>
      </c>
      <c r="M130" s="4">
        <v>8.5853041048117871E-4</v>
      </c>
    </row>
    <row r="131" spans="1:13" x14ac:dyDescent="0.35">
      <c r="A131" s="27" t="s">
        <v>150</v>
      </c>
      <c r="B131" s="4">
        <v>0</v>
      </c>
      <c r="D131" s="4">
        <v>0</v>
      </c>
      <c r="E131" s="4">
        <v>0</v>
      </c>
      <c r="F131" s="4"/>
      <c r="G131" s="4">
        <v>0</v>
      </c>
      <c r="H131" s="4">
        <v>0</v>
      </c>
      <c r="I131" s="4">
        <v>0</v>
      </c>
      <c r="J131" s="4">
        <v>0</v>
      </c>
      <c r="K131" s="4">
        <v>0</v>
      </c>
      <c r="L131" s="4">
        <v>0</v>
      </c>
      <c r="M131" s="4">
        <v>0</v>
      </c>
    </row>
    <row r="132" spans="1:13" x14ac:dyDescent="0.35">
      <c r="A132" s="27" t="s">
        <v>151</v>
      </c>
      <c r="B132" s="4">
        <v>1.3163642238758577E-3</v>
      </c>
      <c r="D132" s="4">
        <v>1.1076710684301925E-3</v>
      </c>
      <c r="E132" s="4">
        <v>1.4900042141776123E-3</v>
      </c>
      <c r="F132" s="4"/>
      <c r="G132" s="4">
        <v>3.0706061700287836E-3</v>
      </c>
      <c r="H132" s="4">
        <v>2.3785197058183846E-3</v>
      </c>
      <c r="I132" s="4">
        <v>1.6867707982968661E-3</v>
      </c>
      <c r="J132" s="4">
        <v>1.4577101223657669E-3</v>
      </c>
      <c r="K132" s="4">
        <v>1.0644813871071193E-3</v>
      </c>
      <c r="L132" s="4">
        <v>1.5269531840182299E-3</v>
      </c>
      <c r="M132" s="4">
        <v>0</v>
      </c>
    </row>
    <row r="133" spans="1:13" x14ac:dyDescent="0.35">
      <c r="A133" s="27" t="s">
        <v>152</v>
      </c>
      <c r="B133" s="4">
        <v>1.6479262901666629E-3</v>
      </c>
      <c r="D133" s="4">
        <v>2.2580154668801621E-3</v>
      </c>
      <c r="E133" s="4">
        <v>9.6225314703198776E-4</v>
      </c>
      <c r="F133" s="4"/>
      <c r="G133" s="4">
        <v>3.6602506781611755E-3</v>
      </c>
      <c r="H133" s="4">
        <v>4.3013092239701711E-3</v>
      </c>
      <c r="I133" s="4">
        <v>3.4926929746291438E-3</v>
      </c>
      <c r="J133" s="4">
        <v>1.9036951812245212E-3</v>
      </c>
      <c r="K133" s="4">
        <v>0</v>
      </c>
      <c r="L133" s="4">
        <v>4.3401663784117041E-4</v>
      </c>
      <c r="M133" s="4">
        <v>0</v>
      </c>
    </row>
    <row r="134" spans="1:13" x14ac:dyDescent="0.35">
      <c r="A134" s="27" t="s">
        <v>153</v>
      </c>
      <c r="B134" s="4">
        <v>1.5330958069507828E-3</v>
      </c>
      <c r="D134" s="4">
        <v>2.45612001647371E-3</v>
      </c>
      <c r="E134" s="4">
        <v>6.5218872303250219E-4</v>
      </c>
      <c r="F134" s="4"/>
      <c r="G134" s="4">
        <v>1.5835932781908953E-3</v>
      </c>
      <c r="H134" s="4">
        <v>7.963122650243424E-4</v>
      </c>
      <c r="I134" s="4">
        <v>1.9712074467716193E-3</v>
      </c>
      <c r="J134" s="4">
        <v>1.1003147864436273E-3</v>
      </c>
      <c r="K134" s="4">
        <v>2.4549973915366681E-3</v>
      </c>
      <c r="L134" s="4">
        <v>2.6054672008063219E-3</v>
      </c>
      <c r="M134" s="4">
        <v>5.4099539844339683E-4</v>
      </c>
    </row>
    <row r="135" spans="1:13" x14ac:dyDescent="0.35">
      <c r="A135" s="27" t="s">
        <v>154</v>
      </c>
      <c r="B135" s="4">
        <v>1.9607223850271623E-3</v>
      </c>
      <c r="D135" s="4">
        <v>1.8175971744907428E-3</v>
      </c>
      <c r="E135" s="4">
        <v>2.1181512496244136E-3</v>
      </c>
      <c r="F135" s="4"/>
      <c r="G135" s="4">
        <v>0</v>
      </c>
      <c r="H135" s="4">
        <v>2.729558498686373E-3</v>
      </c>
      <c r="I135" s="4">
        <v>3.5840268165813816E-3</v>
      </c>
      <c r="J135" s="4">
        <v>3.0834109064495369E-3</v>
      </c>
      <c r="K135" s="4">
        <v>1.8346411361275213E-3</v>
      </c>
      <c r="L135" s="4">
        <v>4.0508167045933281E-4</v>
      </c>
      <c r="M135" s="4">
        <v>7.7165402499651894E-4</v>
      </c>
    </row>
    <row r="136" spans="1:13" x14ac:dyDescent="0.35">
      <c r="A136" s="27" t="s">
        <v>155</v>
      </c>
      <c r="B136" s="4">
        <v>2.6715634326679637E-2</v>
      </c>
      <c r="D136" s="4">
        <v>2.5150379175777345E-2</v>
      </c>
      <c r="E136" s="4">
        <v>2.8271919979507086E-2</v>
      </c>
      <c r="F136" s="4"/>
      <c r="G136" s="4">
        <v>5.7826583457042072E-2</v>
      </c>
      <c r="H136" s="4">
        <v>3.5155897730455257E-2</v>
      </c>
      <c r="I136" s="4">
        <v>3.4867347214371631E-2</v>
      </c>
      <c r="J136" s="4">
        <v>3.2376780869660726E-2</v>
      </c>
      <c r="K136" s="4">
        <v>2.3772392220935887E-2</v>
      </c>
      <c r="L136" s="4">
        <v>1.6574248734784813E-2</v>
      </c>
      <c r="M136" s="4">
        <v>1.2795161624315685E-2</v>
      </c>
    </row>
    <row r="137" spans="1:13" x14ac:dyDescent="0.35">
      <c r="A137" s="27" t="s">
        <v>156</v>
      </c>
      <c r="B137" s="4">
        <v>1.4218071462794894E-4</v>
      </c>
      <c r="D137" s="4">
        <v>1.0892341200896004E-4</v>
      </c>
      <c r="E137" s="4">
        <v>1.3531366735186173E-4</v>
      </c>
      <c r="F137" s="4"/>
      <c r="G137" s="4">
        <v>0</v>
      </c>
      <c r="H137" s="4">
        <v>7.4118027869463413E-4</v>
      </c>
      <c r="I137" s="4">
        <v>3.3944875409229805E-4</v>
      </c>
      <c r="J137" s="4">
        <v>0</v>
      </c>
      <c r="K137" s="4">
        <v>0</v>
      </c>
      <c r="L137" s="4">
        <v>0</v>
      </c>
      <c r="M137" s="4">
        <v>0</v>
      </c>
    </row>
    <row r="138" spans="1:13" x14ac:dyDescent="0.35">
      <c r="A138" s="27" t="s">
        <v>157</v>
      </c>
      <c r="B138" s="4">
        <v>3.4239173337840319E-4</v>
      </c>
      <c r="D138" s="4">
        <v>4.1480754215078298E-4</v>
      </c>
      <c r="E138" s="4">
        <v>2.7538515499748604E-4</v>
      </c>
      <c r="F138" s="4"/>
      <c r="G138" s="4">
        <v>0</v>
      </c>
      <c r="H138" s="4">
        <v>4.7970011217967332E-4</v>
      </c>
      <c r="I138" s="4">
        <v>8.0730169701990692E-4</v>
      </c>
      <c r="J138" s="4">
        <v>4.7367571930404667E-4</v>
      </c>
      <c r="K138" s="4">
        <v>4.2981228629276755E-4</v>
      </c>
      <c r="L138" s="4">
        <v>0</v>
      </c>
      <c r="M138" s="4">
        <v>0</v>
      </c>
    </row>
    <row r="139" spans="1:13" x14ac:dyDescent="0.35">
      <c r="A139" s="27" t="s">
        <v>158</v>
      </c>
      <c r="B139" s="4">
        <v>5.9295103612536943E-3</v>
      </c>
      <c r="D139" s="4">
        <v>9.0993690966267547E-3</v>
      </c>
      <c r="E139" s="4">
        <v>2.910588406708822E-3</v>
      </c>
      <c r="F139" s="4"/>
      <c r="G139" s="4">
        <v>1.7150067450964569E-2</v>
      </c>
      <c r="H139" s="4">
        <v>1.1433257851976505E-2</v>
      </c>
      <c r="I139" s="4">
        <v>7.1759059663052266E-3</v>
      </c>
      <c r="J139" s="4">
        <v>6.0326370571534204E-3</v>
      </c>
      <c r="K139" s="4">
        <v>4.3478160563450727E-3</v>
      </c>
      <c r="L139" s="4">
        <v>2.7699005727257215E-3</v>
      </c>
      <c r="M139" s="4">
        <v>2.6989406149638849E-3</v>
      </c>
    </row>
    <row r="140" spans="1:13" x14ac:dyDescent="0.35">
      <c r="A140" s="27" t="s">
        <v>282</v>
      </c>
      <c r="B140" s="4">
        <v>1.0451000023097054E-3</v>
      </c>
      <c r="D140" s="4">
        <v>1.2581296135556919E-3</v>
      </c>
      <c r="E140" s="4">
        <v>8.4834188738933266E-4</v>
      </c>
      <c r="F140" s="4"/>
      <c r="G140" s="4">
        <v>8.8204199887341999E-3</v>
      </c>
      <c r="H140" s="4">
        <v>1.645078503377341E-3</v>
      </c>
      <c r="I140" s="4">
        <v>7.9449767289936808E-4</v>
      </c>
      <c r="J140" s="4">
        <v>4.259021990109539E-4</v>
      </c>
      <c r="K140" s="4">
        <v>1.0080606218218172E-3</v>
      </c>
      <c r="L140" s="4">
        <v>5.3494490924769003E-4</v>
      </c>
      <c r="M140" s="4">
        <v>1.6116091774962573E-4</v>
      </c>
    </row>
    <row r="141" spans="1:13" x14ac:dyDescent="0.35">
      <c r="A141" s="27" t="s">
        <v>159</v>
      </c>
      <c r="B141" s="4">
        <v>8.1723082314528488E-5</v>
      </c>
      <c r="D141" s="4">
        <v>1.250375104197849E-4</v>
      </c>
      <c r="E141" s="4">
        <v>4.0477753725775456E-5</v>
      </c>
      <c r="F141" s="4"/>
      <c r="G141" s="4">
        <v>0</v>
      </c>
      <c r="H141" s="4">
        <v>5.5966278085237359E-4</v>
      </c>
      <c r="I141" s="4">
        <v>1.1372655882085926E-4</v>
      </c>
      <c r="J141" s="4">
        <v>0</v>
      </c>
      <c r="K141" s="4">
        <v>0</v>
      </c>
      <c r="L141" s="4">
        <v>0</v>
      </c>
      <c r="M141" s="4">
        <v>0</v>
      </c>
    </row>
    <row r="142" spans="1:13" x14ac:dyDescent="0.35">
      <c r="A142" s="27" t="s">
        <v>160</v>
      </c>
      <c r="B142" s="4">
        <v>1.9503260431005112E-2</v>
      </c>
      <c r="D142" s="4">
        <v>2.2531027262675363E-2</v>
      </c>
      <c r="E142" s="4">
        <v>1.6750820059901445E-2</v>
      </c>
      <c r="F142" s="4"/>
      <c r="G142" s="4">
        <v>6.1215019518223994E-2</v>
      </c>
      <c r="H142" s="4">
        <v>2.6309496211410887E-2</v>
      </c>
      <c r="I142" s="4">
        <v>2.2695254452585755E-2</v>
      </c>
      <c r="J142" s="4">
        <v>1.8132534002631196E-2</v>
      </c>
      <c r="K142" s="4">
        <v>2.0604573472837652E-2</v>
      </c>
      <c r="L142" s="4">
        <v>1.2556840151738939E-2</v>
      </c>
      <c r="M142" s="4">
        <v>9.2461763123187959E-3</v>
      </c>
    </row>
    <row r="143" spans="1:13" x14ac:dyDescent="0.35">
      <c r="A143" s="27" t="s">
        <v>161</v>
      </c>
      <c r="B143" s="4">
        <v>2.4447119701094325E-3</v>
      </c>
      <c r="D143" s="4">
        <v>2.7016191098724368E-3</v>
      </c>
      <c r="E143" s="4">
        <v>2.2186517168749122E-3</v>
      </c>
      <c r="F143" s="4"/>
      <c r="G143" s="4">
        <v>5.0627040884216679E-3</v>
      </c>
      <c r="H143" s="4">
        <v>2.8500788163889502E-3</v>
      </c>
      <c r="I143" s="4">
        <v>1.7236982772620558E-3</v>
      </c>
      <c r="J143" s="4">
        <v>2.7505988031385569E-3</v>
      </c>
      <c r="K143" s="4">
        <v>2.4421451872159478E-3</v>
      </c>
      <c r="L143" s="4">
        <v>2.6729870808523994E-3</v>
      </c>
      <c r="M143" s="4">
        <v>1.8992802300027858E-3</v>
      </c>
    </row>
    <row r="144" spans="1:13" x14ac:dyDescent="0.35">
      <c r="A144" s="27" t="s">
        <v>162</v>
      </c>
      <c r="B144" s="4">
        <v>0</v>
      </c>
      <c r="D144" s="4">
        <v>0</v>
      </c>
      <c r="E144" s="4">
        <v>0</v>
      </c>
      <c r="F144" s="4"/>
      <c r="G144" s="4">
        <v>0</v>
      </c>
      <c r="H144" s="4">
        <v>0</v>
      </c>
      <c r="I144" s="4">
        <v>0</v>
      </c>
      <c r="J144" s="4">
        <v>0</v>
      </c>
      <c r="K144" s="4">
        <v>0</v>
      </c>
      <c r="L144" s="4">
        <v>0</v>
      </c>
      <c r="M144" s="4">
        <v>0</v>
      </c>
    </row>
    <row r="145" spans="1:13" x14ac:dyDescent="0.35">
      <c r="A145" s="27" t="s">
        <v>163</v>
      </c>
      <c r="B145" s="4">
        <v>5.3821892096223723E-3</v>
      </c>
      <c r="D145" s="4">
        <v>6.6589535230903493E-3</v>
      </c>
      <c r="E145" s="4">
        <v>4.1945922777628939E-3</v>
      </c>
      <c r="F145" s="4"/>
      <c r="G145" s="4">
        <v>1.7974741035740149E-2</v>
      </c>
      <c r="H145" s="4">
        <v>1.1546337722289541E-2</v>
      </c>
      <c r="I145" s="4">
        <v>9.1472892500592401E-3</v>
      </c>
      <c r="J145" s="4">
        <v>4.5006915291448497E-3</v>
      </c>
      <c r="K145" s="4">
        <v>4.1090578208451524E-3</v>
      </c>
      <c r="L145" s="4">
        <v>1.5096231250858903E-3</v>
      </c>
      <c r="M145" s="4">
        <v>4.1352660345856057E-4</v>
      </c>
    </row>
    <row r="146" spans="1:13" x14ac:dyDescent="0.35">
      <c r="A146" s="27" t="s">
        <v>164</v>
      </c>
      <c r="B146" s="4">
        <v>1.1957924189270571E-3</v>
      </c>
      <c r="D146" s="4">
        <v>1.5590287783405904E-3</v>
      </c>
      <c r="E146" s="4">
        <v>8.5474516247955798E-4</v>
      </c>
      <c r="F146" s="4"/>
      <c r="G146" s="4">
        <v>1.2774455518143235E-3</v>
      </c>
      <c r="H146" s="4">
        <v>1.1398724218109472E-3</v>
      </c>
      <c r="I146" s="4">
        <v>1.7629411980541205E-3</v>
      </c>
      <c r="J146" s="4">
        <v>1.8795882273857638E-3</v>
      </c>
      <c r="K146" s="4">
        <v>2.1178276508563437E-3</v>
      </c>
      <c r="L146" s="4">
        <v>3.3601920778620416E-4</v>
      </c>
      <c r="M146" s="4">
        <v>7.6187273858016878E-5</v>
      </c>
    </row>
    <row r="147" spans="1:13" x14ac:dyDescent="0.35">
      <c r="A147" s="27" t="s">
        <v>165</v>
      </c>
      <c r="B147" s="4">
        <v>3.7172868155036527E-3</v>
      </c>
      <c r="D147" s="4">
        <v>3.9165990768998196E-3</v>
      </c>
      <c r="E147" s="4">
        <v>3.5591600181367066E-3</v>
      </c>
      <c r="F147" s="4"/>
      <c r="G147" s="4">
        <v>5.2097820194125883E-3</v>
      </c>
      <c r="H147" s="4">
        <v>3.0547101456125372E-3</v>
      </c>
      <c r="I147" s="4">
        <v>4.9276490666300505E-3</v>
      </c>
      <c r="J147" s="4">
        <v>5.1816040791677022E-3</v>
      </c>
      <c r="K147" s="4">
        <v>3.0808687839265752E-3</v>
      </c>
      <c r="L147" s="4">
        <v>4.3098338218576964E-3</v>
      </c>
      <c r="M147" s="4">
        <v>1.5793340577351989E-3</v>
      </c>
    </row>
    <row r="148" spans="1:13" x14ac:dyDescent="0.35">
      <c r="A148" s="27" t="s">
        <v>166</v>
      </c>
      <c r="B148" s="4">
        <v>1.6313989484889962E-3</v>
      </c>
      <c r="D148" s="4">
        <v>2.0399602472270691E-3</v>
      </c>
      <c r="E148" s="4">
        <v>1.2505096512475146E-3</v>
      </c>
      <c r="F148" s="4"/>
      <c r="G148" s="4">
        <v>7.17974825032687E-3</v>
      </c>
      <c r="H148" s="4">
        <v>3.1799313836464531E-3</v>
      </c>
      <c r="I148" s="4">
        <v>2.1335526185345104E-3</v>
      </c>
      <c r="J148" s="4">
        <v>1.9401370894885517E-3</v>
      </c>
      <c r="K148" s="4">
        <v>9.5301851338586673E-4</v>
      </c>
      <c r="L148" s="4">
        <v>1.20803582106142E-4</v>
      </c>
      <c r="M148" s="4">
        <v>4.2540722150224974E-4</v>
      </c>
    </row>
    <row r="149" spans="1:13" x14ac:dyDescent="0.35">
      <c r="A149" s="27" t="s">
        <v>167</v>
      </c>
      <c r="B149" s="4">
        <v>8.7100876167414774E-3</v>
      </c>
      <c r="D149" s="4">
        <v>1.0209425465702403E-2</v>
      </c>
      <c r="E149" s="4">
        <v>7.236410634489922E-3</v>
      </c>
      <c r="F149" s="4"/>
      <c r="G149" s="4">
        <v>6.8323590400723999E-2</v>
      </c>
      <c r="H149" s="4">
        <v>2.1209957401054875E-2</v>
      </c>
      <c r="I149" s="4">
        <v>1.0682253947702954E-2</v>
      </c>
      <c r="J149" s="4">
        <v>4.8001439363375541E-3</v>
      </c>
      <c r="K149" s="4">
        <v>2.3618563705167551E-3</v>
      </c>
      <c r="L149" s="4">
        <v>8.9694108234370884E-4</v>
      </c>
      <c r="M149" s="4">
        <v>6.0055427935949289E-4</v>
      </c>
    </row>
    <row r="150" spans="1:13" x14ac:dyDescent="0.35">
      <c r="A150" s="27" t="s">
        <v>168</v>
      </c>
      <c r="B150" s="4">
        <v>4.2115016076487995E-2</v>
      </c>
      <c r="D150" s="4">
        <v>3.0678775698766553E-2</v>
      </c>
      <c r="E150" s="4">
        <v>5.2990472075380955E-2</v>
      </c>
      <c r="F150" s="4"/>
      <c r="G150" s="4">
        <v>3.1174398985382417E-2</v>
      </c>
      <c r="H150" s="4">
        <v>4.0618437896599642E-2</v>
      </c>
      <c r="I150" s="4">
        <v>4.3952884879298375E-2</v>
      </c>
      <c r="J150" s="4">
        <v>3.8515269565129628E-2</v>
      </c>
      <c r="K150" s="4">
        <v>4.4207706432222452E-2</v>
      </c>
      <c r="L150" s="4">
        <v>5.0611724826552559E-2</v>
      </c>
      <c r="M150" s="4">
        <v>3.9592293835328828E-2</v>
      </c>
    </row>
    <row r="151" spans="1:13" x14ac:dyDescent="0.35">
      <c r="A151" s="27" t="s">
        <v>169</v>
      </c>
      <c r="B151" s="4">
        <v>7.8536793124065992E-4</v>
      </c>
      <c r="D151" s="4">
        <v>1.1226219721993645E-3</v>
      </c>
      <c r="E151" s="4">
        <v>4.6563687127367421E-4</v>
      </c>
      <c r="F151" s="4"/>
      <c r="G151" s="4">
        <v>4.6188683031163228E-3</v>
      </c>
      <c r="H151" s="4">
        <v>1.3518855933517032E-3</v>
      </c>
      <c r="I151" s="4">
        <v>1.1468039258971223E-3</v>
      </c>
      <c r="J151" s="4">
        <v>3.097236368552179E-4</v>
      </c>
      <c r="K151" s="4">
        <v>8.3501574876201597E-4</v>
      </c>
      <c r="L151" s="4">
        <v>3.5729713409608891E-4</v>
      </c>
      <c r="M151" s="4">
        <v>0</v>
      </c>
    </row>
    <row r="152" spans="1:13" x14ac:dyDescent="0.35">
      <c r="A152" s="27" t="s">
        <v>170</v>
      </c>
      <c r="B152" s="4">
        <v>1.9956120362962226E-4</v>
      </c>
      <c r="D152" s="4">
        <v>2.6752518129256496E-4</v>
      </c>
      <c r="E152" s="4">
        <v>1.3551980981679849E-4</v>
      </c>
      <c r="F152" s="4"/>
      <c r="G152" s="4">
        <v>0</v>
      </c>
      <c r="H152" s="4">
        <v>0</v>
      </c>
      <c r="I152" s="4">
        <v>2.4506513599637501E-4</v>
      </c>
      <c r="J152" s="4">
        <v>4.2514040648454395E-4</v>
      </c>
      <c r="K152" s="4">
        <v>1.6152536281961206E-4</v>
      </c>
      <c r="L152" s="4">
        <v>1.7864550978450479E-4</v>
      </c>
      <c r="M152" s="4">
        <v>1.6316484968225089E-4</v>
      </c>
    </row>
    <row r="153" spans="1:13" x14ac:dyDescent="0.35">
      <c r="A153" s="27" t="s">
        <v>171</v>
      </c>
      <c r="B153" s="4">
        <v>2.1778208520961254E-3</v>
      </c>
      <c r="D153" s="4">
        <v>2.0456056751319402E-3</v>
      </c>
      <c r="E153" s="4">
        <v>2.2765568296788967E-3</v>
      </c>
      <c r="F153" s="4"/>
      <c r="G153" s="4">
        <v>0</v>
      </c>
      <c r="H153" s="4">
        <v>3.1326532871962898E-3</v>
      </c>
      <c r="I153" s="4">
        <v>4.7262634285962501E-3</v>
      </c>
      <c r="J153" s="4">
        <v>2.4992279597587908E-3</v>
      </c>
      <c r="K153" s="4">
        <v>1.2949250706055348E-3</v>
      </c>
      <c r="L153" s="4">
        <v>1.8436469340136344E-3</v>
      </c>
      <c r="M153" s="4">
        <v>5.3892857311767933E-4</v>
      </c>
    </row>
    <row r="154" spans="1:13" x14ac:dyDescent="0.35">
      <c r="A154" s="27" t="s">
        <v>172</v>
      </c>
      <c r="B154" s="4">
        <v>2.2986687795930808E-5</v>
      </c>
      <c r="D154" s="4">
        <v>0</v>
      </c>
      <c r="E154" s="4">
        <v>4.5504170624213187E-5</v>
      </c>
      <c r="F154" s="4"/>
      <c r="G154" s="4">
        <v>0</v>
      </c>
      <c r="H154" s="4">
        <v>0</v>
      </c>
      <c r="I154" s="4">
        <v>0</v>
      </c>
      <c r="J154" s="4">
        <v>1.3400519840463127E-4</v>
      </c>
      <c r="K154" s="4">
        <v>0</v>
      </c>
      <c r="L154" s="4">
        <v>0</v>
      </c>
      <c r="M154" s="4">
        <v>0</v>
      </c>
    </row>
    <row r="155" spans="1:13" x14ac:dyDescent="0.35">
      <c r="A155" s="27" t="s">
        <v>173</v>
      </c>
      <c r="B155" s="4">
        <v>2.1555725218425798E-5</v>
      </c>
      <c r="D155" s="4">
        <v>4.3986151984700875E-5</v>
      </c>
      <c r="E155" s="4">
        <v>0</v>
      </c>
      <c r="F155" s="4"/>
      <c r="G155" s="4">
        <v>0</v>
      </c>
      <c r="H155" s="4">
        <v>1.9688021663343667E-4</v>
      </c>
      <c r="I155" s="4">
        <v>0</v>
      </c>
      <c r="J155" s="4">
        <v>0</v>
      </c>
      <c r="K155" s="4">
        <v>0</v>
      </c>
      <c r="L155" s="4">
        <v>0</v>
      </c>
      <c r="M155" s="4">
        <v>0</v>
      </c>
    </row>
    <row r="156" spans="1:13" x14ac:dyDescent="0.35">
      <c r="A156" s="27" t="s">
        <v>174</v>
      </c>
      <c r="B156" s="4">
        <v>3.2626858319953391E-4</v>
      </c>
      <c r="D156" s="4">
        <v>4.8474971941268104E-4</v>
      </c>
      <c r="E156" s="4">
        <v>1.7561627829557175E-4</v>
      </c>
      <c r="F156" s="4"/>
      <c r="G156" s="4">
        <v>0</v>
      </c>
      <c r="H156" s="4">
        <v>9.1431556702395228E-4</v>
      </c>
      <c r="I156" s="4">
        <v>8.1297922328289046E-4</v>
      </c>
      <c r="J156" s="4">
        <v>2.6712338793082806E-4</v>
      </c>
      <c r="K156" s="4">
        <v>2.3141115038511126E-4</v>
      </c>
      <c r="L156" s="4">
        <v>0</v>
      </c>
      <c r="M156" s="4">
        <v>0</v>
      </c>
    </row>
    <row r="157" spans="1:13" x14ac:dyDescent="0.35">
      <c r="A157" s="60" t="s">
        <v>175</v>
      </c>
      <c r="B157" s="62">
        <v>2.9068927229739212E-2</v>
      </c>
      <c r="C157" s="61"/>
      <c r="D157" s="62">
        <v>8.1815756043680122E-3</v>
      </c>
      <c r="E157" s="62">
        <v>4.9556803384066254E-2</v>
      </c>
      <c r="F157" s="62"/>
      <c r="G157" s="62">
        <v>6.8557587136988266E-3</v>
      </c>
      <c r="H157" s="62">
        <v>1.6286882110354239E-2</v>
      </c>
      <c r="I157" s="62">
        <v>3.6987614060750712E-2</v>
      </c>
      <c r="J157" s="62">
        <v>3.509120915259184E-2</v>
      </c>
      <c r="K157" s="62">
        <v>3.3652161160793052E-2</v>
      </c>
      <c r="L157" s="62">
        <v>3.5813931762904393E-2</v>
      </c>
      <c r="M157" s="62">
        <v>2.1154689903030724E-2</v>
      </c>
    </row>
    <row r="158" spans="1:13" x14ac:dyDescent="0.35">
      <c r="A158" s="43"/>
      <c r="B158" s="80" t="s">
        <v>34</v>
      </c>
      <c r="C158" s="80"/>
      <c r="D158" s="80"/>
      <c r="E158" s="80"/>
      <c r="F158" s="80"/>
      <c r="G158" s="80"/>
      <c r="H158" s="80"/>
      <c r="I158" s="80"/>
      <c r="J158" s="80"/>
      <c r="K158" s="80"/>
      <c r="L158" s="80"/>
      <c r="M158" s="80"/>
    </row>
    <row r="159" spans="1:13" x14ac:dyDescent="0.35">
      <c r="A159" s="27" t="s">
        <v>39</v>
      </c>
      <c r="B159" s="33">
        <v>11239.644603424909</v>
      </c>
      <c r="D159" s="33">
        <v>6016.8947188693119</v>
      </c>
      <c r="E159" s="33">
        <v>4734.1940123354707</v>
      </c>
      <c r="F159" s="33"/>
      <c r="G159" s="33">
        <v>0</v>
      </c>
      <c r="H159" s="33">
        <v>3601.4116311104171</v>
      </c>
      <c r="I159" s="33">
        <v>2491.5325336630908</v>
      </c>
      <c r="J159" s="33">
        <v>3235.379037988328</v>
      </c>
      <c r="K159" s="33">
        <v>1557.7234698104842</v>
      </c>
      <c r="L159" s="33">
        <v>0</v>
      </c>
      <c r="M159" s="33">
        <v>353.5979308525857</v>
      </c>
    </row>
    <row r="160" spans="1:13" x14ac:dyDescent="0.35">
      <c r="A160" s="27" t="s">
        <v>40</v>
      </c>
      <c r="B160" s="33">
        <v>30997.558810130417</v>
      </c>
      <c r="D160" s="33">
        <v>19069.804022382192</v>
      </c>
      <c r="E160" s="33">
        <v>11927.754787748214</v>
      </c>
      <c r="F160" s="33"/>
      <c r="G160" s="33">
        <v>1524.1674305957677</v>
      </c>
      <c r="H160" s="33">
        <v>7060.8872497038974</v>
      </c>
      <c r="I160" s="33">
        <v>10285.409111782452</v>
      </c>
      <c r="J160" s="33">
        <v>5621.8044257516012</v>
      </c>
      <c r="K160" s="33">
        <v>2854.0479601543339</v>
      </c>
      <c r="L160" s="33">
        <v>1760.5969299990954</v>
      </c>
      <c r="M160" s="33">
        <v>1890.6457021432641</v>
      </c>
    </row>
    <row r="161" spans="1:13" x14ac:dyDescent="0.35">
      <c r="A161" s="27" t="s">
        <v>41</v>
      </c>
      <c r="B161" s="33">
        <v>21179.056112853814</v>
      </c>
      <c r="D161" s="33">
        <v>14549.038833723438</v>
      </c>
      <c r="E161" s="33">
        <v>6630.0172791303758</v>
      </c>
      <c r="F161" s="33"/>
      <c r="G161" s="33">
        <v>1188.9088715477344</v>
      </c>
      <c r="H161" s="33">
        <v>514.77258278537431</v>
      </c>
      <c r="I161" s="33">
        <v>4594.903022898874</v>
      </c>
      <c r="J161" s="33">
        <v>8243.6586296493897</v>
      </c>
      <c r="K161" s="33">
        <v>3704.710431334408</v>
      </c>
      <c r="L161" s="33">
        <v>1561.0079070232318</v>
      </c>
      <c r="M161" s="33">
        <v>1371.0946676148014</v>
      </c>
    </row>
    <row r="162" spans="1:13" x14ac:dyDescent="0.35">
      <c r="A162" s="27" t="s">
        <v>42</v>
      </c>
      <c r="B162" s="33">
        <v>173134.50148841037</v>
      </c>
      <c r="D162" s="33">
        <v>105950.89106955957</v>
      </c>
      <c r="E162" s="33">
        <v>67183.6104188506</v>
      </c>
      <c r="F162" s="33"/>
      <c r="G162" s="33">
        <v>37189.71869169124</v>
      </c>
      <c r="H162" s="33">
        <v>44684.182264645024</v>
      </c>
      <c r="I162" s="33">
        <v>52438.106095995659</v>
      </c>
      <c r="J162" s="33">
        <v>22070.757725713203</v>
      </c>
      <c r="K162" s="33">
        <v>10867.139468310594</v>
      </c>
      <c r="L162" s="33">
        <v>3460.8730489560194</v>
      </c>
      <c r="M162" s="33">
        <v>2423.7241930984546</v>
      </c>
    </row>
    <row r="163" spans="1:13" x14ac:dyDescent="0.35">
      <c r="A163" s="27" t="s">
        <v>43</v>
      </c>
      <c r="B163" s="33">
        <v>389330.34680584382</v>
      </c>
      <c r="D163" s="33">
        <v>296729.23213346419</v>
      </c>
      <c r="E163" s="33">
        <v>91656.045403799435</v>
      </c>
      <c r="F163" s="33"/>
      <c r="G163" s="33">
        <v>47498.151483459515</v>
      </c>
      <c r="H163" s="33">
        <v>98475.211393853635</v>
      </c>
      <c r="I163" s="33">
        <v>143507.15786419509</v>
      </c>
      <c r="J163" s="33">
        <v>54574.842288012042</v>
      </c>
      <c r="K163" s="33">
        <v>32308.429311143122</v>
      </c>
      <c r="L163" s="33">
        <v>11060.612550017413</v>
      </c>
      <c r="M163" s="33">
        <v>1905.941915163223</v>
      </c>
    </row>
    <row r="164" spans="1:13" x14ac:dyDescent="0.35">
      <c r="A164" s="27" t="s">
        <v>44</v>
      </c>
      <c r="B164" s="33">
        <v>180549.39720455607</v>
      </c>
      <c r="D164" s="33">
        <v>109056.00723767607</v>
      </c>
      <c r="E164" s="33">
        <v>70806.749908236103</v>
      </c>
      <c r="F164" s="33"/>
      <c r="G164" s="33">
        <v>47418.228502279533</v>
      </c>
      <c r="H164" s="33">
        <v>42475.092800828075</v>
      </c>
      <c r="I164" s="33">
        <v>44090.169603986891</v>
      </c>
      <c r="J164" s="33">
        <v>25146.558741557554</v>
      </c>
      <c r="K164" s="33">
        <v>10968.974861635144</v>
      </c>
      <c r="L164" s="33">
        <v>5417.8292366701162</v>
      </c>
      <c r="M164" s="33">
        <v>5032.5434575988384</v>
      </c>
    </row>
    <row r="165" spans="1:13" x14ac:dyDescent="0.35">
      <c r="A165" s="27" t="s">
        <v>45</v>
      </c>
      <c r="B165" s="33">
        <v>46561.321398075328</v>
      </c>
      <c r="D165" s="33">
        <v>36959.119384500336</v>
      </c>
      <c r="E165" s="33">
        <v>9602.2020135749917</v>
      </c>
      <c r="F165" s="33"/>
      <c r="G165" s="33">
        <v>3398.9568566857984</v>
      </c>
      <c r="H165" s="33">
        <v>9854.2451645382371</v>
      </c>
      <c r="I165" s="33">
        <v>11437.232868195846</v>
      </c>
      <c r="J165" s="33">
        <v>9443.4877184096695</v>
      </c>
      <c r="K165" s="33">
        <v>10012.736626985285</v>
      </c>
      <c r="L165" s="33">
        <v>1710.5196374174484</v>
      </c>
      <c r="M165" s="33">
        <v>704.14252584304631</v>
      </c>
    </row>
    <row r="166" spans="1:13" x14ac:dyDescent="0.35">
      <c r="A166" s="27" t="s">
        <v>46</v>
      </c>
      <c r="B166" s="33">
        <v>520877.16972686787</v>
      </c>
      <c r="D166" s="33">
        <v>373529.76876124507</v>
      </c>
      <c r="E166" s="33">
        <v>145091.82849923256</v>
      </c>
      <c r="F166" s="33"/>
      <c r="G166" s="33">
        <v>107265.06816079159</v>
      </c>
      <c r="H166" s="33">
        <v>139216.86693314079</v>
      </c>
      <c r="I166" s="33">
        <v>122758.18791210988</v>
      </c>
      <c r="J166" s="33">
        <v>89568.186253770444</v>
      </c>
      <c r="K166" s="33">
        <v>42975.74241453781</v>
      </c>
      <c r="L166" s="33">
        <v>13085.944185791506</v>
      </c>
      <c r="M166" s="33">
        <v>6007.1738667257123</v>
      </c>
    </row>
    <row r="167" spans="1:13" x14ac:dyDescent="0.35">
      <c r="A167" s="27" t="s">
        <v>47</v>
      </c>
      <c r="B167" s="33">
        <v>2672.4457599105831</v>
      </c>
      <c r="D167" s="33">
        <v>1711.0111196134376</v>
      </c>
      <c r="E167" s="33">
        <v>961.43464029714528</v>
      </c>
      <c r="F167" s="33"/>
      <c r="G167" s="33">
        <v>0</v>
      </c>
      <c r="H167" s="33">
        <v>513.43167893591385</v>
      </c>
      <c r="I167" s="33">
        <v>992.27992509194814</v>
      </c>
      <c r="J167" s="33">
        <v>0</v>
      </c>
      <c r="K167" s="33">
        <v>1166.7341558827211</v>
      </c>
      <c r="L167" s="33">
        <v>0</v>
      </c>
      <c r="M167" s="33">
        <v>0</v>
      </c>
    </row>
    <row r="168" spans="1:13" x14ac:dyDescent="0.35">
      <c r="A168" s="27" t="s">
        <v>48</v>
      </c>
      <c r="B168" s="33">
        <v>1309.1018476753338</v>
      </c>
      <c r="D168" s="33">
        <v>1309.1018476753338</v>
      </c>
      <c r="E168" s="33">
        <v>0</v>
      </c>
      <c r="F168" s="33"/>
      <c r="G168" s="33">
        <v>0</v>
      </c>
      <c r="H168" s="33">
        <v>658.6973881908491</v>
      </c>
      <c r="I168" s="33">
        <v>0</v>
      </c>
      <c r="J168" s="33">
        <v>650.40445948448473</v>
      </c>
      <c r="K168" s="33">
        <v>0</v>
      </c>
      <c r="L168" s="33">
        <v>0</v>
      </c>
      <c r="M168" s="33">
        <v>0</v>
      </c>
    </row>
    <row r="169" spans="1:13" x14ac:dyDescent="0.35">
      <c r="A169" s="27" t="s">
        <v>49</v>
      </c>
      <c r="B169" s="33">
        <v>13105.746114582547</v>
      </c>
      <c r="D169" s="33">
        <v>10643.807289217359</v>
      </c>
      <c r="E169" s="33">
        <v>2461.9388253651887</v>
      </c>
      <c r="F169" s="33"/>
      <c r="G169" s="33">
        <v>0</v>
      </c>
      <c r="H169" s="33">
        <v>2056.8418629753787</v>
      </c>
      <c r="I169" s="33">
        <v>6440.088349590932</v>
      </c>
      <c r="J169" s="33">
        <v>1661.6058623432909</v>
      </c>
      <c r="K169" s="33">
        <v>1102.6535445079153</v>
      </c>
      <c r="L169" s="33">
        <v>1461.4354841556114</v>
      </c>
      <c r="M169" s="33">
        <v>383.12101100941817</v>
      </c>
    </row>
    <row r="170" spans="1:13" x14ac:dyDescent="0.35">
      <c r="A170" s="27" t="s">
        <v>50</v>
      </c>
      <c r="B170" s="33">
        <v>3527.6293548877043</v>
      </c>
      <c r="D170" s="33">
        <v>1315.0644929187629</v>
      </c>
      <c r="E170" s="33">
        <v>2212.5648619689414</v>
      </c>
      <c r="F170" s="33"/>
      <c r="G170" s="33">
        <v>0</v>
      </c>
      <c r="H170" s="33">
        <v>0</v>
      </c>
      <c r="I170" s="33">
        <v>424.18022014794013</v>
      </c>
      <c r="J170" s="33">
        <v>1204.0437715080782</v>
      </c>
      <c r="K170" s="33">
        <v>1899.4053632316859</v>
      </c>
      <c r="L170" s="33">
        <v>0</v>
      </c>
      <c r="M170" s="33">
        <v>0</v>
      </c>
    </row>
    <row r="171" spans="1:13" x14ac:dyDescent="0.35">
      <c r="A171" s="27" t="s">
        <v>51</v>
      </c>
      <c r="B171" s="33">
        <v>428.47308629067419</v>
      </c>
      <c r="D171" s="33">
        <v>0</v>
      </c>
      <c r="E171" s="33">
        <v>428.47308629067419</v>
      </c>
      <c r="F171" s="33"/>
      <c r="G171" s="33">
        <v>0</v>
      </c>
      <c r="H171" s="33">
        <v>0</v>
      </c>
      <c r="I171" s="33">
        <v>0</v>
      </c>
      <c r="J171" s="33">
        <v>0</v>
      </c>
      <c r="K171" s="33">
        <v>428.47308629067419</v>
      </c>
      <c r="L171" s="33">
        <v>0</v>
      </c>
      <c r="M171" s="33">
        <v>0</v>
      </c>
    </row>
    <row r="172" spans="1:13" x14ac:dyDescent="0.35">
      <c r="A172" s="27" t="s">
        <v>52</v>
      </c>
      <c r="B172" s="33">
        <v>372.58440164019981</v>
      </c>
      <c r="D172" s="33">
        <v>0</v>
      </c>
      <c r="E172" s="33">
        <v>372.58440164019981</v>
      </c>
      <c r="F172" s="33"/>
      <c r="G172" s="33">
        <v>0</v>
      </c>
      <c r="H172" s="33">
        <v>0</v>
      </c>
      <c r="I172" s="33">
        <v>0</v>
      </c>
      <c r="J172" s="33">
        <v>0</v>
      </c>
      <c r="K172" s="33">
        <v>0</v>
      </c>
      <c r="L172" s="33">
        <v>0</v>
      </c>
      <c r="M172" s="33">
        <v>372.58440164019981</v>
      </c>
    </row>
    <row r="173" spans="1:13" x14ac:dyDescent="0.35">
      <c r="A173" s="27" t="s">
        <v>53</v>
      </c>
      <c r="B173" s="33">
        <v>0</v>
      </c>
      <c r="D173" s="33">
        <v>0</v>
      </c>
      <c r="E173" s="33">
        <v>0</v>
      </c>
      <c r="F173" s="33"/>
      <c r="G173" s="33">
        <v>0</v>
      </c>
      <c r="H173" s="33">
        <v>0</v>
      </c>
      <c r="I173" s="33">
        <v>0</v>
      </c>
      <c r="J173" s="33">
        <v>0</v>
      </c>
      <c r="K173" s="33">
        <v>0</v>
      </c>
      <c r="L173" s="33">
        <v>0</v>
      </c>
      <c r="M173" s="33">
        <v>0</v>
      </c>
    </row>
    <row r="174" spans="1:13" x14ac:dyDescent="0.35">
      <c r="A174" s="27" t="s">
        <v>54</v>
      </c>
      <c r="B174" s="33">
        <v>6179.0672843641987</v>
      </c>
      <c r="D174" s="33">
        <v>5278.4209768266792</v>
      </c>
      <c r="E174" s="33">
        <v>900.64630753752022</v>
      </c>
      <c r="F174" s="33"/>
      <c r="G174" s="33">
        <v>0</v>
      </c>
      <c r="H174" s="33">
        <v>1730.0829430016795</v>
      </c>
      <c r="I174" s="33">
        <v>3737.8148252333344</v>
      </c>
      <c r="J174" s="33">
        <v>711.16951612918501</v>
      </c>
      <c r="K174" s="33">
        <v>0</v>
      </c>
      <c r="L174" s="33">
        <v>0</v>
      </c>
      <c r="M174" s="33">
        <v>0</v>
      </c>
    </row>
    <row r="175" spans="1:13" x14ac:dyDescent="0.35">
      <c r="A175" s="27" t="s">
        <v>55</v>
      </c>
      <c r="B175" s="33">
        <v>568.09970494400807</v>
      </c>
      <c r="D175" s="33">
        <v>568.09970494400807</v>
      </c>
      <c r="E175" s="33">
        <v>0</v>
      </c>
      <c r="F175" s="33"/>
      <c r="G175" s="33">
        <v>0</v>
      </c>
      <c r="H175" s="33">
        <v>0</v>
      </c>
      <c r="I175" s="33">
        <v>568.09970494400807</v>
      </c>
      <c r="J175" s="33">
        <v>0</v>
      </c>
      <c r="K175" s="33">
        <v>0</v>
      </c>
      <c r="L175" s="33">
        <v>0</v>
      </c>
      <c r="M175" s="33">
        <v>0</v>
      </c>
    </row>
    <row r="176" spans="1:13" x14ac:dyDescent="0.35">
      <c r="A176" s="27" t="s">
        <v>56</v>
      </c>
      <c r="B176" s="33">
        <v>160844.43953403938</v>
      </c>
      <c r="D176" s="33">
        <v>104957.01845340287</v>
      </c>
      <c r="E176" s="33">
        <v>55887.421080636515</v>
      </c>
      <c r="F176" s="33"/>
      <c r="G176" s="33">
        <v>1485.9788552202485</v>
      </c>
      <c r="H176" s="33">
        <v>1727.6297190434818</v>
      </c>
      <c r="I176" s="33">
        <v>9755.6854517389493</v>
      </c>
      <c r="J176" s="33">
        <v>7172.3768198557973</v>
      </c>
      <c r="K176" s="33">
        <v>11673.36291807152</v>
      </c>
      <c r="L176" s="33">
        <v>27456.240948030361</v>
      </c>
      <c r="M176" s="33">
        <v>101573.16482207901</v>
      </c>
    </row>
    <row r="177" spans="1:13" x14ac:dyDescent="0.35">
      <c r="A177" s="27" t="s">
        <v>57</v>
      </c>
      <c r="B177" s="33">
        <v>137140.39989091695</v>
      </c>
      <c r="D177" s="33">
        <v>73072.143225526466</v>
      </c>
      <c r="E177" s="33">
        <v>63566.654402207518</v>
      </c>
      <c r="F177" s="33"/>
      <c r="G177" s="33">
        <v>6763.9894609392932</v>
      </c>
      <c r="H177" s="33">
        <v>30022.192984014702</v>
      </c>
      <c r="I177" s="33">
        <v>50185.986275619827</v>
      </c>
      <c r="J177" s="33">
        <v>25675.758678655635</v>
      </c>
      <c r="K177" s="33">
        <v>16308.524440126355</v>
      </c>
      <c r="L177" s="33">
        <v>6028.5154182791721</v>
      </c>
      <c r="M177" s="33">
        <v>2155.4326332818418</v>
      </c>
    </row>
    <row r="178" spans="1:13" x14ac:dyDescent="0.35">
      <c r="A178" s="27" t="s">
        <v>58</v>
      </c>
      <c r="B178" s="33">
        <v>546.10022223218562</v>
      </c>
      <c r="D178" s="33">
        <v>0</v>
      </c>
      <c r="E178" s="33">
        <v>546.10022223218562</v>
      </c>
      <c r="F178" s="33"/>
      <c r="G178" s="33">
        <v>0</v>
      </c>
      <c r="H178" s="33">
        <v>0</v>
      </c>
      <c r="I178" s="33">
        <v>0</v>
      </c>
      <c r="J178" s="33">
        <v>546.10022223218562</v>
      </c>
      <c r="K178" s="33">
        <v>0</v>
      </c>
      <c r="L178" s="33">
        <v>0</v>
      </c>
      <c r="M178" s="33">
        <v>0</v>
      </c>
    </row>
    <row r="179" spans="1:13" x14ac:dyDescent="0.35">
      <c r="A179" s="27" t="s">
        <v>59</v>
      </c>
      <c r="B179" s="33">
        <v>507182.7390328637</v>
      </c>
      <c r="D179" s="33">
        <v>221802.49456608412</v>
      </c>
      <c r="E179" s="33">
        <v>282592.11897409795</v>
      </c>
      <c r="F179" s="33"/>
      <c r="G179" s="33">
        <v>27703.831033757193</v>
      </c>
      <c r="H179" s="33">
        <v>70744.420991548657</v>
      </c>
      <c r="I179" s="33">
        <v>105573.52169425045</v>
      </c>
      <c r="J179" s="33">
        <v>89748.042168260814</v>
      </c>
      <c r="K179" s="33">
        <v>56975.9779751768</v>
      </c>
      <c r="L179" s="33">
        <v>83427.407816696796</v>
      </c>
      <c r="M179" s="33">
        <v>73009.537353173757</v>
      </c>
    </row>
    <row r="180" spans="1:13" x14ac:dyDescent="0.35">
      <c r="A180" s="27" t="s">
        <v>60</v>
      </c>
      <c r="B180" s="33">
        <v>12444.78155994969</v>
      </c>
      <c r="D180" s="33">
        <v>3271.3633972333637</v>
      </c>
      <c r="E180" s="33">
        <v>9173.4181627163234</v>
      </c>
      <c r="F180" s="33"/>
      <c r="G180" s="33">
        <v>0</v>
      </c>
      <c r="H180" s="33">
        <v>3514.0796861677209</v>
      </c>
      <c r="I180" s="33">
        <v>2032.0443125209886</v>
      </c>
      <c r="J180" s="33">
        <v>3812.6651838221123</v>
      </c>
      <c r="K180" s="33">
        <v>1892.9119872783469</v>
      </c>
      <c r="L180" s="33">
        <v>856.67729907202772</v>
      </c>
      <c r="M180" s="33">
        <v>336.40309108848965</v>
      </c>
    </row>
    <row r="181" spans="1:13" x14ac:dyDescent="0.35">
      <c r="A181" s="27" t="s">
        <v>61</v>
      </c>
      <c r="B181" s="33">
        <v>1980.1395793031691</v>
      </c>
      <c r="D181" s="33">
        <v>0</v>
      </c>
      <c r="E181" s="33">
        <v>1980.1395793031691</v>
      </c>
      <c r="F181" s="33"/>
      <c r="G181" s="33">
        <v>0</v>
      </c>
      <c r="H181" s="33">
        <v>682.25748570674648</v>
      </c>
      <c r="I181" s="33">
        <v>905.30654933011613</v>
      </c>
      <c r="J181" s="33">
        <v>0</v>
      </c>
      <c r="K181" s="33">
        <v>0</v>
      </c>
      <c r="L181" s="33">
        <v>0</v>
      </c>
      <c r="M181" s="33">
        <v>392.57554426630651</v>
      </c>
    </row>
    <row r="182" spans="1:13" x14ac:dyDescent="0.35">
      <c r="A182" s="27" t="s">
        <v>62</v>
      </c>
      <c r="B182" s="33">
        <v>57268.075937250796</v>
      </c>
      <c r="D182" s="33">
        <v>22714.390589417708</v>
      </c>
      <c r="E182" s="33">
        <v>34553.685347833059</v>
      </c>
      <c r="F182" s="33"/>
      <c r="G182" s="33">
        <v>3534.6943227252318</v>
      </c>
      <c r="H182" s="33">
        <v>4370.265031274379</v>
      </c>
      <c r="I182" s="33">
        <v>13962.400667507465</v>
      </c>
      <c r="J182" s="33">
        <v>10524.536979938865</v>
      </c>
      <c r="K182" s="33">
        <v>8908.4633803693887</v>
      </c>
      <c r="L182" s="33">
        <v>12094.670540713485</v>
      </c>
      <c r="M182" s="33">
        <v>3873.0450147219572</v>
      </c>
    </row>
    <row r="183" spans="1:13" x14ac:dyDescent="0.35">
      <c r="A183" s="27" t="s">
        <v>63</v>
      </c>
      <c r="B183" s="33">
        <v>7161.645138941085</v>
      </c>
      <c r="D183" s="33">
        <v>1098.8212560153711</v>
      </c>
      <c r="E183" s="33">
        <v>6062.8238829257143</v>
      </c>
      <c r="F183" s="33"/>
      <c r="G183" s="33">
        <v>2074.1972019958926</v>
      </c>
      <c r="H183" s="33">
        <v>1211.2742738988441</v>
      </c>
      <c r="I183" s="33">
        <v>3348.699468437163</v>
      </c>
      <c r="J183" s="33">
        <v>527.47419460918479</v>
      </c>
      <c r="K183" s="33">
        <v>0</v>
      </c>
      <c r="L183" s="33">
        <v>0</v>
      </c>
      <c r="M183" s="33">
        <v>0</v>
      </c>
    </row>
    <row r="184" spans="1:13" x14ac:dyDescent="0.35">
      <c r="A184" s="27" t="s">
        <v>64</v>
      </c>
      <c r="B184" s="33">
        <v>361916.77703967126</v>
      </c>
      <c r="D184" s="33">
        <v>309825.6844416199</v>
      </c>
      <c r="E184" s="33">
        <v>51643.187114814136</v>
      </c>
      <c r="F184" s="33"/>
      <c r="G184" s="33">
        <v>49684.921836118774</v>
      </c>
      <c r="H184" s="33">
        <v>71623.7884958871</v>
      </c>
      <c r="I184" s="33">
        <v>96950.028244335452</v>
      </c>
      <c r="J184" s="33">
        <v>61669.146769539038</v>
      </c>
      <c r="K184" s="33">
        <v>50571.868560695912</v>
      </c>
      <c r="L184" s="33">
        <v>23064.628852604321</v>
      </c>
      <c r="M184" s="33">
        <v>8352.3942804907583</v>
      </c>
    </row>
    <row r="185" spans="1:13" x14ac:dyDescent="0.35">
      <c r="A185" s="27" t="s">
        <v>65</v>
      </c>
      <c r="B185" s="33">
        <v>17745.524264571013</v>
      </c>
      <c r="D185" s="33">
        <v>6133.1759100183135</v>
      </c>
      <c r="E185" s="33">
        <v>11612.348354552701</v>
      </c>
      <c r="F185" s="33"/>
      <c r="G185" s="33">
        <v>0</v>
      </c>
      <c r="H185" s="33">
        <v>0</v>
      </c>
      <c r="I185" s="33">
        <v>0</v>
      </c>
      <c r="J185" s="33">
        <v>0</v>
      </c>
      <c r="K185" s="33">
        <v>0</v>
      </c>
      <c r="L185" s="33">
        <v>1362.0973107834998</v>
      </c>
      <c r="M185" s="33">
        <v>16383.426953787517</v>
      </c>
    </row>
    <row r="186" spans="1:13" x14ac:dyDescent="0.35">
      <c r="A186" s="27" t="s">
        <v>293</v>
      </c>
      <c r="B186" s="33">
        <v>122177.70932047218</v>
      </c>
      <c r="D186" s="33">
        <v>50191.669995593278</v>
      </c>
      <c r="E186" s="33">
        <v>71461.915337762024</v>
      </c>
      <c r="F186" s="33"/>
      <c r="G186" s="33">
        <v>1599.7077032558482</v>
      </c>
      <c r="H186" s="33">
        <v>10470.887724376109</v>
      </c>
      <c r="I186" s="33">
        <v>44272.463134613943</v>
      </c>
      <c r="J186" s="33">
        <v>36437.900911367266</v>
      </c>
      <c r="K186" s="33">
        <v>17635.586853573608</v>
      </c>
      <c r="L186" s="33">
        <v>7643.8372927854334</v>
      </c>
      <c r="M186" s="33">
        <v>4117.3257004999123</v>
      </c>
    </row>
    <row r="187" spans="1:13" x14ac:dyDescent="0.35">
      <c r="A187" s="27" t="s">
        <v>66</v>
      </c>
      <c r="B187" s="33">
        <v>2212.8225509426516</v>
      </c>
      <c r="D187" s="33">
        <v>1197.1675089409455</v>
      </c>
      <c r="E187" s="33">
        <v>1015.6550420017059</v>
      </c>
      <c r="F187" s="33"/>
      <c r="G187" s="33">
        <v>0</v>
      </c>
      <c r="H187" s="33">
        <v>0</v>
      </c>
      <c r="I187" s="33">
        <v>0</v>
      </c>
      <c r="J187" s="33">
        <v>2212.8225509426516</v>
      </c>
      <c r="K187" s="33">
        <v>0</v>
      </c>
      <c r="L187" s="33">
        <v>0</v>
      </c>
      <c r="M187" s="33">
        <v>0</v>
      </c>
    </row>
    <row r="188" spans="1:13" x14ac:dyDescent="0.35">
      <c r="A188" s="27" t="s">
        <v>67</v>
      </c>
      <c r="B188" s="33">
        <v>221294.96311308889</v>
      </c>
      <c r="D188" s="33">
        <v>138672.54228848914</v>
      </c>
      <c r="E188" s="33">
        <v>82182.059184419428</v>
      </c>
      <c r="F188" s="33"/>
      <c r="G188" s="33">
        <v>6591.5316664804668</v>
      </c>
      <c r="H188" s="33">
        <v>22541.570799906814</v>
      </c>
      <c r="I188" s="33">
        <v>41421.350195566556</v>
      </c>
      <c r="J188" s="33">
        <v>30962.961002630367</v>
      </c>
      <c r="K188" s="33">
        <v>43224.705834508284</v>
      </c>
      <c r="L188" s="33">
        <v>50089.816347825828</v>
      </c>
      <c r="M188" s="33">
        <v>26463.027266170557</v>
      </c>
    </row>
    <row r="189" spans="1:13" x14ac:dyDescent="0.35">
      <c r="A189" s="27" t="s">
        <v>68</v>
      </c>
      <c r="B189" s="33">
        <v>160628.7343924086</v>
      </c>
      <c r="D189" s="33">
        <v>23638.366734051506</v>
      </c>
      <c r="E189" s="33">
        <v>134640.59169724444</v>
      </c>
      <c r="F189" s="33"/>
      <c r="G189" s="33">
        <v>22630.810305969881</v>
      </c>
      <c r="H189" s="33">
        <v>37670.13273821542</v>
      </c>
      <c r="I189" s="33">
        <v>31039.034290935677</v>
      </c>
      <c r="J189" s="33">
        <v>25435.456036206269</v>
      </c>
      <c r="K189" s="33">
        <v>14890.912824460127</v>
      </c>
      <c r="L189" s="33">
        <v>15270.835151565045</v>
      </c>
      <c r="M189" s="33">
        <v>13691.553045056138</v>
      </c>
    </row>
    <row r="190" spans="1:13" x14ac:dyDescent="0.35">
      <c r="A190" s="27" t="s">
        <v>69</v>
      </c>
      <c r="B190" s="33">
        <v>245058.22881448644</v>
      </c>
      <c r="D190" s="33">
        <v>37171.641466527501</v>
      </c>
      <c r="E190" s="33">
        <v>204788.2184977803</v>
      </c>
      <c r="F190" s="33"/>
      <c r="G190" s="33">
        <v>19324.459601534549</v>
      </c>
      <c r="H190" s="33">
        <v>38364.568486439734</v>
      </c>
      <c r="I190" s="33">
        <v>50605.020238769896</v>
      </c>
      <c r="J190" s="33">
        <v>42810.943712371431</v>
      </c>
      <c r="K190" s="33">
        <v>21590.001493239426</v>
      </c>
      <c r="L190" s="33">
        <v>18390.769586990638</v>
      </c>
      <c r="M190" s="33">
        <v>53972.465695140745</v>
      </c>
    </row>
    <row r="191" spans="1:13" x14ac:dyDescent="0.35">
      <c r="A191" s="27" t="s">
        <v>70</v>
      </c>
      <c r="B191" s="33">
        <v>13446.951852934686</v>
      </c>
      <c r="D191" s="33">
        <v>7997.2331939652076</v>
      </c>
      <c r="E191" s="33">
        <v>5449.7186589694775</v>
      </c>
      <c r="F191" s="33"/>
      <c r="G191" s="33">
        <v>0</v>
      </c>
      <c r="H191" s="33">
        <v>596.12322643546975</v>
      </c>
      <c r="I191" s="33">
        <v>1259.1872021957911</v>
      </c>
      <c r="J191" s="33">
        <v>2721.372604772464</v>
      </c>
      <c r="K191" s="33">
        <v>2224.7661586597815</v>
      </c>
      <c r="L191" s="33">
        <v>3130.7358978127759</v>
      </c>
      <c r="M191" s="33">
        <v>3514.7667630584033</v>
      </c>
    </row>
    <row r="192" spans="1:13" x14ac:dyDescent="0.35">
      <c r="A192" s="27" t="s">
        <v>71</v>
      </c>
      <c r="B192" s="33">
        <v>5824.4357029895109</v>
      </c>
      <c r="D192" s="33">
        <v>2820.5068808779392</v>
      </c>
      <c r="E192" s="33">
        <v>3003.9288221115703</v>
      </c>
      <c r="F192" s="33"/>
      <c r="G192" s="33">
        <v>0</v>
      </c>
      <c r="H192" s="33">
        <v>2488.626054569525</v>
      </c>
      <c r="I192" s="33">
        <v>853.58913173123483</v>
      </c>
      <c r="J192" s="33">
        <v>512.87183238909051</v>
      </c>
      <c r="K192" s="33">
        <v>0</v>
      </c>
      <c r="L192" s="33">
        <v>1150.1989684382063</v>
      </c>
      <c r="M192" s="33">
        <v>819.14971586145361</v>
      </c>
    </row>
    <row r="193" spans="1:13" x14ac:dyDescent="0.35">
      <c r="A193" s="27" t="s">
        <v>72</v>
      </c>
      <c r="B193" s="33">
        <v>15842.447674621288</v>
      </c>
      <c r="D193" s="33">
        <v>6930.3878423651104</v>
      </c>
      <c r="E193" s="33">
        <v>8912.0598322561818</v>
      </c>
      <c r="F193" s="33"/>
      <c r="G193" s="33">
        <v>4961.5763468931746</v>
      </c>
      <c r="H193" s="33">
        <v>2995.2083542556047</v>
      </c>
      <c r="I193" s="33">
        <v>5565.8928564854377</v>
      </c>
      <c r="J193" s="33">
        <v>2319.7701169870734</v>
      </c>
      <c r="K193" s="33">
        <v>0</v>
      </c>
      <c r="L193" s="33">
        <v>0</v>
      </c>
      <c r="M193" s="33">
        <v>0</v>
      </c>
    </row>
    <row r="194" spans="1:13" x14ac:dyDescent="0.35">
      <c r="A194" s="27" t="s">
        <v>73</v>
      </c>
      <c r="B194" s="33">
        <v>15825.386644724007</v>
      </c>
      <c r="D194" s="33">
        <v>6475.2638554657769</v>
      </c>
      <c r="E194" s="33">
        <v>9350.1227892582283</v>
      </c>
      <c r="F194" s="33"/>
      <c r="G194" s="33">
        <v>0</v>
      </c>
      <c r="H194" s="33">
        <v>821.70724546253109</v>
      </c>
      <c r="I194" s="33">
        <v>1465.6714258190723</v>
      </c>
      <c r="J194" s="33">
        <v>2695.4447864122913</v>
      </c>
      <c r="K194" s="33">
        <v>2770.1344151583717</v>
      </c>
      <c r="L194" s="33">
        <v>4591.9772400558195</v>
      </c>
      <c r="M194" s="33">
        <v>3480.4515318159197</v>
      </c>
    </row>
    <row r="195" spans="1:13" x14ac:dyDescent="0.35">
      <c r="A195" s="27" t="s">
        <v>74</v>
      </c>
      <c r="B195" s="33">
        <v>3799.3846450267761</v>
      </c>
      <c r="D195" s="33">
        <v>1824.925373501269</v>
      </c>
      <c r="E195" s="33">
        <v>1974.4592715255069</v>
      </c>
      <c r="F195" s="33"/>
      <c r="G195" s="33">
        <v>0</v>
      </c>
      <c r="H195" s="33">
        <v>1474.6582814561098</v>
      </c>
      <c r="I195" s="33">
        <v>1292.2017858187605</v>
      </c>
      <c r="J195" s="33">
        <v>0</v>
      </c>
      <c r="K195" s="33">
        <v>0</v>
      </c>
      <c r="L195" s="33">
        <v>641.17586230640063</v>
      </c>
      <c r="M195" s="33">
        <v>391.34871544550526</v>
      </c>
    </row>
    <row r="196" spans="1:13" x14ac:dyDescent="0.35">
      <c r="A196" s="27" t="s">
        <v>75</v>
      </c>
      <c r="B196" s="33">
        <v>57057.848023300801</v>
      </c>
      <c r="D196" s="33">
        <v>12256.467935028533</v>
      </c>
      <c r="E196" s="33">
        <v>44801.380088272264</v>
      </c>
      <c r="F196" s="33"/>
      <c r="G196" s="33">
        <v>4334.3830491625868</v>
      </c>
      <c r="H196" s="33">
        <v>9008.6054544454546</v>
      </c>
      <c r="I196" s="33">
        <v>13699.902604082996</v>
      </c>
      <c r="J196" s="33">
        <v>9124.1599013761752</v>
      </c>
      <c r="K196" s="33">
        <v>8601.5998165844267</v>
      </c>
      <c r="L196" s="33">
        <v>11142.080406389154</v>
      </c>
      <c r="M196" s="33">
        <v>1147.1167912600031</v>
      </c>
    </row>
    <row r="197" spans="1:13" x14ac:dyDescent="0.35">
      <c r="A197" s="27" t="s">
        <v>76</v>
      </c>
      <c r="B197" s="33">
        <v>14004.973108581886</v>
      </c>
      <c r="D197" s="33">
        <v>9072.7256800028881</v>
      </c>
      <c r="E197" s="33">
        <v>4932.2474285789958</v>
      </c>
      <c r="F197" s="33"/>
      <c r="G197" s="33">
        <v>0</v>
      </c>
      <c r="H197" s="33">
        <v>4758.7405208634309</v>
      </c>
      <c r="I197" s="33">
        <v>5475.2593966231161</v>
      </c>
      <c r="J197" s="33">
        <v>2210.7966060177564</v>
      </c>
      <c r="K197" s="33">
        <v>1560.1765850775791</v>
      </c>
      <c r="L197" s="33">
        <v>0</v>
      </c>
      <c r="M197" s="33">
        <v>0</v>
      </c>
    </row>
    <row r="198" spans="1:13" x14ac:dyDescent="0.35">
      <c r="A198" s="27" t="s">
        <v>77</v>
      </c>
      <c r="B198" s="33">
        <v>8174.7516743893902</v>
      </c>
      <c r="D198" s="33">
        <v>4166.6872506592063</v>
      </c>
      <c r="E198" s="33">
        <v>4008.0644237301849</v>
      </c>
      <c r="F198" s="33"/>
      <c r="G198" s="33">
        <v>1462.1417627186759</v>
      </c>
      <c r="H198" s="33">
        <v>2207.7102876996069</v>
      </c>
      <c r="I198" s="33">
        <v>2049.7753762641491</v>
      </c>
      <c r="J198" s="33">
        <v>0</v>
      </c>
      <c r="K198" s="33">
        <v>1705.9125088266437</v>
      </c>
      <c r="L198" s="33">
        <v>0</v>
      </c>
      <c r="M198" s="33">
        <v>749.21173888031535</v>
      </c>
    </row>
    <row r="199" spans="1:13" x14ac:dyDescent="0.35">
      <c r="A199" s="27" t="s">
        <v>78</v>
      </c>
      <c r="B199" s="33">
        <v>28794.122839140735</v>
      </c>
      <c r="D199" s="33">
        <v>22951.223720614937</v>
      </c>
      <c r="E199" s="33">
        <v>5842.8991185258001</v>
      </c>
      <c r="F199" s="33"/>
      <c r="G199" s="33">
        <v>0</v>
      </c>
      <c r="H199" s="33">
        <v>1627.7987992623175</v>
      </c>
      <c r="I199" s="33">
        <v>7008.9104037032976</v>
      </c>
      <c r="J199" s="33">
        <v>2309.8892330904127</v>
      </c>
      <c r="K199" s="33">
        <v>9874.1814109099596</v>
      </c>
      <c r="L199" s="33">
        <v>4458.7695479237509</v>
      </c>
      <c r="M199" s="33">
        <v>3514.5734442510015</v>
      </c>
    </row>
    <row r="200" spans="1:13" x14ac:dyDescent="0.35">
      <c r="A200" s="27" t="s">
        <v>79</v>
      </c>
      <c r="B200" s="33">
        <v>3055457.7805253458</v>
      </c>
      <c r="D200" s="33">
        <v>1156173.7116615612</v>
      </c>
      <c r="E200" s="33">
        <v>1887180.3576736341</v>
      </c>
      <c r="F200" s="33"/>
      <c r="G200" s="33">
        <v>100119.07421334817</v>
      </c>
      <c r="H200" s="33">
        <v>328103.69950271572</v>
      </c>
      <c r="I200" s="33">
        <v>627601.58985333994</v>
      </c>
      <c r="J200" s="33">
        <v>549306.43154493126</v>
      </c>
      <c r="K200" s="33">
        <v>427961.71980668633</v>
      </c>
      <c r="L200" s="33">
        <v>406528.3680671319</v>
      </c>
      <c r="M200" s="33">
        <v>615836.89753719454</v>
      </c>
    </row>
    <row r="201" spans="1:13" x14ac:dyDescent="0.35">
      <c r="A201" s="27" t="s">
        <v>80</v>
      </c>
      <c r="B201" s="33">
        <v>6394.8003928226799</v>
      </c>
      <c r="D201" s="33">
        <v>3088.5255392464442</v>
      </c>
      <c r="E201" s="33">
        <v>3306.2748535762366</v>
      </c>
      <c r="F201" s="33"/>
      <c r="G201" s="33">
        <v>1666.0442522215446</v>
      </c>
      <c r="H201" s="33">
        <v>1310.7469338201902</v>
      </c>
      <c r="I201" s="33">
        <v>1841.3470736882869</v>
      </c>
      <c r="J201" s="33">
        <v>1576.6621330926587</v>
      </c>
      <c r="K201" s="33">
        <v>0</v>
      </c>
      <c r="L201" s="33">
        <v>0</v>
      </c>
      <c r="M201" s="33">
        <v>0</v>
      </c>
    </row>
    <row r="202" spans="1:13" x14ac:dyDescent="0.35">
      <c r="A202" s="27" t="s">
        <v>81</v>
      </c>
      <c r="B202" s="33">
        <v>24936.503827540273</v>
      </c>
      <c r="D202" s="33">
        <v>16949.757087402108</v>
      </c>
      <c r="E202" s="33">
        <v>7986.7467401381655</v>
      </c>
      <c r="F202" s="33"/>
      <c r="G202" s="33">
        <v>5372.7008565907863</v>
      </c>
      <c r="H202" s="33">
        <v>9549.4981444040404</v>
      </c>
      <c r="I202" s="33">
        <v>6225.1374818537852</v>
      </c>
      <c r="J202" s="33">
        <v>1734.2317893082063</v>
      </c>
      <c r="K202" s="33">
        <v>1068.8168188517798</v>
      </c>
      <c r="L202" s="33">
        <v>986.11873653167595</v>
      </c>
      <c r="M202" s="33">
        <v>0</v>
      </c>
    </row>
    <row r="203" spans="1:13" x14ac:dyDescent="0.35">
      <c r="A203" s="27" t="s">
        <v>82</v>
      </c>
      <c r="B203" s="33">
        <v>819011.64889066643</v>
      </c>
      <c r="D203" s="33">
        <v>625253.05167229625</v>
      </c>
      <c r="E203" s="33">
        <v>190539.13991223107</v>
      </c>
      <c r="F203" s="33"/>
      <c r="G203" s="33">
        <v>120992.84412240474</v>
      </c>
      <c r="H203" s="33">
        <v>197184.07519054977</v>
      </c>
      <c r="I203" s="33">
        <v>240159.71213077809</v>
      </c>
      <c r="J203" s="33">
        <v>168602.14345598503</v>
      </c>
      <c r="K203" s="33">
        <v>67619.353166844652</v>
      </c>
      <c r="L203" s="33">
        <v>19807.737768668903</v>
      </c>
      <c r="M203" s="33">
        <v>4645.7830554334296</v>
      </c>
    </row>
    <row r="204" spans="1:13" x14ac:dyDescent="0.35">
      <c r="A204" s="27" t="s">
        <v>83</v>
      </c>
      <c r="B204" s="33">
        <v>13686.109580196937</v>
      </c>
      <c r="D204" s="33">
        <v>10536.57716279644</v>
      </c>
      <c r="E204" s="33">
        <v>3149.5324174004954</v>
      </c>
      <c r="F204" s="33"/>
      <c r="G204" s="33">
        <v>0</v>
      </c>
      <c r="H204" s="33">
        <v>2616.6585102684107</v>
      </c>
      <c r="I204" s="33">
        <v>8633.8914393767973</v>
      </c>
      <c r="J204" s="33">
        <v>1173.1717366687189</v>
      </c>
      <c r="K204" s="33">
        <v>1262.3878938830089</v>
      </c>
      <c r="L204" s="33">
        <v>0</v>
      </c>
      <c r="M204" s="33">
        <v>0</v>
      </c>
    </row>
    <row r="205" spans="1:13" x14ac:dyDescent="0.35">
      <c r="A205" s="27" t="s">
        <v>84</v>
      </c>
      <c r="B205" s="33">
        <v>3609.2774567751449</v>
      </c>
      <c r="D205" s="33">
        <v>1774.5940740017763</v>
      </c>
      <c r="E205" s="33">
        <v>1320.5987518132849</v>
      </c>
      <c r="F205" s="33"/>
      <c r="G205" s="33">
        <v>0</v>
      </c>
      <c r="H205" s="33">
        <v>0</v>
      </c>
      <c r="I205" s="33">
        <v>607.94696665144022</v>
      </c>
      <c r="J205" s="33">
        <v>1677.3549141032845</v>
      </c>
      <c r="K205" s="33">
        <v>0</v>
      </c>
      <c r="L205" s="33">
        <v>525.48415655107522</v>
      </c>
      <c r="M205" s="33">
        <v>798.49141946934492</v>
      </c>
    </row>
    <row r="206" spans="1:13" x14ac:dyDescent="0.35">
      <c r="A206" s="27" t="s">
        <v>85</v>
      </c>
      <c r="B206" s="33">
        <v>2292.1195311279066</v>
      </c>
      <c r="D206" s="33">
        <v>2292.1195311279066</v>
      </c>
      <c r="E206" s="33">
        <v>0</v>
      </c>
      <c r="F206" s="33"/>
      <c r="G206" s="33">
        <v>1686.4206408888419</v>
      </c>
      <c r="H206" s="33">
        <v>0</v>
      </c>
      <c r="I206" s="33">
        <v>0</v>
      </c>
      <c r="J206" s="33">
        <v>605.69889023906455</v>
      </c>
      <c r="K206" s="33">
        <v>0</v>
      </c>
      <c r="L206" s="33">
        <v>0</v>
      </c>
      <c r="M206" s="33">
        <v>0</v>
      </c>
    </row>
    <row r="207" spans="1:13" x14ac:dyDescent="0.35">
      <c r="A207" s="27" t="s">
        <v>86</v>
      </c>
      <c r="B207" s="33">
        <v>510782.46351516852</v>
      </c>
      <c r="D207" s="33">
        <v>411060.24927199073</v>
      </c>
      <c r="E207" s="33">
        <v>99369.145896952701</v>
      </c>
      <c r="F207" s="33"/>
      <c r="G207" s="33">
        <v>9017.985386230228</v>
      </c>
      <c r="H207" s="33">
        <v>19269.668842238312</v>
      </c>
      <c r="I207" s="33">
        <v>53973.970341926644</v>
      </c>
      <c r="J207" s="33">
        <v>51525.495768020803</v>
      </c>
      <c r="K207" s="33">
        <v>79982.16715574899</v>
      </c>
      <c r="L207" s="33">
        <v>113658.6046190636</v>
      </c>
      <c r="M207" s="33">
        <v>183354.5714019404</v>
      </c>
    </row>
    <row r="208" spans="1:13" x14ac:dyDescent="0.35">
      <c r="A208" s="27" t="s">
        <v>87</v>
      </c>
      <c r="B208" s="33">
        <v>4191.941994402704</v>
      </c>
      <c r="D208" s="33">
        <v>3401.701816697896</v>
      </c>
      <c r="E208" s="33">
        <v>790.24017770480827</v>
      </c>
      <c r="F208" s="33"/>
      <c r="G208" s="33">
        <v>0</v>
      </c>
      <c r="H208" s="33">
        <v>1038.0268016925172</v>
      </c>
      <c r="I208" s="33">
        <v>1821.2222477336859</v>
      </c>
      <c r="J208" s="33">
        <v>641.1629507992609</v>
      </c>
      <c r="K208" s="33">
        <v>691.52999417724016</v>
      </c>
      <c r="L208" s="33">
        <v>0</v>
      </c>
      <c r="M208" s="33">
        <v>0</v>
      </c>
    </row>
    <row r="209" spans="1:13" x14ac:dyDescent="0.35">
      <c r="A209" s="27" t="s">
        <v>88</v>
      </c>
      <c r="B209" s="33">
        <v>943.88468104323374</v>
      </c>
      <c r="D209" s="33">
        <v>0</v>
      </c>
      <c r="E209" s="33">
        <v>943.88468104323374</v>
      </c>
      <c r="F209" s="33"/>
      <c r="G209" s="33">
        <v>0</v>
      </c>
      <c r="H209" s="33">
        <v>0</v>
      </c>
      <c r="I209" s="33">
        <v>348.37584586572149</v>
      </c>
      <c r="J209" s="33">
        <v>595.5088351775122</v>
      </c>
      <c r="K209" s="33">
        <v>0</v>
      </c>
      <c r="L209" s="33">
        <v>0</v>
      </c>
      <c r="M209" s="33">
        <v>0</v>
      </c>
    </row>
    <row r="210" spans="1:13" x14ac:dyDescent="0.35">
      <c r="A210" s="27" t="s">
        <v>89</v>
      </c>
      <c r="B210" s="33">
        <v>74349.4580282846</v>
      </c>
      <c r="D210" s="33">
        <v>18308.369617620072</v>
      </c>
      <c r="E210" s="33">
        <v>55564.898772011969</v>
      </c>
      <c r="F210" s="33"/>
      <c r="G210" s="33">
        <v>12894.632888456712</v>
      </c>
      <c r="H210" s="33">
        <v>19914.431784537832</v>
      </c>
      <c r="I210" s="33">
        <v>21491.20631647496</v>
      </c>
      <c r="J210" s="33">
        <v>15110.051352604045</v>
      </c>
      <c r="K210" s="33">
        <v>2201.2383594326438</v>
      </c>
      <c r="L210" s="33">
        <v>1945.0398352943575</v>
      </c>
      <c r="M210" s="33">
        <v>792.85749148404602</v>
      </c>
    </row>
    <row r="211" spans="1:13" x14ac:dyDescent="0.35">
      <c r="A211" s="27" t="s">
        <v>90</v>
      </c>
      <c r="B211" s="33">
        <v>11643.105659113427</v>
      </c>
      <c r="D211" s="33">
        <v>3653.3521788753319</v>
      </c>
      <c r="E211" s="33">
        <v>7989.7534802380951</v>
      </c>
      <c r="F211" s="33"/>
      <c r="G211" s="33">
        <v>5338.4146427964615</v>
      </c>
      <c r="H211" s="33">
        <v>1849.059259258685</v>
      </c>
      <c r="I211" s="33">
        <v>3967.0758848381574</v>
      </c>
      <c r="J211" s="33">
        <v>488.55587222012258</v>
      </c>
      <c r="K211" s="33">
        <v>0</v>
      </c>
      <c r="L211" s="33">
        <v>0</v>
      </c>
      <c r="M211" s="33">
        <v>0</v>
      </c>
    </row>
    <row r="212" spans="1:13" x14ac:dyDescent="0.35">
      <c r="A212" s="27" t="s">
        <v>91</v>
      </c>
      <c r="B212" s="33">
        <v>1648.8846177587907</v>
      </c>
      <c r="D212" s="33">
        <v>1648.8846177587907</v>
      </c>
      <c r="E212" s="33">
        <v>0</v>
      </c>
      <c r="F212" s="33"/>
      <c r="G212" s="33">
        <v>0</v>
      </c>
      <c r="H212" s="33">
        <v>560.80158686892753</v>
      </c>
      <c r="I212" s="33">
        <v>0</v>
      </c>
      <c r="J212" s="33">
        <v>535.76229204580602</v>
      </c>
      <c r="K212" s="33">
        <v>552.32073884405725</v>
      </c>
      <c r="L212" s="33">
        <v>0</v>
      </c>
      <c r="M212" s="33">
        <v>0</v>
      </c>
    </row>
    <row r="213" spans="1:13" x14ac:dyDescent="0.35">
      <c r="A213" s="27" t="s">
        <v>92</v>
      </c>
      <c r="B213" s="33">
        <v>109661.87536270582</v>
      </c>
      <c r="D213" s="33">
        <v>52421.408855967456</v>
      </c>
      <c r="E213" s="33">
        <v>57240.466506738368</v>
      </c>
      <c r="F213" s="33"/>
      <c r="G213" s="33">
        <v>16443.195006395938</v>
      </c>
      <c r="H213" s="33">
        <v>23284.422338777204</v>
      </c>
      <c r="I213" s="33">
        <v>21585.240540172465</v>
      </c>
      <c r="J213" s="33">
        <v>23535.780952491888</v>
      </c>
      <c r="K213" s="33">
        <v>13899.472848844382</v>
      </c>
      <c r="L213" s="33">
        <v>7805.2456452225024</v>
      </c>
      <c r="M213" s="33">
        <v>3108.5180308014496</v>
      </c>
    </row>
    <row r="214" spans="1:13" x14ac:dyDescent="0.35">
      <c r="A214" s="27" t="s">
        <v>93</v>
      </c>
      <c r="B214" s="33">
        <v>5183.7890593655675</v>
      </c>
      <c r="D214" s="33">
        <v>3817.4243250960599</v>
      </c>
      <c r="E214" s="33">
        <v>1366.3647342695085</v>
      </c>
      <c r="F214" s="33"/>
      <c r="G214" s="33">
        <v>0</v>
      </c>
      <c r="H214" s="33">
        <v>862.59928721439451</v>
      </c>
      <c r="I214" s="33">
        <v>2157.2345476372911</v>
      </c>
      <c r="J214" s="33">
        <v>523.71174488327267</v>
      </c>
      <c r="K214" s="33">
        <v>1640.2434796306097</v>
      </c>
      <c r="L214" s="33">
        <v>0</v>
      </c>
      <c r="M214" s="33">
        <v>0</v>
      </c>
    </row>
    <row r="215" spans="1:13" x14ac:dyDescent="0.35">
      <c r="A215" s="27" t="s">
        <v>94</v>
      </c>
      <c r="B215" s="33">
        <v>11378.506704919791</v>
      </c>
      <c r="D215" s="33">
        <v>8165.8719930870921</v>
      </c>
      <c r="E215" s="33">
        <v>3212.6347118326989</v>
      </c>
      <c r="F215" s="33"/>
      <c r="G215" s="33">
        <v>2108.7544649934875</v>
      </c>
      <c r="H215" s="33">
        <v>2326.9459377326493</v>
      </c>
      <c r="I215" s="33">
        <v>1663.9401811386747</v>
      </c>
      <c r="J215" s="33">
        <v>3702.793196946589</v>
      </c>
      <c r="K215" s="33">
        <v>1576.0729241083909</v>
      </c>
      <c r="L215" s="33">
        <v>0</v>
      </c>
      <c r="M215" s="33">
        <v>0</v>
      </c>
    </row>
    <row r="216" spans="1:13" x14ac:dyDescent="0.35">
      <c r="A216" s="27" t="s">
        <v>95</v>
      </c>
      <c r="B216" s="33">
        <v>1016.7912756254527</v>
      </c>
      <c r="D216" s="33">
        <v>560.80158686892753</v>
      </c>
      <c r="E216" s="33">
        <v>455.9896887565252</v>
      </c>
      <c r="F216" s="33"/>
      <c r="G216" s="33">
        <v>0</v>
      </c>
      <c r="H216" s="33">
        <v>560.80158686892753</v>
      </c>
      <c r="I216" s="33">
        <v>0</v>
      </c>
      <c r="J216" s="33">
        <v>0</v>
      </c>
      <c r="K216" s="33">
        <v>455.9896887565252</v>
      </c>
      <c r="L216" s="33">
        <v>0</v>
      </c>
      <c r="M216" s="33">
        <v>0</v>
      </c>
    </row>
    <row r="217" spans="1:13" x14ac:dyDescent="0.35">
      <c r="A217" s="27" t="s">
        <v>96</v>
      </c>
      <c r="B217" s="33">
        <v>27179.408030104954</v>
      </c>
      <c r="D217" s="33">
        <v>5572.3884939047248</v>
      </c>
      <c r="E217" s="33">
        <v>20497.80023253629</v>
      </c>
      <c r="F217" s="33"/>
      <c r="G217" s="33">
        <v>13278.146689725501</v>
      </c>
      <c r="H217" s="33">
        <v>4687.3564378123683</v>
      </c>
      <c r="I217" s="33">
        <v>4543.5013370093238</v>
      </c>
      <c r="J217" s="33">
        <v>2397.8783501716161</v>
      </c>
      <c r="K217" s="33">
        <v>599.9016185832653</v>
      </c>
      <c r="L217" s="33">
        <v>1672.6235968028782</v>
      </c>
      <c r="M217" s="33">
        <v>0</v>
      </c>
    </row>
    <row r="218" spans="1:13" x14ac:dyDescent="0.35">
      <c r="A218" s="27" t="s">
        <v>97</v>
      </c>
      <c r="B218" s="33">
        <v>5999.8491147738887</v>
      </c>
      <c r="D218" s="33">
        <v>4282.9333947276155</v>
      </c>
      <c r="E218" s="33">
        <v>1716.9157200462723</v>
      </c>
      <c r="F218" s="33"/>
      <c r="G218" s="33">
        <v>0</v>
      </c>
      <c r="H218" s="33">
        <v>1293.1887150399273</v>
      </c>
      <c r="I218" s="33">
        <v>1734.4405014353024</v>
      </c>
      <c r="J218" s="33">
        <v>1123.727089638408</v>
      </c>
      <c r="K218" s="33">
        <v>1078.975900347519</v>
      </c>
      <c r="L218" s="33">
        <v>769.51690831273186</v>
      </c>
      <c r="M218" s="33">
        <v>0</v>
      </c>
    </row>
    <row r="219" spans="1:13" x14ac:dyDescent="0.35">
      <c r="A219" s="27" t="s">
        <v>98</v>
      </c>
      <c r="B219" s="33">
        <v>13147.52956942805</v>
      </c>
      <c r="D219" s="33">
        <v>4334.6621980489599</v>
      </c>
      <c r="E219" s="33">
        <v>8812.8673713790959</v>
      </c>
      <c r="F219" s="33"/>
      <c r="G219" s="33">
        <v>4989.2408021754973</v>
      </c>
      <c r="H219" s="33">
        <v>2070.2078393332581</v>
      </c>
      <c r="I219" s="33">
        <v>2997.9752053618186</v>
      </c>
      <c r="J219" s="33">
        <v>1211.529228255094</v>
      </c>
      <c r="K219" s="33">
        <v>941.89158736442937</v>
      </c>
      <c r="L219" s="33">
        <v>553.56389592853839</v>
      </c>
      <c r="M219" s="33">
        <v>383.12101100941817</v>
      </c>
    </row>
    <row r="220" spans="1:13" x14ac:dyDescent="0.35">
      <c r="A220" s="27" t="s">
        <v>99</v>
      </c>
      <c r="B220" s="33">
        <v>36554.640619465667</v>
      </c>
      <c r="D220" s="33">
        <v>29879.228827230061</v>
      </c>
      <c r="E220" s="33">
        <v>6675.4117922356063</v>
      </c>
      <c r="F220" s="33"/>
      <c r="G220" s="33">
        <v>3799.7781071551271</v>
      </c>
      <c r="H220" s="33">
        <v>4970.7208750587251</v>
      </c>
      <c r="I220" s="33">
        <v>11552.542580101675</v>
      </c>
      <c r="J220" s="33">
        <v>12964.545912018522</v>
      </c>
      <c r="K220" s="33">
        <v>2937.1419097011712</v>
      </c>
      <c r="L220" s="33">
        <v>0</v>
      </c>
      <c r="M220" s="33">
        <v>329.91123543044199</v>
      </c>
    </row>
    <row r="221" spans="1:13" x14ac:dyDescent="0.35">
      <c r="A221" s="27" t="s">
        <v>100</v>
      </c>
      <c r="B221" s="33">
        <v>37961.934694880489</v>
      </c>
      <c r="D221" s="33">
        <v>22584.847026328975</v>
      </c>
      <c r="E221" s="33">
        <v>15377.08766855151</v>
      </c>
      <c r="F221" s="33"/>
      <c r="G221" s="33">
        <v>3019.361990234167</v>
      </c>
      <c r="H221" s="33">
        <v>10121.316566157117</v>
      </c>
      <c r="I221" s="33">
        <v>3960.9256251248207</v>
      </c>
      <c r="J221" s="33">
        <v>9917.6147347841525</v>
      </c>
      <c r="K221" s="33">
        <v>3637.1156854192423</v>
      </c>
      <c r="L221" s="33">
        <v>4605.4940345256182</v>
      </c>
      <c r="M221" s="33">
        <v>2700.1060586353656</v>
      </c>
    </row>
    <row r="222" spans="1:13" x14ac:dyDescent="0.35">
      <c r="A222" s="27" t="s">
        <v>101</v>
      </c>
      <c r="B222" s="33">
        <v>6759.2834554439996</v>
      </c>
      <c r="D222" s="33">
        <v>5194.4525801849695</v>
      </c>
      <c r="E222" s="33">
        <v>1564.8308752590294</v>
      </c>
      <c r="F222" s="33"/>
      <c r="G222" s="33">
        <v>1259.3393337517546</v>
      </c>
      <c r="H222" s="33">
        <v>1342.4352682777153</v>
      </c>
      <c r="I222" s="33">
        <v>1548.2757344094221</v>
      </c>
      <c r="J222" s="33">
        <v>1067.0633900758116</v>
      </c>
      <c r="K222" s="33">
        <v>1112.591117961136</v>
      </c>
      <c r="L222" s="33">
        <v>429.57861096815924</v>
      </c>
      <c r="M222" s="33">
        <v>0</v>
      </c>
    </row>
    <row r="223" spans="1:13" x14ac:dyDescent="0.35">
      <c r="A223" s="27" t="s">
        <v>102</v>
      </c>
      <c r="B223" s="33">
        <v>353.06834622505613</v>
      </c>
      <c r="D223" s="33">
        <v>353.06834622505613</v>
      </c>
      <c r="E223" s="33">
        <v>0</v>
      </c>
      <c r="F223" s="33"/>
      <c r="G223" s="33">
        <v>0</v>
      </c>
      <c r="H223" s="33">
        <v>0</v>
      </c>
      <c r="I223" s="33">
        <v>0</v>
      </c>
      <c r="J223" s="33">
        <v>0</v>
      </c>
      <c r="K223" s="33">
        <v>0</v>
      </c>
      <c r="L223" s="33">
        <v>353.06834622505613</v>
      </c>
      <c r="M223" s="33">
        <v>0</v>
      </c>
    </row>
    <row r="224" spans="1:13" x14ac:dyDescent="0.35">
      <c r="A224" s="27" t="s">
        <v>103</v>
      </c>
      <c r="B224" s="33">
        <v>571.40508150444884</v>
      </c>
      <c r="D224" s="33">
        <v>0</v>
      </c>
      <c r="E224" s="33">
        <v>571.40508150444884</v>
      </c>
      <c r="F224" s="33"/>
      <c r="G224" s="33">
        <v>0</v>
      </c>
      <c r="H224" s="33">
        <v>0</v>
      </c>
      <c r="I224" s="33">
        <v>571.40508150444884</v>
      </c>
      <c r="J224" s="33">
        <v>0</v>
      </c>
      <c r="K224" s="33">
        <v>0</v>
      </c>
      <c r="L224" s="33">
        <v>0</v>
      </c>
      <c r="M224" s="33">
        <v>0</v>
      </c>
    </row>
    <row r="225" spans="1:13" x14ac:dyDescent="0.35">
      <c r="A225" s="27" t="s">
        <v>104</v>
      </c>
      <c r="B225" s="33">
        <v>1646.9392019312893</v>
      </c>
      <c r="D225" s="33">
        <v>521.95097362648971</v>
      </c>
      <c r="E225" s="33">
        <v>1124.9882283047996</v>
      </c>
      <c r="F225" s="33"/>
      <c r="G225" s="33">
        <v>0</v>
      </c>
      <c r="H225" s="33">
        <v>484.78434233267041</v>
      </c>
      <c r="I225" s="33">
        <v>0</v>
      </c>
      <c r="J225" s="33">
        <v>0</v>
      </c>
      <c r="K225" s="33">
        <v>1162.1548595986189</v>
      </c>
      <c r="L225" s="33">
        <v>0</v>
      </c>
      <c r="M225" s="33">
        <v>0</v>
      </c>
    </row>
    <row r="226" spans="1:13" x14ac:dyDescent="0.35">
      <c r="A226" s="27" t="s">
        <v>105</v>
      </c>
      <c r="B226" s="33">
        <v>6277.196961678399</v>
      </c>
      <c r="D226" s="33">
        <v>2216.2871713457957</v>
      </c>
      <c r="E226" s="33">
        <v>4060.9097903326028</v>
      </c>
      <c r="F226" s="33"/>
      <c r="G226" s="33">
        <v>2074.1972019958926</v>
      </c>
      <c r="H226" s="33">
        <v>1267.8852611849338</v>
      </c>
      <c r="I226" s="33">
        <v>942.45598753830154</v>
      </c>
      <c r="J226" s="33">
        <v>576.37949662448739</v>
      </c>
      <c r="K226" s="33">
        <v>924.19110592372317</v>
      </c>
      <c r="L226" s="33">
        <v>492.0879084110598</v>
      </c>
      <c r="M226" s="33">
        <v>0</v>
      </c>
    </row>
    <row r="227" spans="1:13" x14ac:dyDescent="0.35">
      <c r="A227" s="27" t="s">
        <v>106</v>
      </c>
      <c r="B227" s="33">
        <v>573.2311755698156</v>
      </c>
      <c r="D227" s="33">
        <v>573.2311755698156</v>
      </c>
      <c r="E227" s="33">
        <v>0</v>
      </c>
      <c r="F227" s="33"/>
      <c r="G227" s="33">
        <v>0</v>
      </c>
      <c r="H227" s="33">
        <v>573.2311755698156</v>
      </c>
      <c r="I227" s="33">
        <v>0</v>
      </c>
      <c r="J227" s="33">
        <v>0</v>
      </c>
      <c r="K227" s="33">
        <v>0</v>
      </c>
      <c r="L227" s="33">
        <v>0</v>
      </c>
      <c r="M227" s="33">
        <v>0</v>
      </c>
    </row>
    <row r="228" spans="1:13" x14ac:dyDescent="0.35">
      <c r="A228" s="27" t="s">
        <v>107</v>
      </c>
      <c r="B228" s="33">
        <v>24918.795621540343</v>
      </c>
      <c r="D228" s="33">
        <v>17956.622297094946</v>
      </c>
      <c r="E228" s="33">
        <v>6962.1733244453972</v>
      </c>
      <c r="F228" s="33"/>
      <c r="G228" s="33">
        <v>2955.4401799245543</v>
      </c>
      <c r="H228" s="33">
        <v>2608.2694042432686</v>
      </c>
      <c r="I228" s="33">
        <v>2904.4420947129925</v>
      </c>
      <c r="J228" s="33">
        <v>5940.769919373939</v>
      </c>
      <c r="K228" s="33">
        <v>3733.1406776126769</v>
      </c>
      <c r="L228" s="33">
        <v>4679.8998826232846</v>
      </c>
      <c r="M228" s="33">
        <v>2096.8334630496311</v>
      </c>
    </row>
    <row r="229" spans="1:13" x14ac:dyDescent="0.35">
      <c r="A229" s="27" t="s">
        <v>108</v>
      </c>
      <c r="B229" s="33">
        <v>0</v>
      </c>
      <c r="D229" s="33">
        <v>0</v>
      </c>
      <c r="E229" s="33">
        <v>0</v>
      </c>
      <c r="F229" s="33"/>
      <c r="G229" s="33">
        <v>0</v>
      </c>
      <c r="H229" s="33">
        <v>0</v>
      </c>
      <c r="I229" s="33">
        <v>0</v>
      </c>
      <c r="J229" s="33">
        <v>0</v>
      </c>
      <c r="K229" s="33">
        <v>0</v>
      </c>
      <c r="L229" s="33">
        <v>0</v>
      </c>
      <c r="M229" s="33">
        <v>0</v>
      </c>
    </row>
    <row r="230" spans="1:13" x14ac:dyDescent="0.35">
      <c r="A230" s="27" t="s">
        <v>109</v>
      </c>
      <c r="B230" s="33">
        <v>2143.8795288844881</v>
      </c>
      <c r="D230" s="33">
        <v>1095.3678975030743</v>
      </c>
      <c r="E230" s="33">
        <v>1048.5116313814137</v>
      </c>
      <c r="F230" s="33"/>
      <c r="G230" s="33">
        <v>0</v>
      </c>
      <c r="H230" s="33">
        <v>0</v>
      </c>
      <c r="I230" s="33">
        <v>591.1258673411993</v>
      </c>
      <c r="J230" s="33">
        <v>0</v>
      </c>
      <c r="K230" s="33">
        <v>644.05183610281483</v>
      </c>
      <c r="L230" s="33">
        <v>908.70182544047373</v>
      </c>
      <c r="M230" s="33">
        <v>0</v>
      </c>
    </row>
    <row r="231" spans="1:13" x14ac:dyDescent="0.35">
      <c r="A231" s="27" t="s">
        <v>110</v>
      </c>
      <c r="B231" s="33">
        <v>99682.211154984703</v>
      </c>
      <c r="D231" s="33">
        <v>40057.675046411743</v>
      </c>
      <c r="E231" s="33">
        <v>59624.536108572967</v>
      </c>
      <c r="F231" s="33"/>
      <c r="G231" s="33">
        <v>5203.7452373040651</v>
      </c>
      <c r="H231" s="33">
        <v>11533.864542557771</v>
      </c>
      <c r="I231" s="33">
        <v>18804.386238622672</v>
      </c>
      <c r="J231" s="33">
        <v>6907.7649132372753</v>
      </c>
      <c r="K231" s="33">
        <v>12592.29889373944</v>
      </c>
      <c r="L231" s="33">
        <v>8340.1262202349481</v>
      </c>
      <c r="M231" s="33">
        <v>36300.02510928853</v>
      </c>
    </row>
    <row r="232" spans="1:13" x14ac:dyDescent="0.35">
      <c r="A232" s="27" t="s">
        <v>111</v>
      </c>
      <c r="B232" s="33">
        <v>15328.48455171016</v>
      </c>
      <c r="D232" s="33">
        <v>10281.124132727669</v>
      </c>
      <c r="E232" s="33">
        <v>5047.3604189824928</v>
      </c>
      <c r="F232" s="33"/>
      <c r="G232" s="33">
        <v>0</v>
      </c>
      <c r="H232" s="33">
        <v>6769.5488398196612</v>
      </c>
      <c r="I232" s="33">
        <v>2464.7575543681883</v>
      </c>
      <c r="J232" s="33">
        <v>2244.263163507243</v>
      </c>
      <c r="K232" s="33">
        <v>3849.9149940150655</v>
      </c>
      <c r="L232" s="33">
        <v>0</v>
      </c>
      <c r="M232" s="33">
        <v>0</v>
      </c>
    </row>
    <row r="233" spans="1:13" x14ac:dyDescent="0.35">
      <c r="A233" s="27" t="s">
        <v>112</v>
      </c>
      <c r="B233" s="33">
        <v>0</v>
      </c>
      <c r="D233" s="33">
        <v>0</v>
      </c>
      <c r="E233" s="33">
        <v>0</v>
      </c>
      <c r="F233" s="33"/>
      <c r="G233" s="33">
        <v>0</v>
      </c>
      <c r="H233" s="33">
        <v>0</v>
      </c>
      <c r="I233" s="33">
        <v>0</v>
      </c>
      <c r="J233" s="33">
        <v>0</v>
      </c>
      <c r="K233" s="33">
        <v>0</v>
      </c>
      <c r="L233" s="33">
        <v>0</v>
      </c>
      <c r="M233" s="33">
        <v>0</v>
      </c>
    </row>
    <row r="234" spans="1:13" x14ac:dyDescent="0.35">
      <c r="A234" s="27" t="s">
        <v>113</v>
      </c>
      <c r="B234" s="33">
        <v>69230.534606191708</v>
      </c>
      <c r="D234" s="33">
        <v>46842.326737485884</v>
      </c>
      <c r="E234" s="33">
        <v>21828.239087138259</v>
      </c>
      <c r="F234" s="33"/>
      <c r="G234" s="33">
        <v>6409.8197232505008</v>
      </c>
      <c r="H234" s="33">
        <v>8689.0965912276388</v>
      </c>
      <c r="I234" s="33">
        <v>19445.497270344644</v>
      </c>
      <c r="J234" s="33">
        <v>13907.660744873619</v>
      </c>
      <c r="K234" s="33">
        <v>7029.9520613245077</v>
      </c>
      <c r="L234" s="33">
        <v>8246.633195714423</v>
      </c>
      <c r="M234" s="33">
        <v>5501.8750194563863</v>
      </c>
    </row>
    <row r="235" spans="1:13" x14ac:dyDescent="0.35">
      <c r="A235" s="27" t="s">
        <v>114</v>
      </c>
      <c r="B235" s="33">
        <v>35162.681314704983</v>
      </c>
      <c r="D235" s="33">
        <v>30384.088991918306</v>
      </c>
      <c r="E235" s="33">
        <v>2923.2954739120305</v>
      </c>
      <c r="F235" s="33"/>
      <c r="G235" s="33">
        <v>3984.63953647372</v>
      </c>
      <c r="H235" s="33">
        <v>6316.8081701969131</v>
      </c>
      <c r="I235" s="33">
        <v>10727.272289030949</v>
      </c>
      <c r="J235" s="33">
        <v>4464.1813576025133</v>
      </c>
      <c r="K235" s="33">
        <v>4280.9648646900869</v>
      </c>
      <c r="L235" s="33">
        <v>4312.980972571464</v>
      </c>
      <c r="M235" s="33">
        <v>1075.8341241393368</v>
      </c>
    </row>
    <row r="236" spans="1:13" x14ac:dyDescent="0.35">
      <c r="A236" s="27" t="s">
        <v>115</v>
      </c>
      <c r="B236" s="33">
        <v>20066.628215966561</v>
      </c>
      <c r="D236" s="33">
        <v>16872.853689816911</v>
      </c>
      <c r="E236" s="33">
        <v>3193.7745261496457</v>
      </c>
      <c r="F236" s="33"/>
      <c r="G236" s="33">
        <v>1652.1540198338178</v>
      </c>
      <c r="H236" s="33">
        <v>1200.7251674465736</v>
      </c>
      <c r="I236" s="33">
        <v>4148.6336190239526</v>
      </c>
      <c r="J236" s="33">
        <v>4945.3537292661476</v>
      </c>
      <c r="K236" s="33">
        <v>5076.9130184533506</v>
      </c>
      <c r="L236" s="33">
        <v>1938.1206095890288</v>
      </c>
      <c r="M236" s="33">
        <v>1104.7280523536879</v>
      </c>
    </row>
    <row r="237" spans="1:13" x14ac:dyDescent="0.35">
      <c r="A237" s="27" t="s">
        <v>116</v>
      </c>
      <c r="B237" s="33">
        <v>5700.0993147392028</v>
      </c>
      <c r="D237" s="33">
        <v>3851.5916694790722</v>
      </c>
      <c r="E237" s="33">
        <v>1848.5076452601302</v>
      </c>
      <c r="F237" s="33"/>
      <c r="G237" s="33">
        <v>826.07700991690888</v>
      </c>
      <c r="H237" s="33">
        <v>0</v>
      </c>
      <c r="I237" s="33">
        <v>1956.2485722042279</v>
      </c>
      <c r="J237" s="33">
        <v>2581.370641529576</v>
      </c>
      <c r="K237" s="33">
        <v>0</v>
      </c>
      <c r="L237" s="33">
        <v>0</v>
      </c>
      <c r="M237" s="33">
        <v>336.40309108848965</v>
      </c>
    </row>
    <row r="238" spans="1:13" x14ac:dyDescent="0.35">
      <c r="A238" s="27" t="s">
        <v>117</v>
      </c>
      <c r="B238" s="33">
        <v>30071.990429307749</v>
      </c>
      <c r="D238" s="33">
        <v>15247.114983306697</v>
      </c>
      <c r="E238" s="33">
        <v>14824.875446001059</v>
      </c>
      <c r="F238" s="33"/>
      <c r="G238" s="33">
        <v>3297.6633365412217</v>
      </c>
      <c r="H238" s="33">
        <v>12027.769079743361</v>
      </c>
      <c r="I238" s="33">
        <v>9842.4622676892759</v>
      </c>
      <c r="J238" s="33">
        <v>3828.4242228363737</v>
      </c>
      <c r="K238" s="33">
        <v>549.41304220990173</v>
      </c>
      <c r="L238" s="33">
        <v>526.25848028762562</v>
      </c>
      <c r="M238" s="33">
        <v>0</v>
      </c>
    </row>
    <row r="239" spans="1:13" x14ac:dyDescent="0.35">
      <c r="A239" s="27" t="s">
        <v>118</v>
      </c>
      <c r="B239" s="33">
        <v>419519.02124459011</v>
      </c>
      <c r="D239" s="33">
        <v>65416.064036352029</v>
      </c>
      <c r="E239" s="33">
        <v>352831.66230380029</v>
      </c>
      <c r="F239" s="33"/>
      <c r="G239" s="33">
        <v>72445.302225315798</v>
      </c>
      <c r="H239" s="33">
        <v>121282.63492331213</v>
      </c>
      <c r="I239" s="33">
        <v>111717.22151500812</v>
      </c>
      <c r="J239" s="33">
        <v>71248.087324128632</v>
      </c>
      <c r="K239" s="33">
        <v>33043.817333286192</v>
      </c>
      <c r="L239" s="33">
        <v>8004.7150907957785</v>
      </c>
      <c r="M239" s="33">
        <v>1777.2428327437501</v>
      </c>
    </row>
    <row r="240" spans="1:13" x14ac:dyDescent="0.35">
      <c r="A240" s="27" t="s">
        <v>119</v>
      </c>
      <c r="B240" s="33">
        <v>8379.9165545793949</v>
      </c>
      <c r="D240" s="33">
        <v>2813.2921713226383</v>
      </c>
      <c r="E240" s="33">
        <v>5566.6243832567561</v>
      </c>
      <c r="F240" s="33"/>
      <c r="G240" s="33">
        <v>2074.1972019958926</v>
      </c>
      <c r="H240" s="33">
        <v>0</v>
      </c>
      <c r="I240" s="33">
        <v>2459.5054544343639</v>
      </c>
      <c r="J240" s="33">
        <v>2398.8649452589138</v>
      </c>
      <c r="K240" s="33">
        <v>1447.3489528902246</v>
      </c>
      <c r="L240" s="33">
        <v>0</v>
      </c>
      <c r="M240" s="33">
        <v>0</v>
      </c>
    </row>
    <row r="241" spans="1:13" x14ac:dyDescent="0.35">
      <c r="A241" s="27" t="s">
        <v>120</v>
      </c>
      <c r="B241" s="33">
        <v>12388.652291783892</v>
      </c>
      <c r="D241" s="33">
        <v>5528.6342719634622</v>
      </c>
      <c r="E241" s="33">
        <v>6860.0180198204289</v>
      </c>
      <c r="F241" s="33"/>
      <c r="G241" s="33">
        <v>2074.1972019958926</v>
      </c>
      <c r="H241" s="33">
        <v>925.30458394745574</v>
      </c>
      <c r="I241" s="33">
        <v>469.05400122691901</v>
      </c>
      <c r="J241" s="33">
        <v>3487.7945743836344</v>
      </c>
      <c r="K241" s="33">
        <v>2555.579481839663</v>
      </c>
      <c r="L241" s="33">
        <v>1454.6188993386229</v>
      </c>
      <c r="M241" s="33">
        <v>1422.103549051704</v>
      </c>
    </row>
    <row r="242" spans="1:13" x14ac:dyDescent="0.35">
      <c r="A242" s="27" t="s">
        <v>121</v>
      </c>
      <c r="B242" s="33">
        <v>5555.5875211259618</v>
      </c>
      <c r="D242" s="33">
        <v>3156.0339963909373</v>
      </c>
      <c r="E242" s="33">
        <v>2399.5535247350253</v>
      </c>
      <c r="F242" s="33"/>
      <c r="G242" s="33">
        <v>0</v>
      </c>
      <c r="H242" s="33">
        <v>0</v>
      </c>
      <c r="I242" s="33">
        <v>0</v>
      </c>
      <c r="J242" s="33">
        <v>1751.0352686751785</v>
      </c>
      <c r="K242" s="33">
        <v>1672.3412246811613</v>
      </c>
      <c r="L242" s="33">
        <v>1106.511687420646</v>
      </c>
      <c r="M242" s="33">
        <v>1025.6993403489769</v>
      </c>
    </row>
    <row r="243" spans="1:13" x14ac:dyDescent="0.35">
      <c r="A243" s="27" t="s">
        <v>122</v>
      </c>
      <c r="B243" s="33">
        <v>43136.387478038872</v>
      </c>
      <c r="D243" s="33">
        <v>25132.820637150762</v>
      </c>
      <c r="E243" s="33">
        <v>18003.566840888114</v>
      </c>
      <c r="F243" s="33"/>
      <c r="G243" s="33">
        <v>7219.4085647709753</v>
      </c>
      <c r="H243" s="33">
        <v>14923.480733721399</v>
      </c>
      <c r="I243" s="33">
        <v>15131.95876786812</v>
      </c>
      <c r="J243" s="33">
        <v>4368.2441133043858</v>
      </c>
      <c r="K243" s="33">
        <v>1099.1001803659076</v>
      </c>
      <c r="L243" s="33">
        <v>0</v>
      </c>
      <c r="M243" s="33">
        <v>394.1951180080851</v>
      </c>
    </row>
    <row r="244" spans="1:13" x14ac:dyDescent="0.35">
      <c r="A244" s="27" t="s">
        <v>123</v>
      </c>
      <c r="B244" s="33">
        <v>15352.064811788943</v>
      </c>
      <c r="D244" s="33">
        <v>8014.5523324229061</v>
      </c>
      <c r="E244" s="33">
        <v>7337.5124793660343</v>
      </c>
      <c r="F244" s="33"/>
      <c r="G244" s="33">
        <v>0</v>
      </c>
      <c r="H244" s="33">
        <v>686.64005864399599</v>
      </c>
      <c r="I244" s="33">
        <v>3687.6129046183928</v>
      </c>
      <c r="J244" s="33">
        <v>2794.7930788963631</v>
      </c>
      <c r="K244" s="33">
        <v>1985.0895362575015</v>
      </c>
      <c r="L244" s="33">
        <v>4032.2565239642004</v>
      </c>
      <c r="M244" s="33">
        <v>2165.6727094084849</v>
      </c>
    </row>
    <row r="245" spans="1:13" x14ac:dyDescent="0.35">
      <c r="A245" s="27" t="s">
        <v>124</v>
      </c>
      <c r="B245" s="33">
        <v>2246.1396108280069</v>
      </c>
      <c r="D245" s="33">
        <v>1222.1478549359263</v>
      </c>
      <c r="E245" s="33">
        <v>1023.9917558920806</v>
      </c>
      <c r="F245" s="33"/>
      <c r="G245" s="33">
        <v>0</v>
      </c>
      <c r="H245" s="33">
        <v>635.84484732760052</v>
      </c>
      <c r="I245" s="33">
        <v>0</v>
      </c>
      <c r="J245" s="33">
        <v>586.30300760832574</v>
      </c>
      <c r="K245" s="33">
        <v>498.05992022250638</v>
      </c>
      <c r="L245" s="33">
        <v>525.93183566957418</v>
      </c>
      <c r="M245" s="33">
        <v>0</v>
      </c>
    </row>
    <row r="246" spans="1:13" x14ac:dyDescent="0.35">
      <c r="A246" s="27" t="s">
        <v>125</v>
      </c>
      <c r="B246" s="33">
        <v>0</v>
      </c>
      <c r="D246" s="33">
        <v>0</v>
      </c>
      <c r="E246" s="33">
        <v>0</v>
      </c>
      <c r="F246" s="33"/>
      <c r="G246" s="33">
        <v>0</v>
      </c>
      <c r="H246" s="33">
        <v>0</v>
      </c>
      <c r="I246" s="33">
        <v>0</v>
      </c>
      <c r="J246" s="33">
        <v>0</v>
      </c>
      <c r="K246" s="33">
        <v>0</v>
      </c>
      <c r="L246" s="33">
        <v>0</v>
      </c>
      <c r="M246" s="33">
        <v>0</v>
      </c>
    </row>
    <row r="247" spans="1:13" x14ac:dyDescent="0.35">
      <c r="A247" s="27" t="s">
        <v>126</v>
      </c>
      <c r="B247" s="33">
        <v>740.72198676219773</v>
      </c>
      <c r="D247" s="33">
        <v>0</v>
      </c>
      <c r="E247" s="33">
        <v>740.72198676219773</v>
      </c>
      <c r="F247" s="33"/>
      <c r="G247" s="33">
        <v>0</v>
      </c>
      <c r="H247" s="33">
        <v>0</v>
      </c>
      <c r="I247" s="33">
        <v>0</v>
      </c>
      <c r="J247" s="33">
        <v>0</v>
      </c>
      <c r="K247" s="33">
        <v>0</v>
      </c>
      <c r="L247" s="33">
        <v>0</v>
      </c>
      <c r="M247" s="33">
        <v>740.72198676219773</v>
      </c>
    </row>
    <row r="248" spans="1:13" x14ac:dyDescent="0.35">
      <c r="A248" s="27" t="s">
        <v>127</v>
      </c>
      <c r="B248" s="33">
        <v>10174.356658621564</v>
      </c>
      <c r="D248" s="33">
        <v>1432.6212007287409</v>
      </c>
      <c r="E248" s="33">
        <v>8741.7354578928225</v>
      </c>
      <c r="F248" s="33"/>
      <c r="G248" s="33">
        <v>0</v>
      </c>
      <c r="H248" s="33">
        <v>0</v>
      </c>
      <c r="I248" s="33">
        <v>846.09127437027234</v>
      </c>
      <c r="J248" s="33">
        <v>2058.7110513197308</v>
      </c>
      <c r="K248" s="33">
        <v>545.58096259664114</v>
      </c>
      <c r="L248" s="33">
        <v>1711.5214877220756</v>
      </c>
      <c r="M248" s="33">
        <v>5012.4518826128433</v>
      </c>
    </row>
    <row r="249" spans="1:13" x14ac:dyDescent="0.35">
      <c r="A249" s="27" t="s">
        <v>286</v>
      </c>
      <c r="B249" s="33">
        <v>153791.98185468436</v>
      </c>
      <c r="D249" s="33">
        <v>71573.17576093183</v>
      </c>
      <c r="E249" s="33">
        <v>81639.57048067404</v>
      </c>
      <c r="F249" s="33"/>
      <c r="G249" s="33">
        <v>5442.3137525270977</v>
      </c>
      <c r="H249" s="33">
        <v>13625.963770378123</v>
      </c>
      <c r="I249" s="33">
        <v>22808.640146813348</v>
      </c>
      <c r="J249" s="33">
        <v>24480.537505326745</v>
      </c>
      <c r="K249" s="33">
        <v>28190.202056846567</v>
      </c>
      <c r="L249" s="33">
        <v>32955.58504809656</v>
      </c>
      <c r="M249" s="33">
        <v>26288.739574695952</v>
      </c>
    </row>
    <row r="250" spans="1:13" x14ac:dyDescent="0.35">
      <c r="A250" s="27" t="s">
        <v>128</v>
      </c>
      <c r="B250" s="33">
        <v>1258619.5830591177</v>
      </c>
      <c r="D250" s="33">
        <v>109208.259078239</v>
      </c>
      <c r="E250" s="33">
        <v>1145736.2583278145</v>
      </c>
      <c r="F250" s="33"/>
      <c r="G250" s="33">
        <v>24584.062561859162</v>
      </c>
      <c r="H250" s="33">
        <v>150447.74772632276</v>
      </c>
      <c r="I250" s="33">
        <v>342491.20266933134</v>
      </c>
      <c r="J250" s="33">
        <v>265626.54914767464</v>
      </c>
      <c r="K250" s="33">
        <v>185919.7260202399</v>
      </c>
      <c r="L250" s="33">
        <v>159289.30306410324</v>
      </c>
      <c r="M250" s="33">
        <v>130260.99186958249</v>
      </c>
    </row>
    <row r="251" spans="1:13" x14ac:dyDescent="0.35">
      <c r="A251" s="27" t="s">
        <v>129</v>
      </c>
      <c r="B251" s="33">
        <v>331.57568299910065</v>
      </c>
      <c r="D251" s="33">
        <v>331.57568299910065</v>
      </c>
      <c r="E251" s="33">
        <v>0</v>
      </c>
      <c r="F251" s="33"/>
      <c r="G251" s="33">
        <v>0</v>
      </c>
      <c r="H251" s="33">
        <v>0</v>
      </c>
      <c r="I251" s="33">
        <v>0</v>
      </c>
      <c r="J251" s="33">
        <v>0</v>
      </c>
      <c r="K251" s="33">
        <v>0</v>
      </c>
      <c r="L251" s="33">
        <v>0</v>
      </c>
      <c r="M251" s="33">
        <v>331.57568299910065</v>
      </c>
    </row>
    <row r="252" spans="1:13" x14ac:dyDescent="0.35">
      <c r="A252" s="27" t="s">
        <v>130</v>
      </c>
      <c r="B252" s="33">
        <v>1007.9459456765678</v>
      </c>
      <c r="D252" s="33">
        <v>539.04925199432728</v>
      </c>
      <c r="E252" s="33">
        <v>468.89669368224054</v>
      </c>
      <c r="F252" s="33"/>
      <c r="G252" s="33">
        <v>0</v>
      </c>
      <c r="H252" s="33">
        <v>0</v>
      </c>
      <c r="I252" s="33">
        <v>0</v>
      </c>
      <c r="J252" s="33">
        <v>1007.9459456765678</v>
      </c>
      <c r="K252" s="33">
        <v>0</v>
      </c>
      <c r="L252" s="33">
        <v>0</v>
      </c>
      <c r="M252" s="33">
        <v>0</v>
      </c>
    </row>
    <row r="253" spans="1:13" x14ac:dyDescent="0.35">
      <c r="A253" s="27" t="s">
        <v>131</v>
      </c>
      <c r="B253" s="33">
        <v>7163.1310541936764</v>
      </c>
      <c r="D253" s="33">
        <v>1159.0765747468779</v>
      </c>
      <c r="E253" s="33">
        <v>5562.9501025505779</v>
      </c>
      <c r="F253" s="33"/>
      <c r="G253" s="33">
        <v>0</v>
      </c>
      <c r="H253" s="33">
        <v>2093.2132294022367</v>
      </c>
      <c r="I253" s="33">
        <v>1853.1671743527984</v>
      </c>
      <c r="J253" s="33">
        <v>2214.1860237461965</v>
      </c>
      <c r="K253" s="33">
        <v>0</v>
      </c>
      <c r="L253" s="33">
        <v>564.98228691634495</v>
      </c>
      <c r="M253" s="33">
        <v>437.58233977610007</v>
      </c>
    </row>
    <row r="254" spans="1:13" x14ac:dyDescent="0.35">
      <c r="A254" s="27" t="s">
        <v>132</v>
      </c>
      <c r="B254" s="33">
        <v>7425.4609154139216</v>
      </c>
      <c r="D254" s="33">
        <v>4890.5953386253714</v>
      </c>
      <c r="E254" s="33">
        <v>2534.8655767885484</v>
      </c>
      <c r="F254" s="33"/>
      <c r="G254" s="33">
        <v>0</v>
      </c>
      <c r="H254" s="33">
        <v>1779.8534450593936</v>
      </c>
      <c r="I254" s="33">
        <v>2146.9106835399225</v>
      </c>
      <c r="J254" s="33">
        <v>1525.6679701309633</v>
      </c>
      <c r="K254" s="33">
        <v>558.29548232252409</v>
      </c>
      <c r="L254" s="33">
        <v>1414.7333343611158</v>
      </c>
      <c r="M254" s="33">
        <v>0</v>
      </c>
    </row>
    <row r="255" spans="1:13" x14ac:dyDescent="0.35">
      <c r="A255" s="27" t="s">
        <v>133</v>
      </c>
      <c r="B255" s="33">
        <v>1720.899277330011</v>
      </c>
      <c r="D255" s="33">
        <v>685.2942652353521</v>
      </c>
      <c r="E255" s="33">
        <v>1035.6050120946588</v>
      </c>
      <c r="F255" s="33"/>
      <c r="G255" s="33">
        <v>0</v>
      </c>
      <c r="H255" s="33">
        <v>514.77258278537431</v>
      </c>
      <c r="I255" s="33">
        <v>685.2942652353521</v>
      </c>
      <c r="J255" s="33">
        <v>520.83242930928463</v>
      </c>
      <c r="K255" s="33">
        <v>0</v>
      </c>
      <c r="L255" s="33">
        <v>0</v>
      </c>
      <c r="M255" s="33">
        <v>0</v>
      </c>
    </row>
    <row r="256" spans="1:13" x14ac:dyDescent="0.35">
      <c r="A256" s="27" t="s">
        <v>134</v>
      </c>
      <c r="B256" s="33">
        <v>35437.442611423467</v>
      </c>
      <c r="D256" s="33">
        <v>19154.814353959042</v>
      </c>
      <c r="E256" s="33">
        <v>16282.628257464419</v>
      </c>
      <c r="F256" s="33"/>
      <c r="G256" s="33">
        <v>9960.0912359432987</v>
      </c>
      <c r="H256" s="33">
        <v>7217.7097845288263</v>
      </c>
      <c r="I256" s="33">
        <v>8182.8437579756801</v>
      </c>
      <c r="J256" s="33">
        <v>5375.2939474798559</v>
      </c>
      <c r="K256" s="33">
        <v>3084.7390920373996</v>
      </c>
      <c r="L256" s="33">
        <v>1215.1626022035612</v>
      </c>
      <c r="M256" s="33">
        <v>401.6021912548444</v>
      </c>
    </row>
    <row r="257" spans="1:13" x14ac:dyDescent="0.35">
      <c r="A257" s="27" t="s">
        <v>135</v>
      </c>
      <c r="B257" s="33">
        <v>595.10667569694965</v>
      </c>
      <c r="D257" s="33">
        <v>0</v>
      </c>
      <c r="E257" s="33">
        <v>595.10667569694965</v>
      </c>
      <c r="F257" s="33"/>
      <c r="G257" s="33">
        <v>0</v>
      </c>
      <c r="H257" s="33">
        <v>595.10667569694965</v>
      </c>
      <c r="I257" s="33">
        <v>0</v>
      </c>
      <c r="J257" s="33">
        <v>0</v>
      </c>
      <c r="K257" s="33">
        <v>0</v>
      </c>
      <c r="L257" s="33">
        <v>0</v>
      </c>
      <c r="M257" s="33">
        <v>0</v>
      </c>
    </row>
    <row r="258" spans="1:13" x14ac:dyDescent="0.35">
      <c r="A258" s="27" t="s">
        <v>136</v>
      </c>
      <c r="B258" s="33">
        <v>3900.4479836730461</v>
      </c>
      <c r="D258" s="33">
        <v>2575.6569296392427</v>
      </c>
      <c r="E258" s="33">
        <v>1324.7910540338034</v>
      </c>
      <c r="F258" s="33"/>
      <c r="G258" s="33">
        <v>0</v>
      </c>
      <c r="H258" s="33">
        <v>383.15988283303466</v>
      </c>
      <c r="I258" s="33">
        <v>346.83624277045078</v>
      </c>
      <c r="J258" s="33">
        <v>0</v>
      </c>
      <c r="K258" s="33">
        <v>1518.3067763773265</v>
      </c>
      <c r="L258" s="33">
        <v>916.41328224588619</v>
      </c>
      <c r="M258" s="33">
        <v>735.73179944634762</v>
      </c>
    </row>
    <row r="259" spans="1:13" x14ac:dyDescent="0.35">
      <c r="A259" s="27" t="s">
        <v>137</v>
      </c>
      <c r="B259" s="33">
        <v>3040.2738012020077</v>
      </c>
      <c r="D259" s="33">
        <v>1475.3176201437141</v>
      </c>
      <c r="E259" s="33">
        <v>1564.9561810582941</v>
      </c>
      <c r="F259" s="33"/>
      <c r="G259" s="33">
        <v>0</v>
      </c>
      <c r="H259" s="33">
        <v>0</v>
      </c>
      <c r="I259" s="33">
        <v>0</v>
      </c>
      <c r="J259" s="33">
        <v>1717.7581090961703</v>
      </c>
      <c r="K259" s="33">
        <v>563.50016787445509</v>
      </c>
      <c r="L259" s="33">
        <v>353.06834622505613</v>
      </c>
      <c r="M259" s="33">
        <v>405.94717800632662</v>
      </c>
    </row>
    <row r="260" spans="1:13" x14ac:dyDescent="0.35">
      <c r="A260" s="27" t="s">
        <v>138</v>
      </c>
      <c r="B260" s="33">
        <v>4307.9678073892037</v>
      </c>
      <c r="D260" s="33">
        <v>1599.141567944595</v>
      </c>
      <c r="E260" s="33">
        <v>2708.8262394446087</v>
      </c>
      <c r="F260" s="33"/>
      <c r="G260" s="33">
        <v>0</v>
      </c>
      <c r="H260" s="33">
        <v>1181.6731591907005</v>
      </c>
      <c r="I260" s="33">
        <v>1497.1832301103532</v>
      </c>
      <c r="J260" s="33">
        <v>1629.1114180881495</v>
      </c>
      <c r="K260" s="33">
        <v>0</v>
      </c>
      <c r="L260" s="33">
        <v>0</v>
      </c>
      <c r="M260" s="33">
        <v>0</v>
      </c>
    </row>
    <row r="261" spans="1:13" x14ac:dyDescent="0.35">
      <c r="A261" s="27" t="s">
        <v>139</v>
      </c>
      <c r="B261" s="33">
        <v>42351.659046664463</v>
      </c>
      <c r="D261" s="33">
        <v>22419.854702040866</v>
      </c>
      <c r="E261" s="33">
        <v>19453.41445418663</v>
      </c>
      <c r="F261" s="33"/>
      <c r="G261" s="33">
        <v>9606.2843942976615</v>
      </c>
      <c r="H261" s="33">
        <v>5969.0669905339864</v>
      </c>
      <c r="I261" s="33">
        <v>5066.5140048424264</v>
      </c>
      <c r="J261" s="33">
        <v>5750.4083434921704</v>
      </c>
      <c r="K261" s="33">
        <v>4445.9203457593876</v>
      </c>
      <c r="L261" s="33">
        <v>7070.4660020993115</v>
      </c>
      <c r="M261" s="33">
        <v>4442.9989656395446</v>
      </c>
    </row>
    <row r="262" spans="1:13" x14ac:dyDescent="0.35">
      <c r="A262" s="27" t="s">
        <v>140</v>
      </c>
      <c r="B262" s="33">
        <v>120876.44182215557</v>
      </c>
      <c r="D262" s="33">
        <v>90287.464773706946</v>
      </c>
      <c r="E262" s="33">
        <v>30588.977048448607</v>
      </c>
      <c r="F262" s="33"/>
      <c r="G262" s="33">
        <v>25900.66997781672</v>
      </c>
      <c r="H262" s="33">
        <v>26150.085199073786</v>
      </c>
      <c r="I262" s="33">
        <v>41749.427243551858</v>
      </c>
      <c r="J262" s="33">
        <v>15688.855055138722</v>
      </c>
      <c r="K262" s="33">
        <v>9748.1502379122794</v>
      </c>
      <c r="L262" s="33">
        <v>1019.6780098905033</v>
      </c>
      <c r="M262" s="33">
        <v>619.57609877171171</v>
      </c>
    </row>
    <row r="263" spans="1:13" x14ac:dyDescent="0.35">
      <c r="A263" s="27" t="s">
        <v>141</v>
      </c>
      <c r="B263" s="33">
        <v>69305.024679152339</v>
      </c>
      <c r="D263" s="33">
        <v>55330.137359200067</v>
      </c>
      <c r="E263" s="33">
        <v>13974.887319952268</v>
      </c>
      <c r="F263" s="33"/>
      <c r="G263" s="33">
        <v>10551.189045339421</v>
      </c>
      <c r="H263" s="33">
        <v>19274.735383326333</v>
      </c>
      <c r="I263" s="33">
        <v>23713.332370573335</v>
      </c>
      <c r="J263" s="33">
        <v>6662.2056665491655</v>
      </c>
      <c r="K263" s="33">
        <v>4306.4670686114223</v>
      </c>
      <c r="L263" s="33">
        <v>3339.7808929205598</v>
      </c>
      <c r="M263" s="33">
        <v>1457.314251832122</v>
      </c>
    </row>
    <row r="264" spans="1:13" x14ac:dyDescent="0.35">
      <c r="A264" s="27" t="s">
        <v>142</v>
      </c>
      <c r="B264" s="33">
        <v>1114300.2803006768</v>
      </c>
      <c r="D264" s="33">
        <v>595107.00852599216</v>
      </c>
      <c r="E264" s="33">
        <v>518160.16531733325</v>
      </c>
      <c r="F264" s="33"/>
      <c r="G264" s="33">
        <v>87077.014067619297</v>
      </c>
      <c r="H264" s="33">
        <v>183102.16813869312</v>
      </c>
      <c r="I264" s="33">
        <v>341134.84756983892</v>
      </c>
      <c r="J264" s="33">
        <v>237817.39639182837</v>
      </c>
      <c r="K264" s="33">
        <v>159276.73564475405</v>
      </c>
      <c r="L264" s="33">
        <v>77985.916970295846</v>
      </c>
      <c r="M264" s="33">
        <v>27906.201517646226</v>
      </c>
    </row>
    <row r="265" spans="1:13" x14ac:dyDescent="0.35">
      <c r="A265" s="27" t="s">
        <v>143</v>
      </c>
      <c r="B265" s="33">
        <v>37649.552499939404</v>
      </c>
      <c r="D265" s="33">
        <v>27185.661360179864</v>
      </c>
      <c r="E265" s="33">
        <v>10463.891139759558</v>
      </c>
      <c r="F265" s="33"/>
      <c r="G265" s="33">
        <v>3021.9839471772202</v>
      </c>
      <c r="H265" s="33">
        <v>1690.2056004891515</v>
      </c>
      <c r="I265" s="33">
        <v>1961.4046337098525</v>
      </c>
      <c r="J265" s="33">
        <v>5006.3581306706392</v>
      </c>
      <c r="K265" s="33">
        <v>4687.7097865894502</v>
      </c>
      <c r="L265" s="33">
        <v>11177.128113934355</v>
      </c>
      <c r="M265" s="33">
        <v>10104.762287368754</v>
      </c>
    </row>
    <row r="266" spans="1:13" x14ac:dyDescent="0.35">
      <c r="A266" s="27" t="s">
        <v>144</v>
      </c>
      <c r="B266" s="33">
        <v>1783.2236790954767</v>
      </c>
      <c r="D266" s="33">
        <v>1261.1163467515366</v>
      </c>
      <c r="E266" s="33">
        <v>522.10733234394013</v>
      </c>
      <c r="F266" s="33"/>
      <c r="G266" s="33">
        <v>0</v>
      </c>
      <c r="H266" s="33">
        <v>0</v>
      </c>
      <c r="I266" s="33">
        <v>1261.1163467515366</v>
      </c>
      <c r="J266" s="33">
        <v>522.10733234394013</v>
      </c>
      <c r="K266" s="33">
        <v>0</v>
      </c>
      <c r="L266" s="33">
        <v>0</v>
      </c>
      <c r="M266" s="33">
        <v>0</v>
      </c>
    </row>
    <row r="267" spans="1:13" x14ac:dyDescent="0.35">
      <c r="A267" s="27" t="s">
        <v>145</v>
      </c>
      <c r="B267" s="33">
        <v>4397.3942380452499</v>
      </c>
      <c r="D267" s="33">
        <v>3731.8678684696033</v>
      </c>
      <c r="E267" s="33">
        <v>665.52636957564584</v>
      </c>
      <c r="F267" s="33"/>
      <c r="G267" s="33">
        <v>2532.4319732308718</v>
      </c>
      <c r="H267" s="33">
        <v>1279.6880146453871</v>
      </c>
      <c r="I267" s="33">
        <v>0</v>
      </c>
      <c r="J267" s="33">
        <v>585.27425016899087</v>
      </c>
      <c r="K267" s="33">
        <v>0</v>
      </c>
      <c r="L267" s="33">
        <v>0</v>
      </c>
      <c r="M267" s="33">
        <v>0</v>
      </c>
    </row>
    <row r="268" spans="1:13" x14ac:dyDescent="0.35">
      <c r="A268" s="27" t="s">
        <v>146</v>
      </c>
      <c r="B268" s="33">
        <v>596.90802760652321</v>
      </c>
      <c r="D268" s="33">
        <v>596.90802760652321</v>
      </c>
      <c r="E268" s="33">
        <v>0</v>
      </c>
      <c r="F268" s="33"/>
      <c r="G268" s="33">
        <v>0</v>
      </c>
      <c r="H268" s="33">
        <v>596.90802760652321</v>
      </c>
      <c r="I268" s="33">
        <v>0</v>
      </c>
      <c r="J268" s="33">
        <v>0</v>
      </c>
      <c r="K268" s="33">
        <v>0</v>
      </c>
      <c r="L268" s="33">
        <v>0</v>
      </c>
      <c r="M268" s="33">
        <v>0</v>
      </c>
    </row>
    <row r="269" spans="1:13" x14ac:dyDescent="0.35">
      <c r="A269" s="27" t="s">
        <v>284</v>
      </c>
      <c r="B269" s="33">
        <v>24182.610389168494</v>
      </c>
      <c r="D269" s="33">
        <v>21743.820125628547</v>
      </c>
      <c r="E269" s="33">
        <v>2438.7902635399423</v>
      </c>
      <c r="F269" s="33"/>
      <c r="G269" s="33">
        <v>0</v>
      </c>
      <c r="H269" s="33">
        <v>502.65155024680223</v>
      </c>
      <c r="I269" s="33">
        <v>6926.7360921181416</v>
      </c>
      <c r="J269" s="33">
        <v>4294.5648574044872</v>
      </c>
      <c r="K269" s="33">
        <v>6034.9182954571916</v>
      </c>
      <c r="L269" s="33">
        <v>1926.0718445580671</v>
      </c>
      <c r="M269" s="33">
        <v>4497.6677493838015</v>
      </c>
    </row>
    <row r="270" spans="1:13" x14ac:dyDescent="0.35">
      <c r="A270" s="27" t="s">
        <v>283</v>
      </c>
      <c r="B270" s="33">
        <v>25351.628520418271</v>
      </c>
      <c r="D270" s="33">
        <v>20681.796094023623</v>
      </c>
      <c r="E270" s="33">
        <v>4669.8324263946515</v>
      </c>
      <c r="F270" s="33"/>
      <c r="G270" s="33">
        <v>0</v>
      </c>
      <c r="H270" s="33">
        <v>1432.8849698313747</v>
      </c>
      <c r="I270" s="33">
        <v>5417.393247476788</v>
      </c>
      <c r="J270" s="33">
        <v>6624.2978827954639</v>
      </c>
      <c r="K270" s="33">
        <v>4710.3691338012231</v>
      </c>
      <c r="L270" s="33">
        <v>2454.0845271541598</v>
      </c>
      <c r="M270" s="33">
        <v>4712.5987593592599</v>
      </c>
    </row>
    <row r="271" spans="1:13" x14ac:dyDescent="0.35">
      <c r="A271" s="27" t="s">
        <v>147</v>
      </c>
      <c r="B271" s="33">
        <v>17532.03869294751</v>
      </c>
      <c r="D271" s="33">
        <v>10159.948476856927</v>
      </c>
      <c r="E271" s="33">
        <v>7372.0902160905798</v>
      </c>
      <c r="F271" s="33"/>
      <c r="G271" s="33">
        <v>0</v>
      </c>
      <c r="H271" s="33">
        <v>4180.9693518303329</v>
      </c>
      <c r="I271" s="33">
        <v>4320.6251453552732</v>
      </c>
      <c r="J271" s="33">
        <v>4397.2497701447501</v>
      </c>
      <c r="K271" s="33">
        <v>4158.8937700164679</v>
      </c>
      <c r="L271" s="33">
        <v>474.30065560068488</v>
      </c>
      <c r="M271" s="33">
        <v>0</v>
      </c>
    </row>
    <row r="272" spans="1:13" x14ac:dyDescent="0.35">
      <c r="A272" s="27" t="s">
        <v>148</v>
      </c>
      <c r="B272" s="33">
        <v>0</v>
      </c>
      <c r="D272" s="33">
        <v>0</v>
      </c>
      <c r="E272" s="33">
        <v>0</v>
      </c>
      <c r="F272" s="33"/>
      <c r="G272" s="33">
        <v>0</v>
      </c>
      <c r="H272" s="33">
        <v>0</v>
      </c>
      <c r="I272" s="33">
        <v>0</v>
      </c>
      <c r="J272" s="33">
        <v>0</v>
      </c>
      <c r="K272" s="33">
        <v>0</v>
      </c>
      <c r="L272" s="33">
        <v>0</v>
      </c>
      <c r="M272" s="33">
        <v>0</v>
      </c>
    </row>
    <row r="273" spans="1:13" x14ac:dyDescent="0.35">
      <c r="A273" s="27" t="s">
        <v>149</v>
      </c>
      <c r="B273" s="33">
        <v>31727.488639698342</v>
      </c>
      <c r="D273" s="33">
        <v>20320.883713834824</v>
      </c>
      <c r="E273" s="33">
        <v>11406.604925863527</v>
      </c>
      <c r="F273" s="33"/>
      <c r="G273" s="33">
        <v>2715.1923793862793</v>
      </c>
      <c r="H273" s="33">
        <v>2378.3247988688636</v>
      </c>
      <c r="I273" s="33">
        <v>2913.9686968749347</v>
      </c>
      <c r="J273" s="33">
        <v>7089.9607240885216</v>
      </c>
      <c r="K273" s="33">
        <v>6406.8113314292514</v>
      </c>
      <c r="L273" s="33">
        <v>6135.2665794172544</v>
      </c>
      <c r="M273" s="33">
        <v>4087.9641296332406</v>
      </c>
    </row>
    <row r="274" spans="1:13" x14ac:dyDescent="0.35">
      <c r="A274" s="27" t="s">
        <v>150</v>
      </c>
      <c r="B274" s="33">
        <v>0</v>
      </c>
      <c r="D274" s="33">
        <v>0</v>
      </c>
      <c r="E274" s="33">
        <v>0</v>
      </c>
      <c r="F274" s="33"/>
      <c r="G274" s="33">
        <v>0</v>
      </c>
      <c r="H274" s="33">
        <v>0</v>
      </c>
      <c r="I274" s="33">
        <v>0</v>
      </c>
      <c r="J274" s="33">
        <v>0</v>
      </c>
      <c r="K274" s="33">
        <v>0</v>
      </c>
      <c r="L274" s="33">
        <v>0</v>
      </c>
      <c r="M274" s="33">
        <v>0</v>
      </c>
    </row>
    <row r="275" spans="1:13" x14ac:dyDescent="0.35">
      <c r="A275" s="27" t="s">
        <v>151</v>
      </c>
      <c r="B275" s="33">
        <v>29796.046011219634</v>
      </c>
      <c r="D275" s="33">
        <v>12286.835572261305</v>
      </c>
      <c r="E275" s="33">
        <v>17037.08368255648</v>
      </c>
      <c r="F275" s="33"/>
      <c r="G275" s="33">
        <v>3098.8747491322342</v>
      </c>
      <c r="H275" s="33">
        <v>5894.5394659887515</v>
      </c>
      <c r="I275" s="33">
        <v>6864.6490489666003</v>
      </c>
      <c r="J275" s="33">
        <v>5659.8964602626747</v>
      </c>
      <c r="K275" s="33">
        <v>3557.9910437838612</v>
      </c>
      <c r="L275" s="33">
        <v>4720.0952430855168</v>
      </c>
      <c r="M275" s="33">
        <v>0</v>
      </c>
    </row>
    <row r="276" spans="1:13" x14ac:dyDescent="0.35">
      <c r="A276" s="27" t="s">
        <v>152</v>
      </c>
      <c r="B276" s="33">
        <v>37300.98909884609</v>
      </c>
      <c r="D276" s="33">
        <v>25047.024836080989</v>
      </c>
      <c r="E276" s="33">
        <v>11002.644981669222</v>
      </c>
      <c r="F276" s="33"/>
      <c r="G276" s="33">
        <v>3693.9476357339172</v>
      </c>
      <c r="H276" s="33">
        <v>10659.670766692225</v>
      </c>
      <c r="I276" s="33">
        <v>14214.208314982083</v>
      </c>
      <c r="J276" s="33">
        <v>7391.5365286378928</v>
      </c>
      <c r="K276" s="33">
        <v>0</v>
      </c>
      <c r="L276" s="33">
        <v>1341.6258527999639</v>
      </c>
      <c r="M276" s="33">
        <v>0</v>
      </c>
    </row>
    <row r="277" spans="1:13" x14ac:dyDescent="0.35">
      <c r="A277" s="27" t="s">
        <v>153</v>
      </c>
      <c r="B277" s="33">
        <v>34701.788741275741</v>
      </c>
      <c r="D277" s="33">
        <v>27244.498523303329</v>
      </c>
      <c r="E277" s="33">
        <v>7457.2902179724197</v>
      </c>
      <c r="F277" s="33"/>
      <c r="G277" s="33">
        <v>1598.1721363620209</v>
      </c>
      <c r="H277" s="33">
        <v>1973.4518330685169</v>
      </c>
      <c r="I277" s="33">
        <v>8022.2205283963849</v>
      </c>
      <c r="J277" s="33">
        <v>4272.2264663017331</v>
      </c>
      <c r="K277" s="33">
        <v>8205.741159400106</v>
      </c>
      <c r="L277" s="33">
        <v>8053.9819224702787</v>
      </c>
      <c r="M277" s="33">
        <v>2575.9946952767054</v>
      </c>
    </row>
    <row r="278" spans="1:13" x14ac:dyDescent="0.35">
      <c r="A278" s="27" t="s">
        <v>154</v>
      </c>
      <c r="B278" s="33">
        <v>44381.162401605347</v>
      </c>
      <c r="D278" s="33">
        <v>20161.687215704267</v>
      </c>
      <c r="E278" s="33">
        <v>24219.475185901076</v>
      </c>
      <c r="F278" s="33"/>
      <c r="G278" s="33">
        <v>0</v>
      </c>
      <c r="H278" s="33">
        <v>6764.4973703069954</v>
      </c>
      <c r="I278" s="33">
        <v>14585.909539552104</v>
      </c>
      <c r="J278" s="33">
        <v>11972.055491132878</v>
      </c>
      <c r="K278" s="33">
        <v>6132.2225169563153</v>
      </c>
      <c r="L278" s="33">
        <v>1252.1825068432513</v>
      </c>
      <c r="M278" s="33">
        <v>3674.2949768137964</v>
      </c>
    </row>
    <row r="279" spans="1:13" x14ac:dyDescent="0.35">
      <c r="A279" s="27" t="s">
        <v>155</v>
      </c>
      <c r="B279" s="33">
        <v>604711.26089471672</v>
      </c>
      <c r="D279" s="33">
        <v>278980.45035223919</v>
      </c>
      <c r="E279" s="33">
        <v>323268.25788426009</v>
      </c>
      <c r="F279" s="33"/>
      <c r="G279" s="33">
        <v>58358.945882641696</v>
      </c>
      <c r="H279" s="33">
        <v>87124.70454943378</v>
      </c>
      <c r="I279" s="33">
        <v>141899.60019274609</v>
      </c>
      <c r="J279" s="33">
        <v>125710.33474165061</v>
      </c>
      <c r="K279" s="33">
        <v>79458.372533192538</v>
      </c>
      <c r="L279" s="33">
        <v>51234.074121973834</v>
      </c>
      <c r="M279" s="33">
        <v>60925.228873076718</v>
      </c>
    </row>
    <row r="280" spans="1:13" x14ac:dyDescent="0.35">
      <c r="A280" s="27" t="s">
        <v>156</v>
      </c>
      <c r="B280" s="33">
        <v>3218.2757918540783</v>
      </c>
      <c r="D280" s="33">
        <v>1208.2323818572393</v>
      </c>
      <c r="E280" s="33">
        <v>1547.2105730517587</v>
      </c>
      <c r="F280" s="33"/>
      <c r="G280" s="33">
        <v>0</v>
      </c>
      <c r="H280" s="33">
        <v>1836.8216136661506</v>
      </c>
      <c r="I280" s="33">
        <v>1381.4541781879273</v>
      </c>
      <c r="J280" s="33">
        <v>0</v>
      </c>
      <c r="K280" s="33">
        <v>0</v>
      </c>
      <c r="L280" s="33">
        <v>0</v>
      </c>
      <c r="M280" s="33">
        <v>0</v>
      </c>
    </row>
    <row r="281" spans="1:13" x14ac:dyDescent="0.35">
      <c r="A281" s="27" t="s">
        <v>157</v>
      </c>
      <c r="B281" s="33">
        <v>7750.0737687674036</v>
      </c>
      <c r="D281" s="33">
        <v>4601.2505064013258</v>
      </c>
      <c r="E281" s="33">
        <v>3148.8232623660797</v>
      </c>
      <c r="F281" s="33"/>
      <c r="G281" s="33">
        <v>0</v>
      </c>
      <c r="H281" s="33">
        <v>1188.8113586636907</v>
      </c>
      <c r="I281" s="33">
        <v>3285.4747261883062</v>
      </c>
      <c r="J281" s="33">
        <v>1839.1554574995589</v>
      </c>
      <c r="K281" s="33">
        <v>1436.6322264158489</v>
      </c>
      <c r="L281" s="33">
        <v>0</v>
      </c>
      <c r="M281" s="33">
        <v>0</v>
      </c>
    </row>
    <row r="282" spans="1:13" x14ac:dyDescent="0.35">
      <c r="A282" s="27" t="s">
        <v>158</v>
      </c>
      <c r="B282" s="33">
        <v>134215.10577651524</v>
      </c>
      <c r="D282" s="33">
        <v>100934.70443352545</v>
      </c>
      <c r="E282" s="33">
        <v>33280.40134298971</v>
      </c>
      <c r="F282" s="33"/>
      <c r="G282" s="33">
        <v>17307.9542041077</v>
      </c>
      <c r="H282" s="33">
        <v>28334.341510159109</v>
      </c>
      <c r="I282" s="33">
        <v>29203.775709663027</v>
      </c>
      <c r="J282" s="33">
        <v>23423.107654914595</v>
      </c>
      <c r="K282" s="33">
        <v>14532.419989546266</v>
      </c>
      <c r="L282" s="33">
        <v>8562.2759453157123</v>
      </c>
      <c r="M282" s="33">
        <v>12851.230762808858</v>
      </c>
    </row>
    <row r="283" spans="1:13" x14ac:dyDescent="0.35">
      <c r="A283" s="27" t="s">
        <v>282</v>
      </c>
      <c r="B283" s="33">
        <v>23655.951134450181</v>
      </c>
      <c r="D283" s="33">
        <v>13955.796202440637</v>
      </c>
      <c r="E283" s="33">
        <v>9700.1549320095401</v>
      </c>
      <c r="F283" s="33"/>
      <c r="G283" s="33">
        <v>8901.6224374920148</v>
      </c>
      <c r="H283" s="33">
        <v>4076.897130213591</v>
      </c>
      <c r="I283" s="33">
        <v>3233.3662049293716</v>
      </c>
      <c r="J283" s="33">
        <v>1653.6637234075074</v>
      </c>
      <c r="K283" s="33">
        <v>3369.4066495427478</v>
      </c>
      <c r="L283" s="33">
        <v>1653.61384217965</v>
      </c>
      <c r="M283" s="33">
        <v>767.38114668529397</v>
      </c>
    </row>
    <row r="284" spans="1:13" x14ac:dyDescent="0.35">
      <c r="A284" s="27" t="s">
        <v>159</v>
      </c>
      <c r="B284" s="33">
        <v>1849.8107717123889</v>
      </c>
      <c r="D284" s="33">
        <v>1386.9779347673089</v>
      </c>
      <c r="E284" s="33">
        <v>462.83283694507992</v>
      </c>
      <c r="F284" s="33"/>
      <c r="G284" s="33">
        <v>0</v>
      </c>
      <c r="H284" s="33">
        <v>1386.9779347673089</v>
      </c>
      <c r="I284" s="33">
        <v>462.83283694507992</v>
      </c>
      <c r="J284" s="33">
        <v>0</v>
      </c>
      <c r="K284" s="33">
        <v>0</v>
      </c>
      <c r="L284" s="33">
        <v>0</v>
      </c>
      <c r="M284" s="33">
        <v>0</v>
      </c>
    </row>
    <row r="285" spans="1:13" x14ac:dyDescent="0.35">
      <c r="A285" s="27" t="s">
        <v>160</v>
      </c>
      <c r="B285" s="33">
        <v>441458.40082161879</v>
      </c>
      <c r="D285" s="33">
        <v>249925.302863569</v>
      </c>
      <c r="E285" s="33">
        <v>191533.09795804913</v>
      </c>
      <c r="F285" s="33"/>
      <c r="G285" s="33">
        <v>61778.57652480487</v>
      </c>
      <c r="H285" s="33">
        <v>65201.210386896222</v>
      </c>
      <c r="I285" s="33">
        <v>92362.849209450462</v>
      </c>
      <c r="J285" s="33">
        <v>70403.754108893772</v>
      </c>
      <c r="K285" s="33">
        <v>68870.051430937412</v>
      </c>
      <c r="L285" s="33">
        <v>38815.519747919512</v>
      </c>
      <c r="M285" s="33">
        <v>44026.439412715976</v>
      </c>
    </row>
    <row r="286" spans="1:13" x14ac:dyDescent="0.35">
      <c r="A286" s="27" t="s">
        <v>161</v>
      </c>
      <c r="B286" s="33">
        <v>55336.318797152009</v>
      </c>
      <c r="D286" s="33">
        <v>29967.695941472131</v>
      </c>
      <c r="E286" s="33">
        <v>25368.62285567986</v>
      </c>
      <c r="F286" s="33"/>
      <c r="G286" s="33">
        <v>5109.3122964028207</v>
      </c>
      <c r="H286" s="33">
        <v>7063.175479810785</v>
      </c>
      <c r="I286" s="33">
        <v>7014.9327648188537</v>
      </c>
      <c r="J286" s="33">
        <v>10679.835579532551</v>
      </c>
      <c r="K286" s="33">
        <v>8162.7831251687367</v>
      </c>
      <c r="L286" s="33">
        <v>8262.6983834298244</v>
      </c>
      <c r="M286" s="33">
        <v>9043.5811679884246</v>
      </c>
    </row>
    <row r="287" spans="1:13" x14ac:dyDescent="0.35">
      <c r="A287" s="27" t="s">
        <v>162</v>
      </c>
      <c r="B287" s="33">
        <v>0</v>
      </c>
      <c r="D287" s="33">
        <v>0</v>
      </c>
      <c r="E287" s="33">
        <v>0</v>
      </c>
      <c r="F287" s="33"/>
      <c r="G287" s="33">
        <v>0</v>
      </c>
      <c r="H287" s="33">
        <v>0</v>
      </c>
      <c r="I287" s="33">
        <v>0</v>
      </c>
      <c r="J287" s="33">
        <v>0</v>
      </c>
      <c r="K287" s="33">
        <v>0</v>
      </c>
      <c r="L287" s="33">
        <v>0</v>
      </c>
      <c r="M287" s="33">
        <v>0</v>
      </c>
    </row>
    <row r="288" spans="1:13" x14ac:dyDescent="0.35">
      <c r="A288" s="27" t="s">
        <v>163</v>
      </c>
      <c r="B288" s="33">
        <v>121826.43254981218</v>
      </c>
      <c r="D288" s="33">
        <v>73864.407361920312</v>
      </c>
      <c r="E288" s="33">
        <v>47962.025187891828</v>
      </c>
      <c r="F288" s="33"/>
      <c r="G288" s="33">
        <v>18140.219889326931</v>
      </c>
      <c r="H288" s="33">
        <v>28614.580415364959</v>
      </c>
      <c r="I288" s="33">
        <v>37226.711841610995</v>
      </c>
      <c r="J288" s="33">
        <v>17474.975074742171</v>
      </c>
      <c r="K288" s="33">
        <v>13734.379108956524</v>
      </c>
      <c r="L288" s="33">
        <v>4666.5248195878758</v>
      </c>
      <c r="M288" s="33">
        <v>1969.0414002227412</v>
      </c>
    </row>
    <row r="289" spans="1:13" x14ac:dyDescent="0.35">
      <c r="A289" s="27" t="s">
        <v>164</v>
      </c>
      <c r="B289" s="33">
        <v>27066.890217747488</v>
      </c>
      <c r="D289" s="33">
        <v>17293.518624659708</v>
      </c>
      <c r="E289" s="33">
        <v>9773.3715930877843</v>
      </c>
      <c r="F289" s="33"/>
      <c r="G289" s="33">
        <v>1289.2059563182577</v>
      </c>
      <c r="H289" s="33">
        <v>2824.8758923966834</v>
      </c>
      <c r="I289" s="33">
        <v>7174.6396314339981</v>
      </c>
      <c r="J289" s="33">
        <v>7297.9357086900554</v>
      </c>
      <c r="K289" s="33">
        <v>7078.7633351699114</v>
      </c>
      <c r="L289" s="33">
        <v>1038.6976371359992</v>
      </c>
      <c r="M289" s="33">
        <v>362.7720566025834</v>
      </c>
    </row>
    <row r="290" spans="1:13" x14ac:dyDescent="0.35">
      <c r="A290" s="27" t="s">
        <v>165</v>
      </c>
      <c r="B290" s="33">
        <v>84141.187509280426</v>
      </c>
      <c r="D290" s="33">
        <v>43444.854913957941</v>
      </c>
      <c r="E290" s="33">
        <v>40696.332595322536</v>
      </c>
      <c r="F290" s="33"/>
      <c r="G290" s="33">
        <v>5257.7442545455033</v>
      </c>
      <c r="H290" s="33">
        <v>7570.300749000492</v>
      </c>
      <c r="I290" s="33">
        <v>20054.047362592395</v>
      </c>
      <c r="J290" s="33">
        <v>20118.775424682914</v>
      </c>
      <c r="K290" s="33">
        <v>10297.693950360213</v>
      </c>
      <c r="L290" s="33">
        <v>13322.494974932197</v>
      </c>
      <c r="M290" s="33">
        <v>7520.1307931667561</v>
      </c>
    </row>
    <row r="291" spans="1:13" x14ac:dyDescent="0.35">
      <c r="A291" s="27" t="s">
        <v>166</v>
      </c>
      <c r="B291" s="33">
        <v>36926.890939583638</v>
      </c>
      <c r="D291" s="33">
        <v>22628.24844486596</v>
      </c>
      <c r="E291" s="33">
        <v>14298.642494717677</v>
      </c>
      <c r="F291" s="33"/>
      <c r="G291" s="33">
        <v>7245.8463658515075</v>
      </c>
      <c r="H291" s="33">
        <v>7880.6288609624326</v>
      </c>
      <c r="I291" s="33">
        <v>8682.9164747998348</v>
      </c>
      <c r="J291" s="33">
        <v>7533.0306600321792</v>
      </c>
      <c r="K291" s="33">
        <v>3185.4303666146702</v>
      </c>
      <c r="L291" s="33">
        <v>373.42625773658557</v>
      </c>
      <c r="M291" s="33">
        <v>2025.6119535864295</v>
      </c>
    </row>
    <row r="292" spans="1:13" x14ac:dyDescent="0.35">
      <c r="A292" s="27" t="s">
        <v>167</v>
      </c>
      <c r="B292" s="33">
        <v>197153.77148889951</v>
      </c>
      <c r="D292" s="33">
        <v>113247.99894080494</v>
      </c>
      <c r="E292" s="33">
        <v>82742.942850798048</v>
      </c>
      <c r="F292" s="33"/>
      <c r="G292" s="33">
        <v>68952.590250566849</v>
      </c>
      <c r="H292" s="33">
        <v>52563.336207231943</v>
      </c>
      <c r="I292" s="33">
        <v>43473.555788943042</v>
      </c>
      <c r="J292" s="33">
        <v>18637.668255973887</v>
      </c>
      <c r="K292" s="33">
        <v>7894.4206209561717</v>
      </c>
      <c r="L292" s="33">
        <v>2772.6110927366653</v>
      </c>
      <c r="M292" s="33">
        <v>2859.5892724910864</v>
      </c>
    </row>
    <row r="293" spans="1:13" x14ac:dyDescent="0.35">
      <c r="A293" s="27" t="s">
        <v>168</v>
      </c>
      <c r="B293" s="33">
        <v>953277.92568193714</v>
      </c>
      <c r="D293" s="33">
        <v>340304.16006372956</v>
      </c>
      <c r="E293" s="33">
        <v>605906.41189879295</v>
      </c>
      <c r="F293" s="33"/>
      <c r="G293" s="33">
        <v>31461.39637772875</v>
      </c>
      <c r="H293" s="33">
        <v>100662.18271920489</v>
      </c>
      <c r="I293" s="33">
        <v>178875.00168408308</v>
      </c>
      <c r="J293" s="33">
        <v>149544.43584706172</v>
      </c>
      <c r="K293" s="33">
        <v>147762.68092346218</v>
      </c>
      <c r="L293" s="33">
        <v>156450.22001886851</v>
      </c>
      <c r="M293" s="33">
        <v>188522.00811152486</v>
      </c>
    </row>
    <row r="294" spans="1:13" x14ac:dyDescent="0.35">
      <c r="A294" s="27" t="s">
        <v>169</v>
      </c>
      <c r="B294" s="33">
        <v>17776.887726470104</v>
      </c>
      <c r="D294" s="33">
        <v>12452.678394651584</v>
      </c>
      <c r="E294" s="33">
        <v>5324.2093318185216</v>
      </c>
      <c r="F294" s="33"/>
      <c r="G294" s="33">
        <v>4661.390475210389</v>
      </c>
      <c r="H294" s="33">
        <v>3350.2951285288618</v>
      </c>
      <c r="I294" s="33">
        <v>4667.1465306428236</v>
      </c>
      <c r="J294" s="33">
        <v>1202.5736043127156</v>
      </c>
      <c r="K294" s="33">
        <v>2791.0103375201211</v>
      </c>
      <c r="L294" s="33">
        <v>1104.4716502551939</v>
      </c>
      <c r="M294" s="33">
        <v>0</v>
      </c>
    </row>
    <row r="295" spans="1:13" x14ac:dyDescent="0.35">
      <c r="A295" s="27" t="s">
        <v>170</v>
      </c>
      <c r="B295" s="33">
        <v>4517.0893416527224</v>
      </c>
      <c r="D295" s="33">
        <v>2967.5216837066801</v>
      </c>
      <c r="E295" s="33">
        <v>1549.5676579460417</v>
      </c>
      <c r="F295" s="33"/>
      <c r="G295" s="33">
        <v>0</v>
      </c>
      <c r="H295" s="33">
        <v>0</v>
      </c>
      <c r="I295" s="33">
        <v>997.34128338657047</v>
      </c>
      <c r="J295" s="33">
        <v>1650.7058878560297</v>
      </c>
      <c r="K295" s="33">
        <v>539.89276018997737</v>
      </c>
      <c r="L295" s="33">
        <v>552.2263745594712</v>
      </c>
      <c r="M295" s="33">
        <v>776.92303566067335</v>
      </c>
    </row>
    <row r="296" spans="1:13" x14ac:dyDescent="0.35">
      <c r="A296" s="27" t="s">
        <v>171</v>
      </c>
      <c r="B296" s="33">
        <v>49295.209590388651</v>
      </c>
      <c r="D296" s="33">
        <v>22690.870324573003</v>
      </c>
      <c r="E296" s="33">
        <v>26030.724508213683</v>
      </c>
      <c r="F296" s="33"/>
      <c r="G296" s="33">
        <v>0</v>
      </c>
      <c r="H296" s="33">
        <v>7763.4624550165026</v>
      </c>
      <c r="I296" s="33">
        <v>19234.468478490231</v>
      </c>
      <c r="J296" s="33">
        <v>9703.8301825545987</v>
      </c>
      <c r="K296" s="33">
        <v>4328.2408310649389</v>
      </c>
      <c r="L296" s="33">
        <v>5699.0543090960018</v>
      </c>
      <c r="M296" s="33">
        <v>2566.1533341663694</v>
      </c>
    </row>
    <row r="297" spans="1:13" x14ac:dyDescent="0.35">
      <c r="A297" s="27" t="s">
        <v>172</v>
      </c>
      <c r="B297" s="33">
        <v>520.30615447483262</v>
      </c>
      <c r="D297" s="33">
        <v>0</v>
      </c>
      <c r="E297" s="33">
        <v>520.30615447483262</v>
      </c>
      <c r="F297" s="33"/>
      <c r="G297" s="33">
        <v>0</v>
      </c>
      <c r="H297" s="33">
        <v>0</v>
      </c>
      <c r="I297" s="33">
        <v>0</v>
      </c>
      <c r="J297" s="33">
        <v>520.30615447483262</v>
      </c>
      <c r="K297" s="33">
        <v>0</v>
      </c>
      <c r="L297" s="33">
        <v>0</v>
      </c>
      <c r="M297" s="33">
        <v>0</v>
      </c>
    </row>
    <row r="298" spans="1:13" x14ac:dyDescent="0.35">
      <c r="A298" s="27" t="s">
        <v>173</v>
      </c>
      <c r="B298" s="33">
        <v>487.9161623842441</v>
      </c>
      <c r="D298" s="33">
        <v>487.9161623842441</v>
      </c>
      <c r="E298" s="33">
        <v>0</v>
      </c>
      <c r="F298" s="33"/>
      <c r="G298" s="33">
        <v>0</v>
      </c>
      <c r="H298" s="33">
        <v>487.9161623842441</v>
      </c>
      <c r="I298" s="33">
        <v>0</v>
      </c>
      <c r="J298" s="33">
        <v>0</v>
      </c>
      <c r="K298" s="33">
        <v>0</v>
      </c>
      <c r="L298" s="33">
        <v>0</v>
      </c>
      <c r="M298" s="33">
        <v>0</v>
      </c>
    </row>
    <row r="299" spans="1:13" x14ac:dyDescent="0.35">
      <c r="A299" s="27" t="s">
        <v>174</v>
      </c>
      <c r="B299" s="33">
        <v>7385.1245276212849</v>
      </c>
      <c r="D299" s="33">
        <v>5377.0837443325145</v>
      </c>
      <c r="E299" s="33">
        <v>2008.0407832887713</v>
      </c>
      <c r="F299" s="33"/>
      <c r="G299" s="33">
        <v>0</v>
      </c>
      <c r="H299" s="33">
        <v>2265.8921769732401</v>
      </c>
      <c r="I299" s="33">
        <v>3308.5805478571574</v>
      </c>
      <c r="J299" s="33">
        <v>1037.1682919710872</v>
      </c>
      <c r="K299" s="33">
        <v>773.48351081980081</v>
      </c>
      <c r="L299" s="33">
        <v>0</v>
      </c>
      <c r="M299" s="33">
        <v>0</v>
      </c>
    </row>
    <row r="300" spans="1:13" x14ac:dyDescent="0.35">
      <c r="A300" s="27" t="s">
        <v>175</v>
      </c>
      <c r="B300" s="33">
        <v>657978.29926118359</v>
      </c>
      <c r="D300" s="33">
        <v>90754.084888540616</v>
      </c>
      <c r="E300" s="33">
        <v>566644.97875956458</v>
      </c>
      <c r="F300" s="33"/>
      <c r="G300" s="33">
        <v>6918.8741204885391</v>
      </c>
      <c r="H300" s="33">
        <v>40362.780742384872</v>
      </c>
      <c r="I300" s="33">
        <v>150528.44757690027</v>
      </c>
      <c r="J300" s="33">
        <v>136249.72991664257</v>
      </c>
      <c r="K300" s="33">
        <v>112481.14759382249</v>
      </c>
      <c r="L300" s="33">
        <v>110707.49956159503</v>
      </c>
      <c r="M300" s="33">
        <v>100729.81974934942</v>
      </c>
    </row>
    <row r="301" spans="1:13" x14ac:dyDescent="0.35">
      <c r="A301" s="29"/>
      <c r="B301" s="56"/>
      <c r="C301" s="55"/>
      <c r="D301" s="56"/>
      <c r="E301" s="56"/>
      <c r="F301" s="56"/>
      <c r="G301" s="56"/>
      <c r="H301" s="56"/>
      <c r="I301" s="56"/>
      <c r="J301" s="56"/>
      <c r="K301" s="56"/>
      <c r="L301" s="56"/>
      <c r="M301" s="56"/>
    </row>
    <row r="302" spans="1:13" x14ac:dyDescent="0.35">
      <c r="A302" s="17" t="s">
        <v>285</v>
      </c>
      <c r="B302" s="33"/>
      <c r="D302" s="33"/>
      <c r="E302" s="33"/>
      <c r="F302" s="33"/>
      <c r="G302" s="33"/>
      <c r="H302" s="33"/>
      <c r="I302" s="33"/>
      <c r="J302" s="33"/>
      <c r="K302" s="33"/>
      <c r="L302" s="33"/>
      <c r="M302" s="33"/>
    </row>
    <row r="303" spans="1:13" x14ac:dyDescent="0.35">
      <c r="A303" s="12" t="s">
        <v>25</v>
      </c>
      <c r="B303" s="33"/>
      <c r="D303" s="33"/>
      <c r="E303" s="33"/>
      <c r="F303" s="33"/>
      <c r="G303" s="33"/>
      <c r="H303" s="33"/>
      <c r="I303" s="33"/>
      <c r="J303" s="33"/>
      <c r="K303" s="33"/>
      <c r="L303" s="33"/>
      <c r="M303" s="33"/>
    </row>
    <row r="304" spans="1:13" x14ac:dyDescent="0.35">
      <c r="A304" s="12" t="s">
        <v>26</v>
      </c>
      <c r="G304" s="2"/>
    </row>
    <row r="305" spans="1:7" x14ac:dyDescent="0.35">
      <c r="A305" s="79" t="s">
        <v>295</v>
      </c>
    </row>
    <row r="317" spans="1:7" x14ac:dyDescent="0.35">
      <c r="G317" s="2"/>
    </row>
  </sheetData>
  <mergeCells count="4">
    <mergeCell ref="B158:M158"/>
    <mergeCell ref="G13:M13"/>
    <mergeCell ref="B15:M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B159&lt;'8'!$C$104</xm:f>
            <x14:dxf>
              <font>
                <color rgb="FFFF0000"/>
              </font>
              <numFmt numFmtId="168" formatCode="\*\*0.0%"/>
            </x14:dxf>
          </x14:cfRule>
          <x14:cfRule type="expression" priority="6" id="{13BD7B6E-8586-471F-B860-D92892121B20}">
            <xm:f>B159&lt;'8'!$C$103</xm:f>
            <x14:dxf>
              <font>
                <color rgb="FF00B050"/>
              </font>
              <numFmt numFmtId="167" formatCode="\*0.0%"/>
            </x14:dxf>
          </x14:cfRule>
          <xm:sqref>B16:M157</xm:sqref>
        </x14:conditionalFormatting>
        <x14:conditionalFormatting xmlns:xm="http://schemas.microsoft.com/office/excel/2006/main">
          <x14:cfRule type="expression" priority="1" id="{1B74E5F0-8EDD-4EBE-8C17-A1C68CFFA7CA}">
            <xm:f>B159&lt;'8'!$C$104</xm:f>
            <x14:dxf>
              <font>
                <color rgb="FFFF0000"/>
              </font>
              <numFmt numFmtId="170" formatCode="\*\*#,###,###,##0"/>
            </x14:dxf>
          </x14:cfRule>
          <x14:cfRule type="expression" priority="2" id="{206D6C66-1C2C-4EEB-B8E8-DF77C6BC4FA6}">
            <xm:f>B159&lt;'8'!$C$103</xm:f>
            <x14:dxf>
              <font>
                <color rgb="FF00B050"/>
              </font>
              <numFmt numFmtId="169" formatCode="\*#,###,###,##0"/>
            </x14:dxf>
          </x14:cfRule>
          <xm:sqref>B159:M300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297"/>
  <sheetViews>
    <sheetView workbookViewId="0">
      <pane xSplit="1" ySplit="8" topLeftCell="B279" activePane="bottomRight" state="frozen"/>
      <selection pane="topRight" activeCell="B1" sqref="B1"/>
      <selection pane="bottomLeft" activeCell="A16" sqref="A16"/>
      <selection pane="bottomRight" activeCell="B286" sqref="B286:H286"/>
    </sheetView>
  </sheetViews>
  <sheetFormatPr defaultColWidth="8.81640625" defaultRowHeight="14.5" x14ac:dyDescent="0.35"/>
  <cols>
    <col min="1" max="1" width="30.7265625" style="1" customWidth="1"/>
    <col min="2" max="2" width="14.81640625" style="1" customWidth="1"/>
    <col min="3" max="8" width="19" style="1" customWidth="1"/>
    <col min="9" max="16384" width="8.81640625" style="1"/>
  </cols>
  <sheetData>
    <row r="1" spans="1:10" x14ac:dyDescent="0.35">
      <c r="A1" s="21" t="s">
        <v>288</v>
      </c>
      <c r="B1" s="20"/>
      <c r="C1" s="20"/>
      <c r="D1" s="20"/>
      <c r="E1" s="20"/>
      <c r="F1" s="20"/>
      <c r="G1" s="20"/>
      <c r="H1" s="20"/>
    </row>
    <row r="2" spans="1:10" x14ac:dyDescent="0.35">
      <c r="A2" s="20" t="s">
        <v>0</v>
      </c>
      <c r="B2" s="21" t="s">
        <v>287</v>
      </c>
      <c r="C2" s="20"/>
      <c r="D2" s="20"/>
      <c r="E2" s="20"/>
      <c r="F2" s="20"/>
      <c r="G2" s="20"/>
      <c r="H2" s="20"/>
    </row>
    <row r="3" spans="1:10" x14ac:dyDescent="0.35">
      <c r="A3" s="20" t="s">
        <v>10</v>
      </c>
      <c r="B3" s="22">
        <v>4</v>
      </c>
      <c r="C3" s="20"/>
      <c r="D3" s="20"/>
      <c r="E3" s="20"/>
      <c r="F3" s="20"/>
      <c r="G3" s="20"/>
      <c r="H3" s="20"/>
    </row>
    <row r="4" spans="1:10" x14ac:dyDescent="0.35">
      <c r="A4" s="20" t="s">
        <v>1</v>
      </c>
      <c r="B4" s="21" t="s">
        <v>236</v>
      </c>
      <c r="C4" s="20"/>
      <c r="D4" s="20"/>
      <c r="E4" s="20"/>
      <c r="F4" s="53" t="s">
        <v>235</v>
      </c>
      <c r="G4" s="20"/>
      <c r="H4" s="20"/>
    </row>
    <row r="5" spans="1:10" x14ac:dyDescent="0.35">
      <c r="A5" s="23" t="s">
        <v>11</v>
      </c>
      <c r="B5" s="24" t="s">
        <v>12</v>
      </c>
      <c r="C5" s="23"/>
      <c r="D5" s="23"/>
      <c r="E5" s="23"/>
      <c r="F5" s="23"/>
      <c r="G5" s="23"/>
      <c r="H5" s="23"/>
    </row>
    <row r="6" spans="1:10" ht="25" customHeight="1" x14ac:dyDescent="0.35">
      <c r="A6" s="51"/>
      <c r="B6" s="26"/>
      <c r="C6" s="85" t="s">
        <v>35</v>
      </c>
      <c r="D6" s="85"/>
      <c r="E6" s="85"/>
      <c r="F6" s="85"/>
      <c r="G6" s="85"/>
      <c r="H6" s="85"/>
    </row>
    <row r="7" spans="1:10" ht="43.5" x14ac:dyDescent="0.35">
      <c r="A7" s="31"/>
      <c r="B7" s="42" t="s">
        <v>275</v>
      </c>
      <c r="C7" s="42" t="s">
        <v>36</v>
      </c>
      <c r="D7" s="42" t="s">
        <v>176</v>
      </c>
      <c r="E7" s="42" t="s">
        <v>177</v>
      </c>
      <c r="F7" s="42" t="s">
        <v>277</v>
      </c>
      <c r="G7" s="42" t="s">
        <v>278</v>
      </c>
      <c r="H7" s="42" t="s">
        <v>279</v>
      </c>
      <c r="I7" s="52" t="s">
        <v>235</v>
      </c>
    </row>
    <row r="8" spans="1:10" x14ac:dyDescent="0.35">
      <c r="A8" s="43"/>
      <c r="B8" s="80" t="s">
        <v>33</v>
      </c>
      <c r="C8" s="80"/>
      <c r="D8" s="80"/>
      <c r="E8" s="80"/>
      <c r="F8" s="80"/>
      <c r="G8" s="80"/>
      <c r="H8" s="80"/>
    </row>
    <row r="9" spans="1:10" x14ac:dyDescent="0.35">
      <c r="A9" s="27" t="s">
        <v>39</v>
      </c>
      <c r="B9" s="4">
        <v>4.9655803456125373E-4</v>
      </c>
      <c r="C9" s="6">
        <v>1.2003806851844871E-4</v>
      </c>
      <c r="D9" s="4">
        <v>0</v>
      </c>
      <c r="E9" s="4">
        <v>2.9575120546388807E-5</v>
      </c>
      <c r="F9" s="4">
        <v>6.573713960699404E-5</v>
      </c>
      <c r="G9" s="4">
        <v>7.3626804772154735E-5</v>
      </c>
      <c r="H9" s="4">
        <v>6.8360956612926327E-5</v>
      </c>
      <c r="I9" s="4"/>
      <c r="J9" s="4"/>
    </row>
    <row r="10" spans="1:10" x14ac:dyDescent="0.35">
      <c r="A10" s="27" t="s">
        <v>40</v>
      </c>
      <c r="B10" s="4">
        <v>1.369446047632592E-3</v>
      </c>
      <c r="C10" s="6">
        <v>2.2784795381819607E-4</v>
      </c>
      <c r="D10" s="4">
        <v>2.1460771723594624E-4</v>
      </c>
      <c r="E10" s="4">
        <v>3.4565905157993537E-4</v>
      </c>
      <c r="F10" s="4">
        <v>5.0694986698002491E-4</v>
      </c>
      <c r="G10" s="4">
        <v>1.7163712281501029E-4</v>
      </c>
      <c r="H10" s="4">
        <v>4.7195697460314036E-5</v>
      </c>
      <c r="I10" s="4"/>
      <c r="J10" s="4"/>
    </row>
    <row r="11" spans="1:10" x14ac:dyDescent="0.35">
      <c r="A11" s="27" t="s">
        <v>41</v>
      </c>
      <c r="B11" s="4">
        <v>9.3567286585348084E-4</v>
      </c>
      <c r="C11" s="6">
        <v>4.5213933180664542E-4</v>
      </c>
      <c r="D11" s="4">
        <v>1.0092329103257942E-4</v>
      </c>
      <c r="E11" s="4">
        <v>0</v>
      </c>
      <c r="F11" s="4">
        <v>1.0881134967270489E-4</v>
      </c>
      <c r="G11" s="4">
        <v>1.0141789945707692E-4</v>
      </c>
      <c r="H11" s="4">
        <v>7.3121039230398735E-5</v>
      </c>
      <c r="I11" s="4"/>
      <c r="J11" s="4"/>
    </row>
    <row r="12" spans="1:10" x14ac:dyDescent="0.35">
      <c r="A12" s="27" t="s">
        <v>42</v>
      </c>
      <c r="B12" s="4">
        <v>7.6489364928523269E-3</v>
      </c>
      <c r="C12" s="6">
        <v>2.5507733279766195E-3</v>
      </c>
      <c r="D12" s="4">
        <v>1.1942939786241471E-3</v>
      </c>
      <c r="E12" s="4">
        <v>1.1207111162722433E-3</v>
      </c>
      <c r="F12" s="4">
        <v>9.3299929283628452E-4</v>
      </c>
      <c r="G12" s="4">
        <v>1.4845081243325985E-3</v>
      </c>
      <c r="H12" s="4">
        <v>2.0752534315243644E-3</v>
      </c>
      <c r="I12" s="4"/>
      <c r="J12" s="4"/>
    </row>
    <row r="13" spans="1:10" x14ac:dyDescent="0.35">
      <c r="A13" s="27" t="s">
        <v>43</v>
      </c>
      <c r="B13" s="4">
        <v>1.7200286897510235E-2</v>
      </c>
      <c r="C13" s="6">
        <v>9.8942485308445814E-3</v>
      </c>
      <c r="D13" s="4">
        <v>2.5701149837912738E-3</v>
      </c>
      <c r="E13" s="4">
        <v>2.116377370373733E-3</v>
      </c>
      <c r="F13" s="4">
        <v>1.1892719242264417E-3</v>
      </c>
      <c r="G13" s="4">
        <v>1.6559448399659693E-3</v>
      </c>
      <c r="H13" s="4">
        <v>2.3053389616185817E-3</v>
      </c>
      <c r="I13" s="4"/>
      <c r="J13" s="4"/>
    </row>
    <row r="14" spans="1:10" x14ac:dyDescent="0.35">
      <c r="A14" s="27" t="s">
        <v>44</v>
      </c>
      <c r="B14" s="4">
        <v>7.9765203420929E-3</v>
      </c>
      <c r="C14" s="6">
        <v>1.8324781577433954E-3</v>
      </c>
      <c r="D14" s="4">
        <v>1.0269874913797722E-3</v>
      </c>
      <c r="E14" s="4">
        <v>6.0001904999842882E-4</v>
      </c>
      <c r="F14" s="4">
        <v>3.4500205289949312E-4</v>
      </c>
      <c r="G14" s="4">
        <v>6.7561649999297365E-4</v>
      </c>
      <c r="H14" s="4">
        <v>2.4959347269014024E-3</v>
      </c>
      <c r="I14" s="4"/>
      <c r="J14" s="4"/>
    </row>
    <row r="15" spans="1:10" x14ac:dyDescent="0.35">
      <c r="A15" s="27" t="s">
        <v>45</v>
      </c>
      <c r="B15" s="4">
        <v>2.057039973751301E-3</v>
      </c>
      <c r="C15" s="6">
        <v>1.2475473658015966E-3</v>
      </c>
      <c r="D15" s="4">
        <v>2.7263908989408808E-4</v>
      </c>
      <c r="E15" s="4">
        <v>1.605472580407202E-4</v>
      </c>
      <c r="F15" s="4">
        <v>2.2851258359115597E-4</v>
      </c>
      <c r="G15" s="4">
        <v>2.5636515229705446E-4</v>
      </c>
      <c r="H15" s="4">
        <v>2.3622454801755264E-4</v>
      </c>
      <c r="I15" s="4"/>
      <c r="J15" s="4"/>
    </row>
    <row r="16" spans="1:10" x14ac:dyDescent="0.35">
      <c r="A16" s="27" t="s">
        <v>46</v>
      </c>
      <c r="B16" s="4">
        <v>2.3011914768958829E-2</v>
      </c>
      <c r="C16" s="6">
        <v>1.00233525065716E-2</v>
      </c>
      <c r="D16" s="4">
        <v>4.2899414500701021E-3</v>
      </c>
      <c r="E16" s="4">
        <v>2.9829025545478546E-3</v>
      </c>
      <c r="F16" s="4">
        <v>1.2952519472716327E-3</v>
      </c>
      <c r="G16" s="4">
        <v>1.6459922239360372E-3</v>
      </c>
      <c r="H16" s="4">
        <v>4.8359826989435402E-3</v>
      </c>
      <c r="I16" s="4"/>
      <c r="J16" s="4"/>
    </row>
    <row r="17" spans="1:10" x14ac:dyDescent="0.35">
      <c r="A17" s="27" t="s">
        <v>47</v>
      </c>
      <c r="B17" s="4">
        <v>1.1806640341709634E-4</v>
      </c>
      <c r="C17" s="6">
        <v>4.8833614515107479E-5</v>
      </c>
      <c r="D17" s="4">
        <v>7.1647976259394357E-5</v>
      </c>
      <c r="E17" s="4">
        <v>5.2908051301959455E-5</v>
      </c>
      <c r="F17" s="4">
        <v>9.4330955514469291E-5</v>
      </c>
      <c r="G17" s="4">
        <v>4.1422904212509837E-5</v>
      </c>
      <c r="H17" s="4">
        <v>2.509816661248042E-5</v>
      </c>
      <c r="I17" s="4"/>
      <c r="J17" s="4"/>
    </row>
    <row r="18" spans="1:10" x14ac:dyDescent="0.35">
      <c r="A18" s="27" t="s">
        <v>48</v>
      </c>
      <c r="B18" s="4">
        <v>5.7835017338901424E-5</v>
      </c>
      <c r="C18" s="6">
        <v>2.9100695973163773E-5</v>
      </c>
      <c r="D18" s="4">
        <v>0</v>
      </c>
      <c r="E18" s="4">
        <v>0</v>
      </c>
      <c r="F18" s="4">
        <v>2.9100695973163773E-5</v>
      </c>
      <c r="G18" s="4">
        <v>2.9100695973163773E-5</v>
      </c>
      <c r="H18" s="4">
        <v>0</v>
      </c>
      <c r="I18" s="4"/>
      <c r="J18" s="4"/>
    </row>
    <row r="19" spans="1:10" x14ac:dyDescent="0.35">
      <c r="A19" s="27" t="s">
        <v>49</v>
      </c>
      <c r="B19" s="4">
        <v>5.790008280273267E-4</v>
      </c>
      <c r="C19" s="6">
        <v>1.9283320389210733E-4</v>
      </c>
      <c r="D19" s="4">
        <v>4.7883531956230607E-5</v>
      </c>
      <c r="E19" s="4">
        <v>1.9118010170260743E-4</v>
      </c>
      <c r="F19" s="4">
        <v>1.0463211251754045E-4</v>
      </c>
      <c r="G19" s="4">
        <v>6.806244127016933E-5</v>
      </c>
      <c r="H19" s="4">
        <v>3.2330569022526171E-5</v>
      </c>
      <c r="I19" s="4"/>
      <c r="J19" s="4"/>
    </row>
    <row r="20" spans="1:10" x14ac:dyDescent="0.35">
      <c r="A20" s="27" t="s">
        <v>50</v>
      </c>
      <c r="B20" s="4">
        <v>1.5584769456054309E-4</v>
      </c>
      <c r="C20" s="6">
        <v>1.3710776960310818E-4</v>
      </c>
      <c r="D20" s="4">
        <v>0</v>
      </c>
      <c r="E20" s="4">
        <v>0</v>
      </c>
      <c r="F20" s="4">
        <v>0</v>
      </c>
      <c r="G20" s="4">
        <v>6.0441487081420031E-5</v>
      </c>
      <c r="H20" s="4">
        <v>1.8739924957434909E-5</v>
      </c>
      <c r="I20" s="4"/>
      <c r="J20" s="4"/>
    </row>
    <row r="21" spans="1:10" x14ac:dyDescent="0.35">
      <c r="A21" s="27" t="s">
        <v>51</v>
      </c>
      <c r="B21" s="4">
        <v>1.8929580168936972E-5</v>
      </c>
      <c r="C21" s="6">
        <v>0</v>
      </c>
      <c r="D21" s="4">
        <v>0</v>
      </c>
      <c r="E21" s="4">
        <v>0</v>
      </c>
      <c r="F21" s="4">
        <v>1.8929580168936972E-5</v>
      </c>
      <c r="G21" s="4">
        <v>0</v>
      </c>
      <c r="H21" s="4">
        <v>0</v>
      </c>
      <c r="I21" s="4"/>
      <c r="J21" s="4"/>
    </row>
    <row r="22" spans="1:10" x14ac:dyDescent="0.35">
      <c r="A22" s="27" t="s">
        <v>52</v>
      </c>
      <c r="B22" s="4">
        <v>1.6460465140531467E-5</v>
      </c>
      <c r="C22" s="6">
        <v>0</v>
      </c>
      <c r="D22" s="4">
        <v>0</v>
      </c>
      <c r="E22" s="4">
        <v>0</v>
      </c>
      <c r="F22" s="4">
        <v>0</v>
      </c>
      <c r="G22" s="4">
        <v>0</v>
      </c>
      <c r="H22" s="4">
        <v>0</v>
      </c>
      <c r="I22" s="4"/>
      <c r="J22" s="4"/>
    </row>
    <row r="23" spans="1:10" x14ac:dyDescent="0.35">
      <c r="A23" s="27" t="s">
        <v>53</v>
      </c>
      <c r="B23" s="4">
        <v>0</v>
      </c>
      <c r="C23" s="6">
        <v>0</v>
      </c>
      <c r="D23" s="4">
        <v>0</v>
      </c>
      <c r="E23" s="4">
        <v>0</v>
      </c>
      <c r="F23" s="4">
        <v>0</v>
      </c>
      <c r="G23" s="4">
        <v>0</v>
      </c>
      <c r="H23" s="4">
        <v>0</v>
      </c>
      <c r="I23" s="4"/>
      <c r="J23" s="4"/>
    </row>
    <row r="24" spans="1:10" x14ac:dyDescent="0.35">
      <c r="A24" s="27" t="s">
        <v>54</v>
      </c>
      <c r="B24" s="4">
        <v>2.7298598971809817E-4</v>
      </c>
      <c r="C24" s="6">
        <v>7.7259634952359733E-5</v>
      </c>
      <c r="D24" s="4">
        <v>1.8386276323050636E-5</v>
      </c>
      <c r="E24" s="4">
        <v>0</v>
      </c>
      <c r="F24" s="4">
        <v>6.6725864909947816E-5</v>
      </c>
      <c r="G24" s="4">
        <v>9.6788870417716035E-5</v>
      </c>
      <c r="H24" s="4">
        <v>4.9034196370996529E-5</v>
      </c>
      <c r="I24" s="4"/>
      <c r="J24" s="4"/>
    </row>
    <row r="25" spans="1:10" x14ac:dyDescent="0.35">
      <c r="A25" s="27" t="s">
        <v>55</v>
      </c>
      <c r="B25" s="4">
        <v>2.509816661248042E-5</v>
      </c>
      <c r="C25" s="6">
        <v>0</v>
      </c>
      <c r="D25" s="4">
        <v>0</v>
      </c>
      <c r="E25" s="4">
        <v>2.509816661248042E-5</v>
      </c>
      <c r="F25" s="4">
        <v>0</v>
      </c>
      <c r="G25" s="4">
        <v>0</v>
      </c>
      <c r="H25" s="4">
        <v>2.509816661248042E-5</v>
      </c>
      <c r="I25" s="4"/>
      <c r="J25" s="4"/>
    </row>
    <row r="26" spans="1:10" x14ac:dyDescent="0.35">
      <c r="A26" s="27" t="s">
        <v>56</v>
      </c>
      <c r="B26" s="4">
        <v>7.1059719041998617E-3</v>
      </c>
      <c r="C26" s="6">
        <v>4.5119139780971278E-3</v>
      </c>
      <c r="D26" s="4">
        <v>1.9948593459464862E-3</v>
      </c>
      <c r="E26" s="4">
        <v>2.3262774920498289E-4</v>
      </c>
      <c r="F26" s="4">
        <v>4.6791885791099879E-5</v>
      </c>
      <c r="G26" s="4">
        <v>2.8606727369554088E-4</v>
      </c>
      <c r="H26" s="4">
        <v>1.215339270424853E-4</v>
      </c>
      <c r="I26" s="4"/>
      <c r="J26" s="4"/>
    </row>
    <row r="27" spans="1:10" x14ac:dyDescent="0.35">
      <c r="A27" s="27" t="s">
        <v>57</v>
      </c>
      <c r="B27" s="4">
        <v>6.0587473920685562E-3</v>
      </c>
      <c r="C27" s="6">
        <v>9.1927813641098455E-4</v>
      </c>
      <c r="D27" s="4">
        <v>2.5439726304023972E-4</v>
      </c>
      <c r="E27" s="4">
        <v>2.2461119908861499E-3</v>
      </c>
      <c r="F27" s="4">
        <v>1.7815746621248675E-3</v>
      </c>
      <c r="G27" s="4">
        <v>1.2899894407827853E-3</v>
      </c>
      <c r="H27" s="4">
        <v>1.2138117755325713E-4</v>
      </c>
      <c r="I27" s="4"/>
      <c r="J27" s="4"/>
    </row>
    <row r="28" spans="1:10" x14ac:dyDescent="0.35">
      <c r="A28" s="27" t="s">
        <v>58</v>
      </c>
      <c r="B28" s="4">
        <v>2.4126247990301023E-5</v>
      </c>
      <c r="C28" s="6">
        <v>2.4126247990301023E-5</v>
      </c>
      <c r="D28" s="4">
        <v>0</v>
      </c>
      <c r="E28" s="4">
        <v>0</v>
      </c>
      <c r="F28" s="4">
        <v>0</v>
      </c>
      <c r="G28" s="4">
        <v>0</v>
      </c>
      <c r="H28" s="4">
        <v>0</v>
      </c>
      <c r="I28" s="4"/>
      <c r="J28" s="4"/>
    </row>
    <row r="29" spans="1:10" x14ac:dyDescent="0.35">
      <c r="A29" s="27" t="s">
        <v>59</v>
      </c>
      <c r="B29" s="4">
        <v>2.2406906351897498E-2</v>
      </c>
      <c r="C29" s="6">
        <v>2.0979959654604352E-3</v>
      </c>
      <c r="D29" s="4">
        <v>3.1061199134630652E-3</v>
      </c>
      <c r="E29" s="4">
        <v>1.4461873731237218E-3</v>
      </c>
      <c r="F29" s="4">
        <v>3.1267600740079011E-3</v>
      </c>
      <c r="G29" s="4">
        <v>1.1923423938908532E-3</v>
      </c>
      <c r="H29" s="4">
        <v>2.6194462255710428E-3</v>
      </c>
      <c r="I29" s="4"/>
      <c r="J29" s="4"/>
    </row>
    <row r="30" spans="1:10" x14ac:dyDescent="0.35">
      <c r="A30" s="27" t="s">
        <v>60</v>
      </c>
      <c r="B30" s="4">
        <v>5.49799970549757E-4</v>
      </c>
      <c r="C30" s="6">
        <v>2.9509412694431148E-4</v>
      </c>
      <c r="D30" s="4">
        <v>4.9910786477470506E-5</v>
      </c>
      <c r="E30" s="4">
        <v>9.3836650065152696E-5</v>
      </c>
      <c r="F30" s="4">
        <v>1.3448662736469059E-4</v>
      </c>
      <c r="G30" s="4">
        <v>1.1946645829589948E-4</v>
      </c>
      <c r="H30" s="4">
        <v>2.3531422005605393E-5</v>
      </c>
      <c r="I30" s="4"/>
      <c r="J30" s="4"/>
    </row>
    <row r="31" spans="1:10" x14ac:dyDescent="0.35">
      <c r="A31" s="27" t="s">
        <v>61</v>
      </c>
      <c r="B31" s="4">
        <v>8.7480899294281535E-5</v>
      </c>
      <c r="C31" s="6">
        <v>1.6840324634818079E-5</v>
      </c>
      <c r="D31" s="4">
        <v>2.3155356427358169E-5</v>
      </c>
      <c r="E31" s="4">
        <v>0</v>
      </c>
      <c r="F31" s="4">
        <v>0</v>
      </c>
      <c r="G31" s="4">
        <v>0</v>
      </c>
      <c r="H31" s="4">
        <v>0</v>
      </c>
      <c r="I31" s="4"/>
      <c r="J31" s="4"/>
    </row>
    <row r="32" spans="1:10" x14ac:dyDescent="0.35">
      <c r="A32" s="27" t="s">
        <v>62</v>
      </c>
      <c r="B32" s="4">
        <v>2.5300553739786994E-3</v>
      </c>
      <c r="C32" s="6">
        <v>2.8078592919444706E-4</v>
      </c>
      <c r="D32" s="4">
        <v>2.9540799768688761E-4</v>
      </c>
      <c r="E32" s="4">
        <v>1.279600165856043E-4</v>
      </c>
      <c r="F32" s="4">
        <v>8.2236679873345692E-4</v>
      </c>
      <c r="G32" s="4">
        <v>1.5982973668943206E-4</v>
      </c>
      <c r="H32" s="4">
        <v>2.3725302777130252E-4</v>
      </c>
      <c r="I32" s="4"/>
      <c r="J32" s="4"/>
    </row>
    <row r="33" spans="1:10" x14ac:dyDescent="0.35">
      <c r="A33" s="27" t="s">
        <v>63</v>
      </c>
      <c r="B33" s="4">
        <v>3.1639545198200626E-4</v>
      </c>
      <c r="C33" s="6">
        <v>2.2693780269453101E-5</v>
      </c>
      <c r="D33" s="4">
        <v>0</v>
      </c>
      <c r="E33" s="4">
        <v>2.5070096845422133E-5</v>
      </c>
      <c r="F33" s="4">
        <v>1.5337489433631042E-4</v>
      </c>
      <c r="G33" s="4">
        <v>9.4610598594239528E-5</v>
      </c>
      <c r="H33" s="4">
        <v>1.1748750345695092E-4</v>
      </c>
      <c r="I33" s="4"/>
      <c r="J33" s="4"/>
    </row>
    <row r="34" spans="1:10" x14ac:dyDescent="0.35">
      <c r="A34" s="27" t="s">
        <v>64</v>
      </c>
      <c r="B34" s="4">
        <v>1.5989178468045255E-2</v>
      </c>
      <c r="C34" s="6">
        <v>9.6660918613257086E-3</v>
      </c>
      <c r="D34" s="4">
        <v>2.4118453877735543E-3</v>
      </c>
      <c r="E34" s="4">
        <v>1.5567719119930952E-3</v>
      </c>
      <c r="F34" s="4">
        <v>1.0029400167960412E-3</v>
      </c>
      <c r="G34" s="4">
        <v>1.1200395187081641E-3</v>
      </c>
      <c r="H34" s="4">
        <v>2.6547788123636108E-3</v>
      </c>
      <c r="I34" s="4"/>
      <c r="J34" s="4"/>
    </row>
    <row r="35" spans="1:10" x14ac:dyDescent="0.35">
      <c r="A35" s="27" t="s">
        <v>65</v>
      </c>
      <c r="B35" s="4">
        <v>7.8398231990265516E-4</v>
      </c>
      <c r="C35" s="6">
        <v>2.9650944309268204E-4</v>
      </c>
      <c r="D35" s="4">
        <v>3.583484938795181E-4</v>
      </c>
      <c r="E35" s="4">
        <v>0</v>
      </c>
      <c r="F35" s="4">
        <v>2.2901629001367969E-5</v>
      </c>
      <c r="G35" s="4">
        <v>0</v>
      </c>
      <c r="H35" s="4">
        <v>0</v>
      </c>
      <c r="I35" s="4"/>
      <c r="J35" s="4"/>
    </row>
    <row r="36" spans="1:10" x14ac:dyDescent="0.35">
      <c r="A36" s="27" t="s">
        <v>293</v>
      </c>
      <c r="B36" s="4">
        <v>5.3977083215676737E-3</v>
      </c>
      <c r="C36" s="6">
        <v>3.2469763527348278E-4</v>
      </c>
      <c r="D36" s="4">
        <v>1.3890074103014422E-4</v>
      </c>
      <c r="E36" s="4">
        <v>2.8030957801109886E-3</v>
      </c>
      <c r="F36" s="4">
        <v>2.1229056034031382E-3</v>
      </c>
      <c r="G36" s="4">
        <v>4.8382049651740617E-4</v>
      </c>
      <c r="H36" s="4">
        <v>5.5482858110429564E-5</v>
      </c>
      <c r="I36" s="4"/>
      <c r="J36" s="4"/>
    </row>
    <row r="37" spans="1:10" x14ac:dyDescent="0.35">
      <c r="A37" s="27" t="s">
        <v>66</v>
      </c>
      <c r="B37" s="4">
        <v>9.7760637057339104E-5</v>
      </c>
      <c r="C37" s="6">
        <v>9.7760637057339104E-5</v>
      </c>
      <c r="D37" s="4">
        <v>0</v>
      </c>
      <c r="E37" s="4">
        <v>0</v>
      </c>
      <c r="F37" s="4">
        <v>0</v>
      </c>
      <c r="G37" s="4">
        <v>0</v>
      </c>
      <c r="H37" s="4">
        <v>3.0962763017975713E-5</v>
      </c>
      <c r="I37" s="4"/>
      <c r="J37" s="4"/>
    </row>
    <row r="38" spans="1:10" x14ac:dyDescent="0.35">
      <c r="A38" s="27" t="s">
        <v>67</v>
      </c>
      <c r="B38" s="4">
        <v>9.7766251353051236E-3</v>
      </c>
      <c r="C38" s="6">
        <v>1.7973448083857793E-3</v>
      </c>
      <c r="D38" s="4">
        <v>1.4127704341463953E-3</v>
      </c>
      <c r="E38" s="4">
        <v>1.902742181021975E-3</v>
      </c>
      <c r="F38" s="4">
        <v>9.1838544094705304E-4</v>
      </c>
      <c r="G38" s="4">
        <v>9.4739587325849955E-4</v>
      </c>
      <c r="H38" s="4">
        <v>4.969759968350857E-4</v>
      </c>
      <c r="I38" s="4"/>
      <c r="J38" s="4"/>
    </row>
    <row r="39" spans="1:10" x14ac:dyDescent="0.35">
      <c r="A39" s="27" t="s">
        <v>68</v>
      </c>
      <c r="B39" s="4">
        <v>7.0964422326708979E-3</v>
      </c>
      <c r="C39" s="6">
        <v>1.0067609825457943E-3</v>
      </c>
      <c r="D39" s="4">
        <v>9.5397636742910053E-4</v>
      </c>
      <c r="E39" s="4">
        <v>6.9347280483545608E-4</v>
      </c>
      <c r="F39" s="4">
        <v>3.194241832815423E-3</v>
      </c>
      <c r="G39" s="4">
        <v>7.4918248538309682E-4</v>
      </c>
      <c r="H39" s="4">
        <v>1.0254668475517441E-3</v>
      </c>
      <c r="I39" s="4"/>
      <c r="J39" s="4"/>
    </row>
    <row r="40" spans="1:10" x14ac:dyDescent="0.35">
      <c r="A40" s="27" t="s">
        <v>69</v>
      </c>
      <c r="B40" s="4">
        <v>1.0826466204821432E-2</v>
      </c>
      <c r="C40" s="6">
        <v>8.1453203038218838E-4</v>
      </c>
      <c r="D40" s="4">
        <v>1.2182335086195592E-3</v>
      </c>
      <c r="E40" s="4">
        <v>1.0907577858727811E-3</v>
      </c>
      <c r="F40" s="4">
        <v>5.5442012111235816E-3</v>
      </c>
      <c r="G40" s="4">
        <v>1.2677347575757679E-3</v>
      </c>
      <c r="H40" s="4">
        <v>9.876446108554311E-4</v>
      </c>
      <c r="I40" s="4"/>
      <c r="J40" s="4"/>
    </row>
    <row r="41" spans="1:10" x14ac:dyDescent="0.35">
      <c r="A41" s="27" t="s">
        <v>70</v>
      </c>
      <c r="B41" s="4">
        <v>5.9407501024528867E-4</v>
      </c>
      <c r="C41" s="6">
        <v>2.5331148578740443E-4</v>
      </c>
      <c r="D41" s="4">
        <v>1.7733929568470474E-4</v>
      </c>
      <c r="E41" s="4">
        <v>0</v>
      </c>
      <c r="F41" s="4">
        <v>2.6940086761713617E-5</v>
      </c>
      <c r="G41" s="4">
        <v>0</v>
      </c>
      <c r="H41" s="4">
        <v>0</v>
      </c>
      <c r="I41" s="4"/>
      <c r="J41" s="4"/>
    </row>
    <row r="42" spans="1:10" x14ac:dyDescent="0.35">
      <c r="A42" s="27" t="s">
        <v>71</v>
      </c>
      <c r="B42" s="4">
        <v>2.5731866506024329E-4</v>
      </c>
      <c r="C42" s="6">
        <v>7.6230573642841338E-5</v>
      </c>
      <c r="D42" s="4">
        <v>6.0845831762433401E-5</v>
      </c>
      <c r="E42" s="4">
        <v>2.8618648935066083E-5</v>
      </c>
      <c r="F42" s="4">
        <v>8.3356711937917344E-5</v>
      </c>
      <c r="G42" s="4">
        <v>7.1425679072175134E-5</v>
      </c>
      <c r="H42" s="4">
        <v>1.8769623246742453E-5</v>
      </c>
      <c r="I42" s="4"/>
      <c r="J42" s="4"/>
    </row>
    <row r="43" spans="1:10" x14ac:dyDescent="0.35">
      <c r="A43" s="27" t="s">
        <v>72</v>
      </c>
      <c r="B43" s="4">
        <v>6.9990599858934469E-4</v>
      </c>
      <c r="C43" s="6">
        <v>1.010901175890574E-4</v>
      </c>
      <c r="D43" s="4">
        <v>4.9888653394314851E-5</v>
      </c>
      <c r="E43" s="4">
        <v>2.8326039293569893E-5</v>
      </c>
      <c r="F43" s="4">
        <v>7.7897779549663146E-5</v>
      </c>
      <c r="G43" s="4">
        <v>0</v>
      </c>
      <c r="H43" s="4">
        <v>1.8734039825467661E-4</v>
      </c>
      <c r="I43" s="4"/>
      <c r="J43" s="4"/>
    </row>
    <row r="44" spans="1:10" x14ac:dyDescent="0.35">
      <c r="A44" s="27" t="s">
        <v>73</v>
      </c>
      <c r="B44" s="4">
        <v>6.9915225665423018E-4</v>
      </c>
      <c r="C44" s="6">
        <v>4.4732612205306119E-4</v>
      </c>
      <c r="D44" s="4">
        <v>1.7478843103268835E-4</v>
      </c>
      <c r="E44" s="4">
        <v>2.2148484923612189E-5</v>
      </c>
      <c r="F44" s="4">
        <v>2.4449006303818859E-5</v>
      </c>
      <c r="G44" s="4">
        <v>2.7468479434195556E-5</v>
      </c>
      <c r="H44" s="4">
        <v>2.2148484923612189E-5</v>
      </c>
      <c r="I44" s="4"/>
      <c r="J44" s="4"/>
    </row>
    <row r="45" spans="1:10" x14ac:dyDescent="0.35">
      <c r="A45" s="27" t="s">
        <v>74</v>
      </c>
      <c r="B45" s="4">
        <v>1.6785361445519542E-4</v>
      </c>
      <c r="C45" s="6">
        <v>6.3031137180588612E-5</v>
      </c>
      <c r="D45" s="4">
        <v>7.9962486976406578E-5</v>
      </c>
      <c r="E45" s="4">
        <v>6.3334209651090447E-5</v>
      </c>
      <c r="F45" s="4">
        <v>3.0141561243316587E-5</v>
      </c>
      <c r="G45" s="4">
        <v>2.8326609713083566E-5</v>
      </c>
      <c r="H45" s="4">
        <v>0</v>
      </c>
      <c r="I45" s="4"/>
      <c r="J45" s="4"/>
    </row>
    <row r="46" spans="1:10" x14ac:dyDescent="0.35">
      <c r="A46" s="27" t="s">
        <v>75</v>
      </c>
      <c r="B46" s="4">
        <v>2.5207676817567311E-3</v>
      </c>
      <c r="C46" s="6">
        <v>9.8150455564470843E-4</v>
      </c>
      <c r="D46" s="4">
        <v>3.4524045030445401E-4</v>
      </c>
      <c r="E46" s="4">
        <v>1.0856664806186999E-4</v>
      </c>
      <c r="F46" s="4">
        <v>6.8389249265965869E-4</v>
      </c>
      <c r="G46" s="4">
        <v>1.1854806503405965E-3</v>
      </c>
      <c r="H46" s="4">
        <v>9.9181012561274298E-5</v>
      </c>
      <c r="I46" s="4"/>
      <c r="J46" s="4"/>
    </row>
    <row r="47" spans="1:10" x14ac:dyDescent="0.35">
      <c r="A47" s="27" t="s">
        <v>76</v>
      </c>
      <c r="B47" s="4">
        <v>6.1872791945410315E-4</v>
      </c>
      <c r="C47" s="6">
        <v>1.096483334738605E-4</v>
      </c>
      <c r="D47" s="4">
        <v>1.6628277325316127E-5</v>
      </c>
      <c r="E47" s="4">
        <v>5.3329060471954827E-5</v>
      </c>
      <c r="F47" s="4">
        <v>4.3911927834739832E-5</v>
      </c>
      <c r="G47" s="4">
        <v>1.2115934755847776E-4</v>
      </c>
      <c r="H47" s="4">
        <v>1.0314239552179676E-4</v>
      </c>
      <c r="I47" s="4"/>
      <c r="J47" s="4"/>
    </row>
    <row r="48" spans="1:10" x14ac:dyDescent="0.35">
      <c r="A48" s="27" t="s">
        <v>77</v>
      </c>
      <c r="B48" s="4">
        <v>3.6115364566101984E-4</v>
      </c>
      <c r="C48" s="6">
        <v>1.9458164287832695E-4</v>
      </c>
      <c r="D48" s="4">
        <v>2.4203032535412039E-5</v>
      </c>
      <c r="E48" s="4">
        <v>7.2114927449687247E-5</v>
      </c>
      <c r="F48" s="4">
        <v>2.6503148379180084E-5</v>
      </c>
      <c r="G48" s="4">
        <v>9.0009208015712062E-5</v>
      </c>
      <c r="H48" s="4">
        <v>4.3288902641399853E-5</v>
      </c>
      <c r="I48" s="4"/>
      <c r="J48" s="4"/>
    </row>
    <row r="49" spans="1:10" x14ac:dyDescent="0.35">
      <c r="A49" s="27" t="s">
        <v>78</v>
      </c>
      <c r="B49" s="4">
        <v>1.2721001017738764E-3</v>
      </c>
      <c r="C49" s="6">
        <v>2.8918000299896489E-4</v>
      </c>
      <c r="D49" s="4">
        <v>2.1493805770542461E-4</v>
      </c>
      <c r="E49" s="4">
        <v>1.5435446640210595E-4</v>
      </c>
      <c r="F49" s="4">
        <v>2.9001936510815592E-4</v>
      </c>
      <c r="G49" s="4">
        <v>1.809345273731619E-4</v>
      </c>
      <c r="H49" s="4">
        <v>2.4359714969002657E-5</v>
      </c>
      <c r="I49" s="4"/>
      <c r="J49" s="4"/>
    </row>
    <row r="50" spans="1:10" x14ac:dyDescent="0.35">
      <c r="A50" s="27" t="s">
        <v>79</v>
      </c>
      <c r="B50" s="4">
        <v>0.13498755198364867</v>
      </c>
      <c r="C50" s="6">
        <v>8.8100564374723311E-3</v>
      </c>
      <c r="D50" s="4">
        <v>6.12860855956776E-3</v>
      </c>
      <c r="E50" s="4">
        <v>6.5023495457783867E-2</v>
      </c>
      <c r="F50" s="4">
        <v>2.9486273558807036E-2</v>
      </c>
      <c r="G50" s="4">
        <v>3.1551345602022447E-2</v>
      </c>
      <c r="H50" s="4">
        <v>4.2433904880604754E-3</v>
      </c>
      <c r="I50" s="4"/>
      <c r="J50" s="4"/>
    </row>
    <row r="51" spans="1:10" x14ac:dyDescent="0.35">
      <c r="A51" s="27" t="s">
        <v>80</v>
      </c>
      <c r="B51" s="4">
        <v>2.8251689679796175E-4</v>
      </c>
      <c r="C51" s="6">
        <v>5.0708663159971242E-5</v>
      </c>
      <c r="D51" s="4">
        <v>3.0113208638379564E-5</v>
      </c>
      <c r="E51" s="4">
        <v>8.3594609863397521E-5</v>
      </c>
      <c r="F51" s="4">
        <v>0</v>
      </c>
      <c r="G51" s="4">
        <v>0</v>
      </c>
      <c r="H51" s="4">
        <v>7.3604432218712259E-5</v>
      </c>
      <c r="I51" s="4"/>
      <c r="J51" s="4"/>
    </row>
    <row r="52" spans="1:10" x14ac:dyDescent="0.35">
      <c r="A52" s="27" t="s">
        <v>81</v>
      </c>
      <c r="B52" s="4">
        <v>1.1016737420380218E-3</v>
      </c>
      <c r="C52" s="6">
        <v>3.0504695717373833E-4</v>
      </c>
      <c r="D52" s="4">
        <v>2.9108849924410927E-4</v>
      </c>
      <c r="E52" s="4">
        <v>5.1146321337568067E-5</v>
      </c>
      <c r="F52" s="4">
        <v>1.7851595660705668E-5</v>
      </c>
      <c r="G52" s="4">
        <v>7.901591123181658E-5</v>
      </c>
      <c r="H52" s="4">
        <v>3.7411992647256475E-4</v>
      </c>
      <c r="I52" s="4"/>
      <c r="J52" s="4"/>
    </row>
    <row r="53" spans="1:10" x14ac:dyDescent="0.35">
      <c r="A53" s="27" t="s">
        <v>82</v>
      </c>
      <c r="B53" s="4">
        <v>3.6183245022889478E-2</v>
      </c>
      <c r="C53" s="6">
        <v>1.7880685040214277E-2</v>
      </c>
      <c r="D53" s="4">
        <v>6.6804642780621858E-3</v>
      </c>
      <c r="E53" s="4">
        <v>4.1290501970512421E-3</v>
      </c>
      <c r="F53" s="4">
        <v>2.1030221015329387E-3</v>
      </c>
      <c r="G53" s="4">
        <v>3.2945316246432155E-3</v>
      </c>
      <c r="H53" s="4">
        <v>6.607664106691149E-3</v>
      </c>
      <c r="I53" s="4"/>
      <c r="J53" s="4"/>
    </row>
    <row r="54" spans="1:10" x14ac:dyDescent="0.35">
      <c r="A54" s="27" t="s">
        <v>83</v>
      </c>
      <c r="B54" s="4">
        <v>6.0464079725987914E-4</v>
      </c>
      <c r="C54" s="6">
        <v>3.0287876568653102E-4</v>
      </c>
      <c r="D54" s="4">
        <v>9.5827296263901801E-5</v>
      </c>
      <c r="E54" s="4">
        <v>5.2268900815841905E-5</v>
      </c>
      <c r="F54" s="4">
        <v>1.2854259464990423E-4</v>
      </c>
      <c r="G54" s="4">
        <v>0</v>
      </c>
      <c r="H54" s="4">
        <v>1.0628279012180469E-4</v>
      </c>
      <c r="I54" s="4"/>
      <c r="J54" s="4"/>
    </row>
    <row r="55" spans="1:10" x14ac:dyDescent="0.35">
      <c r="A55" s="27" t="s">
        <v>84</v>
      </c>
      <c r="B55" s="4">
        <v>1.5945483895250459E-4</v>
      </c>
      <c r="C55" s="6">
        <v>0</v>
      </c>
      <c r="D55" s="4">
        <v>2.3066262317558184E-5</v>
      </c>
      <c r="E55" s="4">
        <v>2.8326039293569893E-5</v>
      </c>
      <c r="F55" s="4">
        <v>0</v>
      </c>
      <c r="G55" s="4">
        <v>2.3066262317558184E-5</v>
      </c>
      <c r="H55" s="4">
        <v>0</v>
      </c>
      <c r="I55" s="4"/>
      <c r="J55" s="4"/>
    </row>
    <row r="56" spans="1:10" x14ac:dyDescent="0.35">
      <c r="A56" s="27" t="s">
        <v>85</v>
      </c>
      <c r="B56" s="4">
        <v>1.0126391087219216E-4</v>
      </c>
      <c r="C56" s="6">
        <v>2.6759266959508165E-5</v>
      </c>
      <c r="D56" s="4">
        <v>2.6759266959508165E-5</v>
      </c>
      <c r="E56" s="4">
        <v>2.6759266959508165E-5</v>
      </c>
      <c r="F56" s="4">
        <v>0</v>
      </c>
      <c r="G56" s="4">
        <v>7.4504643912683987E-5</v>
      </c>
      <c r="H56" s="4">
        <v>2.6759266959508165E-5</v>
      </c>
      <c r="I56" s="4"/>
      <c r="J56" s="4"/>
    </row>
    <row r="57" spans="1:10" x14ac:dyDescent="0.35">
      <c r="A57" s="27" t="s">
        <v>86</v>
      </c>
      <c r="B57" s="4">
        <v>2.256593914848171E-2</v>
      </c>
      <c r="C57" s="6">
        <v>1.3617003912868622E-2</v>
      </c>
      <c r="D57" s="4">
        <v>3.6188311860995358E-3</v>
      </c>
      <c r="E57" s="4">
        <v>8.6673840240553471E-4</v>
      </c>
      <c r="F57" s="4">
        <v>2.0124522701727931E-3</v>
      </c>
      <c r="G57" s="4">
        <v>1.9885698594683085E-3</v>
      </c>
      <c r="H57" s="4">
        <v>4.3363818638967683E-4</v>
      </c>
      <c r="I57" s="4"/>
      <c r="J57" s="4"/>
    </row>
    <row r="58" spans="1:10" x14ac:dyDescent="0.35">
      <c r="A58" s="27" t="s">
        <v>87</v>
      </c>
      <c r="B58" s="4">
        <v>1.8519646760904767E-4</v>
      </c>
      <c r="C58" s="6">
        <v>3.6973202989494923E-5</v>
      </c>
      <c r="D58" s="4">
        <v>4.3486862407795245E-5</v>
      </c>
      <c r="E58" s="4">
        <v>5.3002297116313037E-5</v>
      </c>
      <c r="F58" s="4">
        <v>0</v>
      </c>
      <c r="G58" s="4">
        <v>5.1734105095444469E-5</v>
      </c>
      <c r="H58" s="4">
        <v>0</v>
      </c>
      <c r="I58" s="4"/>
      <c r="J58" s="4"/>
    </row>
    <row r="59" spans="1:10" x14ac:dyDescent="0.35">
      <c r="A59" s="27" t="s">
        <v>88</v>
      </c>
      <c r="B59" s="4">
        <v>4.1700030437660385E-5</v>
      </c>
      <c r="C59" s="6">
        <v>2.6309078907130286E-5</v>
      </c>
      <c r="D59" s="4">
        <v>0</v>
      </c>
      <c r="E59" s="4">
        <v>0</v>
      </c>
      <c r="F59" s="4">
        <v>0</v>
      </c>
      <c r="G59" s="4">
        <v>0</v>
      </c>
      <c r="H59" s="4">
        <v>0</v>
      </c>
      <c r="I59" s="4"/>
      <c r="J59" s="4"/>
    </row>
    <row r="60" spans="1:10" x14ac:dyDescent="0.35">
      <c r="A60" s="27" t="s">
        <v>89</v>
      </c>
      <c r="B60" s="4">
        <v>3.2846964518762128E-3</v>
      </c>
      <c r="C60" s="6">
        <v>1.0717593960683548E-3</v>
      </c>
      <c r="D60" s="4">
        <v>3.797748941472875E-4</v>
      </c>
      <c r="E60" s="4">
        <v>6.4708242193603699E-4</v>
      </c>
      <c r="F60" s="4">
        <v>8.7637761180069996E-4</v>
      </c>
      <c r="G60" s="4">
        <v>3.0815286086692062E-4</v>
      </c>
      <c r="H60" s="4">
        <v>4.6260146410769535E-4</v>
      </c>
      <c r="I60" s="4"/>
      <c r="J60" s="4"/>
    </row>
    <row r="61" spans="1:10" x14ac:dyDescent="0.35">
      <c r="A61" s="27" t="s">
        <v>90</v>
      </c>
      <c r="B61" s="4">
        <v>5.1438260427884525E-4</v>
      </c>
      <c r="C61" s="6">
        <v>1.5012209531008907E-5</v>
      </c>
      <c r="D61" s="4">
        <v>3.5586142707577195E-5</v>
      </c>
      <c r="E61" s="4">
        <v>0</v>
      </c>
      <c r="F61" s="4">
        <v>3.5007599938006885E-5</v>
      </c>
      <c r="G61" s="4">
        <v>5.9783341839099751E-5</v>
      </c>
      <c r="H61" s="4">
        <v>2.4883319958157323E-4</v>
      </c>
      <c r="I61" s="4"/>
      <c r="J61" s="4"/>
    </row>
    <row r="62" spans="1:10" x14ac:dyDescent="0.35">
      <c r="A62" s="27" t="s">
        <v>91</v>
      </c>
      <c r="B62" s="4">
        <v>7.2846334016922303E-5</v>
      </c>
      <c r="C62" s="6">
        <v>0</v>
      </c>
      <c r="D62" s="4">
        <v>2.3669526939422252E-5</v>
      </c>
      <c r="E62" s="4">
        <v>0</v>
      </c>
      <c r="F62" s="4">
        <v>2.3669526939422252E-5</v>
      </c>
      <c r="G62" s="4">
        <v>4.9176807077500051E-5</v>
      </c>
      <c r="H62" s="4">
        <v>2.3669526939422252E-5</v>
      </c>
      <c r="I62" s="4"/>
      <c r="J62" s="4"/>
    </row>
    <row r="63" spans="1:10" x14ac:dyDescent="0.35">
      <c r="A63" s="27" t="s">
        <v>92</v>
      </c>
      <c r="B63" s="4">
        <v>4.8447693159099957E-3</v>
      </c>
      <c r="C63" s="6">
        <v>3.5360665452481015E-3</v>
      </c>
      <c r="D63" s="4">
        <v>6.0553654859741299E-4</v>
      </c>
      <c r="E63" s="4">
        <v>1.2567114557798361E-4</v>
      </c>
      <c r="F63" s="4">
        <v>4.6957092313115286E-5</v>
      </c>
      <c r="G63" s="4">
        <v>9.7041552769930897E-5</v>
      </c>
      <c r="H63" s="4">
        <v>7.0974275433772973E-4</v>
      </c>
      <c r="I63" s="4"/>
      <c r="J63" s="4"/>
    </row>
    <row r="64" spans="1:10" x14ac:dyDescent="0.35">
      <c r="A64" s="27" t="s">
        <v>93</v>
      </c>
      <c r="B64" s="4">
        <v>2.2901543578293741E-4</v>
      </c>
      <c r="C64" s="6">
        <v>7.4427154726508093E-5</v>
      </c>
      <c r="D64" s="4">
        <v>5.2736807542058943E-5</v>
      </c>
      <c r="E64" s="4">
        <v>2.0145240496318035E-5</v>
      </c>
      <c r="F64" s="4">
        <v>1.6628277325316127E-5</v>
      </c>
      <c r="G64" s="4">
        <v>2.3591325630438397E-5</v>
      </c>
      <c r="H64" s="4">
        <v>2.3591325630438397E-5</v>
      </c>
      <c r="I64" s="4"/>
      <c r="J64" s="4"/>
    </row>
    <row r="65" spans="1:10" x14ac:dyDescent="0.35">
      <c r="A65" s="27" t="s">
        <v>94</v>
      </c>
      <c r="B65" s="4">
        <v>5.0269284528047637E-4</v>
      </c>
      <c r="C65" s="6">
        <v>1.9397133838483635E-4</v>
      </c>
      <c r="D65" s="4">
        <v>2.3469660888587475E-4</v>
      </c>
      <c r="E65" s="4">
        <v>7.1235251046834327E-5</v>
      </c>
      <c r="F65" s="4">
        <v>2.7817775657859717E-5</v>
      </c>
      <c r="G65" s="4">
        <v>4.5742333776153489E-5</v>
      </c>
      <c r="H65" s="4">
        <v>0</v>
      </c>
      <c r="I65" s="4"/>
      <c r="J65" s="4"/>
    </row>
    <row r="66" spans="1:10" x14ac:dyDescent="0.35">
      <c r="A66" s="27" t="s">
        <v>95</v>
      </c>
      <c r="B66" s="4">
        <v>4.4920982397410901E-5</v>
      </c>
      <c r="C66" s="6">
        <v>4.4920982397410901E-5</v>
      </c>
      <c r="D66" s="4">
        <v>2.4775741901092866E-5</v>
      </c>
      <c r="E66" s="4">
        <v>0</v>
      </c>
      <c r="F66" s="4">
        <v>0</v>
      </c>
      <c r="G66" s="4">
        <v>4.4920982397410901E-5</v>
      </c>
      <c r="H66" s="4">
        <v>2.0145240496318035E-5</v>
      </c>
      <c r="I66" s="4"/>
      <c r="J66" s="4"/>
    </row>
    <row r="67" spans="1:10" x14ac:dyDescent="0.35">
      <c r="A67" s="27" t="s">
        <v>96</v>
      </c>
      <c r="B67" s="4">
        <v>1.2007633611346364E-3</v>
      </c>
      <c r="C67" s="6">
        <v>2.0749404443567542E-4</v>
      </c>
      <c r="D67" s="4">
        <v>9.3162996647630595E-5</v>
      </c>
      <c r="E67" s="4">
        <v>1.0698572238152543E-4</v>
      </c>
      <c r="F67" s="4">
        <v>5.2718872079648104E-4</v>
      </c>
      <c r="G67" s="4">
        <v>1.595541126523294E-4</v>
      </c>
      <c r="H67" s="4">
        <v>1.4263393012046137E-4</v>
      </c>
      <c r="I67" s="4"/>
      <c r="J67" s="4"/>
    </row>
    <row r="68" spans="1:10" x14ac:dyDescent="0.35">
      <c r="A68" s="27" t="s">
        <v>97</v>
      </c>
      <c r="B68" s="4">
        <v>2.6506828189108088E-4</v>
      </c>
      <c r="C68" s="6">
        <v>4.0970934487424382E-5</v>
      </c>
      <c r="D68" s="4">
        <v>5.2362250552521538E-5</v>
      </c>
      <c r="E68" s="4">
        <v>2.1778260912552218E-5</v>
      </c>
      <c r="F68" s="4">
        <v>1.0610919682818752E-4</v>
      </c>
      <c r="G68" s="4">
        <v>0</v>
      </c>
      <c r="H68" s="4">
        <v>0</v>
      </c>
      <c r="I68" s="4"/>
      <c r="J68" s="4"/>
    </row>
    <row r="69" spans="1:10" x14ac:dyDescent="0.35">
      <c r="A69" s="27" t="s">
        <v>98</v>
      </c>
      <c r="B69" s="4">
        <v>5.808467858798499E-4</v>
      </c>
      <c r="C69" s="6">
        <v>1.6585965518610331E-4</v>
      </c>
      <c r="D69" s="4">
        <v>6.9508116446127764E-5</v>
      </c>
      <c r="E69" s="4">
        <v>7.2049980393152811E-5</v>
      </c>
      <c r="F69" s="4">
        <v>7.3113463471268907E-5</v>
      </c>
      <c r="G69" s="4">
        <v>7.8092460259829879E-5</v>
      </c>
      <c r="H69" s="4">
        <v>2.2042045759402014E-4</v>
      </c>
      <c r="I69" s="4"/>
      <c r="J69" s="4"/>
    </row>
    <row r="70" spans="1:10" x14ac:dyDescent="0.35">
      <c r="A70" s="27" t="s">
        <v>99</v>
      </c>
      <c r="B70" s="4">
        <v>1.6149532427888131E-3</v>
      </c>
      <c r="C70" s="6">
        <v>5.7967165975122547E-4</v>
      </c>
      <c r="D70" s="4">
        <v>1.0575131312533817E-4</v>
      </c>
      <c r="E70" s="4">
        <v>1.6100026105979833E-4</v>
      </c>
      <c r="F70" s="4">
        <v>7.3517919936119593E-4</v>
      </c>
      <c r="G70" s="4">
        <v>2.1361498055956008E-4</v>
      </c>
      <c r="H70" s="4">
        <v>0</v>
      </c>
      <c r="I70" s="4"/>
      <c r="J70" s="4"/>
    </row>
    <row r="71" spans="1:10" x14ac:dyDescent="0.35">
      <c r="A71" s="27" t="s">
        <v>100</v>
      </c>
      <c r="B71" s="4">
        <v>1.6771263100693163E-3</v>
      </c>
      <c r="C71" s="6">
        <v>5.1989986062078643E-4</v>
      </c>
      <c r="D71" s="4">
        <v>1.6183204117137782E-4</v>
      </c>
      <c r="E71" s="4">
        <v>9.1050663779806528E-5</v>
      </c>
      <c r="F71" s="4">
        <v>7.3112181483146331E-4</v>
      </c>
      <c r="G71" s="4">
        <v>2.560976016768893E-4</v>
      </c>
      <c r="H71" s="4">
        <v>1.036210769373747E-4</v>
      </c>
      <c r="I71" s="4"/>
      <c r="J71" s="4"/>
    </row>
    <row r="72" spans="1:10" x14ac:dyDescent="0.35">
      <c r="A72" s="27" t="s">
        <v>101</v>
      </c>
      <c r="B72" s="4">
        <v>2.986194516021376E-4</v>
      </c>
      <c r="C72" s="6">
        <v>1.3997141552341734E-4</v>
      </c>
      <c r="D72" s="4">
        <v>2.5829558795437944E-5</v>
      </c>
      <c r="E72" s="4">
        <v>0</v>
      </c>
      <c r="F72" s="4">
        <v>8.6850155837788715E-5</v>
      </c>
      <c r="G72" s="4">
        <v>2.3394742228452409E-5</v>
      </c>
      <c r="H72" s="4">
        <v>2.509816661248042E-5</v>
      </c>
      <c r="I72" s="4"/>
      <c r="J72" s="4"/>
    </row>
    <row r="73" spans="1:10" x14ac:dyDescent="0.35">
      <c r="A73" s="27" t="s">
        <v>102</v>
      </c>
      <c r="B73" s="4">
        <v>1.5598262245221123E-5</v>
      </c>
      <c r="C73" s="6">
        <v>0</v>
      </c>
      <c r="D73" s="4">
        <v>0</v>
      </c>
      <c r="E73" s="4">
        <v>0</v>
      </c>
      <c r="F73" s="4">
        <v>0</v>
      </c>
      <c r="G73" s="4">
        <v>0</v>
      </c>
      <c r="H73" s="4">
        <v>0</v>
      </c>
      <c r="I73" s="4"/>
      <c r="J73" s="4"/>
    </row>
    <row r="74" spans="1:10" x14ac:dyDescent="0.35">
      <c r="A74" s="27" t="s">
        <v>103</v>
      </c>
      <c r="B74" s="4">
        <v>2.5244195365723844E-5</v>
      </c>
      <c r="C74" s="6">
        <v>2.5244195365723844E-5</v>
      </c>
      <c r="D74" s="4">
        <v>0</v>
      </c>
      <c r="E74" s="4">
        <v>0</v>
      </c>
      <c r="F74" s="4">
        <v>0</v>
      </c>
      <c r="G74" s="4">
        <v>0</v>
      </c>
      <c r="H74" s="4">
        <v>0</v>
      </c>
      <c r="I74" s="4"/>
      <c r="J74" s="4"/>
    </row>
    <row r="75" spans="1:10" x14ac:dyDescent="0.35">
      <c r="A75" s="27" t="s">
        <v>104</v>
      </c>
      <c r="B75" s="4">
        <v>7.2760387183744485E-5</v>
      </c>
      <c r="C75" s="6">
        <v>0</v>
      </c>
      <c r="D75" s="4">
        <v>0</v>
      </c>
      <c r="E75" s="4">
        <v>0</v>
      </c>
      <c r="F75" s="4">
        <v>7.2760387183744485E-5</v>
      </c>
      <c r="G75" s="4">
        <v>0</v>
      </c>
      <c r="H75" s="4">
        <v>0</v>
      </c>
      <c r="I75" s="4"/>
      <c r="J75" s="4"/>
    </row>
    <row r="76" spans="1:10" x14ac:dyDescent="0.35">
      <c r="A76" s="27" t="s">
        <v>105</v>
      </c>
      <c r="B76" s="4">
        <v>2.773212762345794E-4</v>
      </c>
      <c r="C76" s="6">
        <v>2.0022460120708871E-4</v>
      </c>
      <c r="D76" s="4">
        <v>4.882539006673583E-5</v>
      </c>
      <c r="E76" s="4">
        <v>2.1082571774499078E-5</v>
      </c>
      <c r="F76" s="4">
        <v>2.1082571774499078E-5</v>
      </c>
      <c r="G76" s="4">
        <v>0</v>
      </c>
      <c r="H76" s="4">
        <v>1.1990757082709675E-4</v>
      </c>
      <c r="I76" s="4"/>
      <c r="J76" s="4"/>
    </row>
    <row r="77" spans="1:10" x14ac:dyDescent="0.35">
      <c r="A77" s="27" t="s">
        <v>106</v>
      </c>
      <c r="B77" s="4">
        <v>2.5324870663921988E-5</v>
      </c>
      <c r="C77" s="6">
        <v>0</v>
      </c>
      <c r="D77" s="4">
        <v>2.5324870663921988E-5</v>
      </c>
      <c r="E77" s="4">
        <v>2.5324870663921988E-5</v>
      </c>
      <c r="F77" s="4">
        <v>2.5324870663921988E-5</v>
      </c>
      <c r="G77" s="4">
        <v>2.5324870663921988E-5</v>
      </c>
      <c r="H77" s="4">
        <v>2.5324870663921988E-5</v>
      </c>
      <c r="I77" s="4"/>
      <c r="J77" s="4"/>
    </row>
    <row r="78" spans="1:10" x14ac:dyDescent="0.35">
      <c r="A78" s="27" t="s">
        <v>107</v>
      </c>
      <c r="B78" s="4">
        <v>1.1008914084076281E-3</v>
      </c>
      <c r="C78" s="6">
        <v>5.4217249497147011E-4</v>
      </c>
      <c r="D78" s="4">
        <v>1.6699257491928802E-4</v>
      </c>
      <c r="E78" s="4">
        <v>6.9835896791150263E-5</v>
      </c>
      <c r="F78" s="4">
        <v>0</v>
      </c>
      <c r="G78" s="4">
        <v>5.121795192630017E-5</v>
      </c>
      <c r="H78" s="4">
        <v>1.2010348870898546E-4</v>
      </c>
      <c r="I78" s="4"/>
      <c r="J78" s="4"/>
    </row>
    <row r="79" spans="1:10" x14ac:dyDescent="0.35">
      <c r="A79" s="27" t="s">
        <v>108</v>
      </c>
      <c r="B79" s="4">
        <v>0</v>
      </c>
      <c r="C79" s="6">
        <v>0</v>
      </c>
      <c r="D79" s="4">
        <v>0</v>
      </c>
      <c r="E79" s="4">
        <v>0</v>
      </c>
      <c r="F79" s="4">
        <v>0</v>
      </c>
      <c r="G79" s="4">
        <v>0</v>
      </c>
      <c r="H79" s="4">
        <v>0</v>
      </c>
      <c r="I79" s="4"/>
      <c r="J79" s="4"/>
    </row>
    <row r="80" spans="1:10" x14ac:dyDescent="0.35">
      <c r="A80" s="27" t="s">
        <v>109</v>
      </c>
      <c r="B80" s="4">
        <v>9.4714792394289617E-5</v>
      </c>
      <c r="C80" s="6">
        <v>2.8453667813778489E-5</v>
      </c>
      <c r="D80" s="4">
        <v>0</v>
      </c>
      <c r="E80" s="4">
        <v>0</v>
      </c>
      <c r="F80" s="4">
        <v>0</v>
      </c>
      <c r="G80" s="4">
        <v>0</v>
      </c>
      <c r="H80" s="4">
        <v>0</v>
      </c>
      <c r="I80" s="4"/>
      <c r="J80" s="4"/>
    </row>
    <row r="81" spans="1:10" x14ac:dyDescent="0.35">
      <c r="A81" s="27" t="s">
        <v>110</v>
      </c>
      <c r="B81" s="4">
        <v>4.4038761543008405E-3</v>
      </c>
      <c r="C81" s="6">
        <v>5.9581171354146302E-4</v>
      </c>
      <c r="D81" s="4">
        <v>3.9827153587440541E-4</v>
      </c>
      <c r="E81" s="4">
        <v>1.0920008031391445E-3</v>
      </c>
      <c r="F81" s="4">
        <v>1.4493570618858392E-3</v>
      </c>
      <c r="G81" s="4">
        <v>4.305811794944971E-4</v>
      </c>
      <c r="H81" s="4">
        <v>1.1326126977296087E-4</v>
      </c>
      <c r="I81" s="4"/>
      <c r="J81" s="4"/>
    </row>
    <row r="82" spans="1:10" x14ac:dyDescent="0.35">
      <c r="A82" s="27" t="s">
        <v>111</v>
      </c>
      <c r="B82" s="4">
        <v>6.7719954058693185E-4</v>
      </c>
      <c r="C82" s="6">
        <v>1.8010716430621343E-4</v>
      </c>
      <c r="D82" s="4">
        <v>0</v>
      </c>
      <c r="E82" s="4">
        <v>1.6194702748391023E-4</v>
      </c>
      <c r="F82" s="4">
        <v>2.6313341966832508E-4</v>
      </c>
      <c r="G82" s="4">
        <v>1.0016834423439894E-4</v>
      </c>
      <c r="H82" s="4">
        <v>0</v>
      </c>
      <c r="I82" s="4"/>
      <c r="J82" s="4"/>
    </row>
    <row r="83" spans="1:10" x14ac:dyDescent="0.35">
      <c r="A83" s="27" t="s">
        <v>112</v>
      </c>
      <c r="B83" s="4">
        <v>0</v>
      </c>
      <c r="C83" s="6">
        <v>0</v>
      </c>
      <c r="D83" s="4">
        <v>0</v>
      </c>
      <c r="E83" s="4">
        <v>0</v>
      </c>
      <c r="F83" s="4">
        <v>0</v>
      </c>
      <c r="G83" s="4">
        <v>0</v>
      </c>
      <c r="H83" s="4">
        <v>0</v>
      </c>
      <c r="I83" s="4"/>
      <c r="J83" s="4"/>
    </row>
    <row r="84" spans="1:10" x14ac:dyDescent="0.35">
      <c r="A84" s="27" t="s">
        <v>113</v>
      </c>
      <c r="B84" s="4">
        <v>3.0585467253297464E-3</v>
      </c>
      <c r="C84" s="6">
        <v>1.0114715392019209E-3</v>
      </c>
      <c r="D84" s="4">
        <v>4.481153309878012E-4</v>
      </c>
      <c r="E84" s="4">
        <v>6.6920424761082167E-4</v>
      </c>
      <c r="F84" s="4">
        <v>5.1981715961315744E-4</v>
      </c>
      <c r="G84" s="4">
        <v>3.4156110527047793E-4</v>
      </c>
      <c r="H84" s="4">
        <v>2.8610044146050169E-4</v>
      </c>
      <c r="I84" s="4"/>
      <c r="J84" s="4"/>
    </row>
    <row r="85" spans="1:10" x14ac:dyDescent="0.35">
      <c r="A85" s="27" t="s">
        <v>114</v>
      </c>
      <c r="B85" s="4">
        <v>1.5534576527636091E-3</v>
      </c>
      <c r="C85" s="6">
        <v>7.0227089381017904E-4</v>
      </c>
      <c r="D85" s="4">
        <v>2.7751636987689816E-4</v>
      </c>
      <c r="E85" s="4">
        <v>8.0426123832170896E-5</v>
      </c>
      <c r="F85" s="4">
        <v>2.5810042941947365E-4</v>
      </c>
      <c r="G85" s="4">
        <v>7.7459172534804401E-5</v>
      </c>
      <c r="H85" s="4">
        <v>5.431068075349745E-5</v>
      </c>
      <c r="I85" s="4"/>
      <c r="J85" s="4"/>
    </row>
    <row r="86" spans="1:10" x14ac:dyDescent="0.35">
      <c r="A86" s="27" t="s">
        <v>115</v>
      </c>
      <c r="B86" s="4">
        <v>8.8652673805677791E-4</v>
      </c>
      <c r="C86" s="6">
        <v>1.8123397436776401E-4</v>
      </c>
      <c r="D86" s="4">
        <v>1.2244388941143956E-4</v>
      </c>
      <c r="E86" s="4">
        <v>4.6253549350987598E-5</v>
      </c>
      <c r="F86" s="4">
        <v>3.9611271058260836E-5</v>
      </c>
      <c r="G86" s="4">
        <v>7.6214230993198974E-5</v>
      </c>
      <c r="H86" s="4">
        <v>1.2412086553098147E-4</v>
      </c>
      <c r="I86" s="4"/>
      <c r="J86" s="4"/>
    </row>
    <row r="87" spans="1:10" x14ac:dyDescent="0.35">
      <c r="A87" s="27" t="s">
        <v>116</v>
      </c>
      <c r="B87" s="4">
        <v>2.518255881212087E-4</v>
      </c>
      <c r="C87" s="6">
        <v>0</v>
      </c>
      <c r="D87" s="4">
        <v>1.4862005305784294E-5</v>
      </c>
      <c r="E87" s="4">
        <v>2.4568382866604864E-5</v>
      </c>
      <c r="F87" s="4">
        <v>8.5236662307957198E-5</v>
      </c>
      <c r="G87" s="4">
        <v>1.5322933162159347E-5</v>
      </c>
      <c r="H87" s="4">
        <v>3.6495386723845711E-5</v>
      </c>
      <c r="I87" s="4"/>
      <c r="J87" s="4"/>
    </row>
    <row r="88" spans="1:10" x14ac:dyDescent="0.35">
      <c r="A88" s="27" t="s">
        <v>117</v>
      </c>
      <c r="B88" s="4">
        <v>1.3285552159159647E-3</v>
      </c>
      <c r="C88" s="6">
        <v>2.7933476138622057E-4</v>
      </c>
      <c r="D88" s="4">
        <v>2.509816661248042E-5</v>
      </c>
      <c r="E88" s="4">
        <v>2.6564893632663618E-4</v>
      </c>
      <c r="F88" s="4">
        <v>7.2757170467844916E-4</v>
      </c>
      <c r="G88" s="4">
        <v>3.2732109614803966E-4</v>
      </c>
      <c r="H88" s="4">
        <v>6.4871005721643627E-5</v>
      </c>
      <c r="I88" s="4"/>
      <c r="J88" s="4"/>
    </row>
    <row r="89" spans="1:10" x14ac:dyDescent="0.35">
      <c r="A89" s="27" t="s">
        <v>118</v>
      </c>
      <c r="B89" s="4">
        <v>1.8533997114712795E-2</v>
      </c>
      <c r="C89" s="6">
        <v>9.8188465907809632E-3</v>
      </c>
      <c r="D89" s="4">
        <v>3.7350047076595352E-3</v>
      </c>
      <c r="E89" s="4">
        <v>1.6576523720541307E-3</v>
      </c>
      <c r="F89" s="4">
        <v>7.0685050661655347E-4</v>
      </c>
      <c r="G89" s="4">
        <v>4.6722992304029995E-4</v>
      </c>
      <c r="H89" s="4">
        <v>2.4891680720245907E-3</v>
      </c>
      <c r="I89" s="4"/>
      <c r="J89" s="4"/>
    </row>
    <row r="90" spans="1:10" x14ac:dyDescent="0.35">
      <c r="A90" s="27" t="s">
        <v>119</v>
      </c>
      <c r="B90" s="4">
        <v>3.7021765731465344E-4</v>
      </c>
      <c r="C90" s="6">
        <v>1.1749320942553238E-4</v>
      </c>
      <c r="D90" s="4">
        <v>0</v>
      </c>
      <c r="E90" s="4">
        <v>1.7415070743003579E-5</v>
      </c>
      <c r="F90" s="4">
        <v>6.5853249755773701E-5</v>
      </c>
      <c r="G90" s="4">
        <v>0</v>
      </c>
      <c r="H90" s="4">
        <v>1.7415070743003579E-5</v>
      </c>
      <c r="I90" s="4"/>
      <c r="J90" s="4"/>
    </row>
    <row r="91" spans="1:10" x14ac:dyDescent="0.35">
      <c r="A91" s="27" t="s">
        <v>120</v>
      </c>
      <c r="B91" s="4">
        <v>5.4732022674422096E-4</v>
      </c>
      <c r="C91" s="6">
        <v>2.5833263121936357E-4</v>
      </c>
      <c r="D91" s="4">
        <v>1.4903312462031371E-5</v>
      </c>
      <c r="E91" s="4">
        <v>0</v>
      </c>
      <c r="F91" s="4">
        <v>0</v>
      </c>
      <c r="G91" s="4">
        <v>1.9185956340836976E-5</v>
      </c>
      <c r="H91" s="4">
        <v>1.3477373860512935E-4</v>
      </c>
      <c r="I91" s="4"/>
      <c r="J91" s="4"/>
    </row>
    <row r="92" spans="1:10" x14ac:dyDescent="0.35">
      <c r="A92" s="27" t="s">
        <v>121</v>
      </c>
      <c r="B92" s="4">
        <v>2.4544117876135701E-4</v>
      </c>
      <c r="C92" s="6">
        <v>1.8255155298365104E-4</v>
      </c>
      <c r="D92" s="4">
        <v>0</v>
      </c>
      <c r="E92" s="4">
        <v>4.8027620471921732E-5</v>
      </c>
      <c r="F92" s="4">
        <v>1.3705054251930088E-5</v>
      </c>
      <c r="G92" s="4">
        <v>0</v>
      </c>
      <c r="H92" s="4">
        <v>1.4862005305784294E-5</v>
      </c>
      <c r="I92" s="4"/>
      <c r="J92" s="4"/>
    </row>
    <row r="93" spans="1:10" x14ac:dyDescent="0.35">
      <c r="A93" s="27" t="s">
        <v>122</v>
      </c>
      <c r="B93" s="4">
        <v>1.9057292770307619E-3</v>
      </c>
      <c r="C93" s="6">
        <v>9.0901006948406046E-4</v>
      </c>
      <c r="D93" s="4">
        <v>2.3678229680234615E-4</v>
      </c>
      <c r="E93" s="4">
        <v>1.5927854648943869E-4</v>
      </c>
      <c r="F93" s="4">
        <v>1.2459821008173143E-4</v>
      </c>
      <c r="G93" s="4">
        <v>2.3201061305321619E-5</v>
      </c>
      <c r="H93" s="4">
        <v>3.7342306138431219E-4</v>
      </c>
      <c r="I93" s="4"/>
      <c r="J93" s="4"/>
    </row>
    <row r="94" spans="1:10" x14ac:dyDescent="0.35">
      <c r="A94" s="27" t="s">
        <v>123</v>
      </c>
      <c r="B94" s="4">
        <v>6.7824129662213571E-4</v>
      </c>
      <c r="C94" s="6">
        <v>2.4190514814834198E-4</v>
      </c>
      <c r="D94" s="4">
        <v>1.2733430601895329E-4</v>
      </c>
      <c r="E94" s="4">
        <v>8.3544872094468904E-5</v>
      </c>
      <c r="F94" s="4">
        <v>2.1083799701431704E-4</v>
      </c>
      <c r="G94" s="4">
        <v>3.2330569022526171E-5</v>
      </c>
      <c r="H94" s="4">
        <v>0</v>
      </c>
      <c r="I94" s="4"/>
      <c r="J94" s="4"/>
    </row>
    <row r="95" spans="1:10" x14ac:dyDescent="0.35">
      <c r="A95" s="27" t="s">
        <v>124</v>
      </c>
      <c r="B95" s="4">
        <v>9.9232556709406264E-5</v>
      </c>
      <c r="C95" s="6">
        <v>0</v>
      </c>
      <c r="D95" s="4">
        <v>0</v>
      </c>
      <c r="E95" s="4">
        <v>0</v>
      </c>
      <c r="F95" s="4">
        <v>4.523909355263411E-5</v>
      </c>
      <c r="G95" s="4">
        <v>2.323522565417215E-5</v>
      </c>
      <c r="H95" s="4">
        <v>2.8091089960147343E-5</v>
      </c>
      <c r="I95" s="4"/>
      <c r="J95" s="4"/>
    </row>
    <row r="96" spans="1:10" x14ac:dyDescent="0.35">
      <c r="A96" s="27" t="s">
        <v>125</v>
      </c>
      <c r="B96" s="4">
        <v>0</v>
      </c>
      <c r="C96" s="6">
        <v>0</v>
      </c>
      <c r="D96" s="4">
        <v>0</v>
      </c>
      <c r="E96" s="4">
        <v>0</v>
      </c>
      <c r="F96" s="4">
        <v>0</v>
      </c>
      <c r="G96" s="4">
        <v>0</v>
      </c>
      <c r="H96" s="4">
        <v>0</v>
      </c>
      <c r="I96" s="4"/>
      <c r="J96" s="4"/>
    </row>
    <row r="97" spans="1:10" x14ac:dyDescent="0.35">
      <c r="A97" s="27" t="s">
        <v>126</v>
      </c>
      <c r="B97" s="4">
        <v>3.2724473671602172E-5</v>
      </c>
      <c r="C97" s="6">
        <v>3.2724473671602172E-5</v>
      </c>
      <c r="D97" s="4">
        <v>0</v>
      </c>
      <c r="E97" s="4">
        <v>0</v>
      </c>
      <c r="F97" s="4">
        <v>0</v>
      </c>
      <c r="G97" s="4">
        <v>0</v>
      </c>
      <c r="H97" s="4">
        <v>0</v>
      </c>
      <c r="I97" s="4"/>
      <c r="J97" s="4"/>
    </row>
    <row r="98" spans="1:10" x14ac:dyDescent="0.35">
      <c r="A98" s="27" t="s">
        <v>127</v>
      </c>
      <c r="B98" s="4">
        <v>4.4949451015478283E-4</v>
      </c>
      <c r="C98" s="6">
        <v>2.1236681268974438E-4</v>
      </c>
      <c r="D98" s="4">
        <v>0</v>
      </c>
      <c r="E98" s="4">
        <v>2.0292603320375905E-4</v>
      </c>
      <c r="F98" s="4">
        <v>5.9085360310285176E-5</v>
      </c>
      <c r="G98" s="4">
        <v>1.6925963670415985E-5</v>
      </c>
      <c r="H98" s="4">
        <v>2.226272714365158E-5</v>
      </c>
      <c r="I98" s="4"/>
      <c r="J98" s="4"/>
    </row>
    <row r="99" spans="1:10" x14ac:dyDescent="0.35">
      <c r="A99" s="27" t="s">
        <v>286</v>
      </c>
      <c r="B99" s="4">
        <v>6.7944002622442219E-3</v>
      </c>
      <c r="C99" s="6">
        <v>1.7084716867211852E-3</v>
      </c>
      <c r="D99" s="4">
        <v>1.0078474519995843E-3</v>
      </c>
      <c r="E99" s="4">
        <v>1.1403681800028515E-3</v>
      </c>
      <c r="F99" s="4">
        <v>6.5268772376577062E-4</v>
      </c>
      <c r="G99" s="4">
        <v>2.7712310797793264E-4</v>
      </c>
      <c r="H99" s="4">
        <v>3.8421420372296489E-4</v>
      </c>
      <c r="I99" s="4"/>
      <c r="J99" s="4"/>
    </row>
    <row r="100" spans="1:10" x14ac:dyDescent="0.35">
      <c r="A100" s="27" t="s">
        <v>128</v>
      </c>
      <c r="B100" s="4">
        <v>5.5604753395289634E-2</v>
      </c>
      <c r="C100" s="6">
        <v>8.4306403140222113E-4</v>
      </c>
      <c r="D100" s="4">
        <v>7.6078224620394568E-4</v>
      </c>
      <c r="E100" s="4">
        <v>1.7323254442559128E-2</v>
      </c>
      <c r="F100" s="4">
        <v>3.6702802745826893E-2</v>
      </c>
      <c r="G100" s="4">
        <v>4.3394934781770082E-3</v>
      </c>
      <c r="H100" s="4">
        <v>6.6674898197981018E-4</v>
      </c>
      <c r="I100" s="4"/>
      <c r="J100" s="4"/>
    </row>
    <row r="101" spans="1:10" x14ac:dyDescent="0.35">
      <c r="A101" s="27" t="s">
        <v>129</v>
      </c>
      <c r="B101" s="4">
        <v>1.464873448117462E-5</v>
      </c>
      <c r="C101" s="6">
        <v>1.464873448117462E-5</v>
      </c>
      <c r="D101" s="4">
        <v>0</v>
      </c>
      <c r="E101" s="4">
        <v>0</v>
      </c>
      <c r="F101" s="4">
        <v>0</v>
      </c>
      <c r="G101" s="4">
        <v>0</v>
      </c>
      <c r="H101" s="4">
        <v>0</v>
      </c>
      <c r="I101" s="4"/>
      <c r="J101" s="4"/>
    </row>
    <row r="102" spans="1:10" x14ac:dyDescent="0.35">
      <c r="A102" s="27" t="s">
        <v>130</v>
      </c>
      <c r="B102" s="4">
        <v>4.4530203168223736E-5</v>
      </c>
      <c r="C102" s="6">
        <v>4.4530203168223736E-5</v>
      </c>
      <c r="D102" s="4">
        <v>0</v>
      </c>
      <c r="E102" s="4">
        <v>0</v>
      </c>
      <c r="F102" s="4">
        <v>0</v>
      </c>
      <c r="G102" s="4">
        <v>0</v>
      </c>
      <c r="H102" s="4">
        <v>0</v>
      </c>
      <c r="I102" s="4"/>
      <c r="J102" s="4"/>
    </row>
    <row r="103" spans="1:10" x14ac:dyDescent="0.35">
      <c r="A103" s="27" t="s">
        <v>131</v>
      </c>
      <c r="B103" s="4">
        <v>3.1646109846669376E-4</v>
      </c>
      <c r="C103" s="6">
        <v>1.5950426201282432E-4</v>
      </c>
      <c r="D103" s="4">
        <v>1.9210890133924988E-5</v>
      </c>
      <c r="E103" s="4">
        <v>2.6246585396419472E-5</v>
      </c>
      <c r="F103" s="4">
        <v>6.9013760682816146E-5</v>
      </c>
      <c r="G103" s="4">
        <v>9.0613234580308623E-5</v>
      </c>
      <c r="H103" s="4">
        <v>1.9785612501359301E-5</v>
      </c>
      <c r="I103" s="4"/>
      <c r="J103" s="4"/>
    </row>
    <row r="104" spans="1:10" x14ac:dyDescent="0.35">
      <c r="A104" s="27" t="s">
        <v>132</v>
      </c>
      <c r="B104" s="4">
        <v>3.2805061084812244E-4</v>
      </c>
      <c r="C104" s="6">
        <v>2.3697378435043563E-5</v>
      </c>
      <c r="D104" s="4">
        <v>2.6370894050494425E-5</v>
      </c>
      <c r="E104" s="4">
        <v>1.175220123493251E-4</v>
      </c>
      <c r="F104" s="4">
        <v>2.2007989889962932E-5</v>
      </c>
      <c r="G104" s="4">
        <v>1.6948742315042321E-4</v>
      </c>
      <c r="H104" s="4">
        <v>0</v>
      </c>
      <c r="I104" s="4"/>
      <c r="J104" s="4"/>
    </row>
    <row r="105" spans="1:10" x14ac:dyDescent="0.35">
      <c r="A105" s="27" t="s">
        <v>133</v>
      </c>
      <c r="B105" s="4">
        <v>7.602788103891501E-5</v>
      </c>
      <c r="C105" s="6">
        <v>0</v>
      </c>
      <c r="D105" s="4">
        <v>2.3009938174982376E-5</v>
      </c>
      <c r="E105" s="4">
        <v>3.0275723605857902E-5</v>
      </c>
      <c r="F105" s="4">
        <v>0</v>
      </c>
      <c r="G105" s="4">
        <v>0</v>
      </c>
      <c r="H105" s="4">
        <v>0</v>
      </c>
      <c r="I105" s="4"/>
      <c r="J105" s="4"/>
    </row>
    <row r="106" spans="1:10" x14ac:dyDescent="0.35">
      <c r="A106" s="27" t="s">
        <v>134</v>
      </c>
      <c r="B106" s="4">
        <v>1.5655963754978189E-3</v>
      </c>
      <c r="C106" s="6">
        <v>2.6311000994280628E-4</v>
      </c>
      <c r="D106" s="4">
        <v>1.0244272746493625E-4</v>
      </c>
      <c r="E106" s="4">
        <v>7.3530122296462652E-5</v>
      </c>
      <c r="F106" s="4">
        <v>3.0067656469294181E-4</v>
      </c>
      <c r="G106" s="4">
        <v>5.2151941275500797E-5</v>
      </c>
      <c r="H106" s="4">
        <v>5.8393645766066724E-4</v>
      </c>
      <c r="I106" s="4"/>
      <c r="J106" s="4"/>
    </row>
    <row r="107" spans="1:10" x14ac:dyDescent="0.35">
      <c r="A107" s="27" t="s">
        <v>135</v>
      </c>
      <c r="B107" s="4">
        <v>2.6291311839905806E-5</v>
      </c>
      <c r="C107" s="6">
        <v>2.6291311839905806E-5</v>
      </c>
      <c r="D107" s="4">
        <v>0</v>
      </c>
      <c r="E107" s="4">
        <v>0</v>
      </c>
      <c r="F107" s="4">
        <v>0</v>
      </c>
      <c r="G107" s="4">
        <v>2.6291311839905806E-5</v>
      </c>
      <c r="H107" s="4">
        <v>0</v>
      </c>
      <c r="I107" s="4"/>
      <c r="J107" s="4"/>
    </row>
    <row r="108" spans="1:10" x14ac:dyDescent="0.35">
      <c r="A108" s="27" t="s">
        <v>136</v>
      </c>
      <c r="B108" s="4">
        <v>1.7231850765912272E-4</v>
      </c>
      <c r="C108" s="6">
        <v>7.3974974748119182E-5</v>
      </c>
      <c r="D108" s="4">
        <v>1.8673982003507836E-5</v>
      </c>
      <c r="E108" s="4">
        <v>0</v>
      </c>
      <c r="F108" s="4">
        <v>0</v>
      </c>
      <c r="G108" s="4">
        <v>0</v>
      </c>
      <c r="H108" s="4">
        <v>0</v>
      </c>
      <c r="I108" s="4"/>
      <c r="J108" s="4"/>
    </row>
    <row r="109" spans="1:10" x14ac:dyDescent="0.35">
      <c r="A109" s="27" t="s">
        <v>137</v>
      </c>
      <c r="B109" s="4">
        <v>1.3431673656237475E-4</v>
      </c>
      <c r="C109" s="6">
        <v>9.2392445747200495E-5</v>
      </c>
      <c r="D109" s="4">
        <v>2.3989886306949426E-5</v>
      </c>
      <c r="E109" s="4">
        <v>0</v>
      </c>
      <c r="F109" s="4">
        <v>0</v>
      </c>
      <c r="G109" s="4">
        <v>0</v>
      </c>
      <c r="H109" s="4">
        <v>0</v>
      </c>
      <c r="I109" s="4"/>
      <c r="J109" s="4"/>
    </row>
    <row r="110" spans="1:10" x14ac:dyDescent="0.35">
      <c r="A110" s="27" t="s">
        <v>138</v>
      </c>
      <c r="B110" s="4">
        <v>1.9032239033060704E-4</v>
      </c>
      <c r="C110" s="6">
        <v>2.1927089486716928E-5</v>
      </c>
      <c r="D110" s="4">
        <v>5.1829703909153162E-5</v>
      </c>
      <c r="E110" s="4">
        <v>4.3518224880506346E-5</v>
      </c>
      <c r="F110" s="4">
        <v>0</v>
      </c>
      <c r="G110" s="4">
        <v>5.1829703909153162E-5</v>
      </c>
      <c r="H110" s="4">
        <v>2.5584494561515707E-5</v>
      </c>
      <c r="I110" s="4"/>
      <c r="J110" s="4"/>
    </row>
    <row r="111" spans="1:10" x14ac:dyDescent="0.35">
      <c r="A111" s="27" t="s">
        <v>139</v>
      </c>
      <c r="B111" s="4">
        <v>1.8710606356905476E-3</v>
      </c>
      <c r="C111" s="6">
        <v>8.1215941169005522E-4</v>
      </c>
      <c r="D111" s="4">
        <v>2.9609285240811314E-4</v>
      </c>
      <c r="E111" s="4">
        <v>3.4044327053791548E-4</v>
      </c>
      <c r="F111" s="4">
        <v>7.2237812321318114E-5</v>
      </c>
      <c r="G111" s="4">
        <v>1.4730570494210981E-4</v>
      </c>
      <c r="H111" s="4">
        <v>4.954788753077508E-4</v>
      </c>
      <c r="I111" s="4"/>
      <c r="J111" s="4"/>
    </row>
    <row r="112" spans="1:10" x14ac:dyDescent="0.35">
      <c r="A112" s="27" t="s">
        <v>140</v>
      </c>
      <c r="B112" s="4">
        <v>5.3402194191867532E-3</v>
      </c>
      <c r="C112" s="6">
        <v>2.7519126315878242E-3</v>
      </c>
      <c r="D112" s="4">
        <v>8.0944107532982825E-4</v>
      </c>
      <c r="E112" s="4">
        <v>6.9678570569827998E-4</v>
      </c>
      <c r="F112" s="4">
        <v>4.3786159075698218E-4</v>
      </c>
      <c r="G112" s="4">
        <v>6.3154090435392192E-4</v>
      </c>
      <c r="H112" s="4">
        <v>1.0525909211319827E-3</v>
      </c>
      <c r="I112" s="4"/>
      <c r="J112" s="4"/>
    </row>
    <row r="113" spans="1:10" x14ac:dyDescent="0.35">
      <c r="A113" s="27" t="s">
        <v>141</v>
      </c>
      <c r="B113" s="4">
        <v>3.0618376340309328E-3</v>
      </c>
      <c r="C113" s="6">
        <v>1.6817580204590756E-3</v>
      </c>
      <c r="D113" s="4">
        <v>6.7124353398636605E-4</v>
      </c>
      <c r="E113" s="4">
        <v>3.1049418529724117E-4</v>
      </c>
      <c r="F113" s="4">
        <v>2.2818601240173666E-4</v>
      </c>
      <c r="G113" s="4">
        <v>3.1527850463550737E-4</v>
      </c>
      <c r="H113" s="4">
        <v>6.0433263090731767E-4</v>
      </c>
      <c r="I113" s="4"/>
      <c r="J113" s="4"/>
    </row>
    <row r="114" spans="1:10" x14ac:dyDescent="0.35">
      <c r="A114" s="27" t="s">
        <v>142</v>
      </c>
      <c r="B114" s="4">
        <v>4.9228848119321655E-2</v>
      </c>
      <c r="C114" s="6">
        <v>6.9550888835812662E-3</v>
      </c>
      <c r="D114" s="4">
        <v>5.2279663992939674E-3</v>
      </c>
      <c r="E114" s="4">
        <v>6.4664859439201774E-3</v>
      </c>
      <c r="F114" s="4">
        <v>3.2223606767901318E-3</v>
      </c>
      <c r="G114" s="4">
        <v>4.0129119589753575E-3</v>
      </c>
      <c r="H114" s="4">
        <v>4.3884536519367117E-3</v>
      </c>
      <c r="I114" s="4"/>
      <c r="J114" s="4"/>
    </row>
    <row r="115" spans="1:10" x14ac:dyDescent="0.35">
      <c r="A115" s="27" t="s">
        <v>143</v>
      </c>
      <c r="B115" s="4">
        <v>1.6633255277292225E-3</v>
      </c>
      <c r="C115" s="6">
        <v>1.0035354430669447E-3</v>
      </c>
      <c r="D115" s="4">
        <v>2.5505240254259683E-4</v>
      </c>
      <c r="E115" s="4">
        <v>7.5433048977363853E-5</v>
      </c>
      <c r="F115" s="4">
        <v>6.878814125903212E-5</v>
      </c>
      <c r="G115" s="4">
        <v>1.593745197218523E-5</v>
      </c>
      <c r="H115" s="4">
        <v>1.3312501644425226E-4</v>
      </c>
      <c r="I115" s="4"/>
      <c r="J115" s="4"/>
    </row>
    <row r="116" spans="1:10" x14ac:dyDescent="0.35">
      <c r="A116" s="27" t="s">
        <v>144</v>
      </c>
      <c r="B116" s="4">
        <v>7.8781320630451134E-5</v>
      </c>
      <c r="C116" s="6">
        <v>2.6115394683430686E-5</v>
      </c>
      <c r="D116" s="4">
        <v>0</v>
      </c>
      <c r="E116" s="4">
        <v>0</v>
      </c>
      <c r="F116" s="4">
        <v>0</v>
      </c>
      <c r="G116" s="4">
        <v>2.3066262317558184E-5</v>
      </c>
      <c r="H116" s="4">
        <v>0</v>
      </c>
      <c r="I116" s="4"/>
      <c r="J116" s="4"/>
    </row>
    <row r="117" spans="1:10" x14ac:dyDescent="0.35">
      <c r="A117" s="27" t="s">
        <v>145</v>
      </c>
      <c r="B117" s="4">
        <v>1.9427317473804848E-4</v>
      </c>
      <c r="C117" s="6">
        <v>0</v>
      </c>
      <c r="D117" s="4">
        <v>2.9402394620597586E-5</v>
      </c>
      <c r="E117" s="4">
        <v>0</v>
      </c>
      <c r="F117" s="4">
        <v>0</v>
      </c>
      <c r="G117" s="4">
        <v>0</v>
      </c>
      <c r="H117" s="4">
        <v>0</v>
      </c>
      <c r="I117" s="4"/>
      <c r="J117" s="4"/>
    </row>
    <row r="118" spans="1:10" x14ac:dyDescent="0.35">
      <c r="A118" s="27" t="s">
        <v>146</v>
      </c>
      <c r="B118" s="4">
        <v>2.6370894050494425E-5</v>
      </c>
      <c r="C118" s="6">
        <v>0</v>
      </c>
      <c r="D118" s="4">
        <v>0</v>
      </c>
      <c r="E118" s="4">
        <v>2.6370894050494425E-5</v>
      </c>
      <c r="F118" s="4">
        <v>0</v>
      </c>
      <c r="G118" s="4">
        <v>0</v>
      </c>
      <c r="H118" s="4">
        <v>0</v>
      </c>
      <c r="I118" s="4"/>
      <c r="J118" s="4"/>
    </row>
    <row r="119" spans="1:10" x14ac:dyDescent="0.35">
      <c r="A119" s="27" t="s">
        <v>284</v>
      </c>
      <c r="B119" s="4">
        <v>1.0683673647249488E-3</v>
      </c>
      <c r="C119" s="6">
        <v>7.4858355454085371E-4</v>
      </c>
      <c r="D119" s="4">
        <v>2.1776378830913089E-4</v>
      </c>
      <c r="E119" s="4">
        <v>2.1927089486716928E-5</v>
      </c>
      <c r="F119" s="4">
        <v>2.4410678012634248E-5</v>
      </c>
      <c r="G119" s="4">
        <v>6.6716269890896039E-5</v>
      </c>
      <c r="H119" s="4">
        <v>0</v>
      </c>
      <c r="I119" s="4"/>
      <c r="J119" s="4"/>
    </row>
    <row r="120" spans="1:10" x14ac:dyDescent="0.35">
      <c r="A120" s="27" t="s">
        <v>283</v>
      </c>
      <c r="B120" s="4">
        <v>1.1200136014256159E-3</v>
      </c>
      <c r="C120" s="6">
        <v>7.497819004726985E-4</v>
      </c>
      <c r="D120" s="4">
        <v>1.7985839283943814E-4</v>
      </c>
      <c r="E120" s="4">
        <v>2.3531422005605393E-5</v>
      </c>
      <c r="F120" s="4">
        <v>1.2415892927425241E-4</v>
      </c>
      <c r="G120" s="4">
        <v>8.5897642951395203E-5</v>
      </c>
      <c r="H120" s="4">
        <v>4.1225763398142192E-5</v>
      </c>
      <c r="I120" s="4"/>
      <c r="J120" s="4"/>
    </row>
    <row r="121" spans="1:10" x14ac:dyDescent="0.35">
      <c r="A121" s="27" t="s">
        <v>147</v>
      </c>
      <c r="B121" s="4">
        <v>7.7455070710768744E-4</v>
      </c>
      <c r="C121" s="6">
        <v>1.4620468805586238E-4</v>
      </c>
      <c r="D121" s="4">
        <v>1.0397675259539189E-4</v>
      </c>
      <c r="E121" s="4">
        <v>4.8942075443446175E-5</v>
      </c>
      <c r="F121" s="4">
        <v>1.5859451072990208E-4</v>
      </c>
      <c r="G121" s="4">
        <v>5.3864915391657837E-5</v>
      </c>
      <c r="H121" s="4">
        <v>7.1935042901408712E-5</v>
      </c>
      <c r="I121" s="4"/>
      <c r="J121" s="4"/>
    </row>
    <row r="122" spans="1:10" x14ac:dyDescent="0.35">
      <c r="A122" s="27" t="s">
        <v>148</v>
      </c>
      <c r="B122" s="4">
        <v>0</v>
      </c>
      <c r="C122" s="6">
        <v>0</v>
      </c>
      <c r="D122" s="4">
        <v>0</v>
      </c>
      <c r="E122" s="4">
        <v>0</v>
      </c>
      <c r="F122" s="4">
        <v>0</v>
      </c>
      <c r="G122" s="4">
        <v>0</v>
      </c>
      <c r="H122" s="4">
        <v>0</v>
      </c>
      <c r="I122" s="4"/>
      <c r="J122" s="4"/>
    </row>
    <row r="123" spans="1:10" x14ac:dyDescent="0.35">
      <c r="A123" s="27" t="s">
        <v>149</v>
      </c>
      <c r="B123" s="4">
        <v>1.4016937328865753E-3</v>
      </c>
      <c r="C123" s="6">
        <v>1.8507250445975223E-4</v>
      </c>
      <c r="D123" s="4">
        <v>1.4567593905233023E-4</v>
      </c>
      <c r="E123" s="4">
        <v>5.1820178853814695E-5</v>
      </c>
      <c r="F123" s="4">
        <v>2.6486647557149098E-4</v>
      </c>
      <c r="G123" s="4">
        <v>4.1966180265271143E-4</v>
      </c>
      <c r="H123" s="4">
        <v>1.1467680549338007E-4</v>
      </c>
      <c r="I123" s="4"/>
      <c r="J123" s="4"/>
    </row>
    <row r="124" spans="1:10" x14ac:dyDescent="0.35">
      <c r="A124" s="27" t="s">
        <v>150</v>
      </c>
      <c r="B124" s="4">
        <v>0</v>
      </c>
      <c r="C124" s="6">
        <v>0</v>
      </c>
      <c r="D124" s="4">
        <v>0</v>
      </c>
      <c r="E124" s="4">
        <v>0</v>
      </c>
      <c r="F124" s="4">
        <v>0</v>
      </c>
      <c r="G124" s="4">
        <v>0</v>
      </c>
      <c r="H124" s="4">
        <v>0</v>
      </c>
      <c r="I124" s="4"/>
      <c r="J124" s="4"/>
    </row>
    <row r="125" spans="1:10" x14ac:dyDescent="0.35">
      <c r="A125" s="27" t="s">
        <v>151</v>
      </c>
      <c r="B125" s="4">
        <v>1.3163642238758577E-3</v>
      </c>
      <c r="C125" s="6">
        <v>8.5978849101447463E-4</v>
      </c>
      <c r="D125" s="4">
        <v>1.4390035885076855E-4</v>
      </c>
      <c r="E125" s="4">
        <v>9.641118320069746E-5</v>
      </c>
      <c r="F125" s="4">
        <v>1.4994069595122846E-5</v>
      </c>
      <c r="G125" s="4">
        <v>6.9108509111951357E-5</v>
      </c>
      <c r="H125" s="4">
        <v>1.5261879239300926E-4</v>
      </c>
      <c r="I125" s="4"/>
      <c r="J125" s="4"/>
    </row>
    <row r="126" spans="1:10" x14ac:dyDescent="0.35">
      <c r="A126" s="27" t="s">
        <v>152</v>
      </c>
      <c r="B126" s="4">
        <v>1.6479262901666629E-3</v>
      </c>
      <c r="C126" s="6">
        <v>2.7606282631755842E-4</v>
      </c>
      <c r="D126" s="4">
        <v>1.7005248065151405E-4</v>
      </c>
      <c r="E126" s="4">
        <v>3.2454307200444879E-4</v>
      </c>
      <c r="F126" s="4">
        <v>5.6345081325803834E-4</v>
      </c>
      <c r="G126" s="4">
        <v>1.3063899403461848E-4</v>
      </c>
      <c r="H126" s="4">
        <v>1.9090788686050011E-4</v>
      </c>
      <c r="I126" s="4"/>
      <c r="J126" s="4"/>
    </row>
    <row r="127" spans="1:10" x14ac:dyDescent="0.35">
      <c r="A127" s="27" t="s">
        <v>153</v>
      </c>
      <c r="B127" s="4">
        <v>1.5330958069507828E-3</v>
      </c>
      <c r="C127" s="6">
        <v>6.6929395989194431E-4</v>
      </c>
      <c r="D127" s="4">
        <v>3.9797181761876837E-4</v>
      </c>
      <c r="E127" s="4">
        <v>1.8640676286363277E-4</v>
      </c>
      <c r="F127" s="4">
        <v>1.0831314267068347E-4</v>
      </c>
      <c r="G127" s="4">
        <v>7.9061244168508214E-5</v>
      </c>
      <c r="H127" s="4">
        <v>4.8876048736267739E-5</v>
      </c>
      <c r="I127" s="4"/>
      <c r="J127" s="4"/>
    </row>
    <row r="128" spans="1:10" x14ac:dyDescent="0.35">
      <c r="A128" s="27" t="s">
        <v>154</v>
      </c>
      <c r="B128" s="4">
        <v>1.9607223850271623E-3</v>
      </c>
      <c r="C128" s="6">
        <v>1.8241242133007409E-4</v>
      </c>
      <c r="D128" s="4">
        <v>1.8242205137924359E-4</v>
      </c>
      <c r="E128" s="4">
        <v>1.4045715679419579E-4</v>
      </c>
      <c r="F128" s="4">
        <v>4.4526970048785054E-4</v>
      </c>
      <c r="G128" s="4">
        <v>4.1840415662717161E-4</v>
      </c>
      <c r="H128" s="4">
        <v>1.1365131252137063E-4</v>
      </c>
      <c r="I128" s="4"/>
      <c r="J128" s="4"/>
    </row>
    <row r="129" spans="1:10" x14ac:dyDescent="0.35">
      <c r="A129" s="27" t="s">
        <v>155</v>
      </c>
      <c r="B129" s="4">
        <v>2.6715634326679637E-2</v>
      </c>
      <c r="C129" s="6">
        <v>4.8308550597142546E-3</v>
      </c>
      <c r="D129" s="4">
        <v>2.6785860799204207E-3</v>
      </c>
      <c r="E129" s="4">
        <v>7.660083479678368E-3</v>
      </c>
      <c r="F129" s="4">
        <v>3.4332304379972559E-3</v>
      </c>
      <c r="G129" s="4">
        <v>3.6976735004643508E-3</v>
      </c>
      <c r="H129" s="4">
        <v>2.9762368065085225E-3</v>
      </c>
      <c r="I129" s="4"/>
      <c r="J129" s="4"/>
    </row>
    <row r="130" spans="1:10" x14ac:dyDescent="0.35">
      <c r="A130" s="27" t="s">
        <v>156</v>
      </c>
      <c r="B130" s="4">
        <v>1.4218071462794894E-4</v>
      </c>
      <c r="C130" s="6">
        <v>7.237064103746607E-5</v>
      </c>
      <c r="D130" s="4">
        <v>0</v>
      </c>
      <c r="E130" s="4">
        <v>0</v>
      </c>
      <c r="F130" s="4">
        <v>4.9362508569269738E-5</v>
      </c>
      <c r="G130" s="4">
        <v>0</v>
      </c>
      <c r="H130" s="4">
        <v>0</v>
      </c>
      <c r="I130" s="4"/>
      <c r="J130" s="4"/>
    </row>
    <row r="131" spans="1:10" x14ac:dyDescent="0.35">
      <c r="A131" s="27" t="s">
        <v>157</v>
      </c>
      <c r="B131" s="4">
        <v>3.4239173337840319E-4</v>
      </c>
      <c r="C131" s="6">
        <v>1.0415570599636969E-4</v>
      </c>
      <c r="D131" s="4">
        <v>6.6061971414088305E-5</v>
      </c>
      <c r="E131" s="4">
        <v>2.6509365982899368E-5</v>
      </c>
      <c r="F131" s="4">
        <v>2.9317517829821243E-5</v>
      </c>
      <c r="G131" s="4">
        <v>2.4441956351251743E-5</v>
      </c>
      <c r="H131" s="4">
        <v>5.5826883812720611E-5</v>
      </c>
      <c r="I131" s="4"/>
      <c r="J131" s="4"/>
    </row>
    <row r="132" spans="1:10" x14ac:dyDescent="0.35">
      <c r="A132" s="27" t="s">
        <v>158</v>
      </c>
      <c r="B132" s="4">
        <v>5.9295103612536943E-3</v>
      </c>
      <c r="C132" s="6">
        <v>1.8905502093609478E-3</v>
      </c>
      <c r="D132" s="4">
        <v>1.2201720085514328E-3</v>
      </c>
      <c r="E132" s="4">
        <v>7.4803779595590482E-4</v>
      </c>
      <c r="F132" s="4">
        <v>3.2495070014263632E-4</v>
      </c>
      <c r="G132" s="4">
        <v>7.1962009446455762E-4</v>
      </c>
      <c r="H132" s="4">
        <v>1.1712371090310929E-3</v>
      </c>
      <c r="I132" s="4"/>
      <c r="J132" s="4"/>
    </row>
    <row r="133" spans="1:10" x14ac:dyDescent="0.35">
      <c r="A133" s="27" t="s">
        <v>282</v>
      </c>
      <c r="B133" s="4">
        <v>1.0451000023097054E-3</v>
      </c>
      <c r="C133" s="6">
        <v>4.3039092302909224E-4</v>
      </c>
      <c r="D133" s="4">
        <v>2.5271808410206275E-5</v>
      </c>
      <c r="E133" s="4">
        <v>9.9981784569518108E-5</v>
      </c>
      <c r="F133" s="4">
        <v>4.1438869974075125E-4</v>
      </c>
      <c r="G133" s="4">
        <v>1.1262855808237524E-4</v>
      </c>
      <c r="H133" s="4">
        <v>2.4622118243272899E-5</v>
      </c>
      <c r="I133" s="4"/>
      <c r="J133" s="4"/>
    </row>
    <row r="134" spans="1:10" x14ac:dyDescent="0.35">
      <c r="A134" s="27" t="s">
        <v>159</v>
      </c>
      <c r="B134" s="4">
        <v>8.1723082314528488E-5</v>
      </c>
      <c r="C134" s="6">
        <v>3.8108910182320045E-5</v>
      </c>
      <c r="D134" s="4">
        <v>2.3166607110995311E-5</v>
      </c>
      <c r="E134" s="4">
        <v>2.3166607110995311E-5</v>
      </c>
      <c r="F134" s="4">
        <v>0</v>
      </c>
      <c r="G134" s="4">
        <v>2.3166607110995311E-5</v>
      </c>
      <c r="H134" s="4">
        <v>2.0447565021213128E-5</v>
      </c>
      <c r="I134" s="4"/>
      <c r="J134" s="4"/>
    </row>
    <row r="135" spans="1:10" x14ac:dyDescent="0.35">
      <c r="A135" s="27" t="s">
        <v>160</v>
      </c>
      <c r="B135" s="4">
        <v>1.9503260431005112E-2</v>
      </c>
      <c r="C135" s="6">
        <v>8.7194816755639618E-3</v>
      </c>
      <c r="D135" s="4">
        <v>2.878351296601266E-3</v>
      </c>
      <c r="E135" s="4">
        <v>1.7487178608629605E-3</v>
      </c>
      <c r="F135" s="4">
        <v>1.710523414392387E-3</v>
      </c>
      <c r="G135" s="4">
        <v>3.3922993203953943E-3</v>
      </c>
      <c r="H135" s="4">
        <v>1.9361689446207731E-3</v>
      </c>
      <c r="I135" s="4"/>
      <c r="J135" s="4"/>
    </row>
    <row r="136" spans="1:10" x14ac:dyDescent="0.35">
      <c r="A136" s="27" t="s">
        <v>161</v>
      </c>
      <c r="B136" s="4">
        <v>2.4447119701094325E-3</v>
      </c>
      <c r="C136" s="6">
        <v>5.823037683867422E-4</v>
      </c>
      <c r="D136" s="4">
        <v>3.1744796059474464E-4</v>
      </c>
      <c r="E136" s="4">
        <v>1.6231763056957706E-4</v>
      </c>
      <c r="F136" s="4">
        <v>4.0845800156666682E-4</v>
      </c>
      <c r="G136" s="4">
        <v>1.0851618381330957E-4</v>
      </c>
      <c r="H136" s="4">
        <v>1.957529896249077E-4</v>
      </c>
      <c r="I136" s="4"/>
      <c r="J136" s="4"/>
    </row>
    <row r="137" spans="1:10" x14ac:dyDescent="0.35">
      <c r="A137" s="27" t="s">
        <v>162</v>
      </c>
      <c r="B137" s="4">
        <v>0</v>
      </c>
      <c r="C137" s="6">
        <v>0</v>
      </c>
      <c r="D137" s="4">
        <v>0</v>
      </c>
      <c r="E137" s="4">
        <v>0</v>
      </c>
      <c r="F137" s="4">
        <v>0</v>
      </c>
      <c r="G137" s="4">
        <v>0</v>
      </c>
      <c r="H137" s="4">
        <v>0</v>
      </c>
      <c r="I137" s="4"/>
      <c r="J137" s="4"/>
    </row>
    <row r="138" spans="1:10" x14ac:dyDescent="0.35">
      <c r="A138" s="27" t="s">
        <v>163</v>
      </c>
      <c r="B138" s="4">
        <v>5.3821892096223723E-3</v>
      </c>
      <c r="C138" s="6">
        <v>2.8415249036667974E-3</v>
      </c>
      <c r="D138" s="4">
        <v>8.0527460944118169E-4</v>
      </c>
      <c r="E138" s="4">
        <v>2.9581665416103867E-4</v>
      </c>
      <c r="F138" s="4">
        <v>7.6292463538939662E-5</v>
      </c>
      <c r="G138" s="4">
        <v>5.1640860005548702E-5</v>
      </c>
      <c r="H138" s="4">
        <v>8.1234324859642045E-4</v>
      </c>
      <c r="I138" s="4"/>
      <c r="J138" s="4"/>
    </row>
    <row r="139" spans="1:10" x14ac:dyDescent="0.35">
      <c r="A139" s="27" t="s">
        <v>164</v>
      </c>
      <c r="B139" s="4">
        <v>1.1957924189270571E-3</v>
      </c>
      <c r="C139" s="6">
        <v>3.5683479198539517E-4</v>
      </c>
      <c r="D139" s="4">
        <v>1.2669911756368297E-4</v>
      </c>
      <c r="E139" s="4">
        <v>2.8734321365737654E-5</v>
      </c>
      <c r="F139" s="4">
        <v>8.0337708472177748E-5</v>
      </c>
      <c r="G139" s="4">
        <v>9.1165788323581081E-5</v>
      </c>
      <c r="H139" s="4">
        <v>8.1731775512599241E-5</v>
      </c>
      <c r="I139" s="4"/>
      <c r="J139" s="4"/>
    </row>
    <row r="140" spans="1:10" x14ac:dyDescent="0.35">
      <c r="A140" s="27" t="s">
        <v>165</v>
      </c>
      <c r="B140" s="4">
        <v>3.7172868155036527E-3</v>
      </c>
      <c r="C140" s="6">
        <v>3.4838746029804179E-4</v>
      </c>
      <c r="D140" s="4">
        <v>2.9108650411105913E-4</v>
      </c>
      <c r="E140" s="4">
        <v>1.4292298525728472E-4</v>
      </c>
      <c r="F140" s="4">
        <v>2.2797476513986632E-3</v>
      </c>
      <c r="G140" s="4">
        <v>3.3123391400685827E-4</v>
      </c>
      <c r="H140" s="4">
        <v>3.0349900707205647E-4</v>
      </c>
      <c r="I140" s="4"/>
      <c r="J140" s="4"/>
    </row>
    <row r="141" spans="1:10" x14ac:dyDescent="0.35">
      <c r="A141" s="27" t="s">
        <v>166</v>
      </c>
      <c r="B141" s="4">
        <v>1.6313989484889962E-3</v>
      </c>
      <c r="C141" s="6">
        <v>2.7466173849768259E-4</v>
      </c>
      <c r="D141" s="4">
        <v>3.7549596345735079E-4</v>
      </c>
      <c r="E141" s="4">
        <v>2.0640097990063416E-4</v>
      </c>
      <c r="F141" s="4">
        <v>3.2542342185557947E-4</v>
      </c>
      <c r="G141" s="4">
        <v>2.8295563982786435E-4</v>
      </c>
      <c r="H141" s="4">
        <v>2.0612955404312008E-4</v>
      </c>
      <c r="I141" s="4"/>
      <c r="J141" s="4"/>
    </row>
    <row r="142" spans="1:10" x14ac:dyDescent="0.35">
      <c r="A142" s="27" t="s">
        <v>167</v>
      </c>
      <c r="B142" s="4">
        <v>8.7100876167414774E-3</v>
      </c>
      <c r="C142" s="6">
        <v>2.5690693710674981E-3</v>
      </c>
      <c r="D142" s="4">
        <v>1.5270170942883411E-3</v>
      </c>
      <c r="E142" s="4">
        <v>1.0206085489060507E-3</v>
      </c>
      <c r="F142" s="4">
        <v>6.6309972911552826E-4</v>
      </c>
      <c r="G142" s="4">
        <v>2.3919821879889692E-4</v>
      </c>
      <c r="H142" s="4">
        <v>3.1079163682297809E-3</v>
      </c>
      <c r="I142" s="4"/>
      <c r="J142" s="4"/>
    </row>
    <row r="143" spans="1:10" x14ac:dyDescent="0.35">
      <c r="A143" s="27" t="s">
        <v>168</v>
      </c>
      <c r="B143" s="4">
        <v>4.2115016076487995E-2</v>
      </c>
      <c r="C143" s="6">
        <v>2.6585180048126146E-3</v>
      </c>
      <c r="D143" s="4">
        <v>3.5145633954899729E-3</v>
      </c>
      <c r="E143" s="4">
        <v>3.350662080012232E-3</v>
      </c>
      <c r="F143" s="4">
        <v>1.7484967687151766E-3</v>
      </c>
      <c r="G143" s="4">
        <v>2.0082287830966894E-3</v>
      </c>
      <c r="H143" s="4">
        <v>3.6141442064216382E-3</v>
      </c>
      <c r="I143" s="4"/>
      <c r="J143" s="4"/>
    </row>
    <row r="144" spans="1:10" x14ac:dyDescent="0.35">
      <c r="A144" s="27" t="s">
        <v>169</v>
      </c>
      <c r="B144" s="4">
        <v>7.8536793124065992E-4</v>
      </c>
      <c r="C144" s="6">
        <v>4.6510521219268616E-4</v>
      </c>
      <c r="D144" s="4">
        <v>8.1239714155721972E-5</v>
      </c>
      <c r="E144" s="4">
        <v>8.5386207357297876E-5</v>
      </c>
      <c r="F144" s="4">
        <v>0</v>
      </c>
      <c r="G144" s="4">
        <v>8.1653755757024507E-5</v>
      </c>
      <c r="H144" s="4">
        <v>3.0516306005916441E-4</v>
      </c>
      <c r="I144" s="4"/>
      <c r="J144" s="4"/>
    </row>
    <row r="145" spans="1:10" x14ac:dyDescent="0.35">
      <c r="A145" s="27" t="s">
        <v>170</v>
      </c>
      <c r="B145" s="4">
        <v>1.9956120362962226E-4</v>
      </c>
      <c r="C145" s="6">
        <v>6.42404003746706E-5</v>
      </c>
      <c r="D145" s="4">
        <v>4.1249849403563711E-5</v>
      </c>
      <c r="E145" s="4">
        <v>0</v>
      </c>
      <c r="F145" s="4">
        <v>4.6198359535330815E-5</v>
      </c>
      <c r="G145" s="4">
        <v>0</v>
      </c>
      <c r="H145" s="4">
        <v>0</v>
      </c>
      <c r="I145" s="4"/>
      <c r="J145" s="4"/>
    </row>
    <row r="146" spans="1:10" x14ac:dyDescent="0.35">
      <c r="A146" s="27" t="s">
        <v>171</v>
      </c>
      <c r="B146" s="4">
        <v>2.1778208520961254E-3</v>
      </c>
      <c r="C146" s="6">
        <v>2.9971252158315323E-4</v>
      </c>
      <c r="D146" s="4">
        <v>1.2522687109916305E-4</v>
      </c>
      <c r="E146" s="4">
        <v>6.4725288085636427E-4</v>
      </c>
      <c r="F146" s="4">
        <v>4.239873160404582E-4</v>
      </c>
      <c r="G146" s="4">
        <v>5.3684406466723714E-4</v>
      </c>
      <c r="H146" s="4">
        <v>1.3527379446030293E-4</v>
      </c>
      <c r="I146" s="4"/>
      <c r="J146" s="4"/>
    </row>
    <row r="147" spans="1:10" x14ac:dyDescent="0.35">
      <c r="A147" s="27" t="s">
        <v>172</v>
      </c>
      <c r="B147" s="4">
        <v>2.2986687795930808E-5</v>
      </c>
      <c r="C147" s="6">
        <v>2.2986687795930808E-5</v>
      </c>
      <c r="D147" s="4">
        <v>0</v>
      </c>
      <c r="E147" s="4">
        <v>0</v>
      </c>
      <c r="F147" s="4">
        <v>0</v>
      </c>
      <c r="G147" s="4">
        <v>0</v>
      </c>
      <c r="H147" s="4">
        <v>0</v>
      </c>
      <c r="I147" s="4"/>
      <c r="J147" s="4"/>
    </row>
    <row r="148" spans="1:10" x14ac:dyDescent="0.35">
      <c r="A148" s="27" t="s">
        <v>173</v>
      </c>
      <c r="B148" s="4">
        <v>2.1555725218425798E-5</v>
      </c>
      <c r="C148" s="6">
        <v>0</v>
      </c>
      <c r="D148" s="4">
        <v>0</v>
      </c>
      <c r="E148" s="4">
        <v>0</v>
      </c>
      <c r="F148" s="4">
        <v>0</v>
      </c>
      <c r="G148" s="4">
        <v>0</v>
      </c>
      <c r="H148" s="4">
        <v>0</v>
      </c>
      <c r="I148" s="4"/>
      <c r="J148" s="4"/>
    </row>
    <row r="149" spans="1:10" x14ac:dyDescent="0.35">
      <c r="A149" s="27" t="s">
        <v>174</v>
      </c>
      <c r="B149" s="4">
        <v>3.2626858319953391E-4</v>
      </c>
      <c r="C149" s="6">
        <v>1.4816074543055392E-4</v>
      </c>
      <c r="D149" s="4">
        <v>2.14990743008073E-5</v>
      </c>
      <c r="E149" s="4">
        <v>6.6453913555364151E-5</v>
      </c>
      <c r="F149" s="4">
        <v>6.8398370733357199E-5</v>
      </c>
      <c r="G149" s="4">
        <v>7.4461170777797358E-5</v>
      </c>
      <c r="H149" s="4">
        <v>0</v>
      </c>
      <c r="I149" s="4"/>
      <c r="J149" s="4"/>
    </row>
    <row r="150" spans="1:10" x14ac:dyDescent="0.35">
      <c r="A150" s="60" t="s">
        <v>175</v>
      </c>
      <c r="B150" s="62">
        <v>2.9068927229739212E-2</v>
      </c>
      <c r="C150" s="63">
        <v>7.1184741219522884E-4</v>
      </c>
      <c r="D150" s="62">
        <v>1.1716731326067047E-3</v>
      </c>
      <c r="E150" s="62">
        <v>8.6210435128636197E-3</v>
      </c>
      <c r="F150" s="62">
        <v>1.5496122905858405E-2</v>
      </c>
      <c r="G150" s="62">
        <v>1.7251582452123208E-3</v>
      </c>
      <c r="H150" s="62">
        <v>8.1708462697530223E-4</v>
      </c>
      <c r="I150" s="4"/>
      <c r="J150" s="4"/>
    </row>
    <row r="151" spans="1:10" x14ac:dyDescent="0.35">
      <c r="A151" s="43"/>
      <c r="B151" s="80" t="s">
        <v>34</v>
      </c>
      <c r="C151" s="80"/>
      <c r="D151" s="80"/>
      <c r="E151" s="80"/>
      <c r="F151" s="80"/>
      <c r="G151" s="80"/>
      <c r="H151" s="80"/>
    </row>
    <row r="152" spans="1:10" x14ac:dyDescent="0.35">
      <c r="A152" s="27" t="s">
        <v>39</v>
      </c>
      <c r="B152" s="33">
        <v>11239.644603424909</v>
      </c>
      <c r="C152" s="7">
        <v>2717.0746118750008</v>
      </c>
      <c r="D152" s="33">
        <v>0</v>
      </c>
      <c r="E152" s="33">
        <v>669.43603951262753</v>
      </c>
      <c r="F152" s="33">
        <v>1487.9672364604482</v>
      </c>
      <c r="G152" s="33">
        <v>1666.550657378772</v>
      </c>
      <c r="H152" s="33">
        <v>1547.3576170373303</v>
      </c>
    </row>
    <row r="153" spans="1:10" x14ac:dyDescent="0.35">
      <c r="A153" s="27" t="s">
        <v>40</v>
      </c>
      <c r="B153" s="33">
        <v>30997.558810130417</v>
      </c>
      <c r="C153" s="7">
        <v>5157.3629793280243</v>
      </c>
      <c r="D153" s="33">
        <v>4857.6687979998678</v>
      </c>
      <c r="E153" s="33">
        <v>7824.0298682270995</v>
      </c>
      <c r="F153" s="33">
        <v>11474.864849671736</v>
      </c>
      <c r="G153" s="33">
        <v>3885.0247643251791</v>
      </c>
      <c r="H153" s="33">
        <v>1068.2796961152731</v>
      </c>
    </row>
    <row r="154" spans="1:10" x14ac:dyDescent="0.35">
      <c r="A154" s="27" t="s">
        <v>41</v>
      </c>
      <c r="B154" s="33">
        <v>21179.056112853814</v>
      </c>
      <c r="C154" s="7">
        <v>10234.222481621779</v>
      </c>
      <c r="D154" s="33">
        <v>2284.4095643654</v>
      </c>
      <c r="E154" s="33">
        <v>0</v>
      </c>
      <c r="F154" s="33">
        <v>2462.9566214164906</v>
      </c>
      <c r="G154" s="33">
        <v>2295.6050793350123</v>
      </c>
      <c r="H154" s="33">
        <v>1655.1025998581263</v>
      </c>
    </row>
    <row r="155" spans="1:10" x14ac:dyDescent="0.35">
      <c r="A155" s="27" t="s">
        <v>42</v>
      </c>
      <c r="B155" s="33">
        <v>173134.50148841037</v>
      </c>
      <c r="C155" s="7">
        <v>57737.029057810971</v>
      </c>
      <c r="D155" s="33">
        <v>27032.972860073398</v>
      </c>
      <c r="E155" s="33">
        <v>25367.416844110652</v>
      </c>
      <c r="F155" s="33">
        <v>21118.539499602062</v>
      </c>
      <c r="G155" s="33">
        <v>33602.001311162108</v>
      </c>
      <c r="H155" s="33">
        <v>46973.584976791957</v>
      </c>
    </row>
    <row r="156" spans="1:10" x14ac:dyDescent="0.35">
      <c r="A156" s="27" t="s">
        <v>43</v>
      </c>
      <c r="B156" s="33">
        <v>389330.34680584382</v>
      </c>
      <c r="C156" s="7">
        <v>223957.38134196663</v>
      </c>
      <c r="D156" s="33">
        <v>58174.829520732819</v>
      </c>
      <c r="E156" s="33">
        <v>47904.42976267542</v>
      </c>
      <c r="F156" s="33">
        <v>26919.298117786424</v>
      </c>
      <c r="G156" s="33">
        <v>37482.489837342247</v>
      </c>
      <c r="H156" s="33">
        <v>52181.595736167998</v>
      </c>
    </row>
    <row r="157" spans="1:10" x14ac:dyDescent="0.35">
      <c r="A157" s="27" t="s">
        <v>44</v>
      </c>
      <c r="B157" s="33">
        <v>180549.39720455607</v>
      </c>
      <c r="C157" s="7">
        <v>41478.340502078558</v>
      </c>
      <c r="D157" s="33">
        <v>23245.972498402178</v>
      </c>
      <c r="E157" s="33">
        <v>13581.495833061714</v>
      </c>
      <c r="F157" s="33">
        <v>7809.1586323208776</v>
      </c>
      <c r="G157" s="33">
        <v>15292.652257334728</v>
      </c>
      <c r="H157" s="33">
        <v>56495.751415049548</v>
      </c>
    </row>
    <row r="158" spans="1:10" x14ac:dyDescent="0.35">
      <c r="A158" s="27" t="s">
        <v>45</v>
      </c>
      <c r="B158" s="33">
        <v>46561.321398075328</v>
      </c>
      <c r="C158" s="7">
        <v>28238.369015493539</v>
      </c>
      <c r="D158" s="33">
        <v>6171.2151694783552</v>
      </c>
      <c r="E158" s="33">
        <v>3634.004480516468</v>
      </c>
      <c r="F158" s="33">
        <v>5172.4069458354334</v>
      </c>
      <c r="G158" s="33">
        <v>5802.852838878689</v>
      </c>
      <c r="H158" s="33">
        <v>5346.9680913892298</v>
      </c>
    </row>
    <row r="159" spans="1:10" x14ac:dyDescent="0.35">
      <c r="A159" s="27" t="s">
        <v>46</v>
      </c>
      <c r="B159" s="33">
        <v>520877.16972686787</v>
      </c>
      <c r="C159" s="7">
        <v>226879.66374012182</v>
      </c>
      <c r="D159" s="33">
        <v>97103.286851239784</v>
      </c>
      <c r="E159" s="33">
        <v>67518.320651864153</v>
      </c>
      <c r="F159" s="33">
        <v>29318.167355987807</v>
      </c>
      <c r="G159" s="33">
        <v>37257.211301370866</v>
      </c>
      <c r="H159" s="33">
        <v>109462.98934114212</v>
      </c>
    </row>
    <row r="160" spans="1:10" x14ac:dyDescent="0.35">
      <c r="A160" s="27" t="s">
        <v>47</v>
      </c>
      <c r="B160" s="33">
        <v>2672.4457599105831</v>
      </c>
      <c r="C160" s="7">
        <v>1105.3541250932133</v>
      </c>
      <c r="D160" s="33">
        <v>1621.7596608254639</v>
      </c>
      <c r="E160" s="33">
        <v>1197.579440677524</v>
      </c>
      <c r="F160" s="33">
        <v>2135.191339761378</v>
      </c>
      <c r="G160" s="33">
        <v>937.61189908385404</v>
      </c>
      <c r="H160" s="33">
        <v>568.09970494400807</v>
      </c>
    </row>
    <row r="161" spans="1:8" x14ac:dyDescent="0.35">
      <c r="A161" s="27" t="s">
        <v>48</v>
      </c>
      <c r="B161" s="33">
        <v>1309.1018476753338</v>
      </c>
      <c r="C161" s="7">
        <v>658.6973881908491</v>
      </c>
      <c r="D161" s="33">
        <v>0</v>
      </c>
      <c r="E161" s="33">
        <v>0</v>
      </c>
      <c r="F161" s="33">
        <v>658.6973881908491</v>
      </c>
      <c r="G161" s="33">
        <v>658.6973881908491</v>
      </c>
      <c r="H161" s="33">
        <v>0</v>
      </c>
    </row>
    <row r="162" spans="1:8" x14ac:dyDescent="0.35">
      <c r="A162" s="27" t="s">
        <v>49</v>
      </c>
      <c r="B162" s="33">
        <v>13105.746114582547</v>
      </c>
      <c r="C162" s="7">
        <v>4364.8003428282045</v>
      </c>
      <c r="D162" s="33">
        <v>1083.8489040265076</v>
      </c>
      <c r="E162" s="33">
        <v>4327.3821966903824</v>
      </c>
      <c r="F162" s="33">
        <v>2368.3591382059303</v>
      </c>
      <c r="G162" s="33">
        <v>1540.6006900968109</v>
      </c>
      <c r="H162" s="33">
        <v>731.80591259744688</v>
      </c>
    </row>
    <row r="163" spans="1:8" x14ac:dyDescent="0.35">
      <c r="A163" s="27" t="s">
        <v>50</v>
      </c>
      <c r="B163" s="33">
        <v>3527.6293548877043</v>
      </c>
      <c r="C163" s="7">
        <v>3103.4491347397643</v>
      </c>
      <c r="D163" s="33">
        <v>0</v>
      </c>
      <c r="E163" s="33">
        <v>0</v>
      </c>
      <c r="F163" s="33">
        <v>0</v>
      </c>
      <c r="G163" s="33">
        <v>1368.0995710761335</v>
      </c>
      <c r="H163" s="33">
        <v>424.18022014794013</v>
      </c>
    </row>
    <row r="164" spans="1:8" x14ac:dyDescent="0.35">
      <c r="A164" s="27" t="s">
        <v>51</v>
      </c>
      <c r="B164" s="33">
        <v>428.47308629067419</v>
      </c>
      <c r="C164" s="7">
        <v>0</v>
      </c>
      <c r="D164" s="33">
        <v>0</v>
      </c>
      <c r="E164" s="33">
        <v>0</v>
      </c>
      <c r="F164" s="33">
        <v>428.47308629067419</v>
      </c>
      <c r="G164" s="33">
        <v>0</v>
      </c>
      <c r="H164" s="33">
        <v>0</v>
      </c>
    </row>
    <row r="165" spans="1:8" x14ac:dyDescent="0.35">
      <c r="A165" s="27" t="s">
        <v>52</v>
      </c>
      <c r="B165" s="33">
        <v>372.58440164019981</v>
      </c>
      <c r="C165" s="7">
        <v>0</v>
      </c>
      <c r="D165" s="33">
        <v>0</v>
      </c>
      <c r="E165" s="33">
        <v>0</v>
      </c>
      <c r="F165" s="33">
        <v>0</v>
      </c>
      <c r="G165" s="33">
        <v>0</v>
      </c>
      <c r="H165" s="33">
        <v>0</v>
      </c>
    </row>
    <row r="166" spans="1:8" x14ac:dyDescent="0.35">
      <c r="A166" s="27" t="s">
        <v>53</v>
      </c>
      <c r="B166" s="33">
        <v>0</v>
      </c>
      <c r="C166" s="7">
        <v>0</v>
      </c>
      <c r="D166" s="33">
        <v>0</v>
      </c>
      <c r="E166" s="33">
        <v>0</v>
      </c>
      <c r="F166" s="33">
        <v>0</v>
      </c>
      <c r="G166" s="33">
        <v>0</v>
      </c>
      <c r="H166" s="33">
        <v>0</v>
      </c>
    </row>
    <row r="167" spans="1:8" x14ac:dyDescent="0.35">
      <c r="A167" s="27" t="s">
        <v>54</v>
      </c>
      <c r="B167" s="33">
        <v>6179.0672843641987</v>
      </c>
      <c r="C167" s="7">
        <v>1748.7801598500755</v>
      </c>
      <c r="D167" s="33">
        <v>416.17534521226838</v>
      </c>
      <c r="E167" s="33">
        <v>0</v>
      </c>
      <c r="F167" s="33">
        <v>1510.3471402020789</v>
      </c>
      <c r="G167" s="33">
        <v>2190.8265083723636</v>
      </c>
      <c r="H167" s="33">
        <v>1109.8943170087066</v>
      </c>
    </row>
    <row r="168" spans="1:8" x14ac:dyDescent="0.35">
      <c r="A168" s="27" t="s">
        <v>55</v>
      </c>
      <c r="B168" s="33">
        <v>568.09970494400807</v>
      </c>
      <c r="C168" s="7">
        <v>0</v>
      </c>
      <c r="D168" s="33">
        <v>0</v>
      </c>
      <c r="E168" s="33">
        <v>568.09970494400807</v>
      </c>
      <c r="F168" s="33">
        <v>0</v>
      </c>
      <c r="G168" s="33">
        <v>0</v>
      </c>
      <c r="H168" s="33">
        <v>568.09970494400807</v>
      </c>
    </row>
    <row r="169" spans="1:8" x14ac:dyDescent="0.35">
      <c r="A169" s="27" t="s">
        <v>56</v>
      </c>
      <c r="B169" s="33">
        <v>160844.43953403938</v>
      </c>
      <c r="C169" s="7">
        <v>102127.65893486132</v>
      </c>
      <c r="D169" s="33">
        <v>45153.856189378253</v>
      </c>
      <c r="E169" s="33">
        <v>5265.5541628057872</v>
      </c>
      <c r="F169" s="33">
        <v>1059.139375482473</v>
      </c>
      <c r="G169" s="33">
        <v>6475.1635563595637</v>
      </c>
      <c r="H169" s="33">
        <v>2750.933530706171</v>
      </c>
    </row>
    <row r="170" spans="1:8" x14ac:dyDescent="0.35">
      <c r="A170" s="27" t="s">
        <v>57</v>
      </c>
      <c r="B170" s="33">
        <v>137140.39989091695</v>
      </c>
      <c r="C170" s="7">
        <v>20807.959645819941</v>
      </c>
      <c r="D170" s="33">
        <v>5758.3094535621294</v>
      </c>
      <c r="E170" s="33">
        <v>50840.986873483555</v>
      </c>
      <c r="F170" s="33">
        <v>40326.134395233916</v>
      </c>
      <c r="G170" s="33">
        <v>29199.049954715414</v>
      </c>
      <c r="H170" s="33">
        <v>2747.476029562732</v>
      </c>
    </row>
    <row r="171" spans="1:8" x14ac:dyDescent="0.35">
      <c r="A171" s="27" t="s">
        <v>58</v>
      </c>
      <c r="B171" s="33">
        <v>546.10022223218562</v>
      </c>
      <c r="C171" s="7">
        <v>546.10022223218562</v>
      </c>
      <c r="D171" s="33">
        <v>0</v>
      </c>
      <c r="E171" s="33">
        <v>0</v>
      </c>
      <c r="F171" s="33">
        <v>0</v>
      </c>
      <c r="G171" s="33">
        <v>0</v>
      </c>
      <c r="H171" s="33">
        <v>0</v>
      </c>
    </row>
    <row r="172" spans="1:8" x14ac:dyDescent="0.35">
      <c r="A172" s="27" t="s">
        <v>59</v>
      </c>
      <c r="B172" s="33">
        <v>507182.7390328637</v>
      </c>
      <c r="C172" s="7">
        <v>47488.364682347674</v>
      </c>
      <c r="D172" s="33">
        <v>70307.358844355185</v>
      </c>
      <c r="E172" s="33">
        <v>32734.60697949128</v>
      </c>
      <c r="F172" s="33">
        <v>70774.551101724588</v>
      </c>
      <c r="G172" s="33">
        <v>26988.798529403117</v>
      </c>
      <c r="H172" s="33">
        <v>59291.447492567961</v>
      </c>
    </row>
    <row r="173" spans="1:8" x14ac:dyDescent="0.35">
      <c r="A173" s="27" t="s">
        <v>60</v>
      </c>
      <c r="B173" s="33">
        <v>12444.78155994969</v>
      </c>
      <c r="C173" s="7">
        <v>6679.487352052648</v>
      </c>
      <c r="D173" s="33">
        <v>1129.7360284983845</v>
      </c>
      <c r="E173" s="33">
        <v>2124.002682667623</v>
      </c>
      <c r="F173" s="33">
        <v>3044.1192978137137</v>
      </c>
      <c r="G173" s="33">
        <v>2704.1361529115593</v>
      </c>
      <c r="H173" s="33">
        <v>532.63627199166967</v>
      </c>
    </row>
    <row r="174" spans="1:8" x14ac:dyDescent="0.35">
      <c r="A174" s="27" t="s">
        <v>61</v>
      </c>
      <c r="B174" s="33">
        <v>1980.1395793031691</v>
      </c>
      <c r="C174" s="7">
        <v>381.182562213295</v>
      </c>
      <c r="D174" s="33">
        <v>524.12398711682113</v>
      </c>
      <c r="E174" s="33">
        <v>0</v>
      </c>
      <c r="F174" s="33">
        <v>0</v>
      </c>
      <c r="G174" s="33">
        <v>0</v>
      </c>
      <c r="H174" s="33">
        <v>0</v>
      </c>
    </row>
    <row r="175" spans="1:8" x14ac:dyDescent="0.35">
      <c r="A175" s="27" t="s">
        <v>62</v>
      </c>
      <c r="B175" s="33">
        <v>57268.075937250796</v>
      </c>
      <c r="C175" s="7">
        <v>6355.6197546506728</v>
      </c>
      <c r="D175" s="33">
        <v>6686.5918501222159</v>
      </c>
      <c r="E175" s="33">
        <v>2896.3887597576163</v>
      </c>
      <c r="F175" s="33">
        <v>18614.3610778291</v>
      </c>
      <c r="G175" s="33">
        <v>3617.7633074359164</v>
      </c>
      <c r="H175" s="33">
        <v>5370.247841407132</v>
      </c>
    </row>
    <row r="176" spans="1:8" x14ac:dyDescent="0.35">
      <c r="A176" s="27" t="s">
        <v>63</v>
      </c>
      <c r="B176" s="33">
        <v>7161.645138941085</v>
      </c>
      <c r="C176" s="7">
        <v>513.67616105989055</v>
      </c>
      <c r="D176" s="33">
        <v>0</v>
      </c>
      <c r="E176" s="33">
        <v>567.46434274286105</v>
      </c>
      <c r="F176" s="33">
        <v>3471.6572554326985</v>
      </c>
      <c r="G176" s="33">
        <v>2141.5210909961997</v>
      </c>
      <c r="H176" s="33">
        <v>2659.3422969513731</v>
      </c>
    </row>
    <row r="177" spans="1:8" x14ac:dyDescent="0.35">
      <c r="A177" s="27" t="s">
        <v>64</v>
      </c>
      <c r="B177" s="33">
        <v>361916.77703967126</v>
      </c>
      <c r="C177" s="7">
        <v>218793.03054949775</v>
      </c>
      <c r="D177" s="33">
        <v>54592.380165465438</v>
      </c>
      <c r="E177" s="33">
        <v>35237.699929389084</v>
      </c>
      <c r="F177" s="33">
        <v>22701.655320713482</v>
      </c>
      <c r="G177" s="33">
        <v>25352.215160900658</v>
      </c>
      <c r="H177" s="33">
        <v>60091.204400779141</v>
      </c>
    </row>
    <row r="178" spans="1:8" x14ac:dyDescent="0.35">
      <c r="A178" s="27" t="s">
        <v>65</v>
      </c>
      <c r="B178" s="33">
        <v>17745.524264571013</v>
      </c>
      <c r="C178" s="7">
        <v>6711.5231855342854</v>
      </c>
      <c r="D178" s="33">
        <v>8111.256761633419</v>
      </c>
      <c r="E178" s="33">
        <v>0</v>
      </c>
      <c r="F178" s="33">
        <v>518.38083949704401</v>
      </c>
      <c r="G178" s="33">
        <v>0</v>
      </c>
      <c r="H178" s="33">
        <v>0</v>
      </c>
    </row>
    <row r="179" spans="1:8" x14ac:dyDescent="0.35">
      <c r="A179" s="27" t="s">
        <v>293</v>
      </c>
      <c r="B179" s="33">
        <v>122177.70932047218</v>
      </c>
      <c r="C179" s="7">
        <v>7349.5659520865975</v>
      </c>
      <c r="D179" s="33">
        <v>3144.0332361364653</v>
      </c>
      <c r="E179" s="33">
        <v>63448.374943012153</v>
      </c>
      <c r="F179" s="33">
        <v>48052.197020542233</v>
      </c>
      <c r="G179" s="33">
        <v>10951.329057666098</v>
      </c>
      <c r="H179" s="33">
        <v>1255.8604701552836</v>
      </c>
    </row>
    <row r="180" spans="1:8" x14ac:dyDescent="0.35">
      <c r="A180" s="27" t="s">
        <v>66</v>
      </c>
      <c r="B180" s="33">
        <v>2212.8225509426516</v>
      </c>
      <c r="C180" s="7">
        <v>2212.8225509426516</v>
      </c>
      <c r="D180" s="33">
        <v>0</v>
      </c>
      <c r="E180" s="33">
        <v>0</v>
      </c>
      <c r="F180" s="33">
        <v>0</v>
      </c>
      <c r="G180" s="33">
        <v>0</v>
      </c>
      <c r="H180" s="33">
        <v>700.84547633915224</v>
      </c>
    </row>
    <row r="181" spans="1:8" x14ac:dyDescent="0.35">
      <c r="A181" s="27" t="s">
        <v>67</v>
      </c>
      <c r="B181" s="33">
        <v>221294.96311308889</v>
      </c>
      <c r="C181" s="7">
        <v>40683.093354670134</v>
      </c>
      <c r="D181" s="33">
        <v>31978.210965938997</v>
      </c>
      <c r="E181" s="33">
        <v>43068.774238098573</v>
      </c>
      <c r="F181" s="33">
        <v>20787.753387829282</v>
      </c>
      <c r="G181" s="33">
        <v>21444.407648313612</v>
      </c>
      <c r="H181" s="33">
        <v>11249.105224517592</v>
      </c>
    </row>
    <row r="182" spans="1:8" x14ac:dyDescent="0.35">
      <c r="A182" s="27" t="s">
        <v>68</v>
      </c>
      <c r="B182" s="33">
        <v>160628.7343924086</v>
      </c>
      <c r="C182" s="7">
        <v>22788.143292068187</v>
      </c>
      <c r="D182" s="33">
        <v>21593.35784274117</v>
      </c>
      <c r="E182" s="33">
        <v>15696.83164099378</v>
      </c>
      <c r="F182" s="33">
        <v>72302.007981726041</v>
      </c>
      <c r="G182" s="33">
        <v>16957.826261449518</v>
      </c>
      <c r="H182" s="33">
        <v>23211.552561545195</v>
      </c>
    </row>
    <row r="183" spans="1:8" x14ac:dyDescent="0.35">
      <c r="A183" s="27" t="s">
        <v>69</v>
      </c>
      <c r="B183" s="33">
        <v>245058.22881448644</v>
      </c>
      <c r="C183" s="7">
        <v>18437.020252206919</v>
      </c>
      <c r="D183" s="33">
        <v>27574.846700377297</v>
      </c>
      <c r="E183" s="33">
        <v>24689.419983831496</v>
      </c>
      <c r="F183" s="33">
        <v>125493.59165634459</v>
      </c>
      <c r="G183" s="33">
        <v>28695.312802964971</v>
      </c>
      <c r="H183" s="33">
        <v>22355.442159568134</v>
      </c>
    </row>
    <row r="184" spans="1:8" x14ac:dyDescent="0.35">
      <c r="A184" s="27" t="s">
        <v>70</v>
      </c>
      <c r="B184" s="33">
        <v>13446.951852934686</v>
      </c>
      <c r="C184" s="7">
        <v>5733.732768480123</v>
      </c>
      <c r="D184" s="33">
        <v>4014.0940614905867</v>
      </c>
      <c r="E184" s="33">
        <v>0</v>
      </c>
      <c r="F184" s="33">
        <v>609.79176594058572</v>
      </c>
      <c r="G184" s="33">
        <v>0</v>
      </c>
      <c r="H184" s="33">
        <v>0</v>
      </c>
    </row>
    <row r="185" spans="1:8" x14ac:dyDescent="0.35">
      <c r="A185" s="27" t="s">
        <v>71</v>
      </c>
      <c r="B185" s="33">
        <v>5824.4357029895109</v>
      </c>
      <c r="C185" s="7">
        <v>1725.4872462547062</v>
      </c>
      <c r="D185" s="33">
        <v>1377.2519564884269</v>
      </c>
      <c r="E185" s="33">
        <v>647.786201555557</v>
      </c>
      <c r="F185" s="33">
        <v>1886.7881542186276</v>
      </c>
      <c r="G185" s="33">
        <v>1616.7279400460536</v>
      </c>
      <c r="H185" s="33">
        <v>424.85244412562969</v>
      </c>
    </row>
    <row r="186" spans="1:8" x14ac:dyDescent="0.35">
      <c r="A186" s="27" t="s">
        <v>72</v>
      </c>
      <c r="B186" s="33">
        <v>15842.447674621288</v>
      </c>
      <c r="C186" s="7">
        <v>2288.1857014424741</v>
      </c>
      <c r="D186" s="33">
        <v>1129.235043776896</v>
      </c>
      <c r="E186" s="33">
        <v>641.1629507992609</v>
      </c>
      <c r="F186" s="33">
        <v>1763.2246315534153</v>
      </c>
      <c r="G186" s="33">
        <v>0</v>
      </c>
      <c r="H186" s="33">
        <v>4240.4700955189255</v>
      </c>
    </row>
    <row r="187" spans="1:8" x14ac:dyDescent="0.35">
      <c r="A187" s="27" t="s">
        <v>73</v>
      </c>
      <c r="B187" s="33">
        <v>15825.386644724007</v>
      </c>
      <c r="C187" s="7">
        <v>10125.274960352033</v>
      </c>
      <c r="D187" s="33">
        <v>3956.3549653032978</v>
      </c>
      <c r="E187" s="33">
        <v>501.33334216548093</v>
      </c>
      <c r="F187" s="33">
        <v>553.40589142742203</v>
      </c>
      <c r="G187" s="33">
        <v>621.75199100269435</v>
      </c>
      <c r="H187" s="33">
        <v>501.33334216548093</v>
      </c>
    </row>
    <row r="188" spans="1:8" x14ac:dyDescent="0.35">
      <c r="A188" s="27" t="s">
        <v>74</v>
      </c>
      <c r="B188" s="33">
        <v>3799.3846450267761</v>
      </c>
      <c r="C188" s="7">
        <v>1426.7165800378289</v>
      </c>
      <c r="D188" s="33">
        <v>1809.9595065759349</v>
      </c>
      <c r="E188" s="33">
        <v>1433.5766580557638</v>
      </c>
      <c r="F188" s="33">
        <v>682.25748570674648</v>
      </c>
      <c r="G188" s="33">
        <v>641.17586230640063</v>
      </c>
      <c r="H188" s="33">
        <v>0</v>
      </c>
    </row>
    <row r="189" spans="1:8" x14ac:dyDescent="0.35">
      <c r="A189" s="27" t="s">
        <v>75</v>
      </c>
      <c r="B189" s="33">
        <v>57057.848023300801</v>
      </c>
      <c r="C189" s="7">
        <v>22216.46134844319</v>
      </c>
      <c r="D189" s="33">
        <v>7814.5547832632474</v>
      </c>
      <c r="E189" s="33">
        <v>2457.417774095049</v>
      </c>
      <c r="F189" s="33">
        <v>15479.98024286673</v>
      </c>
      <c r="G189" s="33">
        <v>26833.482224969794</v>
      </c>
      <c r="H189" s="33">
        <v>2244.9729034825073</v>
      </c>
    </row>
    <row r="190" spans="1:8" x14ac:dyDescent="0.35">
      <c r="A190" s="27" t="s">
        <v>76</v>
      </c>
      <c r="B190" s="33">
        <v>14004.973108581886</v>
      </c>
      <c r="C190" s="7">
        <v>2481.9018399187444</v>
      </c>
      <c r="D190" s="33">
        <v>376.38284852017102</v>
      </c>
      <c r="E190" s="33">
        <v>1207.1090285930875</v>
      </c>
      <c r="F190" s="33">
        <v>993.95121690017572</v>
      </c>
      <c r="G190" s="33">
        <v>2742.4548837345255</v>
      </c>
      <c r="H190" s="33">
        <v>2334.6392335292589</v>
      </c>
    </row>
    <row r="191" spans="1:8" x14ac:dyDescent="0.35">
      <c r="A191" s="27" t="s">
        <v>77</v>
      </c>
      <c r="B191" s="33">
        <v>8174.7516743893902</v>
      </c>
      <c r="C191" s="7">
        <v>4404.3764476298211</v>
      </c>
      <c r="D191" s="33">
        <v>547.8382486822984</v>
      </c>
      <c r="E191" s="33">
        <v>1632.329151319512</v>
      </c>
      <c r="F191" s="33">
        <v>599.9016185832653</v>
      </c>
      <c r="G191" s="33">
        <v>2037.3681195718361</v>
      </c>
      <c r="H191" s="33">
        <v>979.84897453426834</v>
      </c>
    </row>
    <row r="192" spans="1:8" x14ac:dyDescent="0.35">
      <c r="A192" s="27" t="s">
        <v>78</v>
      </c>
      <c r="B192" s="33">
        <v>28794.122839140735</v>
      </c>
      <c r="C192" s="7">
        <v>6545.6205194576742</v>
      </c>
      <c r="D192" s="33">
        <v>4865.1460901120499</v>
      </c>
      <c r="E192" s="33">
        <v>3493.8299746652306</v>
      </c>
      <c r="F192" s="33">
        <v>6564.6195712185099</v>
      </c>
      <c r="G192" s="33">
        <v>4095.4725180509245</v>
      </c>
      <c r="H192" s="33">
        <v>551.38477244505316</v>
      </c>
    </row>
    <row r="193" spans="1:8" x14ac:dyDescent="0.35">
      <c r="A193" s="27" t="s">
        <v>79</v>
      </c>
      <c r="B193" s="33">
        <v>3055457.7805253458</v>
      </c>
      <c r="C193" s="7">
        <v>199416.57651516615</v>
      </c>
      <c r="D193" s="33">
        <v>138721.71494297363</v>
      </c>
      <c r="E193" s="33">
        <v>1471813.8242665986</v>
      </c>
      <c r="F193" s="33">
        <v>667424.9783777768</v>
      </c>
      <c r="G193" s="33">
        <v>714168.10653341748</v>
      </c>
      <c r="H193" s="33">
        <v>96049.600811504191</v>
      </c>
    </row>
    <row r="194" spans="1:8" x14ac:dyDescent="0.35">
      <c r="A194" s="27" t="s">
        <v>80</v>
      </c>
      <c r="B194" s="33">
        <v>6394.8003928226799</v>
      </c>
      <c r="C194" s="7">
        <v>1147.7960531571171</v>
      </c>
      <c r="D194" s="33">
        <v>681.61572143974593</v>
      </c>
      <c r="E194" s="33">
        <v>1892.1729993891461</v>
      </c>
      <c r="F194" s="33">
        <v>0</v>
      </c>
      <c r="G194" s="33">
        <v>0</v>
      </c>
      <c r="H194" s="33">
        <v>1666.0442522215446</v>
      </c>
    </row>
    <row r="195" spans="1:8" x14ac:dyDescent="0.35">
      <c r="A195" s="27" t="s">
        <v>81</v>
      </c>
      <c r="B195" s="33">
        <v>24936.503827540273</v>
      </c>
      <c r="C195" s="7">
        <v>6904.7707364526686</v>
      </c>
      <c r="D195" s="33">
        <v>6588.8195375570322</v>
      </c>
      <c r="E195" s="33">
        <v>1157.7024931532342</v>
      </c>
      <c r="F195" s="33">
        <v>404.07279082224386</v>
      </c>
      <c r="G195" s="33">
        <v>1788.5336626283804</v>
      </c>
      <c r="H195" s="33">
        <v>8468.2448373360785</v>
      </c>
    </row>
    <row r="196" spans="1:8" x14ac:dyDescent="0.35">
      <c r="A196" s="27" t="s">
        <v>82</v>
      </c>
      <c r="B196" s="33">
        <v>819011.64889066643</v>
      </c>
      <c r="C196" s="7">
        <v>404731.23206104041</v>
      </c>
      <c r="D196" s="33">
        <v>151213.02857910394</v>
      </c>
      <c r="E196" s="33">
        <v>93461.496007336653</v>
      </c>
      <c r="F196" s="33">
        <v>47602.131813783395</v>
      </c>
      <c r="G196" s="33">
        <v>74572.07822334813</v>
      </c>
      <c r="H196" s="33">
        <v>149565.18885780757</v>
      </c>
    </row>
    <row r="197" spans="1:8" x14ac:dyDescent="0.35">
      <c r="A197" s="27" t="s">
        <v>83</v>
      </c>
      <c r="B197" s="33">
        <v>13686.109580196937</v>
      </c>
      <c r="C197" s="7">
        <v>6855.693488573851</v>
      </c>
      <c r="D197" s="33">
        <v>2169.0611738163325</v>
      </c>
      <c r="E197" s="33">
        <v>1183.1122005725181</v>
      </c>
      <c r="F197" s="33">
        <v>2909.5754770005833</v>
      </c>
      <c r="G197" s="33">
        <v>0</v>
      </c>
      <c r="H197" s="33">
        <v>2405.7224035957574</v>
      </c>
    </row>
    <row r="198" spans="1:8" x14ac:dyDescent="0.35">
      <c r="A198" s="27" t="s">
        <v>84</v>
      </c>
      <c r="B198" s="33">
        <v>3609.2774567751449</v>
      </c>
      <c r="C198" s="7">
        <v>0</v>
      </c>
      <c r="D198" s="33">
        <v>522.10733234394013</v>
      </c>
      <c r="E198" s="33">
        <v>641.1629507992609</v>
      </c>
      <c r="F198" s="33">
        <v>0</v>
      </c>
      <c r="G198" s="33">
        <v>522.10733234394013</v>
      </c>
      <c r="H198" s="33">
        <v>0</v>
      </c>
    </row>
    <row r="199" spans="1:8" x14ac:dyDescent="0.35">
      <c r="A199" s="27" t="s">
        <v>85</v>
      </c>
      <c r="B199" s="33">
        <v>2292.1195311279066</v>
      </c>
      <c r="C199" s="7">
        <v>605.69889023906455</v>
      </c>
      <c r="D199" s="33">
        <v>605.69889023906455</v>
      </c>
      <c r="E199" s="33">
        <v>605.69889023906455</v>
      </c>
      <c r="F199" s="33">
        <v>0</v>
      </c>
      <c r="G199" s="33">
        <v>1686.4206408888419</v>
      </c>
      <c r="H199" s="33">
        <v>605.69889023906455</v>
      </c>
    </row>
    <row r="200" spans="1:8" x14ac:dyDescent="0.35">
      <c r="A200" s="27" t="s">
        <v>86</v>
      </c>
      <c r="B200" s="33">
        <v>510782.46351516852</v>
      </c>
      <c r="C200" s="7">
        <v>308222.35044353094</v>
      </c>
      <c r="D200" s="33">
        <v>81912.633731701222</v>
      </c>
      <c r="E200" s="33">
        <v>19618.717106825461</v>
      </c>
      <c r="F200" s="33">
        <v>45552.073924417811</v>
      </c>
      <c r="G200" s="33">
        <v>45011.492985417164</v>
      </c>
      <c r="H200" s="33">
        <v>9815.4470620945394</v>
      </c>
    </row>
    <row r="201" spans="1:8" x14ac:dyDescent="0.35">
      <c r="A201" s="27" t="s">
        <v>87</v>
      </c>
      <c r="B201" s="33">
        <v>4191.941994402704</v>
      </c>
      <c r="C201" s="7">
        <v>836.89243256207465</v>
      </c>
      <c r="D201" s="33">
        <v>984.32981517161124</v>
      </c>
      <c r="E201" s="33">
        <v>1199.7127048379371</v>
      </c>
      <c r="F201" s="33">
        <v>0</v>
      </c>
      <c r="G201" s="33">
        <v>1171.0070418310813</v>
      </c>
      <c r="H201" s="33">
        <v>0</v>
      </c>
    </row>
    <row r="202" spans="1:8" x14ac:dyDescent="0.35">
      <c r="A202" s="27" t="s">
        <v>88</v>
      </c>
      <c r="B202" s="33">
        <v>943.88468104323374</v>
      </c>
      <c r="C202" s="7">
        <v>595.5088351775122</v>
      </c>
      <c r="D202" s="33">
        <v>0</v>
      </c>
      <c r="E202" s="33">
        <v>0</v>
      </c>
      <c r="F202" s="33">
        <v>0</v>
      </c>
      <c r="G202" s="33">
        <v>0</v>
      </c>
      <c r="H202" s="33">
        <v>0</v>
      </c>
    </row>
    <row r="203" spans="1:8" x14ac:dyDescent="0.35">
      <c r="A203" s="27" t="s">
        <v>89</v>
      </c>
      <c r="B203" s="33">
        <v>74349.4580282846</v>
      </c>
      <c r="C203" s="7">
        <v>24259.389384029084</v>
      </c>
      <c r="D203" s="33">
        <v>8596.2456398281774</v>
      </c>
      <c r="E203" s="33">
        <v>14646.780326715927</v>
      </c>
      <c r="F203" s="33">
        <v>19836.901649857533</v>
      </c>
      <c r="G203" s="33">
        <v>6975.0732011276768</v>
      </c>
      <c r="H203" s="33">
        <v>10471.033973276955</v>
      </c>
    </row>
    <row r="204" spans="1:8" x14ac:dyDescent="0.35">
      <c r="A204" s="27" t="s">
        <v>90</v>
      </c>
      <c r="B204" s="33">
        <v>11643.105659113427</v>
      </c>
      <c r="C204" s="7">
        <v>339.80297990702246</v>
      </c>
      <c r="D204" s="33">
        <v>805.49617366142752</v>
      </c>
      <c r="E204" s="33">
        <v>0</v>
      </c>
      <c r="F204" s="33">
        <v>792.40079574936328</v>
      </c>
      <c r="G204" s="33">
        <v>1353.2023826182908</v>
      </c>
      <c r="H204" s="33">
        <v>5632.3662777930131</v>
      </c>
    </row>
    <row r="205" spans="1:8" x14ac:dyDescent="0.35">
      <c r="A205" s="27" t="s">
        <v>91</v>
      </c>
      <c r="B205" s="33">
        <v>1648.8846177587907</v>
      </c>
      <c r="C205" s="7">
        <v>0</v>
      </c>
      <c r="D205" s="33">
        <v>535.76229204580602</v>
      </c>
      <c r="E205" s="33">
        <v>0</v>
      </c>
      <c r="F205" s="33">
        <v>535.76229204580602</v>
      </c>
      <c r="G205" s="33">
        <v>1113.1223257129848</v>
      </c>
      <c r="H205" s="33">
        <v>535.76229204580602</v>
      </c>
    </row>
    <row r="206" spans="1:8" x14ac:dyDescent="0.35">
      <c r="A206" s="27" t="s">
        <v>92</v>
      </c>
      <c r="B206" s="33">
        <v>109661.87536270582</v>
      </c>
      <c r="C206" s="7">
        <v>80039.247170305302</v>
      </c>
      <c r="D206" s="33">
        <v>13706.385008215775</v>
      </c>
      <c r="E206" s="33">
        <v>2844.579917934182</v>
      </c>
      <c r="F206" s="33">
        <v>1062.8788429049703</v>
      </c>
      <c r="G206" s="33">
        <v>2196.5460006346566</v>
      </c>
      <c r="H206" s="33">
        <v>16065.10370063894</v>
      </c>
    </row>
    <row r="207" spans="1:8" x14ac:dyDescent="0.35">
      <c r="A207" s="27" t="s">
        <v>93</v>
      </c>
      <c r="B207" s="33">
        <v>5183.7890593655675</v>
      </c>
      <c r="C207" s="7">
        <v>1684.6666648123189</v>
      </c>
      <c r="D207" s="33">
        <v>1193.703319725143</v>
      </c>
      <c r="E207" s="33">
        <v>455.9896887565252</v>
      </c>
      <c r="F207" s="33">
        <v>376.38284852017102</v>
      </c>
      <c r="G207" s="33">
        <v>533.9921969928123</v>
      </c>
      <c r="H207" s="33">
        <v>533.9921969928123</v>
      </c>
    </row>
    <row r="208" spans="1:8" x14ac:dyDescent="0.35">
      <c r="A208" s="27" t="s">
        <v>94</v>
      </c>
      <c r="B208" s="33">
        <v>11378.506704919791</v>
      </c>
      <c r="C208" s="7">
        <v>4390.5621396753268</v>
      </c>
      <c r="D208" s="33">
        <v>5312.3830245482532</v>
      </c>
      <c r="E208" s="33">
        <v>1612.4175811788291</v>
      </c>
      <c r="F208" s="33">
        <v>629.65834865285797</v>
      </c>
      <c r="G208" s="33">
        <v>1035.3826525624036</v>
      </c>
      <c r="H208" s="33">
        <v>0</v>
      </c>
    </row>
    <row r="209" spans="1:8" x14ac:dyDescent="0.35">
      <c r="A209" s="27" t="s">
        <v>95</v>
      </c>
      <c r="B209" s="33">
        <v>1016.7912756254527</v>
      </c>
      <c r="C209" s="7">
        <v>1016.7912756254527</v>
      </c>
      <c r="D209" s="33">
        <v>560.80158686892753</v>
      </c>
      <c r="E209" s="33">
        <v>0</v>
      </c>
      <c r="F209" s="33">
        <v>0</v>
      </c>
      <c r="G209" s="33">
        <v>1016.7912756254527</v>
      </c>
      <c r="H209" s="33">
        <v>455.9896887565252</v>
      </c>
    </row>
    <row r="210" spans="1:8" x14ac:dyDescent="0.35">
      <c r="A210" s="27" t="s">
        <v>96</v>
      </c>
      <c r="B210" s="33">
        <v>27179.408030104954</v>
      </c>
      <c r="C210" s="7">
        <v>4696.6500478536927</v>
      </c>
      <c r="D210" s="33">
        <v>2108.7544649934875</v>
      </c>
      <c r="E210" s="33">
        <v>2421.633351017088</v>
      </c>
      <c r="F210" s="33">
        <v>11932.973486013971</v>
      </c>
      <c r="G210" s="33">
        <v>3611.524527664822</v>
      </c>
      <c r="H210" s="33">
        <v>3228.5343733492036</v>
      </c>
    </row>
    <row r="211" spans="1:8" x14ac:dyDescent="0.35">
      <c r="A211" s="27" t="s">
        <v>97</v>
      </c>
      <c r="B211" s="33">
        <v>5999.8491147738887</v>
      </c>
      <c r="C211" s="7">
        <v>927.38151566863712</v>
      </c>
      <c r="D211" s="33">
        <v>1185.2251819182522</v>
      </c>
      <c r="E211" s="33">
        <v>492.95328179319182</v>
      </c>
      <c r="F211" s="33">
        <v>2401.7931006945992</v>
      </c>
      <c r="G211" s="33">
        <v>0</v>
      </c>
      <c r="H211" s="33">
        <v>0</v>
      </c>
    </row>
    <row r="212" spans="1:8" x14ac:dyDescent="0.35">
      <c r="A212" s="27" t="s">
        <v>98</v>
      </c>
      <c r="B212" s="33">
        <v>13147.52956942805</v>
      </c>
      <c r="C212" s="7">
        <v>3754.2511621739568</v>
      </c>
      <c r="D212" s="33">
        <v>1573.3237034382901</v>
      </c>
      <c r="E212" s="33">
        <v>1630.8590676985095</v>
      </c>
      <c r="F212" s="33">
        <v>1654.9311217341326</v>
      </c>
      <c r="G212" s="33">
        <v>1767.6312503997901</v>
      </c>
      <c r="H212" s="33">
        <v>4989.2408021754973</v>
      </c>
    </row>
    <row r="213" spans="1:8" x14ac:dyDescent="0.35">
      <c r="A213" s="27" t="s">
        <v>99</v>
      </c>
      <c r="B213" s="33">
        <v>36554.640619465667</v>
      </c>
      <c r="C213" s="7">
        <v>13120.930462917555</v>
      </c>
      <c r="D213" s="33">
        <v>2393.6923645280026</v>
      </c>
      <c r="E213" s="33">
        <v>3644.2582526525198</v>
      </c>
      <c r="F213" s="33">
        <v>16640.860373856256</v>
      </c>
      <c r="G213" s="33">
        <v>4835.1980963884753</v>
      </c>
      <c r="H213" s="33">
        <v>0</v>
      </c>
    </row>
    <row r="214" spans="1:8" x14ac:dyDescent="0.35">
      <c r="A214" s="27" t="s">
        <v>100</v>
      </c>
      <c r="B214" s="33">
        <v>37961.934694880489</v>
      </c>
      <c r="C214" s="7">
        <v>11767.989350753223</v>
      </c>
      <c r="D214" s="33">
        <v>3663.0856850806567</v>
      </c>
      <c r="E214" s="33">
        <v>2060.9415829817131</v>
      </c>
      <c r="F214" s="33">
        <v>16549.021037948776</v>
      </c>
      <c r="G214" s="33">
        <v>5796.7968017696749</v>
      </c>
      <c r="H214" s="33">
        <v>2345.4742389362586</v>
      </c>
    </row>
    <row r="215" spans="1:8" x14ac:dyDescent="0.35">
      <c r="A215" s="27" t="s">
        <v>101</v>
      </c>
      <c r="B215" s="33">
        <v>6759.2834554439996</v>
      </c>
      <c r="C215" s="7">
        <v>3168.268068628855</v>
      </c>
      <c r="D215" s="33">
        <v>584.65484579361532</v>
      </c>
      <c r="E215" s="33">
        <v>0</v>
      </c>
      <c r="F215" s="33">
        <v>1965.8626332193564</v>
      </c>
      <c r="G215" s="33">
        <v>529.54251051214339</v>
      </c>
      <c r="H215" s="33">
        <v>568.09970494400807</v>
      </c>
    </row>
    <row r="216" spans="1:8" x14ac:dyDescent="0.35">
      <c r="A216" s="27" t="s">
        <v>102</v>
      </c>
      <c r="B216" s="33">
        <v>353.06834622505613</v>
      </c>
      <c r="C216" s="7">
        <v>0</v>
      </c>
      <c r="D216" s="33">
        <v>0</v>
      </c>
      <c r="E216" s="33">
        <v>0</v>
      </c>
      <c r="F216" s="33">
        <v>0</v>
      </c>
      <c r="G216" s="33">
        <v>0</v>
      </c>
      <c r="H216" s="33">
        <v>0</v>
      </c>
    </row>
    <row r="217" spans="1:8" x14ac:dyDescent="0.35">
      <c r="A217" s="27" t="s">
        <v>103</v>
      </c>
      <c r="B217" s="33">
        <v>571.40508150444884</v>
      </c>
      <c r="C217" s="7">
        <v>571.40508150444884</v>
      </c>
      <c r="D217" s="33">
        <v>0</v>
      </c>
      <c r="E217" s="33">
        <v>0</v>
      </c>
      <c r="F217" s="33">
        <v>0</v>
      </c>
      <c r="G217" s="33">
        <v>0</v>
      </c>
      <c r="H217" s="33">
        <v>0</v>
      </c>
    </row>
    <row r="218" spans="1:8" x14ac:dyDescent="0.35">
      <c r="A218" s="27" t="s">
        <v>104</v>
      </c>
      <c r="B218" s="33">
        <v>1646.9392019312893</v>
      </c>
      <c r="C218" s="7">
        <v>0</v>
      </c>
      <c r="D218" s="33">
        <v>0</v>
      </c>
      <c r="E218" s="33">
        <v>0</v>
      </c>
      <c r="F218" s="33">
        <v>1646.9392019312893</v>
      </c>
      <c r="G218" s="33">
        <v>0</v>
      </c>
      <c r="H218" s="33">
        <v>0</v>
      </c>
    </row>
    <row r="219" spans="1:8" x14ac:dyDescent="0.35">
      <c r="A219" s="27" t="s">
        <v>105</v>
      </c>
      <c r="B219" s="33">
        <v>6277.196961678399</v>
      </c>
      <c r="C219" s="7">
        <v>4532.1054172824006</v>
      </c>
      <c r="D219" s="33">
        <v>1105.1679638183518</v>
      </c>
      <c r="E219" s="33">
        <v>477.20628321106386</v>
      </c>
      <c r="F219" s="33">
        <v>477.20628321106386</v>
      </c>
      <c r="G219" s="33">
        <v>0</v>
      </c>
      <c r="H219" s="33">
        <v>2714.1207825735387</v>
      </c>
    </row>
    <row r="220" spans="1:8" x14ac:dyDescent="0.35">
      <c r="A220" s="27" t="s">
        <v>106</v>
      </c>
      <c r="B220" s="33">
        <v>573.2311755698156</v>
      </c>
      <c r="C220" s="7">
        <v>0</v>
      </c>
      <c r="D220" s="33">
        <v>573.2311755698156</v>
      </c>
      <c r="E220" s="33">
        <v>573.2311755698156</v>
      </c>
      <c r="F220" s="33">
        <v>573.2311755698156</v>
      </c>
      <c r="G220" s="33">
        <v>573.2311755698156</v>
      </c>
      <c r="H220" s="33">
        <v>573.2311755698156</v>
      </c>
    </row>
    <row r="221" spans="1:8" x14ac:dyDescent="0.35">
      <c r="A221" s="27" t="s">
        <v>107</v>
      </c>
      <c r="B221" s="33">
        <v>24918.795621540343</v>
      </c>
      <c r="C221" s="7">
        <v>12272.132828574318</v>
      </c>
      <c r="D221" s="33">
        <v>3779.8949223770396</v>
      </c>
      <c r="E221" s="33">
        <v>1580.743046857627</v>
      </c>
      <c r="F221" s="33">
        <v>0</v>
      </c>
      <c r="G221" s="33">
        <v>1159.3238592455064</v>
      </c>
      <c r="H221" s="33">
        <v>2718.5554049351131</v>
      </c>
    </row>
    <row r="222" spans="1:8" x14ac:dyDescent="0.35">
      <c r="A222" s="27" t="s">
        <v>108</v>
      </c>
      <c r="B222" s="33">
        <v>0</v>
      </c>
      <c r="C222" s="7">
        <v>0</v>
      </c>
      <c r="D222" s="33">
        <v>0</v>
      </c>
      <c r="E222" s="33">
        <v>0</v>
      </c>
      <c r="F222" s="33">
        <v>0</v>
      </c>
      <c r="G222" s="33">
        <v>0</v>
      </c>
      <c r="H222" s="33">
        <v>0</v>
      </c>
    </row>
    <row r="223" spans="1:8" x14ac:dyDescent="0.35">
      <c r="A223" s="27" t="s">
        <v>109</v>
      </c>
      <c r="B223" s="33">
        <v>2143.8795288844881</v>
      </c>
      <c r="C223" s="7">
        <v>644.05183610281483</v>
      </c>
      <c r="D223" s="33">
        <v>0</v>
      </c>
      <c r="E223" s="33">
        <v>0</v>
      </c>
      <c r="F223" s="33">
        <v>0</v>
      </c>
      <c r="G223" s="33">
        <v>0</v>
      </c>
      <c r="H223" s="33">
        <v>0</v>
      </c>
    </row>
    <row r="224" spans="1:8" x14ac:dyDescent="0.35">
      <c r="A224" s="27" t="s">
        <v>110</v>
      </c>
      <c r="B224" s="33">
        <v>99682.211154984703</v>
      </c>
      <c r="C224" s="7">
        <v>13486.262319127916</v>
      </c>
      <c r="D224" s="33">
        <v>9014.9191178504916</v>
      </c>
      <c r="E224" s="33">
        <v>24717.555813558207</v>
      </c>
      <c r="F224" s="33">
        <v>32806.353226072802</v>
      </c>
      <c r="G224" s="33">
        <v>9746.2513817096697</v>
      </c>
      <c r="H224" s="33">
        <v>2563.6810422481999</v>
      </c>
    </row>
    <row r="225" spans="1:8" x14ac:dyDescent="0.35">
      <c r="A225" s="27" t="s">
        <v>111</v>
      </c>
      <c r="B225" s="33">
        <v>15328.48455171016</v>
      </c>
      <c r="C225" s="7">
        <v>4076.7450659038313</v>
      </c>
      <c r="D225" s="33">
        <v>0</v>
      </c>
      <c r="E225" s="33">
        <v>3665.6884126515934</v>
      </c>
      <c r="F225" s="33">
        <v>5956.0532999310508</v>
      </c>
      <c r="G225" s="33">
        <v>2267.321262262828</v>
      </c>
      <c r="H225" s="33">
        <v>0</v>
      </c>
    </row>
    <row r="226" spans="1:8" x14ac:dyDescent="0.35">
      <c r="A226" s="27" t="s">
        <v>112</v>
      </c>
      <c r="B226" s="33">
        <v>0</v>
      </c>
      <c r="C226" s="7">
        <v>0</v>
      </c>
      <c r="D226" s="33">
        <v>0</v>
      </c>
      <c r="E226" s="33">
        <v>0</v>
      </c>
      <c r="F226" s="33">
        <v>0</v>
      </c>
      <c r="G226" s="33">
        <v>0</v>
      </c>
      <c r="H226" s="33">
        <v>0</v>
      </c>
    </row>
    <row r="227" spans="1:8" x14ac:dyDescent="0.35">
      <c r="A227" s="27" t="s">
        <v>113</v>
      </c>
      <c r="B227" s="33">
        <v>69230.534606191708</v>
      </c>
      <c r="C227" s="7">
        <v>22894.767249418794</v>
      </c>
      <c r="D227" s="33">
        <v>10143.138789606479</v>
      </c>
      <c r="E227" s="33">
        <v>15147.510233912362</v>
      </c>
      <c r="F227" s="33">
        <v>11766.117404536673</v>
      </c>
      <c r="G227" s="33">
        <v>7731.2724120660778</v>
      </c>
      <c r="H227" s="33">
        <v>6475.9143122924097</v>
      </c>
    </row>
    <row r="228" spans="1:8" x14ac:dyDescent="0.35">
      <c r="A228" s="27" t="s">
        <v>114</v>
      </c>
      <c r="B228" s="33">
        <v>35162.681314704983</v>
      </c>
      <c r="C228" s="7">
        <v>15895.977332700431</v>
      </c>
      <c r="D228" s="33">
        <v>6281.6129272885173</v>
      </c>
      <c r="E228" s="33">
        <v>1820.4539767508959</v>
      </c>
      <c r="F228" s="33">
        <v>5842.1310234753373</v>
      </c>
      <c r="G228" s="33">
        <v>1753.2967145236623</v>
      </c>
      <c r="H228" s="33">
        <v>1229.3281094096965</v>
      </c>
    </row>
    <row r="229" spans="1:8" x14ac:dyDescent="0.35">
      <c r="A229" s="27" t="s">
        <v>115</v>
      </c>
      <c r="B229" s="33">
        <v>20066.628215966561</v>
      </c>
      <c r="C229" s="7">
        <v>4102.2505330313188</v>
      </c>
      <c r="D229" s="33">
        <v>2771.5306269520779</v>
      </c>
      <c r="E229" s="33">
        <v>1046.9540721688709</v>
      </c>
      <c r="F229" s="33">
        <v>896.60538748137469</v>
      </c>
      <c r="G229" s="33">
        <v>1725.1173286195583</v>
      </c>
      <c r="H229" s="33">
        <v>2809.4891620681915</v>
      </c>
    </row>
    <row r="230" spans="1:8" x14ac:dyDescent="0.35">
      <c r="A230" s="27" t="s">
        <v>116</v>
      </c>
      <c r="B230" s="33">
        <v>5700.0993147392028</v>
      </c>
      <c r="C230" s="7">
        <v>0</v>
      </c>
      <c r="D230" s="33">
        <v>336.40309108848965</v>
      </c>
      <c r="E230" s="33">
        <v>556.10799278578327</v>
      </c>
      <c r="F230" s="33">
        <v>1929.3410333599249</v>
      </c>
      <c r="G230" s="33">
        <v>346.83624277045078</v>
      </c>
      <c r="H230" s="33">
        <v>826.07700991690888</v>
      </c>
    </row>
    <row r="231" spans="1:8" x14ac:dyDescent="0.35">
      <c r="A231" s="27" t="s">
        <v>117</v>
      </c>
      <c r="B231" s="33">
        <v>30071.990429307749</v>
      </c>
      <c r="C231" s="7">
        <v>6322.7724149861197</v>
      </c>
      <c r="D231" s="33">
        <v>568.09970494400807</v>
      </c>
      <c r="E231" s="33">
        <v>6012.9922904730001</v>
      </c>
      <c r="F231" s="33">
        <v>16468.663912203854</v>
      </c>
      <c r="G231" s="33">
        <v>7408.9482715914337</v>
      </c>
      <c r="H231" s="33">
        <v>1468.3622026622866</v>
      </c>
    </row>
    <row r="232" spans="1:8" x14ac:dyDescent="0.35">
      <c r="A232" s="27" t="s">
        <v>118</v>
      </c>
      <c r="B232" s="33">
        <v>419519.02124459011</v>
      </c>
      <c r="C232" s="7">
        <v>222250.65030604124</v>
      </c>
      <c r="D232" s="33">
        <v>84542.233906867943</v>
      </c>
      <c r="E232" s="33">
        <v>37521.140010099669</v>
      </c>
      <c r="F232" s="33">
        <v>15999.637361906127</v>
      </c>
      <c r="G232" s="33">
        <v>10575.799639811761</v>
      </c>
      <c r="H232" s="33">
        <v>56342.587452982974</v>
      </c>
    </row>
    <row r="233" spans="1:8" x14ac:dyDescent="0.35">
      <c r="A233" s="27" t="s">
        <v>119</v>
      </c>
      <c r="B233" s="33">
        <v>8379.9165545793949</v>
      </c>
      <c r="C233" s="7">
        <v>2659.4714521648834</v>
      </c>
      <c r="D233" s="33">
        <v>0</v>
      </c>
      <c r="E233" s="33">
        <v>394.19200228592314</v>
      </c>
      <c r="F233" s="33">
        <v>1490.5954021859052</v>
      </c>
      <c r="G233" s="33">
        <v>0</v>
      </c>
      <c r="H233" s="33">
        <v>394.19200228592314</v>
      </c>
    </row>
    <row r="234" spans="1:8" x14ac:dyDescent="0.35">
      <c r="A234" s="27" t="s">
        <v>120</v>
      </c>
      <c r="B234" s="33">
        <v>12388.652291783892</v>
      </c>
      <c r="C234" s="7">
        <v>5847.3869362295109</v>
      </c>
      <c r="D234" s="33">
        <v>337.33808301990712</v>
      </c>
      <c r="E234" s="33">
        <v>0</v>
      </c>
      <c r="F234" s="33">
        <v>0</v>
      </c>
      <c r="G234" s="33">
        <v>434.27618855945275</v>
      </c>
      <c r="H234" s="33">
        <v>3050.6180916697663</v>
      </c>
    </row>
    <row r="235" spans="1:8" x14ac:dyDescent="0.35">
      <c r="A235" s="27" t="s">
        <v>121</v>
      </c>
      <c r="B235" s="33">
        <v>5555.5875211259618</v>
      </c>
      <c r="C235" s="7">
        <v>4132.0740669365305</v>
      </c>
      <c r="D235" s="33">
        <v>0</v>
      </c>
      <c r="E235" s="33">
        <v>1087.1103631009423</v>
      </c>
      <c r="F235" s="33">
        <v>310.21537935330656</v>
      </c>
      <c r="G235" s="33">
        <v>0</v>
      </c>
      <c r="H235" s="33">
        <v>336.40309108848965</v>
      </c>
    </row>
    <row r="236" spans="1:8" x14ac:dyDescent="0.35">
      <c r="A236" s="27" t="s">
        <v>122</v>
      </c>
      <c r="B236" s="33">
        <v>43136.387478038872</v>
      </c>
      <c r="C236" s="7">
        <v>20575.540844813568</v>
      </c>
      <c r="D236" s="33">
        <v>5359.5927952158636</v>
      </c>
      <c r="E236" s="33">
        <v>3605.2870578827497</v>
      </c>
      <c r="F236" s="33">
        <v>2820.2939073957978</v>
      </c>
      <c r="G236" s="33">
        <v>525.15852195302807</v>
      </c>
      <c r="H236" s="33">
        <v>8452.4712209945083</v>
      </c>
    </row>
    <row r="237" spans="1:8" x14ac:dyDescent="0.35">
      <c r="A237" s="27" t="s">
        <v>123</v>
      </c>
      <c r="B237" s="33">
        <v>15352.064811788943</v>
      </c>
      <c r="C237" s="7">
        <v>5475.5490872856226</v>
      </c>
      <c r="D237" s="33">
        <v>2882.2257336775351</v>
      </c>
      <c r="E237" s="33">
        <v>1891.0471796315042</v>
      </c>
      <c r="F237" s="33">
        <v>4772.3407746946086</v>
      </c>
      <c r="G237" s="33">
        <v>731.80591259744688</v>
      </c>
      <c r="H237" s="33">
        <v>0</v>
      </c>
    </row>
    <row r="238" spans="1:8" x14ac:dyDescent="0.35">
      <c r="A238" s="27" t="s">
        <v>124</v>
      </c>
      <c r="B238" s="33">
        <v>2246.1396108280069</v>
      </c>
      <c r="C238" s="7">
        <v>0</v>
      </c>
      <c r="D238" s="33">
        <v>0</v>
      </c>
      <c r="E238" s="33">
        <v>0</v>
      </c>
      <c r="F238" s="33">
        <v>1023.9917558920806</v>
      </c>
      <c r="G238" s="33">
        <v>525.93183566957418</v>
      </c>
      <c r="H238" s="33">
        <v>635.84484732760052</v>
      </c>
    </row>
    <row r="239" spans="1:8" x14ac:dyDescent="0.35">
      <c r="A239" s="27" t="s">
        <v>125</v>
      </c>
      <c r="B239" s="33">
        <v>0</v>
      </c>
      <c r="C239" s="7">
        <v>0</v>
      </c>
      <c r="D239" s="33">
        <v>0</v>
      </c>
      <c r="E239" s="33">
        <v>0</v>
      </c>
      <c r="F239" s="33">
        <v>0</v>
      </c>
      <c r="G239" s="33">
        <v>0</v>
      </c>
      <c r="H239" s="33">
        <v>0</v>
      </c>
    </row>
    <row r="240" spans="1:8" x14ac:dyDescent="0.35">
      <c r="A240" s="27" t="s">
        <v>126</v>
      </c>
      <c r="B240" s="33">
        <v>740.72198676219773</v>
      </c>
      <c r="C240" s="7">
        <v>740.72198676219773</v>
      </c>
      <c r="D240" s="33">
        <v>0</v>
      </c>
      <c r="E240" s="33">
        <v>0</v>
      </c>
      <c r="F240" s="33">
        <v>0</v>
      </c>
      <c r="G240" s="33">
        <v>0</v>
      </c>
      <c r="H240" s="33">
        <v>0</v>
      </c>
    </row>
    <row r="241" spans="1:8" x14ac:dyDescent="0.35">
      <c r="A241" s="27" t="s">
        <v>127</v>
      </c>
      <c r="B241" s="33">
        <v>10174.356658621564</v>
      </c>
      <c r="C241" s="7">
        <v>4806.9456821977792</v>
      </c>
      <c r="D241" s="33">
        <v>0</v>
      </c>
      <c r="E241" s="33">
        <v>4593.252621535622</v>
      </c>
      <c r="F241" s="33">
        <v>1337.4034955243328</v>
      </c>
      <c r="G241" s="33">
        <v>383.12101100941817</v>
      </c>
      <c r="H241" s="33">
        <v>503.91922712268155</v>
      </c>
    </row>
    <row r="242" spans="1:8" x14ac:dyDescent="0.35">
      <c r="A242" s="27" t="s">
        <v>286</v>
      </c>
      <c r="B242" s="33">
        <v>153791.98185468436</v>
      </c>
      <c r="C242" s="7">
        <v>38671.440672039418</v>
      </c>
      <c r="D242" s="33">
        <v>22812.73564519337</v>
      </c>
      <c r="E242" s="33">
        <v>25812.356599187067</v>
      </c>
      <c r="F242" s="33">
        <v>14773.656937456504</v>
      </c>
      <c r="G242" s="33">
        <v>6272.7114018417569</v>
      </c>
      <c r="H242" s="33">
        <v>8696.7298902930434</v>
      </c>
    </row>
    <row r="243" spans="1:8" x14ac:dyDescent="0.35">
      <c r="A243" s="27" t="s">
        <v>128</v>
      </c>
      <c r="B243" s="33">
        <v>1258619.5830591177</v>
      </c>
      <c r="C243" s="7">
        <v>19082.845168871652</v>
      </c>
      <c r="D243" s="33">
        <v>17220.388097200041</v>
      </c>
      <c r="E243" s="33">
        <v>392113.73043455987</v>
      </c>
      <c r="F243" s="33">
        <v>830771.89391810028</v>
      </c>
      <c r="G243" s="33">
        <v>98224.902345373615</v>
      </c>
      <c r="H243" s="33">
        <v>15091.935031863812</v>
      </c>
    </row>
    <row r="244" spans="1:8" x14ac:dyDescent="0.35">
      <c r="A244" s="27" t="s">
        <v>129</v>
      </c>
      <c r="B244" s="33">
        <v>331.57568299910065</v>
      </c>
      <c r="C244" s="7">
        <v>331.57568299910065</v>
      </c>
      <c r="D244" s="33">
        <v>0</v>
      </c>
      <c r="E244" s="33">
        <v>0</v>
      </c>
      <c r="F244" s="33">
        <v>0</v>
      </c>
      <c r="G244" s="33">
        <v>0</v>
      </c>
      <c r="H244" s="33">
        <v>0</v>
      </c>
    </row>
    <row r="245" spans="1:8" x14ac:dyDescent="0.35">
      <c r="A245" s="27" t="s">
        <v>130</v>
      </c>
      <c r="B245" s="33">
        <v>1007.9459456765678</v>
      </c>
      <c r="C245" s="7">
        <v>1007.9459456765678</v>
      </c>
      <c r="D245" s="33">
        <v>0</v>
      </c>
      <c r="E245" s="33">
        <v>0</v>
      </c>
      <c r="F245" s="33">
        <v>0</v>
      </c>
      <c r="G245" s="33">
        <v>0</v>
      </c>
      <c r="H245" s="33">
        <v>0</v>
      </c>
    </row>
    <row r="246" spans="1:8" x14ac:dyDescent="0.35">
      <c r="A246" s="27" t="s">
        <v>131</v>
      </c>
      <c r="B246" s="33">
        <v>7163.1310541936764</v>
      </c>
      <c r="C246" s="7">
        <v>3610.3961530695228</v>
      </c>
      <c r="D246" s="33">
        <v>434.84056765196345</v>
      </c>
      <c r="E246" s="33">
        <v>594.09428783053295</v>
      </c>
      <c r="F246" s="33">
        <v>1562.1339074818379</v>
      </c>
      <c r="G246" s="33">
        <v>2051.0403259295313</v>
      </c>
      <c r="H246" s="33">
        <v>447.84947035013096</v>
      </c>
    </row>
    <row r="247" spans="1:8" x14ac:dyDescent="0.35">
      <c r="A247" s="27" t="s">
        <v>132</v>
      </c>
      <c r="B247" s="33">
        <v>7425.4609154139216</v>
      </c>
      <c r="C247" s="7">
        <v>536.39271364946399</v>
      </c>
      <c r="D247" s="33">
        <v>596.90802760652321</v>
      </c>
      <c r="E247" s="33">
        <v>2660.1234094476927</v>
      </c>
      <c r="F247" s="33">
        <v>498.15322194416757</v>
      </c>
      <c r="G247" s="33">
        <v>3836.3660808433797</v>
      </c>
      <c r="H247" s="33">
        <v>0</v>
      </c>
    </row>
    <row r="248" spans="1:8" x14ac:dyDescent="0.35">
      <c r="A248" s="27" t="s">
        <v>133</v>
      </c>
      <c r="B248" s="33">
        <v>1720.899277330011</v>
      </c>
      <c r="C248" s="7">
        <v>0</v>
      </c>
      <c r="D248" s="33">
        <v>520.83242930928463</v>
      </c>
      <c r="E248" s="33">
        <v>685.2942652353521</v>
      </c>
      <c r="F248" s="33">
        <v>0</v>
      </c>
      <c r="G248" s="33">
        <v>0</v>
      </c>
      <c r="H248" s="33">
        <v>0</v>
      </c>
    </row>
    <row r="249" spans="1:8" x14ac:dyDescent="0.35">
      <c r="A249" s="27" t="s">
        <v>134</v>
      </c>
      <c r="B249" s="33">
        <v>35437.442611423467</v>
      </c>
      <c r="C249" s="7">
        <v>5955.5234182721479</v>
      </c>
      <c r="D249" s="33">
        <v>2318.8021716913017</v>
      </c>
      <c r="E249" s="33">
        <v>1664.3622391264755</v>
      </c>
      <c r="F249" s="33">
        <v>6805.8464318544438</v>
      </c>
      <c r="G249" s="33">
        <v>1180.4648087775679</v>
      </c>
      <c r="H249" s="33">
        <v>13217.464623018115</v>
      </c>
    </row>
    <row r="250" spans="1:8" x14ac:dyDescent="0.35">
      <c r="A250" s="27" t="s">
        <v>135</v>
      </c>
      <c r="B250" s="33">
        <v>595.10667569694965</v>
      </c>
      <c r="C250" s="7">
        <v>595.10667569694965</v>
      </c>
      <c r="D250" s="33">
        <v>0</v>
      </c>
      <c r="E250" s="33">
        <v>0</v>
      </c>
      <c r="F250" s="33">
        <v>0</v>
      </c>
      <c r="G250" s="33">
        <v>595.10667569694965</v>
      </c>
      <c r="H250" s="33">
        <v>0</v>
      </c>
    </row>
    <row r="251" spans="1:8" x14ac:dyDescent="0.35">
      <c r="A251" s="27" t="s">
        <v>136</v>
      </c>
      <c r="B251" s="33">
        <v>3900.4479836730461</v>
      </c>
      <c r="C251" s="7">
        <v>1674.431522290929</v>
      </c>
      <c r="D251" s="33">
        <v>422.68759428217356</v>
      </c>
      <c r="E251" s="33">
        <v>0</v>
      </c>
      <c r="F251" s="33">
        <v>0</v>
      </c>
      <c r="G251" s="33">
        <v>0</v>
      </c>
      <c r="H251" s="33">
        <v>0</v>
      </c>
    </row>
    <row r="252" spans="1:8" x14ac:dyDescent="0.35">
      <c r="A252" s="27" t="s">
        <v>137</v>
      </c>
      <c r="B252" s="33">
        <v>3040.2738012020077</v>
      </c>
      <c r="C252" s="7">
        <v>2091.3129623555615</v>
      </c>
      <c r="D252" s="33">
        <v>543.01366084012011</v>
      </c>
      <c r="E252" s="33">
        <v>0</v>
      </c>
      <c r="F252" s="33">
        <v>0</v>
      </c>
      <c r="G252" s="33">
        <v>0</v>
      </c>
      <c r="H252" s="33">
        <v>0</v>
      </c>
    </row>
    <row r="253" spans="1:8" x14ac:dyDescent="0.35">
      <c r="A253" s="27" t="s">
        <v>138</v>
      </c>
      <c r="B253" s="33">
        <v>4307.9678073892037</v>
      </c>
      <c r="C253" s="7">
        <v>496.32203260179335</v>
      </c>
      <c r="D253" s="33">
        <v>1173.1709312776475</v>
      </c>
      <c r="E253" s="33">
        <v>985.03970811991258</v>
      </c>
      <c r="F253" s="33">
        <v>0</v>
      </c>
      <c r="G253" s="33">
        <v>1173.1709312776475</v>
      </c>
      <c r="H253" s="33">
        <v>579.10779045952881</v>
      </c>
    </row>
    <row r="254" spans="1:8" x14ac:dyDescent="0.35">
      <c r="A254" s="27" t="s">
        <v>139</v>
      </c>
      <c r="B254" s="33">
        <v>42351.659046664463</v>
      </c>
      <c r="C254" s="7">
        <v>18383.315772522925</v>
      </c>
      <c r="D254" s="33">
        <v>6702.0936105123255</v>
      </c>
      <c r="E254" s="33">
        <v>7705.9701024770939</v>
      </c>
      <c r="F254" s="33">
        <v>1635.1106636265051</v>
      </c>
      <c r="G254" s="33">
        <v>3334.2804996986706</v>
      </c>
      <c r="H254" s="33">
        <v>11215.217717470709</v>
      </c>
    </row>
    <row r="255" spans="1:8" x14ac:dyDescent="0.35">
      <c r="A255" s="27" t="s">
        <v>140</v>
      </c>
      <c r="B255" s="33">
        <v>120876.44182215557</v>
      </c>
      <c r="C255" s="7">
        <v>62289.838862545774</v>
      </c>
      <c r="D255" s="33">
        <v>18321.785936179596</v>
      </c>
      <c r="E255" s="33">
        <v>15771.819508902152</v>
      </c>
      <c r="F255" s="33">
        <v>9911.0442749097692</v>
      </c>
      <c r="G255" s="33">
        <v>14294.99640205303</v>
      </c>
      <c r="H255" s="33">
        <v>23825.508888942859</v>
      </c>
    </row>
    <row r="256" spans="1:8" x14ac:dyDescent="0.35">
      <c r="A256" s="27" t="s">
        <v>141</v>
      </c>
      <c r="B256" s="33">
        <v>69305.024679152339</v>
      </c>
      <c r="C256" s="7">
        <v>38066.773958498256</v>
      </c>
      <c r="D256" s="33">
        <v>15193.66970070254</v>
      </c>
      <c r="E256" s="33">
        <v>7028.0693318244066</v>
      </c>
      <c r="F256" s="33">
        <v>5165.0149717834292</v>
      </c>
      <c r="G256" s="33">
        <v>7136.3629154312421</v>
      </c>
      <c r="H256" s="33">
        <v>13679.134201609848</v>
      </c>
    </row>
    <row r="257" spans="1:8" x14ac:dyDescent="0.35">
      <c r="A257" s="27" t="s">
        <v>142</v>
      </c>
      <c r="B257" s="33">
        <v>1114300.2803006768</v>
      </c>
      <c r="C257" s="7">
        <v>157429.18610864133</v>
      </c>
      <c r="D257" s="33">
        <v>118335.58262455766</v>
      </c>
      <c r="E257" s="33">
        <v>146369.6059352349</v>
      </c>
      <c r="F257" s="33">
        <v>72938.481044163011</v>
      </c>
      <c r="G257" s="33">
        <v>90832.694477633748</v>
      </c>
      <c r="H257" s="33">
        <v>99333.1211526017</v>
      </c>
    </row>
    <row r="258" spans="1:8" x14ac:dyDescent="0.35">
      <c r="A258" s="27" t="s">
        <v>143</v>
      </c>
      <c r="B258" s="33">
        <v>37649.552499939404</v>
      </c>
      <c r="C258" s="7">
        <v>22715.132858496974</v>
      </c>
      <c r="D258" s="33">
        <v>5773.138606772116</v>
      </c>
      <c r="E258" s="33">
        <v>1707.4351895392153</v>
      </c>
      <c r="F258" s="33">
        <v>1557.026987519899</v>
      </c>
      <c r="G258" s="33">
        <v>360.7459422337036</v>
      </c>
      <c r="H258" s="33">
        <v>3013.2990879516551</v>
      </c>
    </row>
    <row r="259" spans="1:8" x14ac:dyDescent="0.35">
      <c r="A259" s="27" t="s">
        <v>144</v>
      </c>
      <c r="B259" s="33">
        <v>1783.2236790954767</v>
      </c>
      <c r="C259" s="7">
        <v>591.12477190966626</v>
      </c>
      <c r="D259" s="33">
        <v>0</v>
      </c>
      <c r="E259" s="33">
        <v>0</v>
      </c>
      <c r="F259" s="33">
        <v>0</v>
      </c>
      <c r="G259" s="33">
        <v>522.10733234394013</v>
      </c>
      <c r="H259" s="33">
        <v>0</v>
      </c>
    </row>
    <row r="260" spans="1:8" x14ac:dyDescent="0.35">
      <c r="A260" s="27" t="s">
        <v>145</v>
      </c>
      <c r="B260" s="33">
        <v>4397.3942380452499</v>
      </c>
      <c r="C260" s="7">
        <v>0</v>
      </c>
      <c r="D260" s="33">
        <v>665.52636957564584</v>
      </c>
      <c r="E260" s="33">
        <v>0</v>
      </c>
      <c r="F260" s="33">
        <v>0</v>
      </c>
      <c r="G260" s="33">
        <v>0</v>
      </c>
      <c r="H260" s="33">
        <v>0</v>
      </c>
    </row>
    <row r="261" spans="1:8" x14ac:dyDescent="0.35">
      <c r="A261" s="27" t="s">
        <v>146</v>
      </c>
      <c r="B261" s="33">
        <v>596.90802760652321</v>
      </c>
      <c r="C261" s="7">
        <v>0</v>
      </c>
      <c r="D261" s="33">
        <v>0</v>
      </c>
      <c r="E261" s="33">
        <v>596.90802760652321</v>
      </c>
      <c r="F261" s="33">
        <v>0</v>
      </c>
      <c r="G261" s="33">
        <v>0</v>
      </c>
      <c r="H261" s="33">
        <v>0</v>
      </c>
    </row>
    <row r="262" spans="1:8" x14ac:dyDescent="0.35">
      <c r="A262" s="27" t="s">
        <v>284</v>
      </c>
      <c r="B262" s="33">
        <v>24182.610389168494</v>
      </c>
      <c r="C262" s="7">
        <v>16944.269397316224</v>
      </c>
      <c r="D262" s="33">
        <v>4929.106806725451</v>
      </c>
      <c r="E262" s="33">
        <v>496.32203260179335</v>
      </c>
      <c r="F262" s="33">
        <v>552.53832642758823</v>
      </c>
      <c r="G262" s="33">
        <v>1510.1299559122297</v>
      </c>
      <c r="H262" s="33">
        <v>0</v>
      </c>
    </row>
    <row r="263" spans="1:8" x14ac:dyDescent="0.35">
      <c r="A263" s="27" t="s">
        <v>283</v>
      </c>
      <c r="B263" s="33">
        <v>25351.628520418271</v>
      </c>
      <c r="C263" s="7">
        <v>16971.394086573939</v>
      </c>
      <c r="D263" s="33">
        <v>4071.1140969547591</v>
      </c>
      <c r="E263" s="33">
        <v>532.63627199166967</v>
      </c>
      <c r="F263" s="33">
        <v>2810.3507389975011</v>
      </c>
      <c r="G263" s="33">
        <v>1944.3024014275074</v>
      </c>
      <c r="H263" s="33">
        <v>933.14959551387983</v>
      </c>
    </row>
    <row r="264" spans="1:8" x14ac:dyDescent="0.35">
      <c r="A264" s="27" t="s">
        <v>147</v>
      </c>
      <c r="B264" s="33">
        <v>17532.03869294751</v>
      </c>
      <c r="C264" s="7">
        <v>3309.3588638727088</v>
      </c>
      <c r="D264" s="33">
        <v>2353.5249957702199</v>
      </c>
      <c r="E264" s="33">
        <v>1107.8091498899857</v>
      </c>
      <c r="F264" s="33">
        <v>3589.8038347786901</v>
      </c>
      <c r="G264" s="33">
        <v>1219.2381624249069</v>
      </c>
      <c r="H264" s="33">
        <v>1628.2574451913756</v>
      </c>
    </row>
    <row r="265" spans="1:8" x14ac:dyDescent="0.35">
      <c r="A265" s="27" t="s">
        <v>148</v>
      </c>
      <c r="B265" s="33">
        <v>0</v>
      </c>
      <c r="C265" s="7">
        <v>0</v>
      </c>
      <c r="D265" s="33">
        <v>0</v>
      </c>
      <c r="E265" s="33">
        <v>0</v>
      </c>
      <c r="F265" s="33">
        <v>0</v>
      </c>
      <c r="G265" s="33">
        <v>0</v>
      </c>
      <c r="H265" s="33">
        <v>0</v>
      </c>
    </row>
    <row r="266" spans="1:8" x14ac:dyDescent="0.35">
      <c r="A266" s="27" t="s">
        <v>149</v>
      </c>
      <c r="B266" s="33">
        <v>31727.488639698342</v>
      </c>
      <c r="C266" s="7">
        <v>4189.1360751646171</v>
      </c>
      <c r="D266" s="33">
        <v>3297.3905732188937</v>
      </c>
      <c r="E266" s="33">
        <v>1172.9553306239859</v>
      </c>
      <c r="F266" s="33">
        <v>5995.2812069906222</v>
      </c>
      <c r="G266" s="33">
        <v>9499.0901106188085</v>
      </c>
      <c r="H266" s="33">
        <v>2595.7218457668109</v>
      </c>
    </row>
    <row r="267" spans="1:8" x14ac:dyDescent="0.35">
      <c r="A267" s="27" t="s">
        <v>150</v>
      </c>
      <c r="B267" s="33">
        <v>0</v>
      </c>
      <c r="C267" s="7">
        <v>0</v>
      </c>
      <c r="D267" s="33">
        <v>0</v>
      </c>
      <c r="E267" s="33">
        <v>0</v>
      </c>
      <c r="F267" s="33">
        <v>0</v>
      </c>
      <c r="G267" s="33">
        <v>0</v>
      </c>
      <c r="H267" s="33">
        <v>0</v>
      </c>
    </row>
    <row r="268" spans="1:8" x14ac:dyDescent="0.35">
      <c r="A268" s="27" t="s">
        <v>151</v>
      </c>
      <c r="B268" s="33">
        <v>29796.046011219634</v>
      </c>
      <c r="C268" s="7">
        <v>19461.405113817775</v>
      </c>
      <c r="D268" s="33">
        <v>3257.2001240842537</v>
      </c>
      <c r="E268" s="33">
        <v>2182.2775175292363</v>
      </c>
      <c r="F268" s="33">
        <v>339.3923805041382</v>
      </c>
      <c r="G268" s="33">
        <v>1564.2785483819766</v>
      </c>
      <c r="H268" s="33">
        <v>3454.5428064958833</v>
      </c>
    </row>
    <row r="269" spans="1:8" x14ac:dyDescent="0.35">
      <c r="A269" s="27" t="s">
        <v>152</v>
      </c>
      <c r="B269" s="33">
        <v>37300.98909884609</v>
      </c>
      <c r="C269" s="7">
        <v>6248.7118122415905</v>
      </c>
      <c r="D269" s="33">
        <v>3849.1562182507264</v>
      </c>
      <c r="E269" s="33">
        <v>7346.0673958418674</v>
      </c>
      <c r="F269" s="33">
        <v>12753.769855172632</v>
      </c>
      <c r="G269" s="33">
        <v>2957.0277029057511</v>
      </c>
      <c r="H269" s="33">
        <v>4321.2205844152595</v>
      </c>
    </row>
    <row r="270" spans="1:8" x14ac:dyDescent="0.35">
      <c r="A270" s="27" t="s">
        <v>153</v>
      </c>
      <c r="B270" s="33">
        <v>34701.788741275741</v>
      </c>
      <c r="C270" s="7">
        <v>15149.540881059724</v>
      </c>
      <c r="D270" s="33">
        <v>9008.1349628473508</v>
      </c>
      <c r="E270" s="33">
        <v>4219.3371578678725</v>
      </c>
      <c r="F270" s="33">
        <v>2451.6796522569716</v>
      </c>
      <c r="G270" s="33">
        <v>1789.5597785338327</v>
      </c>
      <c r="H270" s="33">
        <v>1106.3146282603523</v>
      </c>
    </row>
    <row r="271" spans="1:8" x14ac:dyDescent="0.35">
      <c r="A271" s="27" t="s">
        <v>154</v>
      </c>
      <c r="B271" s="33">
        <v>44381.162401605347</v>
      </c>
      <c r="C271" s="7">
        <v>4128.9248069700225</v>
      </c>
      <c r="D271" s="33">
        <v>4129.1427841703598</v>
      </c>
      <c r="E271" s="33">
        <v>3179.2628746188325</v>
      </c>
      <c r="F271" s="33">
        <v>10078.727636697893</v>
      </c>
      <c r="G271" s="33">
        <v>9470.6231573522746</v>
      </c>
      <c r="H271" s="33">
        <v>2572.5097018753513</v>
      </c>
    </row>
    <row r="272" spans="1:8" x14ac:dyDescent="0.35">
      <c r="A272" s="27" t="s">
        <v>155</v>
      </c>
      <c r="B272" s="33">
        <v>604711.26089471672</v>
      </c>
      <c r="C272" s="7">
        <v>109346.92467481832</v>
      </c>
      <c r="D272" s="33">
        <v>60630.084466537461</v>
      </c>
      <c r="E272" s="33">
        <v>173386.81473601388</v>
      </c>
      <c r="F272" s="33">
        <v>77711.540804783566</v>
      </c>
      <c r="G272" s="33">
        <v>83697.238010544505</v>
      </c>
      <c r="H272" s="33">
        <v>67367.440726934001</v>
      </c>
    </row>
    <row r="273" spans="1:8" x14ac:dyDescent="0.35">
      <c r="A273" s="27" t="s">
        <v>156</v>
      </c>
      <c r="B273" s="33">
        <v>3218.2757918540783</v>
      </c>
      <c r="C273" s="7">
        <v>1638.1172559253314</v>
      </c>
      <c r="D273" s="33">
        <v>0</v>
      </c>
      <c r="E273" s="33">
        <v>0</v>
      </c>
      <c r="F273" s="33">
        <v>1117.3256989836666</v>
      </c>
      <c r="G273" s="33">
        <v>0</v>
      </c>
      <c r="H273" s="33">
        <v>0</v>
      </c>
    </row>
    <row r="274" spans="1:8" x14ac:dyDescent="0.35">
      <c r="A274" s="27" t="s">
        <v>157</v>
      </c>
      <c r="B274" s="33">
        <v>7750.0737687674036</v>
      </c>
      <c r="C274" s="7">
        <v>2357.5756252788974</v>
      </c>
      <c r="D274" s="33">
        <v>1495.3198394061519</v>
      </c>
      <c r="E274" s="33">
        <v>600.04235471323534</v>
      </c>
      <c r="F274" s="33">
        <v>663.60517427317075</v>
      </c>
      <c r="G274" s="33">
        <v>553.24631499161751</v>
      </c>
      <c r="H274" s="33">
        <v>1263.6475289864061</v>
      </c>
    </row>
    <row r="275" spans="1:8" x14ac:dyDescent="0.35">
      <c r="A275" s="27" t="s">
        <v>158</v>
      </c>
      <c r="B275" s="33">
        <v>134215.10577651524</v>
      </c>
      <c r="C275" s="7">
        <v>42792.8076461854</v>
      </c>
      <c r="D275" s="33">
        <v>27618.724855157881</v>
      </c>
      <c r="E275" s="33">
        <v>16931.916092954703</v>
      </c>
      <c r="F275" s="33">
        <v>7355.2941026610042</v>
      </c>
      <c r="G275" s="33">
        <v>16288.67835843455</v>
      </c>
      <c r="H275" s="33">
        <v>26511.078133060426</v>
      </c>
    </row>
    <row r="276" spans="1:8" x14ac:dyDescent="0.35">
      <c r="A276" s="27" t="s">
        <v>282</v>
      </c>
      <c r="B276" s="33">
        <v>23655.951134450181</v>
      </c>
      <c r="C276" s="7">
        <v>9741.9449061200758</v>
      </c>
      <c r="D276" s="33">
        <v>572.03010574089149</v>
      </c>
      <c r="E276" s="33">
        <v>2263.0984641513296</v>
      </c>
      <c r="F276" s="33">
        <v>9379.7328581677739</v>
      </c>
      <c r="G276" s="33">
        <v>2549.3595449736704</v>
      </c>
      <c r="H276" s="33">
        <v>557.32429882524457</v>
      </c>
    </row>
    <row r="277" spans="1:8" x14ac:dyDescent="0.35">
      <c r="A277" s="27" t="s">
        <v>159</v>
      </c>
      <c r="B277" s="33">
        <v>1849.8107717123889</v>
      </c>
      <c r="C277" s="7">
        <v>862.59928721439451</v>
      </c>
      <c r="D277" s="33">
        <v>524.37864755291446</v>
      </c>
      <c r="E277" s="33">
        <v>524.37864755291446</v>
      </c>
      <c r="F277" s="33">
        <v>0</v>
      </c>
      <c r="G277" s="33">
        <v>524.37864755291446</v>
      </c>
      <c r="H277" s="33">
        <v>462.83283694507992</v>
      </c>
    </row>
    <row r="278" spans="1:8" x14ac:dyDescent="0.35">
      <c r="A278" s="27" t="s">
        <v>160</v>
      </c>
      <c r="B278" s="33">
        <v>441458.40082161879</v>
      </c>
      <c r="C278" s="7">
        <v>197366.40702231039</v>
      </c>
      <c r="D278" s="33">
        <v>65151.791665581688</v>
      </c>
      <c r="E278" s="33">
        <v>39582.41715921033</v>
      </c>
      <c r="F278" s="33">
        <v>38717.881748897023</v>
      </c>
      <c r="G278" s="33">
        <v>76785.060548608875</v>
      </c>
      <c r="H278" s="33">
        <v>43825.392633016207</v>
      </c>
    </row>
    <row r="279" spans="1:8" x14ac:dyDescent="0.35">
      <c r="A279" s="27" t="s">
        <v>161</v>
      </c>
      <c r="B279" s="33">
        <v>55336.318797152009</v>
      </c>
      <c r="C279" s="7">
        <v>13180.508525423287</v>
      </c>
      <c r="D279" s="33">
        <v>7185.4687847706718</v>
      </c>
      <c r="E279" s="33">
        <v>3674.0770534184444</v>
      </c>
      <c r="F279" s="33">
        <v>9245.4908661198788</v>
      </c>
      <c r="G279" s="33">
        <v>2456.275510392682</v>
      </c>
      <c r="H279" s="33">
        <v>4430.8900074206285</v>
      </c>
    </row>
    <row r="280" spans="1:8" x14ac:dyDescent="0.35">
      <c r="A280" s="27" t="s">
        <v>162</v>
      </c>
      <c r="B280" s="33">
        <v>0</v>
      </c>
      <c r="C280" s="7">
        <v>0</v>
      </c>
      <c r="D280" s="33">
        <v>0</v>
      </c>
      <c r="E280" s="33">
        <v>0</v>
      </c>
      <c r="F280" s="33">
        <v>0</v>
      </c>
      <c r="G280" s="33">
        <v>0</v>
      </c>
      <c r="H280" s="33">
        <v>0</v>
      </c>
    </row>
    <row r="281" spans="1:8" x14ac:dyDescent="0.35">
      <c r="A281" s="27" t="s">
        <v>163</v>
      </c>
      <c r="B281" s="33">
        <v>121826.43254981218</v>
      </c>
      <c r="C281" s="7">
        <v>64318.222294430074</v>
      </c>
      <c r="D281" s="33">
        <v>18227.477531962439</v>
      </c>
      <c r="E281" s="33">
        <v>6695.8418334366634</v>
      </c>
      <c r="F281" s="33">
        <v>1726.8881307199078</v>
      </c>
      <c r="G281" s="33">
        <v>1168.8964291765728</v>
      </c>
      <c r="H281" s="33">
        <v>18387.476940702116</v>
      </c>
    </row>
    <row r="282" spans="1:8" x14ac:dyDescent="0.35">
      <c r="A282" s="27" t="s">
        <v>164</v>
      </c>
      <c r="B282" s="33">
        <v>27066.890217747488</v>
      </c>
      <c r="C282" s="7">
        <v>8076.9939561981882</v>
      </c>
      <c r="D282" s="33">
        <v>2867.8481745675613</v>
      </c>
      <c r="E282" s="33">
        <v>650.40445948448473</v>
      </c>
      <c r="F282" s="33">
        <v>1818.4526855530103</v>
      </c>
      <c r="G282" s="33">
        <v>2063.5474394317062</v>
      </c>
      <c r="H282" s="33">
        <v>1850.0075431871851</v>
      </c>
    </row>
    <row r="283" spans="1:8" x14ac:dyDescent="0.35">
      <c r="A283" s="27" t="s">
        <v>165</v>
      </c>
      <c r="B283" s="33">
        <v>84141.187509280426</v>
      </c>
      <c r="C283" s="7">
        <v>7885.7876934760616</v>
      </c>
      <c r="D283" s="33">
        <v>6588.7743775055196</v>
      </c>
      <c r="E283" s="33">
        <v>3235.0771675093251</v>
      </c>
      <c r="F283" s="33">
        <v>51602.333672546309</v>
      </c>
      <c r="G283" s="33">
        <v>7497.5153253295002</v>
      </c>
      <c r="H283" s="33">
        <v>6869.7327191499935</v>
      </c>
    </row>
    <row r="284" spans="1:8" x14ac:dyDescent="0.35">
      <c r="A284" s="27" t="s">
        <v>166</v>
      </c>
      <c r="B284" s="33">
        <v>36926.890939583638</v>
      </c>
      <c r="C284" s="7">
        <v>6216.9980385081617</v>
      </c>
      <c r="D284" s="33">
        <v>8499.3915827186775</v>
      </c>
      <c r="E284" s="33">
        <v>4671.9084143539403</v>
      </c>
      <c r="F284" s="33">
        <v>7365.9942095568631</v>
      </c>
      <c r="G284" s="33">
        <v>6404.7313885676022</v>
      </c>
      <c r="H284" s="33">
        <v>4665.7646608300774</v>
      </c>
    </row>
    <row r="285" spans="1:8" x14ac:dyDescent="0.35">
      <c r="A285" s="27" t="s">
        <v>167</v>
      </c>
      <c r="B285" s="33">
        <v>197153.77148889951</v>
      </c>
      <c r="C285" s="7">
        <v>58151.161964092753</v>
      </c>
      <c r="D285" s="33">
        <v>34564.196425339193</v>
      </c>
      <c r="E285" s="33">
        <v>23101.584448345409</v>
      </c>
      <c r="F285" s="33">
        <v>15009.333800169312</v>
      </c>
      <c r="G285" s="33">
        <v>5414.2774498601493</v>
      </c>
      <c r="H285" s="33">
        <v>70348.021791520776</v>
      </c>
    </row>
    <row r="286" spans="1:8" x14ac:dyDescent="0.35">
      <c r="A286" s="27" t="s">
        <v>168</v>
      </c>
      <c r="B286" s="33">
        <v>953277.92568193714</v>
      </c>
      <c r="C286" s="7">
        <v>60175.841424662452</v>
      </c>
      <c r="D286" s="33">
        <v>79552.521059128514</v>
      </c>
      <c r="E286" s="33">
        <v>75842.597127213186</v>
      </c>
      <c r="F286" s="33">
        <v>39577.41271462835</v>
      </c>
      <c r="G286" s="33">
        <v>45456.474839480019</v>
      </c>
      <c r="H286" s="33">
        <v>81806.54344179263</v>
      </c>
    </row>
    <row r="287" spans="1:8" x14ac:dyDescent="0.35">
      <c r="A287" s="27" t="s">
        <v>169</v>
      </c>
      <c r="B287" s="33">
        <v>17776.887726470104</v>
      </c>
      <c r="C287" s="7">
        <v>10527.706580894044</v>
      </c>
      <c r="D287" s="33">
        <v>1838.8696813675365</v>
      </c>
      <c r="E287" s="33">
        <v>1932.7260016613159</v>
      </c>
      <c r="F287" s="33">
        <v>0</v>
      </c>
      <c r="G287" s="33">
        <v>1848.2415576151643</v>
      </c>
      <c r="H287" s="33">
        <v>6907.3987377713356</v>
      </c>
    </row>
    <row r="288" spans="1:8" x14ac:dyDescent="0.35">
      <c r="A288" s="27" t="s">
        <v>170</v>
      </c>
      <c r="B288" s="33">
        <v>4517.0893416527224</v>
      </c>
      <c r="C288" s="7">
        <v>1454.0883827023317</v>
      </c>
      <c r="D288" s="33">
        <v>933.6947848412326</v>
      </c>
      <c r="E288" s="33">
        <v>0</v>
      </c>
      <c r="F288" s="33">
        <v>1045.7048447462216</v>
      </c>
      <c r="G288" s="33">
        <v>0</v>
      </c>
      <c r="H288" s="33">
        <v>0</v>
      </c>
    </row>
    <row r="289" spans="1:8" x14ac:dyDescent="0.35">
      <c r="A289" s="27" t="s">
        <v>171</v>
      </c>
      <c r="B289" s="33">
        <v>49295.209590388651</v>
      </c>
      <c r="C289" s="7">
        <v>6784.0252122139682</v>
      </c>
      <c r="D289" s="33">
        <v>2834.5237172471325</v>
      </c>
      <c r="E289" s="33">
        <v>14650.638682740024</v>
      </c>
      <c r="F289" s="33">
        <v>9596.9985721113044</v>
      </c>
      <c r="G289" s="33">
        <v>12151.523234639111</v>
      </c>
      <c r="H289" s="33">
        <v>3061.9369098195493</v>
      </c>
    </row>
    <row r="290" spans="1:8" x14ac:dyDescent="0.35">
      <c r="A290" s="27" t="s">
        <v>172</v>
      </c>
      <c r="B290" s="33">
        <v>520.30615447483262</v>
      </c>
      <c r="C290" s="7">
        <v>520.30615447483262</v>
      </c>
      <c r="D290" s="33">
        <v>0</v>
      </c>
      <c r="E290" s="33">
        <v>0</v>
      </c>
      <c r="F290" s="33">
        <v>0</v>
      </c>
      <c r="G290" s="33">
        <v>0</v>
      </c>
      <c r="H290" s="33">
        <v>0</v>
      </c>
    </row>
    <row r="291" spans="1:8" x14ac:dyDescent="0.35">
      <c r="A291" s="27" t="s">
        <v>173</v>
      </c>
      <c r="B291" s="33">
        <v>487.9161623842441</v>
      </c>
      <c r="C291" s="7">
        <v>0</v>
      </c>
      <c r="D291" s="33">
        <v>0</v>
      </c>
      <c r="E291" s="33">
        <v>0</v>
      </c>
      <c r="F291" s="33">
        <v>0</v>
      </c>
      <c r="G291" s="33">
        <v>0</v>
      </c>
      <c r="H291" s="33">
        <v>0</v>
      </c>
    </row>
    <row r="292" spans="1:8" x14ac:dyDescent="0.35">
      <c r="A292" s="27" t="s">
        <v>174</v>
      </c>
      <c r="B292" s="33">
        <v>7385.1245276212849</v>
      </c>
      <c r="C292" s="7">
        <v>3353.6344332628346</v>
      </c>
      <c r="D292" s="33">
        <v>486.6338627612958</v>
      </c>
      <c r="E292" s="33">
        <v>1504.1914919954374</v>
      </c>
      <c r="F292" s="33">
        <v>1548.2044896836753</v>
      </c>
      <c r="G292" s="33">
        <v>1685.4366217975905</v>
      </c>
      <c r="H292" s="33">
        <v>0</v>
      </c>
    </row>
    <row r="293" spans="1:8" x14ac:dyDescent="0.35">
      <c r="A293" s="27" t="s">
        <v>175</v>
      </c>
      <c r="B293" s="33">
        <v>657978.29926118359</v>
      </c>
      <c r="C293" s="7">
        <v>16112.742857965228</v>
      </c>
      <c r="D293" s="33">
        <v>26520.947573664525</v>
      </c>
      <c r="E293" s="33">
        <v>195138.24860545271</v>
      </c>
      <c r="F293" s="33">
        <v>350756.41127574065</v>
      </c>
      <c r="G293" s="33">
        <v>39049.142721026183</v>
      </c>
      <c r="H293" s="33">
        <v>18494.798551067521</v>
      </c>
    </row>
    <row r="294" spans="1:8" x14ac:dyDescent="0.35">
      <c r="A294" s="29"/>
      <c r="B294" s="3"/>
      <c r="C294" s="3"/>
      <c r="D294" s="3"/>
      <c r="E294" s="3"/>
      <c r="F294" s="3"/>
      <c r="G294" s="3"/>
      <c r="H294" s="3"/>
    </row>
    <row r="295" spans="1:8" x14ac:dyDescent="0.35">
      <c r="A295" s="17" t="s">
        <v>285</v>
      </c>
    </row>
    <row r="296" spans="1:8" x14ac:dyDescent="0.35">
      <c r="A296" s="12" t="s">
        <v>25</v>
      </c>
    </row>
    <row r="297" spans="1:8" x14ac:dyDescent="0.35">
      <c r="A297" s="12" t="s">
        <v>26</v>
      </c>
    </row>
  </sheetData>
  <mergeCells count="3">
    <mergeCell ref="B151:H151"/>
    <mergeCell ref="C6:H6"/>
    <mergeCell ref="B8:H8"/>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15" max="16383" man="1"/>
    <brk id="285" max="16383" man="1"/>
  </rowBreaks>
  <extLst>
    <ext xmlns:x14="http://schemas.microsoft.com/office/spreadsheetml/2009/9/main" uri="{78C0D931-6437-407d-A8EE-F0AAD7539E65}">
      <x14:conditionalFormattings>
        <x14:conditionalFormatting xmlns:xm="http://schemas.microsoft.com/office/excel/2006/main">
          <x14:cfRule type="expression" priority="3" id="{0845FFD0-F821-4335-8CA4-1480637F59AB}">
            <xm:f>B152&lt;'8'!$C$104</xm:f>
            <x14:dxf>
              <font>
                <color rgb="FFFF0000"/>
              </font>
              <numFmt numFmtId="168" formatCode="\*\*0.0%"/>
            </x14:dxf>
          </x14:cfRule>
          <x14:cfRule type="expression" priority="4" id="{F21496D9-2B6E-4F74-B1F7-AA89522F249C}">
            <xm:f>B152&lt;'8'!$C$103</xm:f>
            <x14:dxf>
              <font>
                <color rgb="FF00B050"/>
              </font>
              <numFmt numFmtId="167" formatCode="\*0.0%"/>
            </x14:dxf>
          </x14:cfRule>
          <xm:sqref>B9:H150</xm:sqref>
        </x14:conditionalFormatting>
        <x14:conditionalFormatting xmlns:xm="http://schemas.microsoft.com/office/excel/2006/main">
          <x14:cfRule type="expression" priority="1" id="{71EB8C14-2491-4F1A-9873-8E6392295B92}">
            <xm:f>B152&lt;'8'!$C$104</xm:f>
            <x14:dxf>
              <font>
                <color rgb="FFFF0000"/>
              </font>
              <numFmt numFmtId="170" formatCode="\*\*#,###,###,##0"/>
            </x14:dxf>
          </x14:cfRule>
          <x14:cfRule type="expression" priority="2" id="{C526C75A-03EC-46CB-8006-F1B9253BC6BE}">
            <xm:f>B152&lt;'8'!$C$103</xm:f>
            <x14:dxf>
              <font>
                <color rgb="FF00B050"/>
              </font>
              <numFmt numFmtId="169" formatCode="\*#,###,###,##0"/>
            </x14:dxf>
          </x14:cfRule>
          <xm:sqref>B152:H293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4806E-2798-4EA7-B92A-BE70863DA004}">
  <dimension ref="A1:J16"/>
  <sheetViews>
    <sheetView tabSelected="1" topLeftCell="G1" workbookViewId="0">
      <selection activeCell="L12" sqref="L12"/>
    </sheetView>
  </sheetViews>
  <sheetFormatPr defaultRowHeight="14.5" x14ac:dyDescent="0.35"/>
  <cols>
    <col min="1" max="1" width="18.36328125" customWidth="1"/>
    <col min="2" max="2" width="19.7265625" customWidth="1"/>
    <col min="3" max="3" width="14.6328125" customWidth="1"/>
    <col min="4" max="4" width="16.6328125" customWidth="1"/>
    <col min="5" max="5" width="17.6328125" customWidth="1"/>
    <col min="6" max="6" width="17.08984375" customWidth="1"/>
    <col min="7" max="7" width="16.08984375" customWidth="1"/>
    <col min="8" max="8" width="16.54296875" customWidth="1"/>
    <col min="9" max="9" width="20" customWidth="1"/>
    <col min="10" max="10" width="17.7265625" customWidth="1"/>
  </cols>
  <sheetData>
    <row r="1" spans="1:10" ht="41.5" customHeight="1" x14ac:dyDescent="0.35">
      <c r="A1" s="31"/>
      <c r="B1" s="42" t="s">
        <v>275</v>
      </c>
      <c r="C1" s="42" t="s">
        <v>36</v>
      </c>
      <c r="D1" s="42" t="s">
        <v>176</v>
      </c>
      <c r="E1" s="42" t="s">
        <v>177</v>
      </c>
      <c r="F1" s="42" t="s">
        <v>277</v>
      </c>
      <c r="G1" s="42" t="s">
        <v>278</v>
      </c>
      <c r="H1" s="42" t="s">
        <v>279</v>
      </c>
      <c r="I1" s="42" t="s">
        <v>296</v>
      </c>
      <c r="J1" s="42" t="s">
        <v>297</v>
      </c>
    </row>
    <row r="2" spans="1:10" x14ac:dyDescent="0.35">
      <c r="A2" s="1" t="s">
        <v>59</v>
      </c>
      <c r="B2" s="33">
        <v>507182.7390328637</v>
      </c>
      <c r="C2" s="7">
        <v>47488.364682347674</v>
      </c>
      <c r="D2" s="33">
        <v>70307.358844355185</v>
      </c>
      <c r="E2" s="33">
        <v>32734.60697949128</v>
      </c>
      <c r="F2" s="33">
        <v>70774.551101724588</v>
      </c>
      <c r="G2" s="33">
        <v>26988.798529403117</v>
      </c>
      <c r="H2" s="33">
        <v>59291.447492567961</v>
      </c>
      <c r="I2" s="88">
        <f>C2+D2+F2+H2</f>
        <v>247861.72212099543</v>
      </c>
      <c r="J2" s="88">
        <f>E2+F2</f>
        <v>103509.15808121586</v>
      </c>
    </row>
    <row r="3" spans="1:10" x14ac:dyDescent="0.35">
      <c r="A3" s="1" t="s">
        <v>62</v>
      </c>
      <c r="B3" s="33">
        <v>57268.075937250796</v>
      </c>
      <c r="C3" s="7">
        <v>6355.6197546506728</v>
      </c>
      <c r="D3" s="33">
        <v>6686.5918501222159</v>
      </c>
      <c r="E3" s="33">
        <v>2896.3887597576163</v>
      </c>
      <c r="F3" s="33">
        <v>18614.3610778291</v>
      </c>
      <c r="G3" s="33">
        <v>3617.7633074359164</v>
      </c>
      <c r="H3" s="33">
        <v>5370.247841407132</v>
      </c>
      <c r="I3" s="88">
        <f>C3+D3+F3+H3</f>
        <v>37026.820524009119</v>
      </c>
      <c r="J3" s="88">
        <f>E3+F3</f>
        <v>21510.749837586718</v>
      </c>
    </row>
    <row r="4" spans="1:10" x14ac:dyDescent="0.35">
      <c r="A4" s="1" t="s">
        <v>67</v>
      </c>
      <c r="B4" s="33">
        <v>221294.96311308889</v>
      </c>
      <c r="C4" s="7">
        <v>40683.093354670134</v>
      </c>
      <c r="D4" s="33">
        <v>31978.210965938997</v>
      </c>
      <c r="E4" s="33">
        <v>43068.774238098573</v>
      </c>
      <c r="F4" s="33">
        <v>20787.753387829282</v>
      </c>
      <c r="G4" s="33">
        <v>21444.407648313612</v>
      </c>
      <c r="H4" s="33">
        <v>11249.105224517592</v>
      </c>
      <c r="I4" s="88">
        <f t="shared" ref="I4:I16" si="0">C4+D4+F4+H4</f>
        <v>104698.16293295602</v>
      </c>
      <c r="J4" s="88">
        <f t="shared" ref="J4:J16" si="1">E4+F4</f>
        <v>63856.527625927854</v>
      </c>
    </row>
    <row r="5" spans="1:10" x14ac:dyDescent="0.35">
      <c r="A5" s="1" t="s">
        <v>75</v>
      </c>
      <c r="B5" s="33">
        <v>57057.848023300801</v>
      </c>
      <c r="C5" s="7">
        <v>22216.46134844319</v>
      </c>
      <c r="D5" s="33">
        <v>7814.5547832632474</v>
      </c>
      <c r="E5" s="33">
        <v>2457.417774095049</v>
      </c>
      <c r="F5" s="33">
        <v>15479.98024286673</v>
      </c>
      <c r="G5" s="33">
        <v>26833.482224969794</v>
      </c>
      <c r="H5" s="33">
        <v>2244.9729034825073</v>
      </c>
      <c r="I5" s="88">
        <f t="shared" si="0"/>
        <v>47755.969278055672</v>
      </c>
      <c r="J5" s="88">
        <f t="shared" si="1"/>
        <v>17937.398016961779</v>
      </c>
    </row>
    <row r="6" spans="1:10" x14ac:dyDescent="0.35">
      <c r="A6" s="1" t="s">
        <v>78</v>
      </c>
      <c r="B6" s="33">
        <v>28794.122839140735</v>
      </c>
      <c r="C6" s="7">
        <v>6545.6205194576742</v>
      </c>
      <c r="D6" s="33">
        <v>4865.1460901120499</v>
      </c>
      <c r="E6" s="33">
        <v>3493.8299746652306</v>
      </c>
      <c r="F6" s="33">
        <v>6564.6195712185099</v>
      </c>
      <c r="G6" s="33">
        <v>4095.4725180509245</v>
      </c>
      <c r="H6" s="33">
        <v>551.38477244505316</v>
      </c>
      <c r="I6" s="88">
        <f t="shared" si="0"/>
        <v>18526.770953233288</v>
      </c>
      <c r="J6" s="88">
        <f t="shared" si="1"/>
        <v>10058.449545883741</v>
      </c>
    </row>
    <row r="7" spans="1:10" x14ac:dyDescent="0.35">
      <c r="A7" s="1" t="s">
        <v>116</v>
      </c>
      <c r="B7" s="33">
        <v>5700.0993147392028</v>
      </c>
      <c r="C7" s="7">
        <v>0</v>
      </c>
      <c r="D7" s="33">
        <v>336.40309108848965</v>
      </c>
      <c r="E7" s="33">
        <v>556.10799278578327</v>
      </c>
      <c r="F7" s="33">
        <v>1929.3410333599249</v>
      </c>
      <c r="G7" s="33">
        <v>346.83624277045078</v>
      </c>
      <c r="H7" s="33">
        <v>826.07700991690888</v>
      </c>
      <c r="I7" s="88">
        <f t="shared" si="0"/>
        <v>3091.8211343653234</v>
      </c>
      <c r="J7" s="88">
        <f t="shared" si="1"/>
        <v>2485.4490261457081</v>
      </c>
    </row>
    <row r="8" spans="1:10" x14ac:dyDescent="0.35">
      <c r="A8" s="1" t="s">
        <v>134</v>
      </c>
      <c r="B8" s="33">
        <v>35437.442611423467</v>
      </c>
      <c r="C8" s="7">
        <v>5955.5234182721479</v>
      </c>
      <c r="D8" s="33">
        <v>2318.8021716913017</v>
      </c>
      <c r="E8" s="33">
        <v>1664.3622391264755</v>
      </c>
      <c r="F8" s="33">
        <v>6805.8464318544438</v>
      </c>
      <c r="G8" s="33">
        <v>1180.4648087775679</v>
      </c>
      <c r="H8" s="33">
        <v>13217.464623018115</v>
      </c>
      <c r="I8" s="88">
        <f t="shared" si="0"/>
        <v>28297.636644836006</v>
      </c>
      <c r="J8" s="88">
        <f t="shared" si="1"/>
        <v>8470.2086709809191</v>
      </c>
    </row>
    <row r="9" spans="1:10" x14ac:dyDescent="0.35">
      <c r="A9" s="1" t="s">
        <v>139</v>
      </c>
      <c r="B9" s="33">
        <v>42351.659046664463</v>
      </c>
      <c r="C9" s="7">
        <v>18383.315772522925</v>
      </c>
      <c r="D9" s="33">
        <v>6702.0936105123255</v>
      </c>
      <c r="E9" s="33">
        <v>7705.9701024770939</v>
      </c>
      <c r="F9" s="33">
        <v>1635.1106636265051</v>
      </c>
      <c r="G9" s="33">
        <v>3334.2804996986706</v>
      </c>
      <c r="H9" s="33">
        <v>11215.217717470709</v>
      </c>
      <c r="I9" s="88">
        <f t="shared" si="0"/>
        <v>37935.737764132464</v>
      </c>
      <c r="J9" s="88">
        <f t="shared" si="1"/>
        <v>9341.0807661035997</v>
      </c>
    </row>
    <row r="10" spans="1:10" x14ac:dyDescent="0.35">
      <c r="A10" s="1" t="s">
        <v>142</v>
      </c>
      <c r="B10" s="33">
        <v>1114300.2803006768</v>
      </c>
      <c r="C10" s="7">
        <v>157429.18610864133</v>
      </c>
      <c r="D10" s="33">
        <v>118335.58262455766</v>
      </c>
      <c r="E10" s="33">
        <v>146369.6059352349</v>
      </c>
      <c r="F10" s="33">
        <v>72938.481044163011</v>
      </c>
      <c r="G10" s="33">
        <v>90832.694477633748</v>
      </c>
      <c r="H10" s="33">
        <v>99333.1211526017</v>
      </c>
      <c r="I10" s="88">
        <f t="shared" si="0"/>
        <v>448036.37092996365</v>
      </c>
      <c r="J10" s="88">
        <f t="shared" si="1"/>
        <v>219308.08697939792</v>
      </c>
    </row>
    <row r="11" spans="1:10" x14ac:dyDescent="0.35">
      <c r="A11" s="1" t="s">
        <v>143</v>
      </c>
      <c r="B11" s="33">
        <v>37649.552499939404</v>
      </c>
      <c r="C11" s="7">
        <v>22715.132858496974</v>
      </c>
      <c r="D11" s="33">
        <v>5773.138606772116</v>
      </c>
      <c r="E11" s="33">
        <v>1707.4351895392153</v>
      </c>
      <c r="F11" s="33">
        <v>1557.026987519899</v>
      </c>
      <c r="G11" s="33">
        <v>360.7459422337036</v>
      </c>
      <c r="H11" s="33">
        <v>3013.2990879516551</v>
      </c>
      <c r="I11" s="88">
        <f t="shared" si="0"/>
        <v>33058.597540740644</v>
      </c>
      <c r="J11" s="88">
        <f t="shared" si="1"/>
        <v>3264.4621770591143</v>
      </c>
    </row>
    <row r="12" spans="1:10" x14ac:dyDescent="0.35">
      <c r="A12" s="1" t="s">
        <v>144</v>
      </c>
      <c r="B12" s="33">
        <v>1783.2236790954767</v>
      </c>
      <c r="C12" s="7">
        <v>591.12477190966626</v>
      </c>
      <c r="D12" s="33">
        <v>0</v>
      </c>
      <c r="E12" s="33">
        <v>0</v>
      </c>
      <c r="F12" s="33">
        <v>0</v>
      </c>
      <c r="G12" s="33">
        <v>522.10733234394013</v>
      </c>
      <c r="H12" s="33">
        <v>0</v>
      </c>
      <c r="I12" s="88">
        <f t="shared" si="0"/>
        <v>591.12477190966626</v>
      </c>
      <c r="J12" s="88">
        <f t="shared" si="1"/>
        <v>0</v>
      </c>
    </row>
    <row r="13" spans="1:10" x14ac:dyDescent="0.35">
      <c r="A13" s="1" t="s">
        <v>147</v>
      </c>
      <c r="B13" s="33">
        <v>17532.03869294751</v>
      </c>
      <c r="C13" s="7">
        <v>3309.3588638727088</v>
      </c>
      <c r="D13" s="33">
        <v>2353.5249957702199</v>
      </c>
      <c r="E13" s="33">
        <v>1107.8091498899857</v>
      </c>
      <c r="F13" s="33">
        <v>3589.8038347786901</v>
      </c>
      <c r="G13" s="33">
        <v>1219.2381624249069</v>
      </c>
      <c r="H13" s="33">
        <v>1628.2574451913756</v>
      </c>
      <c r="I13" s="88">
        <f t="shared" si="0"/>
        <v>10880.945139612993</v>
      </c>
      <c r="J13" s="88">
        <f t="shared" si="1"/>
        <v>4697.6129846686763</v>
      </c>
    </row>
    <row r="14" spans="1:10" x14ac:dyDescent="0.35">
      <c r="A14" s="1" t="s">
        <v>154</v>
      </c>
      <c r="B14" s="33">
        <v>44381.162401605347</v>
      </c>
      <c r="C14" s="7">
        <v>4128.9248069700225</v>
      </c>
      <c r="D14" s="33">
        <v>4129.1427841703598</v>
      </c>
      <c r="E14" s="33">
        <v>3179.2628746188325</v>
      </c>
      <c r="F14" s="33">
        <v>10078.727636697893</v>
      </c>
      <c r="G14" s="33">
        <v>9470.6231573522746</v>
      </c>
      <c r="H14" s="33">
        <v>2572.5097018753513</v>
      </c>
      <c r="I14" s="88">
        <f t="shared" si="0"/>
        <v>20909.304929713624</v>
      </c>
      <c r="J14" s="88">
        <f t="shared" si="1"/>
        <v>13257.990511316726</v>
      </c>
    </row>
    <row r="15" spans="1:10" x14ac:dyDescent="0.35">
      <c r="A15" s="1" t="s">
        <v>155</v>
      </c>
      <c r="B15" s="33">
        <v>604711.26089471672</v>
      </c>
      <c r="C15" s="7">
        <v>109346.92467481832</v>
      </c>
      <c r="D15" s="33">
        <v>60630.084466537461</v>
      </c>
      <c r="E15" s="33">
        <v>173386.81473601388</v>
      </c>
      <c r="F15" s="33">
        <v>77711.540804783566</v>
      </c>
      <c r="G15" s="33">
        <v>83697.238010544505</v>
      </c>
      <c r="H15" s="33">
        <v>67367.440726934001</v>
      </c>
      <c r="I15" s="88">
        <f t="shared" si="0"/>
        <v>315055.99067307333</v>
      </c>
      <c r="J15" s="88">
        <f t="shared" si="1"/>
        <v>251098.35554079746</v>
      </c>
    </row>
    <row r="16" spans="1:10" x14ac:dyDescent="0.35">
      <c r="A16" s="1" t="s">
        <v>168</v>
      </c>
      <c r="B16" s="33">
        <v>953277.92568193714</v>
      </c>
      <c r="C16" s="7">
        <v>60175.841424662452</v>
      </c>
      <c r="D16" s="33">
        <v>79552.521059128514</v>
      </c>
      <c r="E16" s="33">
        <v>75842.597127213186</v>
      </c>
      <c r="F16" s="33">
        <v>39577.41271462835</v>
      </c>
      <c r="G16" s="33">
        <v>45456.474839480019</v>
      </c>
      <c r="H16" s="33">
        <v>81806.54344179263</v>
      </c>
      <c r="I16" s="88">
        <f t="shared" si="0"/>
        <v>261112.31864021195</v>
      </c>
      <c r="J16" s="88">
        <f t="shared" si="1"/>
        <v>115420.00984184153</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9" id="{A5CC474F-E2D4-40A8-AEA7-CB0F217CAFF9}">
            <xm:f>B2&lt;'8'!$C$104</xm:f>
            <x14:dxf>
              <font>
                <color rgb="FFFF0000"/>
              </font>
              <numFmt numFmtId="170" formatCode="\*\*#,###,###,##0"/>
            </x14:dxf>
          </x14:cfRule>
          <x14:cfRule type="expression" priority="30" id="{0FFFB7F3-37BD-470E-9DC7-2886201F2789}">
            <xm:f>B2&lt;'8'!$C$103</xm:f>
            <x14:dxf>
              <font>
                <color rgb="FF00B050"/>
              </font>
              <numFmt numFmtId="169" formatCode="\*#,###,###,##0"/>
            </x14:dxf>
          </x14:cfRule>
          <xm:sqref>B2:H2</xm:sqref>
        </x14:conditionalFormatting>
        <x14:conditionalFormatting xmlns:xm="http://schemas.microsoft.com/office/excel/2006/main">
          <x14:cfRule type="expression" priority="27" id="{90CBBE04-3BE0-4EAE-B21D-2520004B2BC8}">
            <xm:f>B3&lt;'8'!$C$104</xm:f>
            <x14:dxf>
              <font>
                <color rgb="FFFF0000"/>
              </font>
              <numFmt numFmtId="170" formatCode="\*\*#,###,###,##0"/>
            </x14:dxf>
          </x14:cfRule>
          <x14:cfRule type="expression" priority="28" id="{440F402A-CEDE-40E3-9648-5C9D3A1A4CF8}">
            <xm:f>B3&lt;'8'!$C$103</xm:f>
            <x14:dxf>
              <font>
                <color rgb="FF00B050"/>
              </font>
              <numFmt numFmtId="169" formatCode="\*#,###,###,##0"/>
            </x14:dxf>
          </x14:cfRule>
          <xm:sqref>B3:H3</xm:sqref>
        </x14:conditionalFormatting>
        <x14:conditionalFormatting xmlns:xm="http://schemas.microsoft.com/office/excel/2006/main">
          <x14:cfRule type="expression" priority="25" id="{30AA8965-4DCB-4C25-877A-126D686086FF}">
            <xm:f>B4&lt;'8'!$C$104</xm:f>
            <x14:dxf>
              <font>
                <color rgb="FFFF0000"/>
              </font>
              <numFmt numFmtId="170" formatCode="\*\*#,###,###,##0"/>
            </x14:dxf>
          </x14:cfRule>
          <x14:cfRule type="expression" priority="26" id="{31B47F4E-A24E-45BE-85A7-DDD30533C41A}">
            <xm:f>B4&lt;'8'!$C$103</xm:f>
            <x14:dxf>
              <font>
                <color rgb="FF00B050"/>
              </font>
              <numFmt numFmtId="169" formatCode="\*#,###,###,##0"/>
            </x14:dxf>
          </x14:cfRule>
          <xm:sqref>B4:H4</xm:sqref>
        </x14:conditionalFormatting>
        <x14:conditionalFormatting xmlns:xm="http://schemas.microsoft.com/office/excel/2006/main">
          <x14:cfRule type="expression" priority="23" id="{7917EE88-D9D7-4A89-AC97-F7E9C848875F}">
            <xm:f>B5&lt;'8'!$C$104</xm:f>
            <x14:dxf>
              <font>
                <color rgb="FFFF0000"/>
              </font>
              <numFmt numFmtId="170" formatCode="\*\*#,###,###,##0"/>
            </x14:dxf>
          </x14:cfRule>
          <x14:cfRule type="expression" priority="24" id="{3050D1BC-2D97-4596-89B0-47E1CC26EEFC}">
            <xm:f>B5&lt;'8'!$C$103</xm:f>
            <x14:dxf>
              <font>
                <color rgb="FF00B050"/>
              </font>
              <numFmt numFmtId="169" formatCode="\*#,###,###,##0"/>
            </x14:dxf>
          </x14:cfRule>
          <xm:sqref>B5:H5</xm:sqref>
        </x14:conditionalFormatting>
        <x14:conditionalFormatting xmlns:xm="http://schemas.microsoft.com/office/excel/2006/main">
          <x14:cfRule type="expression" priority="21" id="{EDCB8814-BBDA-49C5-95B6-B8AFFA0F2B8F}">
            <xm:f>B6&lt;'8'!$C$104</xm:f>
            <x14:dxf>
              <font>
                <color rgb="FFFF0000"/>
              </font>
              <numFmt numFmtId="170" formatCode="\*\*#,###,###,##0"/>
            </x14:dxf>
          </x14:cfRule>
          <x14:cfRule type="expression" priority="22" id="{CF679D9F-47EC-4F1C-97FC-79603255D1EB}">
            <xm:f>B6&lt;'8'!$C$103</xm:f>
            <x14:dxf>
              <font>
                <color rgb="FF00B050"/>
              </font>
              <numFmt numFmtId="169" formatCode="\*#,###,###,##0"/>
            </x14:dxf>
          </x14:cfRule>
          <xm:sqref>B6:H6</xm:sqref>
        </x14:conditionalFormatting>
        <x14:conditionalFormatting xmlns:xm="http://schemas.microsoft.com/office/excel/2006/main">
          <x14:cfRule type="expression" priority="19" id="{28000288-D936-4693-88AC-108FBA0B416F}">
            <xm:f>B7&lt;'8'!$C$104</xm:f>
            <x14:dxf>
              <font>
                <color rgb="FFFF0000"/>
              </font>
              <numFmt numFmtId="170" formatCode="\*\*#,###,###,##0"/>
            </x14:dxf>
          </x14:cfRule>
          <x14:cfRule type="expression" priority="20" id="{510EE718-9882-452B-9819-BD0770FA9E19}">
            <xm:f>B7&lt;'8'!$C$103</xm:f>
            <x14:dxf>
              <font>
                <color rgb="FF00B050"/>
              </font>
              <numFmt numFmtId="169" formatCode="\*#,###,###,##0"/>
            </x14:dxf>
          </x14:cfRule>
          <xm:sqref>B7:H7</xm:sqref>
        </x14:conditionalFormatting>
        <x14:conditionalFormatting xmlns:xm="http://schemas.microsoft.com/office/excel/2006/main">
          <x14:cfRule type="expression" priority="17" id="{79549621-83F8-40C9-ADB8-1567BAE7AFC6}">
            <xm:f>B8&lt;'8'!$C$104</xm:f>
            <x14:dxf>
              <font>
                <color rgb="FFFF0000"/>
              </font>
              <numFmt numFmtId="170" formatCode="\*\*#,###,###,##0"/>
            </x14:dxf>
          </x14:cfRule>
          <x14:cfRule type="expression" priority="18" id="{93187193-51AC-49A6-B163-E0B9D0A8724C}">
            <xm:f>B8&lt;'8'!$C$103</xm:f>
            <x14:dxf>
              <font>
                <color rgb="FF00B050"/>
              </font>
              <numFmt numFmtId="169" formatCode="\*#,###,###,##0"/>
            </x14:dxf>
          </x14:cfRule>
          <xm:sqref>B8:H8</xm:sqref>
        </x14:conditionalFormatting>
        <x14:conditionalFormatting xmlns:xm="http://schemas.microsoft.com/office/excel/2006/main">
          <x14:cfRule type="expression" priority="15" id="{17D9C30C-FBC6-42D4-A521-E1392C761591}">
            <xm:f>B9&lt;'8'!$C$104</xm:f>
            <x14:dxf>
              <font>
                <color rgb="FFFF0000"/>
              </font>
              <numFmt numFmtId="170" formatCode="\*\*#,###,###,##0"/>
            </x14:dxf>
          </x14:cfRule>
          <x14:cfRule type="expression" priority="16" id="{7D7443E9-1976-4553-8314-C1785B65D8F4}">
            <xm:f>B9&lt;'8'!$C$103</xm:f>
            <x14:dxf>
              <font>
                <color rgb="FF00B050"/>
              </font>
              <numFmt numFmtId="169" formatCode="\*#,###,###,##0"/>
            </x14:dxf>
          </x14:cfRule>
          <xm:sqref>B9:H9</xm:sqref>
        </x14:conditionalFormatting>
        <x14:conditionalFormatting xmlns:xm="http://schemas.microsoft.com/office/excel/2006/main">
          <x14:cfRule type="expression" priority="13" id="{EC07C86F-9C90-4961-8CBB-B6E7EDF9BB9A}">
            <xm:f>B10&lt;'8'!$C$104</xm:f>
            <x14:dxf>
              <font>
                <color rgb="FFFF0000"/>
              </font>
              <numFmt numFmtId="170" formatCode="\*\*#,###,###,##0"/>
            </x14:dxf>
          </x14:cfRule>
          <x14:cfRule type="expression" priority="14" id="{C63E0CAE-C143-42BB-87A4-93055C073A48}">
            <xm:f>B10&lt;'8'!$C$103</xm:f>
            <x14:dxf>
              <font>
                <color rgb="FF00B050"/>
              </font>
              <numFmt numFmtId="169" formatCode="\*#,###,###,##0"/>
            </x14:dxf>
          </x14:cfRule>
          <xm:sqref>B10:H10</xm:sqref>
        </x14:conditionalFormatting>
        <x14:conditionalFormatting xmlns:xm="http://schemas.microsoft.com/office/excel/2006/main">
          <x14:cfRule type="expression" priority="11" id="{8CA5B5AD-A331-471F-B44B-13A8567997E1}">
            <xm:f>B11&lt;'8'!$C$104</xm:f>
            <x14:dxf>
              <font>
                <color rgb="FFFF0000"/>
              </font>
              <numFmt numFmtId="170" formatCode="\*\*#,###,###,##0"/>
            </x14:dxf>
          </x14:cfRule>
          <x14:cfRule type="expression" priority="12" id="{55BBE6F4-8B29-43A4-B6A4-B944EE809D18}">
            <xm:f>B11&lt;'8'!$C$103</xm:f>
            <x14:dxf>
              <font>
                <color rgb="FF00B050"/>
              </font>
              <numFmt numFmtId="169" formatCode="\*#,###,###,##0"/>
            </x14:dxf>
          </x14:cfRule>
          <xm:sqref>B11:H11</xm:sqref>
        </x14:conditionalFormatting>
        <x14:conditionalFormatting xmlns:xm="http://schemas.microsoft.com/office/excel/2006/main">
          <x14:cfRule type="expression" priority="9" id="{B605D22E-7728-4E11-A3FE-B9020FEE84EC}">
            <xm:f>B12&lt;'8'!$C$104</xm:f>
            <x14:dxf>
              <font>
                <color rgb="FFFF0000"/>
              </font>
              <numFmt numFmtId="170" formatCode="\*\*#,###,###,##0"/>
            </x14:dxf>
          </x14:cfRule>
          <x14:cfRule type="expression" priority="10" id="{5CC1EB74-C01B-47B7-8211-F462726339A4}">
            <xm:f>B12&lt;'8'!$C$103</xm:f>
            <x14:dxf>
              <font>
                <color rgb="FF00B050"/>
              </font>
              <numFmt numFmtId="169" formatCode="\*#,###,###,##0"/>
            </x14:dxf>
          </x14:cfRule>
          <xm:sqref>B12:H12</xm:sqref>
        </x14:conditionalFormatting>
        <x14:conditionalFormatting xmlns:xm="http://schemas.microsoft.com/office/excel/2006/main">
          <x14:cfRule type="expression" priority="7" id="{423CFEDD-1746-4D7B-B11D-98C6E78B93EC}">
            <xm:f>B13&lt;'8'!$C$104</xm:f>
            <x14:dxf>
              <font>
                <color rgb="FFFF0000"/>
              </font>
              <numFmt numFmtId="170" formatCode="\*\*#,###,###,##0"/>
            </x14:dxf>
          </x14:cfRule>
          <x14:cfRule type="expression" priority="8" id="{CFD8E646-C9EB-492C-AF67-26E906D4FE5E}">
            <xm:f>B13&lt;'8'!$C$103</xm:f>
            <x14:dxf>
              <font>
                <color rgb="FF00B050"/>
              </font>
              <numFmt numFmtId="169" formatCode="\*#,###,###,##0"/>
            </x14:dxf>
          </x14:cfRule>
          <xm:sqref>B13:H13</xm:sqref>
        </x14:conditionalFormatting>
        <x14:conditionalFormatting xmlns:xm="http://schemas.microsoft.com/office/excel/2006/main">
          <x14:cfRule type="expression" priority="5" id="{8BB1FBB6-91D2-40EF-8B73-82FA98B60AD6}">
            <xm:f>B14&lt;'8'!$C$104</xm:f>
            <x14:dxf>
              <font>
                <color rgb="FFFF0000"/>
              </font>
              <numFmt numFmtId="170" formatCode="\*\*#,###,###,##0"/>
            </x14:dxf>
          </x14:cfRule>
          <x14:cfRule type="expression" priority="6" id="{1B1D497A-4610-429F-8DA6-62EA7C2D9827}">
            <xm:f>B14&lt;'8'!$C$103</xm:f>
            <x14:dxf>
              <font>
                <color rgb="FF00B050"/>
              </font>
              <numFmt numFmtId="169" formatCode="\*#,###,###,##0"/>
            </x14:dxf>
          </x14:cfRule>
          <xm:sqref>B14:H14</xm:sqref>
        </x14:conditionalFormatting>
        <x14:conditionalFormatting xmlns:xm="http://schemas.microsoft.com/office/excel/2006/main">
          <x14:cfRule type="expression" priority="3" id="{422D2D09-E0BC-4C65-A645-D0EAA2F51F75}">
            <xm:f>B15&lt;'8'!$C$104</xm:f>
            <x14:dxf>
              <font>
                <color rgb="FFFF0000"/>
              </font>
              <numFmt numFmtId="170" formatCode="\*\*#,###,###,##0"/>
            </x14:dxf>
          </x14:cfRule>
          <x14:cfRule type="expression" priority="4" id="{723B2172-2D5A-482C-B02C-2F787258471F}">
            <xm:f>B15&lt;'8'!$C$103</xm:f>
            <x14:dxf>
              <font>
                <color rgb="FF00B050"/>
              </font>
              <numFmt numFmtId="169" formatCode="\*#,###,###,##0"/>
            </x14:dxf>
          </x14:cfRule>
          <xm:sqref>B15:H15</xm:sqref>
        </x14:conditionalFormatting>
        <x14:conditionalFormatting xmlns:xm="http://schemas.microsoft.com/office/excel/2006/main">
          <x14:cfRule type="expression" priority="1" id="{C26CAD97-998F-47A6-86FC-23C31E1CBDDE}">
            <xm:f>B16&lt;'8'!$C$104</xm:f>
            <x14:dxf>
              <font>
                <color rgb="FFFF0000"/>
              </font>
              <numFmt numFmtId="170" formatCode="\*\*#,###,###,##0"/>
            </x14:dxf>
          </x14:cfRule>
          <x14:cfRule type="expression" priority="2" id="{BFDE2AA5-3CFA-4EBC-9D5C-4D76208CDDAE}">
            <xm:f>B16&lt;'8'!$C$103</xm:f>
            <x14:dxf>
              <font>
                <color rgb="FF00B050"/>
              </font>
              <numFmt numFmtId="169" formatCode="\*#,###,###,##0"/>
            </x14:dxf>
          </x14:cfRule>
          <xm:sqref>B16:H16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30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1640625" defaultRowHeight="14.5" x14ac:dyDescent="0.35"/>
  <cols>
    <col min="1" max="1" width="30.7265625" style="1" customWidth="1"/>
    <col min="2" max="2" width="14.81640625" style="1" customWidth="1"/>
    <col min="3" max="8" width="19" style="1" customWidth="1"/>
    <col min="9" max="16384" width="8.81640625" style="1"/>
  </cols>
  <sheetData>
    <row r="1" spans="1:9" x14ac:dyDescent="0.35">
      <c r="A1" s="21"/>
      <c r="B1" s="21"/>
      <c r="C1" s="21"/>
      <c r="D1" s="21"/>
      <c r="E1" s="21"/>
      <c r="F1" s="21"/>
      <c r="G1" s="21"/>
      <c r="H1" s="21"/>
    </row>
    <row r="2" spans="1:9" x14ac:dyDescent="0.35">
      <c r="A2" s="21"/>
      <c r="B2" s="21"/>
      <c r="C2" s="21"/>
      <c r="D2" s="21"/>
      <c r="E2" s="21"/>
      <c r="F2" s="21"/>
      <c r="G2" s="21"/>
      <c r="H2" s="21"/>
    </row>
    <row r="3" spans="1:9" x14ac:dyDescent="0.35">
      <c r="A3" s="21"/>
      <c r="B3" s="21"/>
      <c r="C3" s="21"/>
      <c r="D3" s="21"/>
      <c r="E3" s="21"/>
      <c r="F3" s="21"/>
      <c r="G3" s="21"/>
      <c r="H3" s="21"/>
    </row>
    <row r="4" spans="1:9" x14ac:dyDescent="0.35">
      <c r="A4" s="21"/>
      <c r="B4" s="21"/>
      <c r="C4" s="21"/>
      <c r="D4" s="21"/>
      <c r="E4" s="21"/>
      <c r="F4" s="21"/>
      <c r="G4" s="21"/>
      <c r="H4" s="21"/>
    </row>
    <row r="5" spans="1:9" x14ac:dyDescent="0.35">
      <c r="A5" s="21"/>
      <c r="B5" s="21"/>
      <c r="C5" s="21"/>
      <c r="D5" s="21"/>
      <c r="E5" s="21"/>
      <c r="F5" s="21"/>
      <c r="G5" s="21"/>
      <c r="H5" s="21"/>
    </row>
    <row r="6" spans="1:9" x14ac:dyDescent="0.35">
      <c r="A6" s="21"/>
      <c r="B6" s="21"/>
      <c r="C6" s="21"/>
      <c r="D6" s="21"/>
      <c r="E6" s="21"/>
      <c r="F6" s="21"/>
      <c r="G6" s="21"/>
      <c r="H6" s="21"/>
    </row>
    <row r="7" spans="1:9" x14ac:dyDescent="0.35">
      <c r="A7" s="21"/>
      <c r="B7" s="21"/>
      <c r="C7" s="21"/>
      <c r="D7" s="21"/>
      <c r="E7" s="21"/>
      <c r="F7" s="21"/>
      <c r="G7" s="21"/>
      <c r="H7" s="21"/>
    </row>
    <row r="8" spans="1:9" x14ac:dyDescent="0.35">
      <c r="A8" s="21" t="s">
        <v>288</v>
      </c>
      <c r="B8" s="21"/>
      <c r="C8" s="21"/>
      <c r="D8" s="21"/>
      <c r="E8" s="21"/>
      <c r="F8" s="21"/>
      <c r="G8" s="21"/>
      <c r="H8" s="21"/>
    </row>
    <row r="9" spans="1:9" x14ac:dyDescent="0.35">
      <c r="A9" s="20" t="s">
        <v>0</v>
      </c>
      <c r="B9" s="21" t="s">
        <v>287</v>
      </c>
      <c r="C9" s="21"/>
      <c r="D9" s="21"/>
      <c r="E9" s="21"/>
      <c r="F9" s="21"/>
      <c r="G9" s="21"/>
      <c r="H9" s="21"/>
    </row>
    <row r="10" spans="1:9" x14ac:dyDescent="0.35">
      <c r="A10" s="20" t="s">
        <v>10</v>
      </c>
      <c r="B10" s="22">
        <v>5</v>
      </c>
      <c r="C10" s="21"/>
      <c r="D10" s="21"/>
      <c r="E10" s="21"/>
      <c r="F10" s="21"/>
      <c r="G10" s="21"/>
      <c r="H10" s="21"/>
    </row>
    <row r="11" spans="1:9" x14ac:dyDescent="0.35">
      <c r="A11" s="20" t="s">
        <v>1</v>
      </c>
      <c r="B11" s="21" t="s">
        <v>237</v>
      </c>
      <c r="C11" s="21"/>
      <c r="D11" s="21"/>
      <c r="E11" s="21"/>
      <c r="F11" s="54" t="s">
        <v>235</v>
      </c>
      <c r="G11" s="21"/>
      <c r="H11" s="21"/>
    </row>
    <row r="12" spans="1:9" x14ac:dyDescent="0.35">
      <c r="A12" s="23" t="s">
        <v>11</v>
      </c>
      <c r="B12" s="24" t="s">
        <v>27</v>
      </c>
      <c r="C12" s="24"/>
      <c r="D12" s="24"/>
      <c r="E12" s="24"/>
      <c r="F12" s="24"/>
      <c r="G12" s="24"/>
      <c r="H12" s="24"/>
    </row>
    <row r="13" spans="1:9" ht="25" customHeight="1" x14ac:dyDescent="0.35">
      <c r="A13" s="32"/>
      <c r="B13" s="26"/>
      <c r="C13" s="85" t="s">
        <v>35</v>
      </c>
      <c r="D13" s="85"/>
      <c r="E13" s="85"/>
      <c r="F13" s="85"/>
      <c r="G13" s="85"/>
      <c r="H13" s="85"/>
    </row>
    <row r="14" spans="1:9" ht="43.5" x14ac:dyDescent="0.35">
      <c r="A14" s="31"/>
      <c r="B14" s="30" t="s">
        <v>16</v>
      </c>
      <c r="C14" s="42" t="s">
        <v>36</v>
      </c>
      <c r="D14" s="42" t="s">
        <v>176</v>
      </c>
      <c r="E14" s="42" t="s">
        <v>177</v>
      </c>
      <c r="F14" s="42" t="s">
        <v>277</v>
      </c>
      <c r="G14" s="42" t="s">
        <v>278</v>
      </c>
      <c r="H14" s="42" t="s">
        <v>37</v>
      </c>
      <c r="I14" s="52" t="s">
        <v>235</v>
      </c>
    </row>
    <row r="15" spans="1:9" x14ac:dyDescent="0.35">
      <c r="A15" s="43"/>
      <c r="B15" s="80" t="s">
        <v>33</v>
      </c>
      <c r="C15" s="80"/>
      <c r="D15" s="80"/>
      <c r="E15" s="80"/>
      <c r="F15" s="80"/>
      <c r="G15" s="80"/>
      <c r="H15" s="80"/>
    </row>
    <row r="16" spans="1:9" x14ac:dyDescent="0.35">
      <c r="A16" s="27" t="s">
        <v>39</v>
      </c>
      <c r="B16" s="4">
        <v>9.47297977681909E-4</v>
      </c>
      <c r="C16" s="6">
        <v>2.9868077222349729E-4</v>
      </c>
      <c r="D16" s="4">
        <v>1.3431288201136128E-4</v>
      </c>
      <c r="E16" s="4">
        <v>0</v>
      </c>
      <c r="F16" s="4">
        <v>2.0096030085111361E-4</v>
      </c>
      <c r="G16" s="4">
        <v>2.7678582346243424E-4</v>
      </c>
      <c r="H16" s="4">
        <v>2.5762877546160273E-4</v>
      </c>
    </row>
    <row r="17" spans="1:8" x14ac:dyDescent="0.35">
      <c r="A17" s="27" t="s">
        <v>40</v>
      </c>
      <c r="B17" s="4">
        <v>7.3328943594845456E-4</v>
      </c>
      <c r="C17" s="6">
        <v>1.7440509402783227E-4</v>
      </c>
      <c r="D17" s="4">
        <v>0</v>
      </c>
      <c r="E17" s="4">
        <v>0</v>
      </c>
      <c r="F17" s="4">
        <v>3.6428145339904074E-4</v>
      </c>
      <c r="G17" s="4">
        <v>0</v>
      </c>
      <c r="H17" s="4">
        <v>2.7679159209073292E-4</v>
      </c>
    </row>
    <row r="18" spans="1:8" x14ac:dyDescent="0.35">
      <c r="A18" s="27" t="s">
        <v>41</v>
      </c>
      <c r="B18" s="4">
        <v>9.5241413199260701E-4</v>
      </c>
      <c r="C18" s="6">
        <v>8.2180381271630278E-5</v>
      </c>
      <c r="D18" s="4">
        <v>3.8678183480088548E-4</v>
      </c>
      <c r="E18" s="4">
        <v>3.4330997463218429E-4</v>
      </c>
      <c r="F18" s="4">
        <v>1.7986023756798737E-4</v>
      </c>
      <c r="G18" s="4">
        <v>2.9963438553864095E-4</v>
      </c>
      <c r="H18" s="4">
        <v>0</v>
      </c>
    </row>
    <row r="19" spans="1:8" x14ac:dyDescent="0.35">
      <c r="A19" s="27" t="s">
        <v>42</v>
      </c>
      <c r="B19" s="4">
        <v>3.2499615132286837E-2</v>
      </c>
      <c r="C19" s="6">
        <v>1.3956684995541769E-2</v>
      </c>
      <c r="D19" s="4">
        <v>5.2853224251348564E-3</v>
      </c>
      <c r="E19" s="4">
        <v>2.9173070875691972E-3</v>
      </c>
      <c r="F19" s="4">
        <v>1.5057124071563175E-3</v>
      </c>
      <c r="G19" s="4">
        <v>4.2361155415746622E-3</v>
      </c>
      <c r="H19" s="4">
        <v>9.2277318060981703E-3</v>
      </c>
    </row>
    <row r="20" spans="1:8" x14ac:dyDescent="0.35">
      <c r="A20" s="27" t="s">
        <v>43</v>
      </c>
      <c r="B20" s="4">
        <v>5.8793660628478489E-2</v>
      </c>
      <c r="C20" s="6">
        <v>3.5458779071468174E-2</v>
      </c>
      <c r="D20" s="4">
        <v>8.3000713131896175E-3</v>
      </c>
      <c r="E20" s="4">
        <v>3.8573527385350626E-3</v>
      </c>
      <c r="F20" s="4">
        <v>1.3858383302747617E-3</v>
      </c>
      <c r="G20" s="4">
        <v>2.8180380635553959E-3</v>
      </c>
      <c r="H20" s="4">
        <v>1.1616513981427551E-2</v>
      </c>
    </row>
    <row r="21" spans="1:8" x14ac:dyDescent="0.35">
      <c r="A21" s="27" t="s">
        <v>44</v>
      </c>
      <c r="B21" s="4">
        <v>6.0987730927061978E-3</v>
      </c>
      <c r="C21" s="6">
        <v>8.2237655622917349E-4</v>
      </c>
      <c r="D21" s="4">
        <v>1.4006635754676962E-3</v>
      </c>
      <c r="E21" s="4">
        <v>5.4482678220159407E-4</v>
      </c>
      <c r="F21" s="4">
        <v>3.3311967336704267E-4</v>
      </c>
      <c r="G21" s="4">
        <v>1.2220584700438155E-3</v>
      </c>
      <c r="H21" s="4">
        <v>2.235755434731077E-3</v>
      </c>
    </row>
    <row r="22" spans="1:8" x14ac:dyDescent="0.35">
      <c r="A22" s="27" t="s">
        <v>45</v>
      </c>
      <c r="B22" s="4">
        <v>4.76851710881066E-3</v>
      </c>
      <c r="C22" s="6">
        <v>2.3235693965086993E-3</v>
      </c>
      <c r="D22" s="4">
        <v>8.2617403645732224E-4</v>
      </c>
      <c r="E22" s="4">
        <v>1.7111608790390599E-4</v>
      </c>
      <c r="F22" s="4">
        <v>2.1901873203043326E-4</v>
      </c>
      <c r="G22" s="4">
        <v>7.4781284407517037E-4</v>
      </c>
      <c r="H22" s="4">
        <v>1.050649237117678E-3</v>
      </c>
    </row>
    <row r="23" spans="1:8" x14ac:dyDescent="0.35">
      <c r="A23" s="27" t="s">
        <v>46</v>
      </c>
      <c r="B23" s="4">
        <v>7.0823263722762583E-2</v>
      </c>
      <c r="C23" s="6">
        <v>3.8773252569566999E-2</v>
      </c>
      <c r="D23" s="4">
        <v>8.6968827305334423E-3</v>
      </c>
      <c r="E23" s="4">
        <v>6.517021087252702E-3</v>
      </c>
      <c r="F23" s="4">
        <v>3.3905111456812441E-3</v>
      </c>
      <c r="G23" s="4">
        <v>5.0362885716485712E-3</v>
      </c>
      <c r="H23" s="4">
        <v>1.4774874871882213E-2</v>
      </c>
    </row>
    <row r="24" spans="1:8" x14ac:dyDescent="0.35">
      <c r="A24" s="27" t="s">
        <v>47</v>
      </c>
      <c r="B24" s="4">
        <v>5.6560182139863433E-4</v>
      </c>
      <c r="C24" s="6">
        <v>1.0981691390143278E-4</v>
      </c>
      <c r="D24" s="4">
        <v>2.029483973159218E-4</v>
      </c>
      <c r="E24" s="4">
        <v>0</v>
      </c>
      <c r="F24" s="4">
        <v>1.3526668816831155E-4</v>
      </c>
      <c r="G24" s="4">
        <v>1.7749862304904305E-4</v>
      </c>
      <c r="H24" s="4">
        <v>6.7681709147610267E-5</v>
      </c>
    </row>
    <row r="25" spans="1:8" x14ac:dyDescent="0.35">
      <c r="A25" s="27" t="s">
        <v>48</v>
      </c>
      <c r="B25" s="4">
        <v>1.6458579337261096E-4</v>
      </c>
      <c r="C25" s="6">
        <v>0</v>
      </c>
      <c r="D25" s="4">
        <v>0</v>
      </c>
      <c r="E25" s="4">
        <v>0</v>
      </c>
      <c r="F25" s="4">
        <v>0</v>
      </c>
      <c r="G25" s="4">
        <v>0</v>
      </c>
      <c r="H25" s="4">
        <v>1.6458579337261096E-4</v>
      </c>
    </row>
    <row r="26" spans="1:8" x14ac:dyDescent="0.35">
      <c r="A26" s="27" t="s">
        <v>49</v>
      </c>
      <c r="B26" s="4">
        <v>0</v>
      </c>
      <c r="C26" s="6">
        <v>0</v>
      </c>
      <c r="D26" s="4">
        <v>0</v>
      </c>
      <c r="E26" s="4">
        <v>0</v>
      </c>
      <c r="F26" s="4">
        <v>0</v>
      </c>
      <c r="G26" s="4">
        <v>0</v>
      </c>
      <c r="H26" s="4">
        <v>0</v>
      </c>
    </row>
    <row r="27" spans="1:8" x14ac:dyDescent="0.35">
      <c r="A27" s="27" t="s">
        <v>50</v>
      </c>
      <c r="B27" s="4">
        <v>1.4591367314411611E-3</v>
      </c>
      <c r="C27" s="6">
        <v>7.818507399749091E-4</v>
      </c>
      <c r="D27" s="4">
        <v>2.6397048861278194E-4</v>
      </c>
      <c r="E27" s="4">
        <v>9.9612836973072711E-5</v>
      </c>
      <c r="F27" s="4">
        <v>1.3197824570615569E-4</v>
      </c>
      <c r="G27" s="4">
        <v>1.9810602276218838E-4</v>
      </c>
      <c r="H27" s="4">
        <v>1.3061464400476388E-4</v>
      </c>
    </row>
    <row r="28" spans="1:8" x14ac:dyDescent="0.35">
      <c r="A28" s="27" t="s">
        <v>51</v>
      </c>
      <c r="B28" s="4">
        <v>0</v>
      </c>
      <c r="C28" s="6">
        <v>0</v>
      </c>
      <c r="D28" s="4">
        <v>0</v>
      </c>
      <c r="E28" s="4">
        <v>0</v>
      </c>
      <c r="F28" s="4">
        <v>0</v>
      </c>
      <c r="G28" s="4">
        <v>0</v>
      </c>
      <c r="H28" s="4">
        <v>0</v>
      </c>
    </row>
    <row r="29" spans="1:8" x14ac:dyDescent="0.35">
      <c r="A29" s="27" t="s">
        <v>52</v>
      </c>
      <c r="B29" s="4">
        <v>0</v>
      </c>
      <c r="C29" s="6">
        <v>0</v>
      </c>
      <c r="D29" s="4">
        <v>0</v>
      </c>
      <c r="E29" s="4">
        <v>0</v>
      </c>
      <c r="F29" s="4">
        <v>0</v>
      </c>
      <c r="G29" s="4">
        <v>0</v>
      </c>
      <c r="H29" s="4">
        <v>0</v>
      </c>
    </row>
    <row r="30" spans="1:8" x14ac:dyDescent="0.35">
      <c r="A30" s="27" t="s">
        <v>53</v>
      </c>
      <c r="B30" s="4">
        <v>2.0240685464990174E-4</v>
      </c>
      <c r="C30" s="6">
        <v>0</v>
      </c>
      <c r="D30" s="4">
        <v>0</v>
      </c>
      <c r="E30" s="4">
        <v>0</v>
      </c>
      <c r="F30" s="4">
        <v>0</v>
      </c>
      <c r="G30" s="4">
        <v>0</v>
      </c>
      <c r="H30" s="4">
        <v>1.152546995747153E-4</v>
      </c>
    </row>
    <row r="31" spans="1:8" x14ac:dyDescent="0.35">
      <c r="A31" s="27" t="s">
        <v>54</v>
      </c>
      <c r="B31" s="4">
        <v>0</v>
      </c>
      <c r="C31" s="6">
        <v>0</v>
      </c>
      <c r="D31" s="4">
        <v>0</v>
      </c>
      <c r="E31" s="4">
        <v>0</v>
      </c>
      <c r="F31" s="4">
        <v>0</v>
      </c>
      <c r="G31" s="4">
        <v>0</v>
      </c>
      <c r="H31" s="4">
        <v>0</v>
      </c>
    </row>
    <row r="32" spans="1:8" x14ac:dyDescent="0.35">
      <c r="A32" s="27" t="s">
        <v>55</v>
      </c>
      <c r="B32" s="4">
        <v>4.9489978748838961E-5</v>
      </c>
      <c r="C32" s="6">
        <v>0</v>
      </c>
      <c r="D32" s="4">
        <v>4.9489978748838961E-5</v>
      </c>
      <c r="E32" s="4">
        <v>0</v>
      </c>
      <c r="F32" s="4">
        <v>0</v>
      </c>
      <c r="G32" s="4">
        <v>0</v>
      </c>
      <c r="H32" s="4">
        <v>0</v>
      </c>
    </row>
    <row r="33" spans="1:8" x14ac:dyDescent="0.35">
      <c r="A33" s="27" t="s">
        <v>56</v>
      </c>
      <c r="B33" s="4">
        <v>1.2459626779598405E-4</v>
      </c>
      <c r="C33" s="6">
        <v>0</v>
      </c>
      <c r="D33" s="4">
        <v>0</v>
      </c>
      <c r="E33" s="4">
        <v>0</v>
      </c>
      <c r="F33" s="4">
        <v>1.2459626779598405E-4</v>
      </c>
      <c r="G33" s="4">
        <v>0</v>
      </c>
      <c r="H33" s="4">
        <v>1.2459626779598405E-4</v>
      </c>
    </row>
    <row r="34" spans="1:8" x14ac:dyDescent="0.35">
      <c r="A34" s="27" t="s">
        <v>57</v>
      </c>
      <c r="B34" s="4">
        <v>3.7076429158924271E-3</v>
      </c>
      <c r="C34" s="6">
        <v>6.3377940003548348E-4</v>
      </c>
      <c r="D34" s="4">
        <v>4.5477087994392476E-4</v>
      </c>
      <c r="E34" s="4">
        <v>7.7027449793444416E-4</v>
      </c>
      <c r="F34" s="4">
        <v>1.1030801060125115E-3</v>
      </c>
      <c r="G34" s="4">
        <v>9.1257506716144686E-4</v>
      </c>
      <c r="H34" s="4">
        <v>2.5765875219613623E-4</v>
      </c>
    </row>
    <row r="35" spans="1:8" x14ac:dyDescent="0.35">
      <c r="A35" s="27" t="s">
        <v>58</v>
      </c>
      <c r="B35" s="4">
        <v>0</v>
      </c>
      <c r="C35" s="6">
        <v>0</v>
      </c>
      <c r="D35" s="4">
        <v>0</v>
      </c>
      <c r="E35" s="4">
        <v>0</v>
      </c>
      <c r="F35" s="4">
        <v>0</v>
      </c>
      <c r="G35" s="4">
        <v>0</v>
      </c>
      <c r="H35" s="4">
        <v>0</v>
      </c>
    </row>
    <row r="36" spans="1:8" x14ac:dyDescent="0.35">
      <c r="A36" s="27" t="s">
        <v>59</v>
      </c>
      <c r="B36" s="4">
        <v>1.1145202866786276E-2</v>
      </c>
      <c r="C36" s="6">
        <v>3.7076406230475764E-4</v>
      </c>
      <c r="D36" s="4">
        <v>4.7829544625765561E-4</v>
      </c>
      <c r="E36" s="4">
        <v>5.3701884106664819E-4</v>
      </c>
      <c r="F36" s="4">
        <v>2.8725655264726666E-4</v>
      </c>
      <c r="G36" s="4">
        <v>1.0981691390143278E-4</v>
      </c>
      <c r="H36" s="4">
        <v>1.5138922479730362E-3</v>
      </c>
    </row>
    <row r="37" spans="1:8" x14ac:dyDescent="0.35">
      <c r="A37" s="27" t="s">
        <v>60</v>
      </c>
      <c r="B37" s="4">
        <v>1.7014838996910449E-3</v>
      </c>
      <c r="C37" s="6">
        <v>1.115234969716414E-3</v>
      </c>
      <c r="D37" s="4">
        <v>2.6061460461456463E-4</v>
      </c>
      <c r="E37" s="4">
        <v>0</v>
      </c>
      <c r="F37" s="4">
        <v>6.2214186431801743E-4</v>
      </c>
      <c r="G37" s="4">
        <v>2.892335727410729E-4</v>
      </c>
      <c r="H37" s="4">
        <v>0</v>
      </c>
    </row>
    <row r="38" spans="1:8" x14ac:dyDescent="0.35">
      <c r="A38" s="27" t="s">
        <v>61</v>
      </c>
      <c r="B38" s="4">
        <v>1.5233923121510385E-4</v>
      </c>
      <c r="C38" s="6">
        <v>0</v>
      </c>
      <c r="D38" s="4">
        <v>1.5233923121510385E-4</v>
      </c>
      <c r="E38" s="4">
        <v>0</v>
      </c>
      <c r="F38" s="4">
        <v>0</v>
      </c>
      <c r="G38" s="4">
        <v>0</v>
      </c>
      <c r="H38" s="4">
        <v>0</v>
      </c>
    </row>
    <row r="39" spans="1:8" x14ac:dyDescent="0.35">
      <c r="A39" s="27" t="s">
        <v>62</v>
      </c>
      <c r="B39" s="4">
        <v>1.3387202431229578E-3</v>
      </c>
      <c r="C39" s="6">
        <v>1.3937128337247929E-4</v>
      </c>
      <c r="D39" s="4">
        <v>3.5770320591016269E-4</v>
      </c>
      <c r="E39" s="4">
        <v>0</v>
      </c>
      <c r="F39" s="4">
        <v>1.595587793602227E-4</v>
      </c>
      <c r="G39" s="4">
        <v>0</v>
      </c>
      <c r="H39" s="4">
        <v>5.1140357182228365E-4</v>
      </c>
    </row>
    <row r="40" spans="1:8" x14ac:dyDescent="0.35">
      <c r="A40" s="27" t="s">
        <v>63</v>
      </c>
      <c r="B40" s="4">
        <v>1.6804286521203821E-3</v>
      </c>
      <c r="C40" s="6">
        <v>3.215994730812545E-4</v>
      </c>
      <c r="D40" s="4">
        <v>0</v>
      </c>
      <c r="E40" s="4">
        <v>0</v>
      </c>
      <c r="F40" s="4">
        <v>1.3588291790391275E-3</v>
      </c>
      <c r="G40" s="4">
        <v>0</v>
      </c>
      <c r="H40" s="4">
        <v>0</v>
      </c>
    </row>
    <row r="41" spans="1:8" x14ac:dyDescent="0.35">
      <c r="A41" s="27" t="s">
        <v>64</v>
      </c>
      <c r="B41" s="4">
        <v>3.3819337766862155E-2</v>
      </c>
      <c r="C41" s="6">
        <v>1.974267416049591E-2</v>
      </c>
      <c r="D41" s="4">
        <v>4.3122522117387749E-3</v>
      </c>
      <c r="E41" s="4">
        <v>2.6470152345390791E-3</v>
      </c>
      <c r="F41" s="4">
        <v>1.0792171690456537E-3</v>
      </c>
      <c r="G41" s="4">
        <v>2.8830655388691088E-3</v>
      </c>
      <c r="H41" s="4">
        <v>6.275285098625542E-3</v>
      </c>
    </row>
    <row r="42" spans="1:8" x14ac:dyDescent="0.35">
      <c r="A42" s="27" t="s">
        <v>65</v>
      </c>
      <c r="B42" s="4">
        <v>1.2326647419257154E-4</v>
      </c>
      <c r="C42" s="6">
        <v>0</v>
      </c>
      <c r="D42" s="4">
        <v>0</v>
      </c>
      <c r="E42" s="4">
        <v>0</v>
      </c>
      <c r="F42" s="4">
        <v>0</v>
      </c>
      <c r="G42" s="4">
        <v>0</v>
      </c>
      <c r="H42" s="4">
        <v>0</v>
      </c>
    </row>
    <row r="43" spans="1:8" x14ac:dyDescent="0.35">
      <c r="A43" s="27" t="s">
        <v>293</v>
      </c>
      <c r="B43" s="4">
        <v>1.5623070878920133E-3</v>
      </c>
      <c r="C43" s="6">
        <v>2.6447964643869378E-4</v>
      </c>
      <c r="D43" s="4">
        <v>1.3241476594289754E-4</v>
      </c>
      <c r="E43" s="4">
        <v>5.1838280776915426E-4</v>
      </c>
      <c r="F43" s="4">
        <v>6.1732582658247993E-4</v>
      </c>
      <c r="G43" s="4">
        <v>5.0271874510070106E-4</v>
      </c>
      <c r="H43" s="4">
        <v>1.3241476594289754E-4</v>
      </c>
    </row>
    <row r="44" spans="1:8" x14ac:dyDescent="0.35">
      <c r="A44" s="27" t="s">
        <v>66</v>
      </c>
      <c r="B44" s="4">
        <v>0</v>
      </c>
      <c r="C44" s="6">
        <v>0</v>
      </c>
      <c r="D44" s="4">
        <v>0</v>
      </c>
      <c r="E44" s="4">
        <v>0</v>
      </c>
      <c r="F44" s="4">
        <v>0</v>
      </c>
      <c r="G44" s="4">
        <v>0</v>
      </c>
      <c r="H44" s="4">
        <v>0</v>
      </c>
    </row>
    <row r="45" spans="1:8" x14ac:dyDescent="0.35">
      <c r="A45" s="27" t="s">
        <v>67</v>
      </c>
      <c r="B45" s="4">
        <v>1.6529292699026359E-2</v>
      </c>
      <c r="C45" s="6">
        <v>1.25445758361455E-3</v>
      </c>
      <c r="D45" s="4">
        <v>5.4594198019130603E-4</v>
      </c>
      <c r="E45" s="4">
        <v>4.2014944863153349E-4</v>
      </c>
      <c r="F45" s="4">
        <v>2.3379608451577739E-4</v>
      </c>
      <c r="G45" s="4">
        <v>9.941619481188776E-4</v>
      </c>
      <c r="H45" s="4">
        <v>1.0806770689258287E-3</v>
      </c>
    </row>
    <row r="46" spans="1:8" x14ac:dyDescent="0.35">
      <c r="A46" s="27" t="s">
        <v>68</v>
      </c>
      <c r="B46" s="4">
        <v>3.0066129827237099E-2</v>
      </c>
      <c r="C46" s="6">
        <v>4.7010754503126716E-3</v>
      </c>
      <c r="D46" s="4">
        <v>1.84701857354949E-3</v>
      </c>
      <c r="E46" s="4">
        <v>1.5644671346769616E-3</v>
      </c>
      <c r="F46" s="4">
        <v>1.6981603644113288E-2</v>
      </c>
      <c r="G46" s="4">
        <v>2.4290078650574662E-3</v>
      </c>
      <c r="H46" s="4">
        <v>4.1610974804287045E-3</v>
      </c>
    </row>
    <row r="47" spans="1:8" x14ac:dyDescent="0.35">
      <c r="A47" s="27" t="s">
        <v>69</v>
      </c>
      <c r="B47" s="4">
        <v>5.6664194908706965E-2</v>
      </c>
      <c r="C47" s="6">
        <v>6.4529122313210247E-3</v>
      </c>
      <c r="D47" s="4">
        <v>4.1065054122970818E-3</v>
      </c>
      <c r="E47" s="4">
        <v>1.9950853336417702E-3</v>
      </c>
      <c r="F47" s="4">
        <v>3.9290945323184924E-2</v>
      </c>
      <c r="G47" s="4">
        <v>4.1142905236565231E-3</v>
      </c>
      <c r="H47" s="4">
        <v>5.6557761798017372E-3</v>
      </c>
    </row>
    <row r="48" spans="1:8" x14ac:dyDescent="0.35">
      <c r="A48" s="27" t="s">
        <v>70</v>
      </c>
      <c r="B48" s="4">
        <v>1.8118371174955354E-4</v>
      </c>
      <c r="C48" s="6">
        <v>1.8118371174955354E-4</v>
      </c>
      <c r="D48" s="4">
        <v>0</v>
      </c>
      <c r="E48" s="4">
        <v>0</v>
      </c>
      <c r="F48" s="4">
        <v>0</v>
      </c>
      <c r="G48" s="4">
        <v>6.573750025824646E-5</v>
      </c>
      <c r="H48" s="4">
        <v>0</v>
      </c>
    </row>
    <row r="49" spans="1:8" x14ac:dyDescent="0.35">
      <c r="A49" s="27" t="s">
        <v>71</v>
      </c>
      <c r="B49" s="4">
        <v>8.5669331433397547E-4</v>
      </c>
      <c r="C49" s="6">
        <v>2.0730331856147894E-4</v>
      </c>
      <c r="D49" s="4">
        <v>1.5644091808386502E-4</v>
      </c>
      <c r="E49" s="4">
        <v>3.2455242096116434E-4</v>
      </c>
      <c r="F49" s="4">
        <v>0</v>
      </c>
      <c r="G49" s="4">
        <v>9.6367545859404465E-5</v>
      </c>
      <c r="H49" s="4">
        <v>0</v>
      </c>
    </row>
    <row r="50" spans="1:8" x14ac:dyDescent="0.35">
      <c r="A50" s="27" t="s">
        <v>72</v>
      </c>
      <c r="B50" s="4">
        <v>2.0495490068693088E-4</v>
      </c>
      <c r="C50" s="6">
        <v>1.1093577270207445E-4</v>
      </c>
      <c r="D50" s="4">
        <v>1.1093577270207445E-4</v>
      </c>
      <c r="E50" s="4">
        <v>0</v>
      </c>
      <c r="F50" s="4">
        <v>0</v>
      </c>
      <c r="G50" s="4">
        <v>0</v>
      </c>
      <c r="H50" s="4">
        <v>9.4019127984856405E-5</v>
      </c>
    </row>
    <row r="51" spans="1:8" x14ac:dyDescent="0.35">
      <c r="A51" s="27" t="s">
        <v>73</v>
      </c>
      <c r="B51" s="4">
        <v>0</v>
      </c>
      <c r="C51" s="6">
        <v>0</v>
      </c>
      <c r="D51" s="4">
        <v>0</v>
      </c>
      <c r="E51" s="4">
        <v>0</v>
      </c>
      <c r="F51" s="4">
        <v>0</v>
      </c>
      <c r="G51" s="4">
        <v>0</v>
      </c>
      <c r="H51" s="4">
        <v>0</v>
      </c>
    </row>
    <row r="52" spans="1:8" x14ac:dyDescent="0.35">
      <c r="A52" s="27" t="s">
        <v>74</v>
      </c>
      <c r="B52" s="4">
        <v>2.4551842597413744E-4</v>
      </c>
      <c r="C52" s="6">
        <v>0</v>
      </c>
      <c r="D52" s="4">
        <v>0</v>
      </c>
      <c r="E52" s="4">
        <v>0</v>
      </c>
      <c r="F52" s="4">
        <v>1.3061464400476388E-4</v>
      </c>
      <c r="G52" s="4">
        <v>0</v>
      </c>
      <c r="H52" s="4">
        <v>2.4551842597413744E-4</v>
      </c>
    </row>
    <row r="53" spans="1:8" x14ac:dyDescent="0.35">
      <c r="A53" s="27" t="s">
        <v>75</v>
      </c>
      <c r="B53" s="4">
        <v>1.7416751343798801E-3</v>
      </c>
      <c r="C53" s="6">
        <v>4.2467274881918989E-4</v>
      </c>
      <c r="D53" s="4">
        <v>3.0769849362518431E-4</v>
      </c>
      <c r="E53" s="4">
        <v>2.2936692263879709E-4</v>
      </c>
      <c r="F53" s="4">
        <v>5.4364710594705708E-4</v>
      </c>
      <c r="G53" s="4">
        <v>4.4433024609350045E-4</v>
      </c>
      <c r="H53" s="4">
        <v>6.3146557342468206E-5</v>
      </c>
    </row>
    <row r="54" spans="1:8" x14ac:dyDescent="0.35">
      <c r="A54" s="27" t="s">
        <v>76</v>
      </c>
      <c r="B54" s="4">
        <v>5.492511895414928E-4</v>
      </c>
      <c r="C54" s="6">
        <v>1.4617159384159602E-4</v>
      </c>
      <c r="D54" s="4">
        <v>7.627206405516901E-5</v>
      </c>
      <c r="E54" s="4">
        <v>7.627206405516901E-5</v>
      </c>
      <c r="F54" s="4">
        <v>0</v>
      </c>
      <c r="G54" s="4">
        <v>0</v>
      </c>
      <c r="H54" s="4">
        <v>4.7297912548632386E-4</v>
      </c>
    </row>
    <row r="55" spans="1:8" x14ac:dyDescent="0.35">
      <c r="A55" s="27" t="s">
        <v>77</v>
      </c>
      <c r="B55" s="4">
        <v>8.722961549393187E-4</v>
      </c>
      <c r="C55" s="6">
        <v>4.2561766022727816E-4</v>
      </c>
      <c r="D55" s="4">
        <v>1.3241476594289754E-4</v>
      </c>
      <c r="E55" s="4">
        <v>1.3241476594289754E-4</v>
      </c>
      <c r="F55" s="4">
        <v>5.308657457593533E-4</v>
      </c>
      <c r="G55" s="4">
        <v>3.1279491590537165E-4</v>
      </c>
      <c r="H55" s="4">
        <v>3.2669581558180457E-4</v>
      </c>
    </row>
    <row r="56" spans="1:8" x14ac:dyDescent="0.35">
      <c r="A56" s="27" t="s">
        <v>78</v>
      </c>
      <c r="B56" s="4">
        <v>2.0704251150676389E-3</v>
      </c>
      <c r="C56" s="6">
        <v>1.3963416600963196E-4</v>
      </c>
      <c r="D56" s="4">
        <v>1.4780807144771957E-4</v>
      </c>
      <c r="E56" s="4">
        <v>0</v>
      </c>
      <c r="F56" s="4">
        <v>0</v>
      </c>
      <c r="G56" s="4">
        <v>6.6877060622560483E-5</v>
      </c>
      <c r="H56" s="4">
        <v>2.3411258882175196E-4</v>
      </c>
    </row>
    <row r="57" spans="1:8" x14ac:dyDescent="0.35">
      <c r="A57" s="27" t="s">
        <v>79</v>
      </c>
      <c r="B57" s="4">
        <v>1.5734661747793942E-2</v>
      </c>
      <c r="C57" s="6">
        <v>2.6860855100412449E-3</v>
      </c>
      <c r="D57" s="4">
        <v>1.6864008491074159E-3</v>
      </c>
      <c r="E57" s="4">
        <v>3.7971554420290362E-3</v>
      </c>
      <c r="F57" s="4">
        <v>3.6263263258621697E-3</v>
      </c>
      <c r="G57" s="4">
        <v>2.9757234298376542E-3</v>
      </c>
      <c r="H57" s="4">
        <v>2.7236037309312268E-3</v>
      </c>
    </row>
    <row r="58" spans="1:8" x14ac:dyDescent="0.35">
      <c r="A58" s="27" t="s">
        <v>80</v>
      </c>
      <c r="B58" s="4">
        <v>2.3813796605323827E-4</v>
      </c>
      <c r="C58" s="6">
        <v>0</v>
      </c>
      <c r="D58" s="4">
        <v>1.0382508404187696E-4</v>
      </c>
      <c r="E58" s="4">
        <v>0</v>
      </c>
      <c r="F58" s="4">
        <v>0</v>
      </c>
      <c r="G58" s="4">
        <v>0</v>
      </c>
      <c r="H58" s="4">
        <v>2.3813796605323827E-4</v>
      </c>
    </row>
    <row r="59" spans="1:8" x14ac:dyDescent="0.35">
      <c r="A59" s="27" t="s">
        <v>81</v>
      </c>
      <c r="B59" s="4">
        <v>3.3353303388354631E-4</v>
      </c>
      <c r="C59" s="6">
        <v>8.2746015155150501E-5</v>
      </c>
      <c r="D59" s="4">
        <v>8.7152155075186438E-5</v>
      </c>
      <c r="E59" s="4">
        <v>0</v>
      </c>
      <c r="F59" s="4">
        <v>8.2746015155150501E-5</v>
      </c>
      <c r="G59" s="4">
        <v>0</v>
      </c>
      <c r="H59" s="4">
        <v>1.5042772430276077E-4</v>
      </c>
    </row>
    <row r="60" spans="1:8" x14ac:dyDescent="0.35">
      <c r="A60" s="27" t="s">
        <v>82</v>
      </c>
      <c r="B60" s="4">
        <v>0.14306477174492235</v>
      </c>
      <c r="C60" s="6">
        <v>7.3049110303769274E-2</v>
      </c>
      <c r="D60" s="4">
        <v>2.0531102616289192E-2</v>
      </c>
      <c r="E60" s="4">
        <v>8.5337024614468987E-3</v>
      </c>
      <c r="F60" s="4">
        <v>1.2346588869751101E-2</v>
      </c>
      <c r="G60" s="4">
        <v>8.8058741731743412E-3</v>
      </c>
      <c r="H60" s="4">
        <v>2.7027498040833604E-2</v>
      </c>
    </row>
    <row r="61" spans="1:8" x14ac:dyDescent="0.35">
      <c r="A61" s="27" t="s">
        <v>83</v>
      </c>
      <c r="B61" s="4">
        <v>2.5397653963129272E-4</v>
      </c>
      <c r="C61" s="6">
        <v>1.3787787470439313E-4</v>
      </c>
      <c r="D61" s="4">
        <v>1.3787787470439313E-4</v>
      </c>
      <c r="E61" s="4">
        <v>0</v>
      </c>
      <c r="F61" s="4">
        <v>1.1609866492689959E-4</v>
      </c>
      <c r="G61" s="4">
        <v>0</v>
      </c>
      <c r="H61" s="4">
        <v>1.3787787470439313E-4</v>
      </c>
    </row>
    <row r="62" spans="1:8" x14ac:dyDescent="0.35">
      <c r="A62" s="27" t="s">
        <v>84</v>
      </c>
      <c r="B62" s="4">
        <v>2.9775675973518057E-4</v>
      </c>
      <c r="C62" s="6">
        <v>1.2842807166685741E-4</v>
      </c>
      <c r="D62" s="4">
        <v>0</v>
      </c>
      <c r="E62" s="4">
        <v>0</v>
      </c>
      <c r="F62" s="4">
        <v>1.2842807166685741E-4</v>
      </c>
      <c r="G62" s="4">
        <v>0</v>
      </c>
      <c r="H62" s="4">
        <v>0</v>
      </c>
    </row>
    <row r="63" spans="1:8" x14ac:dyDescent="0.35">
      <c r="A63" s="27" t="s">
        <v>85</v>
      </c>
      <c r="B63" s="4">
        <v>0</v>
      </c>
      <c r="C63" s="6">
        <v>0</v>
      </c>
      <c r="D63" s="4">
        <v>0</v>
      </c>
      <c r="E63" s="4">
        <v>0</v>
      </c>
      <c r="F63" s="4">
        <v>0</v>
      </c>
      <c r="G63" s="4">
        <v>0</v>
      </c>
      <c r="H63" s="4">
        <v>0</v>
      </c>
    </row>
    <row r="64" spans="1:8" x14ac:dyDescent="0.35">
      <c r="A64" s="27" t="s">
        <v>86</v>
      </c>
      <c r="B64" s="4">
        <v>5.4908296390806478E-3</v>
      </c>
      <c r="C64" s="6">
        <v>1.6786772648292518E-3</v>
      </c>
      <c r="D64" s="4">
        <v>8.6438142163588376E-4</v>
      </c>
      <c r="E64" s="4">
        <v>4.5592796119003356E-4</v>
      </c>
      <c r="F64" s="4">
        <v>1.1491437399991889E-3</v>
      </c>
      <c r="G64" s="4">
        <v>1.2454294348633902E-3</v>
      </c>
      <c r="H64" s="4">
        <v>4.4519655002641073E-4</v>
      </c>
    </row>
    <row r="65" spans="1:8" x14ac:dyDescent="0.35">
      <c r="A65" s="27" t="s">
        <v>87</v>
      </c>
      <c r="B65" s="4">
        <v>2.8869860526964028E-4</v>
      </c>
      <c r="C65" s="6">
        <v>1.3787787470439313E-4</v>
      </c>
      <c r="D65" s="4">
        <v>1.3787787470439313E-4</v>
      </c>
      <c r="E65" s="4">
        <v>0</v>
      </c>
      <c r="F65" s="4">
        <v>0</v>
      </c>
      <c r="G65" s="4">
        <v>1.5082073056524716E-4</v>
      </c>
      <c r="H65" s="4">
        <v>2.8869860526964028E-4</v>
      </c>
    </row>
    <row r="66" spans="1:8" x14ac:dyDescent="0.35">
      <c r="A66" s="27" t="s">
        <v>88</v>
      </c>
      <c r="B66" s="4">
        <v>1.0934552483645109E-3</v>
      </c>
      <c r="C66" s="6">
        <v>1.3799390513136463E-4</v>
      </c>
      <c r="D66" s="4">
        <v>4.6639493607305508E-4</v>
      </c>
      <c r="E66" s="4">
        <v>0</v>
      </c>
      <c r="F66" s="4">
        <v>2.8080761866443408E-4</v>
      </c>
      <c r="G66" s="4">
        <v>0</v>
      </c>
      <c r="H66" s="4">
        <v>0</v>
      </c>
    </row>
    <row r="67" spans="1:8" x14ac:dyDescent="0.35">
      <c r="A67" s="27" t="s">
        <v>89</v>
      </c>
      <c r="B67" s="4">
        <v>6.9725868464709115E-2</v>
      </c>
      <c r="C67" s="6">
        <v>1.5013988183625659E-2</v>
      </c>
      <c r="D67" s="4">
        <v>6.7659044182695463E-3</v>
      </c>
      <c r="E67" s="4">
        <v>1.3320342250173632E-2</v>
      </c>
      <c r="F67" s="4">
        <v>2.8951821453396732E-2</v>
      </c>
      <c r="G67" s="4">
        <v>2.9363096745894271E-3</v>
      </c>
      <c r="H67" s="4">
        <v>2.760218661673038E-3</v>
      </c>
    </row>
    <row r="68" spans="1:8" x14ac:dyDescent="0.35">
      <c r="A68" s="27" t="s">
        <v>90</v>
      </c>
      <c r="B68" s="4">
        <v>8.5988986559308318E-4</v>
      </c>
      <c r="C68" s="6">
        <v>0</v>
      </c>
      <c r="D68" s="4">
        <v>8.7152155075186438E-5</v>
      </c>
      <c r="E68" s="4">
        <v>7.7275670246240651E-5</v>
      </c>
      <c r="F68" s="4">
        <v>9.2743610148139942E-5</v>
      </c>
      <c r="G68" s="4">
        <v>0</v>
      </c>
      <c r="H68" s="4">
        <v>4.746236467750687E-4</v>
      </c>
    </row>
    <row r="69" spans="1:8" x14ac:dyDescent="0.35">
      <c r="A69" s="27" t="s">
        <v>91</v>
      </c>
      <c r="B69" s="4">
        <v>0</v>
      </c>
      <c r="C69" s="6">
        <v>0</v>
      </c>
      <c r="D69" s="4">
        <v>0</v>
      </c>
      <c r="E69" s="4">
        <v>0</v>
      </c>
      <c r="F69" s="4">
        <v>0</v>
      </c>
      <c r="G69" s="4">
        <v>0</v>
      </c>
      <c r="H69" s="4">
        <v>0</v>
      </c>
    </row>
    <row r="70" spans="1:8" x14ac:dyDescent="0.35">
      <c r="A70" s="27" t="s">
        <v>92</v>
      </c>
      <c r="B70" s="4">
        <v>1.0981536456219262E-2</v>
      </c>
      <c r="C70" s="6">
        <v>7.4647239870359065E-3</v>
      </c>
      <c r="D70" s="4">
        <v>1.5367267308318737E-3</v>
      </c>
      <c r="E70" s="4">
        <v>4.64517684074221E-4</v>
      </c>
      <c r="F70" s="4">
        <v>3.0395707674509025E-4</v>
      </c>
      <c r="G70" s="4">
        <v>6.4181647485428569E-4</v>
      </c>
      <c r="H70" s="4">
        <v>1.8678638370884628E-3</v>
      </c>
    </row>
    <row r="71" spans="1:8" x14ac:dyDescent="0.35">
      <c r="A71" s="27" t="s">
        <v>93</v>
      </c>
      <c r="B71" s="4">
        <v>3.0257969850397556E-4</v>
      </c>
      <c r="C71" s="6">
        <v>0</v>
      </c>
      <c r="D71" s="4">
        <v>1.6458579337261096E-4</v>
      </c>
      <c r="E71" s="4">
        <v>0</v>
      </c>
      <c r="F71" s="4">
        <v>1.3799390513136463E-4</v>
      </c>
      <c r="G71" s="4">
        <v>1.6458579337261096E-4</v>
      </c>
      <c r="H71" s="4">
        <v>1.6458579337261096E-4</v>
      </c>
    </row>
    <row r="72" spans="1:8" x14ac:dyDescent="0.35">
      <c r="A72" s="27" t="s">
        <v>94</v>
      </c>
      <c r="B72" s="4">
        <v>6.3722831257468488E-4</v>
      </c>
      <c r="C72" s="6">
        <v>2.5772897858907336E-4</v>
      </c>
      <c r="D72" s="4">
        <v>6.5666919590643479E-5</v>
      </c>
      <c r="E72" s="4">
        <v>0</v>
      </c>
      <c r="F72" s="4">
        <v>0</v>
      </c>
      <c r="G72" s="4">
        <v>2.3692682780500509E-4</v>
      </c>
      <c r="H72" s="4">
        <v>1.1291726623605087E-4</v>
      </c>
    </row>
    <row r="73" spans="1:8" x14ac:dyDescent="0.35">
      <c r="A73" s="27" t="s">
        <v>95</v>
      </c>
      <c r="B73" s="4">
        <v>1.3106337650958003E-4</v>
      </c>
      <c r="C73" s="6">
        <v>0</v>
      </c>
      <c r="D73" s="4">
        <v>1.3106337650958003E-4</v>
      </c>
      <c r="E73" s="4">
        <v>0</v>
      </c>
      <c r="F73" s="4">
        <v>0</v>
      </c>
      <c r="G73" s="4">
        <v>0</v>
      </c>
      <c r="H73" s="4">
        <v>0</v>
      </c>
    </row>
    <row r="74" spans="1:8" x14ac:dyDescent="0.35">
      <c r="A74" s="27" t="s">
        <v>96</v>
      </c>
      <c r="B74" s="4">
        <v>1.9147105972569865E-3</v>
      </c>
      <c r="C74" s="6">
        <v>0</v>
      </c>
      <c r="D74" s="4">
        <v>2.9800658742870406E-4</v>
      </c>
      <c r="E74" s="4">
        <v>3.4790243577520903E-4</v>
      </c>
      <c r="F74" s="4">
        <v>3.8279589126823132E-4</v>
      </c>
      <c r="G74" s="4">
        <v>3.8410372618744238E-4</v>
      </c>
      <c r="H74" s="4">
        <v>1.0981691390143278E-4</v>
      </c>
    </row>
    <row r="75" spans="1:8" x14ac:dyDescent="0.35">
      <c r="A75" s="27" t="s">
        <v>97</v>
      </c>
      <c r="B75" s="4">
        <v>2.7431769617114189E-4</v>
      </c>
      <c r="C75" s="6">
        <v>0</v>
      </c>
      <c r="D75" s="4">
        <v>0</v>
      </c>
      <c r="E75" s="4">
        <v>2.7431769617114189E-4</v>
      </c>
      <c r="F75" s="4">
        <v>2.7431769617114189E-4</v>
      </c>
      <c r="G75" s="4">
        <v>0</v>
      </c>
      <c r="H75" s="4">
        <v>0</v>
      </c>
    </row>
    <row r="76" spans="1:8" x14ac:dyDescent="0.35">
      <c r="A76" s="27" t="s">
        <v>98</v>
      </c>
      <c r="B76" s="4">
        <v>2.2316830951868622E-3</v>
      </c>
      <c r="C76" s="6">
        <v>9.2162725857002298E-4</v>
      </c>
      <c r="D76" s="4">
        <v>2.7124894323378879E-4</v>
      </c>
      <c r="E76" s="4">
        <v>4.2358817444889269E-4</v>
      </c>
      <c r="F76" s="4">
        <v>5.3338455485338646E-4</v>
      </c>
      <c r="G76" s="4">
        <v>2.1527819133490168E-4</v>
      </c>
      <c r="H76" s="4">
        <v>1.9919496634662338E-4</v>
      </c>
    </row>
    <row r="77" spans="1:8" x14ac:dyDescent="0.35">
      <c r="A77" s="27" t="s">
        <v>99</v>
      </c>
      <c r="B77" s="4">
        <v>6.6304579559862261E-3</v>
      </c>
      <c r="C77" s="6">
        <v>1.6056240888157464E-3</v>
      </c>
      <c r="D77" s="4">
        <v>8.6448009884889862E-4</v>
      </c>
      <c r="E77" s="4">
        <v>5.7220592804965134E-4</v>
      </c>
      <c r="F77" s="4">
        <v>3.7271664953800127E-3</v>
      </c>
      <c r="G77" s="4">
        <v>2.1870010161655659E-4</v>
      </c>
      <c r="H77" s="4">
        <v>2.8621319329201771E-4</v>
      </c>
    </row>
    <row r="78" spans="1:8" x14ac:dyDescent="0.35">
      <c r="A78" s="27" t="s">
        <v>100</v>
      </c>
      <c r="B78" s="4">
        <v>1.8591948139160899E-2</v>
      </c>
      <c r="C78" s="6">
        <v>3.2788297699442174E-3</v>
      </c>
      <c r="D78" s="4">
        <v>1.7654607582269801E-3</v>
      </c>
      <c r="E78" s="4">
        <v>1.100054735555137E-3</v>
      </c>
      <c r="F78" s="4">
        <v>1.0830244491664465E-2</v>
      </c>
      <c r="G78" s="4">
        <v>1.9379020087788952E-3</v>
      </c>
      <c r="H78" s="4">
        <v>1.2394188101884347E-3</v>
      </c>
    </row>
    <row r="79" spans="1:8" x14ac:dyDescent="0.35">
      <c r="A79" s="27" t="s">
        <v>101</v>
      </c>
      <c r="B79" s="4">
        <v>1.9901554832889724E-4</v>
      </c>
      <c r="C79" s="6">
        <v>1.9901554832889724E-4</v>
      </c>
      <c r="D79" s="4">
        <v>0</v>
      </c>
      <c r="E79" s="4">
        <v>0</v>
      </c>
      <c r="F79" s="4">
        <v>6.5666919590643479E-5</v>
      </c>
      <c r="G79" s="4">
        <v>0</v>
      </c>
      <c r="H79" s="4">
        <v>6.5666919590643479E-5</v>
      </c>
    </row>
    <row r="80" spans="1:8" x14ac:dyDescent="0.35">
      <c r="A80" s="27" t="s">
        <v>102</v>
      </c>
      <c r="B80" s="4">
        <v>6.5666919590643479E-5</v>
      </c>
      <c r="C80" s="6">
        <v>6.5666919590643479E-5</v>
      </c>
      <c r="D80" s="4">
        <v>0</v>
      </c>
      <c r="E80" s="4">
        <v>0</v>
      </c>
      <c r="F80" s="4">
        <v>6.5666919590643479E-5</v>
      </c>
      <c r="G80" s="4">
        <v>0</v>
      </c>
      <c r="H80" s="4">
        <v>6.5666919590643479E-5</v>
      </c>
    </row>
    <row r="81" spans="1:8" x14ac:dyDescent="0.35">
      <c r="A81" s="27" t="s">
        <v>103</v>
      </c>
      <c r="B81" s="4">
        <v>0</v>
      </c>
      <c r="C81" s="6">
        <v>0</v>
      </c>
      <c r="D81" s="4">
        <v>0</v>
      </c>
      <c r="E81" s="4">
        <v>0</v>
      </c>
      <c r="F81" s="4">
        <v>0</v>
      </c>
      <c r="G81" s="4">
        <v>0</v>
      </c>
      <c r="H81" s="4">
        <v>0</v>
      </c>
    </row>
    <row r="82" spans="1:8" x14ac:dyDescent="0.35">
      <c r="A82" s="27" t="s">
        <v>104</v>
      </c>
      <c r="B82" s="4">
        <v>9.7039302264731193E-4</v>
      </c>
      <c r="C82" s="6">
        <v>0</v>
      </c>
      <c r="D82" s="4">
        <v>0</v>
      </c>
      <c r="E82" s="4">
        <v>1.2843875078355642E-4</v>
      </c>
      <c r="F82" s="4">
        <v>4.9783037059494644E-4</v>
      </c>
      <c r="G82" s="4">
        <v>2.5697174619362261E-4</v>
      </c>
      <c r="H82" s="4">
        <v>0</v>
      </c>
    </row>
    <row r="83" spans="1:8" x14ac:dyDescent="0.35">
      <c r="A83" s="27" t="s">
        <v>105</v>
      </c>
      <c r="B83" s="4">
        <v>5.5878173595922905E-4</v>
      </c>
      <c r="C83" s="6">
        <v>3.8779111406619802E-4</v>
      </c>
      <c r="D83" s="4">
        <v>8.8443946582218309E-5</v>
      </c>
      <c r="E83" s="4">
        <v>0</v>
      </c>
      <c r="F83" s="4">
        <v>1.5136860614391241E-4</v>
      </c>
      <c r="G83" s="4">
        <v>1.5136860614391241E-4</v>
      </c>
      <c r="H83" s="4">
        <v>2.339152814547251E-4</v>
      </c>
    </row>
    <row r="84" spans="1:8" x14ac:dyDescent="0.35">
      <c r="A84" s="27" t="s">
        <v>106</v>
      </c>
      <c r="B84" s="4">
        <v>1.6605125656490966E-4</v>
      </c>
      <c r="C84" s="6">
        <v>1.6605125656490966E-4</v>
      </c>
      <c r="D84" s="4">
        <v>0</v>
      </c>
      <c r="E84" s="4">
        <v>0</v>
      </c>
      <c r="F84" s="4">
        <v>1.6605125656490966E-4</v>
      </c>
      <c r="G84" s="4">
        <v>0</v>
      </c>
      <c r="H84" s="4">
        <v>0</v>
      </c>
    </row>
    <row r="85" spans="1:8" x14ac:dyDescent="0.35">
      <c r="A85" s="27" t="s">
        <v>107</v>
      </c>
      <c r="B85" s="4">
        <v>7.1101771616476602E-3</v>
      </c>
      <c r="C85" s="6">
        <v>4.9209681995085151E-3</v>
      </c>
      <c r="D85" s="4">
        <v>6.0053478838214137E-4</v>
      </c>
      <c r="E85" s="4">
        <v>1.3431288201136128E-4</v>
      </c>
      <c r="F85" s="4">
        <v>0</v>
      </c>
      <c r="G85" s="4">
        <v>2.2624435469978502E-4</v>
      </c>
      <c r="H85" s="4">
        <v>0</v>
      </c>
    </row>
    <row r="86" spans="1:8" x14ac:dyDescent="0.35">
      <c r="A86" s="27" t="s">
        <v>108</v>
      </c>
      <c r="B86" s="4">
        <v>0</v>
      </c>
      <c r="C86" s="6">
        <v>0</v>
      </c>
      <c r="D86" s="4">
        <v>0</v>
      </c>
      <c r="E86" s="4">
        <v>0</v>
      </c>
      <c r="F86" s="4">
        <v>0</v>
      </c>
      <c r="G86" s="4">
        <v>0</v>
      </c>
      <c r="H86" s="4">
        <v>0</v>
      </c>
    </row>
    <row r="87" spans="1:8" x14ac:dyDescent="0.35">
      <c r="A87" s="27" t="s">
        <v>109</v>
      </c>
      <c r="B87" s="4">
        <v>0</v>
      </c>
      <c r="C87" s="6">
        <v>0</v>
      </c>
      <c r="D87" s="4">
        <v>0</v>
      </c>
      <c r="E87" s="4">
        <v>0</v>
      </c>
      <c r="F87" s="4">
        <v>0</v>
      </c>
      <c r="G87" s="4">
        <v>0</v>
      </c>
      <c r="H87" s="4">
        <v>0</v>
      </c>
    </row>
    <row r="88" spans="1:8" x14ac:dyDescent="0.35">
      <c r="A88" s="27" t="s">
        <v>110</v>
      </c>
      <c r="B88" s="4">
        <v>9.3047360395123613E-3</v>
      </c>
      <c r="C88" s="6">
        <v>2.0868387689601977E-3</v>
      </c>
      <c r="D88" s="4">
        <v>7.236682500591932E-4</v>
      </c>
      <c r="E88" s="4">
        <v>3.9347835431539642E-4</v>
      </c>
      <c r="F88" s="4">
        <v>4.9657324897554485E-3</v>
      </c>
      <c r="G88" s="4">
        <v>8.2983013500370791E-4</v>
      </c>
      <c r="H88" s="4">
        <v>2.5677896923004132E-4</v>
      </c>
    </row>
    <row r="89" spans="1:8" x14ac:dyDescent="0.35">
      <c r="A89" s="27" t="s">
        <v>111</v>
      </c>
      <c r="B89" s="4">
        <v>1.6998587001173953E-3</v>
      </c>
      <c r="C89" s="6">
        <v>3.5383459195214754E-4</v>
      </c>
      <c r="D89" s="4">
        <v>0</v>
      </c>
      <c r="E89" s="4">
        <v>0</v>
      </c>
      <c r="F89" s="4">
        <v>1.4347061246688698E-3</v>
      </c>
      <c r="G89" s="4">
        <v>8.8682016503622039E-5</v>
      </c>
      <c r="H89" s="4">
        <v>0</v>
      </c>
    </row>
    <row r="90" spans="1:8" x14ac:dyDescent="0.35">
      <c r="A90" s="27" t="s">
        <v>112</v>
      </c>
      <c r="B90" s="4">
        <v>0</v>
      </c>
      <c r="C90" s="6">
        <v>0</v>
      </c>
      <c r="D90" s="4">
        <v>0</v>
      </c>
      <c r="E90" s="4">
        <v>0</v>
      </c>
      <c r="F90" s="4">
        <v>0</v>
      </c>
      <c r="G90" s="4">
        <v>0</v>
      </c>
      <c r="H90" s="4">
        <v>0</v>
      </c>
    </row>
    <row r="91" spans="1:8" x14ac:dyDescent="0.35">
      <c r="A91" s="27" t="s">
        <v>113</v>
      </c>
      <c r="B91" s="4">
        <v>3.5534302924134114E-3</v>
      </c>
      <c r="C91" s="6">
        <v>5.5414548796531217E-4</v>
      </c>
      <c r="D91" s="4">
        <v>4.7019778078137624E-4</v>
      </c>
      <c r="E91" s="4">
        <v>3.2581803671459563E-4</v>
      </c>
      <c r="F91" s="4">
        <v>5.1039387213316976E-4</v>
      </c>
      <c r="G91" s="4">
        <v>6.9858484678370374E-4</v>
      </c>
      <c r="H91" s="4">
        <v>1.2692117937397124E-4</v>
      </c>
    </row>
    <row r="92" spans="1:8" x14ac:dyDescent="0.35">
      <c r="A92" s="27" t="s">
        <v>114</v>
      </c>
      <c r="B92" s="4">
        <v>2.5651365777054169E-4</v>
      </c>
      <c r="C92" s="6">
        <v>1.8245542339239857E-4</v>
      </c>
      <c r="D92" s="4">
        <v>0</v>
      </c>
      <c r="E92" s="4">
        <v>7.4058234378143075E-5</v>
      </c>
      <c r="F92" s="4">
        <v>0</v>
      </c>
      <c r="G92" s="4">
        <v>7.4058234378143075E-5</v>
      </c>
      <c r="H92" s="4">
        <v>0</v>
      </c>
    </row>
    <row r="93" spans="1:8" x14ac:dyDescent="0.35">
      <c r="A93" s="27" t="s">
        <v>115</v>
      </c>
      <c r="B93" s="4">
        <v>1.7608773722592448E-3</v>
      </c>
      <c r="C93" s="6">
        <v>2.325301106665075E-4</v>
      </c>
      <c r="D93" s="4">
        <v>6.3168823705701672E-5</v>
      </c>
      <c r="E93" s="4">
        <v>0</v>
      </c>
      <c r="F93" s="4">
        <v>6.4281020542632852E-5</v>
      </c>
      <c r="G93" s="4">
        <v>0</v>
      </c>
      <c r="H93" s="4">
        <v>0</v>
      </c>
    </row>
    <row r="94" spans="1:8" x14ac:dyDescent="0.35">
      <c r="A94" s="27" t="s">
        <v>116</v>
      </c>
      <c r="B94" s="4">
        <v>0</v>
      </c>
      <c r="C94" s="6">
        <v>0</v>
      </c>
      <c r="D94" s="4">
        <v>0</v>
      </c>
      <c r="E94" s="4">
        <v>0</v>
      </c>
      <c r="F94" s="4">
        <v>0</v>
      </c>
      <c r="G94" s="4">
        <v>0</v>
      </c>
      <c r="H94" s="4">
        <v>0</v>
      </c>
    </row>
    <row r="95" spans="1:8" x14ac:dyDescent="0.35">
      <c r="A95" s="27" t="s">
        <v>117</v>
      </c>
      <c r="B95" s="4">
        <v>1.6962736009621545E-3</v>
      </c>
      <c r="C95" s="6">
        <v>2.302660365169604E-4</v>
      </c>
      <c r="D95" s="4">
        <v>0</v>
      </c>
      <c r="E95" s="4">
        <v>2.9242882923825154E-4</v>
      </c>
      <c r="F95" s="4">
        <v>9.4776598007511789E-4</v>
      </c>
      <c r="G95" s="4">
        <v>2.2581275513182422E-4</v>
      </c>
      <c r="H95" s="4">
        <v>0</v>
      </c>
    </row>
    <row r="96" spans="1:8" x14ac:dyDescent="0.35">
      <c r="A96" s="27" t="s">
        <v>118</v>
      </c>
      <c r="B96" s="4">
        <v>4.9598296867536494E-2</v>
      </c>
      <c r="C96" s="6">
        <v>2.9320301328963037E-2</v>
      </c>
      <c r="D96" s="4">
        <v>6.9053544675894774E-3</v>
      </c>
      <c r="E96" s="4">
        <v>2.2301179327067983E-3</v>
      </c>
      <c r="F96" s="4">
        <v>1.3131287998553105E-3</v>
      </c>
      <c r="G96" s="4">
        <v>1.4937328184439918E-3</v>
      </c>
      <c r="H96" s="4">
        <v>1.2586209625833627E-2</v>
      </c>
    </row>
    <row r="97" spans="1:8" x14ac:dyDescent="0.35">
      <c r="A97" s="27" t="s">
        <v>119</v>
      </c>
      <c r="B97" s="4">
        <v>4.7397519324092176E-4</v>
      </c>
      <c r="C97" s="6">
        <v>0</v>
      </c>
      <c r="D97" s="4">
        <v>1.4135124707336517E-4</v>
      </c>
      <c r="E97" s="4">
        <v>0</v>
      </c>
      <c r="F97" s="4">
        <v>3.3262394616755657E-4</v>
      </c>
      <c r="G97" s="4">
        <v>0</v>
      </c>
      <c r="H97" s="4">
        <v>0</v>
      </c>
    </row>
    <row r="98" spans="1:8" x14ac:dyDescent="0.35">
      <c r="A98" s="27" t="s">
        <v>120</v>
      </c>
      <c r="B98" s="4">
        <v>2.8039977562127253E-4</v>
      </c>
      <c r="C98" s="6">
        <v>1.5173085340020108E-4</v>
      </c>
      <c r="D98" s="4">
        <v>0</v>
      </c>
      <c r="E98" s="4">
        <v>0</v>
      </c>
      <c r="F98" s="4">
        <v>0</v>
      </c>
      <c r="G98" s="4">
        <v>0</v>
      </c>
      <c r="H98" s="4">
        <v>1.2866892222107148E-4</v>
      </c>
    </row>
    <row r="99" spans="1:8" x14ac:dyDescent="0.35">
      <c r="A99" s="27" t="s">
        <v>121</v>
      </c>
      <c r="B99" s="4">
        <v>1.6248760190710923E-4</v>
      </c>
      <c r="C99" s="6">
        <v>1.6248760190710923E-4</v>
      </c>
      <c r="D99" s="4">
        <v>0</v>
      </c>
      <c r="E99" s="4">
        <v>0</v>
      </c>
      <c r="F99" s="4">
        <v>0</v>
      </c>
      <c r="G99" s="4">
        <v>0</v>
      </c>
      <c r="H99" s="4">
        <v>0</v>
      </c>
    </row>
    <row r="100" spans="1:8" x14ac:dyDescent="0.35">
      <c r="A100" s="27" t="s">
        <v>122</v>
      </c>
      <c r="B100" s="4">
        <v>4.0540768074737114E-3</v>
      </c>
      <c r="C100" s="6">
        <v>2.466448010374682E-3</v>
      </c>
      <c r="D100" s="4">
        <v>4.514011882036015E-4</v>
      </c>
      <c r="E100" s="4">
        <v>0</v>
      </c>
      <c r="F100" s="4">
        <v>0</v>
      </c>
      <c r="G100" s="4">
        <v>3.5891899328492865E-4</v>
      </c>
      <c r="H100" s="4">
        <v>6.770265400723736E-4</v>
      </c>
    </row>
    <row r="101" spans="1:8" x14ac:dyDescent="0.35">
      <c r="A101" s="27" t="s">
        <v>123</v>
      </c>
      <c r="B101" s="4">
        <v>2.0461109661357385E-4</v>
      </c>
      <c r="C101" s="6">
        <v>0</v>
      </c>
      <c r="D101" s="4">
        <v>0</v>
      </c>
      <c r="E101" s="4">
        <v>6.9899529786427011E-5</v>
      </c>
      <c r="F101" s="4">
        <v>0</v>
      </c>
      <c r="G101" s="4">
        <v>0</v>
      </c>
      <c r="H101" s="4">
        <v>6.9899529786427011E-5</v>
      </c>
    </row>
    <row r="102" spans="1:8" x14ac:dyDescent="0.35">
      <c r="A102" s="27" t="s">
        <v>124</v>
      </c>
      <c r="B102" s="4">
        <v>9.9612836973072711E-5</v>
      </c>
      <c r="C102" s="6">
        <v>0</v>
      </c>
      <c r="D102" s="4">
        <v>0</v>
      </c>
      <c r="E102" s="4">
        <v>0</v>
      </c>
      <c r="F102" s="4">
        <v>0</v>
      </c>
      <c r="G102" s="4">
        <v>9.9612836973072711E-5</v>
      </c>
      <c r="H102" s="4">
        <v>0</v>
      </c>
    </row>
    <row r="103" spans="1:8" x14ac:dyDescent="0.35">
      <c r="A103" s="27" t="s">
        <v>125</v>
      </c>
      <c r="B103" s="4">
        <v>1.3530403294357029E-3</v>
      </c>
      <c r="C103" s="6">
        <v>2.8193069426437104E-4</v>
      </c>
      <c r="D103" s="4">
        <v>2.6368299749689254E-4</v>
      </c>
      <c r="E103" s="4">
        <v>6.3168823705701672E-5</v>
      </c>
      <c r="F103" s="4">
        <v>1.0643789290906067E-3</v>
      </c>
      <c r="G103" s="4">
        <v>0</v>
      </c>
      <c r="H103" s="4">
        <v>1.3061464400476388E-4</v>
      </c>
    </row>
    <row r="104" spans="1:8" x14ac:dyDescent="0.35">
      <c r="A104" s="27" t="s">
        <v>126</v>
      </c>
      <c r="B104" s="4">
        <v>0</v>
      </c>
      <c r="C104" s="6">
        <v>0</v>
      </c>
      <c r="D104" s="4">
        <v>0</v>
      </c>
      <c r="E104" s="4">
        <v>0</v>
      </c>
      <c r="F104" s="4">
        <v>0</v>
      </c>
      <c r="G104" s="4">
        <v>0</v>
      </c>
      <c r="H104" s="4">
        <v>0</v>
      </c>
    </row>
    <row r="105" spans="1:8" x14ac:dyDescent="0.35">
      <c r="A105" s="27" t="s">
        <v>127</v>
      </c>
      <c r="B105" s="4">
        <v>5.3896039287055413E-4</v>
      </c>
      <c r="C105" s="6">
        <v>1.4936611026570274E-4</v>
      </c>
      <c r="D105" s="4">
        <v>1.6867861442504197E-4</v>
      </c>
      <c r="E105" s="4">
        <v>0</v>
      </c>
      <c r="F105" s="4">
        <v>2.2091566817980936E-4</v>
      </c>
      <c r="G105" s="4">
        <v>0</v>
      </c>
      <c r="H105" s="4">
        <v>0</v>
      </c>
    </row>
    <row r="106" spans="1:8" x14ac:dyDescent="0.35">
      <c r="A106" s="27" t="s">
        <v>286</v>
      </c>
      <c r="B106" s="4">
        <v>8.3545904924255013E-4</v>
      </c>
      <c r="C106" s="6">
        <v>2.6095712110052542E-4</v>
      </c>
      <c r="D106" s="4">
        <v>1.306793539947314E-4</v>
      </c>
      <c r="E106" s="4">
        <v>2.3865588625960601E-4</v>
      </c>
      <c r="F106" s="4">
        <v>9.6418799674576595E-5</v>
      </c>
      <c r="G106" s="4">
        <v>1.306793539947314E-4</v>
      </c>
      <c r="H106" s="4">
        <v>2.3252342606531142E-4</v>
      </c>
    </row>
    <row r="107" spans="1:8" x14ac:dyDescent="0.35">
      <c r="A107" s="27" t="s">
        <v>128</v>
      </c>
      <c r="B107" s="4">
        <v>7.5693547883761846E-4</v>
      </c>
      <c r="C107" s="6">
        <v>0</v>
      </c>
      <c r="D107" s="4">
        <v>1.6480166114707446E-4</v>
      </c>
      <c r="E107" s="4">
        <v>1.1831189864820138E-4</v>
      </c>
      <c r="F107" s="4">
        <v>3.4628862830842757E-4</v>
      </c>
      <c r="G107" s="4">
        <v>1.9959134173284948E-4</v>
      </c>
      <c r="H107" s="4">
        <v>0</v>
      </c>
    </row>
    <row r="108" spans="1:8" x14ac:dyDescent="0.35">
      <c r="A108" s="27" t="s">
        <v>129</v>
      </c>
      <c r="B108" s="4">
        <v>0</v>
      </c>
      <c r="C108" s="6">
        <v>0</v>
      </c>
      <c r="D108" s="4">
        <v>0</v>
      </c>
      <c r="E108" s="4">
        <v>0</v>
      </c>
      <c r="F108" s="4">
        <v>0</v>
      </c>
      <c r="G108" s="4">
        <v>0</v>
      </c>
      <c r="H108" s="4">
        <v>0</v>
      </c>
    </row>
    <row r="109" spans="1:8" x14ac:dyDescent="0.35">
      <c r="A109" s="27" t="s">
        <v>130</v>
      </c>
      <c r="B109" s="4">
        <v>1.6109066101323627E-4</v>
      </c>
      <c r="C109" s="6">
        <v>1.6109066101323627E-4</v>
      </c>
      <c r="D109" s="4">
        <v>0</v>
      </c>
      <c r="E109" s="4">
        <v>0</v>
      </c>
      <c r="F109" s="4">
        <v>0</v>
      </c>
      <c r="G109" s="4">
        <v>0</v>
      </c>
      <c r="H109" s="4">
        <v>0</v>
      </c>
    </row>
    <row r="110" spans="1:8" x14ac:dyDescent="0.35">
      <c r="A110" s="27" t="s">
        <v>131</v>
      </c>
      <c r="B110" s="4">
        <v>1.1883313626271886E-3</v>
      </c>
      <c r="C110" s="6">
        <v>3.4048127181674268E-4</v>
      </c>
      <c r="D110" s="4">
        <v>1.9956967797712423E-4</v>
      </c>
      <c r="E110" s="4">
        <v>0</v>
      </c>
      <c r="F110" s="4">
        <v>2.9349808890906712E-4</v>
      </c>
      <c r="G110" s="4">
        <v>1.3467520045573622E-4</v>
      </c>
      <c r="H110" s="4">
        <v>1.2399977323483683E-4</v>
      </c>
    </row>
    <row r="111" spans="1:8" x14ac:dyDescent="0.35">
      <c r="A111" s="27" t="s">
        <v>132</v>
      </c>
      <c r="B111" s="4">
        <v>0</v>
      </c>
      <c r="C111" s="6">
        <v>0</v>
      </c>
      <c r="D111" s="4">
        <v>0</v>
      </c>
      <c r="E111" s="4">
        <v>0</v>
      </c>
      <c r="F111" s="4">
        <v>0</v>
      </c>
      <c r="G111" s="4">
        <v>0</v>
      </c>
      <c r="H111" s="4">
        <v>0</v>
      </c>
    </row>
    <row r="112" spans="1:8" x14ac:dyDescent="0.35">
      <c r="A112" s="27" t="s">
        <v>133</v>
      </c>
      <c r="B112" s="4">
        <v>3.622698393349028E-3</v>
      </c>
      <c r="C112" s="6">
        <v>5.6262410337296564E-4</v>
      </c>
      <c r="D112" s="4">
        <v>2.2795013420820695E-4</v>
      </c>
      <c r="E112" s="4">
        <v>5.3642203987494183E-4</v>
      </c>
      <c r="F112" s="4">
        <v>1.5133260430661587E-3</v>
      </c>
      <c r="G112" s="4">
        <v>1.5136860614391241E-4</v>
      </c>
      <c r="H112" s="4">
        <v>8.2902818505734056E-5</v>
      </c>
    </row>
    <row r="113" spans="1:8" x14ac:dyDescent="0.35">
      <c r="A113" s="27" t="s">
        <v>134</v>
      </c>
      <c r="B113" s="4">
        <v>1.3841843031546298E-3</v>
      </c>
      <c r="C113" s="6">
        <v>0</v>
      </c>
      <c r="D113" s="4">
        <v>0</v>
      </c>
      <c r="E113" s="4">
        <v>0</v>
      </c>
      <c r="F113" s="4">
        <v>7.7393821509901168E-4</v>
      </c>
      <c r="G113" s="4">
        <v>0</v>
      </c>
      <c r="H113" s="4">
        <v>2.6808916351120436E-4</v>
      </c>
    </row>
    <row r="114" spans="1:8" x14ac:dyDescent="0.35">
      <c r="A114" s="27" t="s">
        <v>135</v>
      </c>
      <c r="B114" s="4">
        <v>0</v>
      </c>
      <c r="C114" s="6">
        <v>0</v>
      </c>
      <c r="D114" s="4">
        <v>0</v>
      </c>
      <c r="E114" s="4">
        <v>0</v>
      </c>
      <c r="F114" s="4">
        <v>0</v>
      </c>
      <c r="G114" s="4">
        <v>0</v>
      </c>
      <c r="H114" s="4">
        <v>0</v>
      </c>
    </row>
    <row r="115" spans="1:8" x14ac:dyDescent="0.35">
      <c r="A115" s="27" t="s">
        <v>136</v>
      </c>
      <c r="B115" s="4">
        <v>0</v>
      </c>
      <c r="C115" s="6">
        <v>0</v>
      </c>
      <c r="D115" s="4">
        <v>0</v>
      </c>
      <c r="E115" s="4">
        <v>0</v>
      </c>
      <c r="F115" s="4">
        <v>0</v>
      </c>
      <c r="G115" s="4">
        <v>0</v>
      </c>
      <c r="H115" s="4">
        <v>0</v>
      </c>
    </row>
    <row r="116" spans="1:8" x14ac:dyDescent="0.35">
      <c r="A116" s="27" t="s">
        <v>137</v>
      </c>
      <c r="B116" s="4">
        <v>0</v>
      </c>
      <c r="C116" s="6">
        <v>0</v>
      </c>
      <c r="D116" s="4">
        <v>0</v>
      </c>
      <c r="E116" s="4">
        <v>0</v>
      </c>
      <c r="F116" s="4">
        <v>0</v>
      </c>
      <c r="G116" s="4">
        <v>0</v>
      </c>
      <c r="H116" s="4">
        <v>0</v>
      </c>
    </row>
    <row r="117" spans="1:8" x14ac:dyDescent="0.35">
      <c r="A117" s="27" t="s">
        <v>138</v>
      </c>
      <c r="B117" s="4">
        <v>5.268329953065598E-4</v>
      </c>
      <c r="C117" s="6">
        <v>0</v>
      </c>
      <c r="D117" s="4">
        <v>1.8118755673035826E-4</v>
      </c>
      <c r="E117" s="4">
        <v>2.3578282902518842E-4</v>
      </c>
      <c r="F117" s="4">
        <v>8.8443946582218309E-5</v>
      </c>
      <c r="G117" s="4">
        <v>8.8443946582218309E-5</v>
      </c>
      <c r="H117" s="4">
        <v>2.4008249259111007E-4</v>
      </c>
    </row>
    <row r="118" spans="1:8" x14ac:dyDescent="0.35">
      <c r="A118" s="27" t="s">
        <v>139</v>
      </c>
      <c r="B118" s="4">
        <v>1.0005184569558106E-3</v>
      </c>
      <c r="C118" s="6">
        <v>2.0630134914360071E-4</v>
      </c>
      <c r="D118" s="4">
        <v>7.7275670246240651E-5</v>
      </c>
      <c r="E118" s="4">
        <v>0</v>
      </c>
      <c r="F118" s="4">
        <v>0</v>
      </c>
      <c r="G118" s="4">
        <v>0</v>
      </c>
      <c r="H118" s="4">
        <v>9.1421393958177814E-4</v>
      </c>
    </row>
    <row r="119" spans="1:8" x14ac:dyDescent="0.35">
      <c r="A119" s="27" t="s">
        <v>140</v>
      </c>
      <c r="B119" s="4">
        <v>1.7196115746847911E-2</v>
      </c>
      <c r="C119" s="6">
        <v>9.817941670134632E-3</v>
      </c>
      <c r="D119" s="4">
        <v>2.9336989378848299E-3</v>
      </c>
      <c r="E119" s="4">
        <v>1.318075544904151E-3</v>
      </c>
      <c r="F119" s="4">
        <v>5.9925597337528612E-4</v>
      </c>
      <c r="G119" s="4">
        <v>9.6313513833124712E-4</v>
      </c>
      <c r="H119" s="4">
        <v>2.3329308308754947E-3</v>
      </c>
    </row>
    <row r="120" spans="1:8" x14ac:dyDescent="0.35">
      <c r="A120" s="27" t="s">
        <v>141</v>
      </c>
      <c r="B120" s="4">
        <v>6.864820860494193E-3</v>
      </c>
      <c r="C120" s="6">
        <v>3.8869212454945962E-3</v>
      </c>
      <c r="D120" s="4">
        <v>1.3202478861755486E-3</v>
      </c>
      <c r="E120" s="4">
        <v>2.8103698274413859E-4</v>
      </c>
      <c r="F120" s="4">
        <v>3.0000435286285703E-4</v>
      </c>
      <c r="G120" s="4">
        <v>5.0243161018462951E-4</v>
      </c>
      <c r="H120" s="4">
        <v>1.7941295326157885E-3</v>
      </c>
    </row>
    <row r="121" spans="1:8" x14ac:dyDescent="0.35">
      <c r="A121" s="27" t="s">
        <v>142</v>
      </c>
      <c r="B121" s="4">
        <v>3.1181786373352678E-2</v>
      </c>
      <c r="C121" s="6">
        <v>4.9487317609744489E-3</v>
      </c>
      <c r="D121" s="4">
        <v>2.4810035901765073E-3</v>
      </c>
      <c r="E121" s="4">
        <v>2.6552034017216937E-3</v>
      </c>
      <c r="F121" s="4">
        <v>1.472364346055221E-3</v>
      </c>
      <c r="G121" s="4">
        <v>3.2932386552319104E-3</v>
      </c>
      <c r="H121" s="4">
        <v>1.0331579315659237E-2</v>
      </c>
    </row>
    <row r="122" spans="1:8" x14ac:dyDescent="0.35">
      <c r="A122" s="27" t="s">
        <v>143</v>
      </c>
      <c r="B122" s="4">
        <v>9.441150590114879E-4</v>
      </c>
      <c r="C122" s="6">
        <v>4.3238688970243861E-4</v>
      </c>
      <c r="D122" s="4">
        <v>3.2061642472579855E-4</v>
      </c>
      <c r="E122" s="4">
        <v>0</v>
      </c>
      <c r="F122" s="4">
        <v>0</v>
      </c>
      <c r="G122" s="4">
        <v>8.6304517374032389E-5</v>
      </c>
      <c r="H122" s="4">
        <v>8.6304517374032389E-5</v>
      </c>
    </row>
    <row r="123" spans="1:8" x14ac:dyDescent="0.35">
      <c r="A123" s="27" t="s">
        <v>144</v>
      </c>
      <c r="B123" s="4">
        <v>3.1936300880484134E-3</v>
      </c>
      <c r="C123" s="6">
        <v>0</v>
      </c>
      <c r="D123" s="4">
        <v>0</v>
      </c>
      <c r="E123" s="4">
        <v>6.7681709147610267E-5</v>
      </c>
      <c r="F123" s="4">
        <v>0</v>
      </c>
      <c r="G123" s="4">
        <v>1.2399977323483683E-4</v>
      </c>
      <c r="H123" s="4">
        <v>0</v>
      </c>
    </row>
    <row r="124" spans="1:8" x14ac:dyDescent="0.35">
      <c r="A124" s="27" t="s">
        <v>145</v>
      </c>
      <c r="B124" s="4">
        <v>1.902327071186861E-3</v>
      </c>
      <c r="C124" s="6">
        <v>2.9799761028939464E-4</v>
      </c>
      <c r="D124" s="4">
        <v>8.497309687020521E-4</v>
      </c>
      <c r="E124" s="4">
        <v>0</v>
      </c>
      <c r="F124" s="4">
        <v>1.0310085779653404E-4</v>
      </c>
      <c r="G124" s="4">
        <v>0</v>
      </c>
      <c r="H124" s="4">
        <v>1.4638456680068839E-4</v>
      </c>
    </row>
    <row r="125" spans="1:8" x14ac:dyDescent="0.35">
      <c r="A125" s="27" t="s">
        <v>146</v>
      </c>
      <c r="B125" s="4">
        <v>0</v>
      </c>
      <c r="C125" s="6">
        <v>0</v>
      </c>
      <c r="D125" s="4">
        <v>0</v>
      </c>
      <c r="E125" s="4">
        <v>0</v>
      </c>
      <c r="F125" s="4">
        <v>0</v>
      </c>
      <c r="G125" s="4">
        <v>0</v>
      </c>
      <c r="H125" s="4">
        <v>0</v>
      </c>
    </row>
    <row r="126" spans="1:8" x14ac:dyDescent="0.35">
      <c r="A126" s="27" t="s">
        <v>284</v>
      </c>
      <c r="B126" s="4">
        <v>2.1670859780043128E-4</v>
      </c>
      <c r="C126" s="6">
        <v>8.1972121138531342E-5</v>
      </c>
      <c r="D126" s="4">
        <v>0</v>
      </c>
      <c r="E126" s="4">
        <v>0</v>
      </c>
      <c r="F126" s="4">
        <v>0</v>
      </c>
      <c r="G126" s="4">
        <v>0</v>
      </c>
      <c r="H126" s="4">
        <v>0</v>
      </c>
    </row>
    <row r="127" spans="1:8" x14ac:dyDescent="0.35">
      <c r="A127" s="27" t="s">
        <v>283</v>
      </c>
      <c r="B127" s="4">
        <v>1.900247984158639E-4</v>
      </c>
      <c r="C127" s="6">
        <v>1.900247984158639E-4</v>
      </c>
      <c r="D127" s="4">
        <v>0</v>
      </c>
      <c r="E127" s="4">
        <v>1.015808518336456E-4</v>
      </c>
      <c r="F127" s="4">
        <v>0</v>
      </c>
      <c r="G127" s="4">
        <v>0</v>
      </c>
      <c r="H127" s="4">
        <v>1.015808518336456E-4</v>
      </c>
    </row>
    <row r="128" spans="1:8" x14ac:dyDescent="0.35">
      <c r="A128" s="27" t="s">
        <v>147</v>
      </c>
      <c r="B128" s="4">
        <v>5.20722198225283E-3</v>
      </c>
      <c r="C128" s="6">
        <v>5.2957013874233331E-4</v>
      </c>
      <c r="D128" s="4">
        <v>5.1557497037163275E-4</v>
      </c>
      <c r="E128" s="4">
        <v>3.7136850012750751E-4</v>
      </c>
      <c r="F128" s="4">
        <v>9.5849674822224879E-4</v>
      </c>
      <c r="G128" s="4">
        <v>1.0962365106987927E-3</v>
      </c>
      <c r="H128" s="4">
        <v>2.9394421848617959E-4</v>
      </c>
    </row>
    <row r="129" spans="1:8" x14ac:dyDescent="0.35">
      <c r="A129" s="27" t="s">
        <v>148</v>
      </c>
      <c r="B129" s="4">
        <v>0</v>
      </c>
      <c r="C129" s="6">
        <v>0</v>
      </c>
      <c r="D129" s="4">
        <v>0</v>
      </c>
      <c r="E129" s="4">
        <v>0</v>
      </c>
      <c r="F129" s="4">
        <v>0</v>
      </c>
      <c r="G129" s="4">
        <v>0</v>
      </c>
      <c r="H129" s="4">
        <v>0</v>
      </c>
    </row>
    <row r="130" spans="1:8" x14ac:dyDescent="0.35">
      <c r="A130" s="27" t="s">
        <v>149</v>
      </c>
      <c r="B130" s="4">
        <v>1.5716480067306659E-3</v>
      </c>
      <c r="C130" s="6">
        <v>2.3815234712750108E-4</v>
      </c>
      <c r="D130" s="4">
        <v>7.4656110060202364E-5</v>
      </c>
      <c r="E130" s="4">
        <v>7.4656110060202364E-5</v>
      </c>
      <c r="F130" s="4">
        <v>5.2096494160227462E-4</v>
      </c>
      <c r="G130" s="4">
        <v>2.4653294838514309E-4</v>
      </c>
      <c r="H130" s="4">
        <v>2.8046925956358665E-4</v>
      </c>
    </row>
    <row r="131" spans="1:8" x14ac:dyDescent="0.35">
      <c r="A131" s="27" t="s">
        <v>150</v>
      </c>
      <c r="B131" s="4">
        <v>0</v>
      </c>
      <c r="C131" s="6">
        <v>0</v>
      </c>
      <c r="D131" s="4">
        <v>0</v>
      </c>
      <c r="E131" s="4">
        <v>0</v>
      </c>
      <c r="F131" s="4">
        <v>0</v>
      </c>
      <c r="G131" s="4">
        <v>0</v>
      </c>
      <c r="H131" s="4">
        <v>0</v>
      </c>
    </row>
    <row r="132" spans="1:8" x14ac:dyDescent="0.35">
      <c r="A132" s="27" t="s">
        <v>151</v>
      </c>
      <c r="B132" s="4">
        <v>2.0121880617506049E-3</v>
      </c>
      <c r="C132" s="6">
        <v>8.9871198870200379E-4</v>
      </c>
      <c r="D132" s="4">
        <v>1.0253036976287643E-4</v>
      </c>
      <c r="E132" s="4">
        <v>1.1802871148786201E-4</v>
      </c>
      <c r="F132" s="4">
        <v>0</v>
      </c>
      <c r="G132" s="4">
        <v>2.0108394050904715E-4</v>
      </c>
      <c r="H132" s="4">
        <v>6.2347096137605059E-4</v>
      </c>
    </row>
    <row r="133" spans="1:8" x14ac:dyDescent="0.35">
      <c r="A133" s="27" t="s">
        <v>152</v>
      </c>
      <c r="B133" s="4">
        <v>1.5601701362587864E-3</v>
      </c>
      <c r="C133" s="6">
        <v>5.0144744171964916E-4</v>
      </c>
      <c r="D133" s="4">
        <v>2.3581588850515297E-4</v>
      </c>
      <c r="E133" s="4">
        <v>9.9612836973072711E-5</v>
      </c>
      <c r="F133" s="4">
        <v>6.4816784043086092E-4</v>
      </c>
      <c r="G133" s="4">
        <v>1.6527975656371619E-4</v>
      </c>
      <c r="H133" s="4">
        <v>1.5956080689731686E-4</v>
      </c>
    </row>
    <row r="134" spans="1:8" x14ac:dyDescent="0.35">
      <c r="A134" s="27" t="s">
        <v>153</v>
      </c>
      <c r="B134" s="4">
        <v>2.4849097543964515E-4</v>
      </c>
      <c r="C134" s="6">
        <v>0</v>
      </c>
      <c r="D134" s="4">
        <v>0</v>
      </c>
      <c r="E134" s="4">
        <v>2.4849097543964515E-4</v>
      </c>
      <c r="F134" s="4">
        <v>0</v>
      </c>
      <c r="G134" s="4">
        <v>0</v>
      </c>
      <c r="H134" s="4">
        <v>0</v>
      </c>
    </row>
    <row r="135" spans="1:8" x14ac:dyDescent="0.35">
      <c r="A135" s="27" t="s">
        <v>154</v>
      </c>
      <c r="B135" s="4">
        <v>4.4561985206657065E-3</v>
      </c>
      <c r="C135" s="6">
        <v>8.536357868066559E-4</v>
      </c>
      <c r="D135" s="4">
        <v>5.9367893070128963E-4</v>
      </c>
      <c r="E135" s="4">
        <v>0</v>
      </c>
      <c r="F135" s="4">
        <v>4.9314647297220467E-4</v>
      </c>
      <c r="G135" s="4">
        <v>1.1064971953978736E-3</v>
      </c>
      <c r="H135" s="4">
        <v>5.364954987837E-4</v>
      </c>
    </row>
    <row r="136" spans="1:8" x14ac:dyDescent="0.35">
      <c r="A136" s="27" t="s">
        <v>155</v>
      </c>
      <c r="B136" s="4">
        <v>0.2330280982788491</v>
      </c>
      <c r="C136" s="6">
        <v>3.0009364946933785E-2</v>
      </c>
      <c r="D136" s="4">
        <v>1.6383591323639209E-2</v>
      </c>
      <c r="E136" s="4">
        <v>8.9465692454439111E-2</v>
      </c>
      <c r="F136" s="4">
        <v>5.1743674369302509E-2</v>
      </c>
      <c r="G136" s="4">
        <v>2.6302775827578718E-2</v>
      </c>
      <c r="H136" s="4">
        <v>2.4506734590312218E-2</v>
      </c>
    </row>
    <row r="137" spans="1:8" x14ac:dyDescent="0.35">
      <c r="A137" s="27" t="s">
        <v>156</v>
      </c>
      <c r="B137" s="4">
        <v>0</v>
      </c>
      <c r="C137" s="6">
        <v>0</v>
      </c>
      <c r="D137" s="4">
        <v>0</v>
      </c>
      <c r="E137" s="4">
        <v>0</v>
      </c>
      <c r="F137" s="4">
        <v>0</v>
      </c>
      <c r="G137" s="4">
        <v>0</v>
      </c>
      <c r="H137" s="4">
        <v>0</v>
      </c>
    </row>
    <row r="138" spans="1:8" x14ac:dyDescent="0.35">
      <c r="A138" s="27" t="s">
        <v>157</v>
      </c>
      <c r="B138" s="4">
        <v>8.9123671959378582E-4</v>
      </c>
      <c r="C138" s="6">
        <v>2.3950970444597101E-4</v>
      </c>
      <c r="D138" s="4">
        <v>0</v>
      </c>
      <c r="E138" s="4">
        <v>2.1650192798243595E-4</v>
      </c>
      <c r="F138" s="4">
        <v>0</v>
      </c>
      <c r="G138" s="4">
        <v>1.4954069107665522E-4</v>
      </c>
      <c r="H138" s="4">
        <v>0</v>
      </c>
    </row>
    <row r="139" spans="1:8" x14ac:dyDescent="0.35">
      <c r="A139" s="27" t="s">
        <v>158</v>
      </c>
      <c r="B139" s="4">
        <v>4.5269209454955805E-3</v>
      </c>
      <c r="C139" s="6">
        <v>1.7001582904867013E-3</v>
      </c>
      <c r="D139" s="4">
        <v>4.8934437311609256E-4</v>
      </c>
      <c r="E139" s="4">
        <v>8.8402404369093788E-4</v>
      </c>
      <c r="F139" s="4">
        <v>1.1224660910179444E-4</v>
      </c>
      <c r="G139" s="4">
        <v>5.245384801444798E-4</v>
      </c>
      <c r="H139" s="4">
        <v>1.2571113269548647E-3</v>
      </c>
    </row>
    <row r="140" spans="1:8" x14ac:dyDescent="0.35">
      <c r="A140" s="27" t="s">
        <v>282</v>
      </c>
      <c r="B140" s="4">
        <v>8.1317297060289062E-3</v>
      </c>
      <c r="C140" s="6">
        <v>2.754804799397206E-3</v>
      </c>
      <c r="D140" s="4">
        <v>6.0247624100477994E-4</v>
      </c>
      <c r="E140" s="4">
        <v>5.9580288389454218E-4</v>
      </c>
      <c r="F140" s="4">
        <v>4.0654913989014605E-3</v>
      </c>
      <c r="G140" s="4">
        <v>4.591947387476838E-4</v>
      </c>
      <c r="H140" s="4">
        <v>1.6399007845469509E-4</v>
      </c>
    </row>
    <row r="141" spans="1:8" x14ac:dyDescent="0.35">
      <c r="A141" s="27" t="s">
        <v>159</v>
      </c>
      <c r="B141" s="4">
        <v>2.2459478049874104E-3</v>
      </c>
      <c r="C141" s="6">
        <v>1.8268631634150545E-3</v>
      </c>
      <c r="D141" s="4">
        <v>3.4841242354540929E-4</v>
      </c>
      <c r="E141" s="4">
        <v>1.4954069107665522E-4</v>
      </c>
      <c r="F141" s="4">
        <v>1.4954069107665522E-4</v>
      </c>
      <c r="G141" s="4">
        <v>0</v>
      </c>
      <c r="H141" s="4">
        <v>1.7311102250004733E-4</v>
      </c>
    </row>
    <row r="142" spans="1:8" x14ac:dyDescent="0.35">
      <c r="A142" s="27" t="s">
        <v>160</v>
      </c>
      <c r="B142" s="4">
        <v>3.8857412991338311E-2</v>
      </c>
      <c r="C142" s="6">
        <v>1.640633073398744E-2</v>
      </c>
      <c r="D142" s="4">
        <v>4.0065405136733949E-3</v>
      </c>
      <c r="E142" s="4">
        <v>2.172229146577533E-3</v>
      </c>
      <c r="F142" s="4">
        <v>6.7920769237973591E-3</v>
      </c>
      <c r="G142" s="4">
        <v>8.2034661785064158E-3</v>
      </c>
      <c r="H142" s="4">
        <v>5.6495333472890933E-3</v>
      </c>
    </row>
    <row r="143" spans="1:8" x14ac:dyDescent="0.35">
      <c r="A143" s="27" t="s">
        <v>161</v>
      </c>
      <c r="B143" s="4">
        <v>1.4341486667847248E-3</v>
      </c>
      <c r="C143" s="6">
        <v>8.2889457321250258E-5</v>
      </c>
      <c r="D143" s="4">
        <v>1.4979352744827351E-4</v>
      </c>
      <c r="E143" s="4">
        <v>1.3950365119958405E-4</v>
      </c>
      <c r="F143" s="4">
        <v>1.5034972939487724E-4</v>
      </c>
      <c r="G143" s="4">
        <v>7.7275670246240651E-5</v>
      </c>
      <c r="H143" s="4">
        <v>0</v>
      </c>
    </row>
    <row r="144" spans="1:8" x14ac:dyDescent="0.35">
      <c r="A144" s="27" t="s">
        <v>162</v>
      </c>
      <c r="B144" s="4">
        <v>0</v>
      </c>
      <c r="C144" s="6">
        <v>0</v>
      </c>
      <c r="D144" s="4">
        <v>0</v>
      </c>
      <c r="E144" s="4">
        <v>0</v>
      </c>
      <c r="F144" s="4">
        <v>0</v>
      </c>
      <c r="G144" s="4">
        <v>0</v>
      </c>
      <c r="H144" s="4">
        <v>0</v>
      </c>
    </row>
    <row r="145" spans="1:8" x14ac:dyDescent="0.35">
      <c r="A145" s="27" t="s">
        <v>163</v>
      </c>
      <c r="B145" s="4">
        <v>1.1759910439061636E-2</v>
      </c>
      <c r="C145" s="6">
        <v>6.5278560440564177E-3</v>
      </c>
      <c r="D145" s="4">
        <v>1.2912900880911694E-3</v>
      </c>
      <c r="E145" s="4">
        <v>1.9986948025983102E-4</v>
      </c>
      <c r="F145" s="4">
        <v>6.7027161108450218E-4</v>
      </c>
      <c r="G145" s="4">
        <v>3.6155450151258102E-4</v>
      </c>
      <c r="H145" s="4">
        <v>3.1297418069396589E-3</v>
      </c>
    </row>
    <row r="146" spans="1:8" x14ac:dyDescent="0.35">
      <c r="A146" s="27" t="s">
        <v>164</v>
      </c>
      <c r="B146" s="4">
        <v>7.4455497907847978E-4</v>
      </c>
      <c r="C146" s="6">
        <v>2.5146807317440802E-4</v>
      </c>
      <c r="D146" s="4">
        <v>0</v>
      </c>
      <c r="E146" s="4">
        <v>0</v>
      </c>
      <c r="F146" s="4">
        <v>0</v>
      </c>
      <c r="G146" s="4">
        <v>0</v>
      </c>
      <c r="H146" s="4">
        <v>8.9969013369315778E-5</v>
      </c>
    </row>
    <row r="147" spans="1:8" x14ac:dyDescent="0.35">
      <c r="A147" s="27" t="s">
        <v>165</v>
      </c>
      <c r="B147" s="4">
        <v>4.6156794367338696E-4</v>
      </c>
      <c r="C147" s="6">
        <v>1.7474949544276876E-4</v>
      </c>
      <c r="D147" s="4">
        <v>8.6304517374032389E-5</v>
      </c>
      <c r="E147" s="4">
        <v>1.8225767187963153E-4</v>
      </c>
      <c r="F147" s="4">
        <v>1.0981691390143278E-4</v>
      </c>
      <c r="G147" s="4">
        <v>0</v>
      </c>
      <c r="H147" s="4">
        <v>8.8444978068736376E-5</v>
      </c>
    </row>
    <row r="148" spans="1:8" x14ac:dyDescent="0.35">
      <c r="A148" s="27" t="s">
        <v>166</v>
      </c>
      <c r="B148" s="4">
        <v>3.2605189437539032E-3</v>
      </c>
      <c r="C148" s="6">
        <v>2.8440694711869875E-4</v>
      </c>
      <c r="D148" s="4">
        <v>4.5265507300336626E-4</v>
      </c>
      <c r="E148" s="4">
        <v>3.5721337034177536E-4</v>
      </c>
      <c r="F148" s="4">
        <v>2.7379569464104522E-4</v>
      </c>
      <c r="G148" s="4">
        <v>7.9054647408197478E-4</v>
      </c>
      <c r="H148" s="4">
        <v>2.2653401634704394E-4</v>
      </c>
    </row>
    <row r="149" spans="1:8" x14ac:dyDescent="0.35">
      <c r="A149" s="27" t="s">
        <v>167</v>
      </c>
      <c r="B149" s="4">
        <v>7.1224800387488267E-3</v>
      </c>
      <c r="C149" s="6">
        <v>1.6309166775722054E-3</v>
      </c>
      <c r="D149" s="4">
        <v>5.5051236537005438E-4</v>
      </c>
      <c r="E149" s="4">
        <v>5.1933212178024448E-4</v>
      </c>
      <c r="F149" s="4">
        <v>2.9320939568192869E-4</v>
      </c>
      <c r="G149" s="4">
        <v>3.0360164151165995E-4</v>
      </c>
      <c r="H149" s="4">
        <v>4.1648504339357462E-3</v>
      </c>
    </row>
    <row r="150" spans="1:8" x14ac:dyDescent="0.35">
      <c r="A150" s="27" t="s">
        <v>168</v>
      </c>
      <c r="B150" s="4">
        <v>2.7359260617824836E-2</v>
      </c>
      <c r="C150" s="6">
        <v>2.4073579722621178E-4</v>
      </c>
      <c r="D150" s="4">
        <v>3.3028846683546593E-4</v>
      </c>
      <c r="E150" s="4">
        <v>1.0511199056537843E-3</v>
      </c>
      <c r="F150" s="4">
        <v>4.1202059534270501E-4</v>
      </c>
      <c r="G150" s="4">
        <v>1.3065527923306959E-3</v>
      </c>
      <c r="H150" s="4">
        <v>2.9171697963542788E-3</v>
      </c>
    </row>
    <row r="151" spans="1:8" x14ac:dyDescent="0.35">
      <c r="A151" s="27" t="s">
        <v>169</v>
      </c>
      <c r="B151" s="4">
        <v>2.6490684388367183E-3</v>
      </c>
      <c r="C151" s="6">
        <v>1.3731512849883213E-3</v>
      </c>
      <c r="D151" s="4">
        <v>1.9097723911706339E-4</v>
      </c>
      <c r="E151" s="4">
        <v>2.272837277069595E-4</v>
      </c>
      <c r="F151" s="4">
        <v>0</v>
      </c>
      <c r="G151" s="4">
        <v>0</v>
      </c>
      <c r="H151" s="4">
        <v>8.8279960071130609E-4</v>
      </c>
    </row>
    <row r="152" spans="1:8" x14ac:dyDescent="0.35">
      <c r="A152" s="27" t="s">
        <v>170</v>
      </c>
      <c r="B152" s="4">
        <v>1.9704592021466136E-4</v>
      </c>
      <c r="C152" s="6">
        <v>7.8576210841514306E-5</v>
      </c>
      <c r="D152" s="4">
        <v>7.8576210841514306E-5</v>
      </c>
      <c r="E152" s="4">
        <v>0</v>
      </c>
      <c r="F152" s="4">
        <v>1.1846970937314705E-4</v>
      </c>
      <c r="G152" s="4">
        <v>0</v>
      </c>
      <c r="H152" s="4">
        <v>0</v>
      </c>
    </row>
    <row r="153" spans="1:8" x14ac:dyDescent="0.35">
      <c r="A153" s="27" t="s">
        <v>171</v>
      </c>
      <c r="B153" s="4">
        <v>1.3114234628905432E-4</v>
      </c>
      <c r="C153" s="6">
        <v>0</v>
      </c>
      <c r="D153" s="4">
        <v>0</v>
      </c>
      <c r="E153" s="4">
        <v>1.3114234628905432E-4</v>
      </c>
      <c r="F153" s="4">
        <v>0</v>
      </c>
      <c r="G153" s="4">
        <v>0</v>
      </c>
      <c r="H153" s="4">
        <v>0</v>
      </c>
    </row>
    <row r="154" spans="1:8" x14ac:dyDescent="0.35">
      <c r="A154" s="27" t="s">
        <v>172</v>
      </c>
      <c r="B154" s="4">
        <v>0</v>
      </c>
      <c r="C154" s="6">
        <v>0</v>
      </c>
      <c r="D154" s="4">
        <v>0</v>
      </c>
      <c r="E154" s="4">
        <v>0</v>
      </c>
      <c r="F154" s="4">
        <v>0</v>
      </c>
      <c r="G154" s="4">
        <v>0</v>
      </c>
      <c r="H154" s="4">
        <v>0</v>
      </c>
    </row>
    <row r="155" spans="1:8" x14ac:dyDescent="0.35">
      <c r="A155" s="27" t="s">
        <v>173</v>
      </c>
      <c r="B155" s="4">
        <v>0</v>
      </c>
      <c r="C155" s="6">
        <v>0</v>
      </c>
      <c r="D155" s="4">
        <v>0</v>
      </c>
      <c r="E155" s="4">
        <v>0</v>
      </c>
      <c r="F155" s="4">
        <v>0</v>
      </c>
      <c r="G155" s="4">
        <v>0</v>
      </c>
      <c r="H155" s="4">
        <v>0</v>
      </c>
    </row>
    <row r="156" spans="1:8" x14ac:dyDescent="0.35">
      <c r="A156" s="27" t="s">
        <v>174</v>
      </c>
      <c r="B156" s="4">
        <v>6.9899529786427011E-5</v>
      </c>
      <c r="C156" s="6">
        <v>6.9899529786427011E-5</v>
      </c>
      <c r="D156" s="4">
        <v>6.9899529786427011E-5</v>
      </c>
      <c r="E156" s="4">
        <v>0</v>
      </c>
      <c r="F156" s="4">
        <v>0</v>
      </c>
      <c r="G156" s="4">
        <v>0</v>
      </c>
      <c r="H156" s="4">
        <v>0</v>
      </c>
    </row>
    <row r="157" spans="1:8" x14ac:dyDescent="0.35">
      <c r="A157" s="60" t="s">
        <v>175</v>
      </c>
      <c r="B157" s="62">
        <v>2.6788967015164925E-3</v>
      </c>
      <c r="C157" s="63">
        <v>3.4228939340237992E-4</v>
      </c>
      <c r="D157" s="62">
        <v>6.4291109094697806E-4</v>
      </c>
      <c r="E157" s="62">
        <v>2.5242091743563495E-4</v>
      </c>
      <c r="F157" s="62">
        <v>1.1353321618600869E-3</v>
      </c>
      <c r="G157" s="62">
        <v>2.2273418013748364E-4</v>
      </c>
      <c r="H157" s="62">
        <v>2.5228854960853016E-4</v>
      </c>
    </row>
    <row r="158" spans="1:8" x14ac:dyDescent="0.35">
      <c r="A158" s="43"/>
      <c r="B158" s="80" t="s">
        <v>34</v>
      </c>
      <c r="C158" s="80"/>
      <c r="D158" s="80"/>
      <c r="E158" s="80"/>
      <c r="F158" s="80"/>
      <c r="G158" s="80"/>
      <c r="H158" s="80"/>
    </row>
    <row r="159" spans="1:8" x14ac:dyDescent="0.35">
      <c r="A159" s="27" t="s">
        <v>39</v>
      </c>
      <c r="B159" s="33">
        <v>4570.7774175957147</v>
      </c>
      <c r="C159" s="7">
        <v>1441.1551179386443</v>
      </c>
      <c r="D159" s="33">
        <v>648.06882570573032</v>
      </c>
      <c r="E159" s="33">
        <v>0</v>
      </c>
      <c r="F159" s="33">
        <v>969.64717185530287</v>
      </c>
      <c r="G159" s="33">
        <v>1335.5104953233019</v>
      </c>
      <c r="H159" s="33">
        <v>1243.0764308019479</v>
      </c>
    </row>
    <row r="160" spans="1:8" x14ac:dyDescent="0.35">
      <c r="A160" s="27" t="s">
        <v>40</v>
      </c>
      <c r="B160" s="33">
        <v>3538.1715926349798</v>
      </c>
      <c r="C160" s="7">
        <v>841.516485917963</v>
      </c>
      <c r="D160" s="33">
        <v>0</v>
      </c>
      <c r="E160" s="33">
        <v>0</v>
      </c>
      <c r="F160" s="33">
        <v>1757.6828833940403</v>
      </c>
      <c r="G160" s="33">
        <v>0</v>
      </c>
      <c r="H160" s="33">
        <v>1335.5383293486871</v>
      </c>
    </row>
    <row r="161" spans="1:8" x14ac:dyDescent="0.35">
      <c r="A161" s="27" t="s">
        <v>41</v>
      </c>
      <c r="B161" s="33">
        <v>4595.4632114422266</v>
      </c>
      <c r="C161" s="7">
        <v>396.52595037197977</v>
      </c>
      <c r="D161" s="33">
        <v>1866.2487598361163</v>
      </c>
      <c r="E161" s="33">
        <v>1656.4940665492072</v>
      </c>
      <c r="F161" s="33">
        <v>867.8379259405624</v>
      </c>
      <c r="G161" s="33">
        <v>1445.7563672906626</v>
      </c>
      <c r="H161" s="33">
        <v>0</v>
      </c>
    </row>
    <row r="162" spans="1:8" x14ac:dyDescent="0.35">
      <c r="A162" s="27" t="s">
        <v>42</v>
      </c>
      <c r="B162" s="33">
        <v>156812.86187342563</v>
      </c>
      <c r="C162" s="7">
        <v>67341.957974220582</v>
      </c>
      <c r="D162" s="33">
        <v>25502.041548357014</v>
      </c>
      <c r="E162" s="33">
        <v>14076.20587207748</v>
      </c>
      <c r="F162" s="33">
        <v>7265.1651646772161</v>
      </c>
      <c r="G162" s="33">
        <v>20439.546702228199</v>
      </c>
      <c r="H162" s="33">
        <v>44524.43597330898</v>
      </c>
    </row>
    <row r="163" spans="1:8" x14ac:dyDescent="0.35">
      <c r="A163" s="27" t="s">
        <v>43</v>
      </c>
      <c r="B163" s="33">
        <v>283683.42657717876</v>
      </c>
      <c r="C163" s="7">
        <v>171091.02991224243</v>
      </c>
      <c r="D163" s="33">
        <v>40048.410760463114</v>
      </c>
      <c r="E163" s="33">
        <v>18611.990318127078</v>
      </c>
      <c r="F163" s="33">
        <v>6686.7645595095228</v>
      </c>
      <c r="G163" s="33">
        <v>13597.226053774302</v>
      </c>
      <c r="H163" s="33">
        <v>56050.473059621669</v>
      </c>
    </row>
    <row r="164" spans="1:8" x14ac:dyDescent="0.35">
      <c r="A164" s="27" t="s">
        <v>44</v>
      </c>
      <c r="B164" s="33">
        <v>29426.996556454516</v>
      </c>
      <c r="C164" s="7">
        <v>3968.0230302725622</v>
      </c>
      <c r="D164" s="33">
        <v>6758.2973797357463</v>
      </c>
      <c r="E164" s="33">
        <v>2628.8264213149109</v>
      </c>
      <c r="F164" s="33">
        <v>1607.3251672180968</v>
      </c>
      <c r="G164" s="33">
        <v>5896.5155520826729</v>
      </c>
      <c r="H164" s="33">
        <v>10787.672615265688</v>
      </c>
    </row>
    <row r="165" spans="1:8" x14ac:dyDescent="0.35">
      <c r="A165" s="27" t="s">
        <v>45</v>
      </c>
      <c r="B165" s="33">
        <v>23008.420613022088</v>
      </c>
      <c r="C165" s="7">
        <v>11211.380976202934</v>
      </c>
      <c r="D165" s="33">
        <v>3986.3461316403736</v>
      </c>
      <c r="E165" s="33">
        <v>825.64680681829509</v>
      </c>
      <c r="F165" s="33">
        <v>1056.7803352065255</v>
      </c>
      <c r="G165" s="33">
        <v>3608.2480284092458</v>
      </c>
      <c r="H165" s="33">
        <v>5069.4543005180949</v>
      </c>
    </row>
    <row r="166" spans="1:8" x14ac:dyDescent="0.35">
      <c r="A166" s="27" t="s">
        <v>46</v>
      </c>
      <c r="B166" s="33">
        <v>341727.08280934318</v>
      </c>
      <c r="C166" s="7">
        <v>187083.59083103781</v>
      </c>
      <c r="D166" s="33">
        <v>41963.052940822898</v>
      </c>
      <c r="E166" s="33">
        <v>31445.071685365845</v>
      </c>
      <c r="F166" s="33">
        <v>16359.447759731414</v>
      </c>
      <c r="G166" s="33">
        <v>24300.436202890764</v>
      </c>
      <c r="H166" s="33">
        <v>71289.779988191032</v>
      </c>
    </row>
    <row r="167" spans="1:8" x14ac:dyDescent="0.35">
      <c r="A167" s="27" t="s">
        <v>47</v>
      </c>
      <c r="B167" s="33">
        <v>2729.0674038237776</v>
      </c>
      <c r="C167" s="7">
        <v>529.87410715160422</v>
      </c>
      <c r="D167" s="33">
        <v>979.23987303216381</v>
      </c>
      <c r="E167" s="33">
        <v>0</v>
      </c>
      <c r="F167" s="33">
        <v>652.67100553263151</v>
      </c>
      <c r="G167" s="33">
        <v>856.44297465113664</v>
      </c>
      <c r="H167" s="33">
        <v>326.56886749953236</v>
      </c>
    </row>
    <row r="168" spans="1:8" x14ac:dyDescent="0.35">
      <c r="A168" s="27" t="s">
        <v>48</v>
      </c>
      <c r="B168" s="33">
        <v>794.13768985920149</v>
      </c>
      <c r="C168" s="7">
        <v>0</v>
      </c>
      <c r="D168" s="33">
        <v>0</v>
      </c>
      <c r="E168" s="33">
        <v>0</v>
      </c>
      <c r="F168" s="33">
        <v>0</v>
      </c>
      <c r="G168" s="33">
        <v>0</v>
      </c>
      <c r="H168" s="33">
        <v>794.13768985920149</v>
      </c>
    </row>
    <row r="169" spans="1:8" x14ac:dyDescent="0.35">
      <c r="A169" s="27" t="s">
        <v>49</v>
      </c>
      <c r="B169" s="33">
        <v>0</v>
      </c>
      <c r="C169" s="7">
        <v>0</v>
      </c>
      <c r="D169" s="33">
        <v>0</v>
      </c>
      <c r="E169" s="33">
        <v>0</v>
      </c>
      <c r="F169" s="33">
        <v>0</v>
      </c>
      <c r="G169" s="33">
        <v>0</v>
      </c>
      <c r="H169" s="33">
        <v>0</v>
      </c>
    </row>
    <row r="170" spans="1:8" x14ac:dyDescent="0.35">
      <c r="A170" s="27" t="s">
        <v>50</v>
      </c>
      <c r="B170" s="33">
        <v>7040.4343494705327</v>
      </c>
      <c r="C170" s="7">
        <v>3772.4832000093284</v>
      </c>
      <c r="D170" s="33">
        <v>1273.6756297268853</v>
      </c>
      <c r="E170" s="33">
        <v>480.63873930495294</v>
      </c>
      <c r="F170" s="33">
        <v>636.80404613948906</v>
      </c>
      <c r="G170" s="33">
        <v>955.87508520488836</v>
      </c>
      <c r="H170" s="33">
        <v>630.2245748325106</v>
      </c>
    </row>
    <row r="171" spans="1:8" x14ac:dyDescent="0.35">
      <c r="A171" s="27" t="s">
        <v>51</v>
      </c>
      <c r="B171" s="33">
        <v>0</v>
      </c>
      <c r="C171" s="7">
        <v>0</v>
      </c>
      <c r="D171" s="33">
        <v>0</v>
      </c>
      <c r="E171" s="33">
        <v>0</v>
      </c>
      <c r="F171" s="33">
        <v>0</v>
      </c>
      <c r="G171" s="33">
        <v>0</v>
      </c>
      <c r="H171" s="33">
        <v>0</v>
      </c>
    </row>
    <row r="172" spans="1:8" x14ac:dyDescent="0.35">
      <c r="A172" s="27" t="s">
        <v>52</v>
      </c>
      <c r="B172" s="33">
        <v>0</v>
      </c>
      <c r="C172" s="7">
        <v>0</v>
      </c>
      <c r="D172" s="33">
        <v>0</v>
      </c>
      <c r="E172" s="33">
        <v>0</v>
      </c>
      <c r="F172" s="33">
        <v>0</v>
      </c>
      <c r="G172" s="33">
        <v>0</v>
      </c>
      <c r="H172" s="33">
        <v>0</v>
      </c>
    </row>
    <row r="173" spans="1:8" x14ac:dyDescent="0.35">
      <c r="A173" s="27" t="s">
        <v>53</v>
      </c>
      <c r="B173" s="33">
        <v>976.62689269564271</v>
      </c>
      <c r="C173" s="7">
        <v>0</v>
      </c>
      <c r="D173" s="33">
        <v>0</v>
      </c>
      <c r="E173" s="33">
        <v>0</v>
      </c>
      <c r="F173" s="33">
        <v>0</v>
      </c>
      <c r="G173" s="33">
        <v>0</v>
      </c>
      <c r="H173" s="33">
        <v>556.11179428146238</v>
      </c>
    </row>
    <row r="174" spans="1:8" x14ac:dyDescent="0.35">
      <c r="A174" s="27" t="s">
        <v>54</v>
      </c>
      <c r="B174" s="33">
        <v>0</v>
      </c>
      <c r="C174" s="7">
        <v>0</v>
      </c>
      <c r="D174" s="33">
        <v>0</v>
      </c>
      <c r="E174" s="33">
        <v>0</v>
      </c>
      <c r="F174" s="33">
        <v>0</v>
      </c>
      <c r="G174" s="33">
        <v>0</v>
      </c>
      <c r="H174" s="33">
        <v>0</v>
      </c>
    </row>
    <row r="175" spans="1:8" x14ac:dyDescent="0.35">
      <c r="A175" s="27" t="s">
        <v>55</v>
      </c>
      <c r="B175" s="33">
        <v>238.79252631366083</v>
      </c>
      <c r="C175" s="7">
        <v>0</v>
      </c>
      <c r="D175" s="33">
        <v>238.79252631366083</v>
      </c>
      <c r="E175" s="33">
        <v>0</v>
      </c>
      <c r="F175" s="33">
        <v>0</v>
      </c>
      <c r="G175" s="33">
        <v>0</v>
      </c>
      <c r="H175" s="33">
        <v>0</v>
      </c>
    </row>
    <row r="176" spans="1:8" x14ac:dyDescent="0.35">
      <c r="A176" s="27" t="s">
        <v>56</v>
      </c>
      <c r="B176" s="33">
        <v>601.18549872997175</v>
      </c>
      <c r="C176" s="7">
        <v>0</v>
      </c>
      <c r="D176" s="33">
        <v>0</v>
      </c>
      <c r="E176" s="33">
        <v>0</v>
      </c>
      <c r="F176" s="33">
        <v>601.18549872997175</v>
      </c>
      <c r="G176" s="33">
        <v>0</v>
      </c>
      <c r="H176" s="33">
        <v>601.18549872997175</v>
      </c>
    </row>
    <row r="177" spans="1:8" x14ac:dyDescent="0.35">
      <c r="A177" s="27" t="s">
        <v>57</v>
      </c>
      <c r="B177" s="33">
        <v>17889.630202673528</v>
      </c>
      <c r="C177" s="7">
        <v>3058.0288754635976</v>
      </c>
      <c r="D177" s="33">
        <v>2194.3005444964756</v>
      </c>
      <c r="E177" s="33">
        <v>3716.6270418143549</v>
      </c>
      <c r="F177" s="33">
        <v>5322.4368225708313</v>
      </c>
      <c r="G177" s="33">
        <v>4403.2370036823449</v>
      </c>
      <c r="H177" s="33">
        <v>1243.2210705926864</v>
      </c>
    </row>
    <row r="178" spans="1:8" x14ac:dyDescent="0.35">
      <c r="A178" s="27" t="s">
        <v>58</v>
      </c>
      <c r="B178" s="33">
        <v>0</v>
      </c>
      <c r="C178" s="7">
        <v>0</v>
      </c>
      <c r="D178" s="33">
        <v>0</v>
      </c>
      <c r="E178" s="33">
        <v>0</v>
      </c>
      <c r="F178" s="33">
        <v>0</v>
      </c>
      <c r="G178" s="33">
        <v>0</v>
      </c>
      <c r="H178" s="33">
        <v>0</v>
      </c>
    </row>
    <row r="179" spans="1:8" x14ac:dyDescent="0.35">
      <c r="A179" s="27" t="s">
        <v>59</v>
      </c>
      <c r="B179" s="33">
        <v>53776.364753451962</v>
      </c>
      <c r="C179" s="7">
        <v>1788.9619139540584</v>
      </c>
      <c r="D179" s="33">
        <v>2307.8081830630172</v>
      </c>
      <c r="E179" s="33">
        <v>2591.152572263888</v>
      </c>
      <c r="F179" s="33">
        <v>1386.0324785126959</v>
      </c>
      <c r="G179" s="33">
        <v>529.87410715160422</v>
      </c>
      <c r="H179" s="33">
        <v>7304.6334550836591</v>
      </c>
    </row>
    <row r="180" spans="1:8" x14ac:dyDescent="0.35">
      <c r="A180" s="27" t="s">
        <v>60</v>
      </c>
      <c r="B180" s="33">
        <v>8209.7759821482232</v>
      </c>
      <c r="C180" s="7">
        <v>5381.0848697963766</v>
      </c>
      <c r="D180" s="33">
        <v>1257.4832603177815</v>
      </c>
      <c r="E180" s="33">
        <v>0</v>
      </c>
      <c r="F180" s="33">
        <v>3001.8769710923643</v>
      </c>
      <c r="G180" s="33">
        <v>1395.5717354432506</v>
      </c>
      <c r="H180" s="33">
        <v>0</v>
      </c>
    </row>
    <row r="181" spans="1:8" x14ac:dyDescent="0.35">
      <c r="A181" s="27" t="s">
        <v>61</v>
      </c>
      <c r="B181" s="33">
        <v>735.04719133444701</v>
      </c>
      <c r="C181" s="7">
        <v>0</v>
      </c>
      <c r="D181" s="33">
        <v>735.04719133444701</v>
      </c>
      <c r="E181" s="33">
        <v>0</v>
      </c>
      <c r="F181" s="33">
        <v>0</v>
      </c>
      <c r="G181" s="33">
        <v>0</v>
      </c>
      <c r="H181" s="33">
        <v>0</v>
      </c>
    </row>
    <row r="182" spans="1:8" x14ac:dyDescent="0.35">
      <c r="A182" s="27" t="s">
        <v>62</v>
      </c>
      <c r="B182" s="33">
        <v>6459.4165720887268</v>
      </c>
      <c r="C182" s="7">
        <v>672.47595762752701</v>
      </c>
      <c r="D182" s="33">
        <v>1725.9423901406958</v>
      </c>
      <c r="E182" s="33">
        <v>0</v>
      </c>
      <c r="F182" s="33">
        <v>769.88200403794769</v>
      </c>
      <c r="G182" s="33">
        <v>0</v>
      </c>
      <c r="H182" s="33">
        <v>2467.5571493175826</v>
      </c>
    </row>
    <row r="183" spans="1:8" x14ac:dyDescent="0.35">
      <c r="A183" s="27" t="s">
        <v>63</v>
      </c>
      <c r="B183" s="33">
        <v>8108.1829751058413</v>
      </c>
      <c r="C183" s="7">
        <v>1551.7394143156012</v>
      </c>
      <c r="D183" s="33">
        <v>0</v>
      </c>
      <c r="E183" s="33">
        <v>0</v>
      </c>
      <c r="F183" s="33">
        <v>6556.4435607902396</v>
      </c>
      <c r="G183" s="33">
        <v>0</v>
      </c>
      <c r="H183" s="33">
        <v>0</v>
      </c>
    </row>
    <row r="184" spans="1:8" x14ac:dyDescent="0.35">
      <c r="A184" s="27" t="s">
        <v>64</v>
      </c>
      <c r="B184" s="33">
        <v>163180.61368724014</v>
      </c>
      <c r="C184" s="7">
        <v>95259.750724440382</v>
      </c>
      <c r="D184" s="33">
        <v>20806.91133388153</v>
      </c>
      <c r="E184" s="33">
        <v>12772.029227455729</v>
      </c>
      <c r="F184" s="33">
        <v>5207.2965225012285</v>
      </c>
      <c r="G184" s="33">
        <v>13910.988061811637</v>
      </c>
      <c r="H184" s="33">
        <v>30278.679036095124</v>
      </c>
    </row>
    <row r="185" spans="1:8" x14ac:dyDescent="0.35">
      <c r="A185" s="27" t="s">
        <v>65</v>
      </c>
      <c r="B185" s="33">
        <v>594.76915380393825</v>
      </c>
      <c r="C185" s="7">
        <v>0</v>
      </c>
      <c r="D185" s="33">
        <v>0</v>
      </c>
      <c r="E185" s="33">
        <v>0</v>
      </c>
      <c r="F185" s="33">
        <v>0</v>
      </c>
      <c r="G185" s="33">
        <v>0</v>
      </c>
      <c r="H185" s="33">
        <v>0</v>
      </c>
    </row>
    <row r="186" spans="1:8" x14ac:dyDescent="0.35">
      <c r="A186" s="27" t="s">
        <v>293</v>
      </c>
      <c r="B186" s="33">
        <v>7538.2383631398225</v>
      </c>
      <c r="C186" s="7">
        <v>1276.1323509988601</v>
      </c>
      <c r="D186" s="33">
        <v>638.91028608450154</v>
      </c>
      <c r="E186" s="33">
        <v>2501.2324392575979</v>
      </c>
      <c r="F186" s="33">
        <v>2978.6392602109891</v>
      </c>
      <c r="G186" s="33">
        <v>2425.6522674430526</v>
      </c>
      <c r="H186" s="33">
        <v>638.91028608450154</v>
      </c>
    </row>
    <row r="187" spans="1:8" x14ac:dyDescent="0.35">
      <c r="A187" s="27" t="s">
        <v>66</v>
      </c>
      <c r="B187" s="33">
        <v>0</v>
      </c>
      <c r="C187" s="7">
        <v>0</v>
      </c>
      <c r="D187" s="33">
        <v>0</v>
      </c>
      <c r="E187" s="33">
        <v>0</v>
      </c>
      <c r="F187" s="33">
        <v>0</v>
      </c>
      <c r="G187" s="33">
        <v>0</v>
      </c>
      <c r="H187" s="33">
        <v>0</v>
      </c>
    </row>
    <row r="188" spans="1:8" x14ac:dyDescent="0.35">
      <c r="A188" s="27" t="s">
        <v>67</v>
      </c>
      <c r="B188" s="33">
        <v>79754.965784281172</v>
      </c>
      <c r="C188" s="7">
        <v>6052.8434870600222</v>
      </c>
      <c r="D188" s="33">
        <v>2634.207327753661</v>
      </c>
      <c r="E188" s="33">
        <v>2027.2497746903814</v>
      </c>
      <c r="F188" s="33">
        <v>1128.0820698488255</v>
      </c>
      <c r="G188" s="33">
        <v>4796.8992745180112</v>
      </c>
      <c r="H188" s="33">
        <v>5214.3406390954424</v>
      </c>
    </row>
    <row r="189" spans="1:8" x14ac:dyDescent="0.35">
      <c r="A189" s="27" t="s">
        <v>68</v>
      </c>
      <c r="B189" s="33">
        <v>145071.1291341763</v>
      </c>
      <c r="C189" s="7">
        <v>22683.010006296059</v>
      </c>
      <c r="D189" s="33">
        <v>8911.9907196663335</v>
      </c>
      <c r="E189" s="33">
        <v>7548.6607363509966</v>
      </c>
      <c r="F189" s="33">
        <v>81937.396975144453</v>
      </c>
      <c r="G189" s="33">
        <v>11720.128785596449</v>
      </c>
      <c r="H189" s="33">
        <v>20077.579435458742</v>
      </c>
    </row>
    <row r="190" spans="1:8" x14ac:dyDescent="0.35">
      <c r="A190" s="27" t="s">
        <v>69</v>
      </c>
      <c r="B190" s="33">
        <v>273408.60909335612</v>
      </c>
      <c r="C190" s="7">
        <v>31135.742078564126</v>
      </c>
      <c r="D190" s="33">
        <v>19814.168979536014</v>
      </c>
      <c r="E190" s="33">
        <v>9626.422946136905</v>
      </c>
      <c r="F190" s="33">
        <v>189581.49371190337</v>
      </c>
      <c r="G190" s="33">
        <v>19851.732673361559</v>
      </c>
      <c r="H190" s="33">
        <v>27289.506206772552</v>
      </c>
    </row>
    <row r="191" spans="1:8" x14ac:dyDescent="0.35">
      <c r="A191" s="27" t="s">
        <v>70</v>
      </c>
      <c r="B191" s="33">
        <v>874.22377922473868</v>
      </c>
      <c r="C191" s="7">
        <v>874.22377922473868</v>
      </c>
      <c r="D191" s="33">
        <v>0</v>
      </c>
      <c r="E191" s="33">
        <v>0</v>
      </c>
      <c r="F191" s="33">
        <v>0</v>
      </c>
      <c r="G191" s="33">
        <v>317.18792687054588</v>
      </c>
      <c r="H191" s="33">
        <v>0</v>
      </c>
    </row>
    <row r="192" spans="1:8" x14ac:dyDescent="0.35">
      <c r="A192" s="27" t="s">
        <v>71</v>
      </c>
      <c r="B192" s="33">
        <v>4133.6037310509537</v>
      </c>
      <c r="C192" s="7">
        <v>1000.2526653673801</v>
      </c>
      <c r="D192" s="33">
        <v>754.83811051244379</v>
      </c>
      <c r="E192" s="33">
        <v>1565.9875894440415</v>
      </c>
      <c r="F192" s="33">
        <v>0</v>
      </c>
      <c r="G192" s="33">
        <v>464.97998811435372</v>
      </c>
      <c r="H192" s="33">
        <v>0</v>
      </c>
    </row>
    <row r="193" spans="1:8" x14ac:dyDescent="0.35">
      <c r="A193" s="27" t="s">
        <v>72</v>
      </c>
      <c r="B193" s="33">
        <v>988.92138878814649</v>
      </c>
      <c r="C193" s="7">
        <v>535.27267725302636</v>
      </c>
      <c r="D193" s="33">
        <v>535.27267725302636</v>
      </c>
      <c r="E193" s="33">
        <v>0</v>
      </c>
      <c r="F193" s="33">
        <v>0</v>
      </c>
      <c r="G193" s="33">
        <v>0</v>
      </c>
      <c r="H193" s="33">
        <v>453.64871153512007</v>
      </c>
    </row>
    <row r="194" spans="1:8" x14ac:dyDescent="0.35">
      <c r="A194" s="27" t="s">
        <v>73</v>
      </c>
      <c r="B194" s="33">
        <v>0</v>
      </c>
      <c r="C194" s="7">
        <v>0</v>
      </c>
      <c r="D194" s="33">
        <v>0</v>
      </c>
      <c r="E194" s="33">
        <v>0</v>
      </c>
      <c r="F194" s="33">
        <v>0</v>
      </c>
      <c r="G194" s="33">
        <v>0</v>
      </c>
      <c r="H194" s="33">
        <v>0</v>
      </c>
    </row>
    <row r="195" spans="1:8" x14ac:dyDescent="0.35">
      <c r="A195" s="27" t="s">
        <v>74</v>
      </c>
      <c r="B195" s="33">
        <v>1184.6431677098512</v>
      </c>
      <c r="C195" s="7">
        <v>0</v>
      </c>
      <c r="D195" s="33">
        <v>0</v>
      </c>
      <c r="E195" s="33">
        <v>0</v>
      </c>
      <c r="F195" s="33">
        <v>630.2245748325106</v>
      </c>
      <c r="G195" s="33">
        <v>0</v>
      </c>
      <c r="H195" s="33">
        <v>1184.6431677098512</v>
      </c>
    </row>
    <row r="196" spans="1:8" x14ac:dyDescent="0.35">
      <c r="A196" s="27" t="s">
        <v>75</v>
      </c>
      <c r="B196" s="33">
        <v>8403.7014335152307</v>
      </c>
      <c r="C196" s="7">
        <v>2049.0750069170344</v>
      </c>
      <c r="D196" s="33">
        <v>1484.6662393725392</v>
      </c>
      <c r="E196" s="33">
        <v>1106.71106139833</v>
      </c>
      <c r="F196" s="33">
        <v>2623.1344028462277</v>
      </c>
      <c r="G196" s="33">
        <v>2143.9237733503123</v>
      </c>
      <c r="H196" s="33">
        <v>304.68645040936059</v>
      </c>
    </row>
    <row r="197" spans="1:8" x14ac:dyDescent="0.35">
      <c r="A197" s="27" t="s">
        <v>76</v>
      </c>
      <c r="B197" s="33">
        <v>2650.1744887993791</v>
      </c>
      <c r="C197" s="7">
        <v>705.28791992152401</v>
      </c>
      <c r="D197" s="33">
        <v>368.01791642148265</v>
      </c>
      <c r="E197" s="33">
        <v>368.01791642148265</v>
      </c>
      <c r="F197" s="33">
        <v>0</v>
      </c>
      <c r="G197" s="33">
        <v>0</v>
      </c>
      <c r="H197" s="33">
        <v>2282.1565723778967</v>
      </c>
    </row>
    <row r="198" spans="1:8" x14ac:dyDescent="0.35">
      <c r="A198" s="27" t="s">
        <v>77</v>
      </c>
      <c r="B198" s="33">
        <v>4208.8885022311533</v>
      </c>
      <c r="C198" s="7">
        <v>2053.6342689734015</v>
      </c>
      <c r="D198" s="33">
        <v>638.91028608450154</v>
      </c>
      <c r="E198" s="33">
        <v>638.91028608450154</v>
      </c>
      <c r="F198" s="33">
        <v>2561.4634673132791</v>
      </c>
      <c r="G198" s="33">
        <v>1509.2568248246639</v>
      </c>
      <c r="H198" s="33">
        <v>1576.3296148255292</v>
      </c>
    </row>
    <row r="199" spans="1:8" x14ac:dyDescent="0.35">
      <c r="A199" s="27" t="s">
        <v>78</v>
      </c>
      <c r="B199" s="33">
        <v>9989.9425352218823</v>
      </c>
      <c r="C199" s="7">
        <v>673.74438429968745</v>
      </c>
      <c r="D199" s="33">
        <v>713.18403609900656</v>
      </c>
      <c r="E199" s="33">
        <v>0</v>
      </c>
      <c r="F199" s="33">
        <v>0</v>
      </c>
      <c r="G199" s="33">
        <v>322.68638343005381</v>
      </c>
      <c r="H199" s="33">
        <v>1129.6092247339868</v>
      </c>
    </row>
    <row r="200" spans="1:8" x14ac:dyDescent="0.35">
      <c r="A200" s="27" t="s">
        <v>79</v>
      </c>
      <c r="B200" s="33">
        <v>75920.817192405535</v>
      </c>
      <c r="C200" s="7">
        <v>12960.545974215329</v>
      </c>
      <c r="D200" s="33">
        <v>8136.999233310642</v>
      </c>
      <c r="E200" s="33">
        <v>18321.534252609697</v>
      </c>
      <c r="F200" s="33">
        <v>17497.272104015163</v>
      </c>
      <c r="G200" s="33">
        <v>14358.068711806738</v>
      </c>
      <c r="H200" s="33">
        <v>13141.573951507055</v>
      </c>
    </row>
    <row r="201" spans="1:8" x14ac:dyDescent="0.35">
      <c r="A201" s="27" t="s">
        <v>80</v>
      </c>
      <c r="B201" s="33">
        <v>1149.0319447022118</v>
      </c>
      <c r="C201" s="7">
        <v>0</v>
      </c>
      <c r="D201" s="33">
        <v>500.96311899648146</v>
      </c>
      <c r="E201" s="33">
        <v>0</v>
      </c>
      <c r="F201" s="33">
        <v>0</v>
      </c>
      <c r="G201" s="33">
        <v>0</v>
      </c>
      <c r="H201" s="33">
        <v>1149.0319447022118</v>
      </c>
    </row>
    <row r="202" spans="1:8" x14ac:dyDescent="0.35">
      <c r="A202" s="27" t="s">
        <v>81</v>
      </c>
      <c r="B202" s="33">
        <v>1609.3196599317664</v>
      </c>
      <c r="C202" s="7">
        <v>399.25517247772922</v>
      </c>
      <c r="D202" s="33">
        <v>420.51509841418027</v>
      </c>
      <c r="E202" s="33">
        <v>0</v>
      </c>
      <c r="F202" s="33">
        <v>399.25517247772922</v>
      </c>
      <c r="G202" s="33">
        <v>0</v>
      </c>
      <c r="H202" s="33">
        <v>725.82403997726158</v>
      </c>
    </row>
    <row r="203" spans="1:8" x14ac:dyDescent="0.35">
      <c r="A203" s="27" t="s">
        <v>82</v>
      </c>
      <c r="B203" s="33">
        <v>690297.29119167814</v>
      </c>
      <c r="C203" s="7">
        <v>352466.94452887727</v>
      </c>
      <c r="D203" s="33">
        <v>99063.971852356568</v>
      </c>
      <c r="E203" s="33">
        <v>41175.697001603934</v>
      </c>
      <c r="F203" s="33">
        <v>59573.134240498301</v>
      </c>
      <c r="G203" s="33">
        <v>42488.944092784674</v>
      </c>
      <c r="H203" s="33">
        <v>130409.52330697021</v>
      </c>
    </row>
    <row r="204" spans="1:8" x14ac:dyDescent="0.35">
      <c r="A204" s="27" t="s">
        <v>83</v>
      </c>
      <c r="B204" s="33">
        <v>1225.4541435700412</v>
      </c>
      <c r="C204" s="7">
        <v>665.27015884388175</v>
      </c>
      <c r="D204" s="33">
        <v>665.27015884388175</v>
      </c>
      <c r="E204" s="33">
        <v>0</v>
      </c>
      <c r="F204" s="33">
        <v>560.18398472615945</v>
      </c>
      <c r="G204" s="33">
        <v>0</v>
      </c>
      <c r="H204" s="33">
        <v>665.27015884388175</v>
      </c>
    </row>
    <row r="205" spans="1:8" x14ac:dyDescent="0.35">
      <c r="A205" s="27" t="s">
        <v>84</v>
      </c>
      <c r="B205" s="33">
        <v>1436.6966945970157</v>
      </c>
      <c r="C205" s="7">
        <v>619.67421401732236</v>
      </c>
      <c r="D205" s="33">
        <v>0</v>
      </c>
      <c r="E205" s="33">
        <v>0</v>
      </c>
      <c r="F205" s="33">
        <v>619.67421401732236</v>
      </c>
      <c r="G205" s="33">
        <v>0</v>
      </c>
      <c r="H205" s="33">
        <v>0</v>
      </c>
    </row>
    <row r="206" spans="1:8" x14ac:dyDescent="0.35">
      <c r="A206" s="27" t="s">
        <v>85</v>
      </c>
      <c r="B206" s="33">
        <v>0</v>
      </c>
      <c r="C206" s="7">
        <v>0</v>
      </c>
      <c r="D206" s="33">
        <v>0</v>
      </c>
      <c r="E206" s="33">
        <v>0</v>
      </c>
      <c r="F206" s="33">
        <v>0</v>
      </c>
      <c r="G206" s="33">
        <v>0</v>
      </c>
      <c r="H206" s="33">
        <v>0</v>
      </c>
    </row>
    <row r="207" spans="1:8" x14ac:dyDescent="0.35">
      <c r="A207" s="27" t="s">
        <v>86</v>
      </c>
      <c r="B207" s="33">
        <v>26493.627886327482</v>
      </c>
      <c r="C207" s="7">
        <v>8099.7324118529232</v>
      </c>
      <c r="D207" s="33">
        <v>4170.6993736761033</v>
      </c>
      <c r="E207" s="33">
        <v>2199.8835405068539</v>
      </c>
      <c r="F207" s="33">
        <v>5544.6970014787603</v>
      </c>
      <c r="G207" s="33">
        <v>6009.2820529530109</v>
      </c>
      <c r="H207" s="33">
        <v>2148.1037489721439</v>
      </c>
    </row>
    <row r="208" spans="1:8" x14ac:dyDescent="0.35">
      <c r="A208" s="27" t="s">
        <v>87</v>
      </c>
      <c r="B208" s="33">
        <v>1392.9904808695251</v>
      </c>
      <c r="C208" s="7">
        <v>665.27015884388175</v>
      </c>
      <c r="D208" s="33">
        <v>665.27015884388175</v>
      </c>
      <c r="E208" s="33">
        <v>0</v>
      </c>
      <c r="F208" s="33">
        <v>0</v>
      </c>
      <c r="G208" s="33">
        <v>727.72032202564333</v>
      </c>
      <c r="H208" s="33">
        <v>1392.9904808695251</v>
      </c>
    </row>
    <row r="209" spans="1:8" x14ac:dyDescent="0.35">
      <c r="A209" s="27" t="s">
        <v>88</v>
      </c>
      <c r="B209" s="33">
        <v>5275.9962272972007</v>
      </c>
      <c r="C209" s="7">
        <v>665.83001357581429</v>
      </c>
      <c r="D209" s="33">
        <v>2250.3874089336914</v>
      </c>
      <c r="E209" s="33">
        <v>0</v>
      </c>
      <c r="F209" s="33">
        <v>1354.9159317546973</v>
      </c>
      <c r="G209" s="33">
        <v>0</v>
      </c>
      <c r="H209" s="33">
        <v>0</v>
      </c>
    </row>
    <row r="210" spans="1:8" x14ac:dyDescent="0.35">
      <c r="A210" s="27" t="s">
        <v>89</v>
      </c>
      <c r="B210" s="33">
        <v>336432.07576629875</v>
      </c>
      <c r="C210" s="7">
        <v>72443.518042438693</v>
      </c>
      <c r="D210" s="33">
        <v>32645.950749640357</v>
      </c>
      <c r="E210" s="33">
        <v>64271.560782518558</v>
      </c>
      <c r="F210" s="33">
        <v>139694.51515274373</v>
      </c>
      <c r="G210" s="33">
        <v>14167.894651821853</v>
      </c>
      <c r="H210" s="33">
        <v>13318.243492163139</v>
      </c>
    </row>
    <row r="211" spans="1:8" x14ac:dyDescent="0.35">
      <c r="A211" s="27" t="s">
        <v>90</v>
      </c>
      <c r="B211" s="33">
        <v>4149.0273091156614</v>
      </c>
      <c r="C211" s="7">
        <v>0</v>
      </c>
      <c r="D211" s="33">
        <v>420.51509841418027</v>
      </c>
      <c r="E211" s="33">
        <v>372.86038481303859</v>
      </c>
      <c r="F211" s="33">
        <v>447.49425088898766</v>
      </c>
      <c r="G211" s="33">
        <v>0</v>
      </c>
      <c r="H211" s="33">
        <v>2290.0914998731969</v>
      </c>
    </row>
    <row r="212" spans="1:8" x14ac:dyDescent="0.35">
      <c r="A212" s="27" t="s">
        <v>91</v>
      </c>
      <c r="B212" s="33">
        <v>0</v>
      </c>
      <c r="C212" s="7">
        <v>0</v>
      </c>
      <c r="D212" s="33">
        <v>0</v>
      </c>
      <c r="E212" s="33">
        <v>0</v>
      </c>
      <c r="F212" s="33">
        <v>0</v>
      </c>
      <c r="G212" s="33">
        <v>0</v>
      </c>
      <c r="H212" s="33">
        <v>0</v>
      </c>
    </row>
    <row r="213" spans="1:8" x14ac:dyDescent="0.35">
      <c r="A213" s="27" t="s">
        <v>92</v>
      </c>
      <c r="B213" s="33">
        <v>52986.663148399173</v>
      </c>
      <c r="C213" s="7">
        <v>36017.80287974573</v>
      </c>
      <c r="D213" s="33">
        <v>7414.8113938659772</v>
      </c>
      <c r="E213" s="33">
        <v>2241.3295398728874</v>
      </c>
      <c r="F213" s="33">
        <v>1466.6136474867285</v>
      </c>
      <c r="G213" s="33">
        <v>3096.8083101829693</v>
      </c>
      <c r="H213" s="33">
        <v>9012.5705394194811</v>
      </c>
    </row>
    <row r="214" spans="1:8" x14ac:dyDescent="0.35">
      <c r="A214" s="27" t="s">
        <v>93</v>
      </c>
      <c r="B214" s="33">
        <v>1459.9677034350157</v>
      </c>
      <c r="C214" s="7">
        <v>0</v>
      </c>
      <c r="D214" s="33">
        <v>794.13768985920149</v>
      </c>
      <c r="E214" s="33">
        <v>0</v>
      </c>
      <c r="F214" s="33">
        <v>665.83001357581429</v>
      </c>
      <c r="G214" s="33">
        <v>794.13768985920149</v>
      </c>
      <c r="H214" s="33">
        <v>794.13768985920149</v>
      </c>
    </row>
    <row r="215" spans="1:8" x14ac:dyDescent="0.35">
      <c r="A215" s="27" t="s">
        <v>94</v>
      </c>
      <c r="B215" s="33">
        <v>3074.6701139343272</v>
      </c>
      <c r="C215" s="7">
        <v>1243.5599177332047</v>
      </c>
      <c r="D215" s="33">
        <v>316.84737033057741</v>
      </c>
      <c r="E215" s="33">
        <v>0</v>
      </c>
      <c r="F215" s="33">
        <v>0</v>
      </c>
      <c r="G215" s="33">
        <v>1143.1881199659265</v>
      </c>
      <c r="H215" s="33">
        <v>544.83351883781916</v>
      </c>
    </row>
    <row r="216" spans="1:8" x14ac:dyDescent="0.35">
      <c r="A216" s="27" t="s">
        <v>95</v>
      </c>
      <c r="B216" s="33">
        <v>632.38973980475498</v>
      </c>
      <c r="C216" s="7">
        <v>0</v>
      </c>
      <c r="D216" s="33">
        <v>632.38973980475498</v>
      </c>
      <c r="E216" s="33">
        <v>0</v>
      </c>
      <c r="F216" s="33">
        <v>0</v>
      </c>
      <c r="G216" s="33">
        <v>0</v>
      </c>
      <c r="H216" s="33">
        <v>0</v>
      </c>
    </row>
    <row r="217" spans="1:8" x14ac:dyDescent="0.35">
      <c r="A217" s="27" t="s">
        <v>96</v>
      </c>
      <c r="B217" s="33">
        <v>9238.6093556215274</v>
      </c>
      <c r="C217" s="7">
        <v>0</v>
      </c>
      <c r="D217" s="33">
        <v>1437.9021302748597</v>
      </c>
      <c r="E217" s="33">
        <v>1678.6530051073678</v>
      </c>
      <c r="F217" s="33">
        <v>1847.0163101570301</v>
      </c>
      <c r="G217" s="33">
        <v>1853.3267029325971</v>
      </c>
      <c r="H217" s="33">
        <v>529.87410715160422</v>
      </c>
    </row>
    <row r="218" spans="1:8" x14ac:dyDescent="0.35">
      <c r="A218" s="27" t="s">
        <v>97</v>
      </c>
      <c r="B218" s="33">
        <v>1323.6016126353049</v>
      </c>
      <c r="C218" s="7">
        <v>0</v>
      </c>
      <c r="D218" s="33">
        <v>0</v>
      </c>
      <c r="E218" s="33">
        <v>1323.6016126353049</v>
      </c>
      <c r="F218" s="33">
        <v>1323.6016126353049</v>
      </c>
      <c r="G218" s="33">
        <v>0</v>
      </c>
      <c r="H218" s="33">
        <v>0</v>
      </c>
    </row>
    <row r="219" spans="1:8" x14ac:dyDescent="0.35">
      <c r="A219" s="27" t="s">
        <v>98</v>
      </c>
      <c r="B219" s="33">
        <v>10768.02329893227</v>
      </c>
      <c r="C219" s="7">
        <v>4446.9144452528653</v>
      </c>
      <c r="D219" s="33">
        <v>1308.7946701982928</v>
      </c>
      <c r="E219" s="33">
        <v>2043.8418615327398</v>
      </c>
      <c r="F219" s="33">
        <v>2573.6168931597213</v>
      </c>
      <c r="G219" s="33">
        <v>1038.7319709710489</v>
      </c>
      <c r="H219" s="33">
        <v>961.12931234569896</v>
      </c>
    </row>
    <row r="220" spans="1:8" x14ac:dyDescent="0.35">
      <c r="A220" s="27" t="s">
        <v>99</v>
      </c>
      <c r="B220" s="33">
        <v>31992.412321729014</v>
      </c>
      <c r="C220" s="7">
        <v>7747.2458499969889</v>
      </c>
      <c r="D220" s="33">
        <v>4171.1754979659318</v>
      </c>
      <c r="E220" s="33">
        <v>2760.9326692999366</v>
      </c>
      <c r="F220" s="33">
        <v>17983.832806642833</v>
      </c>
      <c r="G220" s="33">
        <v>1055.2429217055799</v>
      </c>
      <c r="H220" s="33">
        <v>1380.9981983898997</v>
      </c>
    </row>
    <row r="221" spans="1:8" x14ac:dyDescent="0.35">
      <c r="A221" s="27" t="s">
        <v>100</v>
      </c>
      <c r="B221" s="33">
        <v>89707.419107488502</v>
      </c>
      <c r="C221" s="7">
        <v>15820.577496929867</v>
      </c>
      <c r="D221" s="33">
        <v>8518.4686925035712</v>
      </c>
      <c r="E221" s="33">
        <v>5307.8392035615871</v>
      </c>
      <c r="F221" s="33">
        <v>52256.669090201198</v>
      </c>
      <c r="G221" s="33">
        <v>9350.5094995719064</v>
      </c>
      <c r="H221" s="33">
        <v>5980.2803785303977</v>
      </c>
    </row>
    <row r="222" spans="1:8" x14ac:dyDescent="0.35">
      <c r="A222" s="27" t="s">
        <v>101</v>
      </c>
      <c r="B222" s="33">
        <v>960.26360816068723</v>
      </c>
      <c r="C222" s="7">
        <v>960.26360816068723</v>
      </c>
      <c r="D222" s="33">
        <v>0</v>
      </c>
      <c r="E222" s="33">
        <v>0</v>
      </c>
      <c r="F222" s="33">
        <v>316.84737033057741</v>
      </c>
      <c r="G222" s="33">
        <v>0</v>
      </c>
      <c r="H222" s="33">
        <v>316.84737033057741</v>
      </c>
    </row>
    <row r="223" spans="1:8" x14ac:dyDescent="0.35">
      <c r="A223" s="27" t="s">
        <v>102</v>
      </c>
      <c r="B223" s="33">
        <v>316.84737033057741</v>
      </c>
      <c r="C223" s="7">
        <v>316.84737033057741</v>
      </c>
      <c r="D223" s="33">
        <v>0</v>
      </c>
      <c r="E223" s="33">
        <v>0</v>
      </c>
      <c r="F223" s="33">
        <v>316.84737033057741</v>
      </c>
      <c r="G223" s="33">
        <v>0</v>
      </c>
      <c r="H223" s="33">
        <v>316.84737033057741</v>
      </c>
    </row>
    <row r="224" spans="1:8" x14ac:dyDescent="0.35">
      <c r="A224" s="27" t="s">
        <v>103</v>
      </c>
      <c r="B224" s="33">
        <v>0</v>
      </c>
      <c r="C224" s="7">
        <v>0</v>
      </c>
      <c r="D224" s="33">
        <v>0</v>
      </c>
      <c r="E224" s="33">
        <v>0</v>
      </c>
      <c r="F224" s="33">
        <v>0</v>
      </c>
      <c r="G224" s="33">
        <v>0</v>
      </c>
      <c r="H224" s="33">
        <v>0</v>
      </c>
    </row>
    <row r="225" spans="1:8" x14ac:dyDescent="0.35">
      <c r="A225" s="27" t="s">
        <v>104</v>
      </c>
      <c r="B225" s="33">
        <v>4682.2125863316787</v>
      </c>
      <c r="C225" s="7">
        <v>0</v>
      </c>
      <c r="D225" s="33">
        <v>0</v>
      </c>
      <c r="E225" s="33">
        <v>619.72574148449496</v>
      </c>
      <c r="F225" s="33">
        <v>2402.0655267067004</v>
      </c>
      <c r="G225" s="33">
        <v>1239.9062197263033</v>
      </c>
      <c r="H225" s="33">
        <v>0</v>
      </c>
    </row>
    <row r="226" spans="1:8" x14ac:dyDescent="0.35">
      <c r="A226" s="27" t="s">
        <v>105</v>
      </c>
      <c r="B226" s="33">
        <v>2696.1600259480338</v>
      </c>
      <c r="C226" s="7">
        <v>1871.1186011982047</v>
      </c>
      <c r="D226" s="33">
        <v>426.74808063064381</v>
      </c>
      <c r="E226" s="33">
        <v>0</v>
      </c>
      <c r="F226" s="33">
        <v>730.3638590980471</v>
      </c>
      <c r="G226" s="33">
        <v>730.3638590980471</v>
      </c>
      <c r="H226" s="33">
        <v>1128.6572032172319</v>
      </c>
    </row>
    <row r="227" spans="1:8" x14ac:dyDescent="0.35">
      <c r="A227" s="27" t="s">
        <v>106</v>
      </c>
      <c r="B227" s="33">
        <v>801.20864981423881</v>
      </c>
      <c r="C227" s="7">
        <v>801.20864981423881</v>
      </c>
      <c r="D227" s="33">
        <v>0</v>
      </c>
      <c r="E227" s="33">
        <v>0</v>
      </c>
      <c r="F227" s="33">
        <v>801.20864981423881</v>
      </c>
      <c r="G227" s="33">
        <v>0</v>
      </c>
      <c r="H227" s="33">
        <v>0</v>
      </c>
    </row>
    <row r="228" spans="1:8" x14ac:dyDescent="0.35">
      <c r="A228" s="27" t="s">
        <v>107</v>
      </c>
      <c r="B228" s="33">
        <v>34307.090241120197</v>
      </c>
      <c r="C228" s="7">
        <v>23744.007533997839</v>
      </c>
      <c r="D228" s="33">
        <v>2897.6213545126138</v>
      </c>
      <c r="E228" s="33">
        <v>648.06882570573032</v>
      </c>
      <c r="F228" s="33">
        <v>0</v>
      </c>
      <c r="G228" s="33">
        <v>1091.6444579041786</v>
      </c>
      <c r="H228" s="33">
        <v>0</v>
      </c>
    </row>
    <row r="229" spans="1:8" x14ac:dyDescent="0.35">
      <c r="A229" s="27" t="s">
        <v>108</v>
      </c>
      <c r="B229" s="33">
        <v>0</v>
      </c>
      <c r="C229" s="7">
        <v>0</v>
      </c>
      <c r="D229" s="33">
        <v>0</v>
      </c>
      <c r="E229" s="33">
        <v>0</v>
      </c>
      <c r="F229" s="33">
        <v>0</v>
      </c>
      <c r="G229" s="33">
        <v>0</v>
      </c>
      <c r="H229" s="33">
        <v>0</v>
      </c>
    </row>
    <row r="230" spans="1:8" x14ac:dyDescent="0.35">
      <c r="A230" s="27" t="s">
        <v>109</v>
      </c>
      <c r="B230" s="33">
        <v>0</v>
      </c>
      <c r="C230" s="7">
        <v>0</v>
      </c>
      <c r="D230" s="33">
        <v>0</v>
      </c>
      <c r="E230" s="33">
        <v>0</v>
      </c>
      <c r="F230" s="33">
        <v>0</v>
      </c>
      <c r="G230" s="33">
        <v>0</v>
      </c>
      <c r="H230" s="33">
        <v>0</v>
      </c>
    </row>
    <row r="231" spans="1:8" x14ac:dyDescent="0.35">
      <c r="A231" s="27" t="s">
        <v>110</v>
      </c>
      <c r="B231" s="33">
        <v>44895.986656875451</v>
      </c>
      <c r="C231" s="7">
        <v>10069.139535869901</v>
      </c>
      <c r="D231" s="33">
        <v>3491.7487138479491</v>
      </c>
      <c r="E231" s="33">
        <v>1898.5599236879762</v>
      </c>
      <c r="F231" s="33">
        <v>23959.998290650852</v>
      </c>
      <c r="G231" s="33">
        <v>4003.9870567410662</v>
      </c>
      <c r="H231" s="33">
        <v>1238.9760577154793</v>
      </c>
    </row>
    <row r="232" spans="1:8" x14ac:dyDescent="0.35">
      <c r="A232" s="27" t="s">
        <v>111</v>
      </c>
      <c r="B232" s="33">
        <v>8201.9342832474176</v>
      </c>
      <c r="C232" s="7">
        <v>1707.2760636697353</v>
      </c>
      <c r="D232" s="33">
        <v>0</v>
      </c>
      <c r="E232" s="33">
        <v>0</v>
      </c>
      <c r="F232" s="33">
        <v>6922.5550038329493</v>
      </c>
      <c r="G232" s="33">
        <v>427.89678425526654</v>
      </c>
      <c r="H232" s="33">
        <v>0</v>
      </c>
    </row>
    <row r="233" spans="1:8" x14ac:dyDescent="0.35">
      <c r="A233" s="27" t="s">
        <v>112</v>
      </c>
      <c r="B233" s="33">
        <v>0</v>
      </c>
      <c r="C233" s="7">
        <v>0</v>
      </c>
      <c r="D233" s="33">
        <v>0</v>
      </c>
      <c r="E233" s="33">
        <v>0</v>
      </c>
      <c r="F233" s="33">
        <v>0</v>
      </c>
      <c r="G233" s="33">
        <v>0</v>
      </c>
      <c r="H233" s="33">
        <v>0</v>
      </c>
    </row>
    <row r="234" spans="1:8" x14ac:dyDescent="0.35">
      <c r="A234" s="27" t="s">
        <v>113</v>
      </c>
      <c r="B234" s="33">
        <v>17145.543765762795</v>
      </c>
      <c r="C234" s="7">
        <v>2673.7898128448396</v>
      </c>
      <c r="D234" s="33">
        <v>2268.7363942845864</v>
      </c>
      <c r="E234" s="33">
        <v>1572.0942718622737</v>
      </c>
      <c r="F234" s="33">
        <v>2462.6852793819489</v>
      </c>
      <c r="G234" s="33">
        <v>3370.719580513779</v>
      </c>
      <c r="H234" s="33">
        <v>612.40335582344369</v>
      </c>
    </row>
    <row r="235" spans="1:8" x14ac:dyDescent="0.35">
      <c r="A235" s="27" t="s">
        <v>114</v>
      </c>
      <c r="B235" s="33">
        <v>1237.6959118096706</v>
      </c>
      <c r="C235" s="7">
        <v>880.35987472557963</v>
      </c>
      <c r="D235" s="33">
        <v>0</v>
      </c>
      <c r="E235" s="33">
        <v>357.33603708409095</v>
      </c>
      <c r="F235" s="33">
        <v>0</v>
      </c>
      <c r="G235" s="33">
        <v>357.33603708409095</v>
      </c>
      <c r="H235" s="33">
        <v>0</v>
      </c>
    </row>
    <row r="236" spans="1:8" x14ac:dyDescent="0.35">
      <c r="A236" s="27" t="s">
        <v>115</v>
      </c>
      <c r="B236" s="33">
        <v>8496.3535422857749</v>
      </c>
      <c r="C236" s="7">
        <v>1121.9736595937236</v>
      </c>
      <c r="D236" s="33">
        <v>304.79388713216304</v>
      </c>
      <c r="E236" s="33">
        <v>0</v>
      </c>
      <c r="F236" s="33">
        <v>310.16031280384686</v>
      </c>
      <c r="G236" s="33">
        <v>0</v>
      </c>
      <c r="H236" s="33">
        <v>0</v>
      </c>
    </row>
    <row r="237" spans="1:8" x14ac:dyDescent="0.35">
      <c r="A237" s="27" t="s">
        <v>116</v>
      </c>
      <c r="B237" s="33">
        <v>0</v>
      </c>
      <c r="C237" s="7">
        <v>0</v>
      </c>
      <c r="D237" s="33">
        <v>0</v>
      </c>
      <c r="E237" s="33">
        <v>0</v>
      </c>
      <c r="F237" s="33">
        <v>0</v>
      </c>
      <c r="G237" s="33">
        <v>0</v>
      </c>
      <c r="H237" s="33">
        <v>0</v>
      </c>
    </row>
    <row r="238" spans="1:8" x14ac:dyDescent="0.35">
      <c r="A238" s="27" t="s">
        <v>117</v>
      </c>
      <c r="B238" s="33">
        <v>8184.6359350563707</v>
      </c>
      <c r="C238" s="7">
        <v>1111.0493472460548</v>
      </c>
      <c r="D238" s="33">
        <v>0</v>
      </c>
      <c r="E238" s="33">
        <v>1410.9890661932527</v>
      </c>
      <c r="F238" s="33">
        <v>4573.0355610950755</v>
      </c>
      <c r="G238" s="33">
        <v>1089.5619605219856</v>
      </c>
      <c r="H238" s="33">
        <v>0</v>
      </c>
    </row>
    <row r="239" spans="1:8" x14ac:dyDescent="0.35">
      <c r="A239" s="27" t="s">
        <v>118</v>
      </c>
      <c r="B239" s="33">
        <v>239315.16863162574</v>
      </c>
      <c r="C239" s="7">
        <v>141472.45570973548</v>
      </c>
      <c r="D239" s="33">
        <v>33318.806758341962</v>
      </c>
      <c r="E239" s="33">
        <v>10760.471283106954</v>
      </c>
      <c r="F239" s="33">
        <v>6335.9361111067628</v>
      </c>
      <c r="G239" s="33">
        <v>7207.3628312526544</v>
      </c>
      <c r="H239" s="33">
        <v>60729.320748326987</v>
      </c>
    </row>
    <row r="240" spans="1:8" x14ac:dyDescent="0.35">
      <c r="A240" s="27" t="s">
        <v>119</v>
      </c>
      <c r="B240" s="33">
        <v>2286.962667298792</v>
      </c>
      <c r="C240" s="7">
        <v>0</v>
      </c>
      <c r="D240" s="33">
        <v>682.02941766321101</v>
      </c>
      <c r="E240" s="33">
        <v>0</v>
      </c>
      <c r="F240" s="33">
        <v>1604.933249635581</v>
      </c>
      <c r="G240" s="33">
        <v>0</v>
      </c>
      <c r="H240" s="33">
        <v>0</v>
      </c>
    </row>
    <row r="241" spans="1:8" x14ac:dyDescent="0.35">
      <c r="A241" s="27" t="s">
        <v>120</v>
      </c>
      <c r="B241" s="33">
        <v>1352.9480612266002</v>
      </c>
      <c r="C241" s="7">
        <v>732.11172684150199</v>
      </c>
      <c r="D241" s="33">
        <v>0</v>
      </c>
      <c r="E241" s="33">
        <v>0</v>
      </c>
      <c r="F241" s="33">
        <v>0</v>
      </c>
      <c r="G241" s="33">
        <v>0</v>
      </c>
      <c r="H241" s="33">
        <v>620.83633438509821</v>
      </c>
    </row>
    <row r="242" spans="1:8" x14ac:dyDescent="0.35">
      <c r="A242" s="27" t="s">
        <v>121</v>
      </c>
      <c r="B242" s="33">
        <v>784.01377278743121</v>
      </c>
      <c r="C242" s="7">
        <v>784.01377278743121</v>
      </c>
      <c r="D242" s="33">
        <v>0</v>
      </c>
      <c r="E242" s="33">
        <v>0</v>
      </c>
      <c r="F242" s="33">
        <v>0</v>
      </c>
      <c r="G242" s="33">
        <v>0</v>
      </c>
      <c r="H242" s="33">
        <v>0</v>
      </c>
    </row>
    <row r="243" spans="1:8" x14ac:dyDescent="0.35">
      <c r="A243" s="27" t="s">
        <v>122</v>
      </c>
      <c r="B243" s="33">
        <v>19561.197381782662</v>
      </c>
      <c r="C243" s="7">
        <v>11900.780042919092</v>
      </c>
      <c r="D243" s="33">
        <v>2178.0415517890087</v>
      </c>
      <c r="E243" s="33">
        <v>0</v>
      </c>
      <c r="F243" s="33">
        <v>0</v>
      </c>
      <c r="G243" s="33">
        <v>1731.8086472299137</v>
      </c>
      <c r="H243" s="33">
        <v>3266.6992787721047</v>
      </c>
    </row>
    <row r="244" spans="1:8" x14ac:dyDescent="0.35">
      <c r="A244" s="27" t="s">
        <v>123</v>
      </c>
      <c r="B244" s="33">
        <v>987.2625106615161</v>
      </c>
      <c r="C244" s="7">
        <v>0</v>
      </c>
      <c r="D244" s="33">
        <v>0</v>
      </c>
      <c r="E244" s="33">
        <v>337.27000350004141</v>
      </c>
      <c r="F244" s="33">
        <v>0</v>
      </c>
      <c r="G244" s="33">
        <v>0</v>
      </c>
      <c r="H244" s="33">
        <v>337.27000350004141</v>
      </c>
    </row>
    <row r="245" spans="1:8" x14ac:dyDescent="0.35">
      <c r="A245" s="27" t="s">
        <v>124</v>
      </c>
      <c r="B245" s="33">
        <v>480.63873930495294</v>
      </c>
      <c r="C245" s="7">
        <v>0</v>
      </c>
      <c r="D245" s="33">
        <v>0</v>
      </c>
      <c r="E245" s="33">
        <v>0</v>
      </c>
      <c r="F245" s="33">
        <v>0</v>
      </c>
      <c r="G245" s="33">
        <v>480.63873930495294</v>
      </c>
      <c r="H245" s="33">
        <v>0</v>
      </c>
    </row>
    <row r="246" spans="1:8" x14ac:dyDescent="0.35">
      <c r="A246" s="27" t="s">
        <v>125</v>
      </c>
      <c r="B246" s="33">
        <v>6528.5119662291081</v>
      </c>
      <c r="C246" s="7">
        <v>1360.3348482006145</v>
      </c>
      <c r="D246" s="33">
        <v>1272.288465464715</v>
      </c>
      <c r="E246" s="33">
        <v>304.79388713216304</v>
      </c>
      <c r="F246" s="33">
        <v>5135.7010016606155</v>
      </c>
      <c r="G246" s="33">
        <v>0</v>
      </c>
      <c r="H246" s="33">
        <v>630.2245748325106</v>
      </c>
    </row>
    <row r="247" spans="1:8" x14ac:dyDescent="0.35">
      <c r="A247" s="27" t="s">
        <v>126</v>
      </c>
      <c r="B247" s="33">
        <v>0</v>
      </c>
      <c r="C247" s="7">
        <v>0</v>
      </c>
      <c r="D247" s="33">
        <v>0</v>
      </c>
      <c r="E247" s="33">
        <v>0</v>
      </c>
      <c r="F247" s="33">
        <v>0</v>
      </c>
      <c r="G247" s="33">
        <v>0</v>
      </c>
      <c r="H247" s="33">
        <v>0</v>
      </c>
    </row>
    <row r="248" spans="1:8" x14ac:dyDescent="0.35">
      <c r="A248" s="27" t="s">
        <v>127</v>
      </c>
      <c r="B248" s="33">
        <v>2600.5206922741318</v>
      </c>
      <c r="C248" s="7">
        <v>720.70167976842686</v>
      </c>
      <c r="D248" s="33">
        <v>813.88583086810559</v>
      </c>
      <c r="E248" s="33">
        <v>0</v>
      </c>
      <c r="F248" s="33">
        <v>1065.9331816375993</v>
      </c>
      <c r="G248" s="33">
        <v>0</v>
      </c>
      <c r="H248" s="33">
        <v>0</v>
      </c>
    </row>
    <row r="249" spans="1:8" x14ac:dyDescent="0.35">
      <c r="A249" s="27" t="s">
        <v>286</v>
      </c>
      <c r="B249" s="33">
        <v>4031.1469522487523</v>
      </c>
      <c r="C249" s="7">
        <v>1259.1359257473171</v>
      </c>
      <c r="D249" s="33">
        <v>630.53680495207675</v>
      </c>
      <c r="E249" s="33">
        <v>1151.5309450581242</v>
      </c>
      <c r="F249" s="33">
        <v>465.22729127183288</v>
      </c>
      <c r="G249" s="33">
        <v>630.53680495207675</v>
      </c>
      <c r="H249" s="33">
        <v>1121.9414059365718</v>
      </c>
    </row>
    <row r="250" spans="1:8" x14ac:dyDescent="0.35">
      <c r="A250" s="27" t="s">
        <v>128</v>
      </c>
      <c r="B250" s="33">
        <v>3652.2653639716077</v>
      </c>
      <c r="C250" s="7">
        <v>0</v>
      </c>
      <c r="D250" s="33">
        <v>795.17926660902083</v>
      </c>
      <c r="E250" s="33">
        <v>570.8629885364943</v>
      </c>
      <c r="F250" s="33">
        <v>1670.8662738999792</v>
      </c>
      <c r="G250" s="33">
        <v>963.04185064614637</v>
      </c>
      <c r="H250" s="33">
        <v>0</v>
      </c>
    </row>
    <row r="251" spans="1:8" x14ac:dyDescent="0.35">
      <c r="A251" s="27" t="s">
        <v>129</v>
      </c>
      <c r="B251" s="33">
        <v>0</v>
      </c>
      <c r="C251" s="7">
        <v>0</v>
      </c>
      <c r="D251" s="33">
        <v>0</v>
      </c>
      <c r="E251" s="33">
        <v>0</v>
      </c>
      <c r="F251" s="33">
        <v>0</v>
      </c>
      <c r="G251" s="33">
        <v>0</v>
      </c>
      <c r="H251" s="33">
        <v>0</v>
      </c>
    </row>
    <row r="252" spans="1:8" x14ac:dyDescent="0.35">
      <c r="A252" s="27" t="s">
        <v>130</v>
      </c>
      <c r="B252" s="33">
        <v>777.27343760055021</v>
      </c>
      <c r="C252" s="7">
        <v>777.27343760055021</v>
      </c>
      <c r="D252" s="33">
        <v>0</v>
      </c>
      <c r="E252" s="33">
        <v>0</v>
      </c>
      <c r="F252" s="33">
        <v>0</v>
      </c>
      <c r="G252" s="33">
        <v>0</v>
      </c>
      <c r="H252" s="33">
        <v>0</v>
      </c>
    </row>
    <row r="253" spans="1:8" x14ac:dyDescent="0.35">
      <c r="A253" s="27" t="s">
        <v>131</v>
      </c>
      <c r="B253" s="33">
        <v>5733.7799561321999</v>
      </c>
      <c r="C253" s="7">
        <v>1642.8453823394627</v>
      </c>
      <c r="D253" s="33">
        <v>962.93732154571319</v>
      </c>
      <c r="E253" s="33">
        <v>0</v>
      </c>
      <c r="F253" s="33">
        <v>1416.1483171069613</v>
      </c>
      <c r="G253" s="33">
        <v>649.81703693656164</v>
      </c>
      <c r="H253" s="33">
        <v>598.30737174770775</v>
      </c>
    </row>
    <row r="254" spans="1:8" x14ac:dyDescent="0.35">
      <c r="A254" s="27" t="s">
        <v>132</v>
      </c>
      <c r="B254" s="33">
        <v>0</v>
      </c>
      <c r="C254" s="7">
        <v>0</v>
      </c>
      <c r="D254" s="33">
        <v>0</v>
      </c>
      <c r="E254" s="33">
        <v>0</v>
      </c>
      <c r="F254" s="33">
        <v>0</v>
      </c>
      <c r="G254" s="33">
        <v>0</v>
      </c>
      <c r="H254" s="33">
        <v>0</v>
      </c>
    </row>
    <row r="255" spans="1:8" x14ac:dyDescent="0.35">
      <c r="A255" s="27" t="s">
        <v>133</v>
      </c>
      <c r="B255" s="33">
        <v>17479.767081947863</v>
      </c>
      <c r="C255" s="7">
        <v>2714.6997110509083</v>
      </c>
      <c r="D255" s="33">
        <v>1099.8749604917293</v>
      </c>
      <c r="E255" s="33">
        <v>2588.2729657682416</v>
      </c>
      <c r="F255" s="33">
        <v>7301.9014777512248</v>
      </c>
      <c r="G255" s="33">
        <v>730.3638590980471</v>
      </c>
      <c r="H255" s="33">
        <v>400.01175934979722</v>
      </c>
    </row>
    <row r="256" spans="1:8" x14ac:dyDescent="0.35">
      <c r="A256" s="27" t="s">
        <v>134</v>
      </c>
      <c r="B256" s="33">
        <v>6678.7837657287846</v>
      </c>
      <c r="C256" s="7">
        <v>0</v>
      </c>
      <c r="D256" s="33">
        <v>0</v>
      </c>
      <c r="E256" s="33">
        <v>0</v>
      </c>
      <c r="F256" s="33">
        <v>3734.3047272679241</v>
      </c>
      <c r="G256" s="33">
        <v>0</v>
      </c>
      <c r="H256" s="33">
        <v>1293.5485173078287</v>
      </c>
    </row>
    <row r="257" spans="1:8" x14ac:dyDescent="0.35">
      <c r="A257" s="27" t="s">
        <v>135</v>
      </c>
      <c r="B257" s="33">
        <v>0</v>
      </c>
      <c r="C257" s="7">
        <v>0</v>
      </c>
      <c r="D257" s="33">
        <v>0</v>
      </c>
      <c r="E257" s="33">
        <v>0</v>
      </c>
      <c r="F257" s="33">
        <v>0</v>
      </c>
      <c r="G257" s="33">
        <v>0</v>
      </c>
      <c r="H257" s="33">
        <v>0</v>
      </c>
    </row>
    <row r="258" spans="1:8" x14ac:dyDescent="0.35">
      <c r="A258" s="27" t="s">
        <v>136</v>
      </c>
      <c r="B258" s="33">
        <v>0</v>
      </c>
      <c r="C258" s="7">
        <v>0</v>
      </c>
      <c r="D258" s="33">
        <v>0</v>
      </c>
      <c r="E258" s="33">
        <v>0</v>
      </c>
      <c r="F258" s="33">
        <v>0</v>
      </c>
      <c r="G258" s="33">
        <v>0</v>
      </c>
      <c r="H258" s="33">
        <v>0</v>
      </c>
    </row>
    <row r="259" spans="1:8" x14ac:dyDescent="0.35">
      <c r="A259" s="27" t="s">
        <v>137</v>
      </c>
      <c r="B259" s="33">
        <v>0</v>
      </c>
      <c r="C259" s="7">
        <v>0</v>
      </c>
      <c r="D259" s="33">
        <v>0</v>
      </c>
      <c r="E259" s="33">
        <v>0</v>
      </c>
      <c r="F259" s="33">
        <v>0</v>
      </c>
      <c r="G259" s="33">
        <v>0</v>
      </c>
      <c r="H259" s="33">
        <v>0</v>
      </c>
    </row>
    <row r="260" spans="1:8" x14ac:dyDescent="0.35">
      <c r="A260" s="27" t="s">
        <v>138</v>
      </c>
      <c r="B260" s="33">
        <v>2542.0051710488519</v>
      </c>
      <c r="C260" s="7">
        <v>0</v>
      </c>
      <c r="D260" s="33">
        <v>874.24233151963153</v>
      </c>
      <c r="E260" s="33">
        <v>1137.6682477485924</v>
      </c>
      <c r="F260" s="33">
        <v>426.74808063064381</v>
      </c>
      <c r="G260" s="33">
        <v>426.74808063064381</v>
      </c>
      <c r="H260" s="33">
        <v>1158.4144180069363</v>
      </c>
    </row>
    <row r="261" spans="1:8" x14ac:dyDescent="0.35">
      <c r="A261" s="27" t="s">
        <v>139</v>
      </c>
      <c r="B261" s="33">
        <v>4827.5698636368625</v>
      </c>
      <c r="C261" s="7">
        <v>995.41809451823053</v>
      </c>
      <c r="D261" s="33">
        <v>372.86038481303859</v>
      </c>
      <c r="E261" s="33">
        <v>0</v>
      </c>
      <c r="F261" s="33">
        <v>0</v>
      </c>
      <c r="G261" s="33">
        <v>0</v>
      </c>
      <c r="H261" s="33">
        <v>4411.1446750018822</v>
      </c>
    </row>
    <row r="262" spans="1:8" x14ac:dyDescent="0.35">
      <c r="A262" s="27" t="s">
        <v>140</v>
      </c>
      <c r="B262" s="33">
        <v>82972.432516315661</v>
      </c>
      <c r="C262" s="7">
        <v>47372.238862935708</v>
      </c>
      <c r="D262" s="33">
        <v>14155.297668978226</v>
      </c>
      <c r="E262" s="33">
        <v>6359.8044936986626</v>
      </c>
      <c r="F262" s="33">
        <v>2891.4509847954528</v>
      </c>
      <c r="G262" s="33">
        <v>4647.1927989860224</v>
      </c>
      <c r="H262" s="33">
        <v>11256.550536159939</v>
      </c>
    </row>
    <row r="263" spans="1:8" x14ac:dyDescent="0.35">
      <c r="A263" s="27" t="s">
        <v>141</v>
      </c>
      <c r="B263" s="33">
        <v>33123.229336738899</v>
      </c>
      <c r="C263" s="7">
        <v>18754.660382950166</v>
      </c>
      <c r="D263" s="33">
        <v>6370.2861886463415</v>
      </c>
      <c r="E263" s="33">
        <v>1356.0226290987437</v>
      </c>
      <c r="F263" s="33">
        <v>1447.5414848889429</v>
      </c>
      <c r="G263" s="33">
        <v>2424.266821869322</v>
      </c>
      <c r="H263" s="33">
        <v>8656.7974862450828</v>
      </c>
    </row>
    <row r="264" spans="1:8" x14ac:dyDescent="0.35">
      <c r="A264" s="27" t="s">
        <v>142</v>
      </c>
      <c r="B264" s="33">
        <v>150454.24813888111</v>
      </c>
      <c r="C264" s="7">
        <v>23877.96861358449</v>
      </c>
      <c r="D264" s="33">
        <v>11971.011709222232</v>
      </c>
      <c r="E264" s="33">
        <v>12811.537693146089</v>
      </c>
      <c r="F264" s="33">
        <v>7104.2584930779685</v>
      </c>
      <c r="G264" s="33">
        <v>15890.101352186981</v>
      </c>
      <c r="H264" s="33">
        <v>49850.57557039486</v>
      </c>
    </row>
    <row r="265" spans="1:8" x14ac:dyDescent="0.35">
      <c r="A265" s="27" t="s">
        <v>143</v>
      </c>
      <c r="B265" s="33">
        <v>4555.4196177021631</v>
      </c>
      <c r="C265" s="7">
        <v>2086.2962633495536</v>
      </c>
      <c r="D265" s="33">
        <v>1546.9961388844449</v>
      </c>
      <c r="E265" s="33">
        <v>0</v>
      </c>
      <c r="F265" s="33">
        <v>0</v>
      </c>
      <c r="G265" s="33">
        <v>416.42518863498026</v>
      </c>
      <c r="H265" s="33">
        <v>416.42518863498026</v>
      </c>
    </row>
    <row r="266" spans="1:8" x14ac:dyDescent="0.35">
      <c r="A266" s="27" t="s">
        <v>144</v>
      </c>
      <c r="B266" s="33">
        <v>15409.483214908245</v>
      </c>
      <c r="C266" s="7">
        <v>0</v>
      </c>
      <c r="D266" s="33">
        <v>0</v>
      </c>
      <c r="E266" s="33">
        <v>326.56886749953236</v>
      </c>
      <c r="F266" s="33">
        <v>0</v>
      </c>
      <c r="G266" s="33">
        <v>598.30737174770775</v>
      </c>
      <c r="H266" s="33">
        <v>0</v>
      </c>
    </row>
    <row r="267" spans="1:8" x14ac:dyDescent="0.35">
      <c r="A267" s="27" t="s">
        <v>145</v>
      </c>
      <c r="B267" s="33">
        <v>9178.857996867393</v>
      </c>
      <c r="C267" s="7">
        <v>1437.8588149647917</v>
      </c>
      <c r="D267" s="33">
        <v>4100.0099380337188</v>
      </c>
      <c r="E267" s="33">
        <v>0</v>
      </c>
      <c r="F267" s="33">
        <v>497.46867791729323</v>
      </c>
      <c r="G267" s="33">
        <v>0</v>
      </c>
      <c r="H267" s="33">
        <v>706.31552898953873</v>
      </c>
    </row>
    <row r="268" spans="1:8" x14ac:dyDescent="0.35">
      <c r="A268" s="27" t="s">
        <v>146</v>
      </c>
      <c r="B268" s="33">
        <v>0</v>
      </c>
      <c r="C268" s="7">
        <v>0</v>
      </c>
      <c r="D268" s="33">
        <v>0</v>
      </c>
      <c r="E268" s="33">
        <v>0</v>
      </c>
      <c r="F268" s="33">
        <v>0</v>
      </c>
      <c r="G268" s="33">
        <v>0</v>
      </c>
      <c r="H268" s="33">
        <v>0</v>
      </c>
    </row>
    <row r="269" spans="1:8" x14ac:dyDescent="0.35">
      <c r="A269" s="27" t="s">
        <v>284</v>
      </c>
      <c r="B269" s="33">
        <v>1045.6337798259824</v>
      </c>
      <c r="C269" s="7">
        <v>395.52108101114419</v>
      </c>
      <c r="D269" s="33">
        <v>0</v>
      </c>
      <c r="E269" s="33">
        <v>0</v>
      </c>
      <c r="F269" s="33">
        <v>0</v>
      </c>
      <c r="G269" s="33">
        <v>0</v>
      </c>
      <c r="H269" s="33">
        <v>0</v>
      </c>
    </row>
    <row r="270" spans="1:8" x14ac:dyDescent="0.35">
      <c r="A270" s="27" t="s">
        <v>283</v>
      </c>
      <c r="B270" s="33">
        <v>916.88262600098233</v>
      </c>
      <c r="C270" s="7">
        <v>916.88262600098233</v>
      </c>
      <c r="D270" s="33">
        <v>0</v>
      </c>
      <c r="E270" s="33">
        <v>490.13454537033851</v>
      </c>
      <c r="F270" s="33">
        <v>0</v>
      </c>
      <c r="G270" s="33">
        <v>0</v>
      </c>
      <c r="H270" s="33">
        <v>490.13454537033851</v>
      </c>
    </row>
    <row r="271" spans="1:8" x14ac:dyDescent="0.35">
      <c r="A271" s="27" t="s">
        <v>147</v>
      </c>
      <c r="B271" s="33">
        <v>25125.201579266253</v>
      </c>
      <c r="C271" s="7">
        <v>2555.2120750006252</v>
      </c>
      <c r="D271" s="33">
        <v>2487.6844321138715</v>
      </c>
      <c r="E271" s="33">
        <v>1791.8783677158688</v>
      </c>
      <c r="F271" s="33">
        <v>4624.8122500313111</v>
      </c>
      <c r="G271" s="33">
        <v>5289.4160079464255</v>
      </c>
      <c r="H271" s="33">
        <v>1418.3009227753246</v>
      </c>
    </row>
    <row r="272" spans="1:8" x14ac:dyDescent="0.35">
      <c r="A272" s="27" t="s">
        <v>148</v>
      </c>
      <c r="B272" s="33">
        <v>0</v>
      </c>
      <c r="C272" s="7">
        <v>0</v>
      </c>
      <c r="D272" s="33">
        <v>0</v>
      </c>
      <c r="E272" s="33">
        <v>0</v>
      </c>
      <c r="F272" s="33">
        <v>0</v>
      </c>
      <c r="G272" s="33">
        <v>0</v>
      </c>
      <c r="H272" s="33">
        <v>0</v>
      </c>
    </row>
    <row r="273" spans="1:8" x14ac:dyDescent="0.35">
      <c r="A273" s="27" t="s">
        <v>149</v>
      </c>
      <c r="B273" s="33">
        <v>7583.3089342728726</v>
      </c>
      <c r="C273" s="7">
        <v>1149.1013343673751</v>
      </c>
      <c r="D273" s="33">
        <v>360.2208280690495</v>
      </c>
      <c r="E273" s="33">
        <v>360.2208280690495</v>
      </c>
      <c r="F273" s="33">
        <v>2513.6914112935324</v>
      </c>
      <c r="G273" s="33">
        <v>1189.5383076078765</v>
      </c>
      <c r="H273" s="33">
        <v>1353.2833259921726</v>
      </c>
    </row>
    <row r="274" spans="1:8" x14ac:dyDescent="0.35">
      <c r="A274" s="27" t="s">
        <v>150</v>
      </c>
      <c r="B274" s="33">
        <v>0</v>
      </c>
      <c r="C274" s="7">
        <v>0</v>
      </c>
      <c r="D274" s="33">
        <v>0</v>
      </c>
      <c r="E274" s="33">
        <v>0</v>
      </c>
      <c r="F274" s="33">
        <v>0</v>
      </c>
      <c r="G274" s="33">
        <v>0</v>
      </c>
      <c r="H274" s="33">
        <v>0</v>
      </c>
    </row>
    <row r="275" spans="1:8" x14ac:dyDescent="0.35">
      <c r="A275" s="27" t="s">
        <v>151</v>
      </c>
      <c r="B275" s="33">
        <v>9708.9447769239123</v>
      </c>
      <c r="C275" s="7">
        <v>4336.3467036356396</v>
      </c>
      <c r="D275" s="33">
        <v>494.71603420572148</v>
      </c>
      <c r="E275" s="33">
        <v>569.49659115369855</v>
      </c>
      <c r="F275" s="33">
        <v>0</v>
      </c>
      <c r="G275" s="33">
        <v>970.24374164613562</v>
      </c>
      <c r="H275" s="33">
        <v>3008.2899551393871</v>
      </c>
    </row>
    <row r="276" spans="1:8" x14ac:dyDescent="0.35">
      <c r="A276" s="27" t="s">
        <v>152</v>
      </c>
      <c r="B276" s="33">
        <v>7527.9274256124882</v>
      </c>
      <c r="C276" s="7">
        <v>2419.5181418332368</v>
      </c>
      <c r="D276" s="33">
        <v>1137.8277619965054</v>
      </c>
      <c r="E276" s="33">
        <v>480.63873930495294</v>
      </c>
      <c r="F276" s="33">
        <v>3127.4540827194469</v>
      </c>
      <c r="G276" s="33">
        <v>797.48610963553028</v>
      </c>
      <c r="H276" s="33">
        <v>769.89178704285393</v>
      </c>
    </row>
    <row r="277" spans="1:8" x14ac:dyDescent="0.35">
      <c r="A277" s="27" t="s">
        <v>153</v>
      </c>
      <c r="B277" s="33">
        <v>1198.9859218270685</v>
      </c>
      <c r="C277" s="7">
        <v>0</v>
      </c>
      <c r="D277" s="33">
        <v>0</v>
      </c>
      <c r="E277" s="33">
        <v>1198.9859218270685</v>
      </c>
      <c r="F277" s="33">
        <v>0</v>
      </c>
      <c r="G277" s="33">
        <v>0</v>
      </c>
      <c r="H277" s="33">
        <v>0</v>
      </c>
    </row>
    <row r="278" spans="1:8" x14ac:dyDescent="0.35">
      <c r="A278" s="27" t="s">
        <v>154</v>
      </c>
      <c r="B278" s="33">
        <v>21501.462102161968</v>
      </c>
      <c r="C278" s="7">
        <v>4118.8509519837507</v>
      </c>
      <c r="D278" s="33">
        <v>2864.5413731295971</v>
      </c>
      <c r="E278" s="33">
        <v>0</v>
      </c>
      <c r="F278" s="33">
        <v>2379.465400891223</v>
      </c>
      <c r="G278" s="33">
        <v>5338.9245121516105</v>
      </c>
      <c r="H278" s="33">
        <v>2588.6274100182914</v>
      </c>
    </row>
    <row r="279" spans="1:8" x14ac:dyDescent="0.35">
      <c r="A279" s="27" t="s">
        <v>155</v>
      </c>
      <c r="B279" s="33">
        <v>1124376.4838225932</v>
      </c>
      <c r="C279" s="7">
        <v>144797.23471117983</v>
      </c>
      <c r="D279" s="33">
        <v>79051.946700505767</v>
      </c>
      <c r="E279" s="33">
        <v>431678.0742222027</v>
      </c>
      <c r="F279" s="33">
        <v>249666.76154992366</v>
      </c>
      <c r="G279" s="33">
        <v>126912.68914874537</v>
      </c>
      <c r="H279" s="33">
        <v>118246.66755704196</v>
      </c>
    </row>
    <row r="280" spans="1:8" x14ac:dyDescent="0.35">
      <c r="A280" s="27" t="s">
        <v>156</v>
      </c>
      <c r="B280" s="33">
        <v>0</v>
      </c>
      <c r="C280" s="7">
        <v>0</v>
      </c>
      <c r="D280" s="33">
        <v>0</v>
      </c>
      <c r="E280" s="33">
        <v>0</v>
      </c>
      <c r="F280" s="33">
        <v>0</v>
      </c>
      <c r="G280" s="33">
        <v>0</v>
      </c>
      <c r="H280" s="33">
        <v>0</v>
      </c>
    </row>
    <row r="281" spans="1:8" x14ac:dyDescent="0.35">
      <c r="A281" s="27" t="s">
        <v>157</v>
      </c>
      <c r="B281" s="33">
        <v>4300.278019826239</v>
      </c>
      <c r="C281" s="7">
        <v>1155.65067610043</v>
      </c>
      <c r="D281" s="33">
        <v>0</v>
      </c>
      <c r="E281" s="33">
        <v>1044.6365838440979</v>
      </c>
      <c r="F281" s="33">
        <v>0</v>
      </c>
      <c r="G281" s="33">
        <v>721.54404410050302</v>
      </c>
      <c r="H281" s="33">
        <v>0</v>
      </c>
    </row>
    <row r="282" spans="1:8" x14ac:dyDescent="0.35">
      <c r="A282" s="27" t="s">
        <v>158</v>
      </c>
      <c r="B282" s="33">
        <v>21842.70263042851</v>
      </c>
      <c r="C282" s="7">
        <v>8203.3798272333806</v>
      </c>
      <c r="D282" s="33">
        <v>2361.1200095030904</v>
      </c>
      <c r="E282" s="33">
        <v>4265.4763661608868</v>
      </c>
      <c r="F282" s="33">
        <v>541.59755237697016</v>
      </c>
      <c r="G282" s="33">
        <v>2530.9339787373997</v>
      </c>
      <c r="H282" s="33">
        <v>6065.6479798571954</v>
      </c>
    </row>
    <row r="283" spans="1:8" x14ac:dyDescent="0.35">
      <c r="A283" s="27" t="s">
        <v>282</v>
      </c>
      <c r="B283" s="33">
        <v>39236.151012654045</v>
      </c>
      <c r="C283" s="7">
        <v>13292.121237059313</v>
      </c>
      <c r="D283" s="33">
        <v>2906.9889959664715</v>
      </c>
      <c r="E283" s="33">
        <v>2874.7895922966063</v>
      </c>
      <c r="F283" s="33">
        <v>19616.273564734842</v>
      </c>
      <c r="G283" s="33">
        <v>2215.6459652566195</v>
      </c>
      <c r="H283" s="33">
        <v>791.26332470875764</v>
      </c>
    </row>
    <row r="284" spans="1:8" x14ac:dyDescent="0.35">
      <c r="A284" s="27" t="s">
        <v>159</v>
      </c>
      <c r="B284" s="33">
        <v>10836.851497620555</v>
      </c>
      <c r="C284" s="7">
        <v>8814.7394896887345</v>
      </c>
      <c r="D284" s="33">
        <v>1681.1137309171977</v>
      </c>
      <c r="E284" s="33">
        <v>721.54404410050302</v>
      </c>
      <c r="F284" s="33">
        <v>721.54404410050302</v>
      </c>
      <c r="G284" s="33">
        <v>0</v>
      </c>
      <c r="H284" s="33">
        <v>835.27250244570109</v>
      </c>
    </row>
    <row r="285" spans="1:8" x14ac:dyDescent="0.35">
      <c r="A285" s="27" t="s">
        <v>160</v>
      </c>
      <c r="B285" s="33">
        <v>187489.67061200491</v>
      </c>
      <c r="C285" s="7">
        <v>79161.665907933493</v>
      </c>
      <c r="D285" s="33">
        <v>19331.831518730392</v>
      </c>
      <c r="E285" s="33">
        <v>10481.153937767362</v>
      </c>
      <c r="F285" s="33">
        <v>32772.234875698734</v>
      </c>
      <c r="G285" s="33">
        <v>39582.284390052933</v>
      </c>
      <c r="H285" s="33">
        <v>27259.384113679465</v>
      </c>
    </row>
    <row r="286" spans="1:8" x14ac:dyDescent="0.35">
      <c r="A286" s="27" t="s">
        <v>161</v>
      </c>
      <c r="B286" s="33">
        <v>6919.8652314823876</v>
      </c>
      <c r="C286" s="7">
        <v>399.947290722449</v>
      </c>
      <c r="D286" s="33">
        <v>722.76399685556714</v>
      </c>
      <c r="E286" s="33">
        <v>673.11464143051285</v>
      </c>
      <c r="F286" s="33">
        <v>725.44770922174382</v>
      </c>
      <c r="G286" s="33">
        <v>372.86038481303859</v>
      </c>
      <c r="H286" s="33">
        <v>0</v>
      </c>
    </row>
    <row r="287" spans="1:8" x14ac:dyDescent="0.35">
      <c r="A287" s="27" t="s">
        <v>162</v>
      </c>
      <c r="B287" s="33">
        <v>0</v>
      </c>
      <c r="C287" s="7">
        <v>0</v>
      </c>
      <c r="D287" s="33">
        <v>0</v>
      </c>
      <c r="E287" s="33">
        <v>0</v>
      </c>
      <c r="F287" s="33">
        <v>0</v>
      </c>
      <c r="G287" s="33">
        <v>0</v>
      </c>
      <c r="H287" s="33">
        <v>0</v>
      </c>
    </row>
    <row r="288" spans="1:8" x14ac:dyDescent="0.35">
      <c r="A288" s="27" t="s">
        <v>163</v>
      </c>
      <c r="B288" s="33">
        <v>56742.370757873898</v>
      </c>
      <c r="C288" s="7">
        <v>31497.351091683417</v>
      </c>
      <c r="D288" s="33">
        <v>6230.5628358410622</v>
      </c>
      <c r="E288" s="33">
        <v>964.38388802830309</v>
      </c>
      <c r="F288" s="33">
        <v>3234.1062852234654</v>
      </c>
      <c r="G288" s="33">
        <v>1744.5251543635181</v>
      </c>
      <c r="H288" s="33">
        <v>15101.217896686529</v>
      </c>
    </row>
    <row r="289" spans="1:8" x14ac:dyDescent="0.35">
      <c r="A289" s="27" t="s">
        <v>164</v>
      </c>
      <c r="B289" s="33">
        <v>3592.5286073746015</v>
      </c>
      <c r="C289" s="7">
        <v>1213.3506216539679</v>
      </c>
      <c r="D289" s="33">
        <v>0</v>
      </c>
      <c r="E289" s="33">
        <v>0</v>
      </c>
      <c r="F289" s="33">
        <v>0</v>
      </c>
      <c r="G289" s="33">
        <v>0</v>
      </c>
      <c r="H289" s="33">
        <v>434.10663199992695</v>
      </c>
    </row>
    <row r="290" spans="1:8" x14ac:dyDescent="0.35">
      <c r="A290" s="27" t="s">
        <v>165</v>
      </c>
      <c r="B290" s="33">
        <v>2227.0968410499736</v>
      </c>
      <c r="C290" s="7">
        <v>843.17824625849687</v>
      </c>
      <c r="D290" s="33">
        <v>416.42518863498026</v>
      </c>
      <c r="E290" s="33">
        <v>879.40571017530488</v>
      </c>
      <c r="F290" s="33">
        <v>529.87410715160422</v>
      </c>
      <c r="G290" s="33">
        <v>0</v>
      </c>
      <c r="H290" s="33">
        <v>426.75305762351661</v>
      </c>
    </row>
    <row r="291" spans="1:8" x14ac:dyDescent="0.35">
      <c r="A291" s="27" t="s">
        <v>166</v>
      </c>
      <c r="B291" s="33">
        <v>15732.226510418723</v>
      </c>
      <c r="C291" s="7">
        <v>1372.2829372850174</v>
      </c>
      <c r="D291" s="33">
        <v>2184.0916315548875</v>
      </c>
      <c r="E291" s="33">
        <v>1723.5789000804734</v>
      </c>
      <c r="F291" s="33">
        <v>1321.0829196137545</v>
      </c>
      <c r="G291" s="33">
        <v>3814.4407107634988</v>
      </c>
      <c r="H291" s="33">
        <v>1093.0420951283966</v>
      </c>
    </row>
    <row r="292" spans="1:8" x14ac:dyDescent="0.35">
      <c r="A292" s="27" t="s">
        <v>167</v>
      </c>
      <c r="B292" s="33">
        <v>34366.452463092923</v>
      </c>
      <c r="C292" s="7">
        <v>7869.2843175586468</v>
      </c>
      <c r="D292" s="33">
        <v>2656.2597482769861</v>
      </c>
      <c r="E292" s="33">
        <v>2505.8129441740302</v>
      </c>
      <c r="F292" s="33">
        <v>1414.7553525759422</v>
      </c>
      <c r="G292" s="33">
        <v>1464.8986482186453</v>
      </c>
      <c r="H292" s="33">
        <v>20095.68769235722</v>
      </c>
    </row>
    <row r="293" spans="1:8" x14ac:dyDescent="0.35">
      <c r="A293" s="27" t="s">
        <v>168</v>
      </c>
      <c r="B293" s="33">
        <v>132010.30039152139</v>
      </c>
      <c r="C293" s="7">
        <v>1161.5666574746492</v>
      </c>
      <c r="D293" s="33">
        <v>1593.6644024070629</v>
      </c>
      <c r="E293" s="33">
        <v>5071.7253083389623</v>
      </c>
      <c r="F293" s="33">
        <v>1988.0275025871024</v>
      </c>
      <c r="G293" s="33">
        <v>6304.2064258339205</v>
      </c>
      <c r="H293" s="33">
        <v>14075.543432592158</v>
      </c>
    </row>
    <row r="294" spans="1:8" x14ac:dyDescent="0.35">
      <c r="A294" s="27" t="s">
        <v>169</v>
      </c>
      <c r="B294" s="33">
        <v>12781.936078371134</v>
      </c>
      <c r="C294" s="7">
        <v>6625.5486998143724</v>
      </c>
      <c r="D294" s="33">
        <v>921.47821741066173</v>
      </c>
      <c r="E294" s="33">
        <v>1096.6595036253539</v>
      </c>
      <c r="F294" s="33">
        <v>0</v>
      </c>
      <c r="G294" s="33">
        <v>0</v>
      </c>
      <c r="H294" s="33">
        <v>4259.5683451872437</v>
      </c>
    </row>
    <row r="295" spans="1:8" x14ac:dyDescent="0.35">
      <c r="A295" s="27" t="s">
        <v>170</v>
      </c>
      <c r="B295" s="33">
        <v>950.76001803623535</v>
      </c>
      <c r="C295" s="7">
        <v>379.13558197759897</v>
      </c>
      <c r="D295" s="33">
        <v>379.13558197759897</v>
      </c>
      <c r="E295" s="33">
        <v>0</v>
      </c>
      <c r="F295" s="33">
        <v>571.62443605863632</v>
      </c>
      <c r="G295" s="33">
        <v>0</v>
      </c>
      <c r="H295" s="33">
        <v>0</v>
      </c>
    </row>
    <row r="296" spans="1:8" x14ac:dyDescent="0.35">
      <c r="A296" s="27" t="s">
        <v>171</v>
      </c>
      <c r="B296" s="33">
        <v>632.77077438225604</v>
      </c>
      <c r="C296" s="7">
        <v>0</v>
      </c>
      <c r="D296" s="33">
        <v>0</v>
      </c>
      <c r="E296" s="33">
        <v>632.77077438225604</v>
      </c>
      <c r="F296" s="33">
        <v>0</v>
      </c>
      <c r="G296" s="33">
        <v>0</v>
      </c>
      <c r="H296" s="33">
        <v>0</v>
      </c>
    </row>
    <row r="297" spans="1:8" x14ac:dyDescent="0.35">
      <c r="A297" s="27" t="s">
        <v>172</v>
      </c>
      <c r="B297" s="33">
        <v>0</v>
      </c>
      <c r="C297" s="7">
        <v>0</v>
      </c>
      <c r="D297" s="33">
        <v>0</v>
      </c>
      <c r="E297" s="33">
        <v>0</v>
      </c>
      <c r="F297" s="33">
        <v>0</v>
      </c>
      <c r="G297" s="33">
        <v>0</v>
      </c>
      <c r="H297" s="33">
        <v>0</v>
      </c>
    </row>
    <row r="298" spans="1:8" x14ac:dyDescent="0.35">
      <c r="A298" s="27" t="s">
        <v>173</v>
      </c>
      <c r="B298" s="33">
        <v>0</v>
      </c>
      <c r="C298" s="7">
        <v>0</v>
      </c>
      <c r="D298" s="33">
        <v>0</v>
      </c>
      <c r="E298" s="33">
        <v>0</v>
      </c>
      <c r="F298" s="33">
        <v>0</v>
      </c>
      <c r="G298" s="33">
        <v>0</v>
      </c>
      <c r="H298" s="33">
        <v>0</v>
      </c>
    </row>
    <row r="299" spans="1:8" x14ac:dyDescent="0.35">
      <c r="A299" s="27" t="s">
        <v>174</v>
      </c>
      <c r="B299" s="33">
        <v>337.27000350004141</v>
      </c>
      <c r="C299" s="7">
        <v>337.27000350004141</v>
      </c>
      <c r="D299" s="33">
        <v>337.27000350004141</v>
      </c>
      <c r="E299" s="33">
        <v>0</v>
      </c>
      <c r="F299" s="33">
        <v>0</v>
      </c>
      <c r="G299" s="33">
        <v>0</v>
      </c>
      <c r="H299" s="33">
        <v>0</v>
      </c>
    </row>
    <row r="300" spans="1:8" x14ac:dyDescent="0.35">
      <c r="A300" s="27" t="s">
        <v>175</v>
      </c>
      <c r="B300" s="33">
        <v>12925.859482278796</v>
      </c>
      <c r="C300" s="7">
        <v>1651.5696924368217</v>
      </c>
      <c r="D300" s="33">
        <v>3102.0899075634034</v>
      </c>
      <c r="E300" s="33">
        <v>1217.948160268332</v>
      </c>
      <c r="F300" s="33">
        <v>5478.0551939938041</v>
      </c>
      <c r="G300" s="33">
        <v>1074.7076259894234</v>
      </c>
      <c r="H300" s="33">
        <v>1217.3094764653461</v>
      </c>
    </row>
    <row r="301" spans="1:8" x14ac:dyDescent="0.35">
      <c r="A301" s="29"/>
      <c r="B301" s="3"/>
      <c r="C301" s="3"/>
      <c r="D301" s="3"/>
      <c r="E301" s="3"/>
      <c r="F301" s="3"/>
      <c r="G301" s="3"/>
      <c r="H301" s="3"/>
    </row>
    <row r="302" spans="1:8" x14ac:dyDescent="0.35">
      <c r="A302" s="18" t="s">
        <v>32</v>
      </c>
    </row>
    <row r="303" spans="1:8" x14ac:dyDescent="0.35">
      <c r="A303" s="17" t="s">
        <v>285</v>
      </c>
    </row>
    <row r="304" spans="1:8" x14ac:dyDescent="0.35">
      <c r="A304" s="12" t="s">
        <v>25</v>
      </c>
    </row>
    <row r="305" spans="1:2" x14ac:dyDescent="0.35">
      <c r="A305" s="12" t="s">
        <v>26</v>
      </c>
    </row>
    <row r="307" spans="1:2" x14ac:dyDescent="0.35">
      <c r="B307" s="2"/>
    </row>
  </sheetData>
  <mergeCells count="3">
    <mergeCell ref="C13:H13"/>
    <mergeCell ref="B158:H158"/>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856CFFA5-67BE-421E-B84A-463464E7087B}">
            <xm:f>B159&lt;'8'!$D$104</xm:f>
            <x14:dxf>
              <font>
                <color rgb="FFFF0000"/>
              </font>
              <numFmt numFmtId="168" formatCode="\*\*0.0%"/>
            </x14:dxf>
          </x14:cfRule>
          <x14:cfRule type="expression" priority="4" id="{342589F1-803E-4942-A383-323899D134F4}">
            <xm:f>B159&lt;'8'!$D$103</xm:f>
            <x14:dxf>
              <font>
                <color rgb="FF00B050"/>
              </font>
              <numFmt numFmtId="167" formatCode="\*0.0%"/>
            </x14:dxf>
          </x14:cfRule>
          <xm:sqref>B16:H157</xm:sqref>
        </x14:conditionalFormatting>
        <x14:conditionalFormatting xmlns:xm="http://schemas.microsoft.com/office/excel/2006/main">
          <x14:cfRule type="expression" priority="1" id="{7A0A0826-6017-40B9-A83D-421F0F934F47}">
            <xm:f>B159&lt;'8'!$D$104</xm:f>
            <x14:dxf>
              <font>
                <color rgb="FFFF0000"/>
              </font>
              <numFmt numFmtId="170" formatCode="\*\*#,###,###,##0"/>
            </x14:dxf>
          </x14:cfRule>
          <x14:cfRule type="expression" priority="2" id="{A665FECB-A5F9-43EF-96DE-C93366155551}">
            <xm:f>B159&lt;'8'!$D$103</xm:f>
            <x14:dxf>
              <font>
                <color rgb="FF00B050"/>
              </font>
              <numFmt numFmtId="169" formatCode="\*#,###,###,##0"/>
            </x14:dxf>
          </x14:cfRule>
          <xm:sqref>B159:H300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D277F-10D9-4CE5-9D6B-1BC511F29C61}">
  <dimension ref="A1:R401"/>
  <sheetViews>
    <sheetView workbookViewId="0">
      <pane xSplit="1" ySplit="15" topLeftCell="B16" activePane="bottomRight" state="frozen"/>
      <selection pane="topRight"/>
      <selection pane="bottomLeft"/>
      <selection pane="bottomRight"/>
    </sheetView>
  </sheetViews>
  <sheetFormatPr defaultColWidth="8.81640625" defaultRowHeight="14.5" x14ac:dyDescent="0.35"/>
  <cols>
    <col min="1" max="1" width="30.7265625" style="1" customWidth="1"/>
    <col min="2" max="2" width="12.81640625" style="1" customWidth="1"/>
    <col min="3" max="3" width="7" style="1" customWidth="1"/>
    <col min="4" max="4" width="12.81640625" style="1" customWidth="1"/>
    <col min="5" max="16384" width="8.81640625" style="1"/>
  </cols>
  <sheetData>
    <row r="1" spans="1:7" x14ac:dyDescent="0.35">
      <c r="A1" s="20"/>
      <c r="B1" s="20"/>
      <c r="C1" s="20"/>
      <c r="D1" s="20"/>
    </row>
    <row r="2" spans="1:7" x14ac:dyDescent="0.35">
      <c r="A2" s="20"/>
      <c r="B2" s="20"/>
      <c r="C2" s="20"/>
      <c r="D2" s="20"/>
    </row>
    <row r="3" spans="1:7" x14ac:dyDescent="0.35">
      <c r="A3" s="20"/>
      <c r="B3" s="20"/>
      <c r="C3" s="20"/>
      <c r="D3" s="20"/>
    </row>
    <row r="4" spans="1:7" x14ac:dyDescent="0.35">
      <c r="A4" s="20"/>
      <c r="B4" s="20"/>
      <c r="C4" s="20"/>
      <c r="D4" s="20"/>
    </row>
    <row r="5" spans="1:7" x14ac:dyDescent="0.35">
      <c r="A5" s="20"/>
      <c r="B5" s="20"/>
      <c r="C5" s="20"/>
      <c r="D5" s="20"/>
    </row>
    <row r="6" spans="1:7" x14ac:dyDescent="0.35">
      <c r="A6" s="20"/>
      <c r="B6" s="20"/>
      <c r="C6" s="20"/>
      <c r="D6" s="54" t="s">
        <v>235</v>
      </c>
    </row>
    <row r="7" spans="1:7" x14ac:dyDescent="0.35">
      <c r="A7" s="20"/>
      <c r="B7" s="20"/>
      <c r="C7" s="20"/>
      <c r="D7" s="20"/>
    </row>
    <row r="8" spans="1:7" x14ac:dyDescent="0.35">
      <c r="A8" s="21" t="s">
        <v>290</v>
      </c>
      <c r="B8" s="20"/>
      <c r="C8" s="20"/>
      <c r="D8" s="20"/>
    </row>
    <row r="9" spans="1:7" x14ac:dyDescent="0.35">
      <c r="A9" s="20" t="s">
        <v>0</v>
      </c>
      <c r="B9" s="48" t="s">
        <v>287</v>
      </c>
      <c r="C9" s="20"/>
      <c r="D9" s="20"/>
    </row>
    <row r="10" spans="1:7" x14ac:dyDescent="0.35">
      <c r="A10" s="20" t="s">
        <v>10</v>
      </c>
      <c r="B10" s="22">
        <v>6</v>
      </c>
      <c r="C10" s="20"/>
      <c r="D10" s="20"/>
    </row>
    <row r="11" spans="1:7" x14ac:dyDescent="0.35">
      <c r="A11" s="20" t="s">
        <v>1</v>
      </c>
      <c r="B11" s="21" t="s">
        <v>6</v>
      </c>
      <c r="C11" s="20"/>
      <c r="D11" s="20"/>
    </row>
    <row r="12" spans="1:7" x14ac:dyDescent="0.35">
      <c r="A12" s="58" t="s">
        <v>11</v>
      </c>
      <c r="B12" s="59" t="s">
        <v>12</v>
      </c>
      <c r="C12" s="20"/>
      <c r="D12" s="20"/>
    </row>
    <row r="13" spans="1:7" s="2" customFormat="1" ht="25" customHeight="1" x14ac:dyDescent="0.35">
      <c r="A13" s="36"/>
      <c r="B13" s="36" t="s">
        <v>291</v>
      </c>
      <c r="C13" s="36"/>
      <c r="D13" s="36"/>
    </row>
    <row r="14" spans="1:7" s="41" customFormat="1" ht="25" customHeight="1" x14ac:dyDescent="0.35">
      <c r="A14" s="39"/>
      <c r="B14" s="30">
        <v>2024</v>
      </c>
      <c r="C14" s="30"/>
      <c r="D14" s="30">
        <v>2025</v>
      </c>
      <c r="G14" s="57"/>
    </row>
    <row r="15" spans="1:7" x14ac:dyDescent="0.35">
      <c r="A15" s="43"/>
      <c r="B15" s="80" t="s">
        <v>33</v>
      </c>
      <c r="C15" s="80"/>
      <c r="D15" s="80"/>
    </row>
    <row r="16" spans="1:7" x14ac:dyDescent="0.35">
      <c r="A16" s="27" t="s">
        <v>39</v>
      </c>
      <c r="B16" s="4">
        <v>2.3553047017972821E-3</v>
      </c>
      <c r="C16" s="4"/>
      <c r="D16" s="4">
        <v>7.2198133540428368E-4</v>
      </c>
    </row>
    <row r="17" spans="1:4" x14ac:dyDescent="0.35">
      <c r="A17" s="27" t="s">
        <v>40</v>
      </c>
      <c r="B17" s="4">
        <v>3.5530174256535418E-3</v>
      </c>
      <c r="C17" s="4"/>
      <c r="D17" s="4">
        <v>2.2413757567212216E-3</v>
      </c>
    </row>
    <row r="18" spans="1:4" x14ac:dyDescent="0.35">
      <c r="A18" s="27" t="s">
        <v>41</v>
      </c>
      <c r="B18" s="4">
        <v>2.4700151235802839E-3</v>
      </c>
      <c r="C18" s="4"/>
      <c r="D18" s="4">
        <v>1.7937503329917572E-3</v>
      </c>
    </row>
    <row r="19" spans="1:4" x14ac:dyDescent="0.35">
      <c r="A19" s="27" t="s">
        <v>42</v>
      </c>
      <c r="B19" s="4">
        <v>1.509603782164565E-2</v>
      </c>
      <c r="C19" s="4"/>
      <c r="D19" s="4">
        <v>1.3179146533188258E-2</v>
      </c>
    </row>
    <row r="20" spans="1:4" x14ac:dyDescent="0.35">
      <c r="A20" s="27" t="s">
        <v>43</v>
      </c>
      <c r="B20" s="4">
        <v>2.6094888064427314E-2</v>
      </c>
      <c r="C20" s="4"/>
      <c r="D20" s="4">
        <v>2.4171697114511129E-2</v>
      </c>
    </row>
    <row r="21" spans="1:4" x14ac:dyDescent="0.35">
      <c r="A21" s="27" t="s">
        <v>44</v>
      </c>
      <c r="B21" s="4">
        <v>1.847932066563715E-2</v>
      </c>
      <c r="C21" s="4"/>
      <c r="D21" s="4">
        <v>1.8861177718674346E-2</v>
      </c>
    </row>
    <row r="22" spans="1:4" x14ac:dyDescent="0.35">
      <c r="A22" s="27" t="s">
        <v>45</v>
      </c>
      <c r="B22" s="4">
        <v>3.8181954733458221E-3</v>
      </c>
      <c r="C22" s="4"/>
      <c r="D22" s="4">
        <v>3.0947717728429503E-3</v>
      </c>
    </row>
    <row r="23" spans="1:4" x14ac:dyDescent="0.35">
      <c r="A23" s="27" t="s">
        <v>46</v>
      </c>
      <c r="B23" s="4">
        <v>4.7344117125383361E-2</v>
      </c>
      <c r="C23" s="4"/>
      <c r="D23" s="4">
        <v>4.5255358494922501E-2</v>
      </c>
    </row>
    <row r="24" spans="1:4" x14ac:dyDescent="0.35">
      <c r="A24" s="27" t="s">
        <v>47</v>
      </c>
      <c r="B24" s="4">
        <v>2.8825483014478852E-4</v>
      </c>
      <c r="C24" s="4"/>
      <c r="D24" s="4">
        <v>1.1806640341709634E-4</v>
      </c>
    </row>
    <row r="25" spans="1:4" x14ac:dyDescent="0.35">
      <c r="A25" s="27" t="s">
        <v>48</v>
      </c>
      <c r="B25" s="4">
        <v>1.4357146580655931E-4</v>
      </c>
      <c r="C25" s="4"/>
      <c r="D25" s="4">
        <v>5.7835017338901424E-5</v>
      </c>
    </row>
    <row r="26" spans="1:4" x14ac:dyDescent="0.35">
      <c r="A26" s="27" t="s">
        <v>49</v>
      </c>
      <c r="B26" s="4">
        <v>3.290075056030775E-3</v>
      </c>
      <c r="C26" s="4"/>
      <c r="D26" s="4">
        <v>3.0379779879315845E-3</v>
      </c>
    </row>
    <row r="27" spans="1:4" x14ac:dyDescent="0.35">
      <c r="A27" s="27" t="s">
        <v>50</v>
      </c>
      <c r="B27" s="4">
        <v>4.3470496297218279E-4</v>
      </c>
      <c r="C27" s="4"/>
      <c r="D27" s="4">
        <v>2.799798444551361E-4</v>
      </c>
    </row>
    <row r="28" spans="1:4" x14ac:dyDescent="0.35">
      <c r="A28" s="27" t="s">
        <v>51</v>
      </c>
      <c r="B28" s="4">
        <v>0</v>
      </c>
      <c r="C28" s="4"/>
      <c r="D28" s="4">
        <v>1.8929580168936972E-5</v>
      </c>
    </row>
    <row r="29" spans="1:4" x14ac:dyDescent="0.35">
      <c r="A29" s="27" t="s">
        <v>52</v>
      </c>
      <c r="B29" s="4">
        <v>1.394821011372978E-4</v>
      </c>
      <c r="C29" s="4"/>
      <c r="D29" s="4">
        <v>1.3945915406762623E-4</v>
      </c>
    </row>
    <row r="30" spans="1:4" x14ac:dyDescent="0.35">
      <c r="A30" s="27" t="s">
        <v>53</v>
      </c>
      <c r="B30" s="4">
        <v>0</v>
      </c>
      <c r="C30" s="4"/>
      <c r="D30" s="4">
        <v>0</v>
      </c>
    </row>
    <row r="31" spans="1:4" x14ac:dyDescent="0.35">
      <c r="A31" s="27" t="s">
        <v>54</v>
      </c>
      <c r="B31" s="4">
        <v>3.6316481078398533E-4</v>
      </c>
      <c r="C31" s="4"/>
      <c r="D31" s="4">
        <v>4.1219020620080724E-4</v>
      </c>
    </row>
    <row r="32" spans="1:4" x14ac:dyDescent="0.35">
      <c r="A32" s="27" t="s">
        <v>55</v>
      </c>
      <c r="B32" s="4">
        <v>1.1309158931803573E-4</v>
      </c>
      <c r="C32" s="4"/>
      <c r="D32" s="4">
        <v>1.4983601324753106E-4</v>
      </c>
    </row>
    <row r="33" spans="1:4" x14ac:dyDescent="0.35">
      <c r="A33" s="27" t="s">
        <v>56</v>
      </c>
      <c r="B33" s="4">
        <v>8.8461662657877017E-3</v>
      </c>
      <c r="C33" s="4"/>
      <c r="D33" s="4">
        <v>8.3430438817097084E-3</v>
      </c>
    </row>
    <row r="34" spans="1:4" x14ac:dyDescent="0.35">
      <c r="A34" s="27" t="s">
        <v>57</v>
      </c>
      <c r="B34" s="4">
        <v>8.9341645850012554E-3</v>
      </c>
      <c r="C34" s="4"/>
      <c r="D34" s="4">
        <v>8.4785607615044997E-3</v>
      </c>
    </row>
    <row r="35" spans="1:4" x14ac:dyDescent="0.35">
      <c r="A35" s="27" t="s">
        <v>58</v>
      </c>
      <c r="B35" s="4">
        <v>5.1343354336922426E-5</v>
      </c>
      <c r="C35" s="4"/>
      <c r="D35" s="4">
        <v>2.4126247990301023E-5</v>
      </c>
    </row>
    <row r="36" spans="1:4" x14ac:dyDescent="0.35">
      <c r="A36" s="27" t="s">
        <v>59</v>
      </c>
      <c r="B36" s="4">
        <v>0.16856618050904404</v>
      </c>
      <c r="C36" s="4"/>
      <c r="D36" s="4">
        <v>0.174682262784563</v>
      </c>
    </row>
    <row r="37" spans="1:4" x14ac:dyDescent="0.35">
      <c r="A37" s="27" t="s">
        <v>60</v>
      </c>
      <c r="B37" s="4">
        <v>2.3978560920929885E-3</v>
      </c>
      <c r="C37" s="4"/>
      <c r="D37" s="4">
        <v>3.5941222006696891E-3</v>
      </c>
    </row>
    <row r="38" spans="1:4" x14ac:dyDescent="0.35">
      <c r="A38" s="27" t="s">
        <v>61</v>
      </c>
      <c r="B38" s="4">
        <v>2.2132030706733049E-4</v>
      </c>
      <c r="C38" s="4"/>
      <c r="D38" s="4">
        <v>1.2944649931087628E-4</v>
      </c>
    </row>
    <row r="39" spans="1:4" x14ac:dyDescent="0.35">
      <c r="A39" s="27" t="s">
        <v>62</v>
      </c>
      <c r="B39" s="4">
        <v>9.6337996366757557E-3</v>
      </c>
      <c r="C39" s="4"/>
      <c r="D39" s="4">
        <v>9.9650372943521307E-3</v>
      </c>
    </row>
    <row r="40" spans="1:4" x14ac:dyDescent="0.35">
      <c r="A40" s="27" t="s">
        <v>63</v>
      </c>
      <c r="B40" s="4">
        <v>4.2821632223543292E-4</v>
      </c>
      <c r="C40" s="4"/>
      <c r="D40" s="4">
        <v>3.3797943904233197E-4</v>
      </c>
    </row>
    <row r="41" spans="1:4" x14ac:dyDescent="0.35">
      <c r="A41" s="27" t="s">
        <v>64</v>
      </c>
      <c r="B41" s="4">
        <v>2.4185989838166673E-2</v>
      </c>
      <c r="C41" s="4"/>
      <c r="D41" s="4">
        <v>2.4915578896264608E-2</v>
      </c>
    </row>
    <row r="42" spans="1:4" x14ac:dyDescent="0.35">
      <c r="A42" s="27" t="s">
        <v>65</v>
      </c>
      <c r="B42" s="4">
        <v>7.4327450470951196E-4</v>
      </c>
      <c r="C42" s="4"/>
      <c r="D42" s="4">
        <v>8.8371484305206052E-4</v>
      </c>
    </row>
    <row r="43" spans="1:4" x14ac:dyDescent="0.35">
      <c r="A43" s="27" t="s">
        <v>293</v>
      </c>
      <c r="B43" s="4">
        <v>5.7134588343119418E-3</v>
      </c>
      <c r="C43" s="4"/>
      <c r="D43" s="4">
        <v>6.4754561012279064E-3</v>
      </c>
    </row>
    <row r="44" spans="1:4" x14ac:dyDescent="0.35">
      <c r="A44" s="27" t="s">
        <v>66</v>
      </c>
      <c r="B44" s="4">
        <v>1.1443581486474617E-4</v>
      </c>
      <c r="C44" s="4"/>
      <c r="D44" s="4">
        <v>9.7760637057339104E-5</v>
      </c>
    </row>
    <row r="45" spans="1:4" x14ac:dyDescent="0.35">
      <c r="A45" s="27" t="s">
        <v>67</v>
      </c>
      <c r="B45" s="4">
        <v>8.589092115539855E-2</v>
      </c>
      <c r="C45" s="4"/>
      <c r="D45" s="4">
        <v>8.2939268810860667E-2</v>
      </c>
    </row>
    <row r="46" spans="1:4" x14ac:dyDescent="0.35">
      <c r="A46" s="27" t="s">
        <v>68</v>
      </c>
      <c r="B46" s="4">
        <v>1.046741151572869E-2</v>
      </c>
      <c r="C46" s="4"/>
      <c r="D46" s="4">
        <v>1.1228852388459377E-2</v>
      </c>
    </row>
    <row r="47" spans="1:4" x14ac:dyDescent="0.35">
      <c r="A47" s="27" t="s">
        <v>69</v>
      </c>
      <c r="B47" s="4">
        <v>1.7777157397463737E-2</v>
      </c>
      <c r="C47" s="4"/>
      <c r="D47" s="4">
        <v>1.6289712729616487E-2</v>
      </c>
    </row>
    <row r="48" spans="1:4" x14ac:dyDescent="0.35">
      <c r="A48" s="27" t="s">
        <v>70</v>
      </c>
      <c r="B48" s="4">
        <v>1.5969808707135646E-3</v>
      </c>
      <c r="C48" s="4"/>
      <c r="D48" s="4">
        <v>1.6236408479539473E-3</v>
      </c>
    </row>
    <row r="49" spans="1:4" x14ac:dyDescent="0.35">
      <c r="A49" s="27" t="s">
        <v>71</v>
      </c>
      <c r="B49" s="4">
        <v>4.8602120305265488E-4</v>
      </c>
      <c r="C49" s="4"/>
      <c r="D49" s="4">
        <v>4.9709968501203568E-4</v>
      </c>
    </row>
    <row r="50" spans="1:4" x14ac:dyDescent="0.35">
      <c r="A50" s="27" t="s">
        <v>72</v>
      </c>
      <c r="B50" s="4">
        <v>7.6108180996908501E-4</v>
      </c>
      <c r="C50" s="4"/>
      <c r="D50" s="4">
        <v>7.6764601341156209E-4</v>
      </c>
    </row>
    <row r="51" spans="1:4" x14ac:dyDescent="0.35">
      <c r="A51" s="27" t="s">
        <v>73</v>
      </c>
      <c r="B51" s="4">
        <v>4.9205613911994705E-4</v>
      </c>
      <c r="C51" s="4"/>
      <c r="D51" s="4">
        <v>6.9915225665423018E-4</v>
      </c>
    </row>
    <row r="52" spans="1:4" x14ac:dyDescent="0.35">
      <c r="A52" s="27" t="s">
        <v>74</v>
      </c>
      <c r="B52" s="4">
        <v>4.3372347169117484E-4</v>
      </c>
      <c r="C52" s="4"/>
      <c r="D52" s="4">
        <v>2.696504447776873E-4</v>
      </c>
    </row>
    <row r="53" spans="1:4" x14ac:dyDescent="0.35">
      <c r="A53" s="27" t="s">
        <v>75</v>
      </c>
      <c r="B53" s="4">
        <v>4.4306063704194591E-3</v>
      </c>
      <c r="C53" s="4"/>
      <c r="D53" s="4">
        <v>4.4156527993927039E-3</v>
      </c>
    </row>
    <row r="54" spans="1:4" x14ac:dyDescent="0.35">
      <c r="A54" s="27" t="s">
        <v>76</v>
      </c>
      <c r="B54" s="4">
        <v>2.7485353088408412E-3</v>
      </c>
      <c r="C54" s="4"/>
      <c r="D54" s="4">
        <v>2.1075098586634477E-3</v>
      </c>
    </row>
    <row r="55" spans="1:4" x14ac:dyDescent="0.35">
      <c r="A55" s="27" t="s">
        <v>77</v>
      </c>
      <c r="B55" s="4">
        <v>7.6309448498404953E-4</v>
      </c>
      <c r="C55" s="4"/>
      <c r="D55" s="4">
        <v>4.5392133846669795E-4</v>
      </c>
    </row>
    <row r="56" spans="1:4" x14ac:dyDescent="0.35">
      <c r="A56" s="27" t="s">
        <v>78</v>
      </c>
      <c r="B56" s="4">
        <v>1.2103732897607316E-2</v>
      </c>
      <c r="C56" s="4"/>
      <c r="D56" s="4">
        <v>1.0702115188980439E-2</v>
      </c>
    </row>
    <row r="57" spans="1:4" x14ac:dyDescent="0.35">
      <c r="A57" s="27" t="s">
        <v>79</v>
      </c>
      <c r="B57" s="4">
        <v>0.30331431010678467</v>
      </c>
      <c r="C57" s="4"/>
      <c r="D57" s="4">
        <v>0.34102082475714662</v>
      </c>
    </row>
    <row r="58" spans="1:4" x14ac:dyDescent="0.35">
      <c r="A58" s="27" t="s">
        <v>80</v>
      </c>
      <c r="B58" s="4">
        <v>6.2990971052688554E-5</v>
      </c>
      <c r="C58" s="4"/>
      <c r="D58" s="4">
        <v>2.8251689679796175E-4</v>
      </c>
    </row>
    <row r="59" spans="1:4" x14ac:dyDescent="0.35">
      <c r="A59" s="27" t="s">
        <v>81</v>
      </c>
      <c r="B59" s="4">
        <v>2.3728011114534037E-3</v>
      </c>
      <c r="C59" s="4"/>
      <c r="D59" s="4">
        <v>2.4891295867467654E-3</v>
      </c>
    </row>
    <row r="60" spans="1:4" x14ac:dyDescent="0.35">
      <c r="A60" s="27" t="s">
        <v>82</v>
      </c>
      <c r="B60" s="4">
        <v>5.4366992530073259E-2</v>
      </c>
      <c r="C60" s="4"/>
      <c r="D60" s="4">
        <v>5.6241270997355673E-2</v>
      </c>
    </row>
    <row r="61" spans="1:4" x14ac:dyDescent="0.35">
      <c r="A61" s="27" t="s">
        <v>83</v>
      </c>
      <c r="B61" s="4">
        <v>3.6516968654365682E-4</v>
      </c>
      <c r="C61" s="4"/>
      <c r="D61" s="4">
        <v>6.2770015178095773E-4</v>
      </c>
    </row>
    <row r="62" spans="1:4" x14ac:dyDescent="0.35">
      <c r="A62" s="27" t="s">
        <v>84</v>
      </c>
      <c r="B62" s="4">
        <v>2.8087520960309918E-4</v>
      </c>
      <c r="C62" s="4"/>
      <c r="D62" s="4">
        <v>3.2172461130588109E-4</v>
      </c>
    </row>
    <row r="63" spans="1:4" x14ac:dyDescent="0.35">
      <c r="A63" s="27" t="s">
        <v>85</v>
      </c>
      <c r="B63" s="4">
        <v>1.1508382915442239E-4</v>
      </c>
      <c r="C63" s="4"/>
      <c r="D63" s="4">
        <v>1.0126391087219216E-4</v>
      </c>
    </row>
    <row r="64" spans="1:4" x14ac:dyDescent="0.35">
      <c r="A64" s="27" t="s">
        <v>86</v>
      </c>
      <c r="B64" s="4">
        <v>4.6853275084362878E-2</v>
      </c>
      <c r="C64" s="4"/>
      <c r="D64" s="4">
        <v>4.5629911410923811E-2</v>
      </c>
    </row>
    <row r="65" spans="1:4" x14ac:dyDescent="0.35">
      <c r="A65" s="27" t="s">
        <v>87</v>
      </c>
      <c r="B65" s="4">
        <v>6.224889622909181E-4</v>
      </c>
      <c r="C65" s="4"/>
      <c r="D65" s="4">
        <v>4.5497278697774083E-4</v>
      </c>
    </row>
    <row r="66" spans="1:4" x14ac:dyDescent="0.35">
      <c r="A66" s="27" t="s">
        <v>88</v>
      </c>
      <c r="B66" s="4">
        <v>8.9858650698280759E-5</v>
      </c>
      <c r="C66" s="4"/>
      <c r="D66" s="4">
        <v>4.1700030437660385E-5</v>
      </c>
    </row>
    <row r="67" spans="1:4" x14ac:dyDescent="0.35">
      <c r="A67" s="27" t="s">
        <v>89</v>
      </c>
      <c r="B67" s="4">
        <v>5.5710943272331368E-3</v>
      </c>
      <c r="C67" s="4"/>
      <c r="D67" s="4">
        <v>5.3956351763535301E-3</v>
      </c>
    </row>
    <row r="68" spans="1:4" x14ac:dyDescent="0.35">
      <c r="A68" s="27" t="s">
        <v>90</v>
      </c>
      <c r="B68" s="4">
        <v>1.4622513686950885E-3</v>
      </c>
      <c r="C68" s="4"/>
      <c r="D68" s="4">
        <v>1.14470709473467E-3</v>
      </c>
    </row>
    <row r="69" spans="1:4" x14ac:dyDescent="0.35">
      <c r="A69" s="27" t="s">
        <v>91</v>
      </c>
      <c r="B69" s="4">
        <v>1.8164832707561306E-4</v>
      </c>
      <c r="C69" s="4"/>
      <c r="D69" s="4">
        <v>1.0648900350729656E-4</v>
      </c>
    </row>
    <row r="70" spans="1:4" x14ac:dyDescent="0.35">
      <c r="A70" s="27" t="s">
        <v>92</v>
      </c>
      <c r="B70" s="4">
        <v>4.484869474806817E-3</v>
      </c>
      <c r="C70" s="4"/>
      <c r="D70" s="4">
        <v>5.1215844412857876E-3</v>
      </c>
    </row>
    <row r="71" spans="1:4" x14ac:dyDescent="0.35">
      <c r="A71" s="27" t="s">
        <v>93</v>
      </c>
      <c r="B71" s="4">
        <v>4.0273004660180555E-4</v>
      </c>
      <c r="C71" s="4"/>
      <c r="D71" s="4">
        <v>2.4438991460861348E-4</v>
      </c>
    </row>
    <row r="72" spans="1:4" x14ac:dyDescent="0.35">
      <c r="A72" s="27" t="s">
        <v>94</v>
      </c>
      <c r="B72" s="4">
        <v>5.9576397878445498E-4</v>
      </c>
      <c r="C72" s="4"/>
      <c r="D72" s="4">
        <v>6.0579574143734567E-4</v>
      </c>
    </row>
    <row r="73" spans="1:4" x14ac:dyDescent="0.35">
      <c r="A73" s="27" t="s">
        <v>95</v>
      </c>
      <c r="B73" s="4">
        <v>9.0802997193143586E-5</v>
      </c>
      <c r="C73" s="4"/>
      <c r="D73" s="4">
        <v>6.8415121957655713E-5</v>
      </c>
    </row>
    <row r="74" spans="1:4" x14ac:dyDescent="0.35">
      <c r="A74" s="27" t="s">
        <v>96</v>
      </c>
      <c r="B74" s="4">
        <v>2.1268167955453424E-3</v>
      </c>
      <c r="C74" s="4"/>
      <c r="D74" s="4">
        <v>2.1375474252148452E-3</v>
      </c>
    </row>
    <row r="75" spans="1:4" x14ac:dyDescent="0.35">
      <c r="A75" s="27" t="s">
        <v>97</v>
      </c>
      <c r="B75" s="4">
        <v>8.6244852897290382E-4</v>
      </c>
      <c r="C75" s="4"/>
      <c r="D75" s="4">
        <v>6.7302714884919857E-4</v>
      </c>
    </row>
    <row r="76" spans="1:4" x14ac:dyDescent="0.35">
      <c r="A76" s="27" t="s">
        <v>98</v>
      </c>
      <c r="B76" s="4">
        <v>4.4213049664422715E-4</v>
      </c>
      <c r="C76" s="4"/>
      <c r="D76" s="4">
        <v>6.6382874913622396E-4</v>
      </c>
    </row>
    <row r="77" spans="1:4" x14ac:dyDescent="0.35">
      <c r="A77" s="27" t="s">
        <v>99</v>
      </c>
      <c r="B77" s="4">
        <v>2.0037166330655024E-3</v>
      </c>
      <c r="C77" s="4"/>
      <c r="D77" s="4">
        <v>1.7048590989622399E-3</v>
      </c>
    </row>
    <row r="78" spans="1:4" x14ac:dyDescent="0.35">
      <c r="A78" s="27" t="s">
        <v>100</v>
      </c>
      <c r="B78" s="4">
        <v>2.3181597523955644E-3</v>
      </c>
      <c r="C78" s="4"/>
      <c r="D78" s="4">
        <v>1.8644256100477995E-3</v>
      </c>
    </row>
    <row r="79" spans="1:4" x14ac:dyDescent="0.35">
      <c r="A79" s="27" t="s">
        <v>101</v>
      </c>
      <c r="B79" s="4">
        <v>9.3265627179632172E-5</v>
      </c>
      <c r="C79" s="4"/>
      <c r="D79" s="4">
        <v>2.986194516021376E-4</v>
      </c>
    </row>
    <row r="80" spans="1:4" x14ac:dyDescent="0.35">
      <c r="A80" s="27" t="s">
        <v>102</v>
      </c>
      <c r="B80" s="4">
        <v>1.9481368132487562E-4</v>
      </c>
      <c r="C80" s="4"/>
      <c r="D80" s="4">
        <v>1.3197361987790965E-4</v>
      </c>
    </row>
    <row r="81" spans="1:4" x14ac:dyDescent="0.35">
      <c r="A81" s="27" t="s">
        <v>103</v>
      </c>
      <c r="B81" s="4">
        <v>0</v>
      </c>
      <c r="C81" s="4"/>
      <c r="D81" s="4">
        <v>5.1523263664343953E-5</v>
      </c>
    </row>
    <row r="82" spans="1:4" x14ac:dyDescent="0.35">
      <c r="A82" s="27" t="s">
        <v>104</v>
      </c>
      <c r="B82" s="4">
        <v>1.1827091981708082E-4</v>
      </c>
      <c r="C82" s="4"/>
      <c r="D82" s="4">
        <v>9.2744931068310644E-5</v>
      </c>
    </row>
    <row r="83" spans="1:4" x14ac:dyDescent="0.35">
      <c r="A83" s="27" t="s">
        <v>105</v>
      </c>
      <c r="B83" s="4">
        <v>2.8968781325938687E-4</v>
      </c>
      <c r="C83" s="4"/>
      <c r="D83" s="4">
        <v>3.0231221091635741E-4</v>
      </c>
    </row>
    <row r="84" spans="1:4" x14ac:dyDescent="0.35">
      <c r="A84" s="27" t="s">
        <v>106</v>
      </c>
      <c r="B84" s="4">
        <v>0</v>
      </c>
      <c r="C84" s="4"/>
      <c r="D84" s="4">
        <v>5.1603938962542098E-5</v>
      </c>
    </row>
    <row r="85" spans="1:4" x14ac:dyDescent="0.35">
      <c r="A85" s="27" t="s">
        <v>107</v>
      </c>
      <c r="B85" s="4">
        <v>1.4066285049467305E-3</v>
      </c>
      <c r="C85" s="4"/>
      <c r="D85" s="4">
        <v>1.2984774765903038E-3</v>
      </c>
    </row>
    <row r="86" spans="1:4" x14ac:dyDescent="0.35">
      <c r="A86" s="27" t="s">
        <v>108</v>
      </c>
      <c r="B86" s="4">
        <v>4.2807564119372944E-5</v>
      </c>
      <c r="C86" s="4"/>
      <c r="D86" s="4">
        <v>0</v>
      </c>
    </row>
    <row r="87" spans="1:4" x14ac:dyDescent="0.35">
      <c r="A87" s="27" t="s">
        <v>109</v>
      </c>
      <c r="B87" s="4">
        <v>4.1188258674795227E-5</v>
      </c>
      <c r="C87" s="4"/>
      <c r="D87" s="4">
        <v>1.1791585369961123E-4</v>
      </c>
    </row>
    <row r="88" spans="1:4" x14ac:dyDescent="0.35">
      <c r="A88" s="27" t="s">
        <v>110</v>
      </c>
      <c r="B88" s="4">
        <v>6.779245493377095E-3</v>
      </c>
      <c r="C88" s="4"/>
      <c r="D88" s="4">
        <v>6.2562400845159174E-3</v>
      </c>
    </row>
    <row r="89" spans="1:4" x14ac:dyDescent="0.35">
      <c r="A89" s="27" t="s">
        <v>111</v>
      </c>
      <c r="B89" s="4">
        <v>8.1538665446411959E-4</v>
      </c>
      <c r="C89" s="4"/>
      <c r="D89" s="4">
        <v>9.276585061187033E-4</v>
      </c>
    </row>
    <row r="90" spans="1:4" x14ac:dyDescent="0.35">
      <c r="A90" s="27" t="s">
        <v>112</v>
      </c>
      <c r="B90" s="4">
        <v>7.4492308479482888E-5</v>
      </c>
      <c r="C90" s="4"/>
      <c r="D90" s="4">
        <v>3.0113208638379564E-5</v>
      </c>
    </row>
    <row r="91" spans="1:4" x14ac:dyDescent="0.35">
      <c r="A91" s="27" t="s">
        <v>113</v>
      </c>
      <c r="B91" s="4">
        <v>1.0947695338798915E-2</v>
      </c>
      <c r="C91" s="4"/>
      <c r="D91" s="4">
        <v>9.4660716579160181E-3</v>
      </c>
    </row>
    <row r="92" spans="1:4" x14ac:dyDescent="0.35">
      <c r="A92" s="27" t="s">
        <v>114</v>
      </c>
      <c r="B92" s="4">
        <v>2.9138153199231602E-3</v>
      </c>
      <c r="C92" s="4"/>
      <c r="D92" s="4">
        <v>2.5376036488404144E-3</v>
      </c>
    </row>
    <row r="93" spans="1:4" x14ac:dyDescent="0.35">
      <c r="A93" s="27" t="s">
        <v>115</v>
      </c>
      <c r="B93" s="4">
        <v>5.9238581220521069E-3</v>
      </c>
      <c r="C93" s="4"/>
      <c r="D93" s="4">
        <v>7.2553569750583805E-3</v>
      </c>
    </row>
    <row r="94" spans="1:4" x14ac:dyDescent="0.35">
      <c r="A94" s="27" t="s">
        <v>116</v>
      </c>
      <c r="B94" s="4">
        <v>1.1865521989633564E-3</v>
      </c>
      <c r="C94" s="4"/>
      <c r="D94" s="4">
        <v>9.9133014363961898E-4</v>
      </c>
    </row>
    <row r="95" spans="1:4" x14ac:dyDescent="0.35">
      <c r="A95" s="27" t="s">
        <v>117</v>
      </c>
      <c r="B95" s="4">
        <v>1.0538543650781714E-3</v>
      </c>
      <c r="C95" s="4"/>
      <c r="D95" s="4">
        <v>1.6592688536174328E-3</v>
      </c>
    </row>
    <row r="96" spans="1:4" x14ac:dyDescent="0.35">
      <c r="A96" s="27" t="s">
        <v>118</v>
      </c>
      <c r="B96" s="4">
        <v>2.0998925384044846E-2</v>
      </c>
      <c r="C96" s="4"/>
      <c r="D96" s="4">
        <v>2.1072261028221049E-2</v>
      </c>
    </row>
    <row r="97" spans="1:4" x14ac:dyDescent="0.35">
      <c r="A97" s="27" t="s">
        <v>119</v>
      </c>
      <c r="B97" s="4">
        <v>2.9023012007866456E-4</v>
      </c>
      <c r="C97" s="4"/>
      <c r="D97" s="4">
        <v>5.6435943729913609E-4</v>
      </c>
    </row>
    <row r="98" spans="1:4" x14ac:dyDescent="0.35">
      <c r="A98" s="27" t="s">
        <v>120</v>
      </c>
      <c r="B98" s="4">
        <v>4.955355682714946E-4</v>
      </c>
      <c r="C98" s="4"/>
      <c r="D98" s="4">
        <v>7.0043124476010092E-4</v>
      </c>
    </row>
    <row r="99" spans="1:4" x14ac:dyDescent="0.35">
      <c r="A99" s="27" t="s">
        <v>121</v>
      </c>
      <c r="B99" s="4">
        <v>2.6471878859701055E-4</v>
      </c>
      <c r="C99" s="4"/>
      <c r="D99" s="4">
        <v>2.6858676910983628E-4</v>
      </c>
    </row>
    <row r="100" spans="1:4" x14ac:dyDescent="0.35">
      <c r="A100" s="27" t="s">
        <v>122</v>
      </c>
      <c r="B100" s="4">
        <v>3.0069842427745495E-3</v>
      </c>
      <c r="C100" s="4"/>
      <c r="D100" s="4">
        <v>2.2344293046235469E-3</v>
      </c>
    </row>
    <row r="101" spans="1:4" x14ac:dyDescent="0.35">
      <c r="A101" s="27" t="s">
        <v>123</v>
      </c>
      <c r="B101" s="4">
        <v>1.9389481773149368E-3</v>
      </c>
      <c r="C101" s="4"/>
      <c r="D101" s="4">
        <v>2.0861290682236667E-3</v>
      </c>
    </row>
    <row r="102" spans="1:4" x14ac:dyDescent="0.35">
      <c r="A102" s="27" t="s">
        <v>124</v>
      </c>
      <c r="B102" s="4">
        <v>5.1175806087674588E-4</v>
      </c>
      <c r="C102" s="4"/>
      <c r="D102" s="4">
        <v>1.2111966585602513E-4</v>
      </c>
    </row>
    <row r="103" spans="1:4" x14ac:dyDescent="0.35">
      <c r="A103" s="27" t="s">
        <v>125</v>
      </c>
      <c r="B103" s="4">
        <v>2.8455333796228218E-4</v>
      </c>
      <c r="C103" s="4"/>
      <c r="D103" s="4">
        <v>2.2440696475647712E-4</v>
      </c>
    </row>
    <row r="104" spans="1:4" x14ac:dyDescent="0.35">
      <c r="A104" s="27" t="s">
        <v>126</v>
      </c>
      <c r="B104" s="4">
        <v>9.0918819993155732E-5</v>
      </c>
      <c r="C104" s="4"/>
      <c r="D104" s="4">
        <v>3.2724473671602172E-5</v>
      </c>
    </row>
    <row r="105" spans="1:4" x14ac:dyDescent="0.35">
      <c r="A105" s="27" t="s">
        <v>127</v>
      </c>
      <c r="B105" s="4">
        <v>3.2285895769059456E-4</v>
      </c>
      <c r="C105" s="4"/>
      <c r="D105" s="4">
        <v>6.0785589926963014E-4</v>
      </c>
    </row>
    <row r="106" spans="1:4" x14ac:dyDescent="0.35">
      <c r="A106" s="27" t="s">
        <v>286</v>
      </c>
      <c r="B106" s="4">
        <v>6.9844714466146263E-3</v>
      </c>
      <c r="C106" s="4"/>
      <c r="D106" s="4">
        <v>1.3136520843069363E-2</v>
      </c>
    </row>
    <row r="107" spans="1:4" x14ac:dyDescent="0.35">
      <c r="A107" s="27" t="s">
        <v>128</v>
      </c>
      <c r="B107" s="4">
        <v>5.7883962212438425E-2</v>
      </c>
      <c r="C107" s="4"/>
      <c r="D107" s="4">
        <v>7.1805468734069441E-2</v>
      </c>
    </row>
    <row r="108" spans="1:4" x14ac:dyDescent="0.35">
      <c r="A108" s="27" t="s">
        <v>129</v>
      </c>
      <c r="B108" s="4">
        <v>0</v>
      </c>
      <c r="C108" s="4"/>
      <c r="D108" s="4">
        <v>1.464873448117462E-5</v>
      </c>
    </row>
    <row r="109" spans="1:4" x14ac:dyDescent="0.35">
      <c r="A109" s="27" t="s">
        <v>130</v>
      </c>
      <c r="B109" s="4">
        <v>4.6088456278485707E-5</v>
      </c>
      <c r="C109" s="4"/>
      <c r="D109" s="4">
        <v>4.4530203168223736E-5</v>
      </c>
    </row>
    <row r="110" spans="1:4" x14ac:dyDescent="0.35">
      <c r="A110" s="27" t="s">
        <v>131</v>
      </c>
      <c r="B110" s="4">
        <v>4.8341443422693446E-4</v>
      </c>
      <c r="C110" s="4"/>
      <c r="D110" s="4">
        <v>4.5533105310002449E-4</v>
      </c>
    </row>
    <row r="111" spans="1:4" x14ac:dyDescent="0.35">
      <c r="A111" s="27" t="s">
        <v>132</v>
      </c>
      <c r="B111" s="4">
        <v>6.23486079718247E-4</v>
      </c>
      <c r="C111" s="4"/>
      <c r="D111" s="4">
        <v>4.2159946607148207E-4</v>
      </c>
    </row>
    <row r="112" spans="1:4" x14ac:dyDescent="0.35">
      <c r="A112" s="27" t="s">
        <v>133</v>
      </c>
      <c r="B112" s="4">
        <v>4.1844605480717743E-5</v>
      </c>
      <c r="C112" s="4"/>
      <c r="D112" s="4">
        <v>7.602788103891501E-5</v>
      </c>
    </row>
    <row r="113" spans="1:4" x14ac:dyDescent="0.35">
      <c r="A113" s="27" t="s">
        <v>134</v>
      </c>
      <c r="B113" s="4">
        <v>4.3523447945636616E-3</v>
      </c>
      <c r="C113" s="4"/>
      <c r="D113" s="4">
        <v>4.574292683934153E-3</v>
      </c>
    </row>
    <row r="114" spans="1:4" x14ac:dyDescent="0.35">
      <c r="A114" s="27" t="s">
        <v>135</v>
      </c>
      <c r="B114" s="4">
        <v>2.7079448091476605E-5</v>
      </c>
      <c r="C114" s="4"/>
      <c r="D114" s="4">
        <v>2.6291311839905806E-5</v>
      </c>
    </row>
    <row r="115" spans="1:4" x14ac:dyDescent="0.35">
      <c r="A115" s="27" t="s">
        <v>136</v>
      </c>
      <c r="B115" s="4">
        <v>8.9352465594705593E-5</v>
      </c>
      <c r="C115" s="4"/>
      <c r="D115" s="4">
        <v>2.161044724526207E-4</v>
      </c>
    </row>
    <row r="116" spans="1:4" x14ac:dyDescent="0.35">
      <c r="A116" s="27" t="s">
        <v>137</v>
      </c>
      <c r="B116" s="4">
        <v>2.6349829462194384E-4</v>
      </c>
      <c r="C116" s="4"/>
      <c r="D116" s="4">
        <v>1.3431673656237475E-4</v>
      </c>
    </row>
    <row r="117" spans="1:4" x14ac:dyDescent="0.35">
      <c r="A117" s="27" t="s">
        <v>138</v>
      </c>
      <c r="B117" s="4">
        <v>2.9289020361267467E-3</v>
      </c>
      <c r="C117" s="4"/>
      <c r="D117" s="4">
        <v>2.4773391989333657E-3</v>
      </c>
    </row>
    <row r="118" spans="1:4" x14ac:dyDescent="0.35">
      <c r="A118" s="27" t="s">
        <v>139</v>
      </c>
      <c r="B118" s="4">
        <v>6.1108919067007121E-3</v>
      </c>
      <c r="C118" s="4"/>
      <c r="D118" s="4">
        <v>5.8500235109662938E-3</v>
      </c>
    </row>
    <row r="119" spans="1:4" x14ac:dyDescent="0.35">
      <c r="A119" s="27" t="s">
        <v>140</v>
      </c>
      <c r="B119" s="4">
        <v>7.4662632167508593E-3</v>
      </c>
      <c r="C119" s="4"/>
      <c r="D119" s="4">
        <v>7.6305056642893528E-3</v>
      </c>
    </row>
    <row r="120" spans="1:4" x14ac:dyDescent="0.35">
      <c r="A120" s="27" t="s">
        <v>141</v>
      </c>
      <c r="B120" s="4">
        <v>3.3187762829067404E-3</v>
      </c>
      <c r="C120" s="4"/>
      <c r="D120" s="4">
        <v>3.7396618361418758E-3</v>
      </c>
    </row>
    <row r="121" spans="1:4" x14ac:dyDescent="0.35">
      <c r="A121" s="27" t="s">
        <v>142</v>
      </c>
      <c r="B121" s="4">
        <v>0.15988292145610247</v>
      </c>
      <c r="C121" s="4"/>
      <c r="D121" s="4">
        <v>0.16525142870443901</v>
      </c>
    </row>
    <row r="122" spans="1:4" x14ac:dyDescent="0.35">
      <c r="A122" s="27" t="s">
        <v>143</v>
      </c>
      <c r="B122" s="4">
        <v>3.3807740596648972E-3</v>
      </c>
      <c r="C122" s="4"/>
      <c r="D122" s="4">
        <v>3.2699527345292035E-3</v>
      </c>
    </row>
    <row r="123" spans="1:4" x14ac:dyDescent="0.35">
      <c r="A123" s="27" t="s">
        <v>144</v>
      </c>
      <c r="B123" s="4">
        <v>1.7537001696027834E-3</v>
      </c>
      <c r="C123" s="4"/>
      <c r="D123" s="4">
        <v>8.5211381429258089E-4</v>
      </c>
    </row>
    <row r="124" spans="1:4" x14ac:dyDescent="0.35">
      <c r="A124" s="27" t="s">
        <v>145</v>
      </c>
      <c r="B124" s="4">
        <v>3.7377729462978904E-4</v>
      </c>
      <c r="C124" s="4"/>
      <c r="D124" s="4">
        <v>2.164798969847344E-4</v>
      </c>
    </row>
    <row r="125" spans="1:4" x14ac:dyDescent="0.35">
      <c r="A125" s="27" t="s">
        <v>146</v>
      </c>
      <c r="B125" s="4">
        <v>2.2897586954861581E-5</v>
      </c>
      <c r="C125" s="4"/>
      <c r="D125" s="4">
        <v>2.6370894050494425E-5</v>
      </c>
    </row>
    <row r="126" spans="1:4" x14ac:dyDescent="0.35">
      <c r="A126" s="27" t="s">
        <v>284</v>
      </c>
      <c r="B126" s="4">
        <v>1.7267860660976591E-3</v>
      </c>
      <c r="C126" s="4"/>
      <c r="D126" s="4">
        <v>2.0320693484734581E-3</v>
      </c>
    </row>
    <row r="127" spans="1:4" x14ac:dyDescent="0.35">
      <c r="A127" s="27" t="s">
        <v>283</v>
      </c>
      <c r="B127" s="4">
        <v>1.2229922981530877E-3</v>
      </c>
      <c r="C127" s="4"/>
      <c r="D127" s="4">
        <v>1.3556024156322758E-3</v>
      </c>
    </row>
    <row r="128" spans="1:4" x14ac:dyDescent="0.35">
      <c r="A128" s="27" t="s">
        <v>147</v>
      </c>
      <c r="B128" s="4">
        <v>4.7291244531503344E-3</v>
      </c>
      <c r="C128" s="4"/>
      <c r="D128" s="4">
        <v>3.9555105134734632E-3</v>
      </c>
    </row>
    <row r="129" spans="1:4" x14ac:dyDescent="0.35">
      <c r="A129" s="27" t="s">
        <v>148</v>
      </c>
      <c r="B129" s="4">
        <v>0</v>
      </c>
      <c r="C129" s="4"/>
      <c r="D129" s="4">
        <v>0</v>
      </c>
    </row>
    <row r="130" spans="1:4" x14ac:dyDescent="0.35">
      <c r="A130" s="27" t="s">
        <v>149</v>
      </c>
      <c r="B130" s="4">
        <v>8.3042208287585524E-3</v>
      </c>
      <c r="C130" s="4"/>
      <c r="D130" s="4">
        <v>8.1160873198155032E-3</v>
      </c>
    </row>
    <row r="131" spans="1:4" x14ac:dyDescent="0.35">
      <c r="A131" s="27" t="s">
        <v>150</v>
      </c>
      <c r="B131" s="4">
        <v>3.3835958918263347E-5</v>
      </c>
      <c r="C131" s="4"/>
      <c r="D131" s="4">
        <v>2.6309078907130286E-5</v>
      </c>
    </row>
    <row r="132" spans="1:4" x14ac:dyDescent="0.35">
      <c r="A132" s="27" t="s">
        <v>151</v>
      </c>
      <c r="B132" s="4">
        <v>1.3053162889165267E-3</v>
      </c>
      <c r="C132" s="4"/>
      <c r="D132" s="4">
        <v>1.3614970265110884E-3</v>
      </c>
    </row>
    <row r="133" spans="1:4" x14ac:dyDescent="0.35">
      <c r="A133" s="27" t="s">
        <v>152</v>
      </c>
      <c r="B133" s="4">
        <v>4.2970857079814096E-3</v>
      </c>
      <c r="C133" s="4"/>
      <c r="D133" s="4">
        <v>5.4229394392981091E-3</v>
      </c>
    </row>
    <row r="134" spans="1:4" x14ac:dyDescent="0.35">
      <c r="A134" s="27" t="s">
        <v>153</v>
      </c>
      <c r="B134" s="4">
        <v>4.6123827231961323E-3</v>
      </c>
      <c r="C134" s="4"/>
      <c r="D134" s="4">
        <v>3.9015657949491513E-3</v>
      </c>
    </row>
    <row r="135" spans="1:4" x14ac:dyDescent="0.35">
      <c r="A135" s="27" t="s">
        <v>154</v>
      </c>
      <c r="B135" s="4">
        <v>1.3819670564456283E-2</v>
      </c>
      <c r="C135" s="4"/>
      <c r="D135" s="4">
        <v>1.3845569365598805E-2</v>
      </c>
    </row>
    <row r="136" spans="1:4" x14ac:dyDescent="0.35">
      <c r="A136" s="27" t="s">
        <v>155</v>
      </c>
      <c r="B136" s="4">
        <v>0.15191065426526235</v>
      </c>
      <c r="C136" s="4"/>
      <c r="D136" s="4">
        <v>0.15389687791967752</v>
      </c>
    </row>
    <row r="137" spans="1:4" x14ac:dyDescent="0.35">
      <c r="A137" s="27" t="s">
        <v>156</v>
      </c>
      <c r="B137" s="4">
        <v>1.4587213522346707E-4</v>
      </c>
      <c r="C137" s="4"/>
      <c r="D137" s="4">
        <v>2.2501204005786544E-4</v>
      </c>
    </row>
    <row r="138" spans="1:4" x14ac:dyDescent="0.35">
      <c r="A138" s="27" t="s">
        <v>157</v>
      </c>
      <c r="B138" s="4">
        <v>7.1157110088275975E-4</v>
      </c>
      <c r="C138" s="4"/>
      <c r="D138" s="4">
        <v>5.2317021392733808E-4</v>
      </c>
    </row>
    <row r="139" spans="1:4" x14ac:dyDescent="0.35">
      <c r="A139" s="27" t="s">
        <v>158</v>
      </c>
      <c r="B139" s="4">
        <v>1.639434095205658E-2</v>
      </c>
      <c r="C139" s="4"/>
      <c r="D139" s="4">
        <v>1.7903739712316756E-2</v>
      </c>
    </row>
    <row r="140" spans="1:4" x14ac:dyDescent="0.35">
      <c r="A140" s="27" t="s">
        <v>282</v>
      </c>
      <c r="B140" s="4">
        <v>1.4255743297045046E-3</v>
      </c>
      <c r="C140" s="4"/>
      <c r="D140" s="4">
        <v>1.1469626674414661E-3</v>
      </c>
    </row>
    <row r="141" spans="1:4" x14ac:dyDescent="0.35">
      <c r="A141" s="27" t="s">
        <v>159</v>
      </c>
      <c r="B141" s="4">
        <v>2.9568945039858217E-4</v>
      </c>
      <c r="C141" s="4"/>
      <c r="D141" s="4">
        <v>1.2315498929547537E-4</v>
      </c>
    </row>
    <row r="142" spans="1:4" x14ac:dyDescent="0.35">
      <c r="A142" s="27" t="s">
        <v>160</v>
      </c>
      <c r="B142" s="4">
        <v>5.0808130704053101E-2</v>
      </c>
      <c r="C142" s="4"/>
      <c r="D142" s="4">
        <v>4.941029499088076E-2</v>
      </c>
    </row>
    <row r="143" spans="1:4" x14ac:dyDescent="0.35">
      <c r="A143" s="27" t="s">
        <v>161</v>
      </c>
      <c r="B143" s="4">
        <v>6.3434670553426352E-3</v>
      </c>
      <c r="C143" s="4"/>
      <c r="D143" s="4">
        <v>6.2892603863227573E-3</v>
      </c>
    </row>
    <row r="144" spans="1:4" x14ac:dyDescent="0.35">
      <c r="A144" s="27" t="s">
        <v>162</v>
      </c>
      <c r="B144" s="4">
        <v>0</v>
      </c>
      <c r="C144" s="4"/>
      <c r="D144" s="4">
        <v>2.4076701042023441E-5</v>
      </c>
    </row>
    <row r="145" spans="1:4" x14ac:dyDescent="0.35">
      <c r="A145" s="27" t="s">
        <v>163</v>
      </c>
      <c r="B145" s="4">
        <v>7.6780789952705202E-3</v>
      </c>
      <c r="C145" s="4"/>
      <c r="D145" s="4">
        <v>7.115301760171929E-3</v>
      </c>
    </row>
    <row r="146" spans="1:4" x14ac:dyDescent="0.35">
      <c r="A146" s="27" t="s">
        <v>164</v>
      </c>
      <c r="B146" s="4">
        <v>1.1325461474577187E-3</v>
      </c>
      <c r="C146" s="4"/>
      <c r="D146" s="4">
        <v>1.4311223437091132E-3</v>
      </c>
    </row>
    <row r="147" spans="1:4" x14ac:dyDescent="0.35">
      <c r="A147" s="27" t="s">
        <v>165</v>
      </c>
      <c r="B147" s="4">
        <v>8.0796754076580581E-3</v>
      </c>
      <c r="C147" s="4"/>
      <c r="D147" s="4">
        <v>8.3584107625549846E-3</v>
      </c>
    </row>
    <row r="148" spans="1:4" x14ac:dyDescent="0.35">
      <c r="A148" s="27" t="s">
        <v>166</v>
      </c>
      <c r="B148" s="4">
        <v>1.0304724501377613E-2</v>
      </c>
      <c r="C148" s="4"/>
      <c r="D148" s="4">
        <v>9.4982651978580152E-3</v>
      </c>
    </row>
    <row r="149" spans="1:4" x14ac:dyDescent="0.35">
      <c r="A149" s="27" t="s">
        <v>167</v>
      </c>
      <c r="B149" s="4">
        <v>1.425935443701034E-2</v>
      </c>
      <c r="C149" s="4"/>
      <c r="D149" s="4">
        <v>1.3070375953150382E-2</v>
      </c>
    </row>
    <row r="150" spans="1:4" x14ac:dyDescent="0.35">
      <c r="A150" s="27" t="s">
        <v>168</v>
      </c>
      <c r="B150" s="4">
        <v>0.49926354674431533</v>
      </c>
      <c r="C150" s="4"/>
      <c r="D150" s="4">
        <v>0.50203520803579949</v>
      </c>
    </row>
    <row r="151" spans="1:4" x14ac:dyDescent="0.35">
      <c r="A151" s="27" t="s">
        <v>169</v>
      </c>
      <c r="B151" s="4">
        <v>7.8656510290524945E-4</v>
      </c>
      <c r="C151" s="4"/>
      <c r="D151" s="4">
        <v>9.236210183317954E-4</v>
      </c>
    </row>
    <row r="152" spans="1:4" x14ac:dyDescent="0.35">
      <c r="A152" s="27" t="s">
        <v>170</v>
      </c>
      <c r="B152" s="4">
        <v>1.9742000537696725E-3</v>
      </c>
      <c r="C152" s="4"/>
      <c r="D152" s="4">
        <v>1.5012835680941802E-3</v>
      </c>
    </row>
    <row r="153" spans="1:4" x14ac:dyDescent="0.35">
      <c r="A153" s="27" t="s">
        <v>171</v>
      </c>
      <c r="B153" s="4">
        <v>1.448455778968177E-2</v>
      </c>
      <c r="C153" s="4"/>
      <c r="D153" s="4">
        <v>9.8232405614447869E-3</v>
      </c>
    </row>
    <row r="154" spans="1:4" x14ac:dyDescent="0.35">
      <c r="A154" s="27" t="s">
        <v>172</v>
      </c>
      <c r="B154" s="4">
        <v>1.170354611418046E-4</v>
      </c>
      <c r="C154" s="4"/>
      <c r="D154" s="4">
        <v>2.2986687795930808E-5</v>
      </c>
    </row>
    <row r="155" spans="1:4" x14ac:dyDescent="0.35">
      <c r="A155" s="27" t="s">
        <v>173</v>
      </c>
      <c r="B155" s="4">
        <v>3.9772401192283649E-4</v>
      </c>
      <c r="C155" s="4"/>
      <c r="D155" s="4">
        <v>3.2809420936190826E-4</v>
      </c>
    </row>
    <row r="156" spans="1:4" x14ac:dyDescent="0.35">
      <c r="A156" s="27" t="s">
        <v>174</v>
      </c>
      <c r="B156" s="4">
        <v>3.5045990390244303E-4</v>
      </c>
      <c r="C156" s="4"/>
      <c r="D156" s="4">
        <v>4.0436199390228182E-4</v>
      </c>
    </row>
    <row r="157" spans="1:4" x14ac:dyDescent="0.35">
      <c r="A157" s="60" t="s">
        <v>175</v>
      </c>
      <c r="B157" s="62">
        <v>4.9801848770558065E-2</v>
      </c>
      <c r="C157" s="62"/>
      <c r="D157" s="62">
        <v>5.0717872239203557E-2</v>
      </c>
    </row>
    <row r="158" spans="1:4" x14ac:dyDescent="0.35">
      <c r="A158" s="43"/>
      <c r="B158" s="80" t="s">
        <v>34</v>
      </c>
      <c r="C158" s="80"/>
      <c r="D158" s="80"/>
    </row>
    <row r="159" spans="1:4" x14ac:dyDescent="0.35">
      <c r="A159" s="27" t="s">
        <v>39</v>
      </c>
      <c r="B159" s="33">
        <v>52278.537337588961</v>
      </c>
      <c r="C159" s="33"/>
      <c r="D159" s="33">
        <v>16342.125301467157</v>
      </c>
    </row>
    <row r="160" spans="1:4" x14ac:dyDescent="0.35">
      <c r="A160" s="27" t="s">
        <v>40</v>
      </c>
      <c r="B160" s="33">
        <v>78863.06769837199</v>
      </c>
      <c r="C160" s="33"/>
      <c r="D160" s="33">
        <v>50733.781702955144</v>
      </c>
    </row>
    <row r="161" spans="1:4" x14ac:dyDescent="0.35">
      <c r="A161" s="27" t="s">
        <v>41</v>
      </c>
      <c r="B161" s="33">
        <v>54824.659316463774</v>
      </c>
      <c r="C161" s="33"/>
      <c r="D161" s="33">
        <v>40601.732016915805</v>
      </c>
    </row>
    <row r="162" spans="1:4" x14ac:dyDescent="0.35">
      <c r="A162" s="27" t="s">
        <v>42</v>
      </c>
      <c r="B162" s="33">
        <v>335072.90003978543</v>
      </c>
      <c r="C162" s="33"/>
      <c r="D162" s="33">
        <v>298311.40148679406</v>
      </c>
    </row>
    <row r="163" spans="1:4" x14ac:dyDescent="0.35">
      <c r="A163" s="27" t="s">
        <v>43</v>
      </c>
      <c r="B163" s="33">
        <v>579204.28679795633</v>
      </c>
      <c r="C163" s="33"/>
      <c r="D163" s="33">
        <v>547128.96805463487</v>
      </c>
    </row>
    <row r="164" spans="1:4" x14ac:dyDescent="0.35">
      <c r="A164" s="27" t="s">
        <v>44</v>
      </c>
      <c r="B164" s="33">
        <v>410168.52497029473</v>
      </c>
      <c r="C164" s="33"/>
      <c r="D164" s="33">
        <v>426924.78946040606</v>
      </c>
    </row>
    <row r="165" spans="1:4" x14ac:dyDescent="0.35">
      <c r="A165" s="27" t="s">
        <v>45</v>
      </c>
      <c r="B165" s="33">
        <v>84748.981506810946</v>
      </c>
      <c r="C165" s="33"/>
      <c r="D165" s="33">
        <v>70050.49245895377</v>
      </c>
    </row>
    <row r="166" spans="1:4" x14ac:dyDescent="0.35">
      <c r="A166" s="27" t="s">
        <v>46</v>
      </c>
      <c r="B166" s="33">
        <v>1050853.9268680855</v>
      </c>
      <c r="C166" s="33"/>
      <c r="D166" s="33">
        <v>1024359.9146129001</v>
      </c>
    </row>
    <row r="167" spans="1:4" x14ac:dyDescent="0.35">
      <c r="A167" s="27" t="s">
        <v>47</v>
      </c>
      <c r="B167" s="33">
        <v>6398.1279742554962</v>
      </c>
      <c r="C167" s="33"/>
      <c r="D167" s="33">
        <v>2672.4457599105831</v>
      </c>
    </row>
    <row r="168" spans="1:4" x14ac:dyDescent="0.35">
      <c r="A168" s="27" t="s">
        <v>48</v>
      </c>
      <c r="B168" s="33">
        <v>3186.7240913895962</v>
      </c>
      <c r="C168" s="33"/>
      <c r="D168" s="33">
        <v>1309.1018476753338</v>
      </c>
    </row>
    <row r="169" spans="1:4" x14ac:dyDescent="0.35">
      <c r="A169" s="27" t="s">
        <v>49</v>
      </c>
      <c r="B169" s="33">
        <v>73026.777184678169</v>
      </c>
      <c r="C169" s="33"/>
      <c r="D169" s="33">
        <v>68764.959019441245</v>
      </c>
    </row>
    <row r="170" spans="1:4" x14ac:dyDescent="0.35">
      <c r="A170" s="27" t="s">
        <v>50</v>
      </c>
      <c r="B170" s="33">
        <v>9648.7471961631818</v>
      </c>
      <c r="C170" s="33"/>
      <c r="D170" s="33">
        <v>6337.3739397418385</v>
      </c>
    </row>
    <row r="171" spans="1:4" x14ac:dyDescent="0.35">
      <c r="A171" s="27" t="s">
        <v>51</v>
      </c>
      <c r="B171" s="33">
        <v>0</v>
      </c>
      <c r="C171" s="33"/>
      <c r="D171" s="33">
        <v>428.47308629067419</v>
      </c>
    </row>
    <row r="172" spans="1:4" x14ac:dyDescent="0.35">
      <c r="A172" s="27" t="s">
        <v>52</v>
      </c>
      <c r="B172" s="33">
        <v>3095.9562160544565</v>
      </c>
      <c r="C172" s="33"/>
      <c r="D172" s="33">
        <v>3156.6729753942595</v>
      </c>
    </row>
    <row r="173" spans="1:4" x14ac:dyDescent="0.35">
      <c r="A173" s="27" t="s">
        <v>53</v>
      </c>
      <c r="B173" s="33">
        <v>0</v>
      </c>
      <c r="C173" s="33"/>
      <c r="D173" s="33">
        <v>0</v>
      </c>
    </row>
    <row r="174" spans="1:4" x14ac:dyDescent="0.35">
      <c r="A174" s="27" t="s">
        <v>54</v>
      </c>
      <c r="B174" s="33">
        <v>8060.8360802665629</v>
      </c>
      <c r="C174" s="33"/>
      <c r="D174" s="33">
        <v>9329.9697200610062</v>
      </c>
    </row>
    <row r="175" spans="1:4" x14ac:dyDescent="0.35">
      <c r="A175" s="27" t="s">
        <v>55</v>
      </c>
      <c r="B175" s="33">
        <v>2510.1902400223157</v>
      </c>
      <c r="C175" s="33"/>
      <c r="D175" s="33">
        <v>3391.55430076637</v>
      </c>
    </row>
    <row r="176" spans="1:4" x14ac:dyDescent="0.35">
      <c r="A176" s="27" t="s">
        <v>56</v>
      </c>
      <c r="B176" s="33">
        <v>196350.23573281433</v>
      </c>
      <c r="C176" s="33"/>
      <c r="D176" s="33">
        <v>188845.69700710024</v>
      </c>
    </row>
    <row r="177" spans="1:4" x14ac:dyDescent="0.35">
      <c r="A177" s="27" t="s">
        <v>57</v>
      </c>
      <c r="B177" s="33">
        <v>198303.45368085321</v>
      </c>
      <c r="C177" s="33"/>
      <c r="D177" s="33">
        <v>191913.13617965204</v>
      </c>
    </row>
    <row r="178" spans="1:4" x14ac:dyDescent="0.35">
      <c r="A178" s="27" t="s">
        <v>58</v>
      </c>
      <c r="B178" s="33">
        <v>1139.6213257213126</v>
      </c>
      <c r="C178" s="33"/>
      <c r="D178" s="33">
        <v>546.10022223218562</v>
      </c>
    </row>
    <row r="179" spans="1:4" x14ac:dyDescent="0.35">
      <c r="A179" s="27" t="s">
        <v>59</v>
      </c>
      <c r="B179" s="33">
        <v>3741508.8395451652</v>
      </c>
      <c r="C179" s="33"/>
      <c r="D179" s="33">
        <v>3953951.835570131</v>
      </c>
    </row>
    <row r="180" spans="1:4" x14ac:dyDescent="0.35">
      <c r="A180" s="27" t="s">
        <v>60</v>
      </c>
      <c r="B180" s="33">
        <v>53223.011504622606</v>
      </c>
      <c r="C180" s="33"/>
      <c r="D180" s="33">
        <v>81353.343184750222</v>
      </c>
    </row>
    <row r="181" spans="1:4" x14ac:dyDescent="0.35">
      <c r="A181" s="27" t="s">
        <v>61</v>
      </c>
      <c r="B181" s="33">
        <v>4912.4437817990365</v>
      </c>
      <c r="C181" s="33"/>
      <c r="D181" s="33">
        <v>2930.0354563737533</v>
      </c>
    </row>
    <row r="182" spans="1:4" x14ac:dyDescent="0.35">
      <c r="A182" s="27" t="s">
        <v>62</v>
      </c>
      <c r="B182" s="33">
        <v>213832.61096727184</v>
      </c>
      <c r="C182" s="33"/>
      <c r="D182" s="33">
        <v>225559.69262959639</v>
      </c>
    </row>
    <row r="183" spans="1:4" x14ac:dyDescent="0.35">
      <c r="A183" s="27" t="s">
        <v>63</v>
      </c>
      <c r="B183" s="33">
        <v>9504.724791432478</v>
      </c>
      <c r="C183" s="33"/>
      <c r="D183" s="33">
        <v>7650.2010111612071</v>
      </c>
    </row>
    <row r="184" spans="1:4" x14ac:dyDescent="0.35">
      <c r="A184" s="27" t="s">
        <v>64</v>
      </c>
      <c r="B184" s="33">
        <v>536834.22439410968</v>
      </c>
      <c r="C184" s="33"/>
      <c r="D184" s="33">
        <v>563966.81231841596</v>
      </c>
    </row>
    <row r="185" spans="1:4" x14ac:dyDescent="0.35">
      <c r="A185" s="27" t="s">
        <v>65</v>
      </c>
      <c r="B185" s="33">
        <v>16497.782183716186</v>
      </c>
      <c r="C185" s="33"/>
      <c r="D185" s="33">
        <v>20002.980669626697</v>
      </c>
    </row>
    <row r="186" spans="1:4" x14ac:dyDescent="0.35">
      <c r="A186" s="27" t="s">
        <v>293</v>
      </c>
      <c r="B186" s="33">
        <v>126816.40331649213</v>
      </c>
      <c r="C186" s="33"/>
      <c r="D186" s="33">
        <v>146572.646412195</v>
      </c>
    </row>
    <row r="187" spans="1:4" x14ac:dyDescent="0.35">
      <c r="A187" s="27" t="s">
        <v>66</v>
      </c>
      <c r="B187" s="33">
        <v>2540.0267810780092</v>
      </c>
      <c r="C187" s="33"/>
      <c r="D187" s="33">
        <v>2212.8225509426516</v>
      </c>
    </row>
    <row r="188" spans="1:4" x14ac:dyDescent="0.35">
      <c r="A188" s="27" t="s">
        <v>67</v>
      </c>
      <c r="B188" s="33">
        <v>1906441.9670015515</v>
      </c>
      <c r="C188" s="33"/>
      <c r="D188" s="33">
        <v>1877339.2840691295</v>
      </c>
    </row>
    <row r="189" spans="1:4" x14ac:dyDescent="0.35">
      <c r="A189" s="27" t="s">
        <v>68</v>
      </c>
      <c r="B189" s="33">
        <v>232335.52895952633</v>
      </c>
      <c r="C189" s="33"/>
      <c r="D189" s="33">
        <v>254166.28342771024</v>
      </c>
    </row>
    <row r="190" spans="1:4" x14ac:dyDescent="0.35">
      <c r="A190" s="27" t="s">
        <v>69</v>
      </c>
      <c r="B190" s="33">
        <v>394583.2511820345</v>
      </c>
      <c r="C190" s="33"/>
      <c r="D190" s="33">
        <v>368719.40242503636</v>
      </c>
    </row>
    <row r="191" spans="1:4" x14ac:dyDescent="0.35">
      <c r="A191" s="27" t="s">
        <v>70</v>
      </c>
      <c r="B191" s="33">
        <v>35446.719064971367</v>
      </c>
      <c r="C191" s="33"/>
      <c r="D191" s="33">
        <v>36751.285498240541</v>
      </c>
    </row>
    <row r="192" spans="1:4" x14ac:dyDescent="0.35">
      <c r="A192" s="27" t="s">
        <v>71</v>
      </c>
      <c r="B192" s="33">
        <v>10787.766691612964</v>
      </c>
      <c r="C192" s="33"/>
      <c r="D192" s="33">
        <v>11251.904919727018</v>
      </c>
    </row>
    <row r="193" spans="1:4" x14ac:dyDescent="0.35">
      <c r="A193" s="27" t="s">
        <v>72</v>
      </c>
      <c r="B193" s="33">
        <v>16893.034599331055</v>
      </c>
      <c r="C193" s="33"/>
      <c r="D193" s="33">
        <v>17375.750207335695</v>
      </c>
    </row>
    <row r="194" spans="1:4" x14ac:dyDescent="0.35">
      <c r="A194" s="27" t="s">
        <v>73</v>
      </c>
      <c r="B194" s="33">
        <v>10921.718630095975</v>
      </c>
      <c r="C194" s="33"/>
      <c r="D194" s="33">
        <v>15825.386644724007</v>
      </c>
    </row>
    <row r="195" spans="1:4" x14ac:dyDescent="0.35">
      <c r="A195" s="27" t="s">
        <v>74</v>
      </c>
      <c r="B195" s="33">
        <v>9626.9619347736316</v>
      </c>
      <c r="C195" s="33"/>
      <c r="D195" s="33">
        <v>6103.5668653203384</v>
      </c>
    </row>
    <row r="196" spans="1:4" x14ac:dyDescent="0.35">
      <c r="A196" s="27" t="s">
        <v>75</v>
      </c>
      <c r="B196" s="33">
        <v>98342.1042667578</v>
      </c>
      <c r="C196" s="33"/>
      <c r="D196" s="33">
        <v>99948.776785264286</v>
      </c>
    </row>
    <row r="197" spans="1:4" x14ac:dyDescent="0.35">
      <c r="A197" s="27" t="s">
        <v>76</v>
      </c>
      <c r="B197" s="33">
        <v>61006.716310323354</v>
      </c>
      <c r="C197" s="33"/>
      <c r="D197" s="33">
        <v>47703.712679870827</v>
      </c>
    </row>
    <row r="198" spans="1:4" x14ac:dyDescent="0.35">
      <c r="A198" s="27" t="s">
        <v>77</v>
      </c>
      <c r="B198" s="33">
        <v>16937.708099892559</v>
      </c>
      <c r="C198" s="33"/>
      <c r="D198" s="33">
        <v>10274.558394336642</v>
      </c>
    </row>
    <row r="199" spans="1:4" x14ac:dyDescent="0.35">
      <c r="A199" s="27" t="s">
        <v>78</v>
      </c>
      <c r="B199" s="33">
        <v>268655.45325363561</v>
      </c>
      <c r="C199" s="33"/>
      <c r="D199" s="33">
        <v>242243.53017535846</v>
      </c>
    </row>
    <row r="200" spans="1:4" x14ac:dyDescent="0.35">
      <c r="A200" s="27" t="s">
        <v>79</v>
      </c>
      <c r="B200" s="33">
        <v>6732389.4330285918</v>
      </c>
      <c r="C200" s="33"/>
      <c r="D200" s="33">
        <v>7719043.1044457396</v>
      </c>
    </row>
    <row r="201" spans="1:4" x14ac:dyDescent="0.35">
      <c r="A201" s="27" t="s">
        <v>80</v>
      </c>
      <c r="B201" s="33">
        <v>1398.1527865995806</v>
      </c>
      <c r="C201" s="33"/>
      <c r="D201" s="33">
        <v>6394.8003928226799</v>
      </c>
    </row>
    <row r="202" spans="1:4" x14ac:dyDescent="0.35">
      <c r="A202" s="27" t="s">
        <v>81</v>
      </c>
      <c r="B202" s="33">
        <v>52666.889088758704</v>
      </c>
      <c r="C202" s="33"/>
      <c r="D202" s="33">
        <v>56341.716334573619</v>
      </c>
    </row>
    <row r="203" spans="1:4" x14ac:dyDescent="0.35">
      <c r="A203" s="27" t="s">
        <v>82</v>
      </c>
      <c r="B203" s="33">
        <v>1206734.2483318669</v>
      </c>
      <c r="C203" s="33"/>
      <c r="D203" s="33">
        <v>1273027.2275499934</v>
      </c>
    </row>
    <row r="204" spans="1:4" x14ac:dyDescent="0.35">
      <c r="A204" s="27" t="s">
        <v>83</v>
      </c>
      <c r="B204" s="33">
        <v>8105.3364679145952</v>
      </c>
      <c r="C204" s="33"/>
      <c r="D204" s="33">
        <v>14208.060553823427</v>
      </c>
    </row>
    <row r="205" spans="1:4" x14ac:dyDescent="0.35">
      <c r="A205" s="27" t="s">
        <v>84</v>
      </c>
      <c r="B205" s="33">
        <v>6234.3293083200224</v>
      </c>
      <c r="C205" s="33"/>
      <c r="D205" s="33">
        <v>7282.2712343144194</v>
      </c>
    </row>
    <row r="206" spans="1:4" x14ac:dyDescent="0.35">
      <c r="A206" s="27" t="s">
        <v>85</v>
      </c>
      <c r="B206" s="33">
        <v>2554.4101596753849</v>
      </c>
      <c r="C206" s="33"/>
      <c r="D206" s="33">
        <v>2292.1195311279066</v>
      </c>
    </row>
    <row r="207" spans="1:4" x14ac:dyDescent="0.35">
      <c r="A207" s="27" t="s">
        <v>86</v>
      </c>
      <c r="B207" s="33">
        <v>1039959.1564594982</v>
      </c>
      <c r="C207" s="33"/>
      <c r="D207" s="33">
        <v>1032837.9602148626</v>
      </c>
    </row>
    <row r="208" spans="1:4" x14ac:dyDescent="0.35">
      <c r="A208" s="27" t="s">
        <v>87</v>
      </c>
      <c r="B208" s="33">
        <v>13816.816326367478</v>
      </c>
      <c r="C208" s="33"/>
      <c r="D208" s="33">
        <v>10298.358044650153</v>
      </c>
    </row>
    <row r="209" spans="1:4" x14ac:dyDescent="0.35">
      <c r="A209" s="27" t="s">
        <v>88</v>
      </c>
      <c r="B209" s="33">
        <v>1994.5100190437092</v>
      </c>
      <c r="C209" s="33"/>
      <c r="D209" s="33">
        <v>943.88468104323374</v>
      </c>
    </row>
    <row r="210" spans="1:4" x14ac:dyDescent="0.35">
      <c r="A210" s="27" t="s">
        <v>89</v>
      </c>
      <c r="B210" s="33">
        <v>123656.46898052811</v>
      </c>
      <c r="C210" s="33"/>
      <c r="D210" s="33">
        <v>122130.7834552229</v>
      </c>
    </row>
    <row r="211" spans="1:4" x14ac:dyDescent="0.35">
      <c r="A211" s="27" t="s">
        <v>90</v>
      </c>
      <c r="B211" s="33">
        <v>32456.251930772993</v>
      </c>
      <c r="C211" s="33"/>
      <c r="D211" s="33">
        <v>25910.568401546268</v>
      </c>
    </row>
    <row r="212" spans="1:4" x14ac:dyDescent="0.35">
      <c r="A212" s="27" t="s">
        <v>91</v>
      </c>
      <c r="B212" s="33">
        <v>4031.8812432576478</v>
      </c>
      <c r="C212" s="33"/>
      <c r="D212" s="33">
        <v>2410.3900657904605</v>
      </c>
    </row>
    <row r="213" spans="1:4" x14ac:dyDescent="0.35">
      <c r="A213" s="27" t="s">
        <v>92</v>
      </c>
      <c r="B213" s="33">
        <v>99546.532605309185</v>
      </c>
      <c r="C213" s="33"/>
      <c r="D213" s="33">
        <v>115927.61554517107</v>
      </c>
    </row>
    <row r="214" spans="1:4" x14ac:dyDescent="0.35">
      <c r="A214" s="27" t="s">
        <v>93</v>
      </c>
      <c r="B214" s="33">
        <v>8939.0293163239039</v>
      </c>
      <c r="C214" s="33"/>
      <c r="D214" s="33">
        <v>5531.792043782415</v>
      </c>
    </row>
    <row r="215" spans="1:4" x14ac:dyDescent="0.35">
      <c r="A215" s="27" t="s">
        <v>94</v>
      </c>
      <c r="B215" s="33">
        <v>13223.626389191642</v>
      </c>
      <c r="C215" s="33"/>
      <c r="D215" s="33">
        <v>13712.251866068897</v>
      </c>
    </row>
    <row r="216" spans="1:4" x14ac:dyDescent="0.35">
      <c r="A216" s="27" t="s">
        <v>95</v>
      </c>
      <c r="B216" s="33">
        <v>2015.4708116976853</v>
      </c>
      <c r="C216" s="33"/>
      <c r="D216" s="33">
        <v>1548.583655450178</v>
      </c>
    </row>
    <row r="217" spans="1:4" x14ac:dyDescent="0.35">
      <c r="A217" s="27" t="s">
        <v>96</v>
      </c>
      <c r="B217" s="33">
        <v>47207.000933375712</v>
      </c>
      <c r="C217" s="33"/>
      <c r="D217" s="33">
        <v>48383.616234523281</v>
      </c>
    </row>
    <row r="218" spans="1:4" x14ac:dyDescent="0.35">
      <c r="A218" s="27" t="s">
        <v>97</v>
      </c>
      <c r="B218" s="33">
        <v>19142.978651234931</v>
      </c>
      <c r="C218" s="33"/>
      <c r="D218" s="33">
        <v>15234.042015260569</v>
      </c>
    </row>
    <row r="219" spans="1:4" x14ac:dyDescent="0.35">
      <c r="A219" s="27" t="s">
        <v>98</v>
      </c>
      <c r="B219" s="33">
        <v>9813.5649537251957</v>
      </c>
      <c r="C219" s="33"/>
      <c r="D219" s="33">
        <v>15025.835246870585</v>
      </c>
    </row>
    <row r="220" spans="1:4" x14ac:dyDescent="0.35">
      <c r="A220" s="27" t="s">
        <v>99</v>
      </c>
      <c r="B220" s="33">
        <v>44474.659578325212</v>
      </c>
      <c r="C220" s="33"/>
      <c r="D220" s="33">
        <v>38589.669358953921</v>
      </c>
    </row>
    <row r="221" spans="1:4" x14ac:dyDescent="0.35">
      <c r="A221" s="27" t="s">
        <v>100</v>
      </c>
      <c r="B221" s="33">
        <v>51454.064978357164</v>
      </c>
      <c r="C221" s="33"/>
      <c r="D221" s="33">
        <v>42201.474526490514</v>
      </c>
    </row>
    <row r="222" spans="1:4" x14ac:dyDescent="0.35">
      <c r="A222" s="27" t="s">
        <v>101</v>
      </c>
      <c r="B222" s="33">
        <v>2070.1315499024149</v>
      </c>
      <c r="C222" s="33"/>
      <c r="D222" s="33">
        <v>6759.2834554439996</v>
      </c>
    </row>
    <row r="223" spans="1:4" x14ac:dyDescent="0.35">
      <c r="A223" s="27" t="s">
        <v>102</v>
      </c>
      <c r="B223" s="33">
        <v>4324.100531555021</v>
      </c>
      <c r="C223" s="33"/>
      <c r="D223" s="33">
        <v>2987.2371026396481</v>
      </c>
    </row>
    <row r="224" spans="1:4" x14ac:dyDescent="0.35">
      <c r="A224" s="27" t="s">
        <v>103</v>
      </c>
      <c r="B224" s="33">
        <v>0</v>
      </c>
      <c r="C224" s="33"/>
      <c r="D224" s="33">
        <v>1166.2346233254757</v>
      </c>
    </row>
    <row r="225" spans="1:4" x14ac:dyDescent="0.35">
      <c r="A225" s="27" t="s">
        <v>104</v>
      </c>
      <c r="B225" s="33">
        <v>2625.151086774511</v>
      </c>
      <c r="C225" s="33"/>
      <c r="D225" s="33">
        <v>2099.2915055699568</v>
      </c>
    </row>
    <row r="226" spans="1:4" x14ac:dyDescent="0.35">
      <c r="A226" s="27" t="s">
        <v>105</v>
      </c>
      <c r="B226" s="33">
        <v>6429.9345856053997</v>
      </c>
      <c r="C226" s="33"/>
      <c r="D226" s="33">
        <v>6842.8694603195245</v>
      </c>
    </row>
    <row r="227" spans="1:4" x14ac:dyDescent="0.35">
      <c r="A227" s="27" t="s">
        <v>106</v>
      </c>
      <c r="B227" s="33">
        <v>0</v>
      </c>
      <c r="C227" s="33"/>
      <c r="D227" s="33">
        <v>1168.0607173908425</v>
      </c>
    </row>
    <row r="228" spans="1:4" x14ac:dyDescent="0.35">
      <c r="A228" s="27" t="s">
        <v>107</v>
      </c>
      <c r="B228" s="33">
        <v>31221.642261343299</v>
      </c>
      <c r="C228" s="33"/>
      <c r="D228" s="33">
        <v>29391.17755958228</v>
      </c>
    </row>
    <row r="229" spans="1:4" x14ac:dyDescent="0.35">
      <c r="A229" s="27" t="s">
        <v>108</v>
      </c>
      <c r="B229" s="33">
        <v>950.16022234327738</v>
      </c>
      <c r="C229" s="33"/>
      <c r="D229" s="33">
        <v>0</v>
      </c>
    </row>
    <row r="230" spans="1:4" x14ac:dyDescent="0.35">
      <c r="A230" s="27" t="s">
        <v>109</v>
      </c>
      <c r="B230" s="33">
        <v>914.21798519633035</v>
      </c>
      <c r="C230" s="33"/>
      <c r="D230" s="33">
        <v>2669.038050837516</v>
      </c>
    </row>
    <row r="231" spans="1:4" x14ac:dyDescent="0.35">
      <c r="A231" s="27" t="s">
        <v>110</v>
      </c>
      <c r="B231" s="33">
        <v>150472.69186689702</v>
      </c>
      <c r="C231" s="33"/>
      <c r="D231" s="33">
        <v>141610.66825913126</v>
      </c>
    </row>
    <row r="232" spans="1:4" x14ac:dyDescent="0.35">
      <c r="A232" s="27" t="s">
        <v>111</v>
      </c>
      <c r="B232" s="33">
        <v>18098.389404753583</v>
      </c>
      <c r="C232" s="33"/>
      <c r="D232" s="33">
        <v>20997.650216919636</v>
      </c>
    </row>
    <row r="233" spans="1:4" x14ac:dyDescent="0.35">
      <c r="A233" s="27" t="s">
        <v>112</v>
      </c>
      <c r="B233" s="33">
        <v>1653.4374203202447</v>
      </c>
      <c r="C233" s="33"/>
      <c r="D233" s="33">
        <v>681.61572143974593</v>
      </c>
    </row>
    <row r="234" spans="1:4" x14ac:dyDescent="0.35">
      <c r="A234" s="27" t="s">
        <v>113</v>
      </c>
      <c r="B234" s="33">
        <v>242995.94829204708</v>
      </c>
      <c r="C234" s="33"/>
      <c r="D234" s="33">
        <v>214265.55169837797</v>
      </c>
    </row>
    <row r="235" spans="1:4" x14ac:dyDescent="0.35">
      <c r="A235" s="27" t="s">
        <v>114</v>
      </c>
      <c r="B235" s="33">
        <v>64675.285062353898</v>
      </c>
      <c r="C235" s="33"/>
      <c r="D235" s="33">
        <v>57438.931951874758</v>
      </c>
    </row>
    <row r="236" spans="1:4" x14ac:dyDescent="0.35">
      <c r="A236" s="27" t="s">
        <v>115</v>
      </c>
      <c r="B236" s="33">
        <v>131486.44325295257</v>
      </c>
      <c r="C236" s="33"/>
      <c r="D236" s="33">
        <v>164225.78670525321</v>
      </c>
    </row>
    <row r="237" spans="1:4" x14ac:dyDescent="0.35">
      <c r="A237" s="27" t="s">
        <v>116</v>
      </c>
      <c r="B237" s="33">
        <v>26336.810430161939</v>
      </c>
      <c r="C237" s="33"/>
      <c r="D237" s="33">
        <v>22438.864591157915</v>
      </c>
    </row>
    <row r="238" spans="1:4" x14ac:dyDescent="0.35">
      <c r="A238" s="27" t="s">
        <v>117</v>
      </c>
      <c r="B238" s="33">
        <v>23391.438369345284</v>
      </c>
      <c r="C238" s="33"/>
      <c r="D238" s="33">
        <v>37557.729244418588</v>
      </c>
    </row>
    <row r="239" spans="1:4" x14ac:dyDescent="0.35">
      <c r="A239" s="27" t="s">
        <v>118</v>
      </c>
      <c r="B239" s="33">
        <v>466093.87902182294</v>
      </c>
      <c r="C239" s="33"/>
      <c r="D239" s="33">
        <v>476972.89835834765</v>
      </c>
    </row>
    <row r="240" spans="1:4" x14ac:dyDescent="0.35">
      <c r="A240" s="27" t="s">
        <v>119</v>
      </c>
      <c r="B240" s="33">
        <v>6441.9716724750533</v>
      </c>
      <c r="C240" s="33"/>
      <c r="D240" s="33">
        <v>12774.336658223336</v>
      </c>
    </row>
    <row r="241" spans="1:4" x14ac:dyDescent="0.35">
      <c r="A241" s="27" t="s">
        <v>120</v>
      </c>
      <c r="B241" s="33">
        <v>10998.948326395512</v>
      </c>
      <c r="C241" s="33"/>
      <c r="D241" s="33">
        <v>15854.336678277881</v>
      </c>
    </row>
    <row r="242" spans="1:4" x14ac:dyDescent="0.35">
      <c r="A242" s="27" t="s">
        <v>121</v>
      </c>
      <c r="B242" s="33">
        <v>5875.7200556980206</v>
      </c>
      <c r="C242" s="33"/>
      <c r="D242" s="33">
        <v>6079.4904519953188</v>
      </c>
    </row>
    <row r="243" spans="1:4" x14ac:dyDescent="0.35">
      <c r="A243" s="27" t="s">
        <v>122</v>
      </c>
      <c r="B243" s="33">
        <v>66743.270155014121</v>
      </c>
      <c r="C243" s="33"/>
      <c r="D243" s="33">
        <v>50576.548011425883</v>
      </c>
    </row>
    <row r="244" spans="1:4" x14ac:dyDescent="0.35">
      <c r="A244" s="27" t="s">
        <v>123</v>
      </c>
      <c r="B244" s="33">
        <v>43037.053594831814</v>
      </c>
      <c r="C244" s="33"/>
      <c r="D244" s="33">
        <v>47219.756185045851</v>
      </c>
    </row>
    <row r="245" spans="1:4" x14ac:dyDescent="0.35">
      <c r="A245" s="27" t="s">
        <v>124</v>
      </c>
      <c r="B245" s="33">
        <v>11359.024109679616</v>
      </c>
      <c r="C245" s="33"/>
      <c r="D245" s="33">
        <v>2741.5566841248456</v>
      </c>
    </row>
    <row r="246" spans="1:4" x14ac:dyDescent="0.35">
      <c r="A246" s="27" t="s">
        <v>125</v>
      </c>
      <c r="B246" s="33">
        <v>6315.9693486134347</v>
      </c>
      <c r="C246" s="33"/>
      <c r="D246" s="33">
        <v>5079.4758212395118</v>
      </c>
    </row>
    <row r="247" spans="1:4" x14ac:dyDescent="0.35">
      <c r="A247" s="27" t="s">
        <v>126</v>
      </c>
      <c r="B247" s="33">
        <v>2018.0416241154412</v>
      </c>
      <c r="C247" s="33"/>
      <c r="D247" s="33">
        <v>740.72198676219773</v>
      </c>
    </row>
    <row r="248" spans="1:4" x14ac:dyDescent="0.35">
      <c r="A248" s="27" t="s">
        <v>127</v>
      </c>
      <c r="B248" s="33">
        <v>7166.2040421025413</v>
      </c>
      <c r="C248" s="33"/>
      <c r="D248" s="33">
        <v>13758.883760530736</v>
      </c>
    </row>
    <row r="249" spans="1:4" x14ac:dyDescent="0.35">
      <c r="A249" s="27" t="s">
        <v>286</v>
      </c>
      <c r="B249" s="33">
        <v>155027.90404423591</v>
      </c>
      <c r="C249" s="33"/>
      <c r="D249" s="33">
        <v>297346.56439915049</v>
      </c>
    </row>
    <row r="250" spans="1:4" x14ac:dyDescent="0.35">
      <c r="A250" s="27" t="s">
        <v>128</v>
      </c>
      <c r="B250" s="33">
        <v>1284797.1973483548</v>
      </c>
      <c r="C250" s="33"/>
      <c r="D250" s="33">
        <v>1625324.5199554262</v>
      </c>
    </row>
    <row r="251" spans="1:4" x14ac:dyDescent="0.35">
      <c r="A251" s="27" t="s">
        <v>129</v>
      </c>
      <c r="B251" s="33">
        <v>0</v>
      </c>
      <c r="C251" s="33"/>
      <c r="D251" s="33">
        <v>331.57568299910065</v>
      </c>
    </row>
    <row r="252" spans="1:4" x14ac:dyDescent="0.35">
      <c r="A252" s="27" t="s">
        <v>130</v>
      </c>
      <c r="B252" s="33">
        <v>1022.9831751909051</v>
      </c>
      <c r="C252" s="33"/>
      <c r="D252" s="33">
        <v>1007.9459456765678</v>
      </c>
    </row>
    <row r="253" spans="1:4" x14ac:dyDescent="0.35">
      <c r="A253" s="27" t="s">
        <v>131</v>
      </c>
      <c r="B253" s="33">
        <v>10729.906635849522</v>
      </c>
      <c r="C253" s="33"/>
      <c r="D253" s="33">
        <v>10306.467436921841</v>
      </c>
    </row>
    <row r="254" spans="1:4" x14ac:dyDescent="0.35">
      <c r="A254" s="27" t="s">
        <v>132</v>
      </c>
      <c r="B254" s="33">
        <v>13838.948426989022</v>
      </c>
      <c r="C254" s="33"/>
      <c r="D254" s="33">
        <v>9542.9493308351975</v>
      </c>
    </row>
    <row r="255" spans="1:4" x14ac:dyDescent="0.35">
      <c r="A255" s="27" t="s">
        <v>133</v>
      </c>
      <c r="B255" s="33">
        <v>928.78631301125984</v>
      </c>
      <c r="C255" s="33"/>
      <c r="D255" s="33">
        <v>1720.899277330011</v>
      </c>
    </row>
    <row r="256" spans="1:4" x14ac:dyDescent="0.35">
      <c r="A256" s="27" t="s">
        <v>134</v>
      </c>
      <c r="B256" s="33">
        <v>96605.003877006195</v>
      </c>
      <c r="C256" s="33"/>
      <c r="D256" s="33">
        <v>103539.6076611552</v>
      </c>
    </row>
    <row r="257" spans="1:4" x14ac:dyDescent="0.35">
      <c r="A257" s="27" t="s">
        <v>135</v>
      </c>
      <c r="B257" s="33">
        <v>601.05766232763506</v>
      </c>
      <c r="C257" s="33"/>
      <c r="D257" s="33">
        <v>595.10667569694965</v>
      </c>
    </row>
    <row r="258" spans="1:4" x14ac:dyDescent="0.35">
      <c r="A258" s="27" t="s">
        <v>136</v>
      </c>
      <c r="B258" s="33">
        <v>1983.2746927537426</v>
      </c>
      <c r="C258" s="33"/>
      <c r="D258" s="33">
        <v>4891.5480135654916</v>
      </c>
    </row>
    <row r="259" spans="1:4" x14ac:dyDescent="0.35">
      <c r="A259" s="27" t="s">
        <v>137</v>
      </c>
      <c r="B259" s="33">
        <v>5848.6298708072336</v>
      </c>
      <c r="C259" s="33"/>
      <c r="D259" s="33">
        <v>3040.2738012020077</v>
      </c>
    </row>
    <row r="260" spans="1:4" x14ac:dyDescent="0.35">
      <c r="A260" s="27" t="s">
        <v>138</v>
      </c>
      <c r="B260" s="33">
        <v>65010.151058990748</v>
      </c>
      <c r="C260" s="33"/>
      <c r="D260" s="33">
        <v>56074.839636311641</v>
      </c>
    </row>
    <row r="261" spans="1:4" x14ac:dyDescent="0.35">
      <c r="A261" s="27" t="s">
        <v>139</v>
      </c>
      <c r="B261" s="33">
        <v>135637.86055648932</v>
      </c>
      <c r="C261" s="33"/>
      <c r="D261" s="33">
        <v>132415.91235763236</v>
      </c>
    </row>
    <row r="262" spans="1:4" x14ac:dyDescent="0.35">
      <c r="A262" s="27" t="s">
        <v>140</v>
      </c>
      <c r="B262" s="33">
        <v>165721.79389415224</v>
      </c>
      <c r="C262" s="33"/>
      <c r="D262" s="33">
        <v>172717.31769844811</v>
      </c>
    </row>
    <row r="263" spans="1:4" x14ac:dyDescent="0.35">
      <c r="A263" s="27" t="s">
        <v>141</v>
      </c>
      <c r="B263" s="33">
        <v>73663.831982609321</v>
      </c>
      <c r="C263" s="33"/>
      <c r="D263" s="33">
        <v>84647.648511749416</v>
      </c>
    </row>
    <row r="264" spans="1:4" x14ac:dyDescent="0.35">
      <c r="A264" s="27" t="s">
        <v>142</v>
      </c>
      <c r="B264" s="33">
        <v>3548774.5057391119</v>
      </c>
      <c r="C264" s="33"/>
      <c r="D264" s="33">
        <v>3740483.8902410022</v>
      </c>
    </row>
    <row r="265" spans="1:4" x14ac:dyDescent="0.35">
      <c r="A265" s="27" t="s">
        <v>143</v>
      </c>
      <c r="B265" s="33">
        <v>75039.939746766351</v>
      </c>
      <c r="C265" s="33"/>
      <c r="D265" s="33">
        <v>74015.732397885411</v>
      </c>
    </row>
    <row r="266" spans="1:4" x14ac:dyDescent="0.35">
      <c r="A266" s="27" t="s">
        <v>144</v>
      </c>
      <c r="B266" s="33">
        <v>38925.273543399933</v>
      </c>
      <c r="C266" s="33"/>
      <c r="D266" s="33">
        <v>19287.687979472175</v>
      </c>
    </row>
    <row r="267" spans="1:4" x14ac:dyDescent="0.35">
      <c r="A267" s="27" t="s">
        <v>145</v>
      </c>
      <c r="B267" s="33">
        <v>8296.3916466245155</v>
      </c>
      <c r="C267" s="33"/>
      <c r="D267" s="33">
        <v>4900.0457882920518</v>
      </c>
    </row>
    <row r="268" spans="1:4" x14ac:dyDescent="0.35">
      <c r="A268" s="27" t="s">
        <v>146</v>
      </c>
      <c r="B268" s="33">
        <v>508.23672777750426</v>
      </c>
      <c r="C268" s="33"/>
      <c r="D268" s="33">
        <v>596.90802760652321</v>
      </c>
    </row>
    <row r="269" spans="1:4" x14ac:dyDescent="0.35">
      <c r="A269" s="27" t="s">
        <v>284</v>
      </c>
      <c r="B269" s="33">
        <v>38327.885883142342</v>
      </c>
      <c r="C269" s="33"/>
      <c r="D269" s="33">
        <v>45996.10860498008</v>
      </c>
    </row>
    <row r="270" spans="1:4" x14ac:dyDescent="0.35">
      <c r="A270" s="27" t="s">
        <v>283</v>
      </c>
      <c r="B270" s="33">
        <v>27145.63787597909</v>
      </c>
      <c r="C270" s="33"/>
      <c r="D270" s="33">
        <v>30684.206708514266</v>
      </c>
    </row>
    <row r="271" spans="1:4" x14ac:dyDescent="0.35">
      <c r="A271" s="27" t="s">
        <v>147</v>
      </c>
      <c r="B271" s="33">
        <v>104968.03624153919</v>
      </c>
      <c r="C271" s="33"/>
      <c r="D271" s="33">
        <v>89533.406575195084</v>
      </c>
    </row>
    <row r="272" spans="1:4" x14ac:dyDescent="0.35">
      <c r="A272" s="27" t="s">
        <v>148</v>
      </c>
      <c r="B272" s="33">
        <v>0</v>
      </c>
      <c r="C272" s="33"/>
      <c r="D272" s="33">
        <v>0</v>
      </c>
    </row>
    <row r="273" spans="1:4" x14ac:dyDescent="0.35">
      <c r="A273" s="27" t="s">
        <v>149</v>
      </c>
      <c r="B273" s="33">
        <v>184321.17013334233</v>
      </c>
      <c r="C273" s="33"/>
      <c r="D273" s="33">
        <v>183708.51077999591</v>
      </c>
    </row>
    <row r="274" spans="1:4" x14ac:dyDescent="0.35">
      <c r="A274" s="27" t="s">
        <v>150</v>
      </c>
      <c r="B274" s="33">
        <v>751.02573366059664</v>
      </c>
      <c r="C274" s="33"/>
      <c r="D274" s="33">
        <v>595.5088351775122</v>
      </c>
    </row>
    <row r="275" spans="1:4" x14ac:dyDescent="0.35">
      <c r="A275" s="27" t="s">
        <v>151</v>
      </c>
      <c r="B275" s="33">
        <v>28972.907961935121</v>
      </c>
      <c r="C275" s="33"/>
      <c r="D275" s="33">
        <v>30817.63186074622</v>
      </c>
    </row>
    <row r="276" spans="1:4" x14ac:dyDescent="0.35">
      <c r="A276" s="27" t="s">
        <v>152</v>
      </c>
      <c r="B276" s="33">
        <v>95378.468635545971</v>
      </c>
      <c r="C276" s="33"/>
      <c r="D276" s="33">
        <v>122748.8183882931</v>
      </c>
    </row>
    <row r="277" spans="1:4" x14ac:dyDescent="0.35">
      <c r="A277" s="27" t="s">
        <v>153</v>
      </c>
      <c r="B277" s="33">
        <v>102376.82717903091</v>
      </c>
      <c r="C277" s="33"/>
      <c r="D277" s="33">
        <v>88312.362060265863</v>
      </c>
    </row>
    <row r="278" spans="1:4" x14ac:dyDescent="0.35">
      <c r="A278" s="27" t="s">
        <v>154</v>
      </c>
      <c r="B278" s="33">
        <v>306742.54717268812</v>
      </c>
      <c r="C278" s="33"/>
      <c r="D278" s="33">
        <v>313395.95408802351</v>
      </c>
    </row>
    <row r="279" spans="1:4" x14ac:dyDescent="0.35">
      <c r="A279" s="27" t="s">
        <v>155</v>
      </c>
      <c r="B279" s="33">
        <v>3371821.4059199947</v>
      </c>
      <c r="C279" s="33"/>
      <c r="D279" s="33">
        <v>3483472.4100722815</v>
      </c>
    </row>
    <row r="280" spans="1:4" x14ac:dyDescent="0.35">
      <c r="A280" s="27" t="s">
        <v>156</v>
      </c>
      <c r="B280" s="33">
        <v>3237.7899394395245</v>
      </c>
      <c r="C280" s="33"/>
      <c r="D280" s="33">
        <v>5093.1717658674625</v>
      </c>
    </row>
    <row r="281" spans="1:4" x14ac:dyDescent="0.35">
      <c r="A281" s="27" t="s">
        <v>157</v>
      </c>
      <c r="B281" s="33">
        <v>15794.0908186793</v>
      </c>
      <c r="C281" s="33"/>
      <c r="D281" s="33">
        <v>11842.014150141989</v>
      </c>
    </row>
    <row r="282" spans="1:4" x14ac:dyDescent="0.35">
      <c r="A282" s="27" t="s">
        <v>158</v>
      </c>
      <c r="B282" s="33">
        <v>363890.14335735008</v>
      </c>
      <c r="C282" s="33"/>
      <c r="D282" s="33">
        <v>405253.07704761752</v>
      </c>
    </row>
    <row r="283" spans="1:4" x14ac:dyDescent="0.35">
      <c r="A283" s="27" t="s">
        <v>282</v>
      </c>
      <c r="B283" s="33">
        <v>31642.165349602285</v>
      </c>
      <c r="C283" s="33"/>
      <c r="D283" s="33">
        <v>25961.623532743517</v>
      </c>
    </row>
    <row r="284" spans="1:4" x14ac:dyDescent="0.35">
      <c r="A284" s="27" t="s">
        <v>159</v>
      </c>
      <c r="B284" s="33">
        <v>6563.1474183351347</v>
      </c>
      <c r="C284" s="33"/>
      <c r="D284" s="33">
        <v>2787.6264494296279</v>
      </c>
    </row>
    <row r="285" spans="1:4" x14ac:dyDescent="0.35">
      <c r="A285" s="27" t="s">
        <v>160</v>
      </c>
      <c r="B285" s="33">
        <v>1127741.4578411323</v>
      </c>
      <c r="C285" s="33"/>
      <c r="D285" s="33">
        <v>1118407.3497845682</v>
      </c>
    </row>
    <row r="286" spans="1:4" x14ac:dyDescent="0.35">
      <c r="A286" s="27" t="s">
        <v>161</v>
      </c>
      <c r="B286" s="33">
        <v>140800.11772975189</v>
      </c>
      <c r="C286" s="33"/>
      <c r="D286" s="33">
        <v>142358.08634760231</v>
      </c>
    </row>
    <row r="287" spans="1:4" x14ac:dyDescent="0.35">
      <c r="A287" s="27" t="s">
        <v>162</v>
      </c>
      <c r="B287" s="33">
        <v>0</v>
      </c>
      <c r="C287" s="33"/>
      <c r="D287" s="33">
        <v>544.97872172053576</v>
      </c>
    </row>
    <row r="288" spans="1:4" x14ac:dyDescent="0.35">
      <c r="A288" s="27" t="s">
        <v>163</v>
      </c>
      <c r="B288" s="33">
        <v>170423.27437673297</v>
      </c>
      <c r="C288" s="33"/>
      <c r="D288" s="33">
        <v>161055.62182901488</v>
      </c>
    </row>
    <row r="289" spans="1:4" x14ac:dyDescent="0.35">
      <c r="A289" s="27" t="s">
        <v>164</v>
      </c>
      <c r="B289" s="33">
        <v>25138.087658565215</v>
      </c>
      <c r="C289" s="33"/>
      <c r="D289" s="33">
        <v>32393.608415829018</v>
      </c>
    </row>
    <row r="290" spans="1:4" x14ac:dyDescent="0.35">
      <c r="A290" s="27" t="s">
        <v>165</v>
      </c>
      <c r="B290" s="33">
        <v>179337.14145457771</v>
      </c>
      <c r="C290" s="33"/>
      <c r="D290" s="33">
        <v>189193.52801041226</v>
      </c>
    </row>
    <row r="291" spans="1:4" x14ac:dyDescent="0.35">
      <c r="A291" s="27" t="s">
        <v>166</v>
      </c>
      <c r="B291" s="33">
        <v>228724.51457671481</v>
      </c>
      <c r="C291" s="33"/>
      <c r="D291" s="33">
        <v>214994.25594297636</v>
      </c>
    </row>
    <row r="292" spans="1:4" x14ac:dyDescent="0.35">
      <c r="A292" s="27" t="s">
        <v>167</v>
      </c>
      <c r="B292" s="33">
        <v>316501.80665640283</v>
      </c>
      <c r="C292" s="33"/>
      <c r="D292" s="33">
        <v>295849.36769045377</v>
      </c>
    </row>
    <row r="293" spans="1:4" x14ac:dyDescent="0.35">
      <c r="A293" s="27" t="s">
        <v>168</v>
      </c>
      <c r="B293" s="33">
        <v>11081694.84392098</v>
      </c>
      <c r="C293" s="33"/>
      <c r="D293" s="33">
        <v>11363621.015043331</v>
      </c>
    </row>
    <row r="294" spans="1:4" x14ac:dyDescent="0.35">
      <c r="A294" s="27" t="s">
        <v>169</v>
      </c>
      <c r="B294" s="33">
        <v>17458.663870240842</v>
      </c>
      <c r="C294" s="33"/>
      <c r="D294" s="33">
        <v>20906.261245929349</v>
      </c>
    </row>
    <row r="295" spans="1:4" x14ac:dyDescent="0.35">
      <c r="A295" s="27" t="s">
        <v>170</v>
      </c>
      <c r="B295" s="33">
        <v>43819.507150863305</v>
      </c>
      <c r="C295" s="33"/>
      <c r="D295" s="33">
        <v>33981.71528782048</v>
      </c>
    </row>
    <row r="296" spans="1:4" x14ac:dyDescent="0.35">
      <c r="A296" s="27" t="s">
        <v>171</v>
      </c>
      <c r="B296" s="33">
        <v>321500.43883855728</v>
      </c>
      <c r="C296" s="33"/>
      <c r="D296" s="33">
        <v>222350.10830535222</v>
      </c>
    </row>
    <row r="297" spans="1:4" x14ac:dyDescent="0.35">
      <c r="A297" s="27" t="s">
        <v>172</v>
      </c>
      <c r="B297" s="33">
        <v>2597.7287441641511</v>
      </c>
      <c r="C297" s="33"/>
      <c r="D297" s="33">
        <v>520.30615447483262</v>
      </c>
    </row>
    <row r="298" spans="1:4" x14ac:dyDescent="0.35">
      <c r="A298" s="27" t="s">
        <v>173</v>
      </c>
      <c r="B298" s="33">
        <v>8827.9149578810047</v>
      </c>
      <c r="C298" s="33"/>
      <c r="D298" s="33">
        <v>7426.4477724700619</v>
      </c>
    </row>
    <row r="299" spans="1:4" x14ac:dyDescent="0.35">
      <c r="A299" s="27" t="s">
        <v>174</v>
      </c>
      <c r="B299" s="33">
        <v>7778.8369197034017</v>
      </c>
      <c r="C299" s="33"/>
      <c r="D299" s="33">
        <v>9152.7772913989102</v>
      </c>
    </row>
    <row r="300" spans="1:4" x14ac:dyDescent="0.35">
      <c r="A300" s="27" t="s">
        <v>175</v>
      </c>
      <c r="B300" s="33">
        <v>1105405.9410851821</v>
      </c>
      <c r="C300" s="33"/>
      <c r="D300" s="33">
        <v>1148004.5016575777</v>
      </c>
    </row>
    <row r="301" spans="1:4" x14ac:dyDescent="0.35">
      <c r="A301" s="60"/>
      <c r="B301" s="61"/>
      <c r="C301" s="61"/>
      <c r="D301" s="61"/>
    </row>
    <row r="302" spans="1:4" x14ac:dyDescent="0.35">
      <c r="A302" s="17" t="s">
        <v>292</v>
      </c>
    </row>
    <row r="303" spans="1:4" x14ac:dyDescent="0.35">
      <c r="A303" s="12" t="s">
        <v>25</v>
      </c>
    </row>
    <row r="304" spans="1:4" x14ac:dyDescent="0.35">
      <c r="A304" s="12" t="s">
        <v>26</v>
      </c>
    </row>
    <row r="305" spans="1:1" x14ac:dyDescent="0.35">
      <c r="A305" s="17" t="s">
        <v>235</v>
      </c>
    </row>
    <row r="399" spans="2:18" hidden="1" x14ac:dyDescent="0.35">
      <c r="B399" s="2">
        <v>2024</v>
      </c>
      <c r="C399" s="2"/>
      <c r="D399" s="2">
        <v>2025</v>
      </c>
      <c r="F399" s="2"/>
      <c r="I399" s="2"/>
      <c r="L399" s="2"/>
      <c r="O399" s="2"/>
      <c r="R399" s="2"/>
    </row>
    <row r="400" spans="2:18" customFormat="1" hidden="1" x14ac:dyDescent="0.35">
      <c r="B400" s="77">
        <v>10287.961470261</v>
      </c>
      <c r="C400" s="77"/>
      <c r="D400" s="77">
        <v>10991.7081307102</v>
      </c>
      <c r="F400" s="78"/>
      <c r="I400" s="78"/>
      <c r="L400" s="78"/>
      <c r="O400" s="78"/>
      <c r="R400" s="78"/>
    </row>
    <row r="401" spans="2:18" customFormat="1" hidden="1" x14ac:dyDescent="0.35">
      <c r="B401" s="77">
        <v>2573.3949297364302</v>
      </c>
      <c r="C401" s="77"/>
      <c r="D401" s="77">
        <v>2749.5446272244999</v>
      </c>
      <c r="F401" s="78"/>
      <c r="I401" s="78"/>
      <c r="L401" s="78"/>
      <c r="O401" s="78"/>
      <c r="R401" s="78"/>
    </row>
  </sheetData>
  <mergeCells count="2">
    <mergeCell ref="B15:D15"/>
    <mergeCell ref="B158:D158"/>
  </mergeCells>
  <conditionalFormatting sqref="B16:B157">
    <cfRule type="expression" dxfId="49" priority="3">
      <formula>$B159&lt;$B$401</formula>
    </cfRule>
    <cfRule type="expression" dxfId="48" priority="4">
      <formula>$B159&lt;$B$400</formula>
    </cfRule>
  </conditionalFormatting>
  <conditionalFormatting sqref="B159:B300">
    <cfRule type="expression" dxfId="47" priority="1">
      <formula>$B159&lt;$B$401</formula>
    </cfRule>
    <cfRule type="expression" dxfId="46" priority="2">
      <formula>$B159&lt;$B$400</formula>
    </cfRule>
  </conditionalFormatting>
  <conditionalFormatting sqref="D16:D157">
    <cfRule type="expression" dxfId="45" priority="5">
      <formula>$D159&lt;$D$401</formula>
    </cfRule>
    <cfRule type="expression" dxfId="44" priority="6">
      <formula>$D159&lt;$D$400</formula>
    </cfRule>
  </conditionalFormatting>
  <conditionalFormatting sqref="D159:D300">
    <cfRule type="expression" dxfId="43" priority="7">
      <formula>$D159&lt;$D$401</formula>
    </cfRule>
    <cfRule type="expression" dxfId="42" priority="8">
      <formula>$D159&lt;$D$400</formula>
    </cfRule>
  </conditionalFormatting>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765E8-B135-45DF-BCD0-9258A5C8A769}">
  <dimension ref="A1:F401"/>
  <sheetViews>
    <sheetView workbookViewId="0">
      <pane xSplit="1" ySplit="15" topLeftCell="B16" activePane="bottomRight" state="frozen"/>
      <selection pane="topRight"/>
      <selection pane="bottomLeft"/>
      <selection pane="bottomRight"/>
    </sheetView>
  </sheetViews>
  <sheetFormatPr defaultColWidth="8.81640625" defaultRowHeight="14.5" x14ac:dyDescent="0.35"/>
  <cols>
    <col min="1" max="1" width="30.7265625" style="1" customWidth="1"/>
    <col min="2" max="2" width="12.81640625" style="1" customWidth="1"/>
    <col min="3" max="3" width="7" style="1" customWidth="1"/>
    <col min="4" max="4" width="12.81640625" style="1" customWidth="1"/>
    <col min="5" max="16384" width="8.81640625" style="1"/>
  </cols>
  <sheetData>
    <row r="1" spans="1:6" x14ac:dyDescent="0.35">
      <c r="A1" s="20"/>
      <c r="B1" s="20"/>
      <c r="C1" s="20"/>
      <c r="D1" s="20"/>
    </row>
    <row r="2" spans="1:6" x14ac:dyDescent="0.35">
      <c r="A2" s="20"/>
      <c r="B2" s="20"/>
      <c r="C2" s="20"/>
      <c r="D2" s="20"/>
    </row>
    <row r="3" spans="1:6" x14ac:dyDescent="0.35">
      <c r="A3" s="20"/>
      <c r="B3" s="20"/>
      <c r="C3" s="20"/>
      <c r="D3" s="20"/>
    </row>
    <row r="4" spans="1:6" x14ac:dyDescent="0.35">
      <c r="A4" s="20"/>
      <c r="B4" s="20"/>
      <c r="C4" s="20"/>
      <c r="D4" s="20"/>
    </row>
    <row r="5" spans="1:6" x14ac:dyDescent="0.35">
      <c r="A5" s="20"/>
      <c r="B5" s="20"/>
      <c r="C5" s="20"/>
      <c r="D5" s="54" t="s">
        <v>235</v>
      </c>
    </row>
    <row r="6" spans="1:6" x14ac:dyDescent="0.35">
      <c r="A6" s="20"/>
      <c r="B6" s="20"/>
      <c r="C6" s="20"/>
      <c r="D6" s="20"/>
    </row>
    <row r="7" spans="1:6" x14ac:dyDescent="0.35">
      <c r="A7" s="20"/>
      <c r="B7" s="20"/>
      <c r="C7" s="20"/>
      <c r="D7" s="20"/>
    </row>
    <row r="8" spans="1:6" x14ac:dyDescent="0.35">
      <c r="A8" s="21" t="s">
        <v>290</v>
      </c>
      <c r="B8" s="21"/>
      <c r="C8" s="21"/>
      <c r="D8" s="20"/>
    </row>
    <row r="9" spans="1:6" x14ac:dyDescent="0.35">
      <c r="A9" s="20" t="s">
        <v>0</v>
      </c>
      <c r="B9" s="48" t="s">
        <v>287</v>
      </c>
      <c r="C9" s="21"/>
      <c r="D9" s="20"/>
    </row>
    <row r="10" spans="1:6" x14ac:dyDescent="0.35">
      <c r="A10" s="20" t="s">
        <v>10</v>
      </c>
      <c r="B10" s="22">
        <v>7</v>
      </c>
      <c r="C10" s="21"/>
      <c r="D10" s="20"/>
    </row>
    <row r="11" spans="1:6" x14ac:dyDescent="0.35">
      <c r="A11" s="20" t="s">
        <v>1</v>
      </c>
      <c r="B11" s="21" t="s">
        <v>276</v>
      </c>
      <c r="C11" s="21"/>
      <c r="D11" s="20"/>
    </row>
    <row r="12" spans="1:6" x14ac:dyDescent="0.35">
      <c r="A12" s="58" t="s">
        <v>11</v>
      </c>
      <c r="B12" s="59" t="s">
        <v>27</v>
      </c>
      <c r="C12" s="59"/>
      <c r="D12" s="58"/>
    </row>
    <row r="13" spans="1:6" ht="25" customHeight="1" x14ac:dyDescent="0.35">
      <c r="A13" s="32"/>
      <c r="B13" s="36" t="s">
        <v>291</v>
      </c>
      <c r="C13" s="36"/>
      <c r="D13" s="36"/>
    </row>
    <row r="14" spans="1:6" s="49" customFormat="1" ht="25" customHeight="1" x14ac:dyDescent="0.35">
      <c r="A14" s="50"/>
      <c r="B14" s="30">
        <v>2024</v>
      </c>
      <c r="C14" s="30"/>
      <c r="D14" s="30">
        <v>2025</v>
      </c>
    </row>
    <row r="15" spans="1:6" ht="15" customHeight="1" x14ac:dyDescent="0.35">
      <c r="A15" s="43"/>
      <c r="B15" s="80" t="s">
        <v>33</v>
      </c>
      <c r="C15" s="80"/>
      <c r="D15" s="80"/>
    </row>
    <row r="16" spans="1:6" ht="15" customHeight="1" x14ac:dyDescent="0.35">
      <c r="A16" s="27" t="s">
        <v>39</v>
      </c>
      <c r="B16" s="4">
        <v>1.9876921396407682E-3</v>
      </c>
      <c r="C16" s="4"/>
      <c r="D16" s="4">
        <v>9.47297977681909E-4</v>
      </c>
      <c r="F16" s="1" t="s">
        <v>235</v>
      </c>
    </row>
    <row r="17" spans="1:4" x14ac:dyDescent="0.35">
      <c r="A17" s="27" t="s">
        <v>40</v>
      </c>
      <c r="B17" s="4">
        <v>3.4003605975737108E-3</v>
      </c>
      <c r="C17" s="4"/>
      <c r="D17" s="4">
        <v>7.3328943594845456E-4</v>
      </c>
    </row>
    <row r="18" spans="1:4" x14ac:dyDescent="0.35">
      <c r="A18" s="27" t="s">
        <v>41</v>
      </c>
      <c r="B18" s="4">
        <v>2.2614738730331999E-3</v>
      </c>
      <c r="C18" s="4"/>
      <c r="D18" s="4">
        <v>9.5241413199260701E-4</v>
      </c>
    </row>
    <row r="19" spans="1:4" x14ac:dyDescent="0.35">
      <c r="A19" s="27" t="s">
        <v>42</v>
      </c>
      <c r="B19" s="4">
        <v>3.1682563025751169E-2</v>
      </c>
      <c r="C19" s="4"/>
      <c r="D19" s="4">
        <v>3.2499615132286837E-2</v>
      </c>
    </row>
    <row r="20" spans="1:4" x14ac:dyDescent="0.35">
      <c r="A20" s="27" t="s">
        <v>43</v>
      </c>
      <c r="B20" s="4">
        <v>5.805633063366572E-2</v>
      </c>
      <c r="C20" s="4"/>
      <c r="D20" s="4">
        <v>5.8793660628478489E-2</v>
      </c>
    </row>
    <row r="21" spans="1:4" x14ac:dyDescent="0.35">
      <c r="A21" s="27" t="s">
        <v>44</v>
      </c>
      <c r="B21" s="4">
        <v>8.3274775051104272E-3</v>
      </c>
      <c r="C21" s="4"/>
      <c r="D21" s="4">
        <v>6.0987730927061978E-3</v>
      </c>
    </row>
    <row r="22" spans="1:4" x14ac:dyDescent="0.35">
      <c r="A22" s="27" t="s">
        <v>45</v>
      </c>
      <c r="B22" s="4">
        <v>6.7779353077081651E-3</v>
      </c>
      <c r="C22" s="4"/>
      <c r="D22" s="4">
        <v>4.76851710881066E-3</v>
      </c>
    </row>
    <row r="23" spans="1:4" x14ac:dyDescent="0.35">
      <c r="A23" s="27" t="s">
        <v>46</v>
      </c>
      <c r="B23" s="4">
        <v>6.5398302044120435E-2</v>
      </c>
      <c r="C23" s="4"/>
      <c r="D23" s="4">
        <v>7.0823263722762583E-2</v>
      </c>
    </row>
    <row r="24" spans="1:4" x14ac:dyDescent="0.35">
      <c r="A24" s="27" t="s">
        <v>47</v>
      </c>
      <c r="B24" s="4">
        <v>9.8383778298617177E-4</v>
      </c>
      <c r="C24" s="4"/>
      <c r="D24" s="4">
        <v>5.6560182139863433E-4</v>
      </c>
    </row>
    <row r="25" spans="1:4" x14ac:dyDescent="0.35">
      <c r="A25" s="27" t="s">
        <v>48</v>
      </c>
      <c r="B25" s="4">
        <v>1.3726755902588821E-4</v>
      </c>
      <c r="C25" s="4"/>
      <c r="D25" s="4">
        <v>1.6458579337261096E-4</v>
      </c>
    </row>
    <row r="26" spans="1:4" x14ac:dyDescent="0.35">
      <c r="A26" s="27" t="s">
        <v>49</v>
      </c>
      <c r="B26" s="4">
        <v>7.1577524008435364E-4</v>
      </c>
      <c r="C26" s="4"/>
      <c r="D26" s="4">
        <v>0</v>
      </c>
    </row>
    <row r="27" spans="1:4" x14ac:dyDescent="0.35">
      <c r="A27" s="27" t="s">
        <v>50</v>
      </c>
      <c r="B27" s="4">
        <v>1.4146298679593586E-3</v>
      </c>
      <c r="C27" s="4"/>
      <c r="D27" s="4">
        <v>1.4591367314411611E-3</v>
      </c>
    </row>
    <row r="28" spans="1:4" x14ac:dyDescent="0.35">
      <c r="A28" s="27" t="s">
        <v>51</v>
      </c>
      <c r="B28" s="4">
        <v>0</v>
      </c>
      <c r="C28" s="4"/>
      <c r="D28" s="4">
        <v>0</v>
      </c>
    </row>
    <row r="29" spans="1:4" x14ac:dyDescent="0.35">
      <c r="A29" s="27" t="s">
        <v>52</v>
      </c>
      <c r="B29" s="4">
        <v>0</v>
      </c>
      <c r="C29" s="4"/>
      <c r="D29" s="4">
        <v>0</v>
      </c>
    </row>
    <row r="30" spans="1:4" x14ac:dyDescent="0.35">
      <c r="A30" s="27" t="s">
        <v>53</v>
      </c>
      <c r="B30" s="4">
        <v>0</v>
      </c>
      <c r="C30" s="4"/>
      <c r="D30" s="4">
        <v>2.0240685464990174E-4</v>
      </c>
    </row>
    <row r="31" spans="1:4" x14ac:dyDescent="0.35">
      <c r="A31" s="27" t="s">
        <v>54</v>
      </c>
      <c r="B31" s="4">
        <v>0</v>
      </c>
      <c r="C31" s="4"/>
      <c r="D31" s="4">
        <v>0</v>
      </c>
    </row>
    <row r="32" spans="1:4" x14ac:dyDescent="0.35">
      <c r="A32" s="27" t="s">
        <v>55</v>
      </c>
      <c r="B32" s="4">
        <v>0</v>
      </c>
      <c r="C32" s="4"/>
      <c r="D32" s="4">
        <v>4.9489978748838961E-5</v>
      </c>
    </row>
    <row r="33" spans="1:4" x14ac:dyDescent="0.35">
      <c r="A33" s="27" t="s">
        <v>56</v>
      </c>
      <c r="B33" s="4">
        <v>3.6652528129038533E-4</v>
      </c>
      <c r="C33" s="4"/>
      <c r="D33" s="4">
        <v>1.2459626779598405E-4</v>
      </c>
    </row>
    <row r="34" spans="1:4" x14ac:dyDescent="0.35">
      <c r="A34" s="27" t="s">
        <v>57</v>
      </c>
      <c r="B34" s="4">
        <v>3.3278081764745618E-3</v>
      </c>
      <c r="C34" s="4"/>
      <c r="D34" s="4">
        <v>3.7076429158924271E-3</v>
      </c>
    </row>
    <row r="35" spans="1:4" x14ac:dyDescent="0.35">
      <c r="A35" s="27" t="s">
        <v>58</v>
      </c>
      <c r="B35" s="4">
        <v>0</v>
      </c>
      <c r="C35" s="4"/>
      <c r="D35" s="4">
        <v>0</v>
      </c>
    </row>
    <row r="36" spans="1:4" x14ac:dyDescent="0.35">
      <c r="A36" s="27" t="s">
        <v>59</v>
      </c>
      <c r="B36" s="4">
        <v>1.5782249875501708E-2</v>
      </c>
      <c r="C36" s="4"/>
      <c r="D36" s="4">
        <v>1.1145202866786276E-2</v>
      </c>
    </row>
    <row r="37" spans="1:4" x14ac:dyDescent="0.35">
      <c r="A37" s="27" t="s">
        <v>60</v>
      </c>
      <c r="B37" s="4">
        <v>1.7255306614307529E-3</v>
      </c>
      <c r="C37" s="4"/>
      <c r="D37" s="4">
        <v>1.7014838996910449E-3</v>
      </c>
    </row>
    <row r="38" spans="1:4" x14ac:dyDescent="0.35">
      <c r="A38" s="27" t="s">
        <v>61</v>
      </c>
      <c r="B38" s="4">
        <v>2.0479436709599518E-4</v>
      </c>
      <c r="C38" s="4"/>
      <c r="D38" s="4">
        <v>1.5233923121510385E-4</v>
      </c>
    </row>
    <row r="39" spans="1:4" x14ac:dyDescent="0.35">
      <c r="A39" s="27" t="s">
        <v>62</v>
      </c>
      <c r="B39" s="4">
        <v>1.9132235312329488E-3</v>
      </c>
      <c r="C39" s="4"/>
      <c r="D39" s="4">
        <v>1.3387202431229578E-3</v>
      </c>
    </row>
    <row r="40" spans="1:4" x14ac:dyDescent="0.35">
      <c r="A40" s="27" t="s">
        <v>63</v>
      </c>
      <c r="B40" s="4">
        <v>1.757976267146244E-3</v>
      </c>
      <c r="C40" s="4"/>
      <c r="D40" s="4">
        <v>1.6804286521203821E-3</v>
      </c>
    </row>
    <row r="41" spans="1:4" x14ac:dyDescent="0.35">
      <c r="A41" s="27" t="s">
        <v>64</v>
      </c>
      <c r="B41" s="4">
        <v>3.2791933692675843E-2</v>
      </c>
      <c r="C41" s="4"/>
      <c r="D41" s="4">
        <v>3.3819337766862155E-2</v>
      </c>
    </row>
    <row r="42" spans="1:4" x14ac:dyDescent="0.35">
      <c r="A42" s="27" t="s">
        <v>65</v>
      </c>
      <c r="B42" s="4">
        <v>1.0570929551311733E-4</v>
      </c>
      <c r="C42" s="4"/>
      <c r="D42" s="4">
        <v>1.2326647419257154E-4</v>
      </c>
    </row>
    <row r="43" spans="1:4" x14ac:dyDescent="0.35">
      <c r="A43" s="27" t="s">
        <v>293</v>
      </c>
      <c r="B43" s="4">
        <v>9.9416265150489326E-4</v>
      </c>
      <c r="C43" s="4"/>
      <c r="D43" s="4">
        <v>1.5623070878920133E-3</v>
      </c>
    </row>
    <row r="44" spans="1:4" x14ac:dyDescent="0.35">
      <c r="A44" s="27" t="s">
        <v>66</v>
      </c>
      <c r="B44" s="4">
        <v>0</v>
      </c>
      <c r="C44" s="4"/>
      <c r="D44" s="4">
        <v>0</v>
      </c>
    </row>
    <row r="45" spans="1:4" x14ac:dyDescent="0.35">
      <c r="A45" s="27" t="s">
        <v>67</v>
      </c>
      <c r="B45" s="4">
        <v>2.4655325577968085E-2</v>
      </c>
      <c r="C45" s="4"/>
      <c r="D45" s="4">
        <v>1.6529292699026359E-2</v>
      </c>
    </row>
    <row r="46" spans="1:4" x14ac:dyDescent="0.35">
      <c r="A46" s="27" t="s">
        <v>68</v>
      </c>
      <c r="B46" s="4">
        <v>2.5435651603490358E-2</v>
      </c>
      <c r="C46" s="4"/>
      <c r="D46" s="4">
        <v>3.0066129827237099E-2</v>
      </c>
    </row>
    <row r="47" spans="1:4" x14ac:dyDescent="0.35">
      <c r="A47" s="27" t="s">
        <v>69</v>
      </c>
      <c r="B47" s="4">
        <v>5.4282969088077185E-2</v>
      </c>
      <c r="C47" s="4"/>
      <c r="D47" s="4">
        <v>5.6664194908706965E-2</v>
      </c>
    </row>
    <row r="48" spans="1:4" x14ac:dyDescent="0.35">
      <c r="A48" s="27" t="s">
        <v>70</v>
      </c>
      <c r="B48" s="4">
        <v>5.0052793836789973E-4</v>
      </c>
      <c r="C48" s="4"/>
      <c r="D48" s="4">
        <v>1.8118371174955354E-4</v>
      </c>
    </row>
    <row r="49" spans="1:4" x14ac:dyDescent="0.35">
      <c r="A49" s="27" t="s">
        <v>71</v>
      </c>
      <c r="B49" s="4">
        <v>6.6954888079692743E-4</v>
      </c>
      <c r="C49" s="4"/>
      <c r="D49" s="4">
        <v>8.5669331433397547E-4</v>
      </c>
    </row>
    <row r="50" spans="1:4" x14ac:dyDescent="0.35">
      <c r="A50" s="27" t="s">
        <v>72</v>
      </c>
      <c r="B50" s="4">
        <v>2.2110876816340493E-4</v>
      </c>
      <c r="C50" s="4"/>
      <c r="D50" s="4">
        <v>2.0495490068693088E-4</v>
      </c>
    </row>
    <row r="51" spans="1:4" x14ac:dyDescent="0.35">
      <c r="A51" s="27" t="s">
        <v>73</v>
      </c>
      <c r="B51" s="4">
        <v>8.432709672689427E-5</v>
      </c>
      <c r="C51" s="4"/>
      <c r="D51" s="4">
        <v>0</v>
      </c>
    </row>
    <row r="52" spans="1:4" x14ac:dyDescent="0.35">
      <c r="A52" s="27" t="s">
        <v>74</v>
      </c>
      <c r="B52" s="4">
        <v>4.7645145685148733E-4</v>
      </c>
      <c r="C52" s="4"/>
      <c r="D52" s="4">
        <v>2.4551842597413744E-4</v>
      </c>
    </row>
    <row r="53" spans="1:4" x14ac:dyDescent="0.35">
      <c r="A53" s="27" t="s">
        <v>75</v>
      </c>
      <c r="B53" s="4">
        <v>3.7673893452975439E-3</v>
      </c>
      <c r="C53" s="4"/>
      <c r="D53" s="4">
        <v>1.7416751343798801E-3</v>
      </c>
    </row>
    <row r="54" spans="1:4" x14ac:dyDescent="0.35">
      <c r="A54" s="27" t="s">
        <v>76</v>
      </c>
      <c r="B54" s="4">
        <v>1.5183115098187732E-3</v>
      </c>
      <c r="C54" s="4"/>
      <c r="D54" s="4">
        <v>5.492511895414928E-4</v>
      </c>
    </row>
    <row r="55" spans="1:4" x14ac:dyDescent="0.35">
      <c r="A55" s="27" t="s">
        <v>77</v>
      </c>
      <c r="B55" s="4">
        <v>1.0849955366600266E-3</v>
      </c>
      <c r="C55" s="4"/>
      <c r="D55" s="4">
        <v>8.722961549393187E-4</v>
      </c>
    </row>
    <row r="56" spans="1:4" x14ac:dyDescent="0.35">
      <c r="A56" s="27" t="s">
        <v>78</v>
      </c>
      <c r="B56" s="4">
        <v>1.7854613494835898E-3</v>
      </c>
      <c r="C56" s="4"/>
      <c r="D56" s="4">
        <v>2.0704251150676389E-3</v>
      </c>
    </row>
    <row r="57" spans="1:4" x14ac:dyDescent="0.35">
      <c r="A57" s="27" t="s">
        <v>79</v>
      </c>
      <c r="B57" s="4">
        <v>1.7009032675130067E-2</v>
      </c>
      <c r="C57" s="4"/>
      <c r="D57" s="4">
        <v>1.5734661747793942E-2</v>
      </c>
    </row>
    <row r="58" spans="1:4" x14ac:dyDescent="0.35">
      <c r="A58" s="27" t="s">
        <v>80</v>
      </c>
      <c r="B58" s="4">
        <v>3.0773375214750522E-4</v>
      </c>
      <c r="C58" s="4"/>
      <c r="D58" s="4">
        <v>2.3813796605323827E-4</v>
      </c>
    </row>
    <row r="59" spans="1:4" x14ac:dyDescent="0.35">
      <c r="A59" s="27" t="s">
        <v>81</v>
      </c>
      <c r="B59" s="4">
        <v>6.6587697414112099E-4</v>
      </c>
      <c r="C59" s="4"/>
      <c r="D59" s="4">
        <v>3.3353303388354631E-4</v>
      </c>
    </row>
    <row r="60" spans="1:4" x14ac:dyDescent="0.35">
      <c r="A60" s="27" t="s">
        <v>82</v>
      </c>
      <c r="B60" s="4">
        <v>0.13887234498948559</v>
      </c>
      <c r="C60" s="4"/>
      <c r="D60" s="4">
        <v>0.14306477174492235</v>
      </c>
    </row>
    <row r="61" spans="1:4" x14ac:dyDescent="0.35">
      <c r="A61" s="27" t="s">
        <v>83</v>
      </c>
      <c r="B61" s="4">
        <v>9.596228135265696E-4</v>
      </c>
      <c r="C61" s="4"/>
      <c r="D61" s="4">
        <v>2.5397653963129272E-4</v>
      </c>
    </row>
    <row r="62" spans="1:4" x14ac:dyDescent="0.35">
      <c r="A62" s="27" t="s">
        <v>84</v>
      </c>
      <c r="B62" s="4">
        <v>3.2882229140847476E-4</v>
      </c>
      <c r="C62" s="4"/>
      <c r="D62" s="4">
        <v>2.9775675973518057E-4</v>
      </c>
    </row>
    <row r="63" spans="1:4" x14ac:dyDescent="0.35">
      <c r="A63" s="27" t="s">
        <v>85</v>
      </c>
      <c r="B63" s="4">
        <v>1.6343572797287691E-4</v>
      </c>
      <c r="C63" s="4"/>
      <c r="D63" s="4">
        <v>0</v>
      </c>
    </row>
    <row r="64" spans="1:4" x14ac:dyDescent="0.35">
      <c r="A64" s="27" t="s">
        <v>86</v>
      </c>
      <c r="B64" s="4">
        <v>7.8971058378794218E-3</v>
      </c>
      <c r="C64" s="4"/>
      <c r="D64" s="4">
        <v>5.4908296390806478E-3</v>
      </c>
    </row>
    <row r="65" spans="1:4" x14ac:dyDescent="0.35">
      <c r="A65" s="27" t="s">
        <v>87</v>
      </c>
      <c r="B65" s="4">
        <v>2.4934002178171095E-4</v>
      </c>
      <c r="C65" s="4"/>
      <c r="D65" s="4">
        <v>2.8869860526964028E-4</v>
      </c>
    </row>
    <row r="66" spans="1:4" x14ac:dyDescent="0.35">
      <c r="A66" s="27" t="s">
        <v>88</v>
      </c>
      <c r="B66" s="4">
        <v>6.2258696206923694E-4</v>
      </c>
      <c r="C66" s="4"/>
      <c r="D66" s="4">
        <v>1.0934552483645109E-3</v>
      </c>
    </row>
    <row r="67" spans="1:4" x14ac:dyDescent="0.35">
      <c r="A67" s="27" t="s">
        <v>89</v>
      </c>
      <c r="B67" s="4">
        <v>6.8058352717119339E-2</v>
      </c>
      <c r="C67" s="4"/>
      <c r="D67" s="4">
        <v>6.9725868464709115E-2</v>
      </c>
    </row>
    <row r="68" spans="1:4" x14ac:dyDescent="0.35">
      <c r="A68" s="27" t="s">
        <v>90</v>
      </c>
      <c r="B68" s="4">
        <v>1.3247984983022932E-3</v>
      </c>
      <c r="C68" s="4"/>
      <c r="D68" s="4">
        <v>8.5988986559308318E-4</v>
      </c>
    </row>
    <row r="69" spans="1:4" x14ac:dyDescent="0.35">
      <c r="A69" s="27" t="s">
        <v>91</v>
      </c>
      <c r="B69" s="4">
        <v>0</v>
      </c>
      <c r="C69" s="4"/>
      <c r="D69" s="4">
        <v>0</v>
      </c>
    </row>
    <row r="70" spans="1:4" x14ac:dyDescent="0.35">
      <c r="A70" s="27" t="s">
        <v>92</v>
      </c>
      <c r="B70" s="4">
        <v>7.4535346234202325E-3</v>
      </c>
      <c r="C70" s="4"/>
      <c r="D70" s="4">
        <v>1.0981536456219262E-2</v>
      </c>
    </row>
    <row r="71" spans="1:4" x14ac:dyDescent="0.35">
      <c r="A71" s="27" t="s">
        <v>93</v>
      </c>
      <c r="B71" s="4">
        <v>0</v>
      </c>
      <c r="C71" s="4"/>
      <c r="D71" s="4">
        <v>3.0257969850397556E-4</v>
      </c>
    </row>
    <row r="72" spans="1:4" x14ac:dyDescent="0.35">
      <c r="A72" s="27" t="s">
        <v>94</v>
      </c>
      <c r="B72" s="4">
        <v>3.0602103823404572E-4</v>
      </c>
      <c r="C72" s="4"/>
      <c r="D72" s="4">
        <v>6.3722831257468488E-4</v>
      </c>
    </row>
    <row r="73" spans="1:4" x14ac:dyDescent="0.35">
      <c r="A73" s="27" t="s">
        <v>95</v>
      </c>
      <c r="B73" s="4">
        <v>9.8232100405024102E-5</v>
      </c>
      <c r="C73" s="4"/>
      <c r="D73" s="4">
        <v>1.3106337650958003E-4</v>
      </c>
    </row>
    <row r="74" spans="1:4" x14ac:dyDescent="0.35">
      <c r="A74" s="27" t="s">
        <v>96</v>
      </c>
      <c r="B74" s="4">
        <v>2.3030118850616392E-3</v>
      </c>
      <c r="C74" s="4"/>
      <c r="D74" s="4">
        <v>1.9147105972569865E-3</v>
      </c>
    </row>
    <row r="75" spans="1:4" x14ac:dyDescent="0.35">
      <c r="A75" s="27" t="s">
        <v>97</v>
      </c>
      <c r="B75" s="4">
        <v>9.5885442650103794E-5</v>
      </c>
      <c r="C75" s="4"/>
      <c r="D75" s="4">
        <v>2.7431769617114189E-4</v>
      </c>
    </row>
    <row r="76" spans="1:4" x14ac:dyDescent="0.35">
      <c r="A76" s="27" t="s">
        <v>98</v>
      </c>
      <c r="B76" s="4">
        <v>7.4539945227064986E-4</v>
      </c>
      <c r="C76" s="4"/>
      <c r="D76" s="4">
        <v>2.2316830951868622E-3</v>
      </c>
    </row>
    <row r="77" spans="1:4" x14ac:dyDescent="0.35">
      <c r="A77" s="27" t="s">
        <v>99</v>
      </c>
      <c r="B77" s="4">
        <v>7.0772627968725957E-3</v>
      </c>
      <c r="C77" s="4"/>
      <c r="D77" s="4">
        <v>6.6304579559862261E-3</v>
      </c>
    </row>
    <row r="78" spans="1:4" x14ac:dyDescent="0.35">
      <c r="A78" s="27" t="s">
        <v>100</v>
      </c>
      <c r="B78" s="4">
        <v>1.8734715139097712E-2</v>
      </c>
      <c r="C78" s="4"/>
      <c r="D78" s="4">
        <v>1.8591948139160899E-2</v>
      </c>
    </row>
    <row r="79" spans="1:4" x14ac:dyDescent="0.35">
      <c r="A79" s="27" t="s">
        <v>101</v>
      </c>
      <c r="B79" s="4">
        <v>0</v>
      </c>
      <c r="C79" s="4"/>
      <c r="D79" s="4">
        <v>1.9901554832889724E-4</v>
      </c>
    </row>
    <row r="80" spans="1:4" x14ac:dyDescent="0.35">
      <c r="A80" s="27" t="s">
        <v>102</v>
      </c>
      <c r="B80" s="4">
        <v>0</v>
      </c>
      <c r="C80" s="4"/>
      <c r="D80" s="4">
        <v>6.5666919590643479E-5</v>
      </c>
    </row>
    <row r="81" spans="1:4" x14ac:dyDescent="0.35">
      <c r="A81" s="27" t="s">
        <v>103</v>
      </c>
      <c r="B81" s="4">
        <v>1.0196473552874115E-4</v>
      </c>
      <c r="C81" s="4"/>
      <c r="D81" s="4">
        <v>0</v>
      </c>
    </row>
    <row r="82" spans="1:4" x14ac:dyDescent="0.35">
      <c r="A82" s="27" t="s">
        <v>104</v>
      </c>
      <c r="B82" s="4">
        <v>7.0978949197930609E-4</v>
      </c>
      <c r="C82" s="4"/>
      <c r="D82" s="4">
        <v>9.7039302264731193E-4</v>
      </c>
    </row>
    <row r="83" spans="1:4" x14ac:dyDescent="0.35">
      <c r="A83" s="27" t="s">
        <v>105</v>
      </c>
      <c r="B83" s="4">
        <v>9.0505635552045997E-4</v>
      </c>
      <c r="C83" s="4"/>
      <c r="D83" s="4">
        <v>5.5878173595922905E-4</v>
      </c>
    </row>
    <row r="84" spans="1:4" x14ac:dyDescent="0.35">
      <c r="A84" s="27" t="s">
        <v>106</v>
      </c>
      <c r="B84" s="4">
        <v>1.3226867302973099E-4</v>
      </c>
      <c r="C84" s="4"/>
      <c r="D84" s="4">
        <v>1.6605125656490966E-4</v>
      </c>
    </row>
    <row r="85" spans="1:4" x14ac:dyDescent="0.35">
      <c r="A85" s="27" t="s">
        <v>107</v>
      </c>
      <c r="B85" s="4">
        <v>8.2603049322270451E-3</v>
      </c>
      <c r="C85" s="4"/>
      <c r="D85" s="4">
        <v>7.1101771616476602E-3</v>
      </c>
    </row>
    <row r="86" spans="1:4" x14ac:dyDescent="0.35">
      <c r="A86" s="27" t="s">
        <v>108</v>
      </c>
      <c r="B86" s="4">
        <v>7.4507704562180025E-5</v>
      </c>
      <c r="C86" s="4"/>
      <c r="D86" s="4">
        <v>0</v>
      </c>
    </row>
    <row r="87" spans="1:4" x14ac:dyDescent="0.35">
      <c r="A87" s="27" t="s">
        <v>109</v>
      </c>
      <c r="B87" s="4">
        <v>6.8638828444481516E-5</v>
      </c>
      <c r="C87" s="4"/>
      <c r="D87" s="4">
        <v>0</v>
      </c>
    </row>
    <row r="88" spans="1:4" x14ac:dyDescent="0.35">
      <c r="A88" s="27" t="s">
        <v>110</v>
      </c>
      <c r="B88" s="4">
        <v>5.5446205046162335E-3</v>
      </c>
      <c r="C88" s="4"/>
      <c r="D88" s="4">
        <v>9.3047360395123613E-3</v>
      </c>
    </row>
    <row r="89" spans="1:4" x14ac:dyDescent="0.35">
      <c r="A89" s="27" t="s">
        <v>111</v>
      </c>
      <c r="B89" s="4">
        <v>1.39183779566029E-3</v>
      </c>
      <c r="C89" s="4"/>
      <c r="D89" s="4">
        <v>1.6998587001173953E-3</v>
      </c>
    </row>
    <row r="90" spans="1:4" x14ac:dyDescent="0.35">
      <c r="A90" s="27" t="s">
        <v>112</v>
      </c>
      <c r="B90" s="4">
        <v>0</v>
      </c>
      <c r="C90" s="4"/>
      <c r="D90" s="4">
        <v>0</v>
      </c>
    </row>
    <row r="91" spans="1:4" x14ac:dyDescent="0.35">
      <c r="A91" s="27" t="s">
        <v>113</v>
      </c>
      <c r="B91" s="4">
        <v>5.663265179012127E-3</v>
      </c>
      <c r="C91" s="4"/>
      <c r="D91" s="4">
        <v>3.5534302924134114E-3</v>
      </c>
    </row>
    <row r="92" spans="1:4" x14ac:dyDescent="0.35">
      <c r="A92" s="27" t="s">
        <v>114</v>
      </c>
      <c r="B92" s="4">
        <v>1.2549140595561269E-3</v>
      </c>
      <c r="C92" s="4"/>
      <c r="D92" s="4">
        <v>2.5651365777054169E-4</v>
      </c>
    </row>
    <row r="93" spans="1:4" x14ac:dyDescent="0.35">
      <c r="A93" s="27" t="s">
        <v>115</v>
      </c>
      <c r="B93" s="4">
        <v>2.025781922989895E-3</v>
      </c>
      <c r="C93" s="4"/>
      <c r="D93" s="4">
        <v>1.7608773722592448E-3</v>
      </c>
    </row>
    <row r="94" spans="1:4" x14ac:dyDescent="0.35">
      <c r="A94" s="27" t="s">
        <v>116</v>
      </c>
      <c r="B94" s="4">
        <v>1.1333928694900394E-4</v>
      </c>
      <c r="C94" s="4"/>
      <c r="D94" s="4">
        <v>0</v>
      </c>
    </row>
    <row r="95" spans="1:4" x14ac:dyDescent="0.35">
      <c r="A95" s="27" t="s">
        <v>117</v>
      </c>
      <c r="B95" s="4">
        <v>9.197006057426588E-4</v>
      </c>
      <c r="C95" s="4"/>
      <c r="D95" s="4">
        <v>1.6962736009621545E-3</v>
      </c>
    </row>
    <row r="96" spans="1:4" x14ac:dyDescent="0.35">
      <c r="A96" s="27" t="s">
        <v>118</v>
      </c>
      <c r="B96" s="4">
        <v>4.6531437094172547E-2</v>
      </c>
      <c r="C96" s="4"/>
      <c r="D96" s="4">
        <v>4.9598296867536494E-2</v>
      </c>
    </row>
    <row r="97" spans="1:4" x14ac:dyDescent="0.35">
      <c r="A97" s="27" t="s">
        <v>119</v>
      </c>
      <c r="B97" s="4">
        <v>4.5847616793316936E-4</v>
      </c>
      <c r="C97" s="4"/>
      <c r="D97" s="4">
        <v>4.7397519324092176E-4</v>
      </c>
    </row>
    <row r="98" spans="1:4" x14ac:dyDescent="0.35">
      <c r="A98" s="27" t="s">
        <v>120</v>
      </c>
      <c r="B98" s="4">
        <v>4.1284902294349022E-4</v>
      </c>
      <c r="C98" s="4"/>
      <c r="D98" s="4">
        <v>2.8039977562127253E-4</v>
      </c>
    </row>
    <row r="99" spans="1:4" x14ac:dyDescent="0.35">
      <c r="A99" s="27" t="s">
        <v>121</v>
      </c>
      <c r="B99" s="4">
        <v>0</v>
      </c>
      <c r="C99" s="4"/>
      <c r="D99" s="4">
        <v>1.6248760190710923E-4</v>
      </c>
    </row>
    <row r="100" spans="1:4" x14ac:dyDescent="0.35">
      <c r="A100" s="27" t="s">
        <v>122</v>
      </c>
      <c r="B100" s="4">
        <v>5.4619263431715708E-3</v>
      </c>
      <c r="C100" s="4"/>
      <c r="D100" s="4">
        <v>4.0540768074737114E-3</v>
      </c>
    </row>
    <row r="101" spans="1:4" x14ac:dyDescent="0.35">
      <c r="A101" s="27" t="s">
        <v>123</v>
      </c>
      <c r="B101" s="4">
        <v>2.0628259815577078E-4</v>
      </c>
      <c r="C101" s="4"/>
      <c r="D101" s="4">
        <v>2.0461109661357385E-4</v>
      </c>
    </row>
    <row r="102" spans="1:4" x14ac:dyDescent="0.35">
      <c r="A102" s="27" t="s">
        <v>124</v>
      </c>
      <c r="B102" s="4">
        <v>2.0932207281287583E-4</v>
      </c>
      <c r="C102" s="4"/>
      <c r="D102" s="4">
        <v>9.9612836973072711E-5</v>
      </c>
    </row>
    <row r="103" spans="1:4" x14ac:dyDescent="0.35">
      <c r="A103" s="27" t="s">
        <v>125</v>
      </c>
      <c r="B103" s="4">
        <v>3.1621875710932485E-3</v>
      </c>
      <c r="C103" s="4"/>
      <c r="D103" s="4">
        <v>1.3530403294357029E-3</v>
      </c>
    </row>
    <row r="104" spans="1:4" x14ac:dyDescent="0.35">
      <c r="A104" s="27" t="s">
        <v>126</v>
      </c>
      <c r="B104" s="4">
        <v>0</v>
      </c>
      <c r="C104" s="4"/>
      <c r="D104" s="4">
        <v>0</v>
      </c>
    </row>
    <row r="105" spans="1:4" x14ac:dyDescent="0.35">
      <c r="A105" s="27" t="s">
        <v>127</v>
      </c>
      <c r="B105" s="4">
        <v>1.3760874256652693E-3</v>
      </c>
      <c r="C105" s="4"/>
      <c r="D105" s="4">
        <v>5.3896039287055413E-4</v>
      </c>
    </row>
    <row r="106" spans="1:4" x14ac:dyDescent="0.35">
      <c r="A106" s="27" t="s">
        <v>286</v>
      </c>
      <c r="B106" s="4">
        <v>1.1333928694900394E-4</v>
      </c>
      <c r="C106" s="4"/>
      <c r="D106" s="4">
        <v>8.3545904924255013E-4</v>
      </c>
    </row>
    <row r="107" spans="1:4" x14ac:dyDescent="0.35">
      <c r="A107" s="27" t="s">
        <v>128</v>
      </c>
      <c r="B107" s="4">
        <v>5.2191614337973266E-4</v>
      </c>
      <c r="C107" s="4"/>
      <c r="D107" s="4">
        <v>7.5693547883761846E-4</v>
      </c>
    </row>
    <row r="108" spans="1:4" x14ac:dyDescent="0.35">
      <c r="A108" s="27" t="s">
        <v>129</v>
      </c>
      <c r="B108" s="4">
        <v>1.0309188596636048E-4</v>
      </c>
      <c r="C108" s="4"/>
      <c r="D108" s="4">
        <v>0</v>
      </c>
    </row>
    <row r="109" spans="1:4" x14ac:dyDescent="0.35">
      <c r="A109" s="27" t="s">
        <v>130</v>
      </c>
      <c r="B109" s="4">
        <v>0</v>
      </c>
      <c r="C109" s="4"/>
      <c r="D109" s="4">
        <v>1.6109066101323627E-4</v>
      </c>
    </row>
    <row r="110" spans="1:4" x14ac:dyDescent="0.35">
      <c r="A110" s="27" t="s">
        <v>131</v>
      </c>
      <c r="B110" s="4">
        <v>1.2869991946663089E-3</v>
      </c>
      <c r="C110" s="4"/>
      <c r="D110" s="4">
        <v>1.1883313626271886E-3</v>
      </c>
    </row>
    <row r="111" spans="1:4" x14ac:dyDescent="0.35">
      <c r="A111" s="27" t="s">
        <v>132</v>
      </c>
      <c r="B111" s="4">
        <v>1.2750486907730802E-4</v>
      </c>
      <c r="C111" s="4"/>
      <c r="D111" s="4">
        <v>0</v>
      </c>
    </row>
    <row r="112" spans="1:4" x14ac:dyDescent="0.35">
      <c r="A112" s="27" t="s">
        <v>133</v>
      </c>
      <c r="B112" s="4">
        <v>2.1613993674065627E-3</v>
      </c>
      <c r="C112" s="4"/>
      <c r="D112" s="4">
        <v>3.622698393349028E-3</v>
      </c>
    </row>
    <row r="113" spans="1:4" x14ac:dyDescent="0.35">
      <c r="A113" s="27" t="s">
        <v>134</v>
      </c>
      <c r="B113" s="4">
        <v>2.1887641048407287E-3</v>
      </c>
      <c r="C113" s="4"/>
      <c r="D113" s="4">
        <v>1.3841843031546298E-3</v>
      </c>
    </row>
    <row r="114" spans="1:4" x14ac:dyDescent="0.35">
      <c r="A114" s="27" t="s">
        <v>135</v>
      </c>
      <c r="B114" s="4">
        <v>0</v>
      </c>
      <c r="C114" s="4"/>
      <c r="D114" s="4">
        <v>0</v>
      </c>
    </row>
    <row r="115" spans="1:4" x14ac:dyDescent="0.35">
      <c r="A115" s="27" t="s">
        <v>136</v>
      </c>
      <c r="B115" s="4">
        <v>0</v>
      </c>
      <c r="C115" s="4"/>
      <c r="D115" s="4">
        <v>0</v>
      </c>
    </row>
    <row r="116" spans="1:4" x14ac:dyDescent="0.35">
      <c r="A116" s="27" t="s">
        <v>137</v>
      </c>
      <c r="B116" s="4">
        <v>2.9012678936684655E-4</v>
      </c>
      <c r="C116" s="4"/>
      <c r="D116" s="4">
        <v>0</v>
      </c>
    </row>
    <row r="117" spans="1:4" x14ac:dyDescent="0.35">
      <c r="A117" s="27" t="s">
        <v>138</v>
      </c>
      <c r="B117" s="4">
        <v>1.2276622245338971E-3</v>
      </c>
      <c r="C117" s="4"/>
      <c r="D117" s="4">
        <v>5.268329953065598E-4</v>
      </c>
    </row>
    <row r="118" spans="1:4" x14ac:dyDescent="0.35">
      <c r="A118" s="27" t="s">
        <v>139</v>
      </c>
      <c r="B118" s="4">
        <v>1.2642301065622704E-3</v>
      </c>
      <c r="C118" s="4"/>
      <c r="D118" s="4">
        <v>1.0005184569558106E-3</v>
      </c>
    </row>
    <row r="119" spans="1:4" x14ac:dyDescent="0.35">
      <c r="A119" s="27" t="s">
        <v>140</v>
      </c>
      <c r="B119" s="4">
        <v>1.6157962072306572E-2</v>
      </c>
      <c r="C119" s="4"/>
      <c r="D119" s="4">
        <v>1.7196115746847911E-2</v>
      </c>
    </row>
    <row r="120" spans="1:4" x14ac:dyDescent="0.35">
      <c r="A120" s="27" t="s">
        <v>141</v>
      </c>
      <c r="B120" s="4">
        <v>7.5192459003510228E-3</v>
      </c>
      <c r="C120" s="4"/>
      <c r="D120" s="4">
        <v>6.864820860494193E-3</v>
      </c>
    </row>
    <row r="121" spans="1:4" x14ac:dyDescent="0.35">
      <c r="A121" s="27" t="s">
        <v>142</v>
      </c>
      <c r="B121" s="4">
        <v>3.2849533491714392E-2</v>
      </c>
      <c r="C121" s="4"/>
      <c r="D121" s="4">
        <v>3.1181786373352678E-2</v>
      </c>
    </row>
    <row r="122" spans="1:4" x14ac:dyDescent="0.35">
      <c r="A122" s="27" t="s">
        <v>143</v>
      </c>
      <c r="B122" s="4">
        <v>1.0250941128030727E-3</v>
      </c>
      <c r="C122" s="4"/>
      <c r="D122" s="4">
        <v>9.441150590114879E-4</v>
      </c>
    </row>
    <row r="123" spans="1:4" x14ac:dyDescent="0.35">
      <c r="A123" s="27" t="s">
        <v>144</v>
      </c>
      <c r="B123" s="4">
        <v>5.469256546492168E-3</v>
      </c>
      <c r="C123" s="4"/>
      <c r="D123" s="4">
        <v>3.1936300880484134E-3</v>
      </c>
    </row>
    <row r="124" spans="1:4" x14ac:dyDescent="0.35">
      <c r="A124" s="27" t="s">
        <v>145</v>
      </c>
      <c r="B124" s="4">
        <v>2.6650427137627935E-3</v>
      </c>
      <c r="C124" s="4"/>
      <c r="D124" s="4">
        <v>1.902327071186861E-3</v>
      </c>
    </row>
    <row r="125" spans="1:4" x14ac:dyDescent="0.35">
      <c r="A125" s="27" t="s">
        <v>146</v>
      </c>
      <c r="B125" s="4">
        <v>0</v>
      </c>
      <c r="C125" s="4"/>
      <c r="D125" s="4">
        <v>0</v>
      </c>
    </row>
    <row r="126" spans="1:4" x14ac:dyDescent="0.35">
      <c r="A126" s="27" t="s">
        <v>284</v>
      </c>
      <c r="B126" s="4">
        <v>1.4486664547261379E-4</v>
      </c>
      <c r="C126" s="4"/>
      <c r="D126" s="4">
        <v>2.1670859780043128E-4</v>
      </c>
    </row>
    <row r="127" spans="1:4" x14ac:dyDescent="0.35">
      <c r="A127" s="27" t="s">
        <v>283</v>
      </c>
      <c r="B127" s="4">
        <v>3.3240022788582192E-4</v>
      </c>
      <c r="C127" s="4"/>
      <c r="D127" s="4">
        <v>1.900247984158639E-4</v>
      </c>
    </row>
    <row r="128" spans="1:4" x14ac:dyDescent="0.35">
      <c r="A128" s="27" t="s">
        <v>147</v>
      </c>
      <c r="B128" s="4">
        <v>4.1288988652465903E-3</v>
      </c>
      <c r="C128" s="4"/>
      <c r="D128" s="4">
        <v>5.20722198225283E-3</v>
      </c>
    </row>
    <row r="129" spans="1:4" x14ac:dyDescent="0.35">
      <c r="A129" s="27" t="s">
        <v>148</v>
      </c>
      <c r="B129" s="4">
        <v>0</v>
      </c>
      <c r="C129" s="4"/>
      <c r="D129" s="4">
        <v>0</v>
      </c>
    </row>
    <row r="130" spans="1:4" x14ac:dyDescent="0.35">
      <c r="A130" s="27" t="s">
        <v>149</v>
      </c>
      <c r="B130" s="4">
        <v>2.2291977253446143E-3</v>
      </c>
      <c r="C130" s="4"/>
      <c r="D130" s="4">
        <v>1.5716480067306659E-3</v>
      </c>
    </row>
    <row r="131" spans="1:4" x14ac:dyDescent="0.35">
      <c r="A131" s="27" t="s">
        <v>150</v>
      </c>
      <c r="B131" s="4">
        <v>0</v>
      </c>
      <c r="C131" s="4"/>
      <c r="D131" s="4">
        <v>0</v>
      </c>
    </row>
    <row r="132" spans="1:4" x14ac:dyDescent="0.35">
      <c r="A132" s="27" t="s">
        <v>151</v>
      </c>
      <c r="B132" s="4">
        <v>2.0814578626698263E-3</v>
      </c>
      <c r="C132" s="4"/>
      <c r="D132" s="4">
        <v>2.0121880617506049E-3</v>
      </c>
    </row>
    <row r="133" spans="1:4" x14ac:dyDescent="0.35">
      <c r="A133" s="27" t="s">
        <v>152</v>
      </c>
      <c r="B133" s="4">
        <v>1.1045417742570349E-3</v>
      </c>
      <c r="C133" s="4"/>
      <c r="D133" s="4">
        <v>1.5601701362587864E-3</v>
      </c>
    </row>
    <row r="134" spans="1:4" x14ac:dyDescent="0.35">
      <c r="A134" s="27" t="s">
        <v>153</v>
      </c>
      <c r="B134" s="4">
        <v>7.9722057487986177E-4</v>
      </c>
      <c r="C134" s="4"/>
      <c r="D134" s="4">
        <v>2.4849097543964515E-4</v>
      </c>
    </row>
    <row r="135" spans="1:4" x14ac:dyDescent="0.35">
      <c r="A135" s="27" t="s">
        <v>154</v>
      </c>
      <c r="B135" s="4">
        <v>4.6025760913817023E-3</v>
      </c>
      <c r="C135" s="4"/>
      <c r="D135" s="4">
        <v>4.4561985206657065E-3</v>
      </c>
    </row>
    <row r="136" spans="1:4" x14ac:dyDescent="0.35">
      <c r="A136" s="27" t="s">
        <v>155</v>
      </c>
      <c r="B136" s="4">
        <v>0.23231370568937196</v>
      </c>
      <c r="C136" s="4"/>
      <c r="D136" s="4">
        <v>0.2330280982788491</v>
      </c>
    </row>
    <row r="137" spans="1:4" x14ac:dyDescent="0.35">
      <c r="A137" s="27" t="s">
        <v>156</v>
      </c>
      <c r="B137" s="4">
        <v>1.5091939996422519E-4</v>
      </c>
      <c r="C137" s="4"/>
      <c r="D137" s="4">
        <v>0</v>
      </c>
    </row>
    <row r="138" spans="1:4" x14ac:dyDescent="0.35">
      <c r="A138" s="27" t="s">
        <v>157</v>
      </c>
      <c r="B138" s="4">
        <v>1.1287694955679829E-3</v>
      </c>
      <c r="C138" s="4"/>
      <c r="D138" s="4">
        <v>8.9123671959378582E-4</v>
      </c>
    </row>
    <row r="139" spans="1:4" x14ac:dyDescent="0.35">
      <c r="A139" s="27" t="s">
        <v>158</v>
      </c>
      <c r="B139" s="4">
        <v>4.0982213127158116E-3</v>
      </c>
      <c r="C139" s="4"/>
      <c r="D139" s="4">
        <v>4.5269209454955805E-3</v>
      </c>
    </row>
    <row r="140" spans="1:4" x14ac:dyDescent="0.35">
      <c r="A140" s="27" t="s">
        <v>282</v>
      </c>
      <c r="B140" s="4">
        <v>8.1867441822846311E-3</v>
      </c>
      <c r="C140" s="4"/>
      <c r="D140" s="4">
        <v>8.1317297060289062E-3</v>
      </c>
    </row>
    <row r="141" spans="1:4" x14ac:dyDescent="0.35">
      <c r="A141" s="27" t="s">
        <v>159</v>
      </c>
      <c r="B141" s="4">
        <v>2.1751740638406925E-3</v>
      </c>
      <c r="C141" s="4"/>
      <c r="D141" s="4">
        <v>2.2459478049874104E-3</v>
      </c>
    </row>
    <row r="142" spans="1:4" x14ac:dyDescent="0.35">
      <c r="A142" s="27" t="s">
        <v>160</v>
      </c>
      <c r="B142" s="4">
        <v>3.8040447313862615E-2</v>
      </c>
      <c r="C142" s="4"/>
      <c r="D142" s="4">
        <v>3.8857412991338311E-2</v>
      </c>
    </row>
    <row r="143" spans="1:4" x14ac:dyDescent="0.35">
      <c r="A143" s="27" t="s">
        <v>161</v>
      </c>
      <c r="B143" s="4">
        <v>1.1865393590462768E-3</v>
      </c>
      <c r="C143" s="4"/>
      <c r="D143" s="4">
        <v>1.4341486667847248E-3</v>
      </c>
    </row>
    <row r="144" spans="1:4" x14ac:dyDescent="0.35">
      <c r="A144" s="27" t="s">
        <v>162</v>
      </c>
      <c r="B144" s="4">
        <v>0</v>
      </c>
      <c r="C144" s="4"/>
      <c r="D144" s="4">
        <v>0</v>
      </c>
    </row>
    <row r="145" spans="1:4" x14ac:dyDescent="0.35">
      <c r="A145" s="27" t="s">
        <v>163</v>
      </c>
      <c r="B145" s="4">
        <v>9.109882526532366E-3</v>
      </c>
      <c r="C145" s="4"/>
      <c r="D145" s="4">
        <v>1.1759910439061636E-2</v>
      </c>
    </row>
    <row r="146" spans="1:4" x14ac:dyDescent="0.35">
      <c r="A146" s="27" t="s">
        <v>164</v>
      </c>
      <c r="B146" s="4">
        <v>4.7623001200357767E-4</v>
      </c>
      <c r="C146" s="4"/>
      <c r="D146" s="4">
        <v>7.4455497907847978E-4</v>
      </c>
    </row>
    <row r="147" spans="1:4" x14ac:dyDescent="0.35">
      <c r="A147" s="27" t="s">
        <v>165</v>
      </c>
      <c r="B147" s="4">
        <v>1.1390740922489226E-3</v>
      </c>
      <c r="C147" s="4"/>
      <c r="D147" s="4">
        <v>4.6156794367338696E-4</v>
      </c>
    </row>
    <row r="148" spans="1:4" x14ac:dyDescent="0.35">
      <c r="A148" s="27" t="s">
        <v>166</v>
      </c>
      <c r="B148" s="4">
        <v>4.5760338471899694E-3</v>
      </c>
      <c r="C148" s="4"/>
      <c r="D148" s="4">
        <v>3.2605189437539032E-3</v>
      </c>
    </row>
    <row r="149" spans="1:4" x14ac:dyDescent="0.35">
      <c r="A149" s="27" t="s">
        <v>167</v>
      </c>
      <c r="B149" s="4">
        <v>7.1051284987580328E-3</v>
      </c>
      <c r="C149" s="4"/>
      <c r="D149" s="4">
        <v>7.1224800387488267E-3</v>
      </c>
    </row>
    <row r="150" spans="1:4" x14ac:dyDescent="0.35">
      <c r="A150" s="27" t="s">
        <v>168</v>
      </c>
      <c r="B150" s="4">
        <v>3.9581176611998198E-2</v>
      </c>
      <c r="C150" s="4"/>
      <c r="D150" s="4">
        <v>2.7359260617824836E-2</v>
      </c>
    </row>
    <row r="151" spans="1:4" x14ac:dyDescent="0.35">
      <c r="A151" s="27" t="s">
        <v>169</v>
      </c>
      <c r="B151" s="4">
        <v>1.2801590624423815E-3</v>
      </c>
      <c r="C151" s="4"/>
      <c r="D151" s="4">
        <v>2.6490684388367183E-3</v>
      </c>
    </row>
    <row r="152" spans="1:4" x14ac:dyDescent="0.35">
      <c r="A152" s="27" t="s">
        <v>170</v>
      </c>
      <c r="B152" s="4">
        <v>3.1376289101801987E-4</v>
      </c>
      <c r="C152" s="4"/>
      <c r="D152" s="4">
        <v>1.9704592021466136E-4</v>
      </c>
    </row>
    <row r="153" spans="1:4" x14ac:dyDescent="0.35">
      <c r="A153" s="27" t="s">
        <v>171</v>
      </c>
      <c r="B153" s="4">
        <v>1.1264676191944052E-4</v>
      </c>
      <c r="C153" s="4"/>
      <c r="D153" s="4">
        <v>1.3114234628905432E-4</v>
      </c>
    </row>
    <row r="154" spans="1:4" x14ac:dyDescent="0.35">
      <c r="A154" s="27" t="s">
        <v>172</v>
      </c>
      <c r="B154" s="4">
        <v>0</v>
      </c>
      <c r="C154" s="4"/>
      <c r="D154" s="4">
        <v>0</v>
      </c>
    </row>
    <row r="155" spans="1:4" x14ac:dyDescent="0.35">
      <c r="A155" s="27" t="s">
        <v>173</v>
      </c>
      <c r="B155" s="4">
        <v>0</v>
      </c>
      <c r="C155" s="4"/>
      <c r="D155" s="4">
        <v>0</v>
      </c>
    </row>
    <row r="156" spans="1:4" x14ac:dyDescent="0.35">
      <c r="A156" s="27" t="s">
        <v>174</v>
      </c>
      <c r="B156" s="4">
        <v>1.9715835822879907E-4</v>
      </c>
      <c r="C156" s="4"/>
      <c r="D156" s="4">
        <v>6.9899529786427011E-5</v>
      </c>
    </row>
    <row r="157" spans="1:4" x14ac:dyDescent="0.35">
      <c r="A157" s="60" t="s">
        <v>175</v>
      </c>
      <c r="B157" s="62">
        <v>2.601556589060393E-3</v>
      </c>
      <c r="C157" s="62"/>
      <c r="D157" s="62">
        <v>2.6788967015164925E-3</v>
      </c>
    </row>
    <row r="158" spans="1:4" x14ac:dyDescent="0.35">
      <c r="A158" s="43"/>
      <c r="B158" s="80" t="s">
        <v>34</v>
      </c>
      <c r="C158" s="80"/>
      <c r="D158" s="80"/>
    </row>
    <row r="159" spans="1:4" x14ac:dyDescent="0.35">
      <c r="A159" s="27" t="s">
        <v>39</v>
      </c>
      <c r="B159" s="33">
        <v>9596.2204748028671</v>
      </c>
      <c r="C159" s="33"/>
      <c r="D159" s="33">
        <v>4570.7774175957147</v>
      </c>
    </row>
    <row r="160" spans="1:4" x14ac:dyDescent="0.35">
      <c r="A160" s="27" t="s">
        <v>40</v>
      </c>
      <c r="B160" s="33">
        <v>16416.329942345612</v>
      </c>
      <c r="C160" s="33"/>
      <c r="D160" s="33">
        <v>3538.1715926349798</v>
      </c>
    </row>
    <row r="161" spans="1:4" x14ac:dyDescent="0.35">
      <c r="A161" s="27" t="s">
        <v>41</v>
      </c>
      <c r="B161" s="33">
        <v>10917.989486820139</v>
      </c>
      <c r="C161" s="33"/>
      <c r="D161" s="33">
        <v>4595.4632114422266</v>
      </c>
    </row>
    <row r="162" spans="1:4" x14ac:dyDescent="0.35">
      <c r="A162" s="27" t="s">
        <v>42</v>
      </c>
      <c r="B162" s="33">
        <v>152957.72113728485</v>
      </c>
      <c r="C162" s="33"/>
      <c r="D162" s="33">
        <v>156812.86187342563</v>
      </c>
    </row>
    <row r="163" spans="1:4" x14ac:dyDescent="0.35">
      <c r="A163" s="27" t="s">
        <v>43</v>
      </c>
      <c r="B163" s="33">
        <v>280285.5319533514</v>
      </c>
      <c r="C163" s="33"/>
      <c r="D163" s="33">
        <v>283683.42657717876</v>
      </c>
    </row>
    <row r="164" spans="1:4" x14ac:dyDescent="0.35">
      <c r="A164" s="27" t="s">
        <v>44</v>
      </c>
      <c r="B164" s="33">
        <v>40203.565000988223</v>
      </c>
      <c r="C164" s="33"/>
      <c r="D164" s="33">
        <v>29426.996556454516</v>
      </c>
    </row>
    <row r="165" spans="1:4" x14ac:dyDescent="0.35">
      <c r="A165" s="27" t="s">
        <v>45</v>
      </c>
      <c r="B165" s="33">
        <v>32722.653714610646</v>
      </c>
      <c r="C165" s="33"/>
      <c r="D165" s="33">
        <v>23008.420613022088</v>
      </c>
    </row>
    <row r="166" spans="1:4" x14ac:dyDescent="0.35">
      <c r="A166" s="27" t="s">
        <v>46</v>
      </c>
      <c r="B166" s="33">
        <v>315731.25061839377</v>
      </c>
      <c r="C166" s="33"/>
      <c r="D166" s="33">
        <v>341727.08280934318</v>
      </c>
    </row>
    <row r="167" spans="1:4" x14ac:dyDescent="0.35">
      <c r="A167" s="27" t="s">
        <v>47</v>
      </c>
      <c r="B167" s="33">
        <v>4749.7920269900742</v>
      </c>
      <c r="C167" s="33"/>
      <c r="D167" s="33">
        <v>2729.0674038237776</v>
      </c>
    </row>
    <row r="168" spans="1:4" x14ac:dyDescent="0.35">
      <c r="A168" s="27" t="s">
        <v>48</v>
      </c>
      <c r="B168" s="33">
        <v>662.70310888712561</v>
      </c>
      <c r="C168" s="33"/>
      <c r="D168" s="33">
        <v>794.13768985920149</v>
      </c>
    </row>
    <row r="169" spans="1:4" x14ac:dyDescent="0.35">
      <c r="A169" s="27" t="s">
        <v>49</v>
      </c>
      <c r="B169" s="33">
        <v>3455.6342389600563</v>
      </c>
      <c r="C169" s="33"/>
      <c r="D169" s="33">
        <v>0</v>
      </c>
    </row>
    <row r="170" spans="1:4" x14ac:dyDescent="0.35">
      <c r="A170" s="27" t="s">
        <v>50</v>
      </c>
      <c r="B170" s="33">
        <v>6829.5788026976234</v>
      </c>
      <c r="C170" s="33"/>
      <c r="D170" s="33">
        <v>7040.4343494705327</v>
      </c>
    </row>
    <row r="171" spans="1:4" x14ac:dyDescent="0.35">
      <c r="A171" s="27" t="s">
        <v>51</v>
      </c>
      <c r="B171" s="33">
        <v>0</v>
      </c>
      <c r="C171" s="33"/>
      <c r="D171" s="33">
        <v>0</v>
      </c>
    </row>
    <row r="172" spans="1:4" x14ac:dyDescent="0.35">
      <c r="A172" s="27" t="s">
        <v>52</v>
      </c>
      <c r="B172" s="33">
        <v>0</v>
      </c>
      <c r="C172" s="33"/>
      <c r="D172" s="33">
        <v>0</v>
      </c>
    </row>
    <row r="173" spans="1:4" x14ac:dyDescent="0.35">
      <c r="A173" s="27" t="s">
        <v>53</v>
      </c>
      <c r="B173" s="33">
        <v>0</v>
      </c>
      <c r="C173" s="33"/>
      <c r="D173" s="33">
        <v>976.62689269564271</v>
      </c>
    </row>
    <row r="174" spans="1:4" x14ac:dyDescent="0.35">
      <c r="A174" s="27" t="s">
        <v>54</v>
      </c>
      <c r="B174" s="33">
        <v>0</v>
      </c>
      <c r="C174" s="33"/>
      <c r="D174" s="33">
        <v>0</v>
      </c>
    </row>
    <row r="175" spans="1:4" x14ac:dyDescent="0.35">
      <c r="A175" s="27" t="s">
        <v>55</v>
      </c>
      <c r="B175" s="33">
        <v>0</v>
      </c>
      <c r="C175" s="33"/>
      <c r="D175" s="33">
        <v>238.79252631366083</v>
      </c>
    </row>
    <row r="176" spans="1:4" x14ac:dyDescent="0.35">
      <c r="A176" s="27" t="s">
        <v>56</v>
      </c>
      <c r="B176" s="33">
        <v>1769.5181958546877</v>
      </c>
      <c r="C176" s="33"/>
      <c r="D176" s="33">
        <v>601.18549872997175</v>
      </c>
    </row>
    <row r="177" spans="1:4" x14ac:dyDescent="0.35">
      <c r="A177" s="27" t="s">
        <v>57</v>
      </c>
      <c r="B177" s="33">
        <v>16066.059890478322</v>
      </c>
      <c r="C177" s="33"/>
      <c r="D177" s="33">
        <v>17889.630202673528</v>
      </c>
    </row>
    <row r="178" spans="1:4" x14ac:dyDescent="0.35">
      <c r="A178" s="27" t="s">
        <v>58</v>
      </c>
      <c r="B178" s="33">
        <v>0</v>
      </c>
      <c r="C178" s="33"/>
      <c r="D178" s="33">
        <v>0</v>
      </c>
    </row>
    <row r="179" spans="1:4" x14ac:dyDescent="0.35">
      <c r="A179" s="27" t="s">
        <v>59</v>
      </c>
      <c r="B179" s="33">
        <v>76193.866431003626</v>
      </c>
      <c r="C179" s="33"/>
      <c r="D179" s="33">
        <v>53776.364753451962</v>
      </c>
    </row>
    <row r="180" spans="1:4" x14ac:dyDescent="0.35">
      <c r="A180" s="27" t="s">
        <v>60</v>
      </c>
      <c r="B180" s="33">
        <v>8330.5519667218305</v>
      </c>
      <c r="C180" s="33"/>
      <c r="D180" s="33">
        <v>8209.7759821482232</v>
      </c>
    </row>
    <row r="181" spans="1:4" x14ac:dyDescent="0.35">
      <c r="A181" s="27" t="s">
        <v>61</v>
      </c>
      <c r="B181" s="33">
        <v>988.71040412025775</v>
      </c>
      <c r="C181" s="33"/>
      <c r="D181" s="33">
        <v>735.04719133444701</v>
      </c>
    </row>
    <row r="182" spans="1:4" x14ac:dyDescent="0.35">
      <c r="A182" s="27" t="s">
        <v>62</v>
      </c>
      <c r="B182" s="33">
        <v>9236.699414935747</v>
      </c>
      <c r="C182" s="33"/>
      <c r="D182" s="33">
        <v>6459.4165720887268</v>
      </c>
    </row>
    <row r="183" spans="1:4" x14ac:dyDescent="0.35">
      <c r="A183" s="27" t="s">
        <v>63</v>
      </c>
      <c r="B183" s="33">
        <v>8487.1935208513587</v>
      </c>
      <c r="C183" s="33"/>
      <c r="D183" s="33">
        <v>8108.1829751058413</v>
      </c>
    </row>
    <row r="184" spans="1:4" x14ac:dyDescent="0.35">
      <c r="A184" s="27" t="s">
        <v>64</v>
      </c>
      <c r="B184" s="33">
        <v>158313.56337048512</v>
      </c>
      <c r="C184" s="33"/>
      <c r="D184" s="33">
        <v>163180.61368724014</v>
      </c>
    </row>
    <row r="185" spans="1:4" x14ac:dyDescent="0.35">
      <c r="A185" s="27" t="s">
        <v>65</v>
      </c>
      <c r="B185" s="33">
        <v>510.34548346269344</v>
      </c>
      <c r="C185" s="33"/>
      <c r="D185" s="33">
        <v>594.76915380393825</v>
      </c>
    </row>
    <row r="186" spans="1:4" x14ac:dyDescent="0.35">
      <c r="A186" s="27" t="s">
        <v>293</v>
      </c>
      <c r="B186" s="33">
        <v>4799.6386368865687</v>
      </c>
      <c r="C186" s="33"/>
      <c r="D186" s="33">
        <v>7538.2383631398225</v>
      </c>
    </row>
    <row r="187" spans="1:4" x14ac:dyDescent="0.35">
      <c r="A187" s="27" t="s">
        <v>66</v>
      </c>
      <c r="B187" s="33">
        <v>0</v>
      </c>
      <c r="C187" s="33"/>
      <c r="D187" s="33">
        <v>0</v>
      </c>
    </row>
    <row r="188" spans="1:4" x14ac:dyDescent="0.35">
      <c r="A188" s="27" t="s">
        <v>67</v>
      </c>
      <c r="B188" s="33">
        <v>119031.48148836977</v>
      </c>
      <c r="C188" s="33"/>
      <c r="D188" s="33">
        <v>79754.965784281172</v>
      </c>
    </row>
    <row r="189" spans="1:4" x14ac:dyDescent="0.35">
      <c r="A189" s="27" t="s">
        <v>68</v>
      </c>
      <c r="B189" s="33">
        <v>122798.7553200667</v>
      </c>
      <c r="C189" s="33"/>
      <c r="D189" s="33">
        <v>145071.1291341763</v>
      </c>
    </row>
    <row r="190" spans="1:4" x14ac:dyDescent="0.35">
      <c r="A190" s="27" t="s">
        <v>69</v>
      </c>
      <c r="B190" s="33">
        <v>262068.4204598408</v>
      </c>
      <c r="C190" s="33"/>
      <c r="D190" s="33">
        <v>273408.60909335612</v>
      </c>
    </row>
    <row r="191" spans="1:4" x14ac:dyDescent="0.35">
      <c r="A191" s="27" t="s">
        <v>70</v>
      </c>
      <c r="B191" s="33">
        <v>2416.4589448167644</v>
      </c>
      <c r="C191" s="33"/>
      <c r="D191" s="33">
        <v>874.22377922473868</v>
      </c>
    </row>
    <row r="192" spans="1:4" x14ac:dyDescent="0.35">
      <c r="A192" s="27" t="s">
        <v>71</v>
      </c>
      <c r="B192" s="33">
        <v>3232.461682897243</v>
      </c>
      <c r="C192" s="33"/>
      <c r="D192" s="33">
        <v>4133.6037310509537</v>
      </c>
    </row>
    <row r="193" spans="1:4" x14ac:dyDescent="0.35">
      <c r="A193" s="27" t="s">
        <v>72</v>
      </c>
      <c r="B193" s="33">
        <v>1067.4734008816763</v>
      </c>
      <c r="C193" s="33"/>
      <c r="D193" s="33">
        <v>988.92138878814649</v>
      </c>
    </row>
    <row r="194" spans="1:4" x14ac:dyDescent="0.35">
      <c r="A194" s="27" t="s">
        <v>73</v>
      </c>
      <c r="B194" s="33">
        <v>407.11606996521789</v>
      </c>
      <c r="C194" s="33"/>
      <c r="D194" s="33">
        <v>0</v>
      </c>
    </row>
    <row r="195" spans="1:4" x14ac:dyDescent="0.35">
      <c r="A195" s="27" t="s">
        <v>74</v>
      </c>
      <c r="B195" s="33">
        <v>2300.2220184430626</v>
      </c>
      <c r="C195" s="33"/>
      <c r="D195" s="33">
        <v>1184.6431677098512</v>
      </c>
    </row>
    <row r="196" spans="1:4" x14ac:dyDescent="0.35">
      <c r="A196" s="27" t="s">
        <v>75</v>
      </c>
      <c r="B196" s="33">
        <v>18188.278783671332</v>
      </c>
      <c r="C196" s="33"/>
      <c r="D196" s="33">
        <v>8403.7014335152307</v>
      </c>
    </row>
    <row r="197" spans="1:4" x14ac:dyDescent="0.35">
      <c r="A197" s="27" t="s">
        <v>76</v>
      </c>
      <c r="B197" s="33">
        <v>7330.1351386764472</v>
      </c>
      <c r="C197" s="33"/>
      <c r="D197" s="33">
        <v>2650.1744887993791</v>
      </c>
    </row>
    <row r="198" spans="1:4" x14ac:dyDescent="0.35">
      <c r="A198" s="27" t="s">
        <v>77</v>
      </c>
      <c r="B198" s="33">
        <v>5238.1634843353495</v>
      </c>
      <c r="C198" s="33"/>
      <c r="D198" s="33">
        <v>4208.8885022311533</v>
      </c>
    </row>
    <row r="199" spans="1:4" x14ac:dyDescent="0.35">
      <c r="A199" s="27" t="s">
        <v>78</v>
      </c>
      <c r="B199" s="33">
        <v>8619.8865594850722</v>
      </c>
      <c r="C199" s="33"/>
      <c r="D199" s="33">
        <v>9989.9425352218823</v>
      </c>
    </row>
    <row r="200" spans="1:4" x14ac:dyDescent="0.35">
      <c r="A200" s="27" t="s">
        <v>79</v>
      </c>
      <c r="B200" s="33">
        <v>82116.553342698739</v>
      </c>
      <c r="C200" s="33"/>
      <c r="D200" s="33">
        <v>75920.817192405535</v>
      </c>
    </row>
    <row r="201" spans="1:4" x14ac:dyDescent="0.35">
      <c r="A201" s="27" t="s">
        <v>80</v>
      </c>
      <c r="B201" s="33">
        <v>1485.6832576092518</v>
      </c>
      <c r="C201" s="33"/>
      <c r="D201" s="33">
        <v>1149.0319447022118</v>
      </c>
    </row>
    <row r="202" spans="1:4" x14ac:dyDescent="0.35">
      <c r="A202" s="27" t="s">
        <v>81</v>
      </c>
      <c r="B202" s="33">
        <v>3214.7343773808147</v>
      </c>
      <c r="C202" s="33"/>
      <c r="D202" s="33">
        <v>1609.3196599317664</v>
      </c>
    </row>
    <row r="203" spans="1:4" x14ac:dyDescent="0.35">
      <c r="A203" s="27" t="s">
        <v>82</v>
      </c>
      <c r="B203" s="33">
        <v>670450.72714974673</v>
      </c>
      <c r="C203" s="33"/>
      <c r="D203" s="33">
        <v>690297.29119167814</v>
      </c>
    </row>
    <row r="204" spans="1:4" x14ac:dyDescent="0.35">
      <c r="A204" s="27" t="s">
        <v>83</v>
      </c>
      <c r="B204" s="33">
        <v>4632.8865057120374</v>
      </c>
      <c r="C204" s="33"/>
      <c r="D204" s="33">
        <v>1225.4541435700412</v>
      </c>
    </row>
    <row r="205" spans="1:4" x14ac:dyDescent="0.35">
      <c r="A205" s="27" t="s">
        <v>84</v>
      </c>
      <c r="B205" s="33">
        <v>1587.4949356875152</v>
      </c>
      <c r="C205" s="33"/>
      <c r="D205" s="33">
        <v>1436.6966945970157</v>
      </c>
    </row>
    <row r="206" spans="1:4" x14ac:dyDescent="0.35">
      <c r="A206" s="27" t="s">
        <v>85</v>
      </c>
      <c r="B206" s="33">
        <v>789.03832631298769</v>
      </c>
      <c r="C206" s="33"/>
      <c r="D206" s="33">
        <v>0</v>
      </c>
    </row>
    <row r="207" spans="1:4" x14ac:dyDescent="0.35">
      <c r="A207" s="27" t="s">
        <v>86</v>
      </c>
      <c r="B207" s="33">
        <v>38125.807926593581</v>
      </c>
      <c r="C207" s="33"/>
      <c r="D207" s="33">
        <v>26493.627886327482</v>
      </c>
    </row>
    <row r="208" spans="1:4" x14ac:dyDescent="0.35">
      <c r="A208" s="27" t="s">
        <v>87</v>
      </c>
      <c r="B208" s="33">
        <v>1203.768820377727</v>
      </c>
      <c r="C208" s="33"/>
      <c r="D208" s="33">
        <v>1392.9904808695251</v>
      </c>
    </row>
    <row r="209" spans="1:4" x14ac:dyDescent="0.35">
      <c r="A209" s="27" t="s">
        <v>88</v>
      </c>
      <c r="B209" s="33">
        <v>3005.7379780320935</v>
      </c>
      <c r="C209" s="33"/>
      <c r="D209" s="33">
        <v>5275.9962272972007</v>
      </c>
    </row>
    <row r="210" spans="1:4" x14ac:dyDescent="0.35">
      <c r="A210" s="27" t="s">
        <v>89</v>
      </c>
      <c r="B210" s="33">
        <v>328573.49727378302</v>
      </c>
      <c r="C210" s="33"/>
      <c r="D210" s="33">
        <v>336432.07576629875</v>
      </c>
    </row>
    <row r="211" spans="1:4" x14ac:dyDescent="0.35">
      <c r="A211" s="27" t="s">
        <v>90</v>
      </c>
      <c r="B211" s="33">
        <v>6395.8890921076763</v>
      </c>
      <c r="C211" s="33"/>
      <c r="D211" s="33">
        <v>4149.0273091156614</v>
      </c>
    </row>
    <row r="212" spans="1:4" x14ac:dyDescent="0.35">
      <c r="A212" s="27" t="s">
        <v>91</v>
      </c>
      <c r="B212" s="33">
        <v>0</v>
      </c>
      <c r="C212" s="33"/>
      <c r="D212" s="33">
        <v>0</v>
      </c>
    </row>
    <row r="213" spans="1:4" x14ac:dyDescent="0.35">
      <c r="A213" s="27" t="s">
        <v>92</v>
      </c>
      <c r="B213" s="33">
        <v>35984.325810054281</v>
      </c>
      <c r="C213" s="33"/>
      <c r="D213" s="33">
        <v>52986.663148399173</v>
      </c>
    </row>
    <row r="214" spans="1:4" x14ac:dyDescent="0.35">
      <c r="A214" s="27" t="s">
        <v>93</v>
      </c>
      <c r="B214" s="33">
        <v>0</v>
      </c>
      <c r="C214" s="33"/>
      <c r="D214" s="33">
        <v>1459.9677034350157</v>
      </c>
    </row>
    <row r="215" spans="1:4" x14ac:dyDescent="0.35">
      <c r="A215" s="27" t="s">
        <v>94</v>
      </c>
      <c r="B215" s="33">
        <v>1477.4145825986488</v>
      </c>
      <c r="C215" s="33"/>
      <c r="D215" s="33">
        <v>3074.6701139343272</v>
      </c>
    </row>
    <row r="216" spans="1:4" x14ac:dyDescent="0.35">
      <c r="A216" s="27" t="s">
        <v>95</v>
      </c>
      <c r="B216" s="33">
        <v>474.24692908427352</v>
      </c>
      <c r="C216" s="33"/>
      <c r="D216" s="33">
        <v>632.38973980475498</v>
      </c>
    </row>
    <row r="217" spans="1:4" x14ac:dyDescent="0.35">
      <c r="A217" s="27" t="s">
        <v>96</v>
      </c>
      <c r="B217" s="33">
        <v>11118.527544782151</v>
      </c>
      <c r="C217" s="33"/>
      <c r="D217" s="33">
        <v>9238.6093556215274</v>
      </c>
    </row>
    <row r="218" spans="1:4" x14ac:dyDescent="0.35">
      <c r="A218" s="27" t="s">
        <v>97</v>
      </c>
      <c r="B218" s="33">
        <v>462.91768712269339</v>
      </c>
      <c r="C218" s="33"/>
      <c r="D218" s="33">
        <v>1323.6016126353049</v>
      </c>
    </row>
    <row r="219" spans="1:4" x14ac:dyDescent="0.35">
      <c r="A219" s="27" t="s">
        <v>98</v>
      </c>
      <c r="B219" s="33">
        <v>3598.6546121167457</v>
      </c>
      <c r="C219" s="33"/>
      <c r="D219" s="33">
        <v>10768.02329893227</v>
      </c>
    </row>
    <row r="220" spans="1:4" x14ac:dyDescent="0.35">
      <c r="A220" s="27" t="s">
        <v>99</v>
      </c>
      <c r="B220" s="33">
        <v>34167.753045088539</v>
      </c>
      <c r="C220" s="33"/>
      <c r="D220" s="33">
        <v>31992.412321729014</v>
      </c>
    </row>
    <row r="221" spans="1:4" x14ac:dyDescent="0.35">
      <c r="A221" s="27" t="s">
        <v>100</v>
      </c>
      <c r="B221" s="33">
        <v>90447.838184790759</v>
      </c>
      <c r="C221" s="33"/>
      <c r="D221" s="33">
        <v>89707.419107488502</v>
      </c>
    </row>
    <row r="222" spans="1:4" x14ac:dyDescent="0.35">
      <c r="A222" s="27" t="s">
        <v>101</v>
      </c>
      <c r="B222" s="33">
        <v>0</v>
      </c>
      <c r="C222" s="33"/>
      <c r="D222" s="33">
        <v>960.26360816068723</v>
      </c>
    </row>
    <row r="223" spans="1:4" x14ac:dyDescent="0.35">
      <c r="A223" s="27" t="s">
        <v>102</v>
      </c>
      <c r="B223" s="33">
        <v>0</v>
      </c>
      <c r="C223" s="33"/>
      <c r="D223" s="33">
        <v>316.84737033057741</v>
      </c>
    </row>
    <row r="224" spans="1:4" x14ac:dyDescent="0.35">
      <c r="A224" s="27" t="s">
        <v>103</v>
      </c>
      <c r="B224" s="33">
        <v>492.26742073126235</v>
      </c>
      <c r="C224" s="33"/>
      <c r="D224" s="33">
        <v>0</v>
      </c>
    </row>
    <row r="225" spans="1:4" x14ac:dyDescent="0.35">
      <c r="A225" s="27" t="s">
        <v>104</v>
      </c>
      <c r="B225" s="33">
        <v>3426.7361227089905</v>
      </c>
      <c r="C225" s="33"/>
      <c r="D225" s="33">
        <v>4682.2125863316787</v>
      </c>
    </row>
    <row r="226" spans="1:4" x14ac:dyDescent="0.35">
      <c r="A226" s="27" t="s">
        <v>105</v>
      </c>
      <c r="B226" s="33">
        <v>4369.4494516970553</v>
      </c>
      <c r="C226" s="33"/>
      <c r="D226" s="33">
        <v>2696.1600259480338</v>
      </c>
    </row>
    <row r="227" spans="1:4" x14ac:dyDescent="0.35">
      <c r="A227" s="27" t="s">
        <v>106</v>
      </c>
      <c r="B227" s="33">
        <v>638.56938556506282</v>
      </c>
      <c r="C227" s="33"/>
      <c r="D227" s="33">
        <v>801.20864981423881</v>
      </c>
    </row>
    <row r="228" spans="1:4" x14ac:dyDescent="0.35">
      <c r="A228" s="27" t="s">
        <v>107</v>
      </c>
      <c r="B228" s="33">
        <v>39879.267889582836</v>
      </c>
      <c r="C228" s="33"/>
      <c r="D228" s="33">
        <v>34307.090241120197</v>
      </c>
    </row>
    <row r="229" spans="1:4" x14ac:dyDescent="0.35">
      <c r="A229" s="27" t="s">
        <v>108</v>
      </c>
      <c r="B229" s="33">
        <v>359.70980907504827</v>
      </c>
      <c r="C229" s="33"/>
      <c r="D229" s="33">
        <v>0</v>
      </c>
    </row>
    <row r="230" spans="1:4" x14ac:dyDescent="0.35">
      <c r="A230" s="27" t="s">
        <v>109</v>
      </c>
      <c r="B230" s="33">
        <v>331.37592977776518</v>
      </c>
      <c r="C230" s="33"/>
      <c r="D230" s="33">
        <v>0</v>
      </c>
    </row>
    <row r="231" spans="1:4" x14ac:dyDescent="0.35">
      <c r="A231" s="27" t="s">
        <v>110</v>
      </c>
      <c r="B231" s="33">
        <v>26768.431463952049</v>
      </c>
      <c r="C231" s="33"/>
      <c r="D231" s="33">
        <v>44895.986656875451</v>
      </c>
    </row>
    <row r="232" spans="1:4" x14ac:dyDescent="0.35">
      <c r="A232" s="27" t="s">
        <v>111</v>
      </c>
      <c r="B232" s="33">
        <v>6719.5427732252529</v>
      </c>
      <c r="C232" s="33"/>
      <c r="D232" s="33">
        <v>8201.9342832474176</v>
      </c>
    </row>
    <row r="233" spans="1:4" x14ac:dyDescent="0.35">
      <c r="A233" s="27" t="s">
        <v>112</v>
      </c>
      <c r="B233" s="33">
        <v>0</v>
      </c>
      <c r="C233" s="33"/>
      <c r="D233" s="33">
        <v>0</v>
      </c>
    </row>
    <row r="234" spans="1:4" x14ac:dyDescent="0.35">
      <c r="A234" s="27" t="s">
        <v>113</v>
      </c>
      <c r="B234" s="33">
        <v>27341.226632257116</v>
      </c>
      <c r="C234" s="33"/>
      <c r="D234" s="33">
        <v>17145.543765762795</v>
      </c>
    </row>
    <row r="235" spans="1:4" x14ac:dyDescent="0.35">
      <c r="A235" s="27" t="s">
        <v>114</v>
      </c>
      <c r="B235" s="33">
        <v>6058.499579621468</v>
      </c>
      <c r="C235" s="33"/>
      <c r="D235" s="33">
        <v>1237.6959118096706</v>
      </c>
    </row>
    <row r="236" spans="1:4" x14ac:dyDescent="0.35">
      <c r="A236" s="27" t="s">
        <v>115</v>
      </c>
      <c r="B236" s="33">
        <v>9780.1111043254823</v>
      </c>
      <c r="C236" s="33"/>
      <c r="D236" s="33">
        <v>8496.3535422857749</v>
      </c>
    </row>
    <row r="237" spans="1:4" x14ac:dyDescent="0.35">
      <c r="A237" s="27" t="s">
        <v>116</v>
      </c>
      <c r="B237" s="33">
        <v>547.18171105519093</v>
      </c>
      <c r="C237" s="33"/>
      <c r="D237" s="33">
        <v>0</v>
      </c>
    </row>
    <row r="238" spans="1:4" x14ac:dyDescent="0.35">
      <c r="A238" s="27" t="s">
        <v>117</v>
      </c>
      <c r="B238" s="33">
        <v>4440.1492602930675</v>
      </c>
      <c r="C238" s="33"/>
      <c r="D238" s="33">
        <v>8184.6359350563707</v>
      </c>
    </row>
    <row r="239" spans="1:4" x14ac:dyDescent="0.35">
      <c r="A239" s="27" t="s">
        <v>118</v>
      </c>
      <c r="B239" s="33">
        <v>224645.41689328209</v>
      </c>
      <c r="C239" s="33"/>
      <c r="D239" s="33">
        <v>239315.16863162574</v>
      </c>
    </row>
    <row r="240" spans="1:4" x14ac:dyDescent="0.35">
      <c r="A240" s="27" t="s">
        <v>119</v>
      </c>
      <c r="B240" s="33">
        <v>2213.4405535882311</v>
      </c>
      <c r="C240" s="33"/>
      <c r="D240" s="33">
        <v>2286.962667298792</v>
      </c>
    </row>
    <row r="241" spans="1:4" x14ac:dyDescent="0.35">
      <c r="A241" s="27" t="s">
        <v>120</v>
      </c>
      <c r="B241" s="33">
        <v>1993.1608964800184</v>
      </c>
      <c r="C241" s="33"/>
      <c r="D241" s="33">
        <v>1352.9480612266002</v>
      </c>
    </row>
    <row r="242" spans="1:4" x14ac:dyDescent="0.35">
      <c r="A242" s="27" t="s">
        <v>121</v>
      </c>
      <c r="B242" s="33">
        <v>0</v>
      </c>
      <c r="C242" s="33"/>
      <c r="D242" s="33">
        <v>784.01377278743121</v>
      </c>
    </row>
    <row r="243" spans="1:4" x14ac:dyDescent="0.35">
      <c r="A243" s="27" t="s">
        <v>122</v>
      </c>
      <c r="B243" s="33">
        <v>26369.198912101569</v>
      </c>
      <c r="C243" s="33"/>
      <c r="D243" s="33">
        <v>19561.197381782662</v>
      </c>
    </row>
    <row r="244" spans="1:4" x14ac:dyDescent="0.35">
      <c r="A244" s="27" t="s">
        <v>123</v>
      </c>
      <c r="B244" s="33">
        <v>995.89531625138738</v>
      </c>
      <c r="C244" s="33"/>
      <c r="D244" s="33">
        <v>987.2625106615161</v>
      </c>
    </row>
    <row r="245" spans="1:4" x14ac:dyDescent="0.35">
      <c r="A245" s="27" t="s">
        <v>124</v>
      </c>
      <c r="B245" s="33">
        <v>1010.5693537220127</v>
      </c>
      <c r="C245" s="33"/>
      <c r="D245" s="33">
        <v>480.63873930495294</v>
      </c>
    </row>
    <row r="246" spans="1:4" x14ac:dyDescent="0.35">
      <c r="A246" s="27" t="s">
        <v>125</v>
      </c>
      <c r="B246" s="33">
        <v>15266.4733686457</v>
      </c>
      <c r="C246" s="33"/>
      <c r="D246" s="33">
        <v>6528.5119662291081</v>
      </c>
    </row>
    <row r="247" spans="1:4" x14ac:dyDescent="0.35">
      <c r="A247" s="27" t="s">
        <v>126</v>
      </c>
      <c r="B247" s="33">
        <v>0</v>
      </c>
      <c r="C247" s="33"/>
      <c r="D247" s="33">
        <v>0</v>
      </c>
    </row>
    <row r="248" spans="1:4" x14ac:dyDescent="0.35">
      <c r="A248" s="27" t="s">
        <v>127</v>
      </c>
      <c r="B248" s="33">
        <v>6643.502817128604</v>
      </c>
      <c r="C248" s="33"/>
      <c r="D248" s="33">
        <v>2600.5206922741318</v>
      </c>
    </row>
    <row r="249" spans="1:4" x14ac:dyDescent="0.35">
      <c r="A249" s="27" t="s">
        <v>286</v>
      </c>
      <c r="B249" s="33">
        <v>547.18171105519093</v>
      </c>
      <c r="C249" s="33"/>
      <c r="D249" s="33">
        <v>4031.1469522487523</v>
      </c>
    </row>
    <row r="250" spans="1:4" x14ac:dyDescent="0.35">
      <c r="A250" s="27" t="s">
        <v>128</v>
      </c>
      <c r="B250" s="33">
        <v>2519.7173552922045</v>
      </c>
      <c r="C250" s="33"/>
      <c r="D250" s="33">
        <v>3652.2653639716077</v>
      </c>
    </row>
    <row r="251" spans="1:4" x14ac:dyDescent="0.35">
      <c r="A251" s="27" t="s">
        <v>129</v>
      </c>
      <c r="B251" s="33">
        <v>497.70910050246704</v>
      </c>
      <c r="C251" s="33"/>
      <c r="D251" s="33">
        <v>0</v>
      </c>
    </row>
    <row r="252" spans="1:4" x14ac:dyDescent="0.35">
      <c r="A252" s="27" t="s">
        <v>130</v>
      </c>
      <c r="B252" s="33">
        <v>0</v>
      </c>
      <c r="C252" s="33"/>
      <c r="D252" s="33">
        <v>777.27343760055021</v>
      </c>
    </row>
    <row r="253" spans="1:4" x14ac:dyDescent="0.35">
      <c r="A253" s="27" t="s">
        <v>131</v>
      </c>
      <c r="B253" s="33">
        <v>6213.4008464427925</v>
      </c>
      <c r="C253" s="33"/>
      <c r="D253" s="33">
        <v>5733.7799561321999</v>
      </c>
    </row>
    <row r="254" spans="1:4" x14ac:dyDescent="0.35">
      <c r="A254" s="27" t="s">
        <v>132</v>
      </c>
      <c r="B254" s="33">
        <v>615.57059610743079</v>
      </c>
      <c r="C254" s="33"/>
      <c r="D254" s="33">
        <v>0</v>
      </c>
    </row>
    <row r="255" spans="1:4" x14ac:dyDescent="0.35">
      <c r="A255" s="27" t="s">
        <v>133</v>
      </c>
      <c r="B255" s="33">
        <v>10434.847756394183</v>
      </c>
      <c r="C255" s="33"/>
      <c r="D255" s="33">
        <v>17479.767081947863</v>
      </c>
    </row>
    <row r="256" spans="1:4" x14ac:dyDescent="0.35">
      <c r="A256" s="27" t="s">
        <v>134</v>
      </c>
      <c r="B256" s="33">
        <v>10566.959791460542</v>
      </c>
      <c r="C256" s="33"/>
      <c r="D256" s="33">
        <v>6678.7837657287846</v>
      </c>
    </row>
    <row r="257" spans="1:4" x14ac:dyDescent="0.35">
      <c r="A257" s="27" t="s">
        <v>135</v>
      </c>
      <c r="B257" s="33">
        <v>0</v>
      </c>
      <c r="C257" s="33"/>
      <c r="D257" s="33">
        <v>0</v>
      </c>
    </row>
    <row r="258" spans="1:4" x14ac:dyDescent="0.35">
      <c r="A258" s="27" t="s">
        <v>136</v>
      </c>
      <c r="B258" s="33">
        <v>0</v>
      </c>
      <c r="C258" s="33"/>
      <c r="D258" s="33">
        <v>0</v>
      </c>
    </row>
    <row r="259" spans="1:4" x14ac:dyDescent="0.35">
      <c r="A259" s="27" t="s">
        <v>137</v>
      </c>
      <c r="B259" s="33">
        <v>1400.6800051612222</v>
      </c>
      <c r="C259" s="33"/>
      <c r="D259" s="33">
        <v>0</v>
      </c>
    </row>
    <row r="260" spans="1:4" x14ac:dyDescent="0.35">
      <c r="A260" s="27" t="s">
        <v>138</v>
      </c>
      <c r="B260" s="33">
        <v>5926.9326171121056</v>
      </c>
      <c r="C260" s="33"/>
      <c r="D260" s="33">
        <v>2542.0051710488519</v>
      </c>
    </row>
    <row r="261" spans="1:4" x14ac:dyDescent="0.35">
      <c r="A261" s="27" t="s">
        <v>139</v>
      </c>
      <c r="B261" s="33">
        <v>6103.4757805339177</v>
      </c>
      <c r="C261" s="33"/>
      <c r="D261" s="33">
        <v>4827.5698636368625</v>
      </c>
    </row>
    <row r="262" spans="1:4" x14ac:dyDescent="0.35">
      <c r="A262" s="27" t="s">
        <v>140</v>
      </c>
      <c r="B262" s="33">
        <v>78007.737404133091</v>
      </c>
      <c r="C262" s="33"/>
      <c r="D262" s="33">
        <v>82972.432516315661</v>
      </c>
    </row>
    <row r="263" spans="1:4" x14ac:dyDescent="0.35">
      <c r="A263" s="27" t="s">
        <v>141</v>
      </c>
      <c r="B263" s="33">
        <v>36301.56804718596</v>
      </c>
      <c r="C263" s="33"/>
      <c r="D263" s="33">
        <v>33123.229336738899</v>
      </c>
    </row>
    <row r="264" spans="1:4" x14ac:dyDescent="0.35">
      <c r="A264" s="27" t="s">
        <v>142</v>
      </c>
      <c r="B264" s="33">
        <v>158591.64484993301</v>
      </c>
      <c r="C264" s="33"/>
      <c r="D264" s="33">
        <v>150454.24813888111</v>
      </c>
    </row>
    <row r="265" spans="1:4" x14ac:dyDescent="0.35">
      <c r="A265" s="27" t="s">
        <v>143</v>
      </c>
      <c r="B265" s="33">
        <v>4948.9701738512449</v>
      </c>
      <c r="C265" s="33"/>
      <c r="D265" s="33">
        <v>4555.4196177021631</v>
      </c>
    </row>
    <row r="266" spans="1:4" x14ac:dyDescent="0.35">
      <c r="A266" s="27" t="s">
        <v>144</v>
      </c>
      <c r="B266" s="33">
        <v>26404.587816543426</v>
      </c>
      <c r="C266" s="33"/>
      <c r="D266" s="33">
        <v>15409.483214908245</v>
      </c>
    </row>
    <row r="267" spans="1:4" x14ac:dyDescent="0.35">
      <c r="A267" s="27" t="s">
        <v>145</v>
      </c>
      <c r="B267" s="33">
        <v>12866.347331160005</v>
      </c>
      <c r="C267" s="33"/>
      <c r="D267" s="33">
        <v>9178.857996867393</v>
      </c>
    </row>
    <row r="268" spans="1:4" x14ac:dyDescent="0.35">
      <c r="A268" s="27" t="s">
        <v>146</v>
      </c>
      <c r="B268" s="33">
        <v>0</v>
      </c>
      <c r="C268" s="33"/>
      <c r="D268" s="33">
        <v>0</v>
      </c>
    </row>
    <row r="269" spans="1:4" x14ac:dyDescent="0.35">
      <c r="A269" s="27" t="s">
        <v>284</v>
      </c>
      <c r="B269" s="33">
        <v>699.39013274537967</v>
      </c>
      <c r="C269" s="33"/>
      <c r="D269" s="33">
        <v>1045.6337798259824</v>
      </c>
    </row>
    <row r="270" spans="1:4" x14ac:dyDescent="0.35">
      <c r="A270" s="27" t="s">
        <v>283</v>
      </c>
      <c r="B270" s="33">
        <v>1604.7685700681732</v>
      </c>
      <c r="C270" s="33"/>
      <c r="D270" s="33">
        <v>916.88262600098233</v>
      </c>
    </row>
    <row r="271" spans="1:4" x14ac:dyDescent="0.35">
      <c r="A271" s="27" t="s">
        <v>147</v>
      </c>
      <c r="B271" s="33">
        <v>19933.581785069811</v>
      </c>
      <c r="C271" s="33"/>
      <c r="D271" s="33">
        <v>25125.201579266253</v>
      </c>
    </row>
    <row r="272" spans="1:4" x14ac:dyDescent="0.35">
      <c r="A272" s="27" t="s">
        <v>148</v>
      </c>
      <c r="B272" s="33">
        <v>0</v>
      </c>
      <c r="C272" s="33"/>
      <c r="D272" s="33">
        <v>0</v>
      </c>
    </row>
    <row r="273" spans="1:4" x14ac:dyDescent="0.35">
      <c r="A273" s="27" t="s">
        <v>149</v>
      </c>
      <c r="B273" s="33">
        <v>10762.166045594002</v>
      </c>
      <c r="C273" s="33"/>
      <c r="D273" s="33">
        <v>7583.3089342728726</v>
      </c>
    </row>
    <row r="274" spans="1:4" x14ac:dyDescent="0.35">
      <c r="A274" s="27" t="s">
        <v>150</v>
      </c>
      <c r="B274" s="33">
        <v>0</v>
      </c>
      <c r="C274" s="33"/>
      <c r="D274" s="33">
        <v>0</v>
      </c>
    </row>
    <row r="275" spans="1:4" x14ac:dyDescent="0.35">
      <c r="A275" s="27" t="s">
        <v>151</v>
      </c>
      <c r="B275" s="33">
        <v>10048.904536495016</v>
      </c>
      <c r="C275" s="33"/>
      <c r="D275" s="33">
        <v>9708.9447769239123</v>
      </c>
    </row>
    <row r="276" spans="1:4" x14ac:dyDescent="0.35">
      <c r="A276" s="27" t="s">
        <v>152</v>
      </c>
      <c r="B276" s="33">
        <v>5332.5292071216118</v>
      </c>
      <c r="C276" s="33"/>
      <c r="D276" s="33">
        <v>7527.9274256124882</v>
      </c>
    </row>
    <row r="277" spans="1:4" x14ac:dyDescent="0.35">
      <c r="A277" s="27" t="s">
        <v>153</v>
      </c>
      <c r="B277" s="33">
        <v>3848.8376801544664</v>
      </c>
      <c r="C277" s="33"/>
      <c r="D277" s="33">
        <v>1198.9859218270685</v>
      </c>
    </row>
    <row r="278" spans="1:4" x14ac:dyDescent="0.35">
      <c r="A278" s="27" t="s">
        <v>154</v>
      </c>
      <c r="B278" s="33">
        <v>22220.410316125475</v>
      </c>
      <c r="C278" s="33"/>
      <c r="D278" s="33">
        <v>21501.462102161968</v>
      </c>
    </row>
    <row r="279" spans="1:4" x14ac:dyDescent="0.35">
      <c r="A279" s="27" t="s">
        <v>155</v>
      </c>
      <c r="B279" s="33">
        <v>1121568.8258024615</v>
      </c>
      <c r="C279" s="33"/>
      <c r="D279" s="33">
        <v>1124376.4838225932</v>
      </c>
    </row>
    <row r="280" spans="1:4" x14ac:dyDescent="0.35">
      <c r="A280" s="27" t="s">
        <v>156</v>
      </c>
      <c r="B280" s="33">
        <v>728.61174379016336</v>
      </c>
      <c r="C280" s="33"/>
      <c r="D280" s="33">
        <v>0</v>
      </c>
    </row>
    <row r="281" spans="1:4" x14ac:dyDescent="0.35">
      <c r="A281" s="27" t="s">
        <v>157</v>
      </c>
      <c r="B281" s="33">
        <v>5449.4962920465214</v>
      </c>
      <c r="C281" s="33"/>
      <c r="D281" s="33">
        <v>4300.278019826239</v>
      </c>
    </row>
    <row r="282" spans="1:4" x14ac:dyDescent="0.35">
      <c r="A282" s="27" t="s">
        <v>158</v>
      </c>
      <c r="B282" s="33">
        <v>19785.476074008388</v>
      </c>
      <c r="C282" s="33"/>
      <c r="D282" s="33">
        <v>21842.70263042851</v>
      </c>
    </row>
    <row r="283" spans="1:4" x14ac:dyDescent="0.35">
      <c r="A283" s="27" t="s">
        <v>282</v>
      </c>
      <c r="B283" s="33">
        <v>39524.129807250414</v>
      </c>
      <c r="C283" s="33"/>
      <c r="D283" s="33">
        <v>39236.151012654045</v>
      </c>
    </row>
    <row r="284" spans="1:4" x14ac:dyDescent="0.35">
      <c r="A284" s="27" t="s">
        <v>159</v>
      </c>
      <c r="B284" s="33">
        <v>10501.349515554573</v>
      </c>
      <c r="C284" s="33"/>
      <c r="D284" s="33">
        <v>10836.851497620555</v>
      </c>
    </row>
    <row r="285" spans="1:4" x14ac:dyDescent="0.35">
      <c r="A285" s="27" t="s">
        <v>160</v>
      </c>
      <c r="B285" s="33">
        <v>183652.44400972576</v>
      </c>
      <c r="C285" s="33"/>
      <c r="D285" s="33">
        <v>187489.67061200491</v>
      </c>
    </row>
    <row r="286" spans="1:4" x14ac:dyDescent="0.35">
      <c r="A286" s="27" t="s">
        <v>161</v>
      </c>
      <c r="B286" s="33">
        <v>5728.3988120500262</v>
      </c>
      <c r="C286" s="33"/>
      <c r="D286" s="33">
        <v>6919.8652314823876</v>
      </c>
    </row>
    <row r="287" spans="1:4" x14ac:dyDescent="0.35">
      <c r="A287" s="27" t="s">
        <v>162</v>
      </c>
      <c r="B287" s="33">
        <v>0</v>
      </c>
      <c r="C287" s="33"/>
      <c r="D287" s="33">
        <v>0</v>
      </c>
    </row>
    <row r="288" spans="1:4" x14ac:dyDescent="0.35">
      <c r="A288" s="27" t="s">
        <v>163</v>
      </c>
      <c r="B288" s="33">
        <v>43980.875851306679</v>
      </c>
      <c r="C288" s="33"/>
      <c r="D288" s="33">
        <v>56742.370757873898</v>
      </c>
    </row>
    <row r="289" spans="1:4" x14ac:dyDescent="0.35">
      <c r="A289" s="27" t="s">
        <v>164</v>
      </c>
      <c r="B289" s="33">
        <v>2299.1529225095574</v>
      </c>
      <c r="C289" s="33"/>
      <c r="D289" s="33">
        <v>3592.5286073746015</v>
      </c>
    </row>
    <row r="290" spans="1:4" x14ac:dyDescent="0.35">
      <c r="A290" s="27" t="s">
        <v>165</v>
      </c>
      <c r="B290" s="33">
        <v>5499.2450331529235</v>
      </c>
      <c r="C290" s="33"/>
      <c r="D290" s="33">
        <v>2227.0968410499736</v>
      </c>
    </row>
    <row r="291" spans="1:4" x14ac:dyDescent="0.35">
      <c r="A291" s="27" t="s">
        <v>166</v>
      </c>
      <c r="B291" s="33">
        <v>22092.269130636883</v>
      </c>
      <c r="C291" s="33"/>
      <c r="D291" s="33">
        <v>15732.226510418723</v>
      </c>
    </row>
    <row r="292" spans="1:4" x14ac:dyDescent="0.35">
      <c r="A292" s="27" t="s">
        <v>167</v>
      </c>
      <c r="B292" s="33">
        <v>34302.283646505573</v>
      </c>
      <c r="C292" s="33"/>
      <c r="D292" s="33">
        <v>34366.452463092923</v>
      </c>
    </row>
    <row r="293" spans="1:4" x14ac:dyDescent="0.35">
      <c r="A293" s="27" t="s">
        <v>168</v>
      </c>
      <c r="B293" s="33">
        <v>191090.80820206463</v>
      </c>
      <c r="C293" s="33"/>
      <c r="D293" s="33">
        <v>132010.30039152139</v>
      </c>
    </row>
    <row r="294" spans="1:4" x14ac:dyDescent="0.35">
      <c r="A294" s="27" t="s">
        <v>169</v>
      </c>
      <c r="B294" s="33">
        <v>6180.3779171930573</v>
      </c>
      <c r="C294" s="33"/>
      <c r="D294" s="33">
        <v>12781.936078371134</v>
      </c>
    </row>
    <row r="295" spans="1:4" x14ac:dyDescent="0.35">
      <c r="A295" s="27" t="s">
        <v>170</v>
      </c>
      <c r="B295" s="33">
        <v>1514.7908566789542</v>
      </c>
      <c r="C295" s="33"/>
      <c r="D295" s="33">
        <v>950.76001803623535</v>
      </c>
    </row>
    <row r="296" spans="1:4" x14ac:dyDescent="0.35">
      <c r="A296" s="27" t="s">
        <v>171</v>
      </c>
      <c r="B296" s="33">
        <v>543.83832465471392</v>
      </c>
      <c r="C296" s="33"/>
      <c r="D296" s="33">
        <v>632.77077438225604</v>
      </c>
    </row>
    <row r="297" spans="1:4" x14ac:dyDescent="0.35">
      <c r="A297" s="27" t="s">
        <v>172</v>
      </c>
      <c r="B297" s="33">
        <v>0</v>
      </c>
      <c r="C297" s="33"/>
      <c r="D297" s="33">
        <v>0</v>
      </c>
    </row>
    <row r="298" spans="1:4" x14ac:dyDescent="0.35">
      <c r="A298" s="27" t="s">
        <v>173</v>
      </c>
      <c r="B298" s="33">
        <v>0</v>
      </c>
      <c r="C298" s="33"/>
      <c r="D298" s="33">
        <v>0</v>
      </c>
    </row>
    <row r="299" spans="1:4" x14ac:dyDescent="0.35">
      <c r="A299" s="27" t="s">
        <v>174</v>
      </c>
      <c r="B299" s="33">
        <v>951.84512545069128</v>
      </c>
      <c r="C299" s="33"/>
      <c r="D299" s="33">
        <v>337.27000350004141</v>
      </c>
    </row>
    <row r="300" spans="1:4" x14ac:dyDescent="0.35">
      <c r="A300" s="27" t="s">
        <v>175</v>
      </c>
      <c r="B300" s="33">
        <v>12559.847729141571</v>
      </c>
      <c r="C300" s="33"/>
      <c r="D300" s="33">
        <v>12925.859482278796</v>
      </c>
    </row>
    <row r="301" spans="1:4" x14ac:dyDescent="0.35">
      <c r="A301" s="60"/>
      <c r="B301" s="61"/>
      <c r="C301" s="61"/>
      <c r="D301" s="61"/>
    </row>
    <row r="302" spans="1:4" ht="15" customHeight="1" x14ac:dyDescent="0.35">
      <c r="A302" s="18" t="s">
        <v>32</v>
      </c>
      <c r="B302" s="19"/>
      <c r="C302" s="19"/>
      <c r="D302" s="19"/>
    </row>
    <row r="303" spans="1:4" x14ac:dyDescent="0.35">
      <c r="A303" s="17" t="s">
        <v>285</v>
      </c>
      <c r="B303" s="13"/>
      <c r="C303" s="13"/>
    </row>
    <row r="304" spans="1:4" x14ac:dyDescent="0.35">
      <c r="A304" s="12" t="s">
        <v>25</v>
      </c>
      <c r="B304" s="13"/>
      <c r="C304" s="13"/>
    </row>
    <row r="305" spans="1:1" x14ac:dyDescent="0.35">
      <c r="A305" s="12" t="s">
        <v>26</v>
      </c>
    </row>
    <row r="306" spans="1:1" x14ac:dyDescent="0.35">
      <c r="A306" s="17" t="s">
        <v>235</v>
      </c>
    </row>
    <row r="399" spans="2:4" hidden="1" x14ac:dyDescent="0.35">
      <c r="B399" s="2">
        <v>2024</v>
      </c>
      <c r="C399" s="2"/>
      <c r="D399" s="2">
        <v>2025</v>
      </c>
    </row>
    <row r="400" spans="2:4" hidden="1" x14ac:dyDescent="0.35">
      <c r="B400" s="77">
        <v>8527.8191743341995</v>
      </c>
      <c r="C400" s="77"/>
      <c r="D400" s="77">
        <v>9271.9270693940507</v>
      </c>
    </row>
    <row r="401" spans="2:4" hidden="1" x14ac:dyDescent="0.35">
      <c r="B401" s="77">
        <v>2135.4293605706098</v>
      </c>
      <c r="C401" s="77"/>
      <c r="D401" s="77">
        <v>2321.6935412081302</v>
      </c>
    </row>
  </sheetData>
  <mergeCells count="2">
    <mergeCell ref="B15:D15"/>
    <mergeCell ref="B158:D158"/>
  </mergeCells>
  <conditionalFormatting sqref="B16:B157">
    <cfRule type="expression" dxfId="41" priority="7">
      <formula>$B159&lt;$B$401</formula>
    </cfRule>
    <cfRule type="expression" dxfId="40" priority="8">
      <formula>$B159&lt;$B$400</formula>
    </cfRule>
  </conditionalFormatting>
  <conditionalFormatting sqref="B159:B300">
    <cfRule type="expression" dxfId="39" priority="5">
      <formula>$B159&lt;$B$401</formula>
    </cfRule>
    <cfRule type="expression" dxfId="38" priority="6">
      <formula>$B159&lt;$B$400</formula>
    </cfRule>
  </conditionalFormatting>
  <conditionalFormatting sqref="D16:D157">
    <cfRule type="expression" dxfId="37" priority="3">
      <formula>$D159&lt;$D$401</formula>
    </cfRule>
    <cfRule type="expression" dxfId="36" priority="4">
      <formula>$D159&lt;$D$400</formula>
    </cfRule>
  </conditionalFormatting>
  <conditionalFormatting sqref="D159:D300">
    <cfRule type="expression" dxfId="35" priority="1">
      <formula>$D159&lt;$D$401</formula>
    </cfRule>
    <cfRule type="expression" dxfId="34" priority="2">
      <formula>$D159&lt;$D$400</formula>
    </cfRule>
  </conditionalFormatting>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4"/>
  <sheetViews>
    <sheetView workbookViewId="0"/>
  </sheetViews>
  <sheetFormatPr defaultColWidth="8.81640625" defaultRowHeight="14.5" x14ac:dyDescent="0.35"/>
  <cols>
    <col min="1" max="1" width="14.54296875" style="1" customWidth="1"/>
    <col min="2" max="2" width="3.81640625" style="1" customWidth="1"/>
    <col min="3" max="11" width="12.81640625" style="1" customWidth="1"/>
    <col min="12" max="12" width="8.81640625" style="1"/>
    <col min="13" max="13" width="12.81640625" style="1" customWidth="1"/>
    <col min="14" max="17" width="8.81640625" style="1"/>
    <col min="18" max="18" width="12" style="1" bestFit="1" customWidth="1"/>
    <col min="19" max="16384" width="8.81640625" style="1"/>
  </cols>
  <sheetData>
    <row r="1" spans="1:13" x14ac:dyDescent="0.35">
      <c r="A1" s="20"/>
      <c r="B1" s="20"/>
      <c r="C1" s="20"/>
      <c r="D1" s="20"/>
      <c r="E1" s="20"/>
      <c r="F1" s="20"/>
      <c r="G1" s="20"/>
      <c r="H1" s="20"/>
      <c r="I1" s="20"/>
      <c r="J1" s="20"/>
      <c r="K1" s="20"/>
    </row>
    <row r="2" spans="1:13" x14ac:dyDescent="0.35">
      <c r="A2" s="20"/>
      <c r="B2" s="20"/>
      <c r="C2" s="20"/>
      <c r="D2" s="20"/>
      <c r="E2" s="20"/>
      <c r="F2" s="20"/>
      <c r="G2" s="20"/>
      <c r="H2" s="20"/>
      <c r="I2" s="20"/>
      <c r="J2" s="20"/>
      <c r="K2" s="20"/>
    </row>
    <row r="3" spans="1:13" x14ac:dyDescent="0.35">
      <c r="A3" s="20"/>
      <c r="B3" s="20"/>
      <c r="C3" s="20"/>
      <c r="D3" s="20"/>
      <c r="E3" s="20"/>
      <c r="F3" s="20"/>
      <c r="G3" s="20"/>
      <c r="H3" s="20"/>
      <c r="I3" s="20"/>
      <c r="J3" s="20"/>
      <c r="K3" s="20"/>
    </row>
    <row r="4" spans="1:13" x14ac:dyDescent="0.35">
      <c r="A4" s="20"/>
      <c r="B4" s="20"/>
      <c r="C4" s="20"/>
      <c r="D4" s="20"/>
      <c r="E4" s="20"/>
      <c r="F4" s="20"/>
      <c r="G4" s="20"/>
      <c r="H4" s="20"/>
      <c r="I4" s="20"/>
      <c r="J4" s="20"/>
      <c r="K4" s="20"/>
    </row>
    <row r="5" spans="1:13" x14ac:dyDescent="0.35">
      <c r="A5" s="20"/>
      <c r="B5" s="20"/>
      <c r="C5" s="20"/>
      <c r="D5" s="20"/>
      <c r="E5" s="20"/>
      <c r="F5" s="20"/>
      <c r="G5" s="20"/>
      <c r="H5" s="20"/>
      <c r="I5" s="20"/>
      <c r="J5" s="20"/>
      <c r="K5" s="20"/>
    </row>
    <row r="6" spans="1:13" x14ac:dyDescent="0.35">
      <c r="A6" s="20"/>
      <c r="B6" s="20"/>
      <c r="C6" s="20"/>
      <c r="D6" s="20"/>
      <c r="E6" s="20"/>
      <c r="F6" s="20"/>
      <c r="G6" s="20"/>
      <c r="H6" s="20"/>
      <c r="I6" s="20"/>
      <c r="J6" s="20"/>
      <c r="K6" s="20"/>
    </row>
    <row r="7" spans="1:13" x14ac:dyDescent="0.35">
      <c r="A7" s="20"/>
      <c r="B7" s="20"/>
      <c r="C7" s="20"/>
      <c r="D7" s="20"/>
      <c r="E7" s="20"/>
      <c r="F7" s="20"/>
      <c r="G7" s="20"/>
      <c r="H7" s="20"/>
      <c r="I7" s="20"/>
      <c r="J7" s="20"/>
      <c r="K7" s="20"/>
    </row>
    <row r="8" spans="1:13" x14ac:dyDescent="0.35">
      <c r="A8" s="21" t="s">
        <v>288</v>
      </c>
      <c r="B8" s="21"/>
      <c r="C8" s="20"/>
      <c r="D8" s="20"/>
      <c r="E8" s="20"/>
      <c r="F8" s="20"/>
      <c r="G8" s="20"/>
      <c r="H8" s="20"/>
      <c r="I8" s="20"/>
      <c r="J8" s="20"/>
      <c r="K8" s="20"/>
    </row>
    <row r="9" spans="1:13" x14ac:dyDescent="0.35">
      <c r="A9" s="20" t="s">
        <v>0</v>
      </c>
      <c r="B9" s="20"/>
      <c r="C9" s="21" t="s">
        <v>287</v>
      </c>
      <c r="D9" s="20"/>
      <c r="E9" s="20"/>
      <c r="F9" s="20"/>
      <c r="G9" s="20"/>
      <c r="H9" s="20"/>
      <c r="I9" s="20"/>
      <c r="J9" s="20"/>
      <c r="K9" s="20"/>
    </row>
    <row r="10" spans="1:13" x14ac:dyDescent="0.35">
      <c r="A10" s="20" t="s">
        <v>10</v>
      </c>
      <c r="B10" s="20"/>
      <c r="C10" s="22">
        <v>8</v>
      </c>
      <c r="D10" s="20"/>
      <c r="E10" s="20"/>
      <c r="F10" s="20"/>
      <c r="G10" s="20"/>
      <c r="H10" s="20"/>
      <c r="I10" s="20"/>
      <c r="J10" s="20"/>
      <c r="K10" s="20"/>
    </row>
    <row r="11" spans="1:13" s="3" customFormat="1" x14ac:dyDescent="0.35">
      <c r="A11" s="23" t="s">
        <v>1</v>
      </c>
      <c r="B11" s="23"/>
      <c r="C11" s="24" t="s">
        <v>8</v>
      </c>
      <c r="D11" s="23"/>
      <c r="E11" s="23"/>
      <c r="F11" s="23"/>
      <c r="G11" s="23"/>
      <c r="H11" s="23"/>
      <c r="I11" s="23"/>
      <c r="J11" s="23"/>
      <c r="K11" s="23"/>
    </row>
    <row r="12" spans="1:13" x14ac:dyDescent="0.35">
      <c r="A12" s="87" t="s">
        <v>178</v>
      </c>
      <c r="B12" s="87"/>
      <c r="C12" s="87"/>
      <c r="D12" s="87"/>
      <c r="E12" s="87"/>
      <c r="F12" s="87"/>
      <c r="G12" s="87"/>
      <c r="H12" s="87"/>
      <c r="I12" s="87"/>
      <c r="J12" s="87"/>
      <c r="K12" s="87"/>
    </row>
    <row r="13" spans="1:13" x14ac:dyDescent="0.35">
      <c r="A13" s="27" t="s">
        <v>179</v>
      </c>
      <c r="B13" s="27"/>
      <c r="C13" s="46" t="s">
        <v>180</v>
      </c>
      <c r="D13" s="46" t="s">
        <v>181</v>
      </c>
      <c r="E13" s="46" t="s">
        <v>182</v>
      </c>
      <c r="F13" s="46" t="s">
        <v>183</v>
      </c>
      <c r="G13" s="46" t="s">
        <v>184</v>
      </c>
      <c r="H13" s="46" t="s">
        <v>185</v>
      </c>
      <c r="I13" s="46" t="s">
        <v>186</v>
      </c>
      <c r="J13" s="46" t="s">
        <v>187</v>
      </c>
      <c r="K13" s="46" t="s">
        <v>188</v>
      </c>
    </row>
    <row r="14" spans="1:13" x14ac:dyDescent="0.35">
      <c r="A14" s="44">
        <v>1000</v>
      </c>
      <c r="B14" s="75"/>
      <c r="C14" s="16">
        <v>1.68130348847061</v>
      </c>
      <c r="D14" s="16">
        <v>1.63489804688931</v>
      </c>
      <c r="E14" s="16">
        <v>1.7191170081687801</v>
      </c>
      <c r="F14" s="16">
        <v>1.7511801505829401</v>
      </c>
      <c r="G14" s="16">
        <v>1.6090247868927301</v>
      </c>
      <c r="H14" s="16">
        <v>1.2980095961587701</v>
      </c>
      <c r="I14" s="16">
        <v>1.3190054630318999</v>
      </c>
      <c r="J14" s="16">
        <v>1.2784891915279399</v>
      </c>
      <c r="K14" s="16">
        <v>1.65804755691438</v>
      </c>
    </row>
    <row r="15" spans="1:13" x14ac:dyDescent="0.35">
      <c r="A15" s="44">
        <v>2000</v>
      </c>
      <c r="B15" s="75"/>
      <c r="C15" s="16">
        <v>1.18873790627121</v>
      </c>
      <c r="D15" s="16">
        <v>1.15590992812111</v>
      </c>
      <c r="E15" s="16">
        <v>1.21539891511326</v>
      </c>
      <c r="F15" s="16">
        <v>1.23764989333947</v>
      </c>
      <c r="G15" s="16">
        <v>1.1374454593227501</v>
      </c>
      <c r="H15" s="16">
        <v>0.91658008303878202</v>
      </c>
      <c r="I15" s="16">
        <v>0.93066110452425699</v>
      </c>
      <c r="J15" s="16">
        <v>0.90258616117860102</v>
      </c>
      <c r="K15" s="16">
        <v>1.17237988066763</v>
      </c>
      <c r="M15" s="64"/>
    </row>
    <row r="16" spans="1:13" x14ac:dyDescent="0.35">
      <c r="A16" s="44">
        <v>5000</v>
      </c>
      <c r="B16" s="75"/>
      <c r="C16" s="16">
        <v>0.75166801423937801</v>
      </c>
      <c r="D16" s="16">
        <v>0.73088758699725498</v>
      </c>
      <c r="E16" s="16">
        <v>0.76849563207947402</v>
      </c>
      <c r="F16" s="16">
        <v>0.78216857680699303</v>
      </c>
      <c r="G16" s="16">
        <v>0.71899534183942204</v>
      </c>
      <c r="H16" s="16">
        <v>0.57811010513569405</v>
      </c>
      <c r="I16" s="16">
        <v>0.58411589312236301</v>
      </c>
      <c r="J16" s="16">
        <v>0.568711601021474</v>
      </c>
      <c r="K16" s="16">
        <v>0.74143160245417505</v>
      </c>
    </row>
    <row r="17" spans="1:16" x14ac:dyDescent="0.35">
      <c r="A17" s="44">
        <v>10000</v>
      </c>
      <c r="B17" s="75"/>
      <c r="C17" s="16">
        <v>0.53131663964174103</v>
      </c>
      <c r="D17" s="16">
        <v>0.51660013304428598</v>
      </c>
      <c r="E17" s="16">
        <v>0.54309463589850204</v>
      </c>
      <c r="F17" s="16">
        <v>0.55210211943238496</v>
      </c>
      <c r="G17" s="16">
        <v>0.50785685306645301</v>
      </c>
      <c r="H17" s="16">
        <v>0.40653329634934199</v>
      </c>
      <c r="I17" s="16">
        <v>0.407997932092029</v>
      </c>
      <c r="J17" s="16">
        <v>0.39975707871073501</v>
      </c>
      <c r="K17" s="16">
        <v>0.52421372018452606</v>
      </c>
    </row>
    <row r="18" spans="1:16" x14ac:dyDescent="0.35">
      <c r="A18" s="44">
        <v>20000</v>
      </c>
      <c r="B18" s="75"/>
      <c r="C18" s="16">
        <v>0.37544413771273899</v>
      </c>
      <c r="D18" s="16">
        <v>0.36496480827900601</v>
      </c>
      <c r="E18" s="16">
        <v>0.38361342925080399</v>
      </c>
      <c r="F18" s="16">
        <v>0.389210938042576</v>
      </c>
      <c r="G18" s="16">
        <v>0.35837917697689797</v>
      </c>
      <c r="H18" s="16">
        <v>0.28438503530521397</v>
      </c>
      <c r="I18" s="16">
        <v>0.281243276520528</v>
      </c>
      <c r="J18" s="16">
        <v>0.278959564326205</v>
      </c>
      <c r="K18" s="16">
        <v>0.37059361311891198</v>
      </c>
    </row>
    <row r="19" spans="1:16" x14ac:dyDescent="0.35">
      <c r="A19" s="44">
        <v>50000</v>
      </c>
      <c r="B19" s="75"/>
      <c r="C19" s="16">
        <v>0.23694544080446001</v>
      </c>
      <c r="D19" s="16">
        <v>0.230230757223718</v>
      </c>
      <c r="E19" s="16">
        <v>0.24183413910652299</v>
      </c>
      <c r="F19" s="16">
        <v>0.243771714194843</v>
      </c>
      <c r="G19" s="16">
        <v>0.22529942177195</v>
      </c>
      <c r="H19" s="16">
        <v>0.17397922316845901</v>
      </c>
      <c r="I19" s="16">
        <v>0.16333726269892301</v>
      </c>
      <c r="J19" s="16">
        <v>0.16939760685320501</v>
      </c>
      <c r="K19" s="16">
        <v>0.234229347174401</v>
      </c>
    </row>
    <row r="20" spans="1:16" x14ac:dyDescent="0.35">
      <c r="A20" s="44">
        <v>100000</v>
      </c>
      <c r="B20" s="75"/>
      <c r="C20" s="16">
        <v>0.16695028814291801</v>
      </c>
      <c r="D20" s="16">
        <v>0.1620928895272</v>
      </c>
      <c r="E20" s="16">
        <v>0.17007423893495399</v>
      </c>
      <c r="F20" s="16">
        <v>0.16958280998834199</v>
      </c>
      <c r="G20" s="16">
        <v>0.15768081591493999</v>
      </c>
      <c r="H20" s="16">
        <v>0.11571462978930699</v>
      </c>
      <c r="I20" s="16">
        <v>9.5948710180500801E-2</v>
      </c>
      <c r="J20" s="16">
        <v>0.1108967651356</v>
      </c>
      <c r="K20" s="16">
        <v>0.16544276173047601</v>
      </c>
    </row>
    <row r="21" spans="1:16" x14ac:dyDescent="0.35">
      <c r="A21" s="44">
        <v>200000</v>
      </c>
      <c r="B21" s="75"/>
      <c r="C21" s="16">
        <v>0.117205064342235</v>
      </c>
      <c r="D21" s="16">
        <v>0.113620626281765</v>
      </c>
      <c r="E21" s="16">
        <v>0.118936935832791</v>
      </c>
      <c r="F21" s="16">
        <v>0.115800616710001</v>
      </c>
      <c r="G21" s="16">
        <v>0.10913960687389999</v>
      </c>
      <c r="H21" s="16">
        <v>7.0359279940633193E-2</v>
      </c>
      <c r="I21" s="16">
        <v>2.1234728949666399E-2</v>
      </c>
      <c r="J21" s="16">
        <v>6.4094065763525901E-2</v>
      </c>
      <c r="K21" s="16">
        <v>0.116729169036442</v>
      </c>
    </row>
    <row r="22" spans="1:16" x14ac:dyDescent="0.35">
      <c r="A22" s="44">
        <v>500000</v>
      </c>
      <c r="B22" s="75"/>
      <c r="C22" s="16">
        <v>7.2496925075006893E-2</v>
      </c>
      <c r="D22" s="16">
        <v>6.9921838833864602E-2</v>
      </c>
      <c r="E22" s="16">
        <v>7.2652897250386206E-2</v>
      </c>
      <c r="F22" s="16">
        <v>6.4883642553647397E-2</v>
      </c>
      <c r="G22" s="16">
        <v>6.43675001465457E-2</v>
      </c>
      <c r="H22" s="16" t="s">
        <v>189</v>
      </c>
      <c r="I22" s="16" t="s">
        <v>189</v>
      </c>
      <c r="J22" s="16" t="s">
        <v>189</v>
      </c>
      <c r="K22" s="16">
        <v>7.3333595340724006E-2</v>
      </c>
    </row>
    <row r="23" spans="1:16" x14ac:dyDescent="0.35">
      <c r="A23" s="44">
        <v>800000</v>
      </c>
      <c r="B23" s="75"/>
      <c r="C23" s="16">
        <v>5.5998790435684703E-2</v>
      </c>
      <c r="D23" s="16">
        <v>5.3705821990149498E-2</v>
      </c>
      <c r="E23" s="16">
        <v>5.5331326319463602E-2</v>
      </c>
      <c r="F23" s="16">
        <v>4.36805420572354E-2</v>
      </c>
      <c r="G23" s="16">
        <v>4.6915939687358299E-2</v>
      </c>
      <c r="H23" s="16" t="s">
        <v>189</v>
      </c>
      <c r="I23" s="16" t="s">
        <v>189</v>
      </c>
      <c r="J23" s="16" t="s">
        <v>189</v>
      </c>
      <c r="K23" s="16">
        <v>5.7584315254837197E-2</v>
      </c>
    </row>
    <row r="24" spans="1:16" x14ac:dyDescent="0.35">
      <c r="A24" s="44">
        <v>1000000</v>
      </c>
      <c r="B24" s="75"/>
      <c r="C24" s="16">
        <v>4.9285116668125399E-2</v>
      </c>
      <c r="D24" s="16">
        <v>4.7076235216842198E-2</v>
      </c>
      <c r="E24" s="16">
        <v>4.81932886413627E-2</v>
      </c>
      <c r="F24" s="16">
        <v>3.37665181563599E-2</v>
      </c>
      <c r="G24" s="16">
        <v>3.9414668599364003E-2</v>
      </c>
      <c r="H24" s="16" t="s">
        <v>189</v>
      </c>
      <c r="I24" s="16" t="s">
        <v>189</v>
      </c>
      <c r="J24" s="16" t="s">
        <v>189</v>
      </c>
      <c r="K24" s="16">
        <v>5.1270795825743197E-2</v>
      </c>
      <c r="P24" s="4"/>
    </row>
    <row r="25" spans="1:16" x14ac:dyDescent="0.35">
      <c r="A25" s="44">
        <v>1500000</v>
      </c>
      <c r="B25" s="75"/>
      <c r="C25" s="16">
        <v>3.8556023973369602E-2</v>
      </c>
      <c r="D25" s="16">
        <v>3.6400494698970803E-2</v>
      </c>
      <c r="E25" s="16">
        <v>3.6569243914365397E-2</v>
      </c>
      <c r="F25" s="16">
        <v>1.08612664303858E-2</v>
      </c>
      <c r="G25" s="16">
        <v>2.6273493157391099E-2</v>
      </c>
      <c r="H25" s="16" t="s">
        <v>189</v>
      </c>
      <c r="I25" s="16" t="s">
        <v>189</v>
      </c>
      <c r="J25" s="16" t="s">
        <v>189</v>
      </c>
      <c r="K25" s="16">
        <v>4.1379500887166201E-2</v>
      </c>
    </row>
    <row r="26" spans="1:16" x14ac:dyDescent="0.35">
      <c r="A26" s="44">
        <v>2000000</v>
      </c>
      <c r="B26" s="75"/>
      <c r="C26" s="16">
        <v>3.1866684242923299E-2</v>
      </c>
      <c r="D26" s="16">
        <v>2.9657496276054501E-2</v>
      </c>
      <c r="E26" s="16">
        <v>2.9063170261812099E-2</v>
      </c>
      <c r="F26" s="16" t="s">
        <v>189</v>
      </c>
      <c r="G26" s="16">
        <v>1.6083737551901199E-2</v>
      </c>
      <c r="H26" s="16" t="s">
        <v>189</v>
      </c>
      <c r="I26" s="16" t="s">
        <v>189</v>
      </c>
      <c r="J26" s="16" t="s">
        <v>189</v>
      </c>
      <c r="K26" s="16">
        <v>3.5412531513601499E-2</v>
      </c>
    </row>
    <row r="27" spans="1:16" x14ac:dyDescent="0.35">
      <c r="A27" s="44">
        <v>5000000</v>
      </c>
      <c r="B27" s="75"/>
      <c r="C27" s="16">
        <v>1.29368956255526E-2</v>
      </c>
      <c r="D27" s="16">
        <v>8.8057125368798794E-3</v>
      </c>
      <c r="E27" s="16" t="s">
        <v>189</v>
      </c>
      <c r="F27" s="16" t="s">
        <v>189</v>
      </c>
      <c r="G27" s="16" t="s">
        <v>189</v>
      </c>
      <c r="H27" s="16" t="s">
        <v>189</v>
      </c>
      <c r="I27" s="16" t="s">
        <v>189</v>
      </c>
      <c r="J27" s="16" t="s">
        <v>189</v>
      </c>
      <c r="K27" s="16">
        <v>2.07194021324856E-2</v>
      </c>
    </row>
    <row r="28" spans="1:16" x14ac:dyDescent="0.35">
      <c r="A28" s="44">
        <v>8000000</v>
      </c>
      <c r="B28" s="75"/>
      <c r="C28" s="16" t="s">
        <v>189</v>
      </c>
      <c r="D28" s="16" t="s">
        <v>189</v>
      </c>
      <c r="E28" s="16" t="s">
        <v>189</v>
      </c>
      <c r="F28" s="16" t="s">
        <v>189</v>
      </c>
      <c r="G28" s="16" t="s">
        <v>189</v>
      </c>
      <c r="H28" s="16" t="s">
        <v>189</v>
      </c>
      <c r="I28" s="16" t="s">
        <v>189</v>
      </c>
      <c r="J28" s="16" t="s">
        <v>189</v>
      </c>
      <c r="K28" s="16">
        <v>1.49367059239254E-2</v>
      </c>
    </row>
    <row r="29" spans="1:16" x14ac:dyDescent="0.35">
      <c r="A29" s="44">
        <v>10000000</v>
      </c>
      <c r="B29" s="75"/>
      <c r="C29" s="16" t="s">
        <v>189</v>
      </c>
      <c r="D29" s="16" t="s">
        <v>189</v>
      </c>
      <c r="E29" s="16" t="s">
        <v>189</v>
      </c>
      <c r="F29" s="16" t="s">
        <v>189</v>
      </c>
      <c r="G29" s="16" t="s">
        <v>189</v>
      </c>
      <c r="H29" s="16" t="s">
        <v>189</v>
      </c>
      <c r="I29" s="16" t="s">
        <v>189</v>
      </c>
      <c r="J29" s="16" t="s">
        <v>189</v>
      </c>
      <c r="K29" s="16">
        <v>1.2424686235008401E-2</v>
      </c>
    </row>
    <row r="30" spans="1:16" x14ac:dyDescent="0.35">
      <c r="A30" s="44">
        <v>20000000</v>
      </c>
      <c r="B30" s="75"/>
      <c r="C30" s="16" t="s">
        <v>189</v>
      </c>
      <c r="D30" s="16" t="s">
        <v>189</v>
      </c>
      <c r="E30" s="16" t="s">
        <v>189</v>
      </c>
      <c r="F30" s="16" t="s">
        <v>189</v>
      </c>
      <c r="G30" s="16" t="s">
        <v>189</v>
      </c>
      <c r="H30" s="16" t="s">
        <v>189</v>
      </c>
      <c r="I30" s="16" t="s">
        <v>189</v>
      </c>
      <c r="J30" s="16" t="s">
        <v>189</v>
      </c>
      <c r="K30" s="16">
        <v>4.1124724550715298E-3</v>
      </c>
    </row>
    <row r="31" spans="1:16" x14ac:dyDescent="0.35">
      <c r="A31" s="44"/>
      <c r="B31" s="44"/>
      <c r="C31" s="16"/>
      <c r="D31" s="16"/>
      <c r="E31" s="16"/>
      <c r="F31" s="16"/>
      <c r="G31" s="16"/>
      <c r="H31" s="16"/>
      <c r="I31" s="16"/>
      <c r="J31" s="16"/>
      <c r="K31" s="16"/>
    </row>
    <row r="32" spans="1:16" x14ac:dyDescent="0.35">
      <c r="A32" s="86" t="s">
        <v>190</v>
      </c>
      <c r="B32" s="86"/>
      <c r="C32" s="86"/>
      <c r="D32" s="86"/>
      <c r="E32" s="86"/>
      <c r="F32" s="86"/>
      <c r="G32" s="86"/>
      <c r="H32" s="86"/>
      <c r="I32" s="86"/>
      <c r="J32" s="86"/>
      <c r="K32" s="86"/>
    </row>
    <row r="33" spans="1:11" x14ac:dyDescent="0.35">
      <c r="A33" s="27" t="s">
        <v>179</v>
      </c>
      <c r="B33" s="27"/>
      <c r="C33" s="46" t="s">
        <v>191</v>
      </c>
      <c r="D33" s="46" t="s">
        <v>192</v>
      </c>
      <c r="E33" s="46" t="s">
        <v>193</v>
      </c>
      <c r="F33" s="46" t="s">
        <v>194</v>
      </c>
      <c r="G33" s="46" t="s">
        <v>195</v>
      </c>
      <c r="H33" s="46" t="s">
        <v>196</v>
      </c>
      <c r="I33" s="46" t="s">
        <v>197</v>
      </c>
      <c r="J33" s="46" t="s">
        <v>198</v>
      </c>
      <c r="K33" s="46" t="s">
        <v>199</v>
      </c>
    </row>
    <row r="34" spans="1:11" x14ac:dyDescent="0.35">
      <c r="A34" s="45">
        <v>1000</v>
      </c>
      <c r="B34" s="45"/>
      <c r="C34" s="11">
        <v>1681.3034884706101</v>
      </c>
      <c r="D34" s="11">
        <v>1634.8980468893101</v>
      </c>
      <c r="E34" s="11">
        <v>1719.1170081687801</v>
      </c>
      <c r="F34" s="11">
        <v>1751.1801505829401</v>
      </c>
      <c r="G34" s="11">
        <v>1609.0247868927299</v>
      </c>
      <c r="H34" s="11">
        <v>1298.0095961587699</v>
      </c>
      <c r="I34" s="11">
        <v>1319.0054630319</v>
      </c>
      <c r="J34" s="11">
        <v>1278.48919152794</v>
      </c>
      <c r="K34" s="11">
        <v>1658.04755691438</v>
      </c>
    </row>
    <row r="35" spans="1:11" x14ac:dyDescent="0.35">
      <c r="A35" s="45">
        <v>2000</v>
      </c>
      <c r="B35" s="45"/>
      <c r="C35" s="11">
        <v>2377.47581254242</v>
      </c>
      <c r="D35" s="11">
        <v>2311.8198562422199</v>
      </c>
      <c r="E35" s="11">
        <v>2430.7978302265201</v>
      </c>
      <c r="F35" s="11">
        <v>2475.2997866789401</v>
      </c>
      <c r="G35" s="11">
        <v>2274.8909186454898</v>
      </c>
      <c r="H35" s="11">
        <v>1833.16016607756</v>
      </c>
      <c r="I35" s="11">
        <v>1861.3222090485101</v>
      </c>
      <c r="J35" s="11">
        <v>1805.1723223572001</v>
      </c>
      <c r="K35" s="11">
        <v>2344.75976133526</v>
      </c>
    </row>
    <row r="36" spans="1:11" x14ac:dyDescent="0.35">
      <c r="A36" s="45">
        <v>5000</v>
      </c>
      <c r="B36" s="45"/>
      <c r="C36" s="11">
        <v>3758.3400711968902</v>
      </c>
      <c r="D36" s="11">
        <v>3654.4379349862802</v>
      </c>
      <c r="E36" s="11">
        <v>3842.4781603973702</v>
      </c>
      <c r="F36" s="11">
        <v>3910.8428840349702</v>
      </c>
      <c r="G36" s="11">
        <v>3594.9767091971098</v>
      </c>
      <c r="H36" s="11">
        <v>2890.55052567847</v>
      </c>
      <c r="I36" s="11">
        <v>2920.5794656118201</v>
      </c>
      <c r="J36" s="11">
        <v>2843.5580051073698</v>
      </c>
      <c r="K36" s="11">
        <v>3707.1580122708701</v>
      </c>
    </row>
    <row r="37" spans="1:11" x14ac:dyDescent="0.35">
      <c r="A37" s="45">
        <v>10000</v>
      </c>
      <c r="B37" s="45"/>
      <c r="C37" s="11">
        <v>5313.1663964174104</v>
      </c>
      <c r="D37" s="11">
        <v>5166.0013304428603</v>
      </c>
      <c r="E37" s="11">
        <v>5430.9463589850202</v>
      </c>
      <c r="F37" s="11">
        <v>5521.0211943238501</v>
      </c>
      <c r="G37" s="11">
        <v>5078.56853066453</v>
      </c>
      <c r="H37" s="11">
        <v>4065.3329634934198</v>
      </c>
      <c r="I37" s="11">
        <v>4079.9793209202899</v>
      </c>
      <c r="J37" s="11">
        <v>3997.57078710735</v>
      </c>
      <c r="K37" s="11">
        <v>5242.1372018452603</v>
      </c>
    </row>
    <row r="38" spans="1:11" x14ac:dyDescent="0.35">
      <c r="A38" s="45">
        <v>20000</v>
      </c>
      <c r="B38" s="45"/>
      <c r="C38" s="11">
        <v>7508.8827542547797</v>
      </c>
      <c r="D38" s="11">
        <v>7299.29616558011</v>
      </c>
      <c r="E38" s="11">
        <v>7672.2685850160697</v>
      </c>
      <c r="F38" s="11">
        <v>7784.2187608515196</v>
      </c>
      <c r="G38" s="11">
        <v>7167.58353953796</v>
      </c>
      <c r="H38" s="11">
        <v>5687.7007061042796</v>
      </c>
      <c r="I38" s="11">
        <v>5624.8655304105496</v>
      </c>
      <c r="J38" s="11">
        <v>5579.1912865241002</v>
      </c>
      <c r="K38" s="11">
        <v>7411.8722623782296</v>
      </c>
    </row>
    <row r="39" spans="1:11" x14ac:dyDescent="0.35">
      <c r="A39" s="45">
        <v>50000</v>
      </c>
      <c r="B39" s="45"/>
      <c r="C39" s="11">
        <v>11847.272040223001</v>
      </c>
      <c r="D39" s="11">
        <v>11511.5378611859</v>
      </c>
      <c r="E39" s="11">
        <v>12091.706955326101</v>
      </c>
      <c r="F39" s="11">
        <v>12188.585709742199</v>
      </c>
      <c r="G39" s="11">
        <v>11264.9710885975</v>
      </c>
      <c r="H39" s="11">
        <v>8698.9611584229297</v>
      </c>
      <c r="I39" s="11">
        <v>8166.8631349461402</v>
      </c>
      <c r="J39" s="11">
        <v>8469.8803426602499</v>
      </c>
      <c r="K39" s="11">
        <v>11711.46735872</v>
      </c>
    </row>
    <row r="40" spans="1:11" x14ac:dyDescent="0.35">
      <c r="A40" s="45">
        <v>100000</v>
      </c>
      <c r="B40" s="45"/>
      <c r="C40" s="11">
        <v>16695.0288142918</v>
      </c>
      <c r="D40" s="11">
        <v>16209.28895272</v>
      </c>
      <c r="E40" s="11">
        <v>17007.423893495401</v>
      </c>
      <c r="F40" s="11">
        <v>16958.280998834201</v>
      </c>
      <c r="G40" s="11">
        <v>15768.081591493999</v>
      </c>
      <c r="H40" s="11">
        <v>11571.4629789307</v>
      </c>
      <c r="I40" s="11">
        <v>9594.8710180500802</v>
      </c>
      <c r="J40" s="11">
        <v>11089.67651356</v>
      </c>
      <c r="K40" s="11">
        <v>16544.276173047601</v>
      </c>
    </row>
    <row r="41" spans="1:11" x14ac:dyDescent="0.35">
      <c r="A41" s="45">
        <v>200000</v>
      </c>
      <c r="B41" s="45"/>
      <c r="C41" s="11">
        <v>23441.012868447</v>
      </c>
      <c r="D41" s="11">
        <v>22724.125256353</v>
      </c>
      <c r="E41" s="11">
        <v>23787.387166558299</v>
      </c>
      <c r="F41" s="11">
        <v>23160.123342000199</v>
      </c>
      <c r="G41" s="11">
        <v>21827.921374779999</v>
      </c>
      <c r="H41" s="11">
        <v>14071.855988126599</v>
      </c>
      <c r="I41" s="11">
        <v>4246.9457899332801</v>
      </c>
      <c r="J41" s="11">
        <v>12818.813152705199</v>
      </c>
      <c r="K41" s="11">
        <v>23345.8338072884</v>
      </c>
    </row>
    <row r="42" spans="1:11" x14ac:dyDescent="0.35">
      <c r="A42" s="45">
        <v>500000</v>
      </c>
      <c r="B42" s="45"/>
      <c r="C42" s="11">
        <v>36248.462537503401</v>
      </c>
      <c r="D42" s="11">
        <v>34960.919416932302</v>
      </c>
      <c r="E42" s="11">
        <v>36326.448625193101</v>
      </c>
      <c r="F42" s="11">
        <v>32441.821276823699</v>
      </c>
      <c r="G42" s="11">
        <v>32183.750073272899</v>
      </c>
      <c r="H42" s="11" t="s">
        <v>189</v>
      </c>
      <c r="I42" s="11" t="s">
        <v>189</v>
      </c>
      <c r="J42" s="11" t="s">
        <v>189</v>
      </c>
      <c r="K42" s="11">
        <v>36666.797670362001</v>
      </c>
    </row>
    <row r="43" spans="1:11" x14ac:dyDescent="0.35">
      <c r="A43" s="45">
        <v>800000</v>
      </c>
      <c r="B43" s="45"/>
      <c r="C43" s="11">
        <v>44799.0323485478</v>
      </c>
      <c r="D43" s="11">
        <v>42964.657592119598</v>
      </c>
      <c r="E43" s="11">
        <v>44265.061055570899</v>
      </c>
      <c r="F43" s="11">
        <v>34944.433645788398</v>
      </c>
      <c r="G43" s="11">
        <v>37532.7517498866</v>
      </c>
      <c r="H43" s="11" t="s">
        <v>189</v>
      </c>
      <c r="I43" s="11" t="s">
        <v>189</v>
      </c>
      <c r="J43" s="11" t="s">
        <v>189</v>
      </c>
      <c r="K43" s="11">
        <v>46067.452203869703</v>
      </c>
    </row>
    <row r="44" spans="1:11" x14ac:dyDescent="0.35">
      <c r="A44" s="45">
        <v>1000000</v>
      </c>
      <c r="B44" s="45"/>
      <c r="C44" s="11">
        <v>49285.116668125404</v>
      </c>
      <c r="D44" s="11">
        <v>47076.2352168422</v>
      </c>
      <c r="E44" s="11">
        <v>48193.288641362698</v>
      </c>
      <c r="F44" s="11">
        <v>33766.518156359904</v>
      </c>
      <c r="G44" s="11">
        <v>39414.668599363999</v>
      </c>
      <c r="H44" s="11" t="s">
        <v>189</v>
      </c>
      <c r="I44" s="11" t="s">
        <v>189</v>
      </c>
      <c r="J44" s="11" t="s">
        <v>189</v>
      </c>
      <c r="K44" s="11">
        <v>51270.795825743196</v>
      </c>
    </row>
    <row r="45" spans="1:11" x14ac:dyDescent="0.35">
      <c r="A45" s="45">
        <v>1500000</v>
      </c>
      <c r="B45" s="45"/>
      <c r="C45" s="11">
        <v>57834.035960054403</v>
      </c>
      <c r="D45" s="11">
        <v>54600.742048456203</v>
      </c>
      <c r="E45" s="11">
        <v>54853.865871548202</v>
      </c>
      <c r="F45" s="11">
        <v>16291.8996455787</v>
      </c>
      <c r="G45" s="11">
        <v>39410.239736086703</v>
      </c>
      <c r="H45" s="11" t="s">
        <v>189</v>
      </c>
      <c r="I45" s="11" t="s">
        <v>189</v>
      </c>
      <c r="J45" s="11" t="s">
        <v>189</v>
      </c>
      <c r="K45" s="11">
        <v>62069.251330749299</v>
      </c>
    </row>
    <row r="46" spans="1:11" x14ac:dyDescent="0.35">
      <c r="A46" s="45">
        <v>2000000</v>
      </c>
      <c r="B46" s="45"/>
      <c r="C46" s="11">
        <v>63733.3684858466</v>
      </c>
      <c r="D46" s="11">
        <v>59314.992552108903</v>
      </c>
      <c r="E46" s="11">
        <v>58126.340523624298</v>
      </c>
      <c r="F46" s="11" t="s">
        <v>189</v>
      </c>
      <c r="G46" s="11">
        <v>32167.475103802499</v>
      </c>
      <c r="H46" s="11" t="s">
        <v>189</v>
      </c>
      <c r="I46" s="11" t="s">
        <v>189</v>
      </c>
      <c r="J46" s="11" t="s">
        <v>189</v>
      </c>
      <c r="K46" s="11">
        <v>70825.063027202996</v>
      </c>
    </row>
    <row r="47" spans="1:11" x14ac:dyDescent="0.35">
      <c r="A47" s="45">
        <v>5000000</v>
      </c>
      <c r="B47" s="45"/>
      <c r="C47" s="11">
        <v>64684.478127763199</v>
      </c>
      <c r="D47" s="11">
        <v>44028.562684399403</v>
      </c>
      <c r="E47" s="11" t="s">
        <v>189</v>
      </c>
      <c r="F47" s="11" t="s">
        <v>189</v>
      </c>
      <c r="G47" s="11" t="s">
        <v>189</v>
      </c>
      <c r="H47" s="11" t="s">
        <v>189</v>
      </c>
      <c r="I47" s="11" t="s">
        <v>189</v>
      </c>
      <c r="J47" s="11" t="s">
        <v>189</v>
      </c>
      <c r="K47" s="11">
        <v>103597.010662428</v>
      </c>
    </row>
    <row r="48" spans="1:11" x14ac:dyDescent="0.35">
      <c r="A48" s="45">
        <v>8000000</v>
      </c>
      <c r="B48" s="45"/>
      <c r="C48" s="11" t="s">
        <v>189</v>
      </c>
      <c r="D48" s="11" t="s">
        <v>189</v>
      </c>
      <c r="E48" s="11" t="s">
        <v>189</v>
      </c>
      <c r="F48" s="11" t="s">
        <v>189</v>
      </c>
      <c r="G48" s="11" t="s">
        <v>189</v>
      </c>
      <c r="H48" s="11" t="s">
        <v>189</v>
      </c>
      <c r="I48" s="11" t="s">
        <v>189</v>
      </c>
      <c r="J48" s="11" t="s">
        <v>189</v>
      </c>
      <c r="K48" s="11">
        <v>119493.64739140301</v>
      </c>
    </row>
    <row r="49" spans="1:11" x14ac:dyDescent="0.35">
      <c r="A49" s="45">
        <v>10000000</v>
      </c>
      <c r="B49" s="45"/>
      <c r="C49" s="11" t="s">
        <v>189</v>
      </c>
      <c r="D49" s="11" t="s">
        <v>189</v>
      </c>
      <c r="E49" s="11" t="s">
        <v>189</v>
      </c>
      <c r="F49" s="11" t="s">
        <v>189</v>
      </c>
      <c r="G49" s="11" t="s">
        <v>189</v>
      </c>
      <c r="H49" s="11" t="s">
        <v>189</v>
      </c>
      <c r="I49" s="11" t="s">
        <v>189</v>
      </c>
      <c r="J49" s="11" t="s">
        <v>189</v>
      </c>
      <c r="K49" s="11">
        <v>124246.862350084</v>
      </c>
    </row>
    <row r="50" spans="1:11" x14ac:dyDescent="0.35">
      <c r="A50" s="45">
        <v>20000000</v>
      </c>
      <c r="B50" s="45"/>
      <c r="C50" s="11" t="s">
        <v>189</v>
      </c>
      <c r="D50" s="11" t="s">
        <v>189</v>
      </c>
      <c r="E50" s="11" t="s">
        <v>189</v>
      </c>
      <c r="F50" s="11" t="s">
        <v>189</v>
      </c>
      <c r="G50" s="11" t="s">
        <v>189</v>
      </c>
      <c r="H50" s="11" t="s">
        <v>189</v>
      </c>
      <c r="I50" s="11" t="s">
        <v>189</v>
      </c>
      <c r="J50" s="11" t="s">
        <v>189</v>
      </c>
      <c r="K50" s="11">
        <v>82249.449101430597</v>
      </c>
    </row>
    <row r="51" spans="1:11" x14ac:dyDescent="0.35">
      <c r="A51" s="1" t="s">
        <v>200</v>
      </c>
    </row>
    <row r="53" spans="1:11" x14ac:dyDescent="0.35">
      <c r="A53" s="86" t="s">
        <v>201</v>
      </c>
      <c r="B53" s="86"/>
      <c r="C53" s="86"/>
      <c r="D53" s="86"/>
      <c r="E53" s="86"/>
      <c r="F53" s="86"/>
      <c r="G53" s="86"/>
      <c r="H53" s="86"/>
      <c r="I53" s="86"/>
      <c r="J53" s="86"/>
      <c r="K53" s="86"/>
    </row>
    <row r="54" spans="1:11" x14ac:dyDescent="0.35">
      <c r="A54" s="27" t="s">
        <v>202</v>
      </c>
      <c r="B54" s="27"/>
      <c r="C54" s="46" t="s">
        <v>191</v>
      </c>
      <c r="D54" s="46" t="s">
        <v>192</v>
      </c>
      <c r="E54" s="46" t="s">
        <v>193</v>
      </c>
      <c r="F54" s="46" t="s">
        <v>194</v>
      </c>
      <c r="G54" s="46" t="s">
        <v>195</v>
      </c>
      <c r="H54" s="46" t="s">
        <v>196</v>
      </c>
      <c r="I54" s="46" t="s">
        <v>197</v>
      </c>
      <c r="J54" s="46" t="s">
        <v>198</v>
      </c>
      <c r="K54" s="46" t="s">
        <v>199</v>
      </c>
    </row>
    <row r="55" spans="1:11" x14ac:dyDescent="0.35">
      <c r="A55" s="45" t="s">
        <v>203</v>
      </c>
      <c r="B55" s="45"/>
      <c r="C55" s="7">
        <v>11290.779200073501</v>
      </c>
      <c r="D55" s="7">
        <v>10673.891760713899</v>
      </c>
      <c r="E55" s="7">
        <v>11794.2092827533</v>
      </c>
      <c r="F55" s="7">
        <v>12180.457620298001</v>
      </c>
      <c r="G55" s="7">
        <v>10316.8446137964</v>
      </c>
      <c r="H55" s="7">
        <v>6660.0124524057001</v>
      </c>
      <c r="I55" s="7">
        <v>6763.9621769873902</v>
      </c>
      <c r="J55" s="7">
        <v>6448.1037036868402</v>
      </c>
      <c r="K55" s="7">
        <v>10991.7081307102</v>
      </c>
    </row>
    <row r="56" spans="1:11" x14ac:dyDescent="0.35">
      <c r="A56" s="45" t="s">
        <v>204</v>
      </c>
      <c r="B56" s="45"/>
      <c r="C56" s="7">
        <v>2826.4114054619899</v>
      </c>
      <c r="D56" s="7">
        <v>2672.5049253320399</v>
      </c>
      <c r="E56" s="7">
        <v>2954.5329705111299</v>
      </c>
      <c r="F56" s="7">
        <v>3062.5931873957702</v>
      </c>
      <c r="G56" s="7">
        <v>2587.19771266212</v>
      </c>
      <c r="H56" s="7">
        <v>1682.43536288921</v>
      </c>
      <c r="I56" s="7">
        <v>1733.20480275817</v>
      </c>
      <c r="J56" s="7">
        <v>1632.04339194711</v>
      </c>
      <c r="K56" s="7">
        <v>2749.5446272244999</v>
      </c>
    </row>
    <row r="58" spans="1:11" x14ac:dyDescent="0.35">
      <c r="A58" s="1" t="s">
        <v>25</v>
      </c>
    </row>
    <row r="59" spans="1:11" x14ac:dyDescent="0.35">
      <c r="A59" s="1" t="s">
        <v>26</v>
      </c>
    </row>
    <row r="61" spans="1:11" x14ac:dyDescent="0.35">
      <c r="A61" s="86" t="s">
        <v>205</v>
      </c>
      <c r="B61" s="86"/>
      <c r="C61" s="86"/>
      <c r="D61" s="86"/>
      <c r="E61" s="86"/>
      <c r="F61" s="86"/>
      <c r="G61" s="86"/>
      <c r="H61" s="86"/>
      <c r="I61" s="86"/>
      <c r="J61" s="86"/>
      <c r="K61" s="86"/>
    </row>
    <row r="62" spans="1:11" x14ac:dyDescent="0.35">
      <c r="A62" s="27" t="s">
        <v>179</v>
      </c>
      <c r="B62" s="27"/>
      <c r="C62" s="46" t="s">
        <v>180</v>
      </c>
      <c r="D62" s="46" t="s">
        <v>181</v>
      </c>
      <c r="E62" s="46" t="s">
        <v>182</v>
      </c>
      <c r="F62" s="46" t="s">
        <v>183</v>
      </c>
      <c r="G62" s="46" t="s">
        <v>184</v>
      </c>
      <c r="H62" s="46" t="s">
        <v>185</v>
      </c>
      <c r="I62" s="46" t="s">
        <v>186</v>
      </c>
      <c r="J62" s="46" t="s">
        <v>187</v>
      </c>
      <c r="K62" s="46" t="s">
        <v>188</v>
      </c>
    </row>
    <row r="63" spans="1:11" x14ac:dyDescent="0.35">
      <c r="A63" s="45">
        <v>1000</v>
      </c>
      <c r="B63" s="45"/>
      <c r="C63" s="16">
        <v>1.4982873620094801</v>
      </c>
      <c r="D63" s="16">
        <v>1.5096584643072</v>
      </c>
      <c r="E63" s="16">
        <v>1.5711375148098099</v>
      </c>
      <c r="F63" s="16">
        <v>1.6453634292588399</v>
      </c>
      <c r="G63" s="16">
        <v>1.54835891935165</v>
      </c>
      <c r="H63" s="16">
        <v>1.33387065864969</v>
      </c>
      <c r="I63" s="16">
        <v>1.3084262680790999</v>
      </c>
      <c r="J63" s="16">
        <v>1.22570541345373</v>
      </c>
      <c r="K63" s="16">
        <v>1.5237257615308999</v>
      </c>
    </row>
    <row r="64" spans="1:11" x14ac:dyDescent="0.35">
      <c r="A64" s="45">
        <v>2000</v>
      </c>
      <c r="B64" s="45"/>
      <c r="C64" s="16">
        <v>1.05924139834467</v>
      </c>
      <c r="D64" s="16">
        <v>1.0672311087373001</v>
      </c>
      <c r="E64" s="16">
        <v>1.11060494059507</v>
      </c>
      <c r="F64" s="16">
        <v>1.16079439056248</v>
      </c>
      <c r="G64" s="16">
        <v>1.09422495910522</v>
      </c>
      <c r="H64" s="16">
        <v>0.93833965511820305</v>
      </c>
      <c r="I64" s="16">
        <v>0.91725533402583503</v>
      </c>
      <c r="J64" s="16">
        <v>0.86252769559404696</v>
      </c>
      <c r="K64" s="16">
        <v>1.07736900201021</v>
      </c>
    </row>
    <row r="65" spans="1:11" x14ac:dyDescent="0.35">
      <c r="A65" s="45">
        <v>5000</v>
      </c>
      <c r="B65" s="45"/>
      <c r="C65" s="16">
        <v>0.66913416361671496</v>
      </c>
      <c r="D65" s="16">
        <v>0.67415776776752501</v>
      </c>
      <c r="E65" s="16">
        <v>0.70127805564909196</v>
      </c>
      <c r="F65" s="16">
        <v>0.73078315173286901</v>
      </c>
      <c r="G65" s="16">
        <v>0.69005252232953695</v>
      </c>
      <c r="H65" s="16">
        <v>0.58259651668769497</v>
      </c>
      <c r="I65" s="16">
        <v>0.56219010729320595</v>
      </c>
      <c r="J65" s="16">
        <v>0.53481309153545398</v>
      </c>
      <c r="K65" s="16">
        <v>0.68117348981621995</v>
      </c>
    </row>
    <row r="66" spans="1:11" x14ac:dyDescent="0.35">
      <c r="A66" s="45">
        <v>10000</v>
      </c>
      <c r="B66" s="45"/>
      <c r="C66" s="16">
        <v>0.472404480377702</v>
      </c>
      <c r="D66" s="16">
        <v>0.47565803680115398</v>
      </c>
      <c r="E66" s="16">
        <v>0.494597126792927</v>
      </c>
      <c r="F66" s="16">
        <v>0.51254780696184099</v>
      </c>
      <c r="G66" s="16">
        <v>0.48567394935709601</v>
      </c>
      <c r="H66" s="16">
        <v>0.40073082236382701</v>
      </c>
      <c r="I66" s="16">
        <v>0.37674039669013498</v>
      </c>
      <c r="J66" s="16">
        <v>0.36653116633801602</v>
      </c>
      <c r="K66" s="16">
        <v>0.48138926513061497</v>
      </c>
    </row>
    <row r="67" spans="1:11" x14ac:dyDescent="0.35">
      <c r="A67" s="45">
        <v>20000</v>
      </c>
      <c r="B67" s="45"/>
      <c r="C67" s="16">
        <v>0.33291847080144998</v>
      </c>
      <c r="D67" s="16">
        <v>0.334942851896601</v>
      </c>
      <c r="E67" s="16">
        <v>0.34802778940039802</v>
      </c>
      <c r="F67" s="16">
        <v>0.35642092279181298</v>
      </c>
      <c r="G67" s="16">
        <v>0.34019484981333298</v>
      </c>
      <c r="H67" s="16">
        <v>0.26505852466327101</v>
      </c>
      <c r="I67" s="16">
        <v>0.23424587803883701</v>
      </c>
      <c r="J67" s="16">
        <v>0.240380608504497</v>
      </c>
      <c r="K67" s="16">
        <v>0.34004999867230601</v>
      </c>
    </row>
    <row r="68" spans="1:11" x14ac:dyDescent="0.35">
      <c r="A68" s="45">
        <v>50000</v>
      </c>
      <c r="B68" s="45"/>
      <c r="C68" s="16">
        <v>0.20837065649504999</v>
      </c>
      <c r="D68" s="16">
        <v>0.20921397102811801</v>
      </c>
      <c r="E68" s="16">
        <v>0.216698177013608</v>
      </c>
      <c r="F68" s="16">
        <v>0.21333286261849399</v>
      </c>
      <c r="G68" s="16">
        <v>0.20891277197136199</v>
      </c>
      <c r="H68" s="16">
        <v>0.128154147590611</v>
      </c>
      <c r="I68" s="16">
        <v>4.83856205099812E-2</v>
      </c>
      <c r="J68" s="16">
        <v>0.11015623340713999</v>
      </c>
      <c r="K68" s="16">
        <v>0.21438595399576099</v>
      </c>
    </row>
    <row r="69" spans="1:11" x14ac:dyDescent="0.35">
      <c r="A69" s="45">
        <v>100000</v>
      </c>
      <c r="B69" s="45"/>
      <c r="C69" s="16">
        <v>0.14477871702832401</v>
      </c>
      <c r="D69" s="16">
        <v>0.14476779643961499</v>
      </c>
      <c r="E69" s="16">
        <v>0.14913631539870001</v>
      </c>
      <c r="F69" s="16">
        <v>0.13556192027806699</v>
      </c>
      <c r="G69" s="16">
        <v>0.14005433389880301</v>
      </c>
      <c r="H69" s="16" t="s">
        <v>189</v>
      </c>
      <c r="I69" s="16" t="s">
        <v>189</v>
      </c>
      <c r="J69" s="16" t="s">
        <v>189</v>
      </c>
      <c r="K69" s="16">
        <v>0.15080123564970499</v>
      </c>
    </row>
    <row r="70" spans="1:11" x14ac:dyDescent="0.35">
      <c r="A70" s="45">
        <v>200000</v>
      </c>
      <c r="B70" s="45"/>
      <c r="C70" s="16">
        <v>9.8629348656209606E-2</v>
      </c>
      <c r="D70" s="16">
        <v>9.7702653457242605E-2</v>
      </c>
      <c r="E70" s="16">
        <v>9.9455231169668604E-2</v>
      </c>
      <c r="F70" s="16">
        <v>6.9354857131389905E-2</v>
      </c>
      <c r="G70" s="16">
        <v>8.7181141993995695E-2</v>
      </c>
      <c r="H70" s="16" t="s">
        <v>189</v>
      </c>
      <c r="I70" s="16" t="s">
        <v>189</v>
      </c>
      <c r="J70" s="16" t="s">
        <v>189</v>
      </c>
      <c r="K70" s="16">
        <v>0.105488993459994</v>
      </c>
    </row>
    <row r="71" spans="1:11" x14ac:dyDescent="0.35">
      <c r="A71" s="45">
        <v>500000</v>
      </c>
      <c r="B71" s="45"/>
      <c r="C71" s="16">
        <v>5.46614244558059E-2</v>
      </c>
      <c r="D71" s="16">
        <v>5.1991167098999203E-2</v>
      </c>
      <c r="E71" s="16">
        <v>4.9747550488655298E-2</v>
      </c>
      <c r="F71" s="16" t="s">
        <v>189</v>
      </c>
      <c r="G71" s="16">
        <v>1.97927402019305E-2</v>
      </c>
      <c r="H71" s="16" t="s">
        <v>189</v>
      </c>
      <c r="I71" s="16" t="s">
        <v>189</v>
      </c>
      <c r="J71" s="16" t="s">
        <v>189</v>
      </c>
      <c r="K71" s="16">
        <v>6.4507719191609497E-2</v>
      </c>
    </row>
    <row r="72" spans="1:11" x14ac:dyDescent="0.35">
      <c r="A72" s="45">
        <v>800000</v>
      </c>
      <c r="B72" s="45"/>
      <c r="C72" s="16">
        <v>3.6095734517177999E-2</v>
      </c>
      <c r="D72" s="16">
        <v>3.1480461358145799E-2</v>
      </c>
      <c r="E72" s="16">
        <v>2.4953371528551E-2</v>
      </c>
      <c r="F72" s="16" t="s">
        <v>189</v>
      </c>
      <c r="G72" s="16" t="s">
        <v>189</v>
      </c>
      <c r="H72" s="16" t="s">
        <v>189</v>
      </c>
      <c r="I72" s="16" t="s">
        <v>189</v>
      </c>
      <c r="J72" s="16" t="s">
        <v>189</v>
      </c>
      <c r="K72" s="16">
        <v>4.9185465633865402E-2</v>
      </c>
    </row>
    <row r="73" spans="1:11" x14ac:dyDescent="0.35">
      <c r="A73" s="45">
        <v>1000000</v>
      </c>
      <c r="B73" s="45"/>
      <c r="C73" s="16">
        <v>2.7209654292371599E-2</v>
      </c>
      <c r="D73" s="16">
        <v>2.05109770034833E-2</v>
      </c>
      <c r="E73" s="16">
        <v>2.1815744048478201E-3</v>
      </c>
      <c r="F73" s="16" t="s">
        <v>189</v>
      </c>
      <c r="G73" s="16" t="s">
        <v>189</v>
      </c>
      <c r="H73" s="16" t="s">
        <v>189</v>
      </c>
      <c r="I73" s="16" t="s">
        <v>189</v>
      </c>
      <c r="J73" s="16" t="s">
        <v>189</v>
      </c>
      <c r="K73" s="16">
        <v>4.28826434844648E-2</v>
      </c>
    </row>
    <row r="74" spans="1:11" x14ac:dyDescent="0.35">
      <c r="A74" s="45">
        <v>1500000</v>
      </c>
      <c r="B74" s="45"/>
      <c r="C74" s="16" t="s">
        <v>189</v>
      </c>
      <c r="D74" s="16" t="s">
        <v>189</v>
      </c>
      <c r="E74" s="16" t="s">
        <v>189</v>
      </c>
      <c r="F74" s="16" t="s">
        <v>189</v>
      </c>
      <c r="G74" s="16" t="s">
        <v>189</v>
      </c>
      <c r="H74" s="16" t="s">
        <v>189</v>
      </c>
      <c r="I74" s="16" t="s">
        <v>189</v>
      </c>
      <c r="J74" s="16" t="s">
        <v>189</v>
      </c>
      <c r="K74" s="16">
        <v>3.2628484931745701E-2</v>
      </c>
    </row>
    <row r="75" spans="1:11" x14ac:dyDescent="0.35">
      <c r="A75" s="45">
        <v>2000000</v>
      </c>
      <c r="B75" s="45"/>
      <c r="C75" s="16" t="s">
        <v>189</v>
      </c>
      <c r="D75" s="16" t="s">
        <v>189</v>
      </c>
      <c r="E75" s="16" t="s">
        <v>189</v>
      </c>
      <c r="F75" s="16" t="s">
        <v>189</v>
      </c>
      <c r="G75" s="16" t="s">
        <v>189</v>
      </c>
      <c r="H75" s="16" t="s">
        <v>189</v>
      </c>
      <c r="I75" s="16" t="s">
        <v>189</v>
      </c>
      <c r="J75" s="16" t="s">
        <v>189</v>
      </c>
      <c r="K75" s="16">
        <v>2.6030993430677201E-2</v>
      </c>
    </row>
    <row r="77" spans="1:11" x14ac:dyDescent="0.35">
      <c r="A77" s="86" t="s">
        <v>206</v>
      </c>
      <c r="B77" s="86"/>
      <c r="C77" s="86"/>
      <c r="D77" s="86"/>
      <c r="E77" s="86"/>
      <c r="F77" s="86"/>
      <c r="G77" s="86"/>
      <c r="H77" s="86"/>
      <c r="I77" s="86"/>
      <c r="J77" s="86"/>
      <c r="K77" s="86"/>
    </row>
    <row r="78" spans="1:11" x14ac:dyDescent="0.35">
      <c r="A78" s="27" t="s">
        <v>179</v>
      </c>
      <c r="B78" s="27"/>
      <c r="C78" s="76" t="s">
        <v>191</v>
      </c>
      <c r="D78" s="76" t="s">
        <v>192</v>
      </c>
      <c r="E78" s="76" t="s">
        <v>193</v>
      </c>
      <c r="F78" s="76" t="s">
        <v>194</v>
      </c>
      <c r="G78" s="76" t="s">
        <v>195</v>
      </c>
      <c r="H78" s="76" t="s">
        <v>196</v>
      </c>
      <c r="I78" s="76" t="s">
        <v>197</v>
      </c>
      <c r="J78" s="76" t="s">
        <v>198</v>
      </c>
      <c r="K78" s="76" t="s">
        <v>199</v>
      </c>
    </row>
    <row r="79" spans="1:11" x14ac:dyDescent="0.35">
      <c r="A79" s="45">
        <v>1000</v>
      </c>
      <c r="B79" s="45"/>
      <c r="C79" s="11">
        <v>1498.2873620094799</v>
      </c>
      <c r="D79" s="11">
        <v>1509.6584643071999</v>
      </c>
      <c r="E79" s="11">
        <v>1571.13751480981</v>
      </c>
      <c r="F79" s="11">
        <v>1645.3634292588399</v>
      </c>
      <c r="G79" s="11">
        <v>1548.35891935165</v>
      </c>
      <c r="H79" s="11">
        <v>1333.8706586496901</v>
      </c>
      <c r="I79" s="11">
        <v>1308.4262680791001</v>
      </c>
      <c r="J79" s="11">
        <v>1225.70541345373</v>
      </c>
      <c r="K79" s="11">
        <v>1523.7257615308999</v>
      </c>
    </row>
    <row r="80" spans="1:11" x14ac:dyDescent="0.35">
      <c r="A80" s="45">
        <v>2000</v>
      </c>
      <c r="B80" s="45"/>
      <c r="C80" s="11">
        <v>2118.4827966893399</v>
      </c>
      <c r="D80" s="11">
        <v>2134.46221747461</v>
      </c>
      <c r="E80" s="11">
        <v>2221.2098811901501</v>
      </c>
      <c r="F80" s="11">
        <v>2321.58878112497</v>
      </c>
      <c r="G80" s="11">
        <v>2188.44991821044</v>
      </c>
      <c r="H80" s="11">
        <v>1876.6793102364099</v>
      </c>
      <c r="I80" s="11">
        <v>1834.5106680516701</v>
      </c>
      <c r="J80" s="11">
        <v>1725.05539118809</v>
      </c>
      <c r="K80" s="11">
        <v>2154.7380040204198</v>
      </c>
    </row>
    <row r="81" spans="1:11" x14ac:dyDescent="0.35">
      <c r="A81" s="45">
        <v>5000</v>
      </c>
      <c r="B81" s="45"/>
      <c r="C81" s="11">
        <v>3345.6708180835699</v>
      </c>
      <c r="D81" s="11">
        <v>3370.78883883762</v>
      </c>
      <c r="E81" s="11">
        <v>3506.3902782454602</v>
      </c>
      <c r="F81" s="11">
        <v>3653.9157586643501</v>
      </c>
      <c r="G81" s="11">
        <v>3450.2626116476799</v>
      </c>
      <c r="H81" s="11">
        <v>2912.9825834384701</v>
      </c>
      <c r="I81" s="11">
        <v>2810.9505364660299</v>
      </c>
      <c r="J81" s="11">
        <v>2674.0654576772699</v>
      </c>
      <c r="K81" s="11">
        <v>3405.8674490810999</v>
      </c>
    </row>
    <row r="82" spans="1:11" x14ac:dyDescent="0.35">
      <c r="A82" s="45">
        <v>10000</v>
      </c>
      <c r="B82" s="45"/>
      <c r="C82" s="11">
        <v>4724.0448037770202</v>
      </c>
      <c r="D82" s="11">
        <v>4756.5803680115396</v>
      </c>
      <c r="E82" s="11">
        <v>4945.9712679292697</v>
      </c>
      <c r="F82" s="11">
        <v>5125.4780696184098</v>
      </c>
      <c r="G82" s="11">
        <v>4856.7394935709599</v>
      </c>
      <c r="H82" s="11">
        <v>4007.3082236382702</v>
      </c>
      <c r="I82" s="11">
        <v>3767.40396690135</v>
      </c>
      <c r="J82" s="11">
        <v>3665.3116633801601</v>
      </c>
      <c r="K82" s="11">
        <v>4813.8926513061497</v>
      </c>
    </row>
    <row r="83" spans="1:11" x14ac:dyDescent="0.35">
      <c r="A83" s="45">
        <v>20000</v>
      </c>
      <c r="B83" s="45"/>
      <c r="C83" s="11">
        <v>6658.3694160289997</v>
      </c>
      <c r="D83" s="11">
        <v>6698.8570379320299</v>
      </c>
      <c r="E83" s="11">
        <v>6960.5557880079596</v>
      </c>
      <c r="F83" s="11">
        <v>7128.4184558362604</v>
      </c>
      <c r="G83" s="11">
        <v>6803.8969962666597</v>
      </c>
      <c r="H83" s="11">
        <v>5301.1704932654202</v>
      </c>
      <c r="I83" s="11">
        <v>4684.9175607767302</v>
      </c>
      <c r="J83" s="11">
        <v>4807.6121700899403</v>
      </c>
      <c r="K83" s="11">
        <v>6800.9999734461198</v>
      </c>
    </row>
    <row r="84" spans="1:11" x14ac:dyDescent="0.35">
      <c r="A84" s="45">
        <v>50000</v>
      </c>
      <c r="B84" s="45"/>
      <c r="C84" s="11">
        <v>10418.532824752499</v>
      </c>
      <c r="D84" s="11">
        <v>10460.6985514059</v>
      </c>
      <c r="E84" s="11">
        <v>10834.9088506804</v>
      </c>
      <c r="F84" s="11">
        <v>10666.6431309247</v>
      </c>
      <c r="G84" s="11">
        <v>10445.638598568101</v>
      </c>
      <c r="H84" s="11">
        <v>6407.7073795305296</v>
      </c>
      <c r="I84" s="11">
        <v>2419.28102549906</v>
      </c>
      <c r="J84" s="11">
        <v>5507.8116703570204</v>
      </c>
      <c r="K84" s="11">
        <v>10719.297699788</v>
      </c>
    </row>
    <row r="85" spans="1:11" x14ac:dyDescent="0.35">
      <c r="A85" s="45">
        <v>100000</v>
      </c>
      <c r="B85" s="45"/>
      <c r="C85" s="11">
        <v>14477.871702832401</v>
      </c>
      <c r="D85" s="11">
        <v>14476.779643961499</v>
      </c>
      <c r="E85" s="11">
        <v>14913.631539870001</v>
      </c>
      <c r="F85" s="11">
        <v>13556.192027806699</v>
      </c>
      <c r="G85" s="11">
        <v>14005.4333898803</v>
      </c>
      <c r="H85" s="11" t="s">
        <v>189</v>
      </c>
      <c r="I85" s="11" t="s">
        <v>189</v>
      </c>
      <c r="J85" s="11" t="s">
        <v>189</v>
      </c>
      <c r="K85" s="11">
        <v>15080.1235649705</v>
      </c>
    </row>
    <row r="86" spans="1:11" x14ac:dyDescent="0.35">
      <c r="A86" s="45">
        <v>200000</v>
      </c>
      <c r="B86" s="45"/>
      <c r="C86" s="11">
        <v>19725.869731241899</v>
      </c>
      <c r="D86" s="11">
        <v>19540.530691448501</v>
      </c>
      <c r="E86" s="11">
        <v>19891.046233933699</v>
      </c>
      <c r="F86" s="11">
        <v>13870.971426278</v>
      </c>
      <c r="G86" s="11">
        <v>17436.2283987991</v>
      </c>
      <c r="H86" s="11" t="s">
        <v>189</v>
      </c>
      <c r="I86" s="11" t="s">
        <v>189</v>
      </c>
      <c r="J86" s="11" t="s">
        <v>189</v>
      </c>
      <c r="K86" s="11">
        <v>21097.798691998702</v>
      </c>
    </row>
    <row r="87" spans="1:11" x14ac:dyDescent="0.35">
      <c r="A87" s="45">
        <v>500000</v>
      </c>
      <c r="B87" s="45"/>
      <c r="C87" s="11">
        <v>27330.712227903001</v>
      </c>
      <c r="D87" s="11">
        <v>25995.583549499599</v>
      </c>
      <c r="E87" s="11">
        <v>24873.7752443276</v>
      </c>
      <c r="F87" s="11" t="s">
        <v>189</v>
      </c>
      <c r="G87" s="11">
        <v>9896.3701009652596</v>
      </c>
      <c r="H87" s="11" t="s">
        <v>189</v>
      </c>
      <c r="I87" s="11" t="s">
        <v>189</v>
      </c>
      <c r="J87" s="11" t="s">
        <v>189</v>
      </c>
      <c r="K87" s="11">
        <v>32253.859595804701</v>
      </c>
    </row>
    <row r="88" spans="1:11" x14ac:dyDescent="0.35">
      <c r="A88" s="45">
        <v>800000</v>
      </c>
      <c r="B88" s="45"/>
      <c r="C88" s="11">
        <v>28876.587613742398</v>
      </c>
      <c r="D88" s="11">
        <v>25184.369086516599</v>
      </c>
      <c r="E88" s="11">
        <v>19962.697222840801</v>
      </c>
      <c r="F88" s="11" t="s">
        <v>189</v>
      </c>
      <c r="G88" s="11" t="s">
        <v>189</v>
      </c>
      <c r="H88" s="11" t="s">
        <v>189</v>
      </c>
      <c r="I88" s="11" t="s">
        <v>189</v>
      </c>
      <c r="J88" s="11" t="s">
        <v>189</v>
      </c>
      <c r="K88" s="11">
        <v>39348.372507092303</v>
      </c>
    </row>
    <row r="89" spans="1:11" x14ac:dyDescent="0.35">
      <c r="A89" s="45">
        <v>1000000</v>
      </c>
      <c r="B89" s="45"/>
      <c r="C89" s="11">
        <v>27209.654292371601</v>
      </c>
      <c r="D89" s="11">
        <v>20510.977003483302</v>
      </c>
      <c r="E89" s="11">
        <v>2181.57440484782</v>
      </c>
      <c r="F89" s="11" t="s">
        <v>189</v>
      </c>
      <c r="G89" s="11" t="s">
        <v>189</v>
      </c>
      <c r="H89" s="11" t="s">
        <v>189</v>
      </c>
      <c r="I89" s="11" t="s">
        <v>189</v>
      </c>
      <c r="J89" s="11" t="s">
        <v>189</v>
      </c>
      <c r="K89" s="11">
        <v>42882.643484464803</v>
      </c>
    </row>
    <row r="90" spans="1:11" x14ac:dyDescent="0.35">
      <c r="A90" s="45">
        <v>1500000</v>
      </c>
      <c r="B90" s="45"/>
      <c r="C90" s="11" t="s">
        <v>189</v>
      </c>
      <c r="D90" s="11" t="s">
        <v>189</v>
      </c>
      <c r="E90" s="11" t="s">
        <v>189</v>
      </c>
      <c r="F90" s="11" t="s">
        <v>189</v>
      </c>
      <c r="G90" s="11" t="s">
        <v>189</v>
      </c>
      <c r="H90" s="11" t="s">
        <v>189</v>
      </c>
      <c r="I90" s="11" t="s">
        <v>189</v>
      </c>
      <c r="J90" s="11" t="s">
        <v>189</v>
      </c>
      <c r="K90" s="11">
        <v>48942.727397618597</v>
      </c>
    </row>
    <row r="91" spans="1:11" x14ac:dyDescent="0.35">
      <c r="A91" s="45">
        <v>2000000</v>
      </c>
      <c r="B91" s="45"/>
      <c r="C91" s="11" t="s">
        <v>189</v>
      </c>
      <c r="D91" s="11" t="s">
        <v>189</v>
      </c>
      <c r="E91" s="11" t="s">
        <v>189</v>
      </c>
      <c r="F91" s="11" t="s">
        <v>189</v>
      </c>
      <c r="G91" s="11" t="s">
        <v>189</v>
      </c>
      <c r="H91" s="11" t="s">
        <v>189</v>
      </c>
      <c r="I91" s="11" t="s">
        <v>189</v>
      </c>
      <c r="J91" s="11" t="s">
        <v>189</v>
      </c>
      <c r="K91" s="11">
        <v>52061.986861354402</v>
      </c>
    </row>
    <row r="92" spans="1:11" x14ac:dyDescent="0.35">
      <c r="A92" s="1" t="s">
        <v>200</v>
      </c>
    </row>
    <row r="94" spans="1:11" x14ac:dyDescent="0.35">
      <c r="A94" s="86" t="s">
        <v>207</v>
      </c>
      <c r="B94" s="86"/>
      <c r="C94" s="86"/>
      <c r="D94" s="86"/>
      <c r="E94" s="86"/>
      <c r="F94" s="86"/>
      <c r="G94" s="86"/>
      <c r="H94" s="86"/>
      <c r="I94" s="86"/>
      <c r="J94" s="86"/>
      <c r="K94" s="86"/>
    </row>
    <row r="95" spans="1:11" x14ac:dyDescent="0.35">
      <c r="A95" s="27" t="s">
        <v>202</v>
      </c>
      <c r="B95" s="27"/>
      <c r="C95" s="46" t="s">
        <v>191</v>
      </c>
      <c r="D95" s="46" t="s">
        <v>192</v>
      </c>
      <c r="E95" s="46" t="s">
        <v>193</v>
      </c>
      <c r="F95" s="46" t="s">
        <v>194</v>
      </c>
      <c r="G95" s="46" t="s">
        <v>195</v>
      </c>
      <c r="H95" s="46" t="s">
        <v>196</v>
      </c>
      <c r="I95" s="46" t="s">
        <v>197</v>
      </c>
      <c r="J95" s="46" t="s">
        <v>198</v>
      </c>
      <c r="K95" s="46" t="s">
        <v>199</v>
      </c>
    </row>
    <row r="96" spans="1:11" x14ac:dyDescent="0.35">
      <c r="A96" s="45" t="s">
        <v>203</v>
      </c>
      <c r="B96" s="45"/>
      <c r="C96" s="11">
        <v>8933.8699071596493</v>
      </c>
      <c r="D96" s="11">
        <v>9059.0568378258995</v>
      </c>
      <c r="E96" s="11">
        <v>9791.4586642176091</v>
      </c>
      <c r="F96" s="11">
        <v>10483.6414284413</v>
      </c>
      <c r="G96" s="11">
        <v>9446.4000218211004</v>
      </c>
      <c r="H96" s="11">
        <v>6679.0713069493004</v>
      </c>
      <c r="I96" s="11">
        <v>6145.8693794783903</v>
      </c>
      <c r="J96" s="11">
        <v>5691.71085151843</v>
      </c>
      <c r="K96" s="11">
        <v>9271.9270693940507</v>
      </c>
    </row>
    <row r="97" spans="1:11" x14ac:dyDescent="0.35">
      <c r="A97" s="45" t="s">
        <v>204</v>
      </c>
      <c r="B97" s="45"/>
      <c r="C97" s="11">
        <v>2243.9239596575999</v>
      </c>
      <c r="D97" s="11">
        <v>2277.44731402348</v>
      </c>
      <c r="E97" s="11">
        <v>2465.9903291041801</v>
      </c>
      <c r="F97" s="11">
        <v>2689.0002742045699</v>
      </c>
      <c r="G97" s="11">
        <v>2392.1318687006301</v>
      </c>
      <c r="H97" s="11">
        <v>1761.97733081294</v>
      </c>
      <c r="I97" s="11">
        <v>1683.35408722185</v>
      </c>
      <c r="J97" s="11">
        <v>1495.36447176601</v>
      </c>
      <c r="K97" s="11">
        <v>2321.6935412081302</v>
      </c>
    </row>
    <row r="99" spans="1:11" x14ac:dyDescent="0.35">
      <c r="A99" s="1" t="s">
        <v>25</v>
      </c>
    </row>
    <row r="100" spans="1:11" x14ac:dyDescent="0.35">
      <c r="A100" s="1" t="s">
        <v>26</v>
      </c>
    </row>
    <row r="102" spans="1:11" hidden="1" x14ac:dyDescent="0.35">
      <c r="C102" s="1" t="s">
        <v>208</v>
      </c>
      <c r="D102" s="1" t="s">
        <v>209</v>
      </c>
    </row>
    <row r="103" spans="1:11" hidden="1" x14ac:dyDescent="0.35">
      <c r="A103" s="8" t="s">
        <v>210</v>
      </c>
      <c r="B103" s="8"/>
      <c r="C103" s="7">
        <v>10991.7081307102</v>
      </c>
      <c r="D103" s="7">
        <v>9271.9270693940507</v>
      </c>
    </row>
    <row r="104" spans="1:11" hidden="1" x14ac:dyDescent="0.35">
      <c r="A104" s="9" t="s">
        <v>211</v>
      </c>
      <c r="B104" s="9"/>
      <c r="C104" s="7">
        <v>2749.5446272244999</v>
      </c>
      <c r="D104" s="7">
        <v>2321.6935412081302</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E102"/>
  <sheetViews>
    <sheetView topLeftCell="A34" workbookViewId="0">
      <selection activeCell="A62" sqref="A62"/>
    </sheetView>
  </sheetViews>
  <sheetFormatPr defaultColWidth="8.81640625" defaultRowHeight="14.5" x14ac:dyDescent="0.35"/>
  <cols>
    <col min="1" max="1" width="136.54296875" style="1" customWidth="1"/>
    <col min="2" max="16384" width="8.81640625" style="1"/>
  </cols>
  <sheetData>
    <row r="1" spans="1:2" x14ac:dyDescent="0.35">
      <c r="A1" s="20"/>
    </row>
    <row r="2" spans="1:2" x14ac:dyDescent="0.35">
      <c r="A2" s="20"/>
    </row>
    <row r="3" spans="1:2" x14ac:dyDescent="0.35">
      <c r="A3" s="20"/>
    </row>
    <row r="4" spans="1:2" x14ac:dyDescent="0.35">
      <c r="A4" s="20"/>
    </row>
    <row r="5" spans="1:2" x14ac:dyDescent="0.35">
      <c r="A5" s="20"/>
    </row>
    <row r="6" spans="1:2" x14ac:dyDescent="0.35">
      <c r="A6" s="20"/>
    </row>
    <row r="7" spans="1:2" x14ac:dyDescent="0.35">
      <c r="A7" s="20"/>
    </row>
    <row r="8" spans="1:2" x14ac:dyDescent="0.35">
      <c r="A8" s="21" t="s">
        <v>288</v>
      </c>
    </row>
    <row r="9" spans="1:2" x14ac:dyDescent="0.35">
      <c r="A9" s="20" t="s">
        <v>289</v>
      </c>
    </row>
    <row r="10" spans="1:2" x14ac:dyDescent="0.35">
      <c r="A10" s="20" t="s">
        <v>294</v>
      </c>
      <c r="B10" s="10"/>
    </row>
    <row r="11" spans="1:2" x14ac:dyDescent="0.35">
      <c r="A11" s="20" t="s">
        <v>212</v>
      </c>
      <c r="B11" s="2"/>
    </row>
    <row r="12" spans="1:2" ht="15" thickBot="1" x14ac:dyDescent="0.4">
      <c r="A12" s="47"/>
      <c r="B12" s="2"/>
    </row>
    <row r="13" spans="1:2" ht="42.75" customHeight="1" x14ac:dyDescent="0.35">
      <c r="A13" s="66" t="s">
        <v>213</v>
      </c>
    </row>
    <row r="14" spans="1:2" x14ac:dyDescent="0.35">
      <c r="A14" s="67"/>
    </row>
    <row r="15" spans="1:2" x14ac:dyDescent="0.35">
      <c r="A15" s="68" t="s">
        <v>208</v>
      </c>
    </row>
    <row r="16" spans="1:2" ht="29" x14ac:dyDescent="0.35">
      <c r="A16" s="69" t="s">
        <v>239</v>
      </c>
    </row>
    <row r="17" spans="1:1" x14ac:dyDescent="0.35">
      <c r="A17" s="67"/>
    </row>
    <row r="18" spans="1:1" x14ac:dyDescent="0.35">
      <c r="A18" s="68" t="s">
        <v>214</v>
      </c>
    </row>
    <row r="19" spans="1:1" ht="43.5" x14ac:dyDescent="0.35">
      <c r="A19" s="69" t="s">
        <v>240</v>
      </c>
    </row>
    <row r="20" spans="1:1" x14ac:dyDescent="0.35">
      <c r="A20" s="67"/>
    </row>
    <row r="21" spans="1:1" x14ac:dyDescent="0.35">
      <c r="A21" s="68" t="s">
        <v>215</v>
      </c>
    </row>
    <row r="22" spans="1:1" ht="58" x14ac:dyDescent="0.35">
      <c r="A22" s="69" t="s">
        <v>241</v>
      </c>
    </row>
    <row r="23" spans="1:1" x14ac:dyDescent="0.35">
      <c r="A23" s="69"/>
    </row>
    <row r="24" spans="1:1" x14ac:dyDescent="0.35">
      <c r="A24" s="68" t="s">
        <v>38</v>
      </c>
    </row>
    <row r="25" spans="1:1" ht="29" x14ac:dyDescent="0.35">
      <c r="A25" s="69" t="s">
        <v>242</v>
      </c>
    </row>
    <row r="26" spans="1:1" x14ac:dyDescent="0.35">
      <c r="A26" s="67"/>
    </row>
    <row r="27" spans="1:1" x14ac:dyDescent="0.35">
      <c r="A27" s="68" t="s">
        <v>216</v>
      </c>
    </row>
    <row r="28" spans="1:1" ht="72.5" x14ac:dyDescent="0.35">
      <c r="A28" s="69" t="s">
        <v>243</v>
      </c>
    </row>
    <row r="29" spans="1:1" x14ac:dyDescent="0.35">
      <c r="A29" s="69"/>
    </row>
    <row r="30" spans="1:1" s="5" customFormat="1" x14ac:dyDescent="0.35">
      <c r="A30" s="70" t="s">
        <v>34</v>
      </c>
    </row>
    <row r="31" spans="1:1" s="5" customFormat="1" ht="58" x14ac:dyDescent="0.35">
      <c r="A31" s="71" t="s">
        <v>244</v>
      </c>
    </row>
    <row r="32" spans="1:1" x14ac:dyDescent="0.35">
      <c r="A32" s="67"/>
    </row>
    <row r="33" spans="1:5" x14ac:dyDescent="0.35">
      <c r="A33" s="68" t="s">
        <v>217</v>
      </c>
    </row>
    <row r="34" spans="1:5" ht="58" x14ac:dyDescent="0.35">
      <c r="A34" s="69" t="s">
        <v>245</v>
      </c>
    </row>
    <row r="35" spans="1:5" s="5" customFormat="1" x14ac:dyDescent="0.35">
      <c r="A35" s="71"/>
    </row>
    <row r="36" spans="1:5" s="5" customFormat="1" x14ac:dyDescent="0.35">
      <c r="A36" s="70" t="s">
        <v>246</v>
      </c>
    </row>
    <row r="37" spans="1:5" s="5" customFormat="1" x14ac:dyDescent="0.35">
      <c r="A37" s="71" t="s">
        <v>247</v>
      </c>
    </row>
    <row r="38" spans="1:5" x14ac:dyDescent="0.35">
      <c r="A38" s="67"/>
    </row>
    <row r="39" spans="1:5" x14ac:dyDescent="0.35">
      <c r="A39" s="68" t="s">
        <v>219</v>
      </c>
    </row>
    <row r="40" spans="1:5" ht="32.25" customHeight="1" x14ac:dyDescent="0.35">
      <c r="A40" s="69" t="s">
        <v>248</v>
      </c>
    </row>
    <row r="41" spans="1:5" ht="53.25" customHeight="1" x14ac:dyDescent="0.35">
      <c r="A41" s="69" t="s">
        <v>249</v>
      </c>
    </row>
    <row r="42" spans="1:5" x14ac:dyDescent="0.35">
      <c r="A42" s="67"/>
    </row>
    <row r="43" spans="1:5" x14ac:dyDescent="0.35">
      <c r="A43" s="68" t="s">
        <v>220</v>
      </c>
    </row>
    <row r="44" spans="1:5" x14ac:dyDescent="0.35">
      <c r="A44" s="69" t="s">
        <v>250</v>
      </c>
      <c r="E44" s="65"/>
    </row>
    <row r="45" spans="1:5" x14ac:dyDescent="0.35">
      <c r="A45" s="67"/>
    </row>
    <row r="46" spans="1:5" x14ac:dyDescent="0.35">
      <c r="A46" s="68" t="s">
        <v>221</v>
      </c>
    </row>
    <row r="47" spans="1:5" ht="29" x14ac:dyDescent="0.35">
      <c r="A47" s="69" t="s">
        <v>251</v>
      </c>
    </row>
    <row r="48" spans="1:5" x14ac:dyDescent="0.35">
      <c r="A48" s="67"/>
    </row>
    <row r="49" spans="1:1" x14ac:dyDescent="0.35">
      <c r="A49" s="68" t="s">
        <v>222</v>
      </c>
    </row>
    <row r="50" spans="1:1" ht="29" x14ac:dyDescent="0.35">
      <c r="A50" s="69" t="s">
        <v>252</v>
      </c>
    </row>
    <row r="51" spans="1:1" x14ac:dyDescent="0.35">
      <c r="A51" s="67"/>
    </row>
    <row r="52" spans="1:1" x14ac:dyDescent="0.35">
      <c r="A52" s="68" t="s">
        <v>223</v>
      </c>
    </row>
    <row r="53" spans="1:1" ht="29" x14ac:dyDescent="0.35">
      <c r="A53" s="69" t="s">
        <v>253</v>
      </c>
    </row>
    <row r="54" spans="1:1" x14ac:dyDescent="0.35">
      <c r="A54" s="67"/>
    </row>
    <row r="55" spans="1:1" x14ac:dyDescent="0.35">
      <c r="A55" s="68" t="s">
        <v>254</v>
      </c>
    </row>
    <row r="56" spans="1:1" ht="101.5" x14ac:dyDescent="0.35">
      <c r="A56" s="71" t="s">
        <v>255</v>
      </c>
    </row>
    <row r="57" spans="1:1" x14ac:dyDescent="0.35">
      <c r="A57" s="67"/>
    </row>
    <row r="58" spans="1:1" x14ac:dyDescent="0.35">
      <c r="A58" s="68" t="s">
        <v>256</v>
      </c>
    </row>
    <row r="59" spans="1:1" ht="43.5" x14ac:dyDescent="0.35">
      <c r="A59" s="72" t="s">
        <v>257</v>
      </c>
    </row>
    <row r="60" spans="1:1" x14ac:dyDescent="0.35">
      <c r="A60" s="72"/>
    </row>
    <row r="61" spans="1:1" s="5" customFormat="1" x14ac:dyDescent="0.35">
      <c r="A61" s="70" t="s">
        <v>258</v>
      </c>
    </row>
    <row r="62" spans="1:1" s="5" customFormat="1" ht="43.5" x14ac:dyDescent="0.35">
      <c r="A62" s="71" t="s">
        <v>259</v>
      </c>
    </row>
    <row r="63" spans="1:1" x14ac:dyDescent="0.35">
      <c r="A63" s="69"/>
    </row>
    <row r="64" spans="1:1" x14ac:dyDescent="0.35">
      <c r="A64" s="68" t="s">
        <v>224</v>
      </c>
    </row>
    <row r="65" spans="1:1" x14ac:dyDescent="0.35">
      <c r="A65" s="69" t="s">
        <v>225</v>
      </c>
    </row>
    <row r="66" spans="1:1" x14ac:dyDescent="0.35">
      <c r="A66" s="67"/>
    </row>
    <row r="67" spans="1:1" x14ac:dyDescent="0.35">
      <c r="A67" s="68" t="s">
        <v>226</v>
      </c>
    </row>
    <row r="68" spans="1:1" ht="58" x14ac:dyDescent="0.35">
      <c r="A68" s="71" t="s">
        <v>260</v>
      </c>
    </row>
    <row r="69" spans="1:1" x14ac:dyDescent="0.35">
      <c r="A69" s="67"/>
    </row>
    <row r="70" spans="1:1" x14ac:dyDescent="0.35">
      <c r="A70" s="68" t="s">
        <v>227</v>
      </c>
    </row>
    <row r="71" spans="1:1" ht="58" x14ac:dyDescent="0.35">
      <c r="A71" s="71" t="s">
        <v>261</v>
      </c>
    </row>
    <row r="72" spans="1:1" s="5" customFormat="1" x14ac:dyDescent="0.35">
      <c r="A72" s="71"/>
    </row>
    <row r="73" spans="1:1" s="5" customFormat="1" x14ac:dyDescent="0.35">
      <c r="A73" s="70" t="s">
        <v>33</v>
      </c>
    </row>
    <row r="74" spans="1:1" s="5" customFormat="1" x14ac:dyDescent="0.35">
      <c r="A74" s="71" t="s">
        <v>262</v>
      </c>
    </row>
    <row r="75" spans="1:1" x14ac:dyDescent="0.35">
      <c r="A75" s="67"/>
    </row>
    <row r="76" spans="1:1" x14ac:dyDescent="0.35">
      <c r="A76" s="68" t="s">
        <v>228</v>
      </c>
    </row>
    <row r="77" spans="1:1" ht="43.5" x14ac:dyDescent="0.35">
      <c r="A77" s="69" t="s">
        <v>263</v>
      </c>
    </row>
    <row r="78" spans="1:1" x14ac:dyDescent="0.35">
      <c r="A78" s="67"/>
    </row>
    <row r="79" spans="1:1" x14ac:dyDescent="0.35">
      <c r="A79" s="68" t="s">
        <v>229</v>
      </c>
    </row>
    <row r="80" spans="1:1" ht="29" x14ac:dyDescent="0.35">
      <c r="A80" s="69" t="s">
        <v>264</v>
      </c>
    </row>
    <row r="81" spans="1:1" x14ac:dyDescent="0.35">
      <c r="A81" s="67"/>
    </row>
    <row r="82" spans="1:1" x14ac:dyDescent="0.35">
      <c r="A82" s="68" t="s">
        <v>230</v>
      </c>
    </row>
    <row r="83" spans="1:1" ht="29" x14ac:dyDescent="0.35">
      <c r="A83" s="71" t="s">
        <v>265</v>
      </c>
    </row>
    <row r="84" spans="1:1" ht="54" customHeight="1" x14ac:dyDescent="0.35">
      <c r="A84" s="71" t="s">
        <v>266</v>
      </c>
    </row>
    <row r="85" spans="1:1" ht="49.5" customHeight="1" x14ac:dyDescent="0.35">
      <c r="A85" s="71" t="s">
        <v>267</v>
      </c>
    </row>
    <row r="86" spans="1:1" x14ac:dyDescent="0.35">
      <c r="A86" s="67"/>
    </row>
    <row r="87" spans="1:1" x14ac:dyDescent="0.35">
      <c r="A87" s="68" t="s">
        <v>218</v>
      </c>
    </row>
    <row r="88" spans="1:1" ht="72.5" x14ac:dyDescent="0.35">
      <c r="A88" s="69" t="s">
        <v>269</v>
      </c>
    </row>
    <row r="89" spans="1:1" ht="53.25" customHeight="1" x14ac:dyDescent="0.35">
      <c r="A89" s="73" t="s">
        <v>268</v>
      </c>
    </row>
    <row r="90" spans="1:1" x14ac:dyDescent="0.35">
      <c r="A90" s="67"/>
    </row>
    <row r="91" spans="1:1" x14ac:dyDescent="0.35">
      <c r="A91" s="68" t="s">
        <v>231</v>
      </c>
    </row>
    <row r="92" spans="1:1" ht="29" x14ac:dyDescent="0.35">
      <c r="A92" s="69" t="s">
        <v>232</v>
      </c>
    </row>
    <row r="93" spans="1:1" ht="43.5" x14ac:dyDescent="0.35">
      <c r="A93" s="69" t="s">
        <v>273</v>
      </c>
    </row>
    <row r="94" spans="1:1" x14ac:dyDescent="0.35">
      <c r="A94" s="74"/>
    </row>
    <row r="95" spans="1:1" x14ac:dyDescent="0.35">
      <c r="A95" s="68" t="s">
        <v>233</v>
      </c>
    </row>
    <row r="96" spans="1:1" ht="29" x14ac:dyDescent="0.35">
      <c r="A96" s="69" t="s">
        <v>234</v>
      </c>
    </row>
    <row r="97" spans="1:1" ht="29" x14ac:dyDescent="0.35">
      <c r="A97" s="69" t="s">
        <v>270</v>
      </c>
    </row>
    <row r="98" spans="1:1" x14ac:dyDescent="0.35">
      <c r="A98" s="69"/>
    </row>
    <row r="99" spans="1:1" s="5" customFormat="1" x14ac:dyDescent="0.35">
      <c r="A99" s="70" t="s">
        <v>271</v>
      </c>
    </row>
    <row r="100" spans="1:1" s="5" customFormat="1" ht="43.5" x14ac:dyDescent="0.35">
      <c r="A100" s="71" t="s">
        <v>272</v>
      </c>
    </row>
    <row r="101" spans="1:1" x14ac:dyDescent="0.35">
      <c r="A101" s="69"/>
    </row>
    <row r="102" spans="1:1" ht="15" thickBot="1" x14ac:dyDescent="0.4">
      <c r="A102" s="15"/>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1" manualBreakCount="1">
    <brk id="74"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4d7ccd3-1925-4dbb-bb1e-f80caaa27a9a">
      <Terms xmlns="http://schemas.microsoft.com/office/infopath/2007/PartnerControls"/>
    </lcf76f155ced4ddcb4097134ff3c332f>
    <TaxCatchAll xmlns="d48a78ae-0ca2-4919-9af0-f534521ea55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323958B86EB8144BA2D0B1A97AD1BBD" ma:contentTypeVersion="16" ma:contentTypeDescription="Create a new document." ma:contentTypeScope="" ma:versionID="bd3a7ea874fe59c2ce73c55c6ddd50ec">
  <xsd:schema xmlns:xsd="http://www.w3.org/2001/XMLSchema" xmlns:xs="http://www.w3.org/2001/XMLSchema" xmlns:p="http://schemas.microsoft.com/office/2006/metadata/properties" xmlns:ns2="24d7ccd3-1925-4dbb-bb1e-f80caaa27a9a" xmlns:ns3="d48a78ae-0ca2-4919-9af0-f534521ea555" targetNamespace="http://schemas.microsoft.com/office/2006/metadata/properties" ma:root="true" ma:fieldsID="cd12bbe0a16c348b286db512970d1fa1" ns2:_="" ns3:_="">
    <xsd:import namespace="24d7ccd3-1925-4dbb-bb1e-f80caaa27a9a"/>
    <xsd:import namespace="d48a78ae-0ca2-4919-9af0-f534521ea5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d7ccd3-1925-4dbb-bb1e-f80caaa27a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48a78ae-0ca2-4919-9af0-f534521ea55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ae6bf86-d7ea-4b2f-ab61-84e15fc8403b}" ma:internalName="TaxCatchAll" ma:showField="CatchAllData" ma:web="d48a78ae-0ca2-4919-9af0-f534521ea555">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DA8DBC-8A5F-410C-89B4-84BEDA1109FC}">
  <ds:schemaRefs>
    <ds:schemaRef ds:uri="http://schemas.microsoft.com/office/2006/metadata/properties"/>
    <ds:schemaRef ds:uri="http://schemas.microsoft.com/office/infopath/2007/PartnerControls"/>
    <ds:schemaRef ds:uri="24d7ccd3-1925-4dbb-bb1e-f80caaa27a9a"/>
    <ds:schemaRef ds:uri="d48a78ae-0ca2-4919-9af0-f534521ea555"/>
  </ds:schemaRefs>
</ds:datastoreItem>
</file>

<file path=customXml/itemProps2.xml><?xml version="1.0" encoding="utf-8"?>
<ds:datastoreItem xmlns:ds="http://schemas.openxmlformats.org/officeDocument/2006/customXml" ds:itemID="{13B3AAAB-3E7E-49E6-83D6-1FB619AD65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d7ccd3-1925-4dbb-bb1e-f80caaa27a9a"/>
    <ds:schemaRef ds:uri="d48a78ae-0ca2-4919-9af0-f534521ea5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41CA6BC-EC33-44A1-BACB-A55B4AFBD2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19</vt:i4>
      </vt:variant>
    </vt:vector>
  </HeadingPairs>
  <TitlesOfParts>
    <vt:vector size="31" baseType="lpstr">
      <vt:lpstr>Index</vt:lpstr>
      <vt:lpstr>1</vt:lpstr>
      <vt:lpstr>2</vt:lpstr>
      <vt:lpstr>Sheet2</vt:lpstr>
      <vt:lpstr>3</vt:lpstr>
      <vt:lpstr>4</vt:lpstr>
      <vt:lpstr>4.1</vt:lpstr>
      <vt:lpstr>5</vt:lpstr>
      <vt:lpstr>6</vt:lpstr>
      <vt:lpstr>7</vt:lpstr>
      <vt:lpstr>8</vt:lpstr>
      <vt:lpstr>9</vt:lpstr>
      <vt:lpstr>'1'!Print_Area</vt:lpstr>
      <vt:lpstr>'2'!Print_Area</vt:lpstr>
      <vt:lpstr>'3'!Print_Area</vt:lpstr>
      <vt:lpstr>'4'!Print_Area</vt:lpstr>
      <vt:lpstr>'5'!Print_Area</vt:lpstr>
      <vt:lpstr>'6'!Print_Area</vt:lpstr>
      <vt:lpstr>'7'!Print_Area</vt:lpstr>
      <vt:lpstr>'8'!Print_Area</vt:lpstr>
      <vt:lpstr>'9'!Print_Area</vt:lpstr>
      <vt:lpstr>Index!Print_Area</vt:lpstr>
      <vt:lpstr>'1'!Print_Titles</vt:lpstr>
      <vt:lpstr>'2'!Print_Titles</vt:lpstr>
      <vt:lpstr>'3'!Print_Titles</vt:lpstr>
      <vt:lpstr>'4'!Print_Titles</vt:lpstr>
      <vt:lpstr>'5'!Print_Titles</vt:lpstr>
      <vt:lpstr>'6'!Print_Titles</vt:lpstr>
      <vt:lpstr>'7'!Print_Titles</vt:lpstr>
      <vt:lpstr>'8'!Print_Titles</vt:lpstr>
      <vt:lpstr>'9'!Print_Titles</vt:lpstr>
    </vt:vector>
  </TitlesOfParts>
  <Manager/>
  <Company>Australian Sports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Desmond Chong</cp:lastModifiedBy>
  <cp:revision/>
  <dcterms:created xsi:type="dcterms:W3CDTF">2016-11-03T05:30:22Z</dcterms:created>
  <dcterms:modified xsi:type="dcterms:W3CDTF">2026-10-11T15:15:32Z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0x0101009323958B86EB8144BA2D0B1A97AD1BBD</vt:lpwstr>
  </property>
  <property fmtid="{D5CDD505-2E9C-101B-9397-08002B2CF9AE}" pid="10" name="MediaServiceImageTags">
    <vt:lpwstr/>
  </property>
</Properties>
</file>