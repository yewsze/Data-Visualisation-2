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https://ausport.sharepoint.com/sites/Insights/Shared Documents/AusPlay 2023-ongoing/Data/Reporting/Data tables October 2025/"/>
    </mc:Choice>
  </mc:AlternateContent>
  <xr:revisionPtr revIDLastSave="1" documentId="8_{8F5DF518-0FF8-49C3-92E6-3515BA4BB760}" xr6:coauthVersionLast="47" xr6:coauthVersionMax="47" xr10:uidLastSave="{8CFABAE1-CF89-478A-B2D9-59BF58381A3D}"/>
  <bookViews>
    <workbookView xWindow="195" yWindow="615" windowWidth="28605" windowHeight="15585" tabRatio="567" xr2:uid="{F030423F-ACEE-40CB-B09C-4150B64C96CF}"/>
  </bookViews>
  <sheets>
    <sheet name="Index" sheetId="40" r:id="rId1"/>
    <sheet name="1" sheetId="1" r:id="rId2"/>
    <sheet name="2" sheetId="55" r:id="rId3"/>
    <sheet name="3" sheetId="80" r:id="rId4"/>
    <sheet name="4" sheetId="97" r:id="rId5"/>
    <sheet name="5" sheetId="81" r:id="rId6"/>
    <sheet name="6" sheetId="82" r:id="rId7"/>
    <sheet name="7" sheetId="83" r:id="rId8"/>
    <sheet name="8" sheetId="84" r:id="rId9"/>
    <sheet name="9" sheetId="79" r:id="rId10"/>
    <sheet name="10" sheetId="48" r:id="rId11"/>
    <sheet name="11" sheetId="21" r:id="rId12"/>
    <sheet name="12" sheetId="27" r:id="rId13"/>
    <sheet name="13" sheetId="29" r:id="rId14"/>
    <sheet name="14" sheetId="32" r:id="rId15"/>
    <sheet name="15" sheetId="20" r:id="rId16"/>
    <sheet name="16" sheetId="58" r:id="rId17"/>
    <sheet name="17" sheetId="11" r:id="rId18"/>
    <sheet name="18" sheetId="46" r:id="rId19"/>
    <sheet name="19" sheetId="42" r:id="rId20"/>
    <sheet name="20" sheetId="10" r:id="rId21"/>
    <sheet name="21" sheetId="68" r:id="rId22"/>
    <sheet name="22" sheetId="63" r:id="rId23"/>
    <sheet name="23" sheetId="37" r:id="rId24"/>
    <sheet name="24" sheetId="33" r:id="rId25"/>
    <sheet name="25" sheetId="70" r:id="rId26"/>
    <sheet name="26" sheetId="71" r:id="rId27"/>
    <sheet name="27" sheetId="72" r:id="rId28"/>
    <sheet name="28" sheetId="87" r:id="rId29"/>
    <sheet name="29" sheetId="88" r:id="rId30"/>
    <sheet name="30" sheetId="59" r:id="rId31"/>
    <sheet name="31" sheetId="60" r:id="rId32"/>
    <sheet name="32" sheetId="98" r:id="rId33"/>
    <sheet name="33" sheetId="99" r:id="rId34"/>
    <sheet name="34" sheetId="100" r:id="rId35"/>
    <sheet name="35" sheetId="101" r:id="rId36"/>
    <sheet name="36" sheetId="102" r:id="rId37"/>
    <sheet name="37" sheetId="103" r:id="rId38"/>
    <sheet name="38" sheetId="5" r:id="rId39"/>
    <sheet name="39" sheetId="67" r:id="rId40"/>
  </sheets>
  <definedNames>
    <definedName name="_xlnm.Print_Area" localSheetId="10">'10'!$A$1:$L$53</definedName>
    <definedName name="_xlnm.Print_Area" localSheetId="12">'12'!$A$1:$L$72</definedName>
    <definedName name="_xlnm.Print_Area" localSheetId="14">'14'!$A$1:$F$41</definedName>
    <definedName name="_xlnm.Print_Area" localSheetId="15">'15'!$A$1:$F$70</definedName>
    <definedName name="_xlnm.Print_Area" localSheetId="16">'16'!$A$1:$F$53</definedName>
    <definedName name="_xlnm.Print_Area" localSheetId="17">'17'!$A$1:$M$300</definedName>
    <definedName name="_xlnm.Print_Area" localSheetId="18">'18'!$A$1:$J$300</definedName>
    <definedName name="_xlnm.Print_Area" localSheetId="19">'19'!$A$1:$M$300</definedName>
    <definedName name="_xlnm.Print_Area" localSheetId="20">'20'!$A$1:$H$300</definedName>
    <definedName name="_xlnm.Print_Area" localSheetId="21">'21'!$A$1:$H$300</definedName>
    <definedName name="_xlnm.Print_Area" localSheetId="22">'22'!$A$1:$E$41</definedName>
    <definedName name="_xlnm.Print_Area" localSheetId="23">'23'!$A$1:$E$33</definedName>
    <definedName name="_xlnm.Print_Area" localSheetId="28">'28'!$A$1:$K$65</definedName>
    <definedName name="_xlnm.Print_Area" localSheetId="29">'29'!$A$1:$K$65</definedName>
    <definedName name="_xlnm.Print_Area" localSheetId="34">'34'!$A$1:$L$53</definedName>
    <definedName name="_xlnm.Print_Area" localSheetId="35">'35'!$A$1:$L$30</definedName>
    <definedName name="_xlnm.Print_Area" localSheetId="36">'36'!$A$1:$D$300</definedName>
    <definedName name="_xlnm.Print_Area" localSheetId="37">'37'!$A$1:$D$300</definedName>
    <definedName name="_xlnm.Print_Area" localSheetId="38">'38'!$A$1:$K$100</definedName>
    <definedName name="_xlnm.Print_Area" localSheetId="39">'39'!$A$1:$A$102</definedName>
    <definedName name="_xlnm.Print_Area" localSheetId="4">'4'!$A$1:$S$71</definedName>
    <definedName name="_xlnm.Print_Area" localSheetId="5">'5'!$A$1:$N$71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Index!$A$1:$D$58</definedName>
    <definedName name="_xlnm.Print_Titles" localSheetId="1">'1'!$A:$B,'1'!$1:$12</definedName>
    <definedName name="_xlnm.Print_Titles" localSheetId="11">'11'!$A:$B,'11'!$1:$12</definedName>
    <definedName name="_xlnm.Print_Titles" localSheetId="12">'12'!$A:$B,'12'!$1:$12</definedName>
    <definedName name="_xlnm.Print_Titles" localSheetId="17">'17'!$A:$A,'17'!$1:$14</definedName>
    <definedName name="_xlnm.Print_Titles" localSheetId="18">'18'!$A:$A,'18'!$1:$14</definedName>
    <definedName name="_xlnm.Print_Titles" localSheetId="19">'19'!$A:$A,'19'!$1:$14</definedName>
    <definedName name="_xlnm.Print_Titles" localSheetId="20">'20'!$A:$A,'20'!$1:$14</definedName>
    <definedName name="_xlnm.Print_Titles" localSheetId="21">'21'!$A:$A,'21'!$1:$14</definedName>
    <definedName name="_xlnm.Print_Titles" localSheetId="32">'32'!$A:$B,'32'!$1:$12</definedName>
    <definedName name="_xlnm.Print_Titles" localSheetId="36">'36'!$A:$A,'36'!$1:$14</definedName>
    <definedName name="_xlnm.Print_Titles" localSheetId="37">'37'!$A:$A,'37'!$1:$14</definedName>
    <definedName name="_xlnm.Print_Titles" localSheetId="38">'38'!$1:$11</definedName>
    <definedName name="_xlnm.Print_Titles" localSheetId="39">'39'!$1:$11</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99" l="1"/>
  <c r="B11" i="55"/>
  <c r="A8" i="82" l="1"/>
  <c r="A8" i="55"/>
  <c r="A8" i="84"/>
  <c r="A8" i="48"/>
  <c r="A8" i="32"/>
  <c r="A8" i="58"/>
  <c r="A8" i="37"/>
  <c r="A8" i="60"/>
  <c r="B10" i="55"/>
</calcChain>
</file>

<file path=xl/sharedStrings.xml><?xml version="1.0" encoding="utf-8"?>
<sst xmlns="http://schemas.openxmlformats.org/spreadsheetml/2006/main" count="4666" uniqueCount="585">
  <si>
    <t>AusPlay survey results July 2024 - June 2025</t>
  </si>
  <si>
    <t>Released at:</t>
  </si>
  <si>
    <t>13 November 2025</t>
  </si>
  <si>
    <t>Table name:</t>
  </si>
  <si>
    <t>Index</t>
  </si>
  <si>
    <t>Table number</t>
  </si>
  <si>
    <t>Table name</t>
  </si>
  <si>
    <t>Demographics of participants</t>
  </si>
  <si>
    <t>Demographics of participants (adults)</t>
  </si>
  <si>
    <t>Demographics of participants (children) (organised outside of school hours)</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</si>
  <si>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</si>
  <si>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</si>
  <si>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</si>
  <si>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</si>
  <si>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</si>
  <si>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</si>
  <si>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</si>
  <si>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</si>
  <si>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</si>
  <si>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Use of technology (adults)</t>
  </si>
  <si>
    <t>Motivations for participation (adults)</t>
  </si>
  <si>
    <t>Barriers to participation (adults)</t>
  </si>
  <si>
    <t>Barriers to participation (children)</t>
  </si>
  <si>
    <t>Sport or non-sport related participation (adults)</t>
  </si>
  <si>
    <t>Sport or non-sport related participation (children)</t>
  </si>
  <si>
    <t>Participation by activity (adults)</t>
  </si>
  <si>
    <t>Participation by activity (children)</t>
  </si>
  <si>
    <t>Organised participation by activity (adults)</t>
  </si>
  <si>
    <t>Type of organising entity by activity (adults)</t>
  </si>
  <si>
    <t>Type of organising entity by activity (children)</t>
  </si>
  <si>
    <t>Payment to participate (adults)</t>
  </si>
  <si>
    <t>Payment to participate (children)</t>
  </si>
  <si>
    <t>Non-playing roles (adults)</t>
  </si>
  <si>
    <t>Volunteers in non-playing roles (adults)</t>
  </si>
  <si>
    <t>Volunteers in non-playing roles by activity - top 10 activities (adults)</t>
  </si>
  <si>
    <t>Volunteers in non-playing roles by activity - top roles and top 5 activities (adults)</t>
  </si>
  <si>
    <t>Type of injury (adults)</t>
  </si>
  <si>
    <t>Body part injured (adults)</t>
  </si>
  <si>
    <t>Demographics of non-participants</t>
  </si>
  <si>
    <t>Demographics of non-participants (adults)</t>
  </si>
  <si>
    <t>Demographics of non-participants (children)</t>
  </si>
  <si>
    <t>Year-on-year comparison</t>
  </si>
  <si>
    <t>Demographics of organised participants outside of school hours (children)</t>
  </si>
  <si>
    <t>Frequency of participation by state/territory (adults)</t>
  </si>
  <si>
    <t xml:space="preserve">Frequency of participation by state/territory (children) </t>
  </si>
  <si>
    <t>Organised participation by activity (children)</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</si>
  <si>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</si>
  <si>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</si>
  <si>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</si>
  <si>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</si>
  <si>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</si>
  <si>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</si>
  <si>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</si>
  <si>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</si>
  <si>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</si>
  <si>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</si>
  <si>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</si>
  <si>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</si>
  <si>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</si>
  <si>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</si>
  <si>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t>Total</t>
    </r>
    <r>
      <rPr>
        <b/>
        <vertAlign val="superscript"/>
        <sz val="11"/>
        <color theme="0"/>
        <rFont val="Calibri"/>
        <family val="2"/>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</si>
  <si>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</si>
  <si>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</si>
  <si>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</si>
  <si>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</si>
  <si>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</si>
  <si>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</si>
  <si>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</si>
  <si>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</si>
  <si>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</si>
  <si>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</si>
  <si>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</si>
  <si>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</si>
  <si>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</si>
  <si>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</si>
  <si>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</si>
  <si>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</si>
  <si>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</si>
  <si>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</si>
  <si>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</si>
  <si>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</si>
  <si>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</si>
  <si>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</si>
  <si>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</si>
  <si>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</si>
  <si>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</si>
  <si>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</si>
  <si>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</si>
  <si>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</si>
  <si>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</si>
  <si>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Other</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</si>
  <si>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</si>
  <si>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</si>
  <si>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</si>
  <si>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</si>
  <si>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</si>
  <si>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</si>
  <si>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</si>
  <si>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</si>
  <si>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</si>
  <si>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</si>
  <si>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</si>
  <si>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</si>
  <si>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</si>
  <si>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</si>
  <si>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</si>
  <si>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</si>
  <si>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</si>
  <si>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</si>
  <si>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</si>
  <si>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</si>
  <si>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</si>
  <si>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</si>
  <si>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</si>
  <si>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</si>
  <si>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</si>
  <si>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</si>
  <si>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t xml:space="preserve">NB. Estimated participant numbers have not been rounded but users must remember that they are estimates and are subject to margins of error. Refer to sheet number 38 for margin of error and relative margin of error statistics. </t>
  </si>
  <si>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</si>
  <si>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</si>
  <si>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</si>
  <si>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</si>
  <si>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</si>
  <si>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</si>
  <si>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</si>
  <si>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</si>
  <si>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</si>
  <si>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</si>
  <si>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Aboriginal or Torres Strait Islander origin of parent/guardian interviewed^</t>
  </si>
  <si>
    <t>Language spoken at home by parent/guardian interviewed^</t>
  </si>
  <si>
    <t>NB. Please note that for children 0-14 years, data was collected via the child's parent/guardian for organised participation outside of school hours</t>
  </si>
  <si>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</si>
  <si>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</si>
  <si>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</si>
  <si>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</si>
  <si>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</si>
  <si>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</si>
  <si>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</si>
  <si>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</si>
  <si>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</si>
  <si>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</si>
  <si>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</si>
  <si>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</si>
  <si>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</si>
  <si>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</si>
  <si>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t>All</t>
  </si>
  <si>
    <t xml:space="preserve"> </t>
  </si>
  <si>
    <t>Estimated number of participants</t>
  </si>
  <si>
    <t>Informal participation</t>
  </si>
  <si>
    <t>Organised participation</t>
  </si>
  <si>
    <t>Informally by myself</t>
  </si>
  <si>
    <t>Informally with family and friends</t>
  </si>
  <si>
    <t>Sports club or association</t>
  </si>
  <si>
    <t>Gym/fitness club/sports/
leisure centre</t>
  </si>
  <si>
    <t>Private or commercial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</si>
  <si>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</si>
  <si>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</si>
  <si>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</si>
  <si>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</si>
  <si>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</si>
  <si>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</si>
  <si>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</si>
  <si>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</si>
  <si>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r>
      <t>Total
 organised</t>
    </r>
    <r>
      <rPr>
        <b/>
        <vertAlign val="superscript"/>
        <sz val="11"/>
        <color theme="0"/>
        <rFont val="Calibri"/>
        <family val="2"/>
        <scheme val="minor"/>
      </rPr>
      <t>#</t>
    </r>
  </si>
  <si>
    <t>Individual personal trainer 
or coach</t>
  </si>
  <si>
    <t>Recreation 
club or 
association</t>
  </si>
  <si>
    <t>Public space</t>
  </si>
  <si>
    <t>Home environment</t>
  </si>
  <si>
    <t>Free 
community facilities</t>
  </si>
  <si>
    <t>Sports club or association facilities</t>
  </si>
  <si>
    <t>Private or commercial premises</t>
  </si>
  <si>
    <t>Recreation club 
or association facilities</t>
  </si>
  <si>
    <t>Educational 
institution 
facilities</t>
  </si>
  <si>
    <t>Workplace</t>
  </si>
  <si>
    <t>1+ per year</t>
  </si>
  <si>
    <t>1+ per month</t>
  </si>
  <si>
    <t>1+ per fortnight</t>
  </si>
  <si>
    <t>1+ per week</t>
  </si>
  <si>
    <t>2+ per week</t>
  </si>
  <si>
    <t>3+ per week</t>
  </si>
  <si>
    <t>4+ per week</t>
  </si>
  <si>
    <t>5+ per week</t>
  </si>
  <si>
    <t>6+ per week</t>
  </si>
  <si>
    <t>7+ per week</t>
  </si>
  <si>
    <r>
      <t>All</t>
    </r>
    <r>
      <rPr>
        <vertAlign val="superscript"/>
        <sz val="11"/>
        <color theme="1"/>
        <rFont val="Calibri"/>
        <family val="2"/>
        <scheme val="minor"/>
      </rPr>
      <t>#</t>
    </r>
  </si>
  <si>
    <t>Adult players</t>
  </si>
  <si>
    <t>Type of technology used</t>
  </si>
  <si>
    <t>Apps for music</t>
  </si>
  <si>
    <t>Headphones/
speakers</t>
  </si>
  <si>
    <t>Apps for tracking 
activity or training</t>
  </si>
  <si>
    <t>Wearable technology such as Fitbit, watches, heart rate monitors</t>
  </si>
  <si>
    <t>Apps for maps and 
GPS technology</t>
  </si>
  <si>
    <t>Watching/accompanying  video sessions of physical activities /fitness/ exercise</t>
  </si>
  <si>
    <t>Indoor smart
 trainers or treadmills</t>
  </si>
  <si>
    <t>Apps used during the activity, e.g. scoring</t>
  </si>
  <si>
    <t>Websites (not
 including social media sites) or online tools</t>
  </si>
  <si>
    <t>Bike computers/
speedometer/
odometer</t>
  </si>
  <si>
    <t>Free social media site/page such as Running Mums 
Australia or Urban Rec</t>
  </si>
  <si>
    <t>Motion sensing 
virtual exercise/
activity based 
video games</t>
  </si>
  <si>
    <t>Cameras/Go-pros</t>
  </si>
  <si>
    <t>Online training 
platforms e.g. Zwift, Rouvy, Fulgaz</t>
  </si>
  <si>
    <t>Online programs requiring payment</t>
  </si>
  <si>
    <t>Proportion of participants</t>
  </si>
  <si>
    <t>Estimated number of users</t>
  </si>
  <si>
    <t>NB. Please note that use of technology was collected for adults (15 years and over) only</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</si>
  <si>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</si>
  <si>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</si>
  <si>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</si>
  <si>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</si>
  <si>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</si>
  <si>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</si>
  <si>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</si>
  <si>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</si>
  <si>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</si>
  <si>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</si>
  <si>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</si>
  <si>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</si>
  <si>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</si>
  <si>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</si>
  <si>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</si>
  <si>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</si>
  <si>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</si>
  <si>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</si>
  <si>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</si>
  <si>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</si>
  <si>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</si>
  <si>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</si>
  <si>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</si>
  <si>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</si>
  <si>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</si>
  <si>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</si>
  <si>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</si>
  <si>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</si>
  <si>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</si>
  <si>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</si>
  <si>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</si>
  <si>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</si>
  <si>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</si>
  <si>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</si>
  <si>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</si>
  <si>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</si>
  <si>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</si>
  <si>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</si>
  <si>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</si>
  <si>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</si>
  <si>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</si>
  <si>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</si>
  <si>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</si>
  <si>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</si>
  <si>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</si>
  <si>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Males^</t>
  </si>
  <si>
    <t>Females^</t>
  </si>
  <si>
    <t>Estimated number of non-participants</t>
  </si>
  <si>
    <t xml:space="preserve">NB. This table presents all the barriers presented to respondents in the online AusPlay questionnaire. </t>
  </si>
  <si>
    <t>^ Age group data by gender has not been reported due to sample size</t>
  </si>
  <si>
    <t>Child non-players</t>
  </si>
  <si>
    <t>Wrong age/too old/too young</t>
  </si>
  <si>
    <t>Doesn't like
 physical activity</t>
  </si>
  <si>
    <t>Can't afford it/
can't afford 
transport</t>
  </si>
  <si>
    <t>Already does 
enough</t>
  </si>
  <si>
    <t>Poor health 
or injury</t>
  </si>
  <si>
    <t>No longer
 interested</t>
  </si>
  <si>
    <t>Waiting list</t>
  </si>
  <si>
    <t>Nobody to 
do it with</t>
  </si>
  <si>
    <t>Too competitve</t>
  </si>
  <si>
    <t>Focus on or move 
to a different activity/sport</t>
  </si>
  <si>
    <t>NB. This table presents all the barriers presented to respondents in the online AusPlay questionnaire.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</si>
  <si>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</si>
  <si>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</si>
  <si>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</si>
  <si>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</si>
  <si>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</si>
  <si>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</si>
  <si>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</si>
  <si>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</si>
  <si>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</si>
  <si>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</si>
  <si>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</si>
  <si>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</si>
  <si>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</si>
  <si>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</si>
  <si>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</si>
  <si>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</si>
  <si>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</si>
  <si>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</si>
  <si>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</si>
  <si>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</si>
  <si>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</si>
  <si>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</si>
  <si>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</si>
  <si>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</si>
  <si>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</si>
  <si>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</si>
  <si>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</si>
  <si>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</si>
  <si>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</si>
  <si>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</si>
  <si>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</si>
  <si>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</si>
  <si>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</si>
  <si>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</si>
  <si>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</si>
  <si>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</si>
  <si>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</si>
  <si>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</si>
  <si>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</si>
  <si>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</si>
  <si>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</si>
  <si>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</si>
  <si>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</si>
  <si>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</si>
  <si>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</si>
  <si>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</si>
  <si>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</si>
  <si>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</si>
  <si>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</si>
  <si>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</si>
  <si>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</si>
  <si>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</si>
  <si>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</si>
  <si>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</si>
  <si>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</si>
  <si>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</si>
  <si>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</si>
  <si>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</si>
  <si>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</si>
  <si>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</si>
  <si>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</si>
  <si>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</si>
  <si>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</si>
  <si>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</si>
  <si>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</si>
  <si>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</si>
  <si>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</si>
  <si>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</si>
  <si>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</si>
  <si>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</si>
  <si>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</si>
  <si>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</si>
  <si>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</si>
  <si>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</si>
  <si>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</si>
  <si>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</si>
  <si>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</si>
  <si>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</si>
  <si>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</si>
  <si>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</si>
  <si>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</si>
  <si>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</si>
  <si>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</si>
  <si>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</si>
  <si>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</si>
  <si>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</si>
  <si>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</si>
  <si>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</si>
  <si>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</si>
  <si>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</si>
  <si>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</si>
  <si>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</si>
  <si>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</si>
  <si>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Pickleball/padel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</si>
  <si>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</si>
  <si>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</si>
  <si>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</si>
  <si>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</si>
  <si>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</si>
  <si>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</si>
  <si>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</si>
  <si>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</si>
  <si>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</si>
  <si>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</si>
  <si>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</si>
  <si>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</si>
  <si>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</si>
  <si>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</si>
  <si>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</si>
  <si>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</si>
  <si>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</si>
  <si>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</si>
  <si>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</si>
  <si>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Shooting/field</t>
  </si>
  <si>
    <t>Shooting/range</t>
  </si>
  <si>
    <t>Skate</t>
  </si>
  <si>
    <t>Skeleton</t>
  </si>
  <si>
    <t>Ski &amp; snowboard</t>
  </si>
  <si>
    <t>Skirmish</t>
  </si>
  <si>
    <t>Softball</t>
  </si>
  <si>
    <t>Sport climbing</t>
  </si>
  <si>
    <t>Squash</t>
  </si>
  <si>
    <t>Surfing</t>
  </si>
  <si>
    <t>Swimming</t>
  </si>
  <si>
    <t>Sword fighting</t>
  </si>
  <si>
    <t>Synchronised swimming</t>
  </si>
  <si>
    <t>Table tennis</t>
  </si>
  <si>
    <t>Taekwondo/Taekwon-do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</si>
  <si>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</si>
  <si>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</si>
  <si>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</si>
  <si>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</si>
  <si>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</si>
  <si>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</si>
  <si>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</si>
  <si>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</si>
  <si>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</si>
  <si>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</si>
  <si>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</si>
  <si>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</si>
  <si>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</si>
  <si>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</si>
  <si>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</si>
  <si>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</si>
  <si>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</si>
  <si>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r>
      <t>Total organised</t>
    </r>
    <r>
      <rPr>
        <b/>
        <vertAlign val="superscript"/>
        <sz val="11"/>
        <color theme="0"/>
        <rFont val="Calibri"/>
        <family val="2"/>
        <scheme val="minor"/>
      </rPr>
      <t>#</t>
    </r>
  </si>
  <si>
    <t>Total 
organised</t>
  </si>
  <si>
    <t>Recreation club
 or association</t>
  </si>
  <si>
    <t>Gym/fitness 
club/sports/
leisure centre</t>
  </si>
  <si>
    <t>Private or commercial
business</t>
  </si>
  <si>
    <t>Individual 
personal trainer 
or coach</t>
  </si>
  <si>
    <t>Educational
institution</t>
  </si>
  <si>
    <t>Adult player</t>
  </si>
  <si>
    <t>Proportion^</t>
  </si>
  <si>
    <t>Mean</t>
  </si>
  <si>
    <t>Median</t>
  </si>
  <si>
    <t>^ The proportion of adult participants who paid money to an organisation/venue to participate</t>
  </si>
  <si>
    <t>Child player</t>
  </si>
  <si>
    <t>^ The proportion of participants' parents/guardians and adults who paid money to an organisation/venue to participate</t>
  </si>
  <si>
    <t>Type of non-playing role</t>
  </si>
  <si>
    <r>
      <t>Any non-playing role</t>
    </r>
    <r>
      <rPr>
        <b/>
        <vertAlign val="superscript"/>
        <sz val="11"/>
        <color theme="0"/>
        <rFont val="Calibri"/>
        <family val="2"/>
        <scheme val="minor"/>
      </rPr>
      <t>#</t>
    </r>
  </si>
  <si>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</si>
  <si>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</si>
  <si>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</si>
  <si>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</si>
  <si>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</si>
  <si>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</si>
  <si>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</si>
  <si>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</si>
  <si>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</si>
  <si>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</si>
  <si>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</si>
  <si>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Volunteers^ in non-playing roles (adults)</t>
  </si>
  <si>
    <t>Type of role</t>
  </si>
  <si>
    <r>
      <t>Any volunteer 
role</t>
    </r>
    <r>
      <rPr>
        <b/>
        <vertAlign val="superscript"/>
        <sz val="11"/>
        <color theme="0"/>
        <rFont val="Calibri"/>
        <family val="2"/>
        <scheme val="minor"/>
      </rPr>
      <t>#</t>
    </r>
  </si>
  <si>
    <t>Estimated number of adult volunteers</t>
  </si>
  <si>
    <t>^ Includes adults involved in non-playing roles as a volunteer, or who considered themselves a volunteer even if they received some form of compensation</t>
  </si>
  <si>
    <t>Volunteers^ in non-playing roles by activity - top 10 activities (adults)</t>
  </si>
  <si>
    <t/>
  </si>
  <si>
    <t>15-34</t>
  </si>
  <si>
    <t>35-54</t>
  </si>
  <si>
    <t>55+</t>
  </si>
  <si>
    <t>Volunteers^ in non-playing roles by activity - top roles and top 5 activities (adults)</t>
  </si>
  <si>
    <t>Administrator or committee
member</t>
  </si>
  <si>
    <t>Type of injury (adults)^</t>
  </si>
  <si>
    <t>Type of injury</t>
  </si>
  <si>
    <r>
      <t>Total injured</t>
    </r>
    <r>
      <rPr>
        <b/>
        <vertAlign val="superscript"/>
        <sz val="11"/>
        <color theme="0"/>
        <rFont val="Calibri"/>
        <family val="2"/>
        <scheme val="minor"/>
      </rPr>
      <t>#</t>
    </r>
  </si>
  <si>
    <t>Soft-tissue</t>
  </si>
  <si>
    <t>Injury to skin surface</t>
  </si>
  <si>
    <t>Fracture</t>
  </si>
  <si>
    <t>Open wound</t>
  </si>
  <si>
    <t>Dislocation</t>
  </si>
  <si>
    <t>Head injury</t>
  </si>
  <si>
    <t>Injury rate</t>
  </si>
  <si>
    <t>Estimated number injured</t>
  </si>
  <si>
    <t>Body part injured (adults)^</t>
  </si>
  <si>
    <t>Body part injured</t>
  </si>
  <si>
    <t>Hip, knee and/or leg</t>
  </si>
  <si>
    <t>Ankle 
and/or foot</t>
  </si>
  <si>
    <t>Shoulder
 and/or arm</t>
  </si>
  <si>
    <t>Back and/or trunk</t>
  </si>
  <si>
    <t>Wrist 
and/or hand</t>
  </si>
  <si>
    <t>Head and/or neck</t>
  </si>
  <si>
    <t xml:space="preserve">                Non-Participation rate</t>
  </si>
  <si>
    <t>2023/24FY</t>
  </si>
  <si>
    <t>2024/25FY</t>
  </si>
  <si>
    <t>Gender</t>
  </si>
  <si>
    <t>Male</t>
  </si>
  <si>
    <t>Female</t>
  </si>
  <si>
    <t>ACT</t>
  </si>
  <si>
    <t>NSW</t>
  </si>
  <si>
    <t>NT</t>
  </si>
  <si>
    <t>QLD</t>
  </si>
  <si>
    <t>SA</t>
  </si>
  <si>
    <t>TAS</t>
  </si>
  <si>
    <t>VIC</t>
  </si>
  <si>
    <t>WA</t>
  </si>
  <si>
    <t>AUSTRALIA</t>
  </si>
  <si>
    <t>At least once per year</t>
  </si>
  <si>
    <t>At least once per week</t>
  </si>
  <si>
    <t>At least three times per week</t>
  </si>
  <si>
    <t>Need update</t>
  </si>
  <si>
    <t>Year</t>
  </si>
  <si>
    <t>Australia</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</si>
  <si>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</si>
  <si>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</si>
  <si>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</si>
  <si>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</si>
  <si>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</si>
  <si>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</si>
  <si>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</si>
  <si>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</si>
  <si>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</si>
  <si>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</si>
  <si>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</si>
  <si>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</si>
  <si>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</si>
  <si>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</si>
  <si>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</si>
  <si>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</si>
  <si>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</si>
  <si>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</si>
  <si>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</si>
  <si>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</si>
  <si>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</si>
  <si>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</si>
  <si>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</si>
  <si>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</si>
  <si>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</si>
  <si>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</si>
  <si>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</si>
  <si>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</si>
  <si>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</si>
  <si>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</si>
  <si>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</si>
  <si>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</si>
  <si>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</si>
  <si>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</si>
  <si>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Released at:   1</t>
    </r>
    <r>
      <rPr>
        <b/>
        <sz val="11"/>
        <color theme="0"/>
        <rFont val="Calibri"/>
        <family val="2"/>
        <scheme val="minor"/>
      </rPr>
      <t>3 November 2025</t>
    </r>
  </si>
  <si>
    <r>
      <t xml:space="preserve">Table number:   </t>
    </r>
    <r>
      <rPr>
        <b/>
        <sz val="11"/>
        <color theme="0"/>
        <rFont val="Calibri"/>
        <family val="2"/>
        <scheme val="minor"/>
      </rPr>
      <t>39</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</si>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</sst>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Red]\-&quot;$&quot;#,##0"/>
    <numFmt numFmtId="44" formatCode="_-&quot;$&quot;* #,##0.00_-;\-&quot;$&quot;* #,##0.00_-;_-&quot;$&quot;* &quot;-&quot;??_-;_-@_-"/>
    <numFmt numFmtId="43" formatCode="_-* #,##0.00_-;\-* #,##0.00_-;_-* &quot;-&quot;??_-;_-@_-"/>
    <numFmt numFmtId="164" formatCode="0.0%"/>
    <numFmt numFmtId="165" formatCode="_-* #,##0_-;\-* #,##0_-;_-* &quot;-&quot;??_-;_-@_-"/>
    <numFmt numFmtId="166" formatCode="&quot;$&quot;#,##0"/>
    <numFmt numFmtId="167" formatCode="#,##0.0"/>
    <numFmt numFmtId="168" formatCode="#,##0_ ;\-#,##0\ "/>
  </numFmts>
  <fonts count="29">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sz val="9"/>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i/>
      <sz val="11"/>
      <name val="Calibri"/>
      <family val="2"/>
      <scheme val="minor"/>
    </font>
    <font>
      <strike/>
      <sz val="11"/>
      <name val="Calibri"/>
      <family val="2"/>
      <scheme val="minor"/>
    </font>
    <font>
      <vertAlign val="superscript"/>
      <sz val="11"/>
      <color theme="1"/>
      <name val="Calibri"/>
      <family val="2"/>
      <scheme val="minor"/>
    </font>
    <font>
      <sz val="11"/>
      <color theme="1"/>
      <name val="Aptos"/>
      <family val="2"/>
    </font>
    <font>
      <sz val="9"/>
      <color rgb="FF000000"/>
      <name val="Calibri"/>
      <family val="2"/>
    </font>
    <font>
      <sz val="8"/>
      <name val="Calibri"/>
      <family val="2"/>
      <scheme val="minor"/>
    </font>
    <font>
      <sz val="11"/>
      <color rgb="FF0F0A30"/>
      <name val="Calibri"/>
      <family val="2"/>
      <scheme val="minor"/>
    </font>
    <font>
      <u/>
      <sz val="11"/>
      <color theme="10"/>
      <name val="Calibri"/>
      <family val="2"/>
      <scheme val="minor"/>
    </font>
    <font>
      <u/>
      <sz val="9"/>
      <color theme="10"/>
      <name val="Calibri"/>
      <family val="2"/>
      <scheme val="minor"/>
    </font>
  </fonts>
  <fills count="8">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s>
  <borders count="16">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indexed="64"/>
      </bottom>
      <diagonal/>
    </border>
    <border>
      <left style="thin">
        <color theme="0"/>
      </left>
      <right style="thin">
        <color theme="0"/>
      </right>
      <top/>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style="thin">
        <color indexed="64"/>
      </left>
      <right style="thin">
        <color indexed="64"/>
      </right>
      <top style="thin">
        <color indexed="64"/>
      </top>
      <bottom style="thin">
        <color indexed="64"/>
      </bottom>
      <diagonal/>
    </border>
    <border diagonalDown="1">
      <left style="thin">
        <color theme="0"/>
      </left>
      <right/>
      <top/>
      <bottom style="thin">
        <color indexed="64"/>
      </bottom>
      <diagonal style="thin">
        <color theme="0"/>
      </diagonal>
    </border>
  </borders>
  <cellStyleXfs count="3449">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7" fillId="0" borderId="0" applyNumberFormat="0" applyFill="0" applyBorder="0" applyAlignment="0" applyProtection="0"/>
  </cellStyleXfs>
  <cellXfs count="198">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0" fillId="2" borderId="6" xfId="0" applyFill="1" applyBorder="1"/>
    <xf numFmtId="167" fontId="0" fillId="2" borderId="0" xfId="492" applyNumberFormat="1" applyFont="1" applyFill="1"/>
    <xf numFmtId="164" fontId="0" fillId="2" borderId="0" xfId="0" applyNumberFormat="1" applyFill="1" applyAlignment="1">
      <alignment horizontal="right"/>
    </xf>
    <xf numFmtId="0" fontId="4" fillId="2" borderId="2" xfId="0" applyFont="1" applyFill="1" applyBorder="1" applyAlignment="1">
      <alignment horizontal="left" vertical="top"/>
    </xf>
    <xf numFmtId="0" fontId="4" fillId="2" borderId="0" xfId="0" applyFont="1" applyFill="1" applyAlignment="1">
      <alignment horizontal="left"/>
    </xf>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6" fontId="1" fillId="2" borderId="0" xfId="357" applyNumberFormat="1" applyFont="1" applyFill="1"/>
    <xf numFmtId="165" fontId="0" fillId="2" borderId="0" xfId="492" applyNumberFormat="1" applyFont="1" applyFill="1"/>
    <xf numFmtId="3" fontId="0" fillId="2" borderId="0" xfId="492" applyNumberFormat="1" applyFont="1" applyFill="1"/>
    <xf numFmtId="3" fontId="1" fillId="2" borderId="0" xfId="492" applyNumberFormat="1" applyFont="1" applyFill="1"/>
    <xf numFmtId="168" fontId="1" fillId="2" borderId="0" xfId="492" applyNumberFormat="1" applyFont="1" applyFill="1"/>
    <xf numFmtId="168" fontId="0" fillId="2" borderId="0" xfId="492" applyNumberFormat="1" applyFont="1" applyFill="1"/>
    <xf numFmtId="168" fontId="1" fillId="2" borderId="0" xfId="0"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0" fillId="4" borderId="0" xfId="0" applyFont="1" applyFill="1" applyAlignment="1">
      <alignment vertical="top" wrapText="1"/>
    </xf>
    <xf numFmtId="0" fontId="1" fillId="2" borderId="0" xfId="0" applyFont="1" applyFill="1" applyAlignment="1">
      <alignment vertical="top" wrapText="1"/>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0" fontId="12" fillId="2" borderId="0" xfId="0" applyFont="1" applyFill="1"/>
    <xf numFmtId="0" fontId="0" fillId="7" borderId="0" xfId="0" applyFill="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3" fillId="2" borderId="0" xfId="0" applyFont="1" applyFill="1"/>
    <xf numFmtId="0" fontId="14" fillId="2" borderId="0" xfId="0" applyFont="1" applyFill="1"/>
    <xf numFmtId="0" fontId="13" fillId="2" borderId="0" xfId="0" applyFont="1" applyFill="1" applyAlignment="1">
      <alignment vertical="top" wrapText="1"/>
    </xf>
    <xf numFmtId="0" fontId="14" fillId="2" borderId="0" xfId="0" applyFont="1" applyFill="1" applyAlignment="1">
      <alignment vertical="top" wrapText="1"/>
    </xf>
    <xf numFmtId="0" fontId="11" fillId="2" borderId="0" xfId="0" applyFont="1" applyFill="1" applyAlignment="1">
      <alignment wrapText="1"/>
    </xf>
    <xf numFmtId="0" fontId="15" fillId="2" borderId="0" xfId="0" applyFont="1" applyFill="1"/>
    <xf numFmtId="0" fontId="11" fillId="4" borderId="0" xfId="0" applyFont="1" applyFill="1" applyAlignment="1">
      <alignment wrapText="1"/>
    </xf>
    <xf numFmtId="3" fontId="1" fillId="2" borderId="0" xfId="492" applyNumberFormat="1" applyFont="1" applyFill="1" applyBorder="1"/>
    <xf numFmtId="3" fontId="3" fillId="2" borderId="0" xfId="492" applyNumberFormat="1" applyFont="1" applyFill="1" applyBorder="1"/>
    <xf numFmtId="0" fontId="15" fillId="2" borderId="0" xfId="0" applyFont="1" applyFill="1" applyAlignment="1">
      <alignment wrapText="1"/>
    </xf>
    <xf numFmtId="0" fontId="11" fillId="4" borderId="0" xfId="0" applyFont="1" applyFill="1" applyAlignment="1">
      <alignment vertical="center" wrapText="1"/>
    </xf>
    <xf numFmtId="3" fontId="16" fillId="2" borderId="0" xfId="492" applyNumberFormat="1" applyFont="1" applyFill="1" applyBorder="1"/>
    <xf numFmtId="3" fontId="2" fillId="2" borderId="0" xfId="492" applyNumberFormat="1" applyFont="1" applyFill="1"/>
    <xf numFmtId="3" fontId="2" fillId="2" borderId="0" xfId="492" applyNumberFormat="1" applyFont="1" applyFill="1" applyBorder="1"/>
    <xf numFmtId="167" fontId="2" fillId="2" borderId="0" xfId="492" applyNumberFormat="1" applyFont="1" applyFill="1"/>
    <xf numFmtId="3" fontId="16" fillId="2" borderId="0" xfId="492" applyNumberFormat="1" applyFont="1" applyFill="1"/>
    <xf numFmtId="164" fontId="16" fillId="2" borderId="0" xfId="270" applyNumberFormat="1" applyFont="1" applyFill="1"/>
    <xf numFmtId="49" fontId="10" fillId="3" borderId="0" xfId="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2" applyNumberFormat="1" applyFont="1" applyFill="1"/>
    <xf numFmtId="0" fontId="18" fillId="0" borderId="0" xfId="0" applyFont="1"/>
    <xf numFmtId="0" fontId="18" fillId="2" borderId="0" xfId="0" applyFont="1" applyFill="1"/>
    <xf numFmtId="0" fontId="18" fillId="3" borderId="0" xfId="0" applyFont="1" applyFill="1"/>
    <xf numFmtId="0" fontId="19" fillId="3" borderId="0" xfId="0" applyFont="1" applyFill="1"/>
    <xf numFmtId="166" fontId="3" fillId="2" borderId="0" xfId="357" applyNumberFormat="1" applyFont="1" applyFill="1"/>
    <xf numFmtId="164" fontId="1" fillId="2" borderId="0" xfId="0" applyNumberFormat="1" applyFont="1" applyFill="1"/>
    <xf numFmtId="166" fontId="2" fillId="2" borderId="0" xfId="357" applyNumberFormat="1" applyFont="1" applyFill="1"/>
    <xf numFmtId="3" fontId="1" fillId="2" borderId="0" xfId="0" applyNumberFormat="1" applyFont="1" applyFill="1"/>
    <xf numFmtId="0" fontId="19" fillId="2" borderId="0" xfId="0" applyFont="1" applyFill="1"/>
    <xf numFmtId="0" fontId="11" fillId="3" borderId="0" xfId="0" applyFont="1" applyFill="1" applyAlignment="1">
      <alignment horizontal="center"/>
    </xf>
    <xf numFmtId="0" fontId="2" fillId="3" borderId="0" xfId="0" applyFont="1" applyFill="1"/>
    <xf numFmtId="0" fontId="11" fillId="3" borderId="10" xfId="0" applyFont="1" applyFill="1" applyBorder="1"/>
    <xf numFmtId="0" fontId="10" fillId="3" borderId="10" xfId="0" applyFont="1" applyFill="1" applyBorder="1"/>
    <xf numFmtId="0" fontId="0" fillId="5" borderId="10" xfId="0" applyFill="1" applyBorder="1"/>
    <xf numFmtId="0" fontId="0" fillId="2" borderId="10" xfId="0" applyFill="1" applyBorder="1"/>
    <xf numFmtId="0" fontId="10" fillId="4" borderId="2" xfId="0" applyFont="1" applyFill="1" applyBorder="1" applyAlignment="1">
      <alignment horizontal="center" vertical="center"/>
    </xf>
    <xf numFmtId="164" fontId="2" fillId="2" borderId="0" xfId="270" applyNumberFormat="1" applyFont="1" applyFill="1" applyBorder="1"/>
    <xf numFmtId="0" fontId="18" fillId="2" borderId="0" xfId="0" applyFont="1" applyFill="1" applyAlignment="1">
      <alignment vertical="center" wrapText="1"/>
    </xf>
    <xf numFmtId="164" fontId="0" fillId="2" borderId="10" xfId="270" applyNumberFormat="1" applyFont="1" applyFill="1" applyBorder="1"/>
    <xf numFmtId="164" fontId="3" fillId="2" borderId="10" xfId="270" applyNumberFormat="1" applyFont="1" applyFill="1" applyBorder="1"/>
    <xf numFmtId="164" fontId="2" fillId="2" borderId="10" xfId="270" applyNumberFormat="1" applyFont="1" applyFill="1" applyBorder="1"/>
    <xf numFmtId="164" fontId="0" fillId="2" borderId="10" xfId="0" applyNumberFormat="1" applyFill="1" applyBorder="1"/>
    <xf numFmtId="3" fontId="1" fillId="2" borderId="0" xfId="270" applyNumberFormat="1" applyFont="1" applyFill="1"/>
    <xf numFmtId="3" fontId="3" fillId="2" borderId="0" xfId="270" applyNumberFormat="1" applyFont="1" applyFill="1"/>
    <xf numFmtId="0" fontId="4" fillId="2" borderId="0" xfId="0" applyFont="1" applyFill="1" applyAlignment="1">
      <alignment horizontal="left" wrapText="1"/>
    </xf>
    <xf numFmtId="0" fontId="24" fillId="0" borderId="0" xfId="0" applyFont="1" applyAlignment="1">
      <alignment vertical="center"/>
    </xf>
    <xf numFmtId="0" fontId="23" fillId="0" borderId="0" xfId="0" applyFont="1" applyAlignment="1">
      <alignment vertical="center"/>
    </xf>
    <xf numFmtId="0" fontId="0" fillId="2" borderId="0" xfId="0" applyFill="1" applyAlignment="1">
      <alignment horizontal="right"/>
    </xf>
    <xf numFmtId="0" fontId="6" fillId="2" borderId="4" xfId="0" applyFont="1" applyFill="1" applyBorder="1" applyAlignment="1">
      <alignment vertical="center" wrapText="1"/>
    </xf>
    <xf numFmtId="0" fontId="6" fillId="2" borderId="5" xfId="0" applyFont="1" applyFill="1" applyBorder="1" applyAlignment="1">
      <alignment vertical="center"/>
    </xf>
    <xf numFmtId="0" fontId="7" fillId="2" borderId="5" xfId="0" applyFont="1" applyFill="1" applyBorder="1" applyAlignment="1">
      <alignment vertical="center"/>
    </xf>
    <xf numFmtId="0" fontId="6" fillId="2" borderId="5" xfId="0" applyFont="1" applyFill="1" applyBorder="1" applyAlignment="1">
      <alignment vertical="center" wrapText="1"/>
    </xf>
    <xf numFmtId="0" fontId="16" fillId="2" borderId="5" xfId="0" applyFont="1" applyFill="1" applyBorder="1" applyAlignment="1">
      <alignment vertical="center"/>
    </xf>
    <xf numFmtId="0" fontId="2" fillId="2" borderId="5" xfId="0" applyFont="1" applyFill="1" applyBorder="1" applyAlignment="1">
      <alignment vertical="center" wrapText="1"/>
    </xf>
    <xf numFmtId="0" fontId="2" fillId="2" borderId="5" xfId="0" applyFont="1" applyFill="1" applyBorder="1" applyAlignment="1">
      <alignment horizontal="left" vertical="top" wrapText="1"/>
    </xf>
    <xf numFmtId="0" fontId="6" fillId="2" borderId="5" xfId="0" applyFont="1" applyFill="1" applyBorder="1" applyAlignment="1">
      <alignment wrapText="1"/>
    </xf>
    <xf numFmtId="0" fontId="9" fillId="2" borderId="5" xfId="0" applyFont="1" applyFill="1" applyBorder="1" applyAlignment="1">
      <alignment vertical="center"/>
    </xf>
    <xf numFmtId="164" fontId="0" fillId="2" borderId="0" xfId="270" applyNumberFormat="1" applyFont="1" applyFill="1" applyAlignment="1">
      <alignment horizontal="right"/>
    </xf>
    <xf numFmtId="164" fontId="0" fillId="2" borderId="10" xfId="270" applyNumberFormat="1" applyFont="1" applyFill="1" applyBorder="1" applyAlignment="1">
      <alignment horizontal="right"/>
    </xf>
    <xf numFmtId="164" fontId="1" fillId="2" borderId="0" xfId="270" applyNumberFormat="1" applyFont="1" applyFill="1" applyAlignment="1">
      <alignment horizontal="right"/>
    </xf>
    <xf numFmtId="164" fontId="3" fillId="2" borderId="0" xfId="270" applyNumberFormat="1" applyFont="1" applyFill="1" applyAlignment="1">
      <alignment horizontal="right"/>
    </xf>
    <xf numFmtId="164" fontId="0" fillId="5" borderId="0" xfId="0" applyNumberFormat="1" applyFill="1" applyAlignment="1">
      <alignment horizontal="right"/>
    </xf>
    <xf numFmtId="0" fontId="18" fillId="0" borderId="11" xfId="0" applyFont="1" applyBorder="1"/>
    <xf numFmtId="0" fontId="24" fillId="0" borderId="12" xfId="0" applyFont="1" applyBorder="1" applyAlignment="1">
      <alignment vertical="center"/>
    </xf>
    <xf numFmtId="0" fontId="26" fillId="2" borderId="0" xfId="0" applyFont="1" applyFill="1"/>
    <xf numFmtId="0" fontId="1" fillId="5" borderId="0" xfId="0" applyFont="1" applyFill="1" applyAlignment="1">
      <alignment horizontal="left"/>
    </xf>
    <xf numFmtId="0" fontId="1" fillId="3" borderId="0" xfId="0" applyFont="1" applyFill="1"/>
    <xf numFmtId="0" fontId="0" fillId="5" borderId="0" xfId="0" applyFill="1" applyAlignment="1">
      <alignment horizontal="left"/>
    </xf>
    <xf numFmtId="168" fontId="3" fillId="2" borderId="0" xfId="492" applyNumberFormat="1" applyFont="1" applyFill="1"/>
    <xf numFmtId="168" fontId="0" fillId="2" borderId="0" xfId="0" applyNumberFormat="1" applyFill="1"/>
    <xf numFmtId="0" fontId="1" fillId="2" borderId="10" xfId="0" applyFont="1" applyFill="1" applyBorder="1"/>
    <xf numFmtId="0" fontId="1" fillId="6" borderId="10" xfId="0" applyFont="1" applyFill="1" applyBorder="1"/>
    <xf numFmtId="0" fontId="0" fillId="6" borderId="10" xfId="0" applyFill="1" applyBorder="1"/>
    <xf numFmtId="0" fontId="24" fillId="0" borderId="13" xfId="0" applyFont="1" applyBorder="1" applyAlignment="1">
      <alignment vertical="center"/>
    </xf>
    <xf numFmtId="3" fontId="5" fillId="0" borderId="14" xfId="701" applyNumberFormat="1" applyBorder="1" applyAlignment="1">
      <alignment horizontal="right"/>
    </xf>
    <xf numFmtId="0" fontId="1" fillId="0" borderId="0" xfId="0" applyFont="1"/>
    <xf numFmtId="0" fontId="1" fillId="0" borderId="10" xfId="0" applyFont="1" applyBorder="1"/>
    <xf numFmtId="0" fontId="0" fillId="0" borderId="15" xfId="0" applyBorder="1"/>
    <xf numFmtId="0" fontId="4" fillId="0" borderId="0" xfId="0" applyFont="1" applyAlignment="1">
      <alignment horizontal="left"/>
    </xf>
    <xf numFmtId="0" fontId="0" fillId="7" borderId="0" xfId="0" applyFill="1" applyAlignment="1">
      <alignment horizontal="left"/>
    </xf>
    <xf numFmtId="0" fontId="4" fillId="0" borderId="0" xfId="0" applyFont="1"/>
    <xf numFmtId="0" fontId="28" fillId="2" borderId="0" xfId="3448" applyFont="1" applyFill="1" applyAlignment="1">
      <alignment vertical="center"/>
    </xf>
    <xf numFmtId="164" fontId="1"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3" fontId="0" fillId="2" borderId="10" xfId="492" applyNumberFormat="1" applyFont="1" applyFill="1" applyBorder="1"/>
    <xf numFmtId="3" fontId="3" fillId="2" borderId="10" xfId="492" applyNumberFormat="1" applyFont="1" applyFill="1" applyBorder="1"/>
    <xf numFmtId="0" fontId="2" fillId="2" borderId="10" xfId="0" applyFont="1" applyFill="1" applyBorder="1"/>
    <xf numFmtId="0" fontId="19" fillId="3" borderId="10" xfId="0" applyFont="1" applyFill="1" applyBorder="1"/>
    <xf numFmtId="0" fontId="18" fillId="3" borderId="10" xfId="0" applyFont="1" applyFill="1" applyBorder="1"/>
    <xf numFmtId="0" fontId="10" fillId="3" borderId="10" xfId="0" applyFont="1" applyFill="1" applyBorder="1" applyAlignment="1">
      <alignment horizontal="left"/>
    </xf>
    <xf numFmtId="3" fontId="11" fillId="3" borderId="10" xfId="0" applyNumberFormat="1" applyFont="1" applyFill="1" applyBorder="1"/>
    <xf numFmtId="0" fontId="11" fillId="3" borderId="10" xfId="0" applyFont="1" applyFill="1" applyBorder="1" applyAlignment="1">
      <alignment horizontal="center"/>
    </xf>
    <xf numFmtId="164" fontId="0" fillId="2" borderId="10" xfId="270" applyNumberFormat="1" applyFont="1" applyFill="1" applyBorder="1" applyAlignment="1">
      <alignment horizontal="center"/>
    </xf>
    <xf numFmtId="0" fontId="10" fillId="4" borderId="10" xfId="0" applyFont="1" applyFill="1" applyBorder="1"/>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14" fillId="2" borderId="0" xfId="0" applyFont="1" applyFill="1" applyAlignment="1">
      <alignment horizontal="left" vertical="top" wrapText="1"/>
    </xf>
    <xf numFmtId="0" fontId="13" fillId="3" borderId="0" xfId="0" applyFont="1" applyFill="1" applyAlignment="1">
      <alignment horizontal="left" vertical="top" wrapText="1"/>
    </xf>
    <xf numFmtId="0" fontId="14" fillId="3" borderId="0" xfId="0" applyFont="1" applyFill="1" applyAlignment="1">
      <alignment horizontal="left" vertical="top" wrapText="1"/>
    </xf>
    <xf numFmtId="0" fontId="14" fillId="2" borderId="0" xfId="0" applyFont="1" applyFill="1" applyAlignment="1">
      <alignment horizontal="left" vertical="center" wrapText="1"/>
    </xf>
    <xf numFmtId="0" fontId="0" fillId="7" borderId="0" xfId="0" applyFill="1" applyAlignment="1">
      <alignment horizontal="center"/>
    </xf>
    <xf numFmtId="0" fontId="10" fillId="4" borderId="7" xfId="0" applyFont="1" applyFill="1" applyBorder="1" applyAlignment="1">
      <alignment horizontal="center"/>
    </xf>
    <xf numFmtId="0" fontId="2" fillId="7" borderId="0" xfId="0" applyFont="1" applyFill="1" applyAlignment="1">
      <alignment horizontal="center"/>
    </xf>
    <xf numFmtId="0" fontId="0" fillId="7" borderId="2" xfId="0" applyFill="1" applyBorder="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2" xfId="0" applyFont="1" applyFill="1" applyBorder="1" applyAlignment="1">
      <alignment horizontal="center"/>
    </xf>
    <xf numFmtId="0" fontId="10" fillId="4" borderId="0" xfId="0" applyFont="1" applyFill="1" applyAlignment="1">
      <alignment horizontal="center"/>
    </xf>
    <xf numFmtId="0" fontId="13" fillId="3" borderId="0" xfId="0" applyFont="1" applyFill="1" applyAlignment="1"/>
  </cellXfs>
  <cellStyles count="3449">
    <cellStyle name="Comma" xfId="492" builtinId="3"/>
    <cellStyle name="Currency" xfId="357" builtinId="4"/>
    <cellStyle name="Hyperlink" xfId="3448" builtinId="8"/>
    <cellStyle name="Normal" xfId="0" builtinId="0"/>
    <cellStyle name="Normal 10" xfId="696" xr:uid="{00000000-0005-0000-0000-000003000000}"/>
    <cellStyle name="Normal 11" xfId="697" xr:uid="{00000000-0005-0000-0000-000004000000}"/>
    <cellStyle name="Normal 12" xfId="698" xr:uid="{00000000-0005-0000-0000-000005000000}"/>
    <cellStyle name="Normal 13" xfId="699" xr:uid="{00000000-0005-0000-0000-000006000000}"/>
    <cellStyle name="Normal 14" xfId="700" xr:uid="{00000000-0005-0000-0000-000007000000}"/>
    <cellStyle name="Normal 2" xfId="701" xr:uid="{00000000-0005-0000-0000-000008000000}"/>
    <cellStyle name="Normal 3" xfId="702" xr:uid="{00000000-0005-0000-0000-000009000000}"/>
    <cellStyle name="Normal 4" xfId="703" xr:uid="{00000000-0005-0000-0000-00000A000000}"/>
    <cellStyle name="Normal 5" xfId="704" xr:uid="{00000000-0005-0000-0000-00000B000000}"/>
    <cellStyle name="Normal 6" xfId="705" xr:uid="{00000000-0005-0000-0000-00000C000000}"/>
    <cellStyle name="Normal 7" xfId="706" xr:uid="{00000000-0005-0000-0000-00000D000000}"/>
    <cellStyle name="Normal 8" xfId="707" xr:uid="{00000000-0005-0000-0000-00000E000000}"/>
    <cellStyle name="Normal 9" xfId="708" xr:uid="{00000000-0005-0000-0000-00000F000000}"/>
    <cellStyle name="Percent" xfId="270" builtinId="5"/>
    <cellStyle name="Percent 2" xfId="709" xr:uid="{00000000-0005-0000-0000-000011000000}"/>
    <cellStyle name="style1478648479602" xfId="710" xr:uid="{00000000-0005-0000-0000-000012000000}"/>
    <cellStyle name="style1478648479602 2" xfId="711" xr:uid="{00000000-0005-0000-0000-000013000000}"/>
    <cellStyle name="style1478648479696" xfId="712" xr:uid="{00000000-0005-0000-0000-000014000000}"/>
    <cellStyle name="style1478648479696 2" xfId="713" xr:uid="{00000000-0005-0000-0000-000015000000}"/>
    <cellStyle name="style1478648479758" xfId="714" xr:uid="{00000000-0005-0000-0000-000016000000}"/>
    <cellStyle name="style1478648479758 2" xfId="715" xr:uid="{00000000-0005-0000-0000-000017000000}"/>
    <cellStyle name="style1478648479821" xfId="716" xr:uid="{00000000-0005-0000-0000-000018000000}"/>
    <cellStyle name="style1478648479821 2" xfId="717" xr:uid="{00000000-0005-0000-0000-000019000000}"/>
    <cellStyle name="style1478648479883" xfId="718" xr:uid="{00000000-0005-0000-0000-00001A000000}"/>
    <cellStyle name="style1478648479883 2" xfId="719" xr:uid="{00000000-0005-0000-0000-00001B000000}"/>
    <cellStyle name="style1478648479961" xfId="720" xr:uid="{00000000-0005-0000-0000-00001C000000}"/>
    <cellStyle name="style1478648479961 2" xfId="721" xr:uid="{00000000-0005-0000-0000-00001D000000}"/>
    <cellStyle name="style1478648480024" xfId="722" xr:uid="{00000000-0005-0000-0000-00001E000000}"/>
    <cellStyle name="style1478648480024 2" xfId="723" xr:uid="{00000000-0005-0000-0000-00001F000000}"/>
    <cellStyle name="style1478648480086" xfId="724" xr:uid="{00000000-0005-0000-0000-000020000000}"/>
    <cellStyle name="style1478648480086 2" xfId="725" xr:uid="{00000000-0005-0000-0000-000021000000}"/>
    <cellStyle name="style1478648480148" xfId="726" xr:uid="{00000000-0005-0000-0000-000022000000}"/>
    <cellStyle name="style1478648480148 2" xfId="727" xr:uid="{00000000-0005-0000-0000-000023000000}"/>
    <cellStyle name="style1478648480211" xfId="728" xr:uid="{00000000-0005-0000-0000-000024000000}"/>
    <cellStyle name="style1478648480211 2" xfId="729" xr:uid="{00000000-0005-0000-0000-000025000000}"/>
    <cellStyle name="style1478648480273" xfId="730" xr:uid="{00000000-0005-0000-0000-000026000000}"/>
    <cellStyle name="style1478648480273 2" xfId="731" xr:uid="{00000000-0005-0000-0000-000027000000}"/>
    <cellStyle name="style1478648480336" xfId="732" xr:uid="{00000000-0005-0000-0000-000028000000}"/>
    <cellStyle name="style1478648480336 2" xfId="733" xr:uid="{00000000-0005-0000-0000-000029000000}"/>
    <cellStyle name="style1478648480398" xfId="734" xr:uid="{00000000-0005-0000-0000-00002A000000}"/>
    <cellStyle name="style1478648480398 2" xfId="735" xr:uid="{00000000-0005-0000-0000-00002B000000}"/>
    <cellStyle name="style1478648480460" xfId="736" xr:uid="{00000000-0005-0000-0000-00002C000000}"/>
    <cellStyle name="style1478648480460 2" xfId="737" xr:uid="{00000000-0005-0000-0000-00002D000000}"/>
    <cellStyle name="style1478648480523" xfId="738" xr:uid="{00000000-0005-0000-0000-00002E000000}"/>
    <cellStyle name="style1478648480523 2" xfId="739" xr:uid="{00000000-0005-0000-0000-00002F000000}"/>
    <cellStyle name="style1478648480601" xfId="740" xr:uid="{00000000-0005-0000-0000-000030000000}"/>
    <cellStyle name="style1478648480601 2" xfId="741" xr:uid="{00000000-0005-0000-0000-000031000000}"/>
    <cellStyle name="style1478648480648" xfId="742" xr:uid="{00000000-0005-0000-0000-000032000000}"/>
    <cellStyle name="style1478648480648 2" xfId="743" xr:uid="{00000000-0005-0000-0000-000033000000}"/>
    <cellStyle name="style1478648480850" xfId="744" xr:uid="{00000000-0005-0000-0000-000034000000}"/>
    <cellStyle name="style1478648480850 2" xfId="745" xr:uid="{00000000-0005-0000-0000-000035000000}"/>
    <cellStyle name="style1478648480913" xfId="746" xr:uid="{00000000-0005-0000-0000-000036000000}"/>
    <cellStyle name="style1478648480913 2" xfId="747" xr:uid="{00000000-0005-0000-0000-000037000000}"/>
    <cellStyle name="style1478648480975" xfId="748" xr:uid="{00000000-0005-0000-0000-000038000000}"/>
    <cellStyle name="style1478648480975 2" xfId="749" xr:uid="{00000000-0005-0000-0000-000039000000}"/>
    <cellStyle name="style1478648481022" xfId="750" xr:uid="{00000000-0005-0000-0000-00003A000000}"/>
    <cellStyle name="style1478648481022 2" xfId="751" xr:uid="{00000000-0005-0000-0000-00003B000000}"/>
    <cellStyle name="style1478648481084" xfId="752" xr:uid="{00000000-0005-0000-0000-00003C000000}"/>
    <cellStyle name="style1478648481084 2" xfId="753" xr:uid="{00000000-0005-0000-0000-00003D000000}"/>
    <cellStyle name="style1478648481147" xfId="754" xr:uid="{00000000-0005-0000-0000-00003E000000}"/>
    <cellStyle name="style1478648481147 2" xfId="755" xr:uid="{00000000-0005-0000-0000-00003F000000}"/>
    <cellStyle name="style1478648481194" xfId="756" xr:uid="{00000000-0005-0000-0000-000040000000}"/>
    <cellStyle name="style1478648481194 2" xfId="757" xr:uid="{00000000-0005-0000-0000-000041000000}"/>
    <cellStyle name="style1478664485790" xfId="758" xr:uid="{00000000-0005-0000-0000-000042000000}"/>
    <cellStyle name="style1478664485915" xfId="759" xr:uid="{00000000-0005-0000-0000-000043000000}"/>
    <cellStyle name="style1478664486039" xfId="760" xr:uid="{00000000-0005-0000-0000-000044000000}"/>
    <cellStyle name="style1478664486164" xfId="761" xr:uid="{00000000-0005-0000-0000-000045000000}"/>
    <cellStyle name="style1478664486258" xfId="762" xr:uid="{00000000-0005-0000-0000-000046000000}"/>
    <cellStyle name="style1478664486414" xfId="763" xr:uid="{00000000-0005-0000-0000-000047000000}"/>
    <cellStyle name="style1478664486523" xfId="764" xr:uid="{00000000-0005-0000-0000-000048000000}"/>
    <cellStyle name="style1478664486648" xfId="765" xr:uid="{00000000-0005-0000-0000-000049000000}"/>
    <cellStyle name="style1478664486773" xfId="766" xr:uid="{00000000-0005-0000-0000-00004A000000}"/>
    <cellStyle name="style1478664486882" xfId="767" xr:uid="{00000000-0005-0000-0000-00004B000000}"/>
    <cellStyle name="style1478664487007" xfId="768" xr:uid="{00000000-0005-0000-0000-00004C000000}"/>
    <cellStyle name="style1478664487116" xfId="769" xr:uid="{00000000-0005-0000-0000-00004D000000}"/>
    <cellStyle name="style1478664487241" xfId="770" xr:uid="{00000000-0005-0000-0000-00004E000000}"/>
    <cellStyle name="style1478664487350" xfId="771" xr:uid="{00000000-0005-0000-0000-00004F000000}"/>
    <cellStyle name="style1478664487475" xfId="772" xr:uid="{00000000-0005-0000-0000-000050000000}"/>
    <cellStyle name="style1478664487599" xfId="773" xr:uid="{00000000-0005-0000-0000-000051000000}"/>
    <cellStyle name="style1478664487709" xfId="774" xr:uid="{00000000-0005-0000-0000-000052000000}"/>
    <cellStyle name="style1478664487989" xfId="775" xr:uid="{00000000-0005-0000-0000-000053000000}"/>
    <cellStyle name="style1478664488099" xfId="776" xr:uid="{00000000-0005-0000-0000-000054000000}"/>
    <cellStyle name="style1478664488223" xfId="777" xr:uid="{00000000-0005-0000-0000-000055000000}"/>
    <cellStyle name="style1478664488457" xfId="778" xr:uid="{00000000-0005-0000-0000-000056000000}"/>
    <cellStyle name="style1478664488582" xfId="779" xr:uid="{00000000-0005-0000-0000-000057000000}"/>
    <cellStyle name="style1479335080697" xfId="780" xr:uid="{00000000-0005-0000-0000-000058000000}"/>
    <cellStyle name="style1479335080807" xfId="781" xr:uid="{00000000-0005-0000-0000-000059000000}"/>
    <cellStyle name="style1479335080947" xfId="782" xr:uid="{00000000-0005-0000-0000-00005A000000}"/>
    <cellStyle name="style1479335081104" xfId="783" xr:uid="{00000000-0005-0000-0000-00005B000000}"/>
    <cellStyle name="style1479335081213" xfId="784" xr:uid="{00000000-0005-0000-0000-00005C000000}"/>
    <cellStyle name="style1479335081385" xfId="785" xr:uid="{00000000-0005-0000-0000-00005D000000}"/>
    <cellStyle name="style1479335081963" xfId="786" xr:uid="{00000000-0005-0000-0000-00005E000000}"/>
    <cellStyle name="style1479335082025" xfId="787" xr:uid="{00000000-0005-0000-0000-00005F000000}"/>
    <cellStyle name="style1479335082088" xfId="788" xr:uid="{00000000-0005-0000-0000-000060000000}"/>
    <cellStyle name="style1479335082134" xfId="789" xr:uid="{00000000-0005-0000-0000-000061000000}"/>
    <cellStyle name="style1479335082213" xfId="790" xr:uid="{00000000-0005-0000-0000-000062000000}"/>
    <cellStyle name="style1479335082275" xfId="791" xr:uid="{00000000-0005-0000-0000-000063000000}"/>
    <cellStyle name="style1479335082322" xfId="792" xr:uid="{00000000-0005-0000-0000-000064000000}"/>
    <cellStyle name="style1479335082384" xfId="793" xr:uid="{00000000-0005-0000-0000-000065000000}"/>
    <cellStyle name="style1479335082447" xfId="794" xr:uid="{00000000-0005-0000-0000-000066000000}"/>
    <cellStyle name="style1479335082509" xfId="795" xr:uid="{00000000-0005-0000-0000-000067000000}"/>
    <cellStyle name="style1479335082556" xfId="796" xr:uid="{00000000-0005-0000-0000-000068000000}"/>
    <cellStyle name="style1479335082681" xfId="797" xr:uid="{00000000-0005-0000-0000-000069000000}"/>
    <cellStyle name="style1479335082728" xfId="798" xr:uid="{00000000-0005-0000-0000-00006A000000}"/>
    <cellStyle name="style1479335082790" xfId="799" xr:uid="{00000000-0005-0000-0000-00006B000000}"/>
    <cellStyle name="style1479363751896" xfId="800" xr:uid="{00000000-0005-0000-0000-00006C000000}"/>
    <cellStyle name="style1479363751958" xfId="801" xr:uid="{00000000-0005-0000-0000-00006D000000}"/>
    <cellStyle name="style1479363752020" xfId="802" xr:uid="{00000000-0005-0000-0000-00006E000000}"/>
    <cellStyle name="style1479363752067" xfId="803" xr:uid="{00000000-0005-0000-0000-00006F000000}"/>
    <cellStyle name="style1479363752130" xfId="804" xr:uid="{00000000-0005-0000-0000-000070000000}"/>
    <cellStyle name="style1479363752192" xfId="805" xr:uid="{00000000-0005-0000-0000-000071000000}"/>
    <cellStyle name="style1479363752239" xfId="806" xr:uid="{00000000-0005-0000-0000-000072000000}"/>
    <cellStyle name="style1479363752301" xfId="807" xr:uid="{00000000-0005-0000-0000-000073000000}"/>
    <cellStyle name="style1479363752348" xfId="808" xr:uid="{00000000-0005-0000-0000-000074000000}"/>
    <cellStyle name="style1479363752395" xfId="809" xr:uid="{00000000-0005-0000-0000-000075000000}"/>
    <cellStyle name="style1479363752457" xfId="810" xr:uid="{00000000-0005-0000-0000-000076000000}"/>
    <cellStyle name="style1479363752504" xfId="811" xr:uid="{00000000-0005-0000-0000-000077000000}"/>
    <cellStyle name="style1479363755796" xfId="812" xr:uid="{00000000-0005-0000-0000-000078000000}"/>
    <cellStyle name="style1479363755936" xfId="813" xr:uid="{00000000-0005-0000-0000-000079000000}"/>
    <cellStyle name="style1479363764235" xfId="814" xr:uid="{00000000-0005-0000-0000-00007A000000}"/>
    <cellStyle name="style1479363764313" xfId="815" xr:uid="{00000000-0005-0000-0000-00007B000000}"/>
    <cellStyle name="style1479363764360" xfId="816" xr:uid="{00000000-0005-0000-0000-00007C000000}"/>
    <cellStyle name="style1479363764407" xfId="817" xr:uid="{00000000-0005-0000-0000-00007D000000}"/>
    <cellStyle name="style1479363764454" xfId="818" xr:uid="{00000000-0005-0000-0000-00007E000000}"/>
    <cellStyle name="style1479363764516" xfId="819" xr:uid="{00000000-0005-0000-0000-00007F000000}"/>
    <cellStyle name="style1479363764563" xfId="820" xr:uid="{00000000-0005-0000-0000-000080000000}"/>
    <cellStyle name="style1479363764625" xfId="821" xr:uid="{00000000-0005-0000-0000-000081000000}"/>
    <cellStyle name="style1479363764672" xfId="822" xr:uid="{00000000-0005-0000-0000-000082000000}"/>
    <cellStyle name="style1479363764734" xfId="823" xr:uid="{00000000-0005-0000-0000-000083000000}"/>
    <cellStyle name="style1479363764781" xfId="824" xr:uid="{00000000-0005-0000-0000-000084000000}"/>
    <cellStyle name="style1479363764890" xfId="825" xr:uid="{00000000-0005-0000-0000-000085000000}"/>
    <cellStyle name="style1479363764953" xfId="826" xr:uid="{00000000-0005-0000-0000-000086000000}"/>
    <cellStyle name="style1479363765000" xfId="827" xr:uid="{00000000-0005-0000-0000-000087000000}"/>
    <cellStyle name="style1479363765062" xfId="828" xr:uid="{00000000-0005-0000-0000-000088000000}"/>
    <cellStyle name="style1479363765358" xfId="829" xr:uid="{00000000-0005-0000-0000-000089000000}"/>
    <cellStyle name="style1479434513754" xfId="830" xr:uid="{00000000-0005-0000-0000-00008A000000}"/>
    <cellStyle name="style1479434514238" xfId="831" xr:uid="{00000000-0005-0000-0000-00008B000000}"/>
    <cellStyle name="style1479434514347" xfId="832" xr:uid="{00000000-0005-0000-0000-00008C000000}"/>
    <cellStyle name="style1479434514472" xfId="833" xr:uid="{00000000-0005-0000-0000-00008D000000}"/>
    <cellStyle name="style1479434521648" xfId="834" xr:uid="{00000000-0005-0000-0000-00008E000000}"/>
    <cellStyle name="style1479434521710" xfId="835" xr:uid="{00000000-0005-0000-0000-00008F000000}"/>
    <cellStyle name="style1479434521772" xfId="836" xr:uid="{00000000-0005-0000-0000-000090000000}"/>
    <cellStyle name="style1479434521819" xfId="837" xr:uid="{00000000-0005-0000-0000-000091000000}"/>
    <cellStyle name="style1479434521866" xfId="838" xr:uid="{00000000-0005-0000-0000-000092000000}"/>
    <cellStyle name="style1479434521928" xfId="839" xr:uid="{00000000-0005-0000-0000-000093000000}"/>
    <cellStyle name="style1479434521991" xfId="840" xr:uid="{00000000-0005-0000-0000-000094000000}"/>
    <cellStyle name="style1479434522038" xfId="841" xr:uid="{00000000-0005-0000-0000-000095000000}"/>
    <cellStyle name="style1479434522100" xfId="842" xr:uid="{00000000-0005-0000-0000-000096000000}"/>
    <cellStyle name="style1479434522178" xfId="843" xr:uid="{00000000-0005-0000-0000-000097000000}"/>
    <cellStyle name="style1479434522240" xfId="844" xr:uid="{00000000-0005-0000-0000-000098000000}"/>
    <cellStyle name="style1479434522318" xfId="845" xr:uid="{00000000-0005-0000-0000-000099000000}"/>
    <cellStyle name="style1479434522365" xfId="846" xr:uid="{00000000-0005-0000-0000-00009A000000}"/>
    <cellStyle name="style1479434522428" xfId="847" xr:uid="{00000000-0005-0000-0000-00009B000000}"/>
    <cellStyle name="style1479434522474" xfId="848" xr:uid="{00000000-0005-0000-0000-00009C000000}"/>
    <cellStyle name="style1479440712872" xfId="849" xr:uid="{00000000-0005-0000-0000-00009D000000}"/>
    <cellStyle name="style1479440712935" xfId="850" xr:uid="{00000000-0005-0000-0000-00009E000000}"/>
    <cellStyle name="style1479440712982" xfId="851" xr:uid="{00000000-0005-0000-0000-00009F000000}"/>
    <cellStyle name="style1479440713044" xfId="852" xr:uid="{00000000-0005-0000-0000-0000A0000000}"/>
    <cellStyle name="style1479440713091" xfId="853" xr:uid="{00000000-0005-0000-0000-0000A1000000}"/>
    <cellStyle name="style1479440713153" xfId="854" xr:uid="{00000000-0005-0000-0000-0000A2000000}"/>
    <cellStyle name="style1479440713216" xfId="855" xr:uid="{00000000-0005-0000-0000-0000A3000000}"/>
    <cellStyle name="style1479440713262" xfId="856" xr:uid="{00000000-0005-0000-0000-0000A4000000}"/>
    <cellStyle name="style1479440713325" xfId="857" xr:uid="{00000000-0005-0000-0000-0000A5000000}"/>
    <cellStyle name="style1479440713372" xfId="858" xr:uid="{00000000-0005-0000-0000-0000A6000000}"/>
    <cellStyle name="style1479440713434" xfId="859" xr:uid="{00000000-0005-0000-0000-0000A7000000}"/>
    <cellStyle name="style1479440713481" xfId="860" xr:uid="{00000000-0005-0000-0000-0000A8000000}"/>
    <cellStyle name="style1479440713543" xfId="861" xr:uid="{00000000-0005-0000-0000-0000A9000000}"/>
    <cellStyle name="style1479440713590" xfId="862" xr:uid="{00000000-0005-0000-0000-0000AA000000}"/>
    <cellStyle name="style1479440713621" xfId="863" xr:uid="{00000000-0005-0000-0000-0000AB000000}"/>
    <cellStyle name="style1479440713668" xfId="864" xr:uid="{00000000-0005-0000-0000-0000AC000000}"/>
    <cellStyle name="style1479440713730" xfId="865" xr:uid="{00000000-0005-0000-0000-0000AD000000}"/>
    <cellStyle name="style1479440713793" xfId="866" xr:uid="{00000000-0005-0000-0000-0000AE000000}"/>
    <cellStyle name="style1479440713840" xfId="867" xr:uid="{00000000-0005-0000-0000-0000AF000000}"/>
    <cellStyle name="style1479440714807" xfId="868" xr:uid="{00000000-0005-0000-0000-0000B0000000}"/>
    <cellStyle name="style1479440714854" xfId="869" xr:uid="{00000000-0005-0000-0000-0000B1000000}"/>
    <cellStyle name="style1479440714885" xfId="870"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8" xr:uid="{00000000-0005-0000-0000-000016020000}"/>
    <cellStyle name="style1480824154794" xfId="359" xr:uid="{00000000-0005-0000-0000-000017020000}"/>
    <cellStyle name="style1480824154840" xfId="360" xr:uid="{00000000-0005-0000-0000-000018020000}"/>
    <cellStyle name="style1480824154918" xfId="361" xr:uid="{00000000-0005-0000-0000-000019020000}"/>
    <cellStyle name="style1480824154981" xfId="362" xr:uid="{00000000-0005-0000-0000-00001A020000}"/>
    <cellStyle name="style1480824155043" xfId="363" xr:uid="{00000000-0005-0000-0000-00001B020000}"/>
    <cellStyle name="style1480824155106" xfId="364" xr:uid="{00000000-0005-0000-0000-00001C020000}"/>
    <cellStyle name="style1480824155168" xfId="365" xr:uid="{00000000-0005-0000-0000-00001D020000}"/>
    <cellStyle name="style1480824155230" xfId="366" xr:uid="{00000000-0005-0000-0000-00001E020000}"/>
    <cellStyle name="style1480824155277" xfId="367" xr:uid="{00000000-0005-0000-0000-00001F020000}"/>
    <cellStyle name="style1480824155340" xfId="368" xr:uid="{00000000-0005-0000-0000-000020020000}"/>
    <cellStyle name="style1480824155402" xfId="369" xr:uid="{00000000-0005-0000-0000-000021020000}"/>
    <cellStyle name="style1480824155464" xfId="370" xr:uid="{00000000-0005-0000-0000-000022020000}"/>
    <cellStyle name="style1480824155527" xfId="371" xr:uid="{00000000-0005-0000-0000-000023020000}"/>
    <cellStyle name="style1480824155589" xfId="372" xr:uid="{00000000-0005-0000-0000-000024020000}"/>
    <cellStyle name="style1480824155636" xfId="373" xr:uid="{00000000-0005-0000-0000-000025020000}"/>
    <cellStyle name="style1480824155698" xfId="374" xr:uid="{00000000-0005-0000-0000-000026020000}"/>
    <cellStyle name="style1480824155761" xfId="375" xr:uid="{00000000-0005-0000-0000-000027020000}"/>
    <cellStyle name="style1480824155823" xfId="376" xr:uid="{00000000-0005-0000-0000-000028020000}"/>
    <cellStyle name="style1480824155886" xfId="377" xr:uid="{00000000-0005-0000-0000-000029020000}"/>
    <cellStyle name="style1480824155948" xfId="378" xr:uid="{00000000-0005-0000-0000-00002A020000}"/>
    <cellStyle name="style1480824156010" xfId="379" xr:uid="{00000000-0005-0000-0000-00002B020000}"/>
    <cellStyle name="style1480824156057" xfId="380" xr:uid="{00000000-0005-0000-0000-00002C020000}"/>
    <cellStyle name="style1480824156120" xfId="381" xr:uid="{00000000-0005-0000-0000-00002D020000}"/>
    <cellStyle name="style1480824156182" xfId="382" xr:uid="{00000000-0005-0000-0000-00002E020000}"/>
    <cellStyle name="style1480824156244" xfId="383" xr:uid="{00000000-0005-0000-0000-00002F020000}"/>
    <cellStyle name="style1480824156291" xfId="384" xr:uid="{00000000-0005-0000-0000-000030020000}"/>
    <cellStyle name="style1480824156354" xfId="385" xr:uid="{00000000-0005-0000-0000-000031020000}"/>
    <cellStyle name="style1480824156400" xfId="386" xr:uid="{00000000-0005-0000-0000-000032020000}"/>
    <cellStyle name="style1480824156525" xfId="387" xr:uid="{00000000-0005-0000-0000-000033020000}"/>
    <cellStyle name="style1480824156588" xfId="388" xr:uid="{00000000-0005-0000-0000-000034020000}"/>
    <cellStyle name="style1480824156634" xfId="389" xr:uid="{00000000-0005-0000-0000-000035020000}"/>
    <cellStyle name="style1480824156697" xfId="390" xr:uid="{00000000-0005-0000-0000-000036020000}"/>
    <cellStyle name="style1480824156744" xfId="391" xr:uid="{00000000-0005-0000-0000-000037020000}"/>
    <cellStyle name="style1480824156915" xfId="392" xr:uid="{00000000-0005-0000-0000-000038020000}"/>
    <cellStyle name="style1480824156962" xfId="393" xr:uid="{00000000-0005-0000-0000-000039020000}"/>
    <cellStyle name="style1480824157024" xfId="394" xr:uid="{00000000-0005-0000-0000-00003A020000}"/>
    <cellStyle name="style1480824157056" xfId="395" xr:uid="{00000000-0005-0000-0000-00003B020000}"/>
    <cellStyle name="style1480824157118" xfId="396" xr:uid="{00000000-0005-0000-0000-00003C020000}"/>
    <cellStyle name="style1480824157165" xfId="397" xr:uid="{00000000-0005-0000-0000-00003D020000}"/>
    <cellStyle name="style1480824157227" xfId="398" xr:uid="{00000000-0005-0000-0000-00003E020000}"/>
    <cellStyle name="style1480824157274" xfId="399" xr:uid="{00000000-0005-0000-0000-00003F020000}"/>
    <cellStyle name="style1480824157336" xfId="400" xr:uid="{00000000-0005-0000-0000-000040020000}"/>
    <cellStyle name="style1480824157399" xfId="401" xr:uid="{00000000-0005-0000-0000-000041020000}"/>
    <cellStyle name="style1480824157446" xfId="403" xr:uid="{00000000-0005-0000-0000-000042020000}"/>
    <cellStyle name="style1480824157508" xfId="402" xr:uid="{00000000-0005-0000-0000-000043020000}"/>
    <cellStyle name="style1480824157570" xfId="404" xr:uid="{00000000-0005-0000-0000-000044020000}"/>
    <cellStyle name="style1480824157617" xfId="405" xr:uid="{00000000-0005-0000-0000-000045020000}"/>
    <cellStyle name="style1480824157773" xfId="406" xr:uid="{00000000-0005-0000-0000-000046020000}"/>
    <cellStyle name="style1480824157820" xfId="407" xr:uid="{00000000-0005-0000-0000-000047020000}"/>
    <cellStyle name="style1480824157867" xfId="408" xr:uid="{00000000-0005-0000-0000-000048020000}"/>
    <cellStyle name="style1480824157929" xfId="409" xr:uid="{00000000-0005-0000-0000-000049020000}"/>
    <cellStyle name="style1480824157992" xfId="410" xr:uid="{00000000-0005-0000-0000-00004A020000}"/>
    <cellStyle name="style1480824158038" xfId="411" xr:uid="{00000000-0005-0000-0000-00004B020000}"/>
    <cellStyle name="style1480824158179" xfId="412" xr:uid="{00000000-0005-0000-0000-00004C020000}"/>
    <cellStyle name="style1480824158241" xfId="413" xr:uid="{00000000-0005-0000-0000-00004D020000}"/>
    <cellStyle name="style1480824158288" xfId="414" xr:uid="{00000000-0005-0000-0000-00004E020000}"/>
    <cellStyle name="style1480824158350" xfId="415" xr:uid="{00000000-0005-0000-0000-00004F020000}"/>
    <cellStyle name="style1480824159864" xfId="416" xr:uid="{00000000-0005-0000-0000-000050020000}"/>
    <cellStyle name="style1480824159926" xfId="417" xr:uid="{00000000-0005-0000-0000-000051020000}"/>
    <cellStyle name="style1480824159973" xfId="418" xr:uid="{00000000-0005-0000-0000-000052020000}"/>
    <cellStyle name="style1480824160534" xfId="419" xr:uid="{00000000-0005-0000-0000-000053020000}"/>
    <cellStyle name="style1480824160597" xfId="420" xr:uid="{00000000-0005-0000-0000-000054020000}"/>
    <cellStyle name="style1480824160644" xfId="421" xr:uid="{00000000-0005-0000-0000-000055020000}"/>
    <cellStyle name="style1480824160690" xfId="422" xr:uid="{00000000-0005-0000-0000-000056020000}"/>
    <cellStyle name="style1480824160722" xfId="423" xr:uid="{00000000-0005-0000-0000-000057020000}"/>
    <cellStyle name="style1480824160768" xfId="424" xr:uid="{00000000-0005-0000-0000-000058020000}"/>
    <cellStyle name="style1480824160815" xfId="425" xr:uid="{00000000-0005-0000-0000-000059020000}"/>
    <cellStyle name="style1480824160862" xfId="426" xr:uid="{00000000-0005-0000-0000-00005A020000}"/>
    <cellStyle name="style1480824161876" xfId="427" xr:uid="{00000000-0005-0000-0000-00005B020000}"/>
    <cellStyle name="style1480824161938" xfId="428" xr:uid="{00000000-0005-0000-0000-00005C020000}"/>
    <cellStyle name="style1480824161985" xfId="429" xr:uid="{00000000-0005-0000-0000-00005D020000}"/>
    <cellStyle name="style1480824162016" xfId="430" xr:uid="{00000000-0005-0000-0000-00005E020000}"/>
    <cellStyle name="style1480824162079" xfId="431" xr:uid="{00000000-0005-0000-0000-00005F020000}"/>
    <cellStyle name="style1480824162110" xfId="432" xr:uid="{00000000-0005-0000-0000-000060020000}"/>
    <cellStyle name="style1480824162172" xfId="433" xr:uid="{00000000-0005-0000-0000-000061020000}"/>
    <cellStyle name="style1480824162204" xfId="434" xr:uid="{00000000-0005-0000-0000-000062020000}"/>
    <cellStyle name="style1480824162266" xfId="435" xr:uid="{00000000-0005-0000-0000-000063020000}"/>
    <cellStyle name="style1480824162313" xfId="436" xr:uid="{00000000-0005-0000-0000-000064020000}"/>
    <cellStyle name="style1480824162344" xfId="437" xr:uid="{00000000-0005-0000-0000-000065020000}"/>
    <cellStyle name="style1480824162500" xfId="438" xr:uid="{00000000-0005-0000-0000-000066020000}"/>
    <cellStyle name="style1480824162562" xfId="439" xr:uid="{00000000-0005-0000-0000-000067020000}"/>
    <cellStyle name="style1480824162718" xfId="440" xr:uid="{00000000-0005-0000-0000-000068020000}"/>
    <cellStyle name="style1480824162765" xfId="441" xr:uid="{00000000-0005-0000-0000-000069020000}"/>
    <cellStyle name="style1480824162812" xfId="442" xr:uid="{00000000-0005-0000-0000-00006A020000}"/>
    <cellStyle name="style1480824162859" xfId="443" xr:uid="{00000000-0005-0000-0000-00006B020000}"/>
    <cellStyle name="style1480829121807" xfId="444" xr:uid="{00000000-0005-0000-0000-00006C020000}"/>
    <cellStyle name="style1480829121901" xfId="445" xr:uid="{00000000-0005-0000-0000-00006D020000}"/>
    <cellStyle name="style1480829121979" xfId="446" xr:uid="{00000000-0005-0000-0000-00006E020000}"/>
    <cellStyle name="style1480829122057" xfId="447" xr:uid="{00000000-0005-0000-0000-00006F020000}"/>
    <cellStyle name="style1480829122135" xfId="448" xr:uid="{00000000-0005-0000-0000-000070020000}"/>
    <cellStyle name="style1480829122213" xfId="449" xr:uid="{00000000-0005-0000-0000-000071020000}"/>
    <cellStyle name="style1480829122275" xfId="450" xr:uid="{00000000-0005-0000-0000-000072020000}"/>
    <cellStyle name="style1480829122369" xfId="451" xr:uid="{00000000-0005-0000-0000-000073020000}"/>
    <cellStyle name="style1480829122462" xfId="452" xr:uid="{00000000-0005-0000-0000-000074020000}"/>
    <cellStyle name="style1480829122556" xfId="453" xr:uid="{00000000-0005-0000-0000-000075020000}"/>
    <cellStyle name="style1480829122634" xfId="454" xr:uid="{00000000-0005-0000-0000-000076020000}"/>
    <cellStyle name="style1480829122728" xfId="455" xr:uid="{00000000-0005-0000-0000-000077020000}"/>
    <cellStyle name="style1480829122806" xfId="456" xr:uid="{00000000-0005-0000-0000-000078020000}"/>
    <cellStyle name="style1480829122884" xfId="457" xr:uid="{00000000-0005-0000-0000-000079020000}"/>
    <cellStyle name="style1480829122962" xfId="458" xr:uid="{00000000-0005-0000-0000-00007A020000}"/>
    <cellStyle name="style1480829123055" xfId="459" xr:uid="{00000000-0005-0000-0000-00007B020000}"/>
    <cellStyle name="style1480829123164" xfId="461" xr:uid="{00000000-0005-0000-0000-00007C020000}"/>
    <cellStyle name="style1480829123242" xfId="460" xr:uid="{00000000-0005-0000-0000-00007D020000}"/>
    <cellStyle name="style1480829123320" xfId="462" xr:uid="{00000000-0005-0000-0000-00007E020000}"/>
    <cellStyle name="style1480829123398" xfId="463" xr:uid="{00000000-0005-0000-0000-00007F020000}"/>
    <cellStyle name="style1480829123476" xfId="464" xr:uid="{00000000-0005-0000-0000-000080020000}"/>
    <cellStyle name="style1480829123632" xfId="465" xr:uid="{00000000-0005-0000-0000-000081020000}"/>
    <cellStyle name="style1480829123726" xfId="466" xr:uid="{00000000-0005-0000-0000-000082020000}"/>
    <cellStyle name="style1480829123804" xfId="467" xr:uid="{00000000-0005-0000-0000-000083020000}"/>
    <cellStyle name="style1480829123882" xfId="468" xr:uid="{00000000-0005-0000-0000-000084020000}"/>
    <cellStyle name="style1480829123960" xfId="469" xr:uid="{00000000-0005-0000-0000-000085020000}"/>
    <cellStyle name="style1480829124038" xfId="470" xr:uid="{00000000-0005-0000-0000-000086020000}"/>
    <cellStyle name="style1480829124116" xfId="471" xr:uid="{00000000-0005-0000-0000-000087020000}"/>
    <cellStyle name="style1480829124194" xfId="472" xr:uid="{00000000-0005-0000-0000-000088020000}"/>
    <cellStyle name="style1480829124272" xfId="473" xr:uid="{00000000-0005-0000-0000-000089020000}"/>
    <cellStyle name="style1480829124397" xfId="474" xr:uid="{00000000-0005-0000-0000-00008A020000}"/>
    <cellStyle name="style1480829124475" xfId="475" xr:uid="{00000000-0005-0000-0000-00008B020000}"/>
    <cellStyle name="style1480829124568" xfId="476" xr:uid="{00000000-0005-0000-0000-00008C020000}"/>
    <cellStyle name="style1480829124834" xfId="477" xr:uid="{00000000-0005-0000-0000-00008D020000}"/>
    <cellStyle name="style1480829124912" xfId="478" xr:uid="{00000000-0005-0000-0000-00008E020000}"/>
    <cellStyle name="style1480829124990" xfId="479" xr:uid="{00000000-0005-0000-0000-00008F020000}"/>
    <cellStyle name="style1480829125083" xfId="480" xr:uid="{00000000-0005-0000-0000-000090020000}"/>
    <cellStyle name="style1480829125208" xfId="481" xr:uid="{00000000-0005-0000-0000-000091020000}"/>
    <cellStyle name="style1480829125286" xfId="482" xr:uid="{00000000-0005-0000-0000-000092020000}"/>
    <cellStyle name="style1480829125380" xfId="483" xr:uid="{00000000-0005-0000-0000-000093020000}"/>
    <cellStyle name="style1480829125473" xfId="484" xr:uid="{00000000-0005-0000-0000-000094020000}"/>
    <cellStyle name="style1480829125551" xfId="485" xr:uid="{00000000-0005-0000-0000-000095020000}"/>
    <cellStyle name="style1480829125629" xfId="486" xr:uid="{00000000-0005-0000-0000-000096020000}"/>
    <cellStyle name="style1480829125707" xfId="487" xr:uid="{00000000-0005-0000-0000-000097020000}"/>
    <cellStyle name="style1480829125785" xfId="488" xr:uid="{00000000-0005-0000-0000-000098020000}"/>
    <cellStyle name="style1480829125863" xfId="489" xr:uid="{00000000-0005-0000-0000-000099020000}"/>
    <cellStyle name="style1480829125957" xfId="490" xr:uid="{00000000-0005-0000-0000-00009A020000}"/>
    <cellStyle name="style1480829126050" xfId="491" xr:uid="{00000000-0005-0000-0000-00009B020000}"/>
    <cellStyle name="style1480848716487" xfId="871" xr:uid="{00000000-0005-0000-0000-00009C020000}"/>
    <cellStyle name="style1480848716550" xfId="872" xr:uid="{00000000-0005-0000-0000-00009D020000}"/>
    <cellStyle name="style1480848716581" xfId="873" xr:uid="{00000000-0005-0000-0000-00009E020000}"/>
    <cellStyle name="style1480848716628" xfId="874" xr:uid="{00000000-0005-0000-0000-00009F020000}"/>
    <cellStyle name="style1480848716674" xfId="875" xr:uid="{00000000-0005-0000-0000-0000A0020000}"/>
    <cellStyle name="style1480848716721" xfId="876" xr:uid="{00000000-0005-0000-0000-0000A1020000}"/>
    <cellStyle name="style1480848716768" xfId="877" xr:uid="{00000000-0005-0000-0000-0000A2020000}"/>
    <cellStyle name="style1480848716815" xfId="878" xr:uid="{00000000-0005-0000-0000-0000A3020000}"/>
    <cellStyle name="style1480848716877" xfId="879" xr:uid="{00000000-0005-0000-0000-0000A4020000}"/>
    <cellStyle name="style1480848716924" xfId="880" xr:uid="{00000000-0005-0000-0000-0000A5020000}"/>
    <cellStyle name="style1480848716971" xfId="881" xr:uid="{00000000-0005-0000-0000-0000A6020000}"/>
    <cellStyle name="style1480848717018" xfId="882" xr:uid="{00000000-0005-0000-0000-0000A7020000}"/>
    <cellStyle name="style1480848717064" xfId="883" xr:uid="{00000000-0005-0000-0000-0000A8020000}"/>
    <cellStyle name="style1480848717111" xfId="884" xr:uid="{00000000-0005-0000-0000-0000A9020000}"/>
    <cellStyle name="style1480848717158" xfId="885" xr:uid="{00000000-0005-0000-0000-0000AA020000}"/>
    <cellStyle name="style1480848717205" xfId="886" xr:uid="{00000000-0005-0000-0000-0000AB020000}"/>
    <cellStyle name="style1480848717252" xfId="887" xr:uid="{00000000-0005-0000-0000-0000AC020000}"/>
    <cellStyle name="style1480848717314" xfId="888" xr:uid="{00000000-0005-0000-0000-0000AD020000}"/>
    <cellStyle name="style1480848717361" xfId="889" xr:uid="{00000000-0005-0000-0000-0000AE020000}"/>
    <cellStyle name="style1480848717408" xfId="890" xr:uid="{00000000-0005-0000-0000-0000AF020000}"/>
    <cellStyle name="style1480848717470" xfId="891" xr:uid="{00000000-0005-0000-0000-0000B0020000}"/>
    <cellStyle name="style1480848717517" xfId="892" xr:uid="{00000000-0005-0000-0000-0000B1020000}"/>
    <cellStyle name="style1480848717564" xfId="893" xr:uid="{00000000-0005-0000-0000-0000B2020000}"/>
    <cellStyle name="style1480848717610" xfId="894" xr:uid="{00000000-0005-0000-0000-0000B3020000}"/>
    <cellStyle name="style1480848717657" xfId="895" xr:uid="{00000000-0005-0000-0000-0000B4020000}"/>
    <cellStyle name="style1480848717704" xfId="896" xr:uid="{00000000-0005-0000-0000-0000B5020000}"/>
    <cellStyle name="style1480848717751" xfId="897" xr:uid="{00000000-0005-0000-0000-0000B6020000}"/>
    <cellStyle name="style1480848717798" xfId="898" xr:uid="{00000000-0005-0000-0000-0000B7020000}"/>
    <cellStyle name="style1480848717860" xfId="899" xr:uid="{00000000-0005-0000-0000-0000B8020000}"/>
    <cellStyle name="style1480848717907" xfId="900" xr:uid="{00000000-0005-0000-0000-0000B9020000}"/>
    <cellStyle name="style1480848717954" xfId="901" xr:uid="{00000000-0005-0000-0000-0000BA020000}"/>
    <cellStyle name="style1480848718016" xfId="902" xr:uid="{00000000-0005-0000-0000-0000BB020000}"/>
    <cellStyle name="style1480848718063" xfId="903" xr:uid="{00000000-0005-0000-0000-0000BC020000}"/>
    <cellStyle name="style1480848718110" xfId="904" xr:uid="{00000000-0005-0000-0000-0000BD020000}"/>
    <cellStyle name="style1480848718188" xfId="905" xr:uid="{00000000-0005-0000-0000-0000BE020000}"/>
    <cellStyle name="style1480848718234" xfId="906" xr:uid="{00000000-0005-0000-0000-0000BF020000}"/>
    <cellStyle name="style1480848718281" xfId="907" xr:uid="{00000000-0005-0000-0000-0000C0020000}"/>
    <cellStyle name="style1480848718312" xfId="908" xr:uid="{00000000-0005-0000-0000-0000C1020000}"/>
    <cellStyle name="style1480848718375" xfId="909" xr:uid="{00000000-0005-0000-0000-0000C2020000}"/>
    <cellStyle name="style1480848718422" xfId="910" xr:uid="{00000000-0005-0000-0000-0000C3020000}"/>
    <cellStyle name="style1480848718468" xfId="911" xr:uid="{00000000-0005-0000-0000-0000C4020000}"/>
    <cellStyle name="style1480848718515" xfId="912" xr:uid="{00000000-0005-0000-0000-0000C5020000}"/>
    <cellStyle name="style1480848718578" xfId="913" xr:uid="{00000000-0005-0000-0000-0000C6020000}"/>
    <cellStyle name="style1480848718624" xfId="914" xr:uid="{00000000-0005-0000-0000-0000C7020000}"/>
    <cellStyle name="style1480848718671" xfId="915" xr:uid="{00000000-0005-0000-0000-0000C8020000}"/>
    <cellStyle name="style1480848718718" xfId="916" xr:uid="{00000000-0005-0000-0000-0000C9020000}"/>
    <cellStyle name="style1480848718765" xfId="917" xr:uid="{00000000-0005-0000-0000-0000CA020000}"/>
    <cellStyle name="style1480848718812" xfId="918" xr:uid="{00000000-0005-0000-0000-0000CB020000}"/>
    <cellStyle name="style1480848718905" xfId="919" xr:uid="{00000000-0005-0000-0000-0000CC020000}"/>
    <cellStyle name="style1480848718952" xfId="920" xr:uid="{00000000-0005-0000-0000-0000CD020000}"/>
    <cellStyle name="style1480848718999" xfId="921" xr:uid="{00000000-0005-0000-0000-0000CE020000}"/>
    <cellStyle name="style1480848719046" xfId="922" xr:uid="{00000000-0005-0000-0000-0000CF020000}"/>
    <cellStyle name="style1480848719092" xfId="923" xr:uid="{00000000-0005-0000-0000-0000D0020000}"/>
    <cellStyle name="style1480848719139" xfId="924" xr:uid="{00000000-0005-0000-0000-0000D1020000}"/>
    <cellStyle name="style1480848719233" xfId="925" xr:uid="{00000000-0005-0000-0000-0000D2020000}"/>
    <cellStyle name="style1480848719280" xfId="926" xr:uid="{00000000-0005-0000-0000-0000D3020000}"/>
    <cellStyle name="style1480848719326" xfId="927" xr:uid="{00000000-0005-0000-0000-0000D4020000}"/>
    <cellStyle name="style1480848719373" xfId="928" xr:uid="{00000000-0005-0000-0000-0000D5020000}"/>
    <cellStyle name="style1480848720106" xfId="929" xr:uid="{00000000-0005-0000-0000-0000D6020000}"/>
    <cellStyle name="style1480848720153" xfId="930" xr:uid="{00000000-0005-0000-0000-0000D7020000}"/>
    <cellStyle name="style1480848720200" xfId="931" xr:uid="{00000000-0005-0000-0000-0000D8020000}"/>
    <cellStyle name="style1480848720496" xfId="932" xr:uid="{00000000-0005-0000-0000-0000D9020000}"/>
    <cellStyle name="style1480848720543" xfId="933" xr:uid="{00000000-0005-0000-0000-0000DA020000}"/>
    <cellStyle name="style1480848720606" xfId="934" xr:uid="{00000000-0005-0000-0000-0000DB020000}"/>
    <cellStyle name="style1480848720637" xfId="935" xr:uid="{00000000-0005-0000-0000-0000DC020000}"/>
    <cellStyle name="style1480848720668" xfId="936" xr:uid="{00000000-0005-0000-0000-0000DD020000}"/>
    <cellStyle name="style1480848720715" xfId="937" xr:uid="{00000000-0005-0000-0000-0000DE020000}"/>
    <cellStyle name="style1480848720746" xfId="938" xr:uid="{00000000-0005-0000-0000-0000DF020000}"/>
    <cellStyle name="style1480848720793" xfId="939" xr:uid="{00000000-0005-0000-0000-0000E0020000}"/>
    <cellStyle name="style1480848721401" xfId="940" xr:uid="{00000000-0005-0000-0000-0000E1020000}"/>
    <cellStyle name="style1480848721448" xfId="941" xr:uid="{00000000-0005-0000-0000-0000E2020000}"/>
    <cellStyle name="style1480848721495" xfId="942" xr:uid="{00000000-0005-0000-0000-0000E3020000}"/>
    <cellStyle name="style1480848721526" xfId="943" xr:uid="{00000000-0005-0000-0000-0000E4020000}"/>
    <cellStyle name="style1480848721573" xfId="944" xr:uid="{00000000-0005-0000-0000-0000E5020000}"/>
    <cellStyle name="style1480848721620" xfId="945" xr:uid="{00000000-0005-0000-0000-0000E6020000}"/>
    <cellStyle name="style1480848721651" xfId="946" xr:uid="{00000000-0005-0000-0000-0000E7020000}"/>
    <cellStyle name="style1480848721698" xfId="947" xr:uid="{00000000-0005-0000-0000-0000E8020000}"/>
    <cellStyle name="style1480848721729" xfId="948" xr:uid="{00000000-0005-0000-0000-0000E9020000}"/>
    <cellStyle name="style1480848721776" xfId="949" xr:uid="{00000000-0005-0000-0000-0000EA020000}"/>
    <cellStyle name="style1480848721807" xfId="950" xr:uid="{00000000-0005-0000-0000-0000EB020000}"/>
    <cellStyle name="style1480848721947" xfId="951" xr:uid="{00000000-0005-0000-0000-0000EC020000}"/>
    <cellStyle name="style1480848721994" xfId="952" xr:uid="{00000000-0005-0000-0000-0000ED020000}"/>
    <cellStyle name="style1480848722119" xfId="953" xr:uid="{00000000-0005-0000-0000-0000EE020000}"/>
    <cellStyle name="style1480848722166" xfId="954" xr:uid="{00000000-0005-0000-0000-0000EF020000}"/>
    <cellStyle name="style1480848722212" xfId="955" xr:uid="{00000000-0005-0000-0000-0000F0020000}"/>
    <cellStyle name="style1480848722244" xfId="956" xr:uid="{00000000-0005-0000-0000-0000F1020000}"/>
    <cellStyle name="style1480848772803" xfId="957" xr:uid="{00000000-0005-0000-0000-0000F2020000}"/>
    <cellStyle name="style1480848772866" xfId="958" xr:uid="{00000000-0005-0000-0000-0000F3020000}"/>
    <cellStyle name="style1480848772913" xfId="959" xr:uid="{00000000-0005-0000-0000-0000F4020000}"/>
    <cellStyle name="style1480848772944" xfId="960" xr:uid="{00000000-0005-0000-0000-0000F5020000}"/>
    <cellStyle name="style1480848772991" xfId="961" xr:uid="{00000000-0005-0000-0000-0000F6020000}"/>
    <cellStyle name="style1480848773037" xfId="962" xr:uid="{00000000-0005-0000-0000-0000F7020000}"/>
    <cellStyle name="style1480848773084" xfId="963" xr:uid="{00000000-0005-0000-0000-0000F8020000}"/>
    <cellStyle name="style1480848773131" xfId="964" xr:uid="{00000000-0005-0000-0000-0000F9020000}"/>
    <cellStyle name="style1480848773178" xfId="965" xr:uid="{00000000-0005-0000-0000-0000FA020000}"/>
    <cellStyle name="style1480848773240" xfId="966" xr:uid="{00000000-0005-0000-0000-0000FB020000}"/>
    <cellStyle name="style1480848773287" xfId="967" xr:uid="{00000000-0005-0000-0000-0000FC020000}"/>
    <cellStyle name="style1480848773334" xfId="968" xr:uid="{00000000-0005-0000-0000-0000FD020000}"/>
    <cellStyle name="style1480848773365" xfId="969" xr:uid="{00000000-0005-0000-0000-0000FE020000}"/>
    <cellStyle name="style1480848773427" xfId="970" xr:uid="{00000000-0005-0000-0000-0000FF020000}"/>
    <cellStyle name="style1480848773474" xfId="971" xr:uid="{00000000-0005-0000-0000-000000030000}"/>
    <cellStyle name="style1480848773521" xfId="972" xr:uid="{00000000-0005-0000-0000-000001030000}"/>
    <cellStyle name="style1480848773568" xfId="973" xr:uid="{00000000-0005-0000-0000-000002030000}"/>
    <cellStyle name="style1480848773615" xfId="974" xr:uid="{00000000-0005-0000-0000-000003030000}"/>
    <cellStyle name="style1480848773661" xfId="975" xr:uid="{00000000-0005-0000-0000-000004030000}"/>
    <cellStyle name="style1480848773724" xfId="976" xr:uid="{00000000-0005-0000-0000-000005030000}"/>
    <cellStyle name="style1480848773771" xfId="977" xr:uid="{00000000-0005-0000-0000-000006030000}"/>
    <cellStyle name="style1480848773880" xfId="978" xr:uid="{00000000-0005-0000-0000-000007030000}"/>
    <cellStyle name="style1480848773927" xfId="979" xr:uid="{00000000-0005-0000-0000-000008030000}"/>
    <cellStyle name="style1480848773973" xfId="980" xr:uid="{00000000-0005-0000-0000-000009030000}"/>
    <cellStyle name="style1480848774020" xfId="981" xr:uid="{00000000-0005-0000-0000-00000A030000}"/>
    <cellStyle name="style1480848774067" xfId="982" xr:uid="{00000000-0005-0000-0000-00000B030000}"/>
    <cellStyle name="style1480848774114" xfId="983" xr:uid="{00000000-0005-0000-0000-00000C030000}"/>
    <cellStyle name="style1480848774161" xfId="984" xr:uid="{00000000-0005-0000-0000-00000D030000}"/>
    <cellStyle name="style1480848774207" xfId="985" xr:uid="{00000000-0005-0000-0000-00000E030000}"/>
    <cellStyle name="style1480848774254" xfId="986" xr:uid="{00000000-0005-0000-0000-00000F030000}"/>
    <cellStyle name="style1480848774317" xfId="987" xr:uid="{00000000-0005-0000-0000-000010030000}"/>
    <cellStyle name="style1480848774363" xfId="988" xr:uid="{00000000-0005-0000-0000-000011030000}"/>
    <cellStyle name="style1480848774410" xfId="989" xr:uid="{00000000-0005-0000-0000-000012030000}"/>
    <cellStyle name="style1480848774535" xfId="990" xr:uid="{00000000-0005-0000-0000-000013030000}"/>
    <cellStyle name="style1480848774582" xfId="991" xr:uid="{00000000-0005-0000-0000-000014030000}"/>
    <cellStyle name="style1480848774629" xfId="992" xr:uid="{00000000-0005-0000-0000-000015030000}"/>
    <cellStyle name="style1480848774675" xfId="993" xr:uid="{00000000-0005-0000-0000-000016030000}"/>
    <cellStyle name="style1480848774722" xfId="994" xr:uid="{00000000-0005-0000-0000-000017030000}"/>
    <cellStyle name="style1480848774769" xfId="995" xr:uid="{00000000-0005-0000-0000-000018030000}"/>
    <cellStyle name="style1480848774816" xfId="996" xr:uid="{00000000-0005-0000-0000-000019030000}"/>
    <cellStyle name="style1480848774863" xfId="997" xr:uid="{00000000-0005-0000-0000-00001A030000}"/>
    <cellStyle name="style1480848774909" xfId="998" xr:uid="{00000000-0005-0000-0000-00001B030000}"/>
    <cellStyle name="style1480848774956" xfId="999" xr:uid="{00000000-0005-0000-0000-00001C030000}"/>
    <cellStyle name="style1480848775003" xfId="1000" xr:uid="{00000000-0005-0000-0000-00001D030000}"/>
    <cellStyle name="style1480848775050" xfId="1001" xr:uid="{00000000-0005-0000-0000-00001E030000}"/>
    <cellStyle name="style1480848775097" xfId="1002" xr:uid="{00000000-0005-0000-0000-00001F030000}"/>
    <cellStyle name="style1480848775159" xfId="1003" xr:uid="{00000000-0005-0000-0000-000020030000}"/>
    <cellStyle name="style1480848775206" xfId="1004" xr:uid="{00000000-0005-0000-0000-000021030000}"/>
    <cellStyle name="style1480848775237" xfId="1005" xr:uid="{00000000-0005-0000-0000-000022030000}"/>
    <cellStyle name="style1480852613674" xfId="1006" xr:uid="{00000000-0005-0000-0000-000023030000}"/>
    <cellStyle name="style1480852613721" xfId="1007" xr:uid="{00000000-0005-0000-0000-000024030000}"/>
    <cellStyle name="style1480852613767" xfId="1008" xr:uid="{00000000-0005-0000-0000-000025030000}"/>
    <cellStyle name="style1480852613814" xfId="1009" xr:uid="{00000000-0005-0000-0000-000026030000}"/>
    <cellStyle name="style1480852613861" xfId="1010" xr:uid="{00000000-0005-0000-0000-000027030000}"/>
    <cellStyle name="style1480852613908" xfId="1011" xr:uid="{00000000-0005-0000-0000-000028030000}"/>
    <cellStyle name="style1480852613955" xfId="1012" xr:uid="{00000000-0005-0000-0000-000029030000}"/>
    <cellStyle name="style1480852614001" xfId="1013" xr:uid="{00000000-0005-0000-0000-00002A030000}"/>
    <cellStyle name="style1480852614048" xfId="1014" xr:uid="{00000000-0005-0000-0000-00002B030000}"/>
    <cellStyle name="style1480852614095" xfId="1015" xr:uid="{00000000-0005-0000-0000-00002C030000}"/>
    <cellStyle name="style1480852614142" xfId="1016" xr:uid="{00000000-0005-0000-0000-00002D030000}"/>
    <cellStyle name="style1480852614189" xfId="1017" xr:uid="{00000000-0005-0000-0000-00002E030000}"/>
    <cellStyle name="style1480852614235" xfId="1018" xr:uid="{00000000-0005-0000-0000-00002F030000}"/>
    <cellStyle name="style1480852614282" xfId="1019" xr:uid="{00000000-0005-0000-0000-000030030000}"/>
    <cellStyle name="style1480852614329" xfId="1020" xr:uid="{00000000-0005-0000-0000-000031030000}"/>
    <cellStyle name="style1480852614376" xfId="1021" xr:uid="{00000000-0005-0000-0000-000032030000}"/>
    <cellStyle name="style1480852614423" xfId="1022" xr:uid="{00000000-0005-0000-0000-000033030000}"/>
    <cellStyle name="style1480852614469" xfId="1023" xr:uid="{00000000-0005-0000-0000-000034030000}"/>
    <cellStyle name="style1480852614516" xfId="1024" xr:uid="{00000000-0005-0000-0000-000035030000}"/>
    <cellStyle name="style1480852614579" xfId="1025" xr:uid="{00000000-0005-0000-0000-000036030000}"/>
    <cellStyle name="style1480852614625" xfId="1026" xr:uid="{00000000-0005-0000-0000-000037030000}"/>
    <cellStyle name="style1480852614672" xfId="1027" xr:uid="{00000000-0005-0000-0000-000038030000}"/>
    <cellStyle name="style1480852614719" xfId="1028" xr:uid="{00000000-0005-0000-0000-000039030000}"/>
    <cellStyle name="style1480852614766" xfId="1029" xr:uid="{00000000-0005-0000-0000-00003A030000}"/>
    <cellStyle name="style1480852614813" xfId="1030" xr:uid="{00000000-0005-0000-0000-00003B030000}"/>
    <cellStyle name="style1480852614859" xfId="1031" xr:uid="{00000000-0005-0000-0000-00003C030000}"/>
    <cellStyle name="style1480852614906" xfId="1032" xr:uid="{00000000-0005-0000-0000-00003D030000}"/>
    <cellStyle name="style1480852614953" xfId="1033" xr:uid="{00000000-0005-0000-0000-00003E030000}"/>
    <cellStyle name="style1480852615000" xfId="1034" xr:uid="{00000000-0005-0000-0000-00003F030000}"/>
    <cellStyle name="style1480852615062" xfId="1035" xr:uid="{00000000-0005-0000-0000-000040030000}"/>
    <cellStyle name="style1480852615109" xfId="1036" xr:uid="{00000000-0005-0000-0000-000041030000}"/>
    <cellStyle name="style1480852615156" xfId="1037" xr:uid="{00000000-0005-0000-0000-000042030000}"/>
    <cellStyle name="style1480852615203" xfId="1038" xr:uid="{00000000-0005-0000-0000-000043030000}"/>
    <cellStyle name="style1480852615249" xfId="1039" xr:uid="{00000000-0005-0000-0000-000044030000}"/>
    <cellStyle name="style1480852615327" xfId="1040" xr:uid="{00000000-0005-0000-0000-000045030000}"/>
    <cellStyle name="style1480852615374" xfId="1041" xr:uid="{00000000-0005-0000-0000-000046030000}"/>
    <cellStyle name="style1480852615421" xfId="1042" xr:uid="{00000000-0005-0000-0000-000047030000}"/>
    <cellStyle name="style1480852615468" xfId="1043" xr:uid="{00000000-0005-0000-0000-000048030000}"/>
    <cellStyle name="style1480852615515" xfId="1044" xr:uid="{00000000-0005-0000-0000-000049030000}"/>
    <cellStyle name="style1480852615561" xfId="1045" xr:uid="{00000000-0005-0000-0000-00004A030000}"/>
    <cellStyle name="style1480852615608" xfId="1046" xr:uid="{00000000-0005-0000-0000-00004B030000}"/>
    <cellStyle name="style1480852615655" xfId="1047" xr:uid="{00000000-0005-0000-0000-00004C030000}"/>
    <cellStyle name="style1480852615702" xfId="1048" xr:uid="{00000000-0005-0000-0000-00004D030000}"/>
    <cellStyle name="style1480852615749" xfId="1049" xr:uid="{00000000-0005-0000-0000-00004E030000}"/>
    <cellStyle name="style1480852615795" xfId="1050" xr:uid="{00000000-0005-0000-0000-00004F030000}"/>
    <cellStyle name="style1480852615842" xfId="1051" xr:uid="{00000000-0005-0000-0000-000050030000}"/>
    <cellStyle name="style1480852615889" xfId="1052" xr:uid="{00000000-0005-0000-0000-000051030000}"/>
    <cellStyle name="style1480852615936" xfId="1053" xr:uid="{00000000-0005-0000-0000-000052030000}"/>
    <cellStyle name="style1480852616014" xfId="1054" xr:uid="{00000000-0005-0000-0000-000053030000}"/>
    <cellStyle name="style1480852616061" xfId="1055" xr:uid="{00000000-0005-0000-0000-000054030000}"/>
    <cellStyle name="style1480852616107" xfId="1056" xr:uid="{00000000-0005-0000-0000-000055030000}"/>
    <cellStyle name="style1480852616154" xfId="1057" xr:uid="{00000000-0005-0000-0000-000056030000}"/>
    <cellStyle name="style1480852616217" xfId="1058" xr:uid="{00000000-0005-0000-0000-000057030000}"/>
    <cellStyle name="style1480852616263" xfId="1059" xr:uid="{00000000-0005-0000-0000-000058030000}"/>
    <cellStyle name="style1480852616341" xfId="1060" xr:uid="{00000000-0005-0000-0000-000059030000}"/>
    <cellStyle name="style1480852616388" xfId="1061" xr:uid="{00000000-0005-0000-0000-00005A030000}"/>
    <cellStyle name="style1480852616435" xfId="1062" xr:uid="{00000000-0005-0000-0000-00005B030000}"/>
    <cellStyle name="style1480852616482" xfId="1063" xr:uid="{00000000-0005-0000-0000-00005C030000}"/>
    <cellStyle name="style1480852617215" xfId="1064" xr:uid="{00000000-0005-0000-0000-00005D030000}"/>
    <cellStyle name="style1480852617262" xfId="1065" xr:uid="{00000000-0005-0000-0000-00005E030000}"/>
    <cellStyle name="style1480852617309" xfId="1066" xr:uid="{00000000-0005-0000-0000-00005F030000}"/>
    <cellStyle name="style1480852617605" xfId="1067" xr:uid="{00000000-0005-0000-0000-000060030000}"/>
    <cellStyle name="style1480852617652" xfId="1068" xr:uid="{00000000-0005-0000-0000-000061030000}"/>
    <cellStyle name="style1480852617699" xfId="1069" xr:uid="{00000000-0005-0000-0000-000062030000}"/>
    <cellStyle name="style1480852617730" xfId="1070" xr:uid="{00000000-0005-0000-0000-000063030000}"/>
    <cellStyle name="style1480852617761" xfId="1071" xr:uid="{00000000-0005-0000-0000-000064030000}"/>
    <cellStyle name="style1480852617808" xfId="1072" xr:uid="{00000000-0005-0000-0000-000065030000}"/>
    <cellStyle name="style1480852617839" xfId="1073" xr:uid="{00000000-0005-0000-0000-000066030000}"/>
    <cellStyle name="style1480852617886" xfId="1074" xr:uid="{00000000-0005-0000-0000-000067030000}"/>
    <cellStyle name="style1480852618510" xfId="1075" xr:uid="{00000000-0005-0000-0000-000068030000}"/>
    <cellStyle name="style1480852618557" xfId="1076" xr:uid="{00000000-0005-0000-0000-000069030000}"/>
    <cellStyle name="style1480852618603" xfId="1077" xr:uid="{00000000-0005-0000-0000-00006A030000}"/>
    <cellStyle name="style1480852618635" xfId="1078" xr:uid="{00000000-0005-0000-0000-00006B030000}"/>
    <cellStyle name="style1480852618681" xfId="1079" xr:uid="{00000000-0005-0000-0000-00006C030000}"/>
    <cellStyle name="style1480852618713" xfId="1080" xr:uid="{00000000-0005-0000-0000-00006D030000}"/>
    <cellStyle name="style1480852618759" xfId="1081" xr:uid="{00000000-0005-0000-0000-00006E030000}"/>
    <cellStyle name="style1480852618791" xfId="1082" xr:uid="{00000000-0005-0000-0000-00006F030000}"/>
    <cellStyle name="style1480852618837" xfId="1083" xr:uid="{00000000-0005-0000-0000-000070030000}"/>
    <cellStyle name="style1480852618869" xfId="1084" xr:uid="{00000000-0005-0000-0000-000071030000}"/>
    <cellStyle name="style1480852618915" xfId="1085" xr:uid="{00000000-0005-0000-0000-000072030000}"/>
    <cellStyle name="style1480852619009" xfId="1086" xr:uid="{00000000-0005-0000-0000-000073030000}"/>
    <cellStyle name="style1480852619056" xfId="1087" xr:uid="{00000000-0005-0000-0000-000074030000}"/>
    <cellStyle name="style1480852619103" xfId="1088" xr:uid="{00000000-0005-0000-0000-000075030000}"/>
    <cellStyle name="style1480852619212" xfId="1089" xr:uid="{00000000-0005-0000-0000-000076030000}"/>
    <cellStyle name="style1480852619259" xfId="1090" xr:uid="{00000000-0005-0000-0000-000077030000}"/>
    <cellStyle name="style1480852619305" xfId="1091" xr:uid="{00000000-0005-0000-0000-000078030000}"/>
    <cellStyle name="style1480852619337" xfId="1092" xr:uid="{00000000-0005-0000-0000-000079030000}"/>
    <cellStyle name="style1480852669413" xfId="1093" xr:uid="{00000000-0005-0000-0000-00007A030000}"/>
    <cellStyle name="style1480852669506" xfId="1094" xr:uid="{00000000-0005-0000-0000-00007B030000}"/>
    <cellStyle name="style1480852669553" xfId="1095" xr:uid="{00000000-0005-0000-0000-00007C030000}"/>
    <cellStyle name="style1480852669615" xfId="1096" xr:uid="{00000000-0005-0000-0000-00007D030000}"/>
    <cellStyle name="style1480852669662" xfId="1097" xr:uid="{00000000-0005-0000-0000-00007E030000}"/>
    <cellStyle name="style1480852669709" xfId="1098" xr:uid="{00000000-0005-0000-0000-00007F030000}"/>
    <cellStyle name="style1480852669740" xfId="1099" xr:uid="{00000000-0005-0000-0000-000080030000}"/>
    <cellStyle name="style1480852669803" xfId="1100" xr:uid="{00000000-0005-0000-0000-000081030000}"/>
    <cellStyle name="style1480852669849" xfId="1101" xr:uid="{00000000-0005-0000-0000-000082030000}"/>
    <cellStyle name="style1480852669896" xfId="1102" xr:uid="{00000000-0005-0000-0000-000083030000}"/>
    <cellStyle name="style1480852669943" xfId="1103" xr:uid="{00000000-0005-0000-0000-000084030000}"/>
    <cellStyle name="style1480852669990" xfId="1104" xr:uid="{00000000-0005-0000-0000-000085030000}"/>
    <cellStyle name="style1480852670037" xfId="1105" xr:uid="{00000000-0005-0000-0000-000086030000}"/>
    <cellStyle name="style1480852670083" xfId="1106" xr:uid="{00000000-0005-0000-0000-000087030000}"/>
    <cellStyle name="style1480852670130" xfId="1107" xr:uid="{00000000-0005-0000-0000-000088030000}"/>
    <cellStyle name="style1480852670177" xfId="1108" xr:uid="{00000000-0005-0000-0000-000089030000}"/>
    <cellStyle name="style1480852670239" xfId="1109" xr:uid="{00000000-0005-0000-0000-00008A030000}"/>
    <cellStyle name="style1480852670286" xfId="1110" xr:uid="{00000000-0005-0000-0000-00008B030000}"/>
    <cellStyle name="style1480852670333" xfId="1111" xr:uid="{00000000-0005-0000-0000-00008C030000}"/>
    <cellStyle name="style1480852670380" xfId="1112" xr:uid="{00000000-0005-0000-0000-00008D030000}"/>
    <cellStyle name="style1480852670427" xfId="1113" xr:uid="{00000000-0005-0000-0000-00008E030000}"/>
    <cellStyle name="style1480852670536" xfId="1114" xr:uid="{00000000-0005-0000-0000-00008F030000}"/>
    <cellStyle name="style1480852670583" xfId="1115" xr:uid="{00000000-0005-0000-0000-000090030000}"/>
    <cellStyle name="style1480852670629" xfId="1116" xr:uid="{00000000-0005-0000-0000-000091030000}"/>
    <cellStyle name="style1480852670676" xfId="1117" xr:uid="{00000000-0005-0000-0000-000092030000}"/>
    <cellStyle name="style1480852670723" xfId="1118" xr:uid="{00000000-0005-0000-0000-000093030000}"/>
    <cellStyle name="style1480852670770" xfId="1119" xr:uid="{00000000-0005-0000-0000-000094030000}"/>
    <cellStyle name="style1480852670817" xfId="1120" xr:uid="{00000000-0005-0000-0000-000095030000}"/>
    <cellStyle name="style1480852670863" xfId="1121" xr:uid="{00000000-0005-0000-0000-000096030000}"/>
    <cellStyle name="style1480852670910" xfId="1122" xr:uid="{00000000-0005-0000-0000-000097030000}"/>
    <cellStyle name="style1480852670973" xfId="1123" xr:uid="{00000000-0005-0000-0000-000098030000}"/>
    <cellStyle name="style1480852671019" xfId="1124" xr:uid="{00000000-0005-0000-0000-000099030000}"/>
    <cellStyle name="style1480852671066" xfId="1125" xr:uid="{00000000-0005-0000-0000-00009A030000}"/>
    <cellStyle name="style1480853544571" xfId="1126" xr:uid="{00000000-0005-0000-0000-00009B030000}"/>
    <cellStyle name="style1480853544742" xfId="1127" xr:uid="{00000000-0005-0000-0000-00009C030000}"/>
    <cellStyle name="style1480853544867" xfId="1128" xr:uid="{00000000-0005-0000-0000-00009D030000}"/>
    <cellStyle name="style1480853544961" xfId="1129" xr:uid="{00000000-0005-0000-0000-00009E030000}"/>
    <cellStyle name="style1480853545054" xfId="1130" xr:uid="{00000000-0005-0000-0000-00009F030000}"/>
    <cellStyle name="style1480853545132" xfId="1131" xr:uid="{00000000-0005-0000-0000-0000A0030000}"/>
    <cellStyle name="style1480853545241" xfId="1132" xr:uid="{00000000-0005-0000-0000-0000A1030000}"/>
    <cellStyle name="style1480853545351" xfId="1133" xr:uid="{00000000-0005-0000-0000-0000A2030000}"/>
    <cellStyle name="style1480853545429" xfId="1134" xr:uid="{00000000-0005-0000-0000-0000A3030000}"/>
    <cellStyle name="style1480853545538" xfId="1135" xr:uid="{00000000-0005-0000-0000-0000A4030000}"/>
    <cellStyle name="style1480853545631" xfId="1136" xr:uid="{00000000-0005-0000-0000-0000A5030000}"/>
    <cellStyle name="style1480853545725" xfId="1137" xr:uid="{00000000-0005-0000-0000-0000A6030000}"/>
    <cellStyle name="style1480853545819" xfId="1138" xr:uid="{00000000-0005-0000-0000-0000A7030000}"/>
    <cellStyle name="style1480853545897" xfId="1139" xr:uid="{00000000-0005-0000-0000-0000A8030000}"/>
    <cellStyle name="style1480853545990" xfId="1140" xr:uid="{00000000-0005-0000-0000-0000A9030000}"/>
    <cellStyle name="style1480853546084" xfId="1141" xr:uid="{00000000-0005-0000-0000-0000AA030000}"/>
    <cellStyle name="style1480853546177" xfId="1142" xr:uid="{00000000-0005-0000-0000-0000AB030000}"/>
    <cellStyle name="style1480853546271" xfId="1143" xr:uid="{00000000-0005-0000-0000-0000AC030000}"/>
    <cellStyle name="style1480853546380" xfId="1144" xr:uid="{00000000-0005-0000-0000-0000AD030000}"/>
    <cellStyle name="style1480853546474" xfId="1145" xr:uid="{00000000-0005-0000-0000-0000AE030000}"/>
    <cellStyle name="style1480853546583" xfId="1146" xr:uid="{00000000-0005-0000-0000-0000AF030000}"/>
    <cellStyle name="style1480853546677" xfId="1147" xr:uid="{00000000-0005-0000-0000-0000B0030000}"/>
    <cellStyle name="style1480853546770" xfId="1148" xr:uid="{00000000-0005-0000-0000-0000B1030000}"/>
    <cellStyle name="style1480853546833" xfId="1149" xr:uid="{00000000-0005-0000-0000-0000B2030000}"/>
    <cellStyle name="style1480853546926" xfId="1150" xr:uid="{00000000-0005-0000-0000-0000B3030000}"/>
    <cellStyle name="style1480853547020" xfId="1151" xr:uid="{00000000-0005-0000-0000-0000B4030000}"/>
    <cellStyle name="style1480853547113" xfId="1152" xr:uid="{00000000-0005-0000-0000-0000B5030000}"/>
    <cellStyle name="style1480853547207" xfId="1153" xr:uid="{00000000-0005-0000-0000-0000B6030000}"/>
    <cellStyle name="style1480853547301" xfId="1154" xr:uid="{00000000-0005-0000-0000-0000B7030000}"/>
    <cellStyle name="style1480853547394" xfId="1155" xr:uid="{00000000-0005-0000-0000-0000B8030000}"/>
    <cellStyle name="style1480853547472" xfId="1156" xr:uid="{00000000-0005-0000-0000-0000B9030000}"/>
    <cellStyle name="style1480853547613" xfId="1157" xr:uid="{00000000-0005-0000-0000-0000BA030000}"/>
    <cellStyle name="style1480853547722" xfId="1158" xr:uid="{00000000-0005-0000-0000-0000BB030000}"/>
    <cellStyle name="style1480853547862" xfId="1159" xr:uid="{00000000-0005-0000-0000-0000BC030000}"/>
    <cellStyle name="style1480853547971" xfId="1160" xr:uid="{00000000-0005-0000-0000-0000BD030000}"/>
    <cellStyle name="style1480853548112" xfId="1161" xr:uid="{00000000-0005-0000-0000-0000BE030000}"/>
    <cellStyle name="style1480853548205" xfId="1162" xr:uid="{00000000-0005-0000-0000-0000BF030000}"/>
    <cellStyle name="style1480853548283" xfId="1163" xr:uid="{00000000-0005-0000-0000-0000C0030000}"/>
    <cellStyle name="style1480853548377" xfId="1164" xr:uid="{00000000-0005-0000-0000-0000C1030000}"/>
    <cellStyle name="style1480853548471" xfId="1165" xr:uid="{00000000-0005-0000-0000-0000C2030000}"/>
    <cellStyle name="style1487292822303" xfId="493" xr:uid="{00000000-0005-0000-0000-0000C3030000}"/>
    <cellStyle name="style1487292822349" xfId="494" xr:uid="{00000000-0005-0000-0000-0000C4030000}"/>
    <cellStyle name="style1487292822396" xfId="495" xr:uid="{00000000-0005-0000-0000-0000C5030000}"/>
    <cellStyle name="style1487292822443" xfId="496" xr:uid="{00000000-0005-0000-0000-0000C6030000}"/>
    <cellStyle name="style1487292822490" xfId="497" xr:uid="{00000000-0005-0000-0000-0000C7030000}"/>
    <cellStyle name="style1487292822537" xfId="498" xr:uid="{00000000-0005-0000-0000-0000C8030000}"/>
    <cellStyle name="style1487292822583" xfId="499" xr:uid="{00000000-0005-0000-0000-0000C9030000}"/>
    <cellStyle name="style1487292822646" xfId="500" xr:uid="{00000000-0005-0000-0000-0000CA030000}"/>
    <cellStyle name="style1487292822693" xfId="501" xr:uid="{00000000-0005-0000-0000-0000CB030000}"/>
    <cellStyle name="style1487292822739" xfId="502" xr:uid="{00000000-0005-0000-0000-0000CC030000}"/>
    <cellStyle name="style1487292822786" xfId="503" xr:uid="{00000000-0005-0000-0000-0000CD030000}"/>
    <cellStyle name="style1487292822833" xfId="504" xr:uid="{00000000-0005-0000-0000-0000CE030000}"/>
    <cellStyle name="style1487292822895" xfId="505" xr:uid="{00000000-0005-0000-0000-0000CF030000}"/>
    <cellStyle name="style1487292822942" xfId="506" xr:uid="{00000000-0005-0000-0000-0000D0030000}"/>
    <cellStyle name="style1487292822989" xfId="507" xr:uid="{00000000-0005-0000-0000-0000D1030000}"/>
    <cellStyle name="style1487292823051" xfId="508" xr:uid="{00000000-0005-0000-0000-0000D2030000}"/>
    <cellStyle name="style1487292823098" xfId="509" xr:uid="{00000000-0005-0000-0000-0000D3030000}"/>
    <cellStyle name="style1487292823161" xfId="510" xr:uid="{00000000-0005-0000-0000-0000D4030000}"/>
    <cellStyle name="style1487292823239" xfId="511" xr:uid="{00000000-0005-0000-0000-0000D5030000}"/>
    <cellStyle name="style1487292823301" xfId="512" xr:uid="{00000000-0005-0000-0000-0000D6030000}"/>
    <cellStyle name="style1487292823363" xfId="513" xr:uid="{00000000-0005-0000-0000-0000D7030000}"/>
    <cellStyle name="style1487292823410" xfId="514" xr:uid="{00000000-0005-0000-0000-0000D8030000}"/>
    <cellStyle name="style1487292823457" xfId="515" xr:uid="{00000000-0005-0000-0000-0000D9030000}"/>
    <cellStyle name="style1487292823519" xfId="516" xr:uid="{00000000-0005-0000-0000-0000DA030000}"/>
    <cellStyle name="style1487292823566" xfId="517" xr:uid="{00000000-0005-0000-0000-0000DB030000}"/>
    <cellStyle name="style1487292823629" xfId="518" xr:uid="{00000000-0005-0000-0000-0000DC030000}"/>
    <cellStyle name="style1487292823675" xfId="519" xr:uid="{00000000-0005-0000-0000-0000DD030000}"/>
    <cellStyle name="style1487292823738" xfId="520" xr:uid="{00000000-0005-0000-0000-0000DE030000}"/>
    <cellStyle name="style1487292823785" xfId="521" xr:uid="{00000000-0005-0000-0000-0000DF030000}"/>
    <cellStyle name="style1487292823847" xfId="522" xr:uid="{00000000-0005-0000-0000-0000E0030000}"/>
    <cellStyle name="style1487292823894" xfId="523" xr:uid="{00000000-0005-0000-0000-0000E1030000}"/>
    <cellStyle name="style1487292823956" xfId="524" xr:uid="{00000000-0005-0000-0000-0000E2030000}"/>
    <cellStyle name="style1487292824003" xfId="525" xr:uid="{00000000-0005-0000-0000-0000E3030000}"/>
    <cellStyle name="style1487292824050" xfId="526" xr:uid="{00000000-0005-0000-0000-0000E4030000}"/>
    <cellStyle name="style1487292824143" xfId="527" xr:uid="{00000000-0005-0000-0000-0000E5030000}"/>
    <cellStyle name="style1487292824190" xfId="528" xr:uid="{00000000-0005-0000-0000-0000E6030000}"/>
    <cellStyle name="style1487292824237" xfId="529" xr:uid="{00000000-0005-0000-0000-0000E7030000}"/>
    <cellStyle name="style1487292824268" xfId="530" xr:uid="{00000000-0005-0000-0000-0000E8030000}"/>
    <cellStyle name="style1487292824331" xfId="531" xr:uid="{00000000-0005-0000-0000-0000E9030000}"/>
    <cellStyle name="style1487292824377" xfId="532" xr:uid="{00000000-0005-0000-0000-0000EA030000}"/>
    <cellStyle name="style1487292824424" xfId="533" xr:uid="{00000000-0005-0000-0000-0000EB030000}"/>
    <cellStyle name="style1487292824471" xfId="534" xr:uid="{00000000-0005-0000-0000-0000EC030000}"/>
    <cellStyle name="style1487292824518" xfId="535" xr:uid="{00000000-0005-0000-0000-0000ED030000}"/>
    <cellStyle name="style1487292824565" xfId="536" xr:uid="{00000000-0005-0000-0000-0000EE030000}"/>
    <cellStyle name="style1487292824611" xfId="537" xr:uid="{00000000-0005-0000-0000-0000EF030000}"/>
    <cellStyle name="style1487292824689" xfId="538" xr:uid="{00000000-0005-0000-0000-0000F0030000}"/>
    <cellStyle name="style1487292824736" xfId="539" xr:uid="{00000000-0005-0000-0000-0000F1030000}"/>
    <cellStyle name="style1487292824783" xfId="540" xr:uid="{00000000-0005-0000-0000-0000F2030000}"/>
    <cellStyle name="style1487292824861" xfId="541" xr:uid="{00000000-0005-0000-0000-0000F3030000}"/>
    <cellStyle name="style1487292824908" xfId="542" xr:uid="{00000000-0005-0000-0000-0000F4030000}"/>
    <cellStyle name="style1487292824970" xfId="543" xr:uid="{00000000-0005-0000-0000-0000F5030000}"/>
    <cellStyle name="style1487292825017" xfId="544" xr:uid="{00000000-0005-0000-0000-0000F6030000}"/>
    <cellStyle name="style1487292825064" xfId="545" xr:uid="{00000000-0005-0000-0000-0000F7030000}"/>
    <cellStyle name="style1487292825111" xfId="546" xr:uid="{00000000-0005-0000-0000-0000F8030000}"/>
    <cellStyle name="style1487292825204" xfId="547" xr:uid="{00000000-0005-0000-0000-0000F9030000}"/>
    <cellStyle name="style1487292825251" xfId="548" xr:uid="{00000000-0005-0000-0000-0000FA030000}"/>
    <cellStyle name="style1487292825298" xfId="549" xr:uid="{00000000-0005-0000-0000-0000FB030000}"/>
    <cellStyle name="style1487292825345" xfId="550" xr:uid="{00000000-0005-0000-0000-0000FC030000}"/>
    <cellStyle name="style1487292826125" xfId="551" xr:uid="{00000000-0005-0000-0000-0000FD030000}"/>
    <cellStyle name="style1487292826171" xfId="552" xr:uid="{00000000-0005-0000-0000-0000FE030000}"/>
    <cellStyle name="style1487292826218" xfId="553" xr:uid="{00000000-0005-0000-0000-0000FF030000}"/>
    <cellStyle name="style1487292826530" xfId="554" xr:uid="{00000000-0005-0000-0000-000000040000}"/>
    <cellStyle name="style1487292826577" xfId="555" xr:uid="{00000000-0005-0000-0000-000001040000}"/>
    <cellStyle name="style1487292826624" xfId="556" xr:uid="{00000000-0005-0000-0000-000002040000}"/>
    <cellStyle name="style1487292826671" xfId="557" xr:uid="{00000000-0005-0000-0000-000003040000}"/>
    <cellStyle name="style1487292826702" xfId="558" xr:uid="{00000000-0005-0000-0000-000004040000}"/>
    <cellStyle name="style1487292826749" xfId="559" xr:uid="{00000000-0005-0000-0000-000005040000}"/>
    <cellStyle name="style1487292826780" xfId="560" xr:uid="{00000000-0005-0000-0000-000006040000}"/>
    <cellStyle name="style1487292826827" xfId="561" xr:uid="{00000000-0005-0000-0000-000007040000}"/>
    <cellStyle name="style1487292827451" xfId="562" xr:uid="{00000000-0005-0000-0000-000008040000}"/>
    <cellStyle name="style1487292827497" xfId="563" xr:uid="{00000000-0005-0000-0000-000009040000}"/>
    <cellStyle name="style1487292827544" xfId="564" xr:uid="{00000000-0005-0000-0000-00000A040000}"/>
    <cellStyle name="style1487292827575" xfId="565" xr:uid="{00000000-0005-0000-0000-00000B040000}"/>
    <cellStyle name="style1487292827622" xfId="566" xr:uid="{00000000-0005-0000-0000-00000C040000}"/>
    <cellStyle name="style1487292827669" xfId="567" xr:uid="{00000000-0005-0000-0000-00000D040000}"/>
    <cellStyle name="style1487292827700" xfId="568" xr:uid="{00000000-0005-0000-0000-00000E040000}"/>
    <cellStyle name="style1487292827747" xfId="569" xr:uid="{00000000-0005-0000-0000-00000F040000}"/>
    <cellStyle name="style1487292827778" xfId="570" xr:uid="{00000000-0005-0000-0000-000010040000}"/>
    <cellStyle name="style1487292827841" xfId="571" xr:uid="{00000000-0005-0000-0000-000011040000}"/>
    <cellStyle name="style1487292827872" xfId="572" xr:uid="{00000000-0005-0000-0000-000012040000}"/>
    <cellStyle name="style1487292827981" xfId="573" xr:uid="{00000000-0005-0000-0000-000013040000}"/>
    <cellStyle name="style1487292828043" xfId="574" xr:uid="{00000000-0005-0000-0000-000014040000}"/>
    <cellStyle name="style1487292828168" xfId="575" xr:uid="{00000000-0005-0000-0000-000015040000}"/>
    <cellStyle name="style1487292828215" xfId="576" xr:uid="{00000000-0005-0000-0000-000016040000}"/>
    <cellStyle name="style1487292828262" xfId="577" xr:uid="{00000000-0005-0000-0000-000017040000}"/>
    <cellStyle name="style1487292828309" xfId="578" xr:uid="{00000000-0005-0000-0000-000018040000}"/>
    <cellStyle name="style1487292880990" xfId="626" xr:uid="{00000000-0005-0000-0000-000019040000}"/>
    <cellStyle name="style1487292881083" xfId="625" xr:uid="{00000000-0005-0000-0000-00001A040000}"/>
    <cellStyle name="style1487292881130" xfId="624" xr:uid="{00000000-0005-0000-0000-00001B040000}"/>
    <cellStyle name="style1487292881177" xfId="623" xr:uid="{00000000-0005-0000-0000-00001C040000}"/>
    <cellStyle name="style1487292881224" xfId="622" xr:uid="{00000000-0005-0000-0000-00001D040000}"/>
    <cellStyle name="style1487292881271" xfId="621" xr:uid="{00000000-0005-0000-0000-00001E040000}"/>
    <cellStyle name="style1487292881317" xfId="620" xr:uid="{00000000-0005-0000-0000-00001F040000}"/>
    <cellStyle name="style1487292881380" xfId="619" xr:uid="{00000000-0005-0000-0000-000020040000}"/>
    <cellStyle name="style1487292881427" xfId="618" xr:uid="{00000000-0005-0000-0000-000021040000}"/>
    <cellStyle name="style1487292881473" xfId="617" xr:uid="{00000000-0005-0000-0000-000022040000}"/>
    <cellStyle name="style1487292881520" xfId="616" xr:uid="{00000000-0005-0000-0000-000023040000}"/>
    <cellStyle name="style1487292881567" xfId="615" xr:uid="{00000000-0005-0000-0000-000024040000}"/>
    <cellStyle name="style1487292881614" xfId="614" xr:uid="{00000000-0005-0000-0000-000025040000}"/>
    <cellStyle name="style1487292881661" xfId="613" xr:uid="{00000000-0005-0000-0000-000026040000}"/>
    <cellStyle name="style1487292881723" xfId="612" xr:uid="{00000000-0005-0000-0000-000027040000}"/>
    <cellStyle name="style1487292881785" xfId="611" xr:uid="{00000000-0005-0000-0000-000028040000}"/>
    <cellStyle name="style1487292881832" xfId="610" xr:uid="{00000000-0005-0000-0000-000029040000}"/>
    <cellStyle name="style1487292881879" xfId="609" xr:uid="{00000000-0005-0000-0000-00002A040000}"/>
    <cellStyle name="style1487292881926" xfId="608" xr:uid="{00000000-0005-0000-0000-00002B040000}"/>
    <cellStyle name="style1487292881973" xfId="607" xr:uid="{00000000-0005-0000-0000-00002C040000}"/>
    <cellStyle name="style1487292882019" xfId="606" xr:uid="{00000000-0005-0000-0000-00002D040000}"/>
    <cellStyle name="style1487292882129" xfId="605" xr:uid="{00000000-0005-0000-0000-00002E040000}"/>
    <cellStyle name="style1487292882191" xfId="604" xr:uid="{00000000-0005-0000-0000-00002F040000}"/>
    <cellStyle name="style1487292882238" xfId="603" xr:uid="{00000000-0005-0000-0000-000030040000}"/>
    <cellStyle name="style1487292882285" xfId="602" xr:uid="{00000000-0005-0000-0000-000031040000}"/>
    <cellStyle name="style1487292882331" xfId="601" xr:uid="{00000000-0005-0000-0000-000032040000}"/>
    <cellStyle name="style1487292882378" xfId="600" xr:uid="{00000000-0005-0000-0000-000033040000}"/>
    <cellStyle name="style1487292882425" xfId="599" xr:uid="{00000000-0005-0000-0000-000034040000}"/>
    <cellStyle name="style1487292882487" xfId="598" xr:uid="{00000000-0005-0000-0000-000035040000}"/>
    <cellStyle name="style1487292882534" xfId="597" xr:uid="{00000000-0005-0000-0000-000036040000}"/>
    <cellStyle name="style1487292882581" xfId="596" xr:uid="{00000000-0005-0000-0000-000037040000}"/>
    <cellStyle name="style1487292882628" xfId="595" xr:uid="{00000000-0005-0000-0000-000038040000}"/>
    <cellStyle name="style1487292882675" xfId="594" xr:uid="{00000000-0005-0000-0000-000039040000}"/>
    <cellStyle name="style1487292882862" xfId="593" xr:uid="{00000000-0005-0000-0000-00003A040000}"/>
    <cellStyle name="style1487292882909" xfId="592" xr:uid="{00000000-0005-0000-0000-00003B040000}"/>
    <cellStyle name="style1487292882955" xfId="591" xr:uid="{00000000-0005-0000-0000-00003C040000}"/>
    <cellStyle name="style1487292883002" xfId="590" xr:uid="{00000000-0005-0000-0000-00003D040000}"/>
    <cellStyle name="style1487292883049" xfId="589" xr:uid="{00000000-0005-0000-0000-00003E040000}"/>
    <cellStyle name="style1487292883096" xfId="588" xr:uid="{00000000-0005-0000-0000-00003F040000}"/>
    <cellStyle name="style1487292883143" xfId="587" xr:uid="{00000000-0005-0000-0000-000040040000}"/>
    <cellStyle name="style1487292883189" xfId="586" xr:uid="{00000000-0005-0000-0000-000041040000}"/>
    <cellStyle name="style1487292883252" xfId="585" xr:uid="{00000000-0005-0000-0000-000042040000}"/>
    <cellStyle name="style1487292883299" xfId="584" xr:uid="{00000000-0005-0000-0000-000043040000}"/>
    <cellStyle name="style1487292883345" xfId="583" xr:uid="{00000000-0005-0000-0000-000044040000}"/>
    <cellStyle name="style1487292883392" xfId="582" xr:uid="{00000000-0005-0000-0000-000045040000}"/>
    <cellStyle name="style1487292883439" xfId="581" xr:uid="{00000000-0005-0000-0000-000046040000}"/>
    <cellStyle name="style1487292883486" xfId="580" xr:uid="{00000000-0005-0000-0000-000047040000}"/>
    <cellStyle name="style1487292883595" xfId="579" xr:uid="{00000000-0005-0000-0000-000048040000}"/>
    <cellStyle name="style1487311991789" xfId="627" xr:uid="{00000000-0005-0000-0000-000049040000}"/>
    <cellStyle name="style1487311991852" xfId="628" xr:uid="{00000000-0005-0000-0000-00004A040000}"/>
    <cellStyle name="style1487311991883" xfId="629" xr:uid="{00000000-0005-0000-0000-00004B040000}"/>
    <cellStyle name="style1487311991930" xfId="630" xr:uid="{00000000-0005-0000-0000-00004C040000}"/>
    <cellStyle name="style1487311991977" xfId="631" xr:uid="{00000000-0005-0000-0000-00004D040000}"/>
    <cellStyle name="style1487311992023" xfId="632" xr:uid="{00000000-0005-0000-0000-00004E040000}"/>
    <cellStyle name="style1487311992070" xfId="633" xr:uid="{00000000-0005-0000-0000-00004F040000}"/>
    <cellStyle name="style1487311992117" xfId="634" xr:uid="{00000000-0005-0000-0000-000050040000}"/>
    <cellStyle name="style1487311992179" xfId="635" xr:uid="{00000000-0005-0000-0000-000051040000}"/>
    <cellStyle name="style1487311992226" xfId="636" xr:uid="{00000000-0005-0000-0000-000052040000}"/>
    <cellStyle name="style1487311992273" xfId="637" xr:uid="{00000000-0005-0000-0000-000053040000}"/>
    <cellStyle name="style1487311992320" xfId="638" xr:uid="{00000000-0005-0000-0000-000054040000}"/>
    <cellStyle name="style1487311992367" xfId="639" xr:uid="{00000000-0005-0000-0000-000055040000}"/>
    <cellStyle name="style1487311992413" xfId="640" xr:uid="{00000000-0005-0000-0000-000056040000}"/>
    <cellStyle name="style1487311992476" xfId="641" xr:uid="{00000000-0005-0000-0000-000057040000}"/>
    <cellStyle name="style1487311992523" xfId="642" xr:uid="{00000000-0005-0000-0000-000058040000}"/>
    <cellStyle name="style1487311992585" xfId="643" xr:uid="{00000000-0005-0000-0000-000059040000}"/>
    <cellStyle name="style1487311992632" xfId="644" xr:uid="{00000000-0005-0000-0000-00005A040000}"/>
    <cellStyle name="style1487311992679" xfId="645" xr:uid="{00000000-0005-0000-0000-00005B040000}"/>
    <cellStyle name="style1487311992725" xfId="646" xr:uid="{00000000-0005-0000-0000-00005C040000}"/>
    <cellStyle name="style1487311992772" xfId="647" xr:uid="{00000000-0005-0000-0000-00005D040000}"/>
    <cellStyle name="style1487311992881" xfId="648" xr:uid="{00000000-0005-0000-0000-00005E040000}"/>
    <cellStyle name="style1487311992944" xfId="649" xr:uid="{00000000-0005-0000-0000-00005F040000}"/>
    <cellStyle name="style1487311992991" xfId="650" xr:uid="{00000000-0005-0000-0000-000060040000}"/>
    <cellStyle name="style1487311993037" xfId="651" xr:uid="{00000000-0005-0000-0000-000061040000}"/>
    <cellStyle name="style1487311993084" xfId="652" xr:uid="{00000000-0005-0000-0000-000062040000}"/>
    <cellStyle name="style1487311993131" xfId="653" xr:uid="{00000000-0005-0000-0000-000063040000}"/>
    <cellStyle name="style1487311993178" xfId="654" xr:uid="{00000000-0005-0000-0000-000064040000}"/>
    <cellStyle name="style1487311993240" xfId="655" xr:uid="{00000000-0005-0000-0000-000065040000}"/>
    <cellStyle name="style1487311993287" xfId="656" xr:uid="{00000000-0005-0000-0000-000066040000}"/>
    <cellStyle name="style1487311993334" xfId="657" xr:uid="{00000000-0005-0000-0000-000067040000}"/>
    <cellStyle name="style1487311993381" xfId="658" xr:uid="{00000000-0005-0000-0000-000068040000}"/>
    <cellStyle name="style1487311993443" xfId="659" xr:uid="{00000000-0005-0000-0000-000069040000}"/>
    <cellStyle name="style1487311993583" xfId="660" xr:uid="{00000000-0005-0000-0000-00006A040000}"/>
    <cellStyle name="style1487311993630" xfId="661" xr:uid="{00000000-0005-0000-0000-00006B040000}"/>
    <cellStyle name="style1487311993677" xfId="662" xr:uid="{00000000-0005-0000-0000-00006C040000}"/>
    <cellStyle name="style1487311993724" xfId="663" xr:uid="{00000000-0005-0000-0000-00006D040000}"/>
    <cellStyle name="style1487311993771" xfId="664" xr:uid="{00000000-0005-0000-0000-00006E040000}"/>
    <cellStyle name="style1487311993817" xfId="665" xr:uid="{00000000-0005-0000-0000-00006F040000}"/>
    <cellStyle name="style1487311993864" xfId="666" xr:uid="{00000000-0005-0000-0000-000070040000}"/>
    <cellStyle name="style1487311993911" xfId="667" xr:uid="{00000000-0005-0000-0000-000071040000}"/>
    <cellStyle name="style1487311993958" xfId="668" xr:uid="{00000000-0005-0000-0000-000072040000}"/>
    <cellStyle name="style1487311994020" xfId="669" xr:uid="{00000000-0005-0000-0000-000073040000}"/>
    <cellStyle name="style1487311994067" xfId="670" xr:uid="{00000000-0005-0000-0000-000074040000}"/>
    <cellStyle name="style1487311994114" xfId="671" xr:uid="{00000000-0005-0000-0000-000075040000}"/>
    <cellStyle name="style1487311994161" xfId="672" xr:uid="{00000000-0005-0000-0000-000076040000}"/>
    <cellStyle name="style1487311994207" xfId="673" xr:uid="{00000000-0005-0000-0000-000077040000}"/>
    <cellStyle name="style1487311994270" xfId="674" xr:uid="{00000000-0005-0000-0000-000078040000}"/>
    <cellStyle name="style1487311994395" xfId="675" xr:uid="{00000000-0005-0000-0000-000079040000}"/>
    <cellStyle name="style1487311994457" xfId="676" xr:uid="{00000000-0005-0000-0000-00007A040000}"/>
    <cellStyle name="style1487311994504" xfId="677" xr:uid="{00000000-0005-0000-0000-00007B040000}"/>
    <cellStyle name="style1487311994551" xfId="678" xr:uid="{00000000-0005-0000-0000-00007C040000}"/>
    <cellStyle name="style1487311994597" xfId="679" xr:uid="{00000000-0005-0000-0000-00007D040000}"/>
    <cellStyle name="style1487311994644" xfId="680" xr:uid="{00000000-0005-0000-0000-00007E040000}"/>
    <cellStyle name="style1487311994691" xfId="681" xr:uid="{00000000-0005-0000-0000-00007F040000}"/>
    <cellStyle name="style1487311994722" xfId="682" xr:uid="{00000000-0005-0000-0000-000080040000}"/>
    <cellStyle name="style1487311994753" xfId="683" xr:uid="{00000000-0005-0000-0000-000081040000}"/>
    <cellStyle name="style1487311994800" xfId="684" xr:uid="{00000000-0005-0000-0000-000082040000}"/>
    <cellStyle name="style1487311994831" xfId="685" xr:uid="{00000000-0005-0000-0000-000083040000}"/>
    <cellStyle name="style1487311994878" xfId="686" xr:uid="{00000000-0005-0000-0000-000084040000}"/>
    <cellStyle name="style1487311994909" xfId="687" xr:uid="{00000000-0005-0000-0000-000085040000}"/>
    <cellStyle name="style1487311994941" xfId="688" xr:uid="{00000000-0005-0000-0000-000086040000}"/>
    <cellStyle name="style1487311995019" xfId="689" xr:uid="{00000000-0005-0000-0000-000087040000}"/>
    <cellStyle name="style1487311995081" xfId="690" xr:uid="{00000000-0005-0000-0000-000088040000}"/>
    <cellStyle name="style1487311995128" xfId="691" xr:uid="{00000000-0005-0000-0000-000089040000}"/>
    <cellStyle name="style1487311995175" xfId="692" xr:uid="{00000000-0005-0000-0000-00008A040000}"/>
    <cellStyle name="style1487311995221" xfId="693" xr:uid="{00000000-0005-0000-0000-00008B040000}"/>
    <cellStyle name="style1487311995268" xfId="694" xr:uid="{00000000-0005-0000-0000-00008C040000}"/>
    <cellStyle name="style1487311995315" xfId="695" xr:uid="{00000000-0005-0000-0000-00008D040000}"/>
    <cellStyle name="style1505694651028" xfId="1166" xr:uid="{00000000-0005-0000-0000-00008E040000}"/>
    <cellStyle name="style1505694651122" xfId="1167" xr:uid="{00000000-0005-0000-0000-00008F040000}"/>
    <cellStyle name="style1505694651184" xfId="1168" xr:uid="{00000000-0005-0000-0000-000090040000}"/>
    <cellStyle name="style1505694651262" xfId="1169" xr:uid="{00000000-0005-0000-0000-000091040000}"/>
    <cellStyle name="style1505694651340" xfId="1170" xr:uid="{00000000-0005-0000-0000-000092040000}"/>
    <cellStyle name="style1505694651402" xfId="1171" xr:uid="{00000000-0005-0000-0000-000093040000}"/>
    <cellStyle name="style1505694651465" xfId="1172" xr:uid="{00000000-0005-0000-0000-000094040000}"/>
    <cellStyle name="style1505694651527" xfId="1173" xr:uid="{00000000-0005-0000-0000-000095040000}"/>
    <cellStyle name="style1505694651590" xfId="1174" xr:uid="{00000000-0005-0000-0000-000096040000}"/>
    <cellStyle name="style1505694651668" xfId="1175" xr:uid="{00000000-0005-0000-0000-000097040000}"/>
    <cellStyle name="style1505694651730" xfId="1176" xr:uid="{00000000-0005-0000-0000-000098040000}"/>
    <cellStyle name="style1505694651808" xfId="1177" xr:uid="{00000000-0005-0000-0000-000099040000}"/>
    <cellStyle name="style1505694651870" xfId="1178" xr:uid="{00000000-0005-0000-0000-00009A040000}"/>
    <cellStyle name="style1505694651948" xfId="1179" xr:uid="{00000000-0005-0000-0000-00009B040000}"/>
    <cellStyle name="style1505694652011" xfId="1180" xr:uid="{00000000-0005-0000-0000-00009C040000}"/>
    <cellStyle name="style1505694652073" xfId="1181" xr:uid="{00000000-0005-0000-0000-00009D040000}"/>
    <cellStyle name="style1505694652136" xfId="1182" xr:uid="{00000000-0005-0000-0000-00009E040000}"/>
    <cellStyle name="style1505694652198" xfId="1183" xr:uid="{00000000-0005-0000-0000-00009F040000}"/>
    <cellStyle name="style1505694652276" xfId="1184" xr:uid="{00000000-0005-0000-0000-0000A0040000}"/>
    <cellStyle name="style1505694652354" xfId="1185" xr:uid="{00000000-0005-0000-0000-0000A1040000}"/>
    <cellStyle name="style1505694652432" xfId="1186" xr:uid="{00000000-0005-0000-0000-0000A2040000}"/>
    <cellStyle name="style1505694652494" xfId="1187" xr:uid="{00000000-0005-0000-0000-0000A3040000}"/>
    <cellStyle name="style1505694652557" xfId="1188" xr:uid="{00000000-0005-0000-0000-0000A4040000}"/>
    <cellStyle name="style1505694652604" xfId="1189" xr:uid="{00000000-0005-0000-0000-0000A5040000}"/>
    <cellStyle name="style1505694652666" xfId="1190" xr:uid="{00000000-0005-0000-0000-0000A6040000}"/>
    <cellStyle name="style1505694652728" xfId="1191" xr:uid="{00000000-0005-0000-0000-0000A7040000}"/>
    <cellStyle name="style1505694652791" xfId="1192" xr:uid="{00000000-0005-0000-0000-0000A8040000}"/>
    <cellStyle name="style1505694652869" xfId="1193" xr:uid="{00000000-0005-0000-0000-0000A9040000}"/>
    <cellStyle name="style1505694652931" xfId="1194" xr:uid="{00000000-0005-0000-0000-0000AA040000}"/>
    <cellStyle name="style1505694653056" xfId="1195" xr:uid="{00000000-0005-0000-0000-0000AB040000}"/>
    <cellStyle name="style1505694653118" xfId="1196" xr:uid="{00000000-0005-0000-0000-0000AC040000}"/>
    <cellStyle name="style1505694653181" xfId="1197" xr:uid="{00000000-0005-0000-0000-0000AD040000}"/>
    <cellStyle name="style1505694653243" xfId="1198" xr:uid="{00000000-0005-0000-0000-0000AE040000}"/>
    <cellStyle name="style1505694653290" xfId="1199" xr:uid="{00000000-0005-0000-0000-0000AF040000}"/>
    <cellStyle name="style1505694653493" xfId="1200" xr:uid="{00000000-0005-0000-0000-0000B0040000}"/>
    <cellStyle name="style1505694653555" xfId="1201" xr:uid="{00000000-0005-0000-0000-0000B1040000}"/>
    <cellStyle name="style1505694653618" xfId="1202" xr:uid="{00000000-0005-0000-0000-0000B2040000}"/>
    <cellStyle name="style1505694653664" xfId="1203" xr:uid="{00000000-0005-0000-0000-0000B3040000}"/>
    <cellStyle name="style1505694653727" xfId="1204" xr:uid="{00000000-0005-0000-0000-0000B4040000}"/>
    <cellStyle name="style1505694653774" xfId="1205" xr:uid="{00000000-0005-0000-0000-0000B5040000}"/>
    <cellStyle name="style1505694653836" xfId="1206" xr:uid="{00000000-0005-0000-0000-0000B6040000}"/>
    <cellStyle name="style1505694653898" xfId="1207" xr:uid="{00000000-0005-0000-0000-0000B7040000}"/>
    <cellStyle name="style1505694653976" xfId="1208" xr:uid="{00000000-0005-0000-0000-0000B8040000}"/>
    <cellStyle name="style1505694654039" xfId="1209" xr:uid="{00000000-0005-0000-0000-0000B9040000}"/>
    <cellStyle name="style1505694654117" xfId="1211" xr:uid="{00000000-0005-0000-0000-0000BA040000}"/>
    <cellStyle name="style1505694654179" xfId="1210" xr:uid="{00000000-0005-0000-0000-0000BB040000}"/>
    <cellStyle name="style1505694654242" xfId="1212" xr:uid="{00000000-0005-0000-0000-0000BC040000}"/>
    <cellStyle name="style1505694654288" xfId="1213" xr:uid="{00000000-0005-0000-0000-0000BD040000}"/>
    <cellStyle name="style1505694654491" xfId="1214" xr:uid="{00000000-0005-0000-0000-0000BE040000}"/>
    <cellStyle name="style1505694654554" xfId="1215" xr:uid="{00000000-0005-0000-0000-0000BF040000}"/>
    <cellStyle name="style1505694654616" xfId="1216" xr:uid="{00000000-0005-0000-0000-0000C0040000}"/>
    <cellStyle name="style1505694654678" xfId="1217" xr:uid="{00000000-0005-0000-0000-0000C1040000}"/>
    <cellStyle name="style1505694654725" xfId="1218" xr:uid="{00000000-0005-0000-0000-0000C2040000}"/>
    <cellStyle name="style1505694654788" xfId="1219" xr:uid="{00000000-0005-0000-0000-0000C3040000}"/>
    <cellStyle name="style1505694654975" xfId="1220" xr:uid="{00000000-0005-0000-0000-0000C4040000}"/>
    <cellStyle name="style1505694655037" xfId="1221" xr:uid="{00000000-0005-0000-0000-0000C5040000}"/>
    <cellStyle name="style1505694655100" xfId="1222" xr:uid="{00000000-0005-0000-0000-0000C6040000}"/>
    <cellStyle name="style1505694655162" xfId="1223" xr:uid="{00000000-0005-0000-0000-0000C7040000}"/>
    <cellStyle name="style1505694657018" xfId="1224" xr:uid="{00000000-0005-0000-0000-0000C8040000}"/>
    <cellStyle name="style1505694657081" xfId="1225" xr:uid="{00000000-0005-0000-0000-0000C9040000}"/>
    <cellStyle name="style1505694657143" xfId="1226" xr:uid="{00000000-0005-0000-0000-0000CA040000}"/>
    <cellStyle name="style1505694657845" xfId="1227" xr:uid="{00000000-0005-0000-0000-0000CB040000}"/>
    <cellStyle name="style1505694657908" xfId="1228" xr:uid="{00000000-0005-0000-0000-0000CC040000}"/>
    <cellStyle name="style1505694657970" xfId="1229" xr:uid="{00000000-0005-0000-0000-0000CD040000}"/>
    <cellStyle name="style1505694658017" xfId="1230" xr:uid="{00000000-0005-0000-0000-0000CE040000}"/>
    <cellStyle name="style1505694658064" xfId="1231" xr:uid="{00000000-0005-0000-0000-0000CF040000}"/>
    <cellStyle name="style1505694658110" xfId="1232" xr:uid="{00000000-0005-0000-0000-0000D0040000}"/>
    <cellStyle name="style1505694658157" xfId="1233" xr:uid="{00000000-0005-0000-0000-0000D1040000}"/>
    <cellStyle name="style1505694658204" xfId="1234" xr:uid="{00000000-0005-0000-0000-0000D2040000}"/>
    <cellStyle name="style1505694659530" xfId="1235" xr:uid="{00000000-0005-0000-0000-0000D3040000}"/>
    <cellStyle name="style1505694659592" xfId="1236" xr:uid="{00000000-0005-0000-0000-0000D4040000}"/>
    <cellStyle name="style1505694659639" xfId="1237" xr:uid="{00000000-0005-0000-0000-0000D5040000}"/>
    <cellStyle name="style1505694659686" xfId="1238" xr:uid="{00000000-0005-0000-0000-0000D6040000}"/>
    <cellStyle name="style1505694659733" xfId="1239" xr:uid="{00000000-0005-0000-0000-0000D7040000}"/>
    <cellStyle name="style1505694659780" xfId="1240" xr:uid="{00000000-0005-0000-0000-0000D8040000}"/>
    <cellStyle name="style1505694659826" xfId="1241" xr:uid="{00000000-0005-0000-0000-0000D9040000}"/>
    <cellStyle name="style1505694659858" xfId="1242" xr:uid="{00000000-0005-0000-0000-0000DA040000}"/>
    <cellStyle name="style1505694659936" xfId="1243" xr:uid="{00000000-0005-0000-0000-0000DB040000}"/>
    <cellStyle name="style1505694660014" xfId="1244" xr:uid="{00000000-0005-0000-0000-0000DC040000}"/>
    <cellStyle name="style1505694660045" xfId="1245" xr:uid="{00000000-0005-0000-0000-0000DD040000}"/>
    <cellStyle name="style1505694660232" xfId="1246" xr:uid="{00000000-0005-0000-0000-0000DE040000}"/>
    <cellStyle name="style1505694660294" xfId="1247" xr:uid="{00000000-0005-0000-0000-0000DF040000}"/>
    <cellStyle name="style1505694660528" xfId="1248" xr:uid="{00000000-0005-0000-0000-0000E0040000}"/>
    <cellStyle name="style1505694660575" xfId="1249" xr:uid="{00000000-0005-0000-0000-0000E1040000}"/>
    <cellStyle name="style1505694660638" xfId="1250" xr:uid="{00000000-0005-0000-0000-0000E2040000}"/>
    <cellStyle name="style1505694660684" xfId="1251" xr:uid="{00000000-0005-0000-0000-0000E3040000}"/>
    <cellStyle name="style1505695310332" xfId="1252" xr:uid="{00000000-0005-0000-0000-0000E4040000}"/>
    <cellStyle name="style1505695310395" xfId="1253" xr:uid="{00000000-0005-0000-0000-0000E5040000}"/>
    <cellStyle name="style1505695310442" xfId="1254" xr:uid="{00000000-0005-0000-0000-0000E6040000}"/>
    <cellStyle name="style1505695310488" xfId="1255" xr:uid="{00000000-0005-0000-0000-0000E7040000}"/>
    <cellStyle name="style1505695310551" xfId="1256" xr:uid="{00000000-0005-0000-0000-0000E8040000}"/>
    <cellStyle name="style1505695310598" xfId="1257" xr:uid="{00000000-0005-0000-0000-0000E9040000}"/>
    <cellStyle name="style1505695310644" xfId="1258" xr:uid="{00000000-0005-0000-0000-0000EA040000}"/>
    <cellStyle name="style1505695310707" xfId="1259" xr:uid="{00000000-0005-0000-0000-0000EB040000}"/>
    <cellStyle name="style1505695310754" xfId="1260" xr:uid="{00000000-0005-0000-0000-0000EC040000}"/>
    <cellStyle name="style1505695310816" xfId="1261" xr:uid="{00000000-0005-0000-0000-0000ED040000}"/>
    <cellStyle name="style1505695310863" xfId="1262" xr:uid="{00000000-0005-0000-0000-0000EE040000}"/>
    <cellStyle name="style1505695310925" xfId="1263" xr:uid="{00000000-0005-0000-0000-0000EF040000}"/>
    <cellStyle name="style1505695310988" xfId="1264" xr:uid="{00000000-0005-0000-0000-0000F0040000}"/>
    <cellStyle name="style1505695311050" xfId="1265" xr:uid="{00000000-0005-0000-0000-0000F1040000}"/>
    <cellStyle name="style1505695311097" xfId="1266" xr:uid="{00000000-0005-0000-0000-0000F2040000}"/>
    <cellStyle name="style1505695311159" xfId="1267" xr:uid="{00000000-0005-0000-0000-0000F3040000}"/>
    <cellStyle name="style1505695311206" xfId="1269" xr:uid="{00000000-0005-0000-0000-0000F4040000}"/>
    <cellStyle name="style1505695311268" xfId="1268" xr:uid="{00000000-0005-0000-0000-0000F5040000}"/>
    <cellStyle name="style1505695311315" xfId="1270" xr:uid="{00000000-0005-0000-0000-0000F6040000}"/>
    <cellStyle name="style1505695311378" xfId="1271" xr:uid="{00000000-0005-0000-0000-0000F7040000}"/>
    <cellStyle name="style1505695311440" xfId="1272" xr:uid="{00000000-0005-0000-0000-0000F8040000}"/>
    <cellStyle name="style1505695311612" xfId="1273" xr:uid="{00000000-0005-0000-0000-0000F9040000}"/>
    <cellStyle name="style1505695311674" xfId="1274" xr:uid="{00000000-0005-0000-0000-0000FA040000}"/>
    <cellStyle name="style1505695311736" xfId="1275" xr:uid="{00000000-0005-0000-0000-0000FB040000}"/>
    <cellStyle name="style1505695311783" xfId="1276" xr:uid="{00000000-0005-0000-0000-0000FC040000}"/>
    <cellStyle name="style1505695311846" xfId="1277" xr:uid="{00000000-0005-0000-0000-0000FD040000}"/>
    <cellStyle name="style1505695311892" xfId="1278" xr:uid="{00000000-0005-0000-0000-0000FE040000}"/>
    <cellStyle name="style1505695311955" xfId="1279" xr:uid="{00000000-0005-0000-0000-0000FF040000}"/>
    <cellStyle name="style1505695312001" xfId="1280" xr:uid="{00000000-0005-0000-0000-000000050000}"/>
    <cellStyle name="style1505695312079" xfId="1281" xr:uid="{00000000-0005-0000-0000-000001050000}"/>
    <cellStyle name="style1505695312142" xfId="1282" xr:uid="{00000000-0005-0000-0000-000002050000}"/>
    <cellStyle name="style1505695312189" xfId="1283" xr:uid="{00000000-0005-0000-0000-000003050000}"/>
    <cellStyle name="style1505695312251" xfId="1284" xr:uid="{00000000-0005-0000-0000-000004050000}"/>
    <cellStyle name="style1505695312454" xfId="1285" xr:uid="{00000000-0005-0000-0000-000005050000}"/>
    <cellStyle name="style1505695312501" xfId="1286" xr:uid="{00000000-0005-0000-0000-000006050000}"/>
    <cellStyle name="style1505695312547" xfId="1287" xr:uid="{00000000-0005-0000-0000-000007050000}"/>
    <cellStyle name="style1505695312610" xfId="1288" xr:uid="{00000000-0005-0000-0000-000008050000}"/>
    <cellStyle name="style1505695312688" xfId="1289" xr:uid="{00000000-0005-0000-0000-000009050000}"/>
    <cellStyle name="style1505695312735" xfId="1290" xr:uid="{00000000-0005-0000-0000-00000A050000}"/>
    <cellStyle name="style1505695312781" xfId="1291" xr:uid="{00000000-0005-0000-0000-00000B050000}"/>
    <cellStyle name="style1505695312844" xfId="1292" xr:uid="{00000000-0005-0000-0000-00000C050000}"/>
    <cellStyle name="style1505695312891" xfId="1293" xr:uid="{00000000-0005-0000-0000-00000D050000}"/>
    <cellStyle name="style1505695312937" xfId="1294" xr:uid="{00000000-0005-0000-0000-00000E050000}"/>
    <cellStyle name="style1505695313000" xfId="1295" xr:uid="{00000000-0005-0000-0000-00000F050000}"/>
    <cellStyle name="style1505695313047" xfId="1296" xr:uid="{00000000-0005-0000-0000-000010050000}"/>
    <cellStyle name="style1505695313109" xfId="1297" xr:uid="{00000000-0005-0000-0000-000011050000}"/>
    <cellStyle name="style1505695313171" xfId="1298" xr:uid="{00000000-0005-0000-0000-000012050000}"/>
    <cellStyle name="style1505695313359" xfId="1299" xr:uid="{00000000-0005-0000-0000-000013050000}"/>
    <cellStyle name="style1505695313421" xfId="1300" xr:uid="{00000000-0005-0000-0000-000014050000}"/>
    <cellStyle name="style1505695313468" xfId="1301" xr:uid="{00000000-0005-0000-0000-000015050000}"/>
    <cellStyle name="style1505695313530" xfId="1302" xr:uid="{00000000-0005-0000-0000-000016050000}"/>
    <cellStyle name="style1505695313593" xfId="1303" xr:uid="{00000000-0005-0000-0000-000017050000}"/>
    <cellStyle name="style1505695313639" xfId="1304" xr:uid="{00000000-0005-0000-0000-000018050000}"/>
    <cellStyle name="style1505695313686" xfId="1305" xr:uid="{00000000-0005-0000-0000-000019050000}"/>
    <cellStyle name="style1505695313749" xfId="1306" xr:uid="{00000000-0005-0000-0000-00001A050000}"/>
    <cellStyle name="style1505695313795" xfId="1307" xr:uid="{00000000-0005-0000-0000-00001B050000}"/>
    <cellStyle name="style1505695313827" xfId="1308" xr:uid="{00000000-0005-0000-0000-00001C050000}"/>
    <cellStyle name="style1505695313873" xfId="1309" xr:uid="{00000000-0005-0000-0000-00001D050000}"/>
    <cellStyle name="style1505695313920" xfId="1310" xr:uid="{00000000-0005-0000-0000-00001E050000}"/>
    <cellStyle name="style1505695313951" xfId="1311" xr:uid="{00000000-0005-0000-0000-00001F050000}"/>
    <cellStyle name="style1505695313998" xfId="1312" xr:uid="{00000000-0005-0000-0000-000020050000}"/>
    <cellStyle name="style1505695314107" xfId="1313" xr:uid="{00000000-0005-0000-0000-000021050000}"/>
    <cellStyle name="style1505695314185" xfId="1314" xr:uid="{00000000-0005-0000-0000-000022050000}"/>
    <cellStyle name="style1505695314248" xfId="1315" xr:uid="{00000000-0005-0000-0000-000023050000}"/>
    <cellStyle name="style1505695314310" xfId="1316" xr:uid="{00000000-0005-0000-0000-000024050000}"/>
    <cellStyle name="style1505695314373" xfId="1317" xr:uid="{00000000-0005-0000-0000-000025050000}"/>
    <cellStyle name="style1505695314435" xfId="1318" xr:uid="{00000000-0005-0000-0000-000026050000}"/>
    <cellStyle name="style1505695314497" xfId="1319" xr:uid="{00000000-0005-0000-0000-000027050000}"/>
    <cellStyle name="style1505700139679" xfId="1320" xr:uid="{00000000-0005-0000-0000-000028050000}"/>
    <cellStyle name="style1505700139798" xfId="1321" xr:uid="{00000000-0005-0000-0000-000029050000}"/>
    <cellStyle name="style1505700139854" xfId="1322" xr:uid="{00000000-0005-0000-0000-00002A050000}"/>
    <cellStyle name="style1505700139926" xfId="1323" xr:uid="{00000000-0005-0000-0000-00002B050000}"/>
    <cellStyle name="style1505700140033" xfId="1324" xr:uid="{00000000-0005-0000-0000-00002C050000}"/>
    <cellStyle name="style1505700140114" xfId="1325" xr:uid="{00000000-0005-0000-0000-00002D050000}"/>
    <cellStyle name="style1505700140181" xfId="1326" xr:uid="{00000000-0005-0000-0000-00002E050000}"/>
    <cellStyle name="style1505700140253" xfId="1327" xr:uid="{00000000-0005-0000-0000-00002F050000}"/>
    <cellStyle name="style1505700140318" xfId="1328" xr:uid="{00000000-0005-0000-0000-000030050000}"/>
    <cellStyle name="style1505700140392" xfId="1329" xr:uid="{00000000-0005-0000-0000-000031050000}"/>
    <cellStyle name="style1505700140466" xfId="1330" xr:uid="{00000000-0005-0000-0000-000032050000}"/>
    <cellStyle name="style1505700140575" xfId="1331" xr:uid="{00000000-0005-0000-0000-000033050000}"/>
    <cellStyle name="style1505700140641" xfId="1332" xr:uid="{00000000-0005-0000-0000-000034050000}"/>
    <cellStyle name="style1505700140705" xfId="1333" xr:uid="{00000000-0005-0000-0000-000035050000}"/>
    <cellStyle name="style1505700140775" xfId="1334" xr:uid="{00000000-0005-0000-0000-000036050000}"/>
    <cellStyle name="style1505700140850" xfId="1335" xr:uid="{00000000-0005-0000-0000-000037050000}"/>
    <cellStyle name="style1505700140915" xfId="1336" xr:uid="{00000000-0005-0000-0000-000038050000}"/>
    <cellStyle name="style1505700140982" xfId="1337" xr:uid="{00000000-0005-0000-0000-000039050000}"/>
    <cellStyle name="style1505700141104" xfId="1338" xr:uid="{00000000-0005-0000-0000-00003A050000}"/>
    <cellStyle name="style1505700141174" xfId="1339" xr:uid="{00000000-0005-0000-0000-00003B050000}"/>
    <cellStyle name="style1505700141241" xfId="1340" xr:uid="{00000000-0005-0000-0000-00003C050000}"/>
    <cellStyle name="style1505700141310" xfId="1341" xr:uid="{00000000-0005-0000-0000-00003D050000}"/>
    <cellStyle name="style1505700141376" xfId="1342" xr:uid="{00000000-0005-0000-0000-00003E050000}"/>
    <cellStyle name="style1505700141448" xfId="1343" xr:uid="{00000000-0005-0000-0000-00003F050000}"/>
    <cellStyle name="style1505700141516" xfId="1344" xr:uid="{00000000-0005-0000-0000-000040050000}"/>
    <cellStyle name="style1505700141582" xfId="1345" xr:uid="{00000000-0005-0000-0000-000041050000}"/>
    <cellStyle name="style1505700141652" xfId="1346" xr:uid="{00000000-0005-0000-0000-000042050000}"/>
    <cellStyle name="style1505700141718" xfId="1347" xr:uid="{00000000-0005-0000-0000-000043050000}"/>
    <cellStyle name="style1505700141785" xfId="1348" xr:uid="{00000000-0005-0000-0000-000044050000}"/>
    <cellStyle name="style1505700141910" xfId="1349" xr:uid="{00000000-0005-0000-0000-000045050000}"/>
    <cellStyle name="style1505700141975" xfId="1350" xr:uid="{00000000-0005-0000-0000-000046050000}"/>
    <cellStyle name="style1505700142042" xfId="1351" xr:uid="{00000000-0005-0000-0000-000047050000}"/>
    <cellStyle name="style1505700142131" xfId="1352" xr:uid="{00000000-0005-0000-0000-000048050000}"/>
    <cellStyle name="style1505700142229" xfId="1353" xr:uid="{00000000-0005-0000-0000-000049050000}"/>
    <cellStyle name="style1505700142428" xfId="1354" xr:uid="{00000000-0005-0000-0000-00004A050000}"/>
    <cellStyle name="style1505700142492" xfId="1355" xr:uid="{00000000-0005-0000-0000-00004B050000}"/>
    <cellStyle name="style1505700142554" xfId="1356" xr:uid="{00000000-0005-0000-0000-00004C050000}"/>
    <cellStyle name="style1505700142603" xfId="1357" xr:uid="{00000000-0005-0000-0000-00004D050000}"/>
    <cellStyle name="style1505700142701" xfId="1358" xr:uid="{00000000-0005-0000-0000-00004E050000}"/>
    <cellStyle name="style1505700142796" xfId="1359" xr:uid="{00000000-0005-0000-0000-00004F050000}"/>
    <cellStyle name="style1505700142866" xfId="1360" xr:uid="{00000000-0005-0000-0000-000050050000}"/>
    <cellStyle name="style1505700142925" xfId="1361" xr:uid="{00000000-0005-0000-0000-000051050000}"/>
    <cellStyle name="style1505700142989" xfId="1362" xr:uid="{00000000-0005-0000-0000-000052050000}"/>
    <cellStyle name="style1505700143057" xfId="1363" xr:uid="{00000000-0005-0000-0000-000053050000}"/>
    <cellStyle name="style1505700143147" xfId="1365" xr:uid="{00000000-0005-0000-0000-000054050000}"/>
    <cellStyle name="style1505700143248" xfId="1364" xr:uid="{00000000-0005-0000-0000-000055050000}"/>
    <cellStyle name="style1505700143337" xfId="1366" xr:uid="{00000000-0005-0000-0000-000056050000}"/>
    <cellStyle name="style1505700143399" xfId="1367" xr:uid="{00000000-0005-0000-0000-000057050000}"/>
    <cellStyle name="style1505700143585" xfId="1368" xr:uid="{00000000-0005-0000-0000-000058050000}"/>
    <cellStyle name="style1505700143665" xfId="1369" xr:uid="{00000000-0005-0000-0000-000059050000}"/>
    <cellStyle name="style1505700143724" xfId="1370" xr:uid="{00000000-0005-0000-0000-00005A050000}"/>
    <cellStyle name="style1505700143795" xfId="1371" xr:uid="{00000000-0005-0000-0000-00005B050000}"/>
    <cellStyle name="style1505700143872" xfId="1372" xr:uid="{00000000-0005-0000-0000-00005C050000}"/>
    <cellStyle name="style1505700143940" xfId="1373" xr:uid="{00000000-0005-0000-0000-00005D050000}"/>
    <cellStyle name="style1505700144121" xfId="1374" xr:uid="{00000000-0005-0000-0000-00005E050000}"/>
    <cellStyle name="style1505700144190" xfId="1375" xr:uid="{00000000-0005-0000-0000-00005F050000}"/>
    <cellStyle name="style1505700144257" xfId="1376" xr:uid="{00000000-0005-0000-0000-000060050000}"/>
    <cellStyle name="style1505700144340" xfId="1377" xr:uid="{00000000-0005-0000-0000-000061050000}"/>
    <cellStyle name="style1505700146376" xfId="1378" xr:uid="{00000000-0005-0000-0000-000062050000}"/>
    <cellStyle name="style1505700146438" xfId="1379" xr:uid="{00000000-0005-0000-0000-000063050000}"/>
    <cellStyle name="style1505700146514" xfId="1380" xr:uid="{00000000-0005-0000-0000-000064050000}"/>
    <cellStyle name="style1505700147222" xfId="1381" xr:uid="{00000000-0005-0000-0000-000065050000}"/>
    <cellStyle name="style1505700147282" xfId="1382" xr:uid="{00000000-0005-0000-0000-000066050000}"/>
    <cellStyle name="style1505700147361" xfId="1383" xr:uid="{00000000-0005-0000-0000-000067050000}"/>
    <cellStyle name="style1505700147407" xfId="1384" xr:uid="{00000000-0005-0000-0000-000068050000}"/>
    <cellStyle name="style1505700147454" xfId="1385" xr:uid="{00000000-0005-0000-0000-000069050000}"/>
    <cellStyle name="style1505700147500" xfId="1386" xr:uid="{00000000-0005-0000-0000-00006A050000}"/>
    <cellStyle name="style1505700147555" xfId="1387" xr:uid="{00000000-0005-0000-0000-00006B050000}"/>
    <cellStyle name="style1505700147624" xfId="1388" xr:uid="{00000000-0005-0000-0000-00006C050000}"/>
    <cellStyle name="style1505700148984" xfId="1389" xr:uid="{00000000-0005-0000-0000-00006D050000}"/>
    <cellStyle name="style1505700149046" xfId="1390" xr:uid="{00000000-0005-0000-0000-00006E050000}"/>
    <cellStyle name="style1505700149099" xfId="1391" xr:uid="{00000000-0005-0000-0000-00006F050000}"/>
    <cellStyle name="style1505700149145" xfId="1392" xr:uid="{00000000-0005-0000-0000-000070050000}"/>
    <cellStyle name="style1505700149212" xfId="1393" xr:uid="{00000000-0005-0000-0000-000071050000}"/>
    <cellStyle name="style1505700149275" xfId="1394" xr:uid="{00000000-0005-0000-0000-000072050000}"/>
    <cellStyle name="style1505700149331" xfId="1395" xr:uid="{00000000-0005-0000-0000-000073050000}"/>
    <cellStyle name="style1505700149386" xfId="1396" xr:uid="{00000000-0005-0000-0000-000074050000}"/>
    <cellStyle name="style1505700149458" xfId="1397" xr:uid="{00000000-0005-0000-0000-000075050000}"/>
    <cellStyle name="style1505700149515" xfId="1398" xr:uid="{00000000-0005-0000-0000-000076050000}"/>
    <cellStyle name="style1505700149558" xfId="1399" xr:uid="{00000000-0005-0000-0000-000077050000}"/>
    <cellStyle name="style1505700149761" xfId="1400" xr:uid="{00000000-0005-0000-0000-000078050000}"/>
    <cellStyle name="style1505700149833" xfId="1401" xr:uid="{00000000-0005-0000-0000-000079050000}"/>
    <cellStyle name="style1505700150049" xfId="1402" xr:uid="{00000000-0005-0000-0000-00007A050000}"/>
    <cellStyle name="style1505700150096" xfId="1403" xr:uid="{00000000-0005-0000-0000-00007B050000}"/>
    <cellStyle name="style1505700150158" xfId="1404" xr:uid="{00000000-0005-0000-0000-00007C050000}"/>
    <cellStyle name="style1505700150207" xfId="1405" xr:uid="{00000000-0005-0000-0000-00007D050000}"/>
    <cellStyle name="style1505700417279" xfId="1406" xr:uid="{00000000-0005-0000-0000-00007E050000}"/>
    <cellStyle name="style1505700417348" xfId="1407" xr:uid="{00000000-0005-0000-0000-00007F050000}"/>
    <cellStyle name="style1505700417392" xfId="1408" xr:uid="{00000000-0005-0000-0000-000080050000}"/>
    <cellStyle name="style1505700417448" xfId="1409" xr:uid="{00000000-0005-0000-0000-000081050000}"/>
    <cellStyle name="style1505700417546" xfId="1410" xr:uid="{00000000-0005-0000-0000-000082050000}"/>
    <cellStyle name="style1505700417608" xfId="1411" xr:uid="{00000000-0005-0000-0000-000083050000}"/>
    <cellStyle name="style1505700417652" xfId="1412" xr:uid="{00000000-0005-0000-0000-000084050000}"/>
    <cellStyle name="style1505700417717" xfId="1413" xr:uid="{00000000-0005-0000-0000-000085050000}"/>
    <cellStyle name="style1505700417782" xfId="1414" xr:uid="{00000000-0005-0000-0000-000086050000}"/>
    <cellStyle name="style1505700417838" xfId="1415" xr:uid="{00000000-0005-0000-0000-000087050000}"/>
    <cellStyle name="style1505700417907" xfId="1416" xr:uid="{00000000-0005-0000-0000-000088050000}"/>
    <cellStyle name="style1505700417963" xfId="1417" xr:uid="{00000000-0005-0000-0000-000089050000}"/>
    <cellStyle name="style1505700418020" xfId="1418" xr:uid="{00000000-0005-0000-0000-00008A050000}"/>
    <cellStyle name="style1505700418084" xfId="1419" xr:uid="{00000000-0005-0000-0000-00008B050000}"/>
    <cellStyle name="style1505700418148" xfId="1420" xr:uid="{00000000-0005-0000-0000-00008C050000}"/>
    <cellStyle name="style1505700418207" xfId="1421" xr:uid="{00000000-0005-0000-0000-00008D050000}"/>
    <cellStyle name="style1505700418272" xfId="1423" xr:uid="{00000000-0005-0000-0000-00008E050000}"/>
    <cellStyle name="style1505700418327" xfId="1422" xr:uid="{00000000-0005-0000-0000-00008F050000}"/>
    <cellStyle name="style1505700418385" xfId="1424" xr:uid="{00000000-0005-0000-0000-000090050000}"/>
    <cellStyle name="style1505700418441" xfId="1425" xr:uid="{00000000-0005-0000-0000-000091050000}"/>
    <cellStyle name="style1505700418500" xfId="1426" xr:uid="{00000000-0005-0000-0000-000092050000}"/>
    <cellStyle name="style1505700418676" xfId="1427" xr:uid="{00000000-0005-0000-0000-000093050000}"/>
    <cellStyle name="style1505700418734" xfId="1428" xr:uid="{00000000-0005-0000-0000-000094050000}"/>
    <cellStyle name="style1505700418797" xfId="1429" xr:uid="{00000000-0005-0000-0000-000095050000}"/>
    <cellStyle name="style1505700418853" xfId="1430" xr:uid="{00000000-0005-0000-0000-000096050000}"/>
    <cellStyle name="style1505700418910" xfId="1431" xr:uid="{00000000-0005-0000-0000-000097050000}"/>
    <cellStyle name="style1505700418967" xfId="1432" xr:uid="{00000000-0005-0000-0000-000098050000}"/>
    <cellStyle name="style1505700419027" xfId="1433" xr:uid="{00000000-0005-0000-0000-000099050000}"/>
    <cellStyle name="style1505700419088" xfId="1434" xr:uid="{00000000-0005-0000-0000-00009A050000}"/>
    <cellStyle name="style1505700419150" xfId="1435" xr:uid="{00000000-0005-0000-0000-00009B050000}"/>
    <cellStyle name="style1505700419231" xfId="1436" xr:uid="{00000000-0005-0000-0000-00009C050000}"/>
    <cellStyle name="style1505700419296" xfId="1437" xr:uid="{00000000-0005-0000-0000-00009D050000}"/>
    <cellStyle name="style1505700419353" xfId="1438" xr:uid="{00000000-0005-0000-0000-00009E050000}"/>
    <cellStyle name="style1505700419569" xfId="1439" xr:uid="{00000000-0005-0000-0000-00009F050000}"/>
    <cellStyle name="style1505700419630" xfId="1440" xr:uid="{00000000-0005-0000-0000-0000A0050000}"/>
    <cellStyle name="style1505700419700" xfId="1441" xr:uid="{00000000-0005-0000-0000-0000A1050000}"/>
    <cellStyle name="style1505700419771" xfId="1442" xr:uid="{00000000-0005-0000-0000-0000A2050000}"/>
    <cellStyle name="style1505700419851" xfId="1443" xr:uid="{00000000-0005-0000-0000-0000A3050000}"/>
    <cellStyle name="style1505700419910" xfId="1444" xr:uid="{00000000-0005-0000-0000-0000A4050000}"/>
    <cellStyle name="style1505700419981" xfId="1445" xr:uid="{00000000-0005-0000-0000-0000A5050000}"/>
    <cellStyle name="style1505700420053" xfId="1446" xr:uid="{00000000-0005-0000-0000-0000A6050000}"/>
    <cellStyle name="style1505700420130" xfId="1447" xr:uid="{00000000-0005-0000-0000-0000A7050000}"/>
    <cellStyle name="style1505700420185" xfId="1448" xr:uid="{00000000-0005-0000-0000-0000A8050000}"/>
    <cellStyle name="style1505700420249" xfId="1449" xr:uid="{00000000-0005-0000-0000-0000A9050000}"/>
    <cellStyle name="style1505700420333" xfId="1450" xr:uid="{00000000-0005-0000-0000-0000AA050000}"/>
    <cellStyle name="style1505700420390" xfId="1451" xr:uid="{00000000-0005-0000-0000-0000AB050000}"/>
    <cellStyle name="style1505700420448" xfId="1452" xr:uid="{00000000-0005-0000-0000-0000AC050000}"/>
    <cellStyle name="style1505700420650" xfId="1453" xr:uid="{00000000-0005-0000-0000-0000AD050000}"/>
    <cellStyle name="style1505700420730" xfId="1454" xr:uid="{00000000-0005-0000-0000-0000AE050000}"/>
    <cellStyle name="style1505700420846" xfId="1455" xr:uid="{00000000-0005-0000-0000-0000AF050000}"/>
    <cellStyle name="style1505700420911" xfId="1456" xr:uid="{00000000-0005-0000-0000-0000B0050000}"/>
    <cellStyle name="style1505700420976" xfId="1457" xr:uid="{00000000-0005-0000-0000-0000B1050000}"/>
    <cellStyle name="style1505700421033" xfId="1458" xr:uid="{00000000-0005-0000-0000-0000B2050000}"/>
    <cellStyle name="style1505700421088" xfId="1459" xr:uid="{00000000-0005-0000-0000-0000B3050000}"/>
    <cellStyle name="style1505700421143" xfId="1460" xr:uid="{00000000-0005-0000-0000-0000B4050000}"/>
    <cellStyle name="style1505700421189" xfId="1461" xr:uid="{00000000-0005-0000-0000-0000B5050000}"/>
    <cellStyle name="style1505700421235" xfId="1462" xr:uid="{00000000-0005-0000-0000-0000B6050000}"/>
    <cellStyle name="style1505700421279" xfId="1463" xr:uid="{00000000-0005-0000-0000-0000B7050000}"/>
    <cellStyle name="style1505700421350" xfId="1464" xr:uid="{00000000-0005-0000-0000-0000B8050000}"/>
    <cellStyle name="style1505700421410" xfId="1465" xr:uid="{00000000-0005-0000-0000-0000B9050000}"/>
    <cellStyle name="style1505700421465" xfId="1466" xr:uid="{00000000-0005-0000-0000-0000BA050000}"/>
    <cellStyle name="style1505700421589" xfId="1467" xr:uid="{00000000-0005-0000-0000-0000BB050000}"/>
    <cellStyle name="style1505700421657" xfId="1468" xr:uid="{00000000-0005-0000-0000-0000BC050000}"/>
    <cellStyle name="style1505700421722" xfId="1469" xr:uid="{00000000-0005-0000-0000-0000BD050000}"/>
    <cellStyle name="style1505700421788" xfId="1470" xr:uid="{00000000-0005-0000-0000-0000BE050000}"/>
    <cellStyle name="style1505700421855" xfId="1471" xr:uid="{00000000-0005-0000-0000-0000BF050000}"/>
    <cellStyle name="style1505700421919" xfId="1472" xr:uid="{00000000-0005-0000-0000-0000C0050000}"/>
    <cellStyle name="style1505700421986" xfId="1473" xr:uid="{00000000-0005-0000-0000-0000C1050000}"/>
    <cellStyle name="style1505701808047" xfId="1474" xr:uid="{00000000-0005-0000-0000-0000C2050000}"/>
    <cellStyle name="style1505701808156" xfId="1475" xr:uid="{00000000-0005-0000-0000-0000C3050000}"/>
    <cellStyle name="style1505701808203" xfId="1476" xr:uid="{00000000-0005-0000-0000-0000C4050000}"/>
    <cellStyle name="style1505701808281" xfId="1477" xr:uid="{00000000-0005-0000-0000-0000C5050000}"/>
    <cellStyle name="style1505701808343" xfId="1478" xr:uid="{00000000-0005-0000-0000-0000C6050000}"/>
    <cellStyle name="style1505701808421" xfId="1479" xr:uid="{00000000-0005-0000-0000-0000C7050000}"/>
    <cellStyle name="style1505701808468" xfId="1480" xr:uid="{00000000-0005-0000-0000-0000C8050000}"/>
    <cellStyle name="style1505701808530" xfId="1481" xr:uid="{00000000-0005-0000-0000-0000C9050000}"/>
    <cellStyle name="style1505701808593" xfId="1482" xr:uid="{00000000-0005-0000-0000-0000CA050000}"/>
    <cellStyle name="style1505701808655" xfId="1483" xr:uid="{00000000-0005-0000-0000-0000CB050000}"/>
    <cellStyle name="style1505701808733" xfId="1484" xr:uid="{00000000-0005-0000-0000-0000CC050000}"/>
    <cellStyle name="style1505701808811" xfId="1485" xr:uid="{00000000-0005-0000-0000-0000CD050000}"/>
    <cellStyle name="style1505701808874" xfId="1486" xr:uid="{00000000-0005-0000-0000-0000CE050000}"/>
    <cellStyle name="style1505701808920" xfId="1487" xr:uid="{00000000-0005-0000-0000-0000CF050000}"/>
    <cellStyle name="style1505701808983" xfId="1488" xr:uid="{00000000-0005-0000-0000-0000D0050000}"/>
    <cellStyle name="style1505701809045" xfId="1489" xr:uid="{00000000-0005-0000-0000-0000D1050000}"/>
    <cellStyle name="style1505701809123" xfId="1490" xr:uid="{00000000-0005-0000-0000-0000D2050000}"/>
    <cellStyle name="style1505701809170" xfId="1491" xr:uid="{00000000-0005-0000-0000-0000D3050000}"/>
    <cellStyle name="style1505701809264" xfId="1492" xr:uid="{00000000-0005-0000-0000-0000D4050000}"/>
    <cellStyle name="style1505701809326" xfId="1493" xr:uid="{00000000-0005-0000-0000-0000D5050000}"/>
    <cellStyle name="style1505701809404" xfId="1494" xr:uid="{00000000-0005-0000-0000-0000D6050000}"/>
    <cellStyle name="style1505701809466" xfId="1495" xr:uid="{00000000-0005-0000-0000-0000D7050000}"/>
    <cellStyle name="style1505701809513" xfId="1496" xr:uid="{00000000-0005-0000-0000-0000D8050000}"/>
    <cellStyle name="style1505701809576" xfId="1497" xr:uid="{00000000-0005-0000-0000-0000D9050000}"/>
    <cellStyle name="style1505701809638" xfId="1498" xr:uid="{00000000-0005-0000-0000-0000DA050000}"/>
    <cellStyle name="style1505701809701" xfId="1499" xr:uid="{00000000-0005-0000-0000-0000DB050000}"/>
    <cellStyle name="style1505701809763" xfId="1500" xr:uid="{00000000-0005-0000-0000-0000DC050000}"/>
    <cellStyle name="style1505701809825" xfId="1501" xr:uid="{00000000-0005-0000-0000-0000DD050000}"/>
    <cellStyle name="style1505701809888" xfId="1502" xr:uid="{00000000-0005-0000-0000-0000DE050000}"/>
    <cellStyle name="style1505701810013" xfId="1503" xr:uid="{00000000-0005-0000-0000-0000DF050000}"/>
    <cellStyle name="style1505701810075" xfId="1504" xr:uid="{00000000-0005-0000-0000-0000E0050000}"/>
    <cellStyle name="style1505701810122" xfId="1505" xr:uid="{00000000-0005-0000-0000-0000E1050000}"/>
    <cellStyle name="style1505701810184" xfId="1506" xr:uid="{00000000-0005-0000-0000-0000E2050000}"/>
    <cellStyle name="style1505701810247" xfId="1507" xr:uid="{00000000-0005-0000-0000-0000E3050000}"/>
    <cellStyle name="style1505701810434" xfId="1508" xr:uid="{00000000-0005-0000-0000-0000E4050000}"/>
    <cellStyle name="style1505701810496" xfId="1509" xr:uid="{00000000-0005-0000-0000-0000E5050000}"/>
    <cellStyle name="style1505701810559" xfId="1510" xr:uid="{00000000-0005-0000-0000-0000E6050000}"/>
    <cellStyle name="style1505701810590" xfId="1511" xr:uid="{00000000-0005-0000-0000-0000E7050000}"/>
    <cellStyle name="style1505701810652" xfId="1512" xr:uid="{00000000-0005-0000-0000-0000E8050000}"/>
    <cellStyle name="style1505701810715" xfId="1513" xr:uid="{00000000-0005-0000-0000-0000E9050000}"/>
    <cellStyle name="style1505701810777" xfId="1514" xr:uid="{00000000-0005-0000-0000-0000EA050000}"/>
    <cellStyle name="style1505701810824" xfId="1515" xr:uid="{00000000-0005-0000-0000-0000EB050000}"/>
    <cellStyle name="style1505701810902" xfId="1516" xr:uid="{00000000-0005-0000-0000-0000EC050000}"/>
    <cellStyle name="style1505701810964" xfId="1517" xr:uid="{00000000-0005-0000-0000-0000ED050000}"/>
    <cellStyle name="style1505701811027" xfId="1519" xr:uid="{00000000-0005-0000-0000-0000EE050000}"/>
    <cellStyle name="style1505701811089" xfId="1518" xr:uid="{00000000-0005-0000-0000-0000EF050000}"/>
    <cellStyle name="style1505701811151" xfId="1520" xr:uid="{00000000-0005-0000-0000-0000F0050000}"/>
    <cellStyle name="style1505701811198" xfId="1521" xr:uid="{00000000-0005-0000-0000-0000F1050000}"/>
    <cellStyle name="style1505701811370" xfId="1522" xr:uid="{00000000-0005-0000-0000-0000F2050000}"/>
    <cellStyle name="style1505701811432" xfId="1523" xr:uid="{00000000-0005-0000-0000-0000F3050000}"/>
    <cellStyle name="style1505701811495" xfId="1524" xr:uid="{00000000-0005-0000-0000-0000F4050000}"/>
    <cellStyle name="style1505701811557" xfId="1525" xr:uid="{00000000-0005-0000-0000-0000F5050000}"/>
    <cellStyle name="style1505701811619" xfId="1526" xr:uid="{00000000-0005-0000-0000-0000F6050000}"/>
    <cellStyle name="style1505701811682" xfId="1527" xr:uid="{00000000-0005-0000-0000-0000F7050000}"/>
    <cellStyle name="style1505701811854" xfId="1528" xr:uid="{00000000-0005-0000-0000-0000F8050000}"/>
    <cellStyle name="style1505701811916" xfId="1529" xr:uid="{00000000-0005-0000-0000-0000F9050000}"/>
    <cellStyle name="style1505701811963" xfId="1530" xr:uid="{00000000-0005-0000-0000-0000FA050000}"/>
    <cellStyle name="style1505701812025" xfId="1531" xr:uid="{00000000-0005-0000-0000-0000FB050000}"/>
    <cellStyle name="style1505701813928" xfId="1532" xr:uid="{00000000-0005-0000-0000-0000FC050000}"/>
    <cellStyle name="style1505701813991" xfId="1533" xr:uid="{00000000-0005-0000-0000-0000FD050000}"/>
    <cellStyle name="style1505701814053" xfId="1534" xr:uid="{00000000-0005-0000-0000-0000FE050000}"/>
    <cellStyle name="style1505701814724" xfId="1535" xr:uid="{00000000-0005-0000-0000-0000FF050000}"/>
    <cellStyle name="style1505701814802" xfId="1536" xr:uid="{00000000-0005-0000-0000-000000060000}"/>
    <cellStyle name="style1505701814865" xfId="1537" xr:uid="{00000000-0005-0000-0000-000001060000}"/>
    <cellStyle name="style1505701814911" xfId="1538" xr:uid="{00000000-0005-0000-0000-000002060000}"/>
    <cellStyle name="style1505701814958" xfId="1539" xr:uid="{00000000-0005-0000-0000-000003060000}"/>
    <cellStyle name="style1505701815005" xfId="1540" xr:uid="{00000000-0005-0000-0000-000004060000}"/>
    <cellStyle name="style1505701815052" xfId="1541" xr:uid="{00000000-0005-0000-0000-000005060000}"/>
    <cellStyle name="style1505701815099" xfId="1542" xr:uid="{00000000-0005-0000-0000-000006060000}"/>
    <cellStyle name="style1505701816394" xfId="1543" xr:uid="{00000000-0005-0000-0000-000007060000}"/>
    <cellStyle name="style1505701816456" xfId="1544" xr:uid="{00000000-0005-0000-0000-000008060000}"/>
    <cellStyle name="style1505701816503" xfId="1545" xr:uid="{00000000-0005-0000-0000-000009060000}"/>
    <cellStyle name="style1505701816550" xfId="1546" xr:uid="{00000000-0005-0000-0000-00000A060000}"/>
    <cellStyle name="style1505701816612" xfId="1547" xr:uid="{00000000-0005-0000-0000-00000B060000}"/>
    <cellStyle name="style1505701816643" xfId="1548" xr:uid="{00000000-0005-0000-0000-00000C060000}"/>
    <cellStyle name="style1505701816690" xfId="1549" xr:uid="{00000000-0005-0000-0000-00000D060000}"/>
    <cellStyle name="style1505701816737" xfId="1550" xr:uid="{00000000-0005-0000-0000-00000E060000}"/>
    <cellStyle name="style1505701816784" xfId="1551" xr:uid="{00000000-0005-0000-0000-00000F060000}"/>
    <cellStyle name="style1505701816846" xfId="1552" xr:uid="{00000000-0005-0000-0000-000010060000}"/>
    <cellStyle name="style1505701816893" xfId="1553" xr:uid="{00000000-0005-0000-0000-000011060000}"/>
    <cellStyle name="style1505701817080" xfId="1554" xr:uid="{00000000-0005-0000-0000-000012060000}"/>
    <cellStyle name="style1505701817142" xfId="1555" xr:uid="{00000000-0005-0000-0000-000013060000}"/>
    <cellStyle name="style1505701817345" xfId="1556" xr:uid="{00000000-0005-0000-0000-000014060000}"/>
    <cellStyle name="style1505701817392" xfId="1557" xr:uid="{00000000-0005-0000-0000-000015060000}"/>
    <cellStyle name="style1505701817454" xfId="1558" xr:uid="{00000000-0005-0000-0000-000016060000}"/>
    <cellStyle name="style1505701817501" xfId="1559" xr:uid="{00000000-0005-0000-0000-000017060000}"/>
    <cellStyle name="style1505704376880" xfId="1560" xr:uid="{00000000-0005-0000-0000-000018060000}"/>
    <cellStyle name="style1505704376943" xfId="1561" xr:uid="{00000000-0005-0000-0000-000019060000}"/>
    <cellStyle name="style1505704376989" xfId="1562" xr:uid="{00000000-0005-0000-0000-00001A060000}"/>
    <cellStyle name="style1505704377052" xfId="1563" xr:uid="{00000000-0005-0000-0000-00001B060000}"/>
    <cellStyle name="style1505704377099" xfId="1564" xr:uid="{00000000-0005-0000-0000-00001C060000}"/>
    <cellStyle name="style1505704377177" xfId="1565" xr:uid="{00000000-0005-0000-0000-00001D060000}"/>
    <cellStyle name="style1505704377239" xfId="1566" xr:uid="{00000000-0005-0000-0000-00001E060000}"/>
    <cellStyle name="style1505704377301" xfId="1567" xr:uid="{00000000-0005-0000-0000-00001F060000}"/>
    <cellStyle name="style1505704377348" xfId="1568" xr:uid="{00000000-0005-0000-0000-000020060000}"/>
    <cellStyle name="style1505704377411" xfId="1569" xr:uid="{00000000-0005-0000-0000-000021060000}"/>
    <cellStyle name="style1505704377473" xfId="1570" xr:uid="{00000000-0005-0000-0000-000022060000}"/>
    <cellStyle name="style1505704377535" xfId="1571" xr:uid="{00000000-0005-0000-0000-000023060000}"/>
    <cellStyle name="style1505704377598" xfId="1572" xr:uid="{00000000-0005-0000-0000-000024060000}"/>
    <cellStyle name="style1505704377645" xfId="1573" xr:uid="{00000000-0005-0000-0000-000025060000}"/>
    <cellStyle name="style1505704377707" xfId="1574" xr:uid="{00000000-0005-0000-0000-000026060000}"/>
    <cellStyle name="style1505704377754" xfId="1575" xr:uid="{00000000-0005-0000-0000-000027060000}"/>
    <cellStyle name="style1505704377816" xfId="1577" xr:uid="{00000000-0005-0000-0000-000028060000}"/>
    <cellStyle name="style1505704377863" xfId="1576" xr:uid="{00000000-0005-0000-0000-000029060000}"/>
    <cellStyle name="style1505704377925" xfId="1578" xr:uid="{00000000-0005-0000-0000-00002A060000}"/>
    <cellStyle name="style1505704377988" xfId="1579" xr:uid="{00000000-0005-0000-0000-00002B060000}"/>
    <cellStyle name="style1505704378050" xfId="1580" xr:uid="{00000000-0005-0000-0000-00002C060000}"/>
    <cellStyle name="style1505704378191" xfId="1581" xr:uid="{00000000-0005-0000-0000-00002D060000}"/>
    <cellStyle name="style1505704378253" xfId="1582" xr:uid="{00000000-0005-0000-0000-00002E060000}"/>
    <cellStyle name="style1505704378315" xfId="1583" xr:uid="{00000000-0005-0000-0000-00002F060000}"/>
    <cellStyle name="style1505704378378" xfId="1584" xr:uid="{00000000-0005-0000-0000-000030060000}"/>
    <cellStyle name="style1505704378425" xfId="1585" xr:uid="{00000000-0005-0000-0000-000031060000}"/>
    <cellStyle name="style1505704378487" xfId="1586" xr:uid="{00000000-0005-0000-0000-000032060000}"/>
    <cellStyle name="style1505704378565" xfId="1587" xr:uid="{00000000-0005-0000-0000-000033060000}"/>
    <cellStyle name="style1505704378643" xfId="1588" xr:uid="{00000000-0005-0000-0000-000034060000}"/>
    <cellStyle name="style1505704378690" xfId="1589" xr:uid="{00000000-0005-0000-0000-000035060000}"/>
    <cellStyle name="style1505704378752" xfId="1590" xr:uid="{00000000-0005-0000-0000-000036060000}"/>
    <cellStyle name="style1505704378815" xfId="1591" xr:uid="{00000000-0005-0000-0000-000037060000}"/>
    <cellStyle name="style1505704378861" xfId="1592" xr:uid="{00000000-0005-0000-0000-000038060000}"/>
    <cellStyle name="style1505704379064" xfId="1593" xr:uid="{00000000-0005-0000-0000-000039060000}"/>
    <cellStyle name="style1505704379158" xfId="1594" xr:uid="{00000000-0005-0000-0000-00003A060000}"/>
    <cellStyle name="style1505704379220" xfId="1595" xr:uid="{00000000-0005-0000-0000-00003B060000}"/>
    <cellStyle name="style1505704379267" xfId="1596" xr:uid="{00000000-0005-0000-0000-00003C060000}"/>
    <cellStyle name="style1505704379329" xfId="1597" xr:uid="{00000000-0005-0000-0000-00003D060000}"/>
    <cellStyle name="style1505704379376" xfId="1598" xr:uid="{00000000-0005-0000-0000-00003E060000}"/>
    <cellStyle name="style1505704379423" xfId="1599" xr:uid="{00000000-0005-0000-0000-00003F060000}"/>
    <cellStyle name="style1505704379485" xfId="1600" xr:uid="{00000000-0005-0000-0000-000040060000}"/>
    <cellStyle name="style1505704379532" xfId="1601" xr:uid="{00000000-0005-0000-0000-000041060000}"/>
    <cellStyle name="style1505704379579" xfId="1602" xr:uid="{00000000-0005-0000-0000-000042060000}"/>
    <cellStyle name="style1505704379641" xfId="1603" xr:uid="{00000000-0005-0000-0000-000043060000}"/>
    <cellStyle name="style1505704379704" xfId="1604" xr:uid="{00000000-0005-0000-0000-000044060000}"/>
    <cellStyle name="style1505704379751" xfId="1605" xr:uid="{00000000-0005-0000-0000-000045060000}"/>
    <cellStyle name="style1505704379813" xfId="1606" xr:uid="{00000000-0005-0000-0000-000046060000}"/>
    <cellStyle name="style1505704379985" xfId="1607" xr:uid="{00000000-0005-0000-0000-000047060000}"/>
    <cellStyle name="style1505704380047" xfId="1608" xr:uid="{00000000-0005-0000-0000-000048060000}"/>
    <cellStyle name="style1505704380109" xfId="1609" xr:uid="{00000000-0005-0000-0000-000049060000}"/>
    <cellStyle name="style1505704380156" xfId="1610" xr:uid="{00000000-0005-0000-0000-00004A060000}"/>
    <cellStyle name="style1505704380219" xfId="1611" xr:uid="{00000000-0005-0000-0000-00004B060000}"/>
    <cellStyle name="style1505704380281" xfId="1612" xr:uid="{00000000-0005-0000-0000-00004C060000}"/>
    <cellStyle name="style1505704380328" xfId="1613" xr:uid="{00000000-0005-0000-0000-00004D060000}"/>
    <cellStyle name="style1505704380359" xfId="1614" xr:uid="{00000000-0005-0000-0000-00004E060000}"/>
    <cellStyle name="style1505704380406" xfId="1615" xr:uid="{00000000-0005-0000-0000-00004F060000}"/>
    <cellStyle name="style1505704380437" xfId="1616" xr:uid="{00000000-0005-0000-0000-000050060000}"/>
    <cellStyle name="style1505704380484" xfId="1617" xr:uid="{00000000-0005-0000-0000-000051060000}"/>
    <cellStyle name="style1505704380531" xfId="1618" xr:uid="{00000000-0005-0000-0000-000052060000}"/>
    <cellStyle name="style1505704380577" xfId="1619" xr:uid="{00000000-0005-0000-0000-000053060000}"/>
    <cellStyle name="style1505704380609" xfId="1620" xr:uid="{00000000-0005-0000-0000-000054060000}"/>
    <cellStyle name="style1505704380718" xfId="1621" xr:uid="{00000000-0005-0000-0000-000055060000}"/>
    <cellStyle name="style1505704380796" xfId="1622" xr:uid="{00000000-0005-0000-0000-000056060000}"/>
    <cellStyle name="style1505704380858" xfId="1623" xr:uid="{00000000-0005-0000-0000-000057060000}"/>
    <cellStyle name="style1505704380921" xfId="1624" xr:uid="{00000000-0005-0000-0000-000058060000}"/>
    <cellStyle name="style1505704380967" xfId="1625" xr:uid="{00000000-0005-0000-0000-000059060000}"/>
    <cellStyle name="style1505704381014" xfId="1626" xr:uid="{00000000-0005-0000-0000-00005A060000}"/>
    <cellStyle name="style1505704381077" xfId="1627" xr:uid="{00000000-0005-0000-0000-00005B060000}"/>
    <cellStyle name="style1520652712152" xfId="1629" xr:uid="{00000000-0005-0000-0000-00005C060000}"/>
    <cellStyle name="style1520652712245" xfId="1630" xr:uid="{00000000-0005-0000-0000-00005D060000}"/>
    <cellStyle name="style1520652712355" xfId="1628" xr:uid="{00000000-0005-0000-0000-00005E060000}"/>
    <cellStyle name="style1520652712495" xfId="1631" xr:uid="{00000000-0005-0000-0000-00005F060000}"/>
    <cellStyle name="style1520652712589" xfId="1632" xr:uid="{00000000-0005-0000-0000-000060060000}"/>
    <cellStyle name="style1520652712682" xfId="1636" xr:uid="{00000000-0005-0000-0000-000061060000}"/>
    <cellStyle name="style1520652712760" xfId="1637" xr:uid="{00000000-0005-0000-0000-000062060000}"/>
    <cellStyle name="style1520652712838" xfId="1641" xr:uid="{00000000-0005-0000-0000-000063060000}"/>
    <cellStyle name="style1520652712916" xfId="1642" xr:uid="{00000000-0005-0000-0000-000064060000}"/>
    <cellStyle name="style1520652712994" xfId="1633" xr:uid="{00000000-0005-0000-0000-000065060000}"/>
    <cellStyle name="style1520652713072" xfId="1634" xr:uid="{00000000-0005-0000-0000-000066060000}"/>
    <cellStyle name="style1520652713166" xfId="1635" xr:uid="{00000000-0005-0000-0000-000067060000}"/>
    <cellStyle name="style1520652713259" xfId="1638" xr:uid="{00000000-0005-0000-0000-000068060000}"/>
    <cellStyle name="style1520652713353" xfId="1639" xr:uid="{00000000-0005-0000-0000-000069060000}"/>
    <cellStyle name="style1520652713447" xfId="1640" xr:uid="{00000000-0005-0000-0000-00006A060000}"/>
    <cellStyle name="style1520652713540" xfId="1643" xr:uid="{00000000-0005-0000-0000-00006B060000}"/>
    <cellStyle name="style1520652713603" xfId="1644" xr:uid="{00000000-0005-0000-0000-00006C060000}"/>
    <cellStyle name="style1520652713696" xfId="1645" xr:uid="{00000000-0005-0000-0000-00006D060000}"/>
    <cellStyle name="style1520652713805" xfId="1646" xr:uid="{00000000-0005-0000-0000-00006E060000}"/>
    <cellStyle name="style1520652713883" xfId="1651" xr:uid="{00000000-0005-0000-0000-00006F060000}"/>
    <cellStyle name="style1520652713961" xfId="1647" xr:uid="{00000000-0005-0000-0000-000070060000}"/>
    <cellStyle name="style1520652714024" xfId="1652" xr:uid="{00000000-0005-0000-0000-000071060000}"/>
    <cellStyle name="style1520652714180" xfId="1656" xr:uid="{00000000-0005-0000-0000-000072060000}"/>
    <cellStyle name="style1520652714289" xfId="1657" xr:uid="{00000000-0005-0000-0000-000073060000}"/>
    <cellStyle name="style1520652714383" xfId="1648" xr:uid="{00000000-0005-0000-0000-000074060000}"/>
    <cellStyle name="style1520652714445" xfId="1649" xr:uid="{00000000-0005-0000-0000-000075060000}"/>
    <cellStyle name="style1520652714523" xfId="1650" xr:uid="{00000000-0005-0000-0000-000076060000}"/>
    <cellStyle name="style1520652714601" xfId="1653" xr:uid="{00000000-0005-0000-0000-000077060000}"/>
    <cellStyle name="style1520652714663" xfId="1654" xr:uid="{00000000-0005-0000-0000-000078060000}"/>
    <cellStyle name="style1520652714741" xfId="1655" xr:uid="{00000000-0005-0000-0000-000079060000}"/>
    <cellStyle name="style1520652714897" xfId="1658" xr:uid="{00000000-0005-0000-0000-00007A060000}"/>
    <cellStyle name="style1520652714991" xfId="1659" xr:uid="{00000000-0005-0000-0000-00007B060000}"/>
    <cellStyle name="style1520652715085" xfId="1660" xr:uid="{00000000-0005-0000-0000-00007C060000}"/>
    <cellStyle name="style1520652715178" xfId="1661" xr:uid="{00000000-0005-0000-0000-00007D060000}"/>
    <cellStyle name="style1520652715241" xfId="1662" xr:uid="{00000000-0005-0000-0000-00007E060000}"/>
    <cellStyle name="style1520652715350" xfId="1663" xr:uid="{00000000-0005-0000-0000-00007F060000}"/>
    <cellStyle name="style1520652715428" xfId="1664" xr:uid="{00000000-0005-0000-0000-000080060000}"/>
    <cellStyle name="style1520652715506" xfId="1665" xr:uid="{00000000-0005-0000-0000-000081060000}"/>
    <cellStyle name="style1520652715584" xfId="1667" xr:uid="{00000000-0005-0000-0000-000082060000}"/>
    <cellStyle name="style1520652715662" xfId="1669" xr:uid="{00000000-0005-0000-0000-000083060000}"/>
    <cellStyle name="style1520652715755" xfId="1666" xr:uid="{00000000-0005-0000-0000-000084060000}"/>
    <cellStyle name="style1520652715818" xfId="1668" xr:uid="{00000000-0005-0000-0000-000085060000}"/>
    <cellStyle name="style1520652715896" xfId="1670" xr:uid="{00000000-0005-0000-0000-000086060000}"/>
    <cellStyle name="style1520652716005" xfId="1671" xr:uid="{00000000-0005-0000-0000-000087060000}"/>
    <cellStyle name="style1520652716067" xfId="1672" xr:uid="{00000000-0005-0000-0000-000088060000}"/>
    <cellStyle name="style1520652716145" xfId="1673" xr:uid="{00000000-0005-0000-0000-000089060000}"/>
    <cellStyle name="style1520652716223" xfId="1674" xr:uid="{00000000-0005-0000-0000-00008A060000}"/>
    <cellStyle name="style1520652716270" xfId="1676" xr:uid="{00000000-0005-0000-0000-00008B060000}"/>
    <cellStyle name="style1520652716317" xfId="1678" xr:uid="{00000000-0005-0000-0000-00008C060000}"/>
    <cellStyle name="style1520652716411" xfId="1675" xr:uid="{00000000-0005-0000-0000-00008D060000}"/>
    <cellStyle name="style1520652716489" xfId="1677" xr:uid="{00000000-0005-0000-0000-00008E060000}"/>
    <cellStyle name="style1520652716567" xfId="1679" xr:uid="{00000000-0005-0000-0000-00008F060000}"/>
    <cellStyle name="style1520652717674" xfId="1680" xr:uid="{00000000-0005-0000-0000-000090060000}"/>
    <cellStyle name="style1520652717752" xfId="1681" xr:uid="{00000000-0005-0000-0000-000091060000}"/>
    <cellStyle name="style1520652717846" xfId="1682" xr:uid="{00000000-0005-0000-0000-000092060000}"/>
    <cellStyle name="style1520652717908" xfId="1683" xr:uid="{00000000-0005-0000-0000-000093060000}"/>
    <cellStyle name="style1520652717955" xfId="1684" xr:uid="{00000000-0005-0000-0000-000094060000}"/>
    <cellStyle name="style1520652718033" xfId="1685" xr:uid="{00000000-0005-0000-0000-000095060000}"/>
    <cellStyle name="style1520652718111" xfId="1686" xr:uid="{00000000-0005-0000-0000-000096060000}"/>
    <cellStyle name="style1520652718173" xfId="1687" xr:uid="{00000000-0005-0000-0000-000097060000}"/>
    <cellStyle name="style1520652718626" xfId="1688" xr:uid="{00000000-0005-0000-0000-000098060000}"/>
    <cellStyle name="style1520652718735" xfId="1689" xr:uid="{00000000-0005-0000-0000-000099060000}"/>
    <cellStyle name="style1520652718797" xfId="1690" xr:uid="{00000000-0005-0000-0000-00009A060000}"/>
    <cellStyle name="style1520652718844" xfId="1691" xr:uid="{00000000-0005-0000-0000-00009B060000}"/>
    <cellStyle name="style1520652718922" xfId="1692" xr:uid="{00000000-0005-0000-0000-00009C060000}"/>
    <cellStyle name="style1520652718985" xfId="1693" xr:uid="{00000000-0005-0000-0000-00009D060000}"/>
    <cellStyle name="style1520652719031" xfId="1694" xr:uid="{00000000-0005-0000-0000-00009E060000}"/>
    <cellStyle name="style1520652719094" xfId="1695" xr:uid="{00000000-0005-0000-0000-00009F060000}"/>
    <cellStyle name="style1520652719172" xfId="1696" xr:uid="{00000000-0005-0000-0000-0000A0060000}"/>
    <cellStyle name="style1520652719281" xfId="1697" xr:uid="{00000000-0005-0000-0000-0000A1060000}"/>
    <cellStyle name="style1520652719328" xfId="1698" xr:uid="{00000000-0005-0000-0000-0000A2060000}"/>
    <cellStyle name="style1520652721325" xfId="1699" xr:uid="{00000000-0005-0000-0000-0000A3060000}"/>
    <cellStyle name="style1520652721371" xfId="1700" xr:uid="{00000000-0005-0000-0000-0000A4060000}"/>
    <cellStyle name="style1520652721481" xfId="1701" xr:uid="{00000000-0005-0000-0000-0000A5060000}"/>
    <cellStyle name="style1520652794364" xfId="1703" xr:uid="{00000000-0005-0000-0000-0000A6060000}"/>
    <cellStyle name="style1520652794473" xfId="1704" xr:uid="{00000000-0005-0000-0000-0000A7060000}"/>
    <cellStyle name="style1520652794535" xfId="1702" xr:uid="{00000000-0005-0000-0000-0000A8060000}"/>
    <cellStyle name="style1520652794598" xfId="1705" xr:uid="{00000000-0005-0000-0000-0000A9060000}"/>
    <cellStyle name="style1520652794691" xfId="1706" xr:uid="{00000000-0005-0000-0000-0000AA060000}"/>
    <cellStyle name="style1520652794801" xfId="1707" xr:uid="{00000000-0005-0000-0000-0000AB060000}"/>
    <cellStyle name="style1520652794847" xfId="1708" xr:uid="{00000000-0005-0000-0000-0000AC060000}"/>
    <cellStyle name="style1520652794910" xfId="1709" xr:uid="{00000000-0005-0000-0000-0000AD060000}"/>
    <cellStyle name="style1520652794972" xfId="1713" xr:uid="{00000000-0005-0000-0000-0000AE060000}"/>
    <cellStyle name="style1520652795035" xfId="1717" xr:uid="{00000000-0005-0000-0000-0000AF060000}"/>
    <cellStyle name="style1520652795097" xfId="1710" xr:uid="{00000000-0005-0000-0000-0000B0060000}"/>
    <cellStyle name="style1520652795144" xfId="1714" xr:uid="{00000000-0005-0000-0000-0000B1060000}"/>
    <cellStyle name="style1520652795206" xfId="1711" xr:uid="{00000000-0005-0000-0000-0000B2060000}"/>
    <cellStyle name="style1520652795269" xfId="1715" xr:uid="{00000000-0005-0000-0000-0000B3060000}"/>
    <cellStyle name="style1520652795347" xfId="1718" xr:uid="{00000000-0005-0000-0000-0000B4060000}"/>
    <cellStyle name="style1520652795409" xfId="1719" xr:uid="{00000000-0005-0000-0000-0000B5060000}"/>
    <cellStyle name="style1520652795456" xfId="1712" xr:uid="{00000000-0005-0000-0000-0000B6060000}"/>
    <cellStyle name="style1520652795518" xfId="1716" xr:uid="{00000000-0005-0000-0000-0000B7060000}"/>
    <cellStyle name="style1520652795565" xfId="1720" xr:uid="{00000000-0005-0000-0000-0000B8060000}"/>
    <cellStyle name="style1520652795643" xfId="1721" xr:uid="{00000000-0005-0000-0000-0000B9060000}"/>
    <cellStyle name="style1520652795705" xfId="1722" xr:uid="{00000000-0005-0000-0000-0000BA060000}"/>
    <cellStyle name="style1520652795768" xfId="1723" xr:uid="{00000000-0005-0000-0000-0000BB060000}"/>
    <cellStyle name="style1520652795830" xfId="1724" xr:uid="{00000000-0005-0000-0000-0000BC060000}"/>
    <cellStyle name="style1520652795893" xfId="1725" xr:uid="{00000000-0005-0000-0000-0000BD060000}"/>
    <cellStyle name="style1520652795955" xfId="1726" xr:uid="{00000000-0005-0000-0000-0000BE060000}"/>
    <cellStyle name="style1520652796002" xfId="1727" xr:uid="{00000000-0005-0000-0000-0000BF060000}"/>
    <cellStyle name="style1520652796064" xfId="1728" xr:uid="{00000000-0005-0000-0000-0000C0060000}"/>
    <cellStyle name="style1520652796127" xfId="1729" xr:uid="{00000000-0005-0000-0000-0000C1060000}"/>
    <cellStyle name="style1520652796189" xfId="1730" xr:uid="{00000000-0005-0000-0000-0000C2060000}"/>
    <cellStyle name="style1520652796236" xfId="1731" xr:uid="{00000000-0005-0000-0000-0000C3060000}"/>
    <cellStyle name="style1520652796298" xfId="1732" xr:uid="{00000000-0005-0000-0000-0000C4060000}"/>
    <cellStyle name="style1520652796392" xfId="1733" xr:uid="{00000000-0005-0000-0000-0000C5060000}"/>
    <cellStyle name="style1520652796439" xfId="1734" xr:uid="{00000000-0005-0000-0000-0000C6060000}"/>
    <cellStyle name="style1520652796485" xfId="1735" xr:uid="{00000000-0005-0000-0000-0000C7060000}"/>
    <cellStyle name="style1520652796517" xfId="1739" xr:uid="{00000000-0005-0000-0000-0000C8060000}"/>
    <cellStyle name="style1520652796579" xfId="1740" xr:uid="{00000000-0005-0000-0000-0000C9060000}"/>
    <cellStyle name="style1520652796626" xfId="1741" xr:uid="{00000000-0005-0000-0000-0000CA060000}"/>
    <cellStyle name="style1520652796688" xfId="1736" xr:uid="{00000000-0005-0000-0000-0000CB060000}"/>
    <cellStyle name="style1520652796751" xfId="1737" xr:uid="{00000000-0005-0000-0000-0000CC060000}"/>
    <cellStyle name="style1520652796797" xfId="1738" xr:uid="{00000000-0005-0000-0000-0000CD060000}"/>
    <cellStyle name="style1520652796860" xfId="1742" xr:uid="{00000000-0005-0000-0000-0000CE060000}"/>
    <cellStyle name="style1520652796922" xfId="1743" xr:uid="{00000000-0005-0000-0000-0000CF060000}"/>
    <cellStyle name="style1520652796985" xfId="1744" xr:uid="{00000000-0005-0000-0000-0000D0060000}"/>
    <cellStyle name="style1520652797047" xfId="1745" xr:uid="{00000000-0005-0000-0000-0000D1060000}"/>
    <cellStyle name="style1520652797109" xfId="1746" xr:uid="{00000000-0005-0000-0000-0000D2060000}"/>
    <cellStyle name="style1520652797156" xfId="1747" xr:uid="{00000000-0005-0000-0000-0000D3060000}"/>
    <cellStyle name="style1520652797219" xfId="1748" xr:uid="{00000000-0005-0000-0000-0000D4060000}"/>
    <cellStyle name="style1520652797250" xfId="1749" xr:uid="{00000000-0005-0000-0000-0000D5060000}"/>
    <cellStyle name="style1520652797312" xfId="1750" xr:uid="{00000000-0005-0000-0000-0000D6060000}"/>
    <cellStyle name="style1520652797375" xfId="1751" xr:uid="{00000000-0005-0000-0000-0000D7060000}"/>
    <cellStyle name="style1520652797421" xfId="1762" xr:uid="{00000000-0005-0000-0000-0000D8060000}"/>
    <cellStyle name="style1520652797499" xfId="1752" xr:uid="{00000000-0005-0000-0000-0000D9060000}"/>
    <cellStyle name="style1520652797546" xfId="1753" xr:uid="{00000000-0005-0000-0000-0000DA060000}"/>
    <cellStyle name="style1520652797577" xfId="1754" xr:uid="{00000000-0005-0000-0000-0000DB060000}"/>
    <cellStyle name="style1520652797624" xfId="1755" xr:uid="{00000000-0005-0000-0000-0000DC060000}"/>
    <cellStyle name="style1520652797671" xfId="1756" xr:uid="{00000000-0005-0000-0000-0000DD060000}"/>
    <cellStyle name="style1520652797702" xfId="1757" xr:uid="{00000000-0005-0000-0000-0000DE060000}"/>
    <cellStyle name="style1520652797749" xfId="1758" xr:uid="{00000000-0005-0000-0000-0000DF060000}"/>
    <cellStyle name="style1520652797796" xfId="1759" xr:uid="{00000000-0005-0000-0000-0000E0060000}"/>
    <cellStyle name="style1520652797843" xfId="1760" xr:uid="{00000000-0005-0000-0000-0000E1060000}"/>
    <cellStyle name="style1520652797889" xfId="1761" xr:uid="{00000000-0005-0000-0000-0000E2060000}"/>
    <cellStyle name="style1520652797952" xfId="1763" xr:uid="{00000000-0005-0000-0000-0000E3060000}"/>
    <cellStyle name="style1520652798030" xfId="1764" xr:uid="{00000000-0005-0000-0000-0000E4060000}"/>
    <cellStyle name="style1520652798092" xfId="1765" xr:uid="{00000000-0005-0000-0000-0000E5060000}"/>
    <cellStyle name="style1662938997923" xfId="1767" xr:uid="{9862485E-BAA1-4AA9-803C-B0301C1D69E3}"/>
    <cellStyle name="style1662938997969" xfId="1768" xr:uid="{86FE89EE-3683-41FF-8BC6-BBCBC8AD5B24}"/>
    <cellStyle name="style1662938998018" xfId="1766" xr:uid="{287CFB3D-1170-4D88-9E06-72A2267DD5F4}"/>
    <cellStyle name="style1662938998064" xfId="1769" xr:uid="{A96FE270-60C6-4C21-A249-F47D24182360}"/>
    <cellStyle name="style1662938998094" xfId="1770" xr:uid="{5EF1CDDA-2E21-4F64-9227-F26724FC566D}"/>
    <cellStyle name="style1662938998126" xfId="1774" xr:uid="{0F473965-5F97-4CFC-B3DB-8ABA08DB400A}"/>
    <cellStyle name="style1662938998171" xfId="1775" xr:uid="{293212C6-8FEC-4FD7-98A8-C0BAC9F6E00D}"/>
    <cellStyle name="style1662938998218" xfId="1779" xr:uid="{08AA7296-8F8E-453C-A1D9-BA4A0CECBE46}"/>
    <cellStyle name="style1662938998265" xfId="1780" xr:uid="{7EF44683-7C7F-4349-91FA-EF0FDE3A8E18}"/>
    <cellStyle name="style1662938998304" xfId="1771" xr:uid="{0E525FFB-B9AD-466D-80A6-7188AA6E22EA}"/>
    <cellStyle name="style1662938998343" xfId="1772" xr:uid="{EA0ACA7C-D93B-4130-B021-52FE439F4CD7}"/>
    <cellStyle name="style1662938998381" xfId="1773" xr:uid="{23C3DE75-A6D8-4C6E-A89E-4B9B5F64919B}"/>
    <cellStyle name="style1662938998418" xfId="1776" xr:uid="{52B6EC8D-251C-40CE-8039-3CB6DF386196}"/>
    <cellStyle name="style1662938998458" xfId="1777" xr:uid="{7A6537FA-0B03-4256-82D8-F98A3549A501}"/>
    <cellStyle name="style1662938998498" xfId="1778" xr:uid="{B67F7AB4-94E1-48DE-8F1F-EF0605CC3512}"/>
    <cellStyle name="style1662938998549" xfId="1781" xr:uid="{EF2A6BAF-FF92-4911-A100-5F2BA558CD29}"/>
    <cellStyle name="style1662938998601" xfId="1782" xr:uid="{E621EC23-3ACB-4F00-850D-A404BE272E03}"/>
    <cellStyle name="style1662938998642" xfId="1783" xr:uid="{D18640D3-4EAF-4394-A45B-D72584E3B53C}"/>
    <cellStyle name="style1662938998684" xfId="1784" xr:uid="{BA5B5934-8335-4E01-B4C8-5442747FC0A6}"/>
    <cellStyle name="style1662938998738" xfId="1789" xr:uid="{2898D9B2-DF7F-4E2E-BC7C-EA3BBFDB8690}"/>
    <cellStyle name="style1662938998780" xfId="1785" xr:uid="{3D2A7F2B-BADB-4302-BAAA-AECB449AA543}"/>
    <cellStyle name="style1662938998828" xfId="1790" xr:uid="{85C4C5A6-24BD-4619-932C-C24811966A83}"/>
    <cellStyle name="style1662938998917" xfId="1794" xr:uid="{3124ED88-DE12-45A3-B589-7F38F738BC65}"/>
    <cellStyle name="style1662938998967" xfId="1795" xr:uid="{CE682B60-E58F-4001-B21D-3E82D3187E85}"/>
    <cellStyle name="style1662938999022" xfId="1786" xr:uid="{A9411589-B088-4C87-A6C1-7E8F8E6B0195}"/>
    <cellStyle name="style1662938999072" xfId="1787" xr:uid="{24B43879-174B-4231-AD41-47FCF4C3C9BF}"/>
    <cellStyle name="style1662938999107" xfId="1788" xr:uid="{AB24042B-F77F-4EFA-9D2F-E7EBCA108801}"/>
    <cellStyle name="style1662938999142" xfId="1791" xr:uid="{BDB7A37A-05EE-4394-A436-BFAAD3C50722}"/>
    <cellStyle name="style1662938999178" xfId="1792" xr:uid="{9F880E98-85DB-4EB4-8087-E3C42080BB4B}"/>
    <cellStyle name="style1662938999217" xfId="1793" xr:uid="{9387D2DB-5F1B-4BE8-BBAA-823F75B73165}"/>
    <cellStyle name="style1662938999287" xfId="1796" xr:uid="{71C3D782-1E55-48A4-B682-56551A78B14F}"/>
    <cellStyle name="style1662938999340" xfId="1797" xr:uid="{912D7DCA-1770-4AFE-9697-4E8EAA54FFDF}"/>
    <cellStyle name="style1662938999386" xfId="1798" xr:uid="{3021F248-3712-4AC6-854D-15AD96A8EEDB}"/>
    <cellStyle name="style1662938999437" xfId="1799" xr:uid="{7F358F64-1A01-4166-A7EF-8FD719E1CE41}"/>
    <cellStyle name="style1662938999473" xfId="1800" xr:uid="{E531393F-55F0-48AF-B465-DA4F96287CBB}"/>
    <cellStyle name="style1662938999514" xfId="1801" xr:uid="{112DB9CF-21B7-4F72-AF57-2A7AF64DC72E}"/>
    <cellStyle name="style1662938999553" xfId="1802" xr:uid="{4A716432-A981-44BF-94D3-DF34D8948B56}"/>
    <cellStyle name="style1662938999589" xfId="1803" xr:uid="{0C1C2EA8-4F79-4C9F-AF08-47A6999C5173}"/>
    <cellStyle name="style1662938999625" xfId="1805" xr:uid="{F58C5231-F1A5-426D-AAEF-B6515A0EE0B0}"/>
    <cellStyle name="style1662938999661" xfId="1807" xr:uid="{F14C02DD-51FA-4E6D-B4B3-19318F553968}"/>
    <cellStyle name="style1662938999697" xfId="1804" xr:uid="{0B35E3B3-92A0-4732-90F5-FA5D78B29BB4}"/>
    <cellStyle name="style1662938999732" xfId="1806" xr:uid="{C2620C05-96A1-427E-B910-DA0537C699DC}"/>
    <cellStyle name="style1662938999767" xfId="1808" xr:uid="{EB38EE0D-3D5C-4C83-9FC6-4C141F1A3DF5}"/>
    <cellStyle name="style1662938999818" xfId="1809" xr:uid="{FFE3C42A-21F2-4C8F-A167-649349E125FD}"/>
    <cellStyle name="style1662938999864" xfId="1810" xr:uid="{F5DBE994-337B-42BF-8D6C-7DC5B7981BC6}"/>
    <cellStyle name="style1662938999910" xfId="1811" xr:uid="{B5D08A64-7597-4BFD-B351-5E8B57C0529A}"/>
    <cellStyle name="style1662938999962" xfId="1812" xr:uid="{13295B51-96D1-4B9A-A740-306DBF596CDF}"/>
    <cellStyle name="style1662938999987" xfId="1814" xr:uid="{7BFD4F19-9C1C-494A-A59B-FF60C86F824F}"/>
    <cellStyle name="style1662939000019" xfId="1816" xr:uid="{414FF9F5-3A9F-4C4B-9570-C15EEF732FEA}"/>
    <cellStyle name="style1662939000056" xfId="1813" xr:uid="{8A92D0F3-15D5-430B-91F8-3257AB41A53F}"/>
    <cellStyle name="style1662939000091" xfId="1815" xr:uid="{0F6D6A89-DCCA-4AE4-BEF6-618FBD8F51C6}"/>
    <cellStyle name="style1662939000123" xfId="1817" xr:uid="{FF72DB4C-0212-47E2-8A24-2EDA4D8F0E3D}"/>
    <cellStyle name="style1662939000687" xfId="1818" xr:uid="{F1634DE9-0C4A-487D-ACD4-C9443276366F}"/>
    <cellStyle name="style1662939000722" xfId="1819" xr:uid="{48D27E22-90A5-447C-91FA-200C0656CAE3}"/>
    <cellStyle name="style1662939000763" xfId="1820" xr:uid="{96ABD134-AB93-43C3-9148-85F745F105D8}"/>
    <cellStyle name="style1662939000786" xfId="1821" xr:uid="{2292D089-67A3-4FDF-889C-25D260A91648}"/>
    <cellStyle name="style1662939000810" xfId="1822" xr:uid="{7CA5CAE0-6F69-454D-8057-5E04E1BECBAF}"/>
    <cellStyle name="style1662939000834" xfId="1823" xr:uid="{EFBB8924-08D7-4C20-B1FA-1135ACB57631}"/>
    <cellStyle name="style1662939000862" xfId="1824" xr:uid="{9D79D47A-A605-407B-BE3D-99F873574D07}"/>
    <cellStyle name="style1662939000885" xfId="1825" xr:uid="{02C2841C-1D1F-4EB1-857A-1B906D438DCA}"/>
    <cellStyle name="style1662939001114" xfId="1826" xr:uid="{2135CE16-EED1-452C-9EDF-72E213773046}"/>
    <cellStyle name="style1662939001168" xfId="1827" xr:uid="{DEB5088D-EBC5-495B-9634-F8C718B92898}"/>
    <cellStyle name="style1662939001199" xfId="1828" xr:uid="{A35B4CC5-1D7E-4028-9D14-772123C8AE01}"/>
    <cellStyle name="style1662939001228" xfId="1829" xr:uid="{30BABE62-649E-4E3D-A0B7-308DB382E9A7}"/>
    <cellStyle name="style1662939001261" xfId="1830" xr:uid="{0C2D9D18-2ABB-47F4-B430-4B7C21465868}"/>
    <cellStyle name="style1662939001286" xfId="1831" xr:uid="{B1192647-D113-4CF4-A775-2C0BEE6FA612}"/>
    <cellStyle name="style1662939001311" xfId="1832" xr:uid="{457F70E2-0598-4725-AFF3-404875BE72BE}"/>
    <cellStyle name="style1662939001340" xfId="1833" xr:uid="{137D2171-9DE1-49F3-9A84-C8015EDBD522}"/>
    <cellStyle name="style1662939001367" xfId="1834" xr:uid="{21A2FAC8-943B-492B-82E1-9BF52781CCDA}"/>
    <cellStyle name="style1662939001418" xfId="1835" xr:uid="{7491A907-DFE1-4D0C-920C-90E0D28C73FF}"/>
    <cellStyle name="style1662939002637" xfId="1836" xr:uid="{9D62776E-7070-4762-887E-5EC38BCCCEBC}"/>
    <cellStyle name="style1662939002661" xfId="1837" xr:uid="{01C25809-42AA-4962-9CC2-D8BC57D190FE}"/>
    <cellStyle name="style1662939002697" xfId="1838" xr:uid="{8356B6E7-879F-4D07-8F4D-85781203A7E4}"/>
    <cellStyle name="style1662939056342" xfId="1840" xr:uid="{B776AB3F-E8D4-47BA-917D-F0DB5DCC783D}"/>
    <cellStyle name="style1662939056415" xfId="1841" xr:uid="{C7DB354F-FA46-4E34-9739-555455A18D68}"/>
    <cellStyle name="style1662939056475" xfId="1839" xr:uid="{2F66B280-3EC2-43F3-95B6-F93550996E15}"/>
    <cellStyle name="style1662939056512" xfId="1842" xr:uid="{82EA740A-F0E6-4336-8A35-D9022371552B}"/>
    <cellStyle name="style1662939056550" xfId="1843" xr:uid="{22A58DBE-2912-4A12-A41D-562C9632A0AA}"/>
    <cellStyle name="style1662939056587" xfId="1844" xr:uid="{7AD9A1D8-ABBE-41D7-B3E5-41A8372B8A16}"/>
    <cellStyle name="style1662939056624" xfId="1845" xr:uid="{C0147688-4247-4C6F-A1AC-D4DF94E8F568}"/>
    <cellStyle name="style1662939056657" xfId="1846" xr:uid="{C44F866E-2C6E-46E9-88A5-68C86E2CEEAA}"/>
    <cellStyle name="style1662939056696" xfId="1850" xr:uid="{F2075019-FAB0-489A-B3B8-9FAF84D63EAF}"/>
    <cellStyle name="style1662939056730" xfId="1854" xr:uid="{21A3CFBE-9273-4603-BE63-D06ED57F3467}"/>
    <cellStyle name="style1662939056763" xfId="1847" xr:uid="{FB330DEE-6324-4AE4-AB1C-19C23B493559}"/>
    <cellStyle name="style1662939056798" xfId="1851" xr:uid="{6C4DE5A6-709F-4BD4-B8F4-C918C6C2012C}"/>
    <cellStyle name="style1662939056838" xfId="1848" xr:uid="{B87FA4BD-F327-4F57-A4ED-87D4C097F411}"/>
    <cellStyle name="style1662939056871" xfId="1852" xr:uid="{679ECE5D-05C8-4D1F-BB37-BE7EFB51DFF6}"/>
    <cellStyle name="style1662939056907" xfId="1855" xr:uid="{6B9EB7AB-B799-465E-8223-88A9D04C60D8}"/>
    <cellStyle name="style1662939056942" xfId="1856" xr:uid="{F41D181E-239F-4F86-AAFB-7D1C9AB143A5}"/>
    <cellStyle name="style1662939056977" xfId="1849" xr:uid="{CDAE8A36-43E7-45D1-A374-F70FE518527C}"/>
    <cellStyle name="style1662939057020" xfId="1853" xr:uid="{82A42076-A2B8-4FE0-BA28-DE0227392EF8}"/>
    <cellStyle name="style1662939057057" xfId="1857" xr:uid="{00AA4BF8-C911-4333-A50D-791A5165E09E}"/>
    <cellStyle name="style1662939057106" xfId="1858" xr:uid="{B08720A8-69AD-4D10-890C-1EB6B29AE0AB}"/>
    <cellStyle name="style1662939057140" xfId="1859" xr:uid="{36BFAAB1-DFBF-4A22-84D6-D2C3F84C9644}"/>
    <cellStyle name="style1662939057175" xfId="1860" xr:uid="{E7EDFCDF-ACF0-4359-948E-D5B7D8E9ECA4}"/>
    <cellStyle name="style1662939057211" xfId="1861" xr:uid="{F3CEB204-2EF1-4214-AAEB-19A1A4B0204A}"/>
    <cellStyle name="style1662939057246" xfId="1862" xr:uid="{4BE5D34F-1FC0-4EC9-80CC-62B7686CFBDD}"/>
    <cellStyle name="style1662939057280" xfId="1863" xr:uid="{0B1E7DB8-709E-4B74-9C09-7D647DCD6D19}"/>
    <cellStyle name="style1662939057313" xfId="1864" xr:uid="{4FDBF93D-2102-4D14-A2B8-E3F835724EE8}"/>
    <cellStyle name="style1662939057351" xfId="1865" xr:uid="{CD3BD0C2-88BC-4A48-9798-9D3E7B6DF18A}"/>
    <cellStyle name="style1662939057388" xfId="1866" xr:uid="{4DCB2C80-CC04-4BE7-BD82-0139BD91B756}"/>
    <cellStyle name="style1662939057424" xfId="1867" xr:uid="{8FBE006B-FA69-4395-A31A-D26A92B9AB79}"/>
    <cellStyle name="style1662939057458" xfId="1868" xr:uid="{37A9FA92-2E4F-4DD6-A90B-FB5D236D73CE}"/>
    <cellStyle name="style1662939057494" xfId="1869" xr:uid="{5F61C4DF-F562-4878-A234-5D2320767F10}"/>
    <cellStyle name="style1662939057541" xfId="1870" xr:uid="{DE6A72A4-A924-4F24-A3A9-771D0CE46B40}"/>
    <cellStyle name="style1662939057565" xfId="1871" xr:uid="{096C8E72-3264-4173-B13F-00EE22B9B6E0}"/>
    <cellStyle name="style1662939057589" xfId="1872" xr:uid="{7E9973A8-86DD-420B-942E-63170B6F4C8B}"/>
    <cellStyle name="style1662939057613" xfId="1876" xr:uid="{28D3081B-691F-4D30-970C-595D59EAD66D}"/>
    <cellStyle name="style1662939057646" xfId="1877" xr:uid="{62126985-F769-42F4-A836-808727B9C439}"/>
    <cellStyle name="style1662939057683" xfId="1878" xr:uid="{67F4EF12-6BBD-4097-AABD-D9E6D092C763}"/>
    <cellStyle name="style1662939057720" xfId="1873" xr:uid="{87270682-9D47-415E-8B3F-D98C3CA78CD3}"/>
    <cellStyle name="style1662939057755" xfId="1874" xr:uid="{7FF40923-604E-44C8-A75E-71E0AF92AD70}"/>
    <cellStyle name="style1662939057795" xfId="1875" xr:uid="{F5A5BAC2-C5D4-4150-9BC7-AD0847AB04EB}"/>
    <cellStyle name="style1662939057828" xfId="1879" xr:uid="{D9D38CE9-8C81-41DB-86DF-5BBBA5C4072C}"/>
    <cellStyle name="style1662939057861" xfId="1880" xr:uid="{DACDACFB-895E-45C7-B865-9011AA49AA30}"/>
    <cellStyle name="style1662939057895" xfId="1881" xr:uid="{FC6FA99A-D141-4FBC-81E9-B23C5EE63482}"/>
    <cellStyle name="style1662939057949" xfId="1882" xr:uid="{EC5BB25D-91A9-4F15-B405-F7279C3EC364}"/>
    <cellStyle name="style1662939057984" xfId="1883" xr:uid="{E06C4299-4CCF-44CB-BDC2-9064384C5004}"/>
    <cellStyle name="style1662939058007" xfId="1884" xr:uid="{56836CCD-DE17-44C0-8F48-2DA5327836AE}"/>
    <cellStyle name="style1662939058041" xfId="1885" xr:uid="{E2A5B593-E972-4A5D-90D2-977D640B1BBC}"/>
    <cellStyle name="style1662939058074" xfId="1886" xr:uid="{B85B7F04-E513-4303-96D7-18E452473396}"/>
    <cellStyle name="style1662939058107" xfId="1897" xr:uid="{53A1B64A-9227-40D6-B8BA-D2D578530B1A}"/>
    <cellStyle name="style1662939058145" xfId="1887" xr:uid="{9E4EDE8A-DCB0-425E-8CBF-0F9C176828F5}"/>
    <cellStyle name="style1662939058172" xfId="1888" xr:uid="{34F29A15-7CD0-4D35-9C8E-F16A8DCA5A65}"/>
    <cellStyle name="style1662939058196" xfId="1889" xr:uid="{80BD175F-A3D2-4BAE-82AB-480FF974FA55}"/>
    <cellStyle name="style1662939058221" xfId="1890" xr:uid="{968C8557-C8C4-4EE9-9A04-095C3FA0F7D7}"/>
    <cellStyle name="style1662939058245" xfId="1891" xr:uid="{89A02361-9651-482A-8946-BCBAA26CEFDE}"/>
    <cellStyle name="style1662939058268" xfId="1892" xr:uid="{AA006185-734D-45D5-B328-40D50272AC9C}"/>
    <cellStyle name="style1662939058292" xfId="1893" xr:uid="{DAA66FD2-597C-41C0-9053-1795B92CB241}"/>
    <cellStyle name="style1662939058320" xfId="1894" xr:uid="{93FC0F52-91DF-4ED9-896A-475A0402B8BF}"/>
    <cellStyle name="style1662939058345" xfId="1895" xr:uid="{88CD9D3E-65EE-4D43-A9CF-B9352F1AF6F3}"/>
    <cellStyle name="style1662939058369" xfId="1896" xr:uid="{6640B08A-E292-4AD4-B4A0-9030B4595E95}"/>
    <cellStyle name="style1662939058404" xfId="1898" xr:uid="{DA889029-5216-458C-9CC3-280656CB4547}"/>
    <cellStyle name="style1662939058436" xfId="1899" xr:uid="{65644D78-B5D5-4237-A86D-E37B5AE79B40}"/>
    <cellStyle name="style1662939058469" xfId="1900" xr:uid="{0B902C1C-E6D4-4F8B-A022-EC202DEFF389}"/>
    <cellStyle name="style1662946374490" xfId="1902" xr:uid="{D081437F-6A89-4A16-B630-C7EB64234C68}"/>
    <cellStyle name="style1662946374542" xfId="1903" xr:uid="{C97FB4B5-581E-4A58-9BAC-924C563EF027}"/>
    <cellStyle name="style1662946374587" xfId="1901" xr:uid="{BBBB047C-9F5F-427E-84DA-E7E4BF5341BA}"/>
    <cellStyle name="style1662946374629" xfId="1904" xr:uid="{B893395B-FF3C-4153-B884-F322310364A9}"/>
    <cellStyle name="style1662946374660" xfId="1905" xr:uid="{4007C3ED-639F-4C86-837A-DE4C42F1D99C}"/>
    <cellStyle name="style1662946374689" xfId="1909" xr:uid="{E2E1A2BE-1B22-433D-B85D-2ADBCD2AC31A}"/>
    <cellStyle name="style1662946374728" xfId="1910" xr:uid="{6B2DB5DD-E5C8-4AC7-9541-8973D9EDE664}"/>
    <cellStyle name="style1662946374767" xfId="1914" xr:uid="{18D556C0-874E-4A22-817B-CBEFD045F975}"/>
    <cellStyle name="style1662946374804" xfId="1915" xr:uid="{B2051C99-CB94-46D3-8A69-A72A7EFEAE93}"/>
    <cellStyle name="style1662946374847" xfId="1906" xr:uid="{CF1D1676-B53E-4D9C-B878-7FAC28A416AC}"/>
    <cellStyle name="style1662946374885" xfId="1907" xr:uid="{3C075810-45C4-4FEC-A9F6-3FD2730D0928}"/>
    <cellStyle name="style1662946374925" xfId="1908" xr:uid="{04E026A9-BC9F-45B8-AAF4-035252B47079}"/>
    <cellStyle name="style1662946374964" xfId="1911" xr:uid="{24F9DD98-E7CA-4A05-899D-6631C6584EFF}"/>
    <cellStyle name="style1662946375000" xfId="1912" xr:uid="{A6637637-AED7-4C84-9B35-30BEFE690AAB}"/>
    <cellStyle name="style1662946375040" xfId="1913" xr:uid="{FB7736F5-02B0-4605-8EFC-8930D921171B}"/>
    <cellStyle name="style1662946375085" xfId="1916" xr:uid="{EA715442-FC12-409D-8635-090608274E6A}"/>
    <cellStyle name="style1662946375127" xfId="1917" xr:uid="{7EA37D61-ED3A-45EA-B15D-442359A88AD2}"/>
    <cellStyle name="style1662946375168" xfId="1918" xr:uid="{1C9870BD-67EA-4EF9-AF8F-FDF058D2A0F1}"/>
    <cellStyle name="style1662946375206" xfId="1919" xr:uid="{AD4C8496-7ED9-4865-9C08-5584D489D4E6}"/>
    <cellStyle name="style1662946375250" xfId="1924" xr:uid="{9F6CFA0E-1744-43A7-906F-F3583ACCF71B}"/>
    <cellStyle name="style1662946375288" xfId="1929" xr:uid="{03AE1A10-91E2-49F3-A06D-F2F2654C6773}"/>
    <cellStyle name="style1662946375326" xfId="1920" xr:uid="{CA8226E7-F8F4-4C57-8756-A305936640A3}"/>
    <cellStyle name="style1662946375363" xfId="1925" xr:uid="{301EB896-86E2-4F53-B10B-CDD1AB53EAD5}"/>
    <cellStyle name="style1662946375400" xfId="1930" xr:uid="{6A28D25D-4699-4C12-9FCB-25FD1591951C}"/>
    <cellStyle name="style1662946375440" xfId="1921" xr:uid="{D469287C-D1A8-432F-899F-5A034EE9EF38}"/>
    <cellStyle name="style1662946375482" xfId="1922" xr:uid="{E19854EF-1828-4C42-BCA5-B69A101F7C9B}"/>
    <cellStyle name="style1662946375528" xfId="1923" xr:uid="{0FC781CE-84BF-4116-B188-9086CD0468C8}"/>
    <cellStyle name="style1662946375568" xfId="1926" xr:uid="{03BC2AF6-D069-42B7-B9C1-057E88D3E123}"/>
    <cellStyle name="style1662946375609" xfId="1927" xr:uid="{EDE45D8C-D01E-4BCB-BCA7-1B9489DE6C8F}"/>
    <cellStyle name="style1662946375649" xfId="1928" xr:uid="{B0030FAA-EA28-4E68-8959-7CE998691F35}"/>
    <cellStyle name="style1662946375688" xfId="1931" xr:uid="{DC4826F2-2167-420F-95BF-283D1411D9F7}"/>
    <cellStyle name="style1662946375728" xfId="1932" xr:uid="{8E2A6D7F-33FD-4DB4-A834-8760B01F560C}"/>
    <cellStyle name="style1662946375764" xfId="1933" xr:uid="{F650D845-92EA-4099-BF67-3BEF10CA8B04}"/>
    <cellStyle name="style1662946375816" xfId="1934" xr:uid="{9238CA11-2579-4A81-8286-DC4F748EC268}"/>
    <cellStyle name="style1662946375852" xfId="1935" xr:uid="{CA3EA6B3-6196-4FDD-80F0-87B5B7B9AEB6}"/>
    <cellStyle name="style1662946375888" xfId="1936" xr:uid="{871181DC-F3A7-4E58-9585-BADC2201ACE6}"/>
    <cellStyle name="style1662946375942" xfId="1937" xr:uid="{3D2C4DAA-0D89-40DC-821A-168620096463}"/>
    <cellStyle name="style1662946375986" xfId="1938" xr:uid="{357955AB-2D63-4AE1-B528-3D23FE349F88}"/>
    <cellStyle name="style1662946376021" xfId="1939" xr:uid="{4AD356C3-24AF-4791-8904-C0FC077A91A6}"/>
    <cellStyle name="style1662946376073" xfId="1940" xr:uid="{3B52BC74-6DB0-4C41-818E-23A8629EF910}"/>
    <cellStyle name="style1662946376123" xfId="1941" xr:uid="{8858BDFC-4BC1-4D4D-8556-74451FD7D6A4}"/>
    <cellStyle name="style1662946376166" xfId="1942" xr:uid="{9740852D-E289-459A-AFC7-A1EB77F8FEA3}"/>
    <cellStyle name="style1662946376207" xfId="1943" xr:uid="{2662FE93-5564-49B4-AE55-3D1392589A29}"/>
    <cellStyle name="style1662946376243" xfId="1944" xr:uid="{A18AE877-B025-4D4A-B101-9A53C38CAA44}"/>
    <cellStyle name="style1662946376284" xfId="1945" xr:uid="{7FB7102C-75A1-4ECD-B256-BB776F7E9991}"/>
    <cellStyle name="style1662946376422" xfId="1946" xr:uid="{62107DE9-210E-4C7A-A314-35FBF1BE0FAA}"/>
    <cellStyle name="style1662946376469" xfId="1947" xr:uid="{D143B57A-B2C6-48F5-8F55-2D2D9576400C}"/>
    <cellStyle name="style1662946376514" xfId="1948" xr:uid="{3F0644DF-0B24-4D01-B34C-B5EEA858A31C}"/>
    <cellStyle name="style1662946376840" xfId="1949" xr:uid="{25855DAF-44D0-4E17-A107-BF63711BD826}"/>
    <cellStyle name="style1662946376902" xfId="1950" xr:uid="{3A5FDF49-00E9-4AA2-9064-9ADBFEC70D93}"/>
    <cellStyle name="style1662946376967" xfId="1951" xr:uid="{B8D7C768-FB94-4508-8374-52174E08520D}"/>
    <cellStyle name="style1662946377014" xfId="1952" xr:uid="{F2400AA5-A8DC-4191-A54A-71E1E85B695A}"/>
    <cellStyle name="style1662946377059" xfId="1953" xr:uid="{B46E99A1-4295-4C46-BDD1-F70F9193CAC2}"/>
    <cellStyle name="style1662946377099" xfId="1954" xr:uid="{214732E8-272B-4620-AA6C-0A2D072A2CF3}"/>
    <cellStyle name="style1662946377137" xfId="1955" xr:uid="{9CFAE37A-A5DD-4B48-AED9-108E19DE0356}"/>
    <cellStyle name="style1662946377176" xfId="1956" xr:uid="{0F638772-7AA2-4B43-9E3C-ABE49C1FC448}"/>
    <cellStyle name="style1678424497014" xfId="1958" xr:uid="{06AFEA7A-74CE-4638-B942-0117E8C2F920}"/>
    <cellStyle name="style1678424497061" xfId="1959" xr:uid="{AF9C364B-69A0-427B-8495-1AB77E5FB858}"/>
    <cellStyle name="style1678424497104" xfId="1957" xr:uid="{37E9CEF5-44F6-4821-9B5B-3C2B270F3077}"/>
    <cellStyle name="style1678424497150" xfId="1960" xr:uid="{721689B2-92FC-4247-A027-B0050B263F10}"/>
    <cellStyle name="style1678424497181" xfId="1961" xr:uid="{080167D4-127F-43F9-9366-451B0DB7BA5F}"/>
    <cellStyle name="style1678424497214" xfId="1965" xr:uid="{060B86C8-0C5E-44BF-A606-8BEC55B54AB2}"/>
    <cellStyle name="style1678424497265" xfId="1966" xr:uid="{CE9141BA-4E85-4782-9F40-F58A7842C550}"/>
    <cellStyle name="style1678424497304" xfId="1970" xr:uid="{89006113-C9A3-4F68-859F-CCC78DC9E5F9}"/>
    <cellStyle name="style1678424497348" xfId="1971" xr:uid="{904200D6-79E0-4440-92FE-BB94A681C012}"/>
    <cellStyle name="style1678424497387" xfId="1962" xr:uid="{D3116918-97F4-49C8-834A-8958F36B9691}"/>
    <cellStyle name="style1678424497425" xfId="1963" xr:uid="{CAFA55FD-5BE7-4241-8EBC-D0BE7CEFE5A0}"/>
    <cellStyle name="style1678424497463" xfId="1964" xr:uid="{E8AE7A32-BB25-441D-A4C6-A4303FC4D4BF}"/>
    <cellStyle name="style1678424497504" xfId="1967" xr:uid="{16B23557-6741-4DD3-BA02-4C05AC31FB48}"/>
    <cellStyle name="style1678424497544" xfId="1968" xr:uid="{A7BA1814-8C04-45F6-9AB8-AFC2FB99B061}"/>
    <cellStyle name="style1678424497588" xfId="1969" xr:uid="{52EB1EF5-4449-4628-98DF-747517962428}"/>
    <cellStyle name="style1678424497629" xfId="1972" xr:uid="{3FD0FD8E-0A05-4D57-9F8C-3648A6AC9052}"/>
    <cellStyle name="style1678424497669" xfId="1973" xr:uid="{4CD08506-EA53-4E8D-AB07-3CD50EB7652D}"/>
    <cellStyle name="style1678424497709" xfId="1974" xr:uid="{DD3C1468-8AE0-4557-B968-D8C14E8D9025}"/>
    <cellStyle name="style1678424497750" xfId="1975" xr:uid="{1544BE7A-73A8-4E82-AE1B-B331FB098C70}"/>
    <cellStyle name="style1678424497797" xfId="1980" xr:uid="{141261BC-C094-4B36-9AD0-14FF9BFA3C5E}"/>
    <cellStyle name="style1678424497841" xfId="1976" xr:uid="{216FF7A6-4055-42C4-A3D6-E50472B5C772}"/>
    <cellStyle name="style1678424497892" xfId="1981" xr:uid="{A8DC808A-0367-46A9-911F-CED66D7A9BB1}"/>
    <cellStyle name="style1678424497985" xfId="1985" xr:uid="{584DFF26-764C-4F3A-97EF-7FC3BF066596}"/>
    <cellStyle name="style1678424498034" xfId="1986" xr:uid="{C770B8F4-6C7A-4097-88AD-E88D47310633}"/>
    <cellStyle name="style1678424498081" xfId="1977" xr:uid="{E0ED4B29-B9F3-45E2-8BEC-0DFDAD2051D2}"/>
    <cellStyle name="style1678424498134" xfId="1978" xr:uid="{6B18A4A0-1EAB-43AD-96C4-D16769738339}"/>
    <cellStyle name="style1678424498169" xfId="1979" xr:uid="{C5A76D01-B5F9-4577-8228-53CC79FB4461}"/>
    <cellStyle name="style1678424498204" xfId="1982" xr:uid="{4FC6E658-52CE-4021-9D17-64A32E198AC8}"/>
    <cellStyle name="style1678424498241" xfId="1983" xr:uid="{A3586371-67D3-4A62-BA32-FBB58457929F}"/>
    <cellStyle name="style1678424498280" xfId="1984" xr:uid="{A15F6834-F0B5-4DCE-926B-B3EC3E10A387}"/>
    <cellStyle name="style1678424498350" xfId="1987" xr:uid="{3136D9AF-812F-421E-93EF-4ABD45967C83}"/>
    <cellStyle name="style1678424498424" xfId="1988" xr:uid="{A303E37A-6D98-4DCE-AB85-480DBC9B0809}"/>
    <cellStyle name="style1678424498479" xfId="1989" xr:uid="{8CD6EC44-9D91-49DC-82DA-10F816B3CBE8}"/>
    <cellStyle name="style1678424498524" xfId="1990" xr:uid="{4BC30A50-CC42-40B5-9A4F-A82EC86A3007}"/>
    <cellStyle name="style1678424498565" xfId="1991" xr:uid="{4DC15331-223D-4938-82E8-3C7DF67B2232}"/>
    <cellStyle name="style1678424498609" xfId="1992" xr:uid="{70FCA19A-733B-4989-9EA8-B1CB7ADDBA7A}"/>
    <cellStyle name="style1678424498649" xfId="1993" xr:uid="{BB536EEC-45B4-4639-9ED0-74563009A8B3}"/>
    <cellStyle name="style1678424498686" xfId="1994" xr:uid="{6BC8E64C-E747-4690-8903-4E1E5F750C78}"/>
    <cellStyle name="style1678424498720" xfId="1996" xr:uid="{FE0EEEF3-EC11-4949-BE63-0E2DD8C02427}"/>
    <cellStyle name="style1678424498758" xfId="1998" xr:uid="{5E8EC90C-4778-4343-BF1D-2CA69A0251E9}"/>
    <cellStyle name="style1678424498796" xfId="1995" xr:uid="{8675DA71-50D9-4997-B8C0-DCF246FD5623}"/>
    <cellStyle name="style1678424498833" xfId="1997" xr:uid="{4643152F-07E8-4AFD-A4D3-16056D41B98D}"/>
    <cellStyle name="style1678424498870" xfId="1999" xr:uid="{F8872A5E-3386-4DF1-B23B-10AC8AD8EB13}"/>
    <cellStyle name="style1678424498927" xfId="2000" xr:uid="{93728A88-C083-4618-A2C2-7A0AD9B7B5BE}"/>
    <cellStyle name="style1678424498970" xfId="2001" xr:uid="{49160917-AE7E-4FBD-AC16-C122502AD812}"/>
    <cellStyle name="style1678424499012" xfId="2002" xr:uid="{89C90057-1EBE-494C-93D4-BDA6A7E2DC79}"/>
    <cellStyle name="style1678424499061" xfId="2003" xr:uid="{907B27FC-901A-4E78-AE75-C668A9D541D2}"/>
    <cellStyle name="style1678424499086" xfId="2005" xr:uid="{DD2E23CF-3905-4F28-92F6-008BD2DDAE29}"/>
    <cellStyle name="style1678424499111" xfId="2007" xr:uid="{5F1B8BE9-5C8B-4A7A-9D89-AD48C09F5085}"/>
    <cellStyle name="style1678424499142" xfId="2004" xr:uid="{0F753E13-C1D3-4CF3-93CD-718080E0C4B1}"/>
    <cellStyle name="style1678424499176" xfId="2006" xr:uid="{B4B467AE-9179-490C-B4C5-791F1D3ED25D}"/>
    <cellStyle name="style1678424499208" xfId="2008" xr:uid="{0C8EFDCB-3DCA-4BAA-98B7-011FA8BC2022}"/>
    <cellStyle name="style1678424499748" xfId="2009" xr:uid="{F2C1A14A-9C72-428F-8BC0-C670620CC45F}"/>
    <cellStyle name="style1678424499781" xfId="2010" xr:uid="{BCD8174B-0F2C-4E16-98D9-4F37215595D3}"/>
    <cellStyle name="style1678424499820" xfId="2011" xr:uid="{9182E0F5-DCF5-4C7F-A8E5-9E4422504214}"/>
    <cellStyle name="style1678424499843" xfId="2012" xr:uid="{6295EDF4-42C5-4752-AEB0-7174E2BC1FEC}"/>
    <cellStyle name="style1678424499868" xfId="2013" xr:uid="{31945ACF-A886-471A-A559-BD57F2EF7460}"/>
    <cellStyle name="style1678424499894" xfId="2014" xr:uid="{95E2F095-C27D-4C05-B203-4D9A9111B56C}"/>
    <cellStyle name="style1678424499924" xfId="2015" xr:uid="{2F2D67C0-9A15-499F-86E1-A5510CE73D76}"/>
    <cellStyle name="style1678424499947" xfId="2016" xr:uid="{9684FF59-AF4F-4875-9811-52B17A76908A}"/>
    <cellStyle name="style1678424500173" xfId="2017" xr:uid="{8A26BE80-6515-4849-B1D5-A00151BFAEFF}"/>
    <cellStyle name="style1678424500225" xfId="2018" xr:uid="{B9DF161B-4934-4FC1-900F-A23C75EE701A}"/>
    <cellStyle name="style1678424500254" xfId="2019" xr:uid="{F4678485-45D3-40F8-8FD2-C97DE322A7D5}"/>
    <cellStyle name="style1678424500283" xfId="2020" xr:uid="{74F8EAD1-D681-4F8B-A2C1-0EF78E4EFB63}"/>
    <cellStyle name="style1678424500314" xfId="2021" xr:uid="{79B5A57E-BDBE-4FED-AB45-EEF57E7D9D34}"/>
    <cellStyle name="style1678424500338" xfId="2022" xr:uid="{D9D0ECCA-F483-4ACA-9E91-8953D140EAE0}"/>
    <cellStyle name="style1678424500361" xfId="2023" xr:uid="{1BCDEC53-33A3-4D60-BE7D-05F0FD72B4E9}"/>
    <cellStyle name="style1678424500390" xfId="2024" xr:uid="{3AE6866E-55C6-4F01-8799-9E3B70593E21}"/>
    <cellStyle name="style1678424500413" xfId="2025" xr:uid="{361070F8-9385-48EB-AE51-C873026109C3}"/>
    <cellStyle name="style1678424500452" xfId="2026" xr:uid="{834A2A86-B5C5-45E4-B289-AB146146323B}"/>
    <cellStyle name="style1678424501620" xfId="2027" xr:uid="{A583B484-7B2A-4AD8-8F76-A63E286D0CAE}"/>
    <cellStyle name="style1678424501643" xfId="2028" xr:uid="{4EE9BD2F-6591-4B6B-BCFE-3D71B7ED8626}"/>
    <cellStyle name="style1678424501679" xfId="2029" xr:uid="{C70B2BC9-B481-47ED-93F7-94673615C6F1}"/>
    <cellStyle name="style1678424553909" xfId="2031" xr:uid="{7AF85BF1-0E2C-461B-A55F-38CC18E8008F}"/>
    <cellStyle name="style1678424553985" xfId="2032" xr:uid="{923DBD09-867B-47EE-8B15-73D1DF5CEFFD}"/>
    <cellStyle name="style1678424554043" xfId="2030" xr:uid="{F740CAC5-8B4A-4CA2-9BC9-3FA1C6A58D78}"/>
    <cellStyle name="style1678424554084" xfId="2033" xr:uid="{863A16E3-908A-4982-9AA3-015A6724BC09}"/>
    <cellStyle name="style1678424554127" xfId="2034" xr:uid="{C90DE9C9-D841-458D-B0FB-A48A4159EF41}"/>
    <cellStyle name="style1678424554171" xfId="2035" xr:uid="{858EECDD-59EE-4985-89E3-1B49B898DB31}"/>
    <cellStyle name="style1678424554218" xfId="2036" xr:uid="{070E3D8F-9152-4943-8EA9-11303815C148}"/>
    <cellStyle name="style1678424554271" xfId="2037" xr:uid="{1260ACEA-18DE-4363-9782-4BFA60334D99}"/>
    <cellStyle name="style1678424554330" xfId="2041" xr:uid="{DAB13F3D-56F5-429F-996D-68C6A1AEB569}"/>
    <cellStyle name="style1678424554385" xfId="2045" xr:uid="{7EA46E20-B7DA-4DFE-A715-CAC5E7A53D5A}"/>
    <cellStyle name="style1678424554442" xfId="2038" xr:uid="{DAF94693-8074-4998-A89E-E41EAB054AC0}"/>
    <cellStyle name="style1678424554492" xfId="2042" xr:uid="{9AA88398-C85B-4C22-B1FB-926FEF6695A8}"/>
    <cellStyle name="style1678424554548" xfId="2039" xr:uid="{3D091343-92B0-4647-9215-3101F1EDEB31}"/>
    <cellStyle name="style1678424554598" xfId="2043" xr:uid="{CDFC2657-6CBE-40C3-A8A8-CBFA39360CA3}"/>
    <cellStyle name="style1678424554647" xfId="2046" xr:uid="{90227C68-FBF8-4289-825F-03B1E1ADD5C3}"/>
    <cellStyle name="style1678424554696" xfId="2047" xr:uid="{76391937-CFC4-4439-A12A-6D14CCC51753}"/>
    <cellStyle name="style1678424554748" xfId="2040" xr:uid="{766D89AB-F8CA-420A-B756-CDB77DFEFA88}"/>
    <cellStyle name="style1678424554807" xfId="2044" xr:uid="{F161F9FA-958B-45A1-8EA7-F9DAFE4CA522}"/>
    <cellStyle name="style1678424554864" xfId="2048" xr:uid="{B8CE5B22-7B77-4CE5-915D-1C6B5B5C7E26}"/>
    <cellStyle name="style1678424554941" xfId="2049" xr:uid="{82ABDD51-6DB3-4499-B2F4-61F772603AB8}"/>
    <cellStyle name="style1678424554996" xfId="2050" xr:uid="{B2A0EE19-DB96-43EE-817C-F3715C7C1240}"/>
    <cellStyle name="style1678424555042" xfId="2051" xr:uid="{7786A435-3E8C-48B9-A7B1-A968BBF8C386}"/>
    <cellStyle name="style1678424555087" xfId="2052" xr:uid="{096E8E03-522E-4649-8B57-DB51ECAB4A37}"/>
    <cellStyle name="style1678424555128" xfId="2053" xr:uid="{1C4F0B52-3CBB-4BE2-8B8D-A7D5CF081FA7}"/>
    <cellStyle name="style1678424555171" xfId="2054" xr:uid="{656AC38D-C6CE-4FE0-AB2D-FD4DB4FBB1FD}"/>
    <cellStyle name="style1678424555208" xfId="2055" xr:uid="{38F76803-B3E7-4411-A262-453D897840CC}"/>
    <cellStyle name="style1678424555247" xfId="2056" xr:uid="{A9343957-BBFD-4BBC-AC27-BF0A7FE4B2F5}"/>
    <cellStyle name="style1678424555283" xfId="2057" xr:uid="{AB325223-6E2E-4E68-ACF6-84AEB8A2C260}"/>
    <cellStyle name="style1678424555321" xfId="2058" xr:uid="{0D428CBE-EA93-4A00-A27E-4D5A853DB3D8}"/>
    <cellStyle name="style1678424555358" xfId="2059" xr:uid="{F834C413-614A-4E08-A8C8-65E5A9E57AF9}"/>
    <cellStyle name="style1678424555393" xfId="2060" xr:uid="{93DEDB51-7C90-4827-A829-477581B3F776}"/>
    <cellStyle name="style1678424555445" xfId="2061" xr:uid="{229FED8B-BF0D-4BB0-B2CD-5BA2F2068822}"/>
    <cellStyle name="style1678424555472" xfId="2062" xr:uid="{B64D43B1-3EE9-4450-8DF8-37C3690A26DB}"/>
    <cellStyle name="style1678424555498" xfId="2063" xr:uid="{553A1C45-31BB-4B29-AEF1-F7479BEA7124}"/>
    <cellStyle name="style1678424555526" xfId="2067" xr:uid="{9F663FDF-0A32-4055-B031-12964EC7ABA0}"/>
    <cellStyle name="style1678424555562" xfId="2068" xr:uid="{AADF8160-F630-4C61-A7D0-6AC7B4B4F7EC}"/>
    <cellStyle name="style1678424555597" xfId="2069" xr:uid="{C00D9BB4-899B-4047-B4C9-1E6357F30CFE}"/>
    <cellStyle name="style1678424555632" xfId="2064" xr:uid="{040B7F18-ADEF-4883-83A5-87ED36502DB5}"/>
    <cellStyle name="style1678424555669" xfId="2065" xr:uid="{AC878C76-431A-4100-8BF3-268605700DF8}"/>
    <cellStyle name="style1678424555710" xfId="2066" xr:uid="{72879451-C0CC-4C50-9997-BD57F79B5D6A}"/>
    <cellStyle name="style1678424555747" xfId="2070" xr:uid="{471DF260-87DB-4DC7-9404-80C02CD9A8E4}"/>
    <cellStyle name="style1678424555783" xfId="2071" xr:uid="{D6236B3B-E630-40E1-B956-DDD47CEFC568}"/>
    <cellStyle name="style1678424555819" xfId="2072" xr:uid="{F4DD58FA-3314-4905-BE49-B207AFFADF4A}"/>
    <cellStyle name="style1678424555857" xfId="2073" xr:uid="{F7207C4F-C332-4BEC-9458-EEE8EE60AD5D}"/>
    <cellStyle name="style1678424555903" xfId="2074" xr:uid="{7607DB5B-1DCD-4B3E-B5CB-8CCC0870C090}"/>
    <cellStyle name="style1678424555940" xfId="2075" xr:uid="{EC7200DF-EB33-4254-B993-C3CBFE90E2D0}"/>
    <cellStyle name="style1678424555965" xfId="2076" xr:uid="{2700866F-80B6-4D83-938E-C8E363488F2F}"/>
    <cellStyle name="style1678424556002" xfId="2077" xr:uid="{CCA152DF-22FB-4744-9CCD-CA2355258ACA}"/>
    <cellStyle name="style1678424556037" xfId="2078" xr:uid="{5FD4F2C9-0171-4794-9738-B7C2E16BAFAB}"/>
    <cellStyle name="style1678424556073" xfId="2089" xr:uid="{A2F95C75-A713-424F-9291-E20BCAF305FD}"/>
    <cellStyle name="style1678424556110" xfId="2079" xr:uid="{1EF35771-9F11-4CD3-AAD7-1E03BE499A45}"/>
    <cellStyle name="style1678424556139" xfId="2080" xr:uid="{B57369F7-FD0B-4406-A035-F7D23A5DC19E}"/>
    <cellStyle name="style1678424556167" xfId="2081" xr:uid="{1CDC5A12-DAB3-407F-8CD4-E92A4D82C900}"/>
    <cellStyle name="style1678424556192" xfId="2082" xr:uid="{EB93C8E3-BC41-448F-BCCF-682C21D93B87}"/>
    <cellStyle name="style1678424556218" xfId="2083" xr:uid="{05857F5C-FC4F-4DEB-A4F5-B51F85424533}"/>
    <cellStyle name="style1678424556243" xfId="2084" xr:uid="{1BB1EC88-431C-487F-A6EF-302DF5B10563}"/>
    <cellStyle name="style1678424556269" xfId="2085" xr:uid="{DF8E3285-7237-491D-95B4-CE8C9BD70986}"/>
    <cellStyle name="style1678424556297" xfId="2086" xr:uid="{68AC69EA-6535-4B4A-965B-A4BBC1C7ACC2}"/>
    <cellStyle name="style1678424556323" xfId="2087" xr:uid="{E51D5F70-A41B-45D4-975D-B89A23BCB9EB}"/>
    <cellStyle name="style1678424556351" xfId="2088" xr:uid="{3014FDC6-19AE-44F0-8306-8F4B83D7D575}"/>
    <cellStyle name="style1678424556385" xfId="2090" xr:uid="{53FE5312-8C23-455F-B74B-20E5C1DEB053}"/>
    <cellStyle name="style1678424556422" xfId="2091" xr:uid="{77BAF466-05A9-49BE-84B6-52868D2EB5C8}"/>
    <cellStyle name="style1678424556462" xfId="2092" xr:uid="{A64D756C-1A1A-4EAD-A02F-513BD1A22FDF}"/>
    <cellStyle name="style1678741860230" xfId="2094" xr:uid="{7BFA9219-6076-4DE3-8B9D-0405886A141A}"/>
    <cellStyle name="style1678741860290" xfId="2095" xr:uid="{FAEF8D71-2EE0-461E-8AAD-A16619673A12}"/>
    <cellStyle name="style1678741860341" xfId="2093" xr:uid="{8098EBE1-9472-46F0-A22C-E7CBAC8C23F0}"/>
    <cellStyle name="style1678741860384" xfId="2096" xr:uid="{422361BD-78DF-4682-83BB-69D3CF8F9338}"/>
    <cellStyle name="style1678741860415" xfId="2097" xr:uid="{4C646092-B4E4-4533-89BF-3CFEB5DC40D7}"/>
    <cellStyle name="style1678741860444" xfId="2101" xr:uid="{236F7C5D-D717-4439-81DA-BB6F1C6C77BC}"/>
    <cellStyle name="style1678741860482" xfId="2102" xr:uid="{F80F4846-5B0A-429C-8102-92813C5D4695}"/>
    <cellStyle name="style1678741860529" xfId="2106" xr:uid="{CB17E423-5EC9-4EFA-9592-728310E3330C}"/>
    <cellStyle name="style1678741860568" xfId="2107" xr:uid="{4546BCBB-6A78-49D9-8387-44D3316D0A79}"/>
    <cellStyle name="style1678741860607" xfId="2098" xr:uid="{D44BD035-2C85-4695-8872-48EF1753C09A}"/>
    <cellStyle name="style1678741860646" xfId="2099" xr:uid="{8A1270BB-8BCA-4A2D-AAC1-B11CA4E0816F}"/>
    <cellStyle name="style1678741860694" xfId="2100" xr:uid="{0B54620D-D92F-439C-B88C-E732FE2207C2}"/>
    <cellStyle name="style1678741860732" xfId="2103" xr:uid="{7648A467-32E8-422E-862C-DDF9BCD7A8E0}"/>
    <cellStyle name="style1678741860767" xfId="2104" xr:uid="{20B9D184-B9A1-444F-BF2C-233C9E6FCFC3}"/>
    <cellStyle name="style1678741860805" xfId="2105" xr:uid="{92882A73-71CD-4A57-BB32-884C9A1AB9D0}"/>
    <cellStyle name="style1678741860847" xfId="2108" xr:uid="{29540A1F-462E-4A7F-90C3-6CF901554566}"/>
    <cellStyle name="style1678741860884" xfId="2109" xr:uid="{57F6BB4B-D210-4491-BE93-72F2B1942A03}"/>
    <cellStyle name="style1678741860922" xfId="2110" xr:uid="{E8252156-7E4D-4C3A-A87A-1D1347BF0A0E}"/>
    <cellStyle name="style1678741860962" xfId="2111" xr:uid="{12BFF361-2F32-4F36-92A2-CF1B45B1C3FA}"/>
    <cellStyle name="style1678741861018" xfId="2116" xr:uid="{A3CB34B1-3379-4301-BA52-230DA0748F5B}"/>
    <cellStyle name="style1678741861056" xfId="2121" xr:uid="{13AD79F2-E74E-40AD-AAD5-0E1AAE8A378C}"/>
    <cellStyle name="style1678741861104" xfId="2112" xr:uid="{401E5D17-32DA-4D9F-ABCB-DC83178BEB41}"/>
    <cellStyle name="style1678741861147" xfId="2117" xr:uid="{85BF7BF7-CC09-4BA0-9EB9-8D5EA406C967}"/>
    <cellStyle name="style1678741861188" xfId="2122" xr:uid="{C595B043-B8AF-494B-9BAC-55E47DD00F9A}"/>
    <cellStyle name="style1678741861226" xfId="2113" xr:uid="{4B1A96D3-8C64-4B3F-9C74-E14FF68AC540}"/>
    <cellStyle name="style1678741861281" xfId="2114" xr:uid="{E9225F93-F4AF-4EA8-853B-01D8086892EF}"/>
    <cellStyle name="style1678741861327" xfId="2115" xr:uid="{7CEA6103-FDE6-4F33-A61A-5F45C41B571B}"/>
    <cellStyle name="style1678741861366" xfId="2118" xr:uid="{0866E92E-CBD7-409B-8FBE-30074246AC65}"/>
    <cellStyle name="style1678741861403" xfId="2119" xr:uid="{D1986A83-78B9-406D-B998-97D54D44CDAA}"/>
    <cellStyle name="style1678741861439" xfId="2120" xr:uid="{DC241F94-236F-46DC-8B1D-D7EEC5437F93}"/>
    <cellStyle name="style1678741861475" xfId="2123" xr:uid="{23A03DB0-5079-412B-BB4F-3D80878BA60C}"/>
    <cellStyle name="style1678741861512" xfId="2124" xr:uid="{1D71C152-F494-4222-95F1-EB151994DB69}"/>
    <cellStyle name="style1678741861548" xfId="2125" xr:uid="{4B42FCD6-CC4C-4E4B-891D-83F7AE2264E3}"/>
    <cellStyle name="style1678741861599" xfId="2126" xr:uid="{B7CEF6DC-7FC3-40D3-A865-76A421BA86B8}"/>
    <cellStyle name="style1678741861633" xfId="2127" xr:uid="{28EFF29B-26C0-4F3B-9036-F3E471FD1567}"/>
    <cellStyle name="style1678741861671" xfId="2128" xr:uid="{B3A6EC20-58A3-4BD5-89F8-448D696FF50B}"/>
    <cellStyle name="style1678741861719" xfId="2129" xr:uid="{365B82A7-5CD2-45DA-B806-85F31A3165B1}"/>
    <cellStyle name="style1678741861754" xfId="2130" xr:uid="{709390D5-57DD-4430-8B6A-A7CB0D972059}"/>
    <cellStyle name="style1678741861791" xfId="2131" xr:uid="{F91E1D16-6DAB-4072-A342-773DC91F5ED8}"/>
    <cellStyle name="style1678741861841" xfId="2132" xr:uid="{C68B0BB6-D320-458C-8A84-023E15D96FBE}"/>
    <cellStyle name="style1678741861892" xfId="2133" xr:uid="{B69D40AE-40B5-4934-807A-32C4179E3D36}"/>
    <cellStyle name="style1678741861928" xfId="2134" xr:uid="{0786F5AD-DF44-4617-9A7D-660075D99B6C}"/>
    <cellStyle name="style1678741861968" xfId="2135" xr:uid="{0DE421C9-2D05-42A7-AFD1-5044EFB0D1E1}"/>
    <cellStyle name="style1678741862004" xfId="2136" xr:uid="{A2DC3939-92FA-4486-8D65-3415E08B66EB}"/>
    <cellStyle name="style1678741862043" xfId="2137" xr:uid="{D7A7E948-D131-4E03-AC4D-589801C17AA8}"/>
    <cellStyle name="style1678741862154" xfId="2138" xr:uid="{86BEC696-6B15-48A0-9860-B51C425A6CC0}"/>
    <cellStyle name="style1678741862204" xfId="2139" xr:uid="{78FA4B36-59BC-433E-AF1E-6FFA11844B10}"/>
    <cellStyle name="style1678741862252" xfId="2140" xr:uid="{1D87E585-AD73-4F0B-A1EA-8B9B82D8141A}"/>
    <cellStyle name="style1678741862528" xfId="2141" xr:uid="{76B63DA2-AD3D-4829-9375-384A50BADEC7}"/>
    <cellStyle name="style1678741862586" xfId="2142" xr:uid="{3ED13116-4A13-4DE3-A331-CC3278A85EC0}"/>
    <cellStyle name="style1678741862620" xfId="2143" xr:uid="{7624F91D-B08B-4BEA-A587-049F2AF89AAD}"/>
    <cellStyle name="style1678741862656" xfId="2144" xr:uid="{EE74314B-EFA9-4746-B292-8A8AE0ACFC7B}"/>
    <cellStyle name="style1678741862695" xfId="2145" xr:uid="{0DA4334D-585D-403D-8FFB-CFDB79EB5B32}"/>
    <cellStyle name="style1678741862729" xfId="2146" xr:uid="{05EDD3B9-E22A-4A4A-9226-4EAE4FCE1F9A}"/>
    <cellStyle name="style1678741862761" xfId="2147" xr:uid="{F5EF9B8D-8FAD-41B6-B016-81381F30DA26}"/>
    <cellStyle name="style1678741862796" xfId="2148" xr:uid="{D12F2799-24B4-4D58-953A-646C3BE8C084}"/>
    <cellStyle name="style1678924242982" xfId="2150" xr:uid="{B53C06DD-4419-4E18-96EB-33C886817817}"/>
    <cellStyle name="style1678924243040" xfId="2151" xr:uid="{7EF9DBA5-BA95-44ED-8EA0-4D33DF69A407}"/>
    <cellStyle name="style1678924243094" xfId="2149" xr:uid="{2757D688-6BE4-4994-AA87-90EBE2CA38F8}"/>
    <cellStyle name="style1678924243145" xfId="2152" xr:uid="{67C69DB9-2E89-424D-B6D1-FCAC2348BAAC}"/>
    <cellStyle name="style1678924243184" xfId="2153" xr:uid="{C747A244-DD65-4773-94BC-B7CC76CF49B8}"/>
    <cellStyle name="style1678924243220" xfId="2157" xr:uid="{D87EED42-3711-4120-A587-EC4EABB37089}"/>
    <cellStyle name="style1678924243268" xfId="2158" xr:uid="{6C4D7D2C-948F-4A5C-B548-E79D365C3DA0}"/>
    <cellStyle name="style1678924243319" xfId="2162" xr:uid="{6C62C728-01FB-4DC9-9699-C86D04457FB8}"/>
    <cellStyle name="style1678924243369" xfId="2163" xr:uid="{07D455BB-BAA7-4353-82F6-8146751EA6FC}"/>
    <cellStyle name="style1678924243416" xfId="2154" xr:uid="{36E7CD6D-9D77-4C30-9C36-7E75AC1F69EE}"/>
    <cellStyle name="style1678924243463" xfId="2155" xr:uid="{52737D18-411C-4E10-AE0E-DD698DB47089}"/>
    <cellStyle name="style1678924243511" xfId="2156" xr:uid="{4A7E7BE7-2B20-43CA-87DC-E5E503898BE0}"/>
    <cellStyle name="style1678924243561" xfId="2159" xr:uid="{A4882902-A3B5-4E74-AD0D-F0EA770E43B2}"/>
    <cellStyle name="style1678924243609" xfId="2160" xr:uid="{05FEA198-199A-4DF8-AD52-408274B3DB8D}"/>
    <cellStyle name="style1678924243654" xfId="2161" xr:uid="{30BC9447-9D1E-459B-AB38-1186AD002AB6}"/>
    <cellStyle name="style1678924243714" xfId="2164" xr:uid="{3D2BD54E-0385-4A6A-BEE1-139D0D6F2EB9}"/>
    <cellStyle name="style1678924243764" xfId="2165" xr:uid="{55C7F389-83AE-408E-828B-163301FC3A5F}"/>
    <cellStyle name="style1678924243818" xfId="2166" xr:uid="{C49EE49A-D5B7-44BE-9BCD-62040524E7B1}"/>
    <cellStyle name="style1678924243872" xfId="2167" xr:uid="{877B6C5D-8BF2-4308-B3DF-79D110225698}"/>
    <cellStyle name="style1678924243928" xfId="2172" xr:uid="{5A66E231-2061-47AA-9980-0ED0C17E1C77}"/>
    <cellStyle name="style1678924243975" xfId="2177" xr:uid="{FA6EB593-765E-46E0-AECF-75CFD1A5AA67}"/>
    <cellStyle name="style1678924244025" xfId="2168" xr:uid="{602D57EE-23E1-4C43-A82F-D7F5AAEF88B9}"/>
    <cellStyle name="style1678924244078" xfId="2173" xr:uid="{D7BA6A08-7A0C-4AD4-8577-E97351CAC611}"/>
    <cellStyle name="style1678924244130" xfId="2178" xr:uid="{94FA7B2B-821D-429E-BD54-6D5385323335}"/>
    <cellStyle name="style1678924244181" xfId="2169" xr:uid="{185F44B5-3CAE-481B-AF51-F6B1AB6394D6}"/>
    <cellStyle name="style1678924244237" xfId="2170" xr:uid="{79A4816D-CBAC-4B48-8165-8EA116E5D119}"/>
    <cellStyle name="style1678924244288" xfId="2171" xr:uid="{88D5CA1E-694C-42A6-93E1-1CACFC082C6F}"/>
    <cellStyle name="style1678924244345" xfId="2174" xr:uid="{331AC5AC-1DC5-450D-8922-6780DFAE5FE9}"/>
    <cellStyle name="style1678924244399" xfId="2175" xr:uid="{91FE0BC8-435E-4CFE-AD65-98865B500748}"/>
    <cellStyle name="style1678924244457" xfId="2176" xr:uid="{93BA6064-8047-475C-8F3F-787018C49309}"/>
    <cellStyle name="style1678924244507" xfId="2179" xr:uid="{86F5C481-ED2C-48D1-AAA4-937554BC9B45}"/>
    <cellStyle name="style1678924244554" xfId="2180" xr:uid="{E09C84CA-1C92-4C9A-AF6D-9F110D0D2623}"/>
    <cellStyle name="style1678924244598" xfId="2181" xr:uid="{E0464A0D-8600-472C-A47F-588EE0D5A868}"/>
    <cellStyle name="style1678924244661" xfId="2182" xr:uid="{5E9833FB-4F17-494F-BF6F-2DCFF95772B3}"/>
    <cellStyle name="style1678924244701" xfId="2183" xr:uid="{66686181-D6F4-40EF-964B-0D853E84E1C9}"/>
    <cellStyle name="style1678924244754" xfId="2184" xr:uid="{DC0128FC-86CB-4AEA-B0C5-53590D8F888C}"/>
    <cellStyle name="style1678924244823" xfId="2185" xr:uid="{3F0D9732-15DA-4372-845B-7059042F4FE9}"/>
    <cellStyle name="style1678924244872" xfId="2186" xr:uid="{773D10C4-8652-4941-B811-351C089DBFC4}"/>
    <cellStyle name="style1678924244920" xfId="2187" xr:uid="{2B6BCFF4-5F80-41B7-8C74-85C201B6A3A7}"/>
    <cellStyle name="style1678924244985" xfId="2188" xr:uid="{9F8C85A0-1174-4503-9F29-0FB2C3C657DC}"/>
    <cellStyle name="style1678924245035" xfId="2189" xr:uid="{891B793C-4AEF-46CC-863A-F403E704778D}"/>
    <cellStyle name="style1678924245089" xfId="2190" xr:uid="{3DB86597-2F7F-4D24-8E40-7688B024B0D6}"/>
    <cellStyle name="style1678924245150" xfId="2191" xr:uid="{ED5EB56C-3EB3-4BC0-8852-C488F60E9C46}"/>
    <cellStyle name="style1678924245201" xfId="2192" xr:uid="{92E1FBDD-1D7C-47E8-8F72-292453B8F6D9}"/>
    <cellStyle name="style1678924245252" xfId="2193" xr:uid="{4CF68827-6988-4F92-AF5A-65249D4D9CE6}"/>
    <cellStyle name="style1678924245409" xfId="2194" xr:uid="{337A3055-2A16-489C-BBDC-C8623FFA93BD}"/>
    <cellStyle name="style1678924245482" xfId="2195" xr:uid="{E48D289A-E842-400F-B2CA-5ECAC2285D7D}"/>
    <cellStyle name="style1678924245556" xfId="2196" xr:uid="{20DCAC04-EDFC-4E6C-B9BD-F4C34D2B21AE}"/>
    <cellStyle name="style1678924245942" xfId="2197" xr:uid="{07BE0E68-D1E2-43E3-842A-559EC2EE6111}"/>
    <cellStyle name="style1678924246019" xfId="2198" xr:uid="{CE1D72AD-216E-40D7-AFCE-55AC93788481}"/>
    <cellStyle name="style1678924246099" xfId="2199" xr:uid="{D5729B63-544E-4F54-9734-A5B069BE6822}"/>
    <cellStyle name="style1678924246158" xfId="2200" xr:uid="{502B7C59-1714-48C9-9E8A-0AFD733A72B2}"/>
    <cellStyle name="style1678924246208" xfId="2201" xr:uid="{429B6526-A2D4-4055-AC8D-32A9779C94E2}"/>
    <cellStyle name="style1678924246256" xfId="2202" xr:uid="{CC2F688A-BDFD-4630-ACB8-816D9FAEFC7E}"/>
    <cellStyle name="style1678924246298" xfId="2203" xr:uid="{E8911C5B-9C62-4531-99FC-0A4F3AE1EF43}"/>
    <cellStyle name="style1678924246341" xfId="2204" xr:uid="{7059CA3C-F524-46B0-AE56-7D4D1E7C0E75}"/>
    <cellStyle name="style1690755419397" xfId="2206" xr:uid="{9BD6F44B-514A-4FBE-93B5-8814CF0812E7}"/>
    <cellStyle name="style1690755419458" xfId="2207" xr:uid="{8EDE6BC8-7136-469E-ABC7-2066A9F91574}"/>
    <cellStyle name="style1690755419528" xfId="2205" xr:uid="{21384863-63E8-4A5A-9348-6C539209CA54}"/>
    <cellStyle name="style1690755419609" xfId="2208" xr:uid="{AFE42931-234B-472C-9900-59D51CD2B589}"/>
    <cellStyle name="style1690755419649" xfId="2209" xr:uid="{0B117A52-7E1C-4F5E-97D6-61264CD405E2}"/>
    <cellStyle name="style1690755419689" xfId="2213" xr:uid="{F718EF93-A61E-42CF-9204-ED7635E1B3F7}"/>
    <cellStyle name="style1690755419760" xfId="2214" xr:uid="{BCB00E70-8EE7-43A8-A4DF-D6B4D2EDEF01}"/>
    <cellStyle name="style1690755419810" xfId="2218" xr:uid="{357BC181-0455-404D-954C-E2E0EE06E990}"/>
    <cellStyle name="style1690755419858" xfId="2219" xr:uid="{0F54EC46-629C-445B-9F3E-2771B037683B}"/>
    <cellStyle name="style1690755419899" xfId="2210" xr:uid="{8081C6E4-883F-4558-A01C-9F195067CBDF}"/>
    <cellStyle name="style1690755419939" xfId="2211" xr:uid="{FFB103FF-29F7-4E1E-BC02-7812F956F230}"/>
    <cellStyle name="style1690755419981" xfId="2212" xr:uid="{803BA28C-9325-46CB-B517-B6ED3AF89115}"/>
    <cellStyle name="style1690755420032" xfId="2215" xr:uid="{8C680873-A22D-4206-B329-AE6CB3085E35}"/>
    <cellStyle name="style1690755420082" xfId="2216" xr:uid="{2B6A4678-1C9E-4483-8718-963FD6D1513F}"/>
    <cellStyle name="style1690755420131" xfId="2217" xr:uid="{2EE14C95-5676-40FB-8D2F-90EE27ED2A53}"/>
    <cellStyle name="style1690755420173" xfId="2220" xr:uid="{EB54AC50-E6B8-4525-A716-4A537A4D43E7}"/>
    <cellStyle name="style1690755420224" xfId="2221" xr:uid="{BBC4E94E-72D8-4CF5-9E18-0200249479C2}"/>
    <cellStyle name="style1690755420274" xfId="2222" xr:uid="{824C7A8A-96AB-4DF5-9418-A01FB7A8D46E}"/>
    <cellStyle name="style1690755420325" xfId="2223" xr:uid="{5333C479-D146-4EBB-BCB9-7B6AF27136F4}"/>
    <cellStyle name="style1690755420378" xfId="2228" xr:uid="{4F134D26-DEBE-44BB-8F6F-40DBDD57E407}"/>
    <cellStyle name="style1690755420414" xfId="2224" xr:uid="{AF47F7DB-26E0-4573-8330-9AB3CF170025}"/>
    <cellStyle name="style1690755420447" xfId="2229" xr:uid="{1157CF50-2A49-43BC-94A8-BC562A6F3220}"/>
    <cellStyle name="style1690755420497" xfId="2233" xr:uid="{4499188A-2093-4A8B-8E60-4633DBF31639}"/>
    <cellStyle name="style1690755420545" xfId="2234" xr:uid="{8CF75995-BEF8-4642-86A2-760C9D35479D}"/>
    <cellStyle name="style1690755420588" xfId="2225" xr:uid="{542FBD8E-6665-4E5B-B8D4-137AF71E9A31}"/>
    <cellStyle name="style1690755420628" xfId="2226" xr:uid="{4B03BC89-131C-40AE-821B-E6C759D2F461}"/>
    <cellStyle name="style1690755420659" xfId="2227" xr:uid="{444A5EB0-BD5F-4458-B214-888F489D4CE3}"/>
    <cellStyle name="style1690755420699" xfId="2230" xr:uid="{D3682A8D-5952-433C-8D43-6E83E7643A69}"/>
    <cellStyle name="style1690755420729" xfId="2231" xr:uid="{1D9C3346-2CC7-4E86-AF0C-CB5F9FBB318C}"/>
    <cellStyle name="style1690755420770" xfId="2232" xr:uid="{D189F116-FB63-46C6-AC31-72E0C0E59FEC}"/>
    <cellStyle name="style1690755420818" xfId="2235" xr:uid="{679922FA-5701-408F-9846-7046F1803B00}"/>
    <cellStyle name="style1690755420868" xfId="2236" xr:uid="{566EB14B-B51F-40A7-84E5-067B9A7C6970}"/>
    <cellStyle name="style1690755420931" xfId="2237" xr:uid="{0521D780-AD57-4560-BE1E-E897D8DE5A33}"/>
    <cellStyle name="style1690755420992" xfId="2238" xr:uid="{7B3D9471-6F39-4734-AE79-8CDCA06C5A3F}"/>
    <cellStyle name="style1690755421030" xfId="2239" xr:uid="{4CA71AF9-2786-44C5-9A77-232070301E58}"/>
    <cellStyle name="style1690755421063" xfId="2240" xr:uid="{204796CC-61D6-4773-AF4B-EEBFB1934779}"/>
    <cellStyle name="style1690755421103" xfId="2241" xr:uid="{0F425C2D-366F-4001-AEA3-740ED8F14167}"/>
    <cellStyle name="style1690755421133" xfId="2242" xr:uid="{63846133-E8AC-477C-86C3-81F42B2D5088}"/>
    <cellStyle name="style1690755421174" xfId="2244" xr:uid="{07DB4668-F75B-4B7D-B583-4FC569D1C82F}"/>
    <cellStyle name="style1690755421214" xfId="2246" xr:uid="{3AA5D314-FAF2-46A9-BC4A-31E419235561}"/>
    <cellStyle name="style1690755421245" xfId="2243" xr:uid="{935D8FBC-21DB-440F-BC2F-1F4F4BE7A874}"/>
    <cellStyle name="style1690755421285" xfId="2245" xr:uid="{15546B65-5664-42B0-832A-C7E53AEB6E3A}"/>
    <cellStyle name="style1690755421324" xfId="2247" xr:uid="{24F39F78-21C3-4D92-A33E-AB7F3EC0E137}"/>
    <cellStyle name="style1690755421370" xfId="2248" xr:uid="{E144E7E6-B095-484B-886E-D8C50F10B007}"/>
    <cellStyle name="style1690755421415" xfId="2249" xr:uid="{D94AE0BB-EF65-436F-BA4B-D457A875B152}"/>
    <cellStyle name="style1690755421458" xfId="2250" xr:uid="{58F27D9B-21F6-4C7D-BB00-863835079F29}"/>
    <cellStyle name="style1690755421518" xfId="2251" xr:uid="{C7536911-8470-4B33-B586-8C9724D19C59}"/>
    <cellStyle name="style1690755421548" xfId="2253" xr:uid="{E53EC14F-AE73-4FF5-B0C2-BFE427D40805}"/>
    <cellStyle name="style1690755421577" xfId="2255" xr:uid="{6501BA72-A187-4532-AC98-534FBAE51D0D}"/>
    <cellStyle name="style1690755421609" xfId="2252" xr:uid="{28528B25-42EF-4FEC-8F48-EA028D85D574}"/>
    <cellStyle name="style1690755421640" xfId="2254" xr:uid="{9F9A8E40-D51B-41F6-ABA8-5BAD505D9058}"/>
    <cellStyle name="style1690755421680" xfId="2256" xr:uid="{35E69B55-17C9-4AC9-B5BB-357871AE78EA}"/>
    <cellStyle name="style1690755422061" xfId="2257" xr:uid="{D8EAA93A-2110-4844-B06D-0EDA5CBE94A9}"/>
    <cellStyle name="style1690755422133" xfId="2258" xr:uid="{10F5E8C4-0FFF-441F-A5A0-F9C724672CC4}"/>
    <cellStyle name="style1690755422202" xfId="2259" xr:uid="{26BE9BCC-40B0-473B-92B6-84C951384E14}"/>
    <cellStyle name="style1690755422232" xfId="2260" xr:uid="{495613A2-7513-4062-A003-6C32ACECFE7D}"/>
    <cellStyle name="style1690755422252" xfId="2261" xr:uid="{54C40A6E-8C86-44A2-9ECF-66211F4FBE0A}"/>
    <cellStyle name="style1690755422284" xfId="2262" xr:uid="{E414B52D-F559-4D33-9942-543D0009DF5B}"/>
    <cellStyle name="style1690755422304" xfId="2263" xr:uid="{630BB54C-123E-475B-8150-B1248D332420}"/>
    <cellStyle name="style1690755422332" xfId="2264" xr:uid="{08538F2B-F9EA-4892-850E-472B5E543D4D}"/>
    <cellStyle name="style1690755422543" xfId="2265" xr:uid="{05836DCB-00D0-48CB-ACC6-8AB6CAB2381C}"/>
    <cellStyle name="style1690755422574" xfId="2266" xr:uid="{29721174-F90D-4215-8016-FD1B94CE1D5E}"/>
    <cellStyle name="style1690755422605" xfId="2267" xr:uid="{31352461-1C69-42D8-AEBF-F01C0A6D6113}"/>
    <cellStyle name="style1690755422621" xfId="2268" xr:uid="{21DCB0A7-4018-4CD9-8B5D-9D3FF2B0949E}"/>
    <cellStyle name="style1690755422643" xfId="2269" xr:uid="{D7BD80F9-A8B0-469A-A552-3234941A4A1B}"/>
    <cellStyle name="style1690755422674" xfId="2270" xr:uid="{23025D6D-3B53-4E9A-A57A-3CC903AFF20E}"/>
    <cellStyle name="style1690755422690" xfId="2271" xr:uid="{D31BDB3F-CB4E-4DA6-9DEA-B035BF23C581}"/>
    <cellStyle name="style1690755422721" xfId="2272" xr:uid="{0CB797D0-AEF7-492C-9E9D-0488E59DDFC7}"/>
    <cellStyle name="style1690755422743" xfId="2273" xr:uid="{0BC71847-0D43-4555-B1F3-82CF7F5CBDA0}"/>
    <cellStyle name="style1690755422790" xfId="2274" xr:uid="{2EE39F96-FF03-4A34-90C9-583FABF53003}"/>
    <cellStyle name="style1690864794126" xfId="2276" xr:uid="{4DA8F793-3DA1-4F91-89CD-E441C247275E}"/>
    <cellStyle name="style1690864794166" xfId="2277" xr:uid="{1E6ACCE0-E2F3-467D-BE26-B8AC06E451B3}"/>
    <cellStyle name="style1690864794217" xfId="2275" xr:uid="{60C41F4B-FB4A-40F2-99C3-9F2AEDD56C26}"/>
    <cellStyle name="style1690864794258" xfId="2278" xr:uid="{E2C7B73D-4E34-4C75-885A-6D999C55CBCD}"/>
    <cellStyle name="style1690864794288" xfId="2279" xr:uid="{45749001-4498-418D-A679-D9BFECC0914F}"/>
    <cellStyle name="style1690864794329" xfId="2283" xr:uid="{623C47D1-4A0F-4350-B844-222ED9178AF5}"/>
    <cellStyle name="style1690864794370" xfId="2284" xr:uid="{3791CB51-9F16-481B-80E0-4A02BF3658AD}"/>
    <cellStyle name="style1690864794411" xfId="2288" xr:uid="{0D6D3BEE-D22C-4063-AF0F-09171C76EFAC}"/>
    <cellStyle name="style1690864794452" xfId="2289" xr:uid="{0F046379-35AD-4C6A-AC54-B4F2FD86D8CB}"/>
    <cellStyle name="style1690864794503" xfId="2280" xr:uid="{E4B282FC-A373-49E0-AFD1-569273B07910}"/>
    <cellStyle name="style1690864794541" xfId="2281" xr:uid="{4EFC4B8D-152A-4F6F-80B1-E0346796D927}"/>
    <cellStyle name="style1690864794594" xfId="2282" xr:uid="{C60979E6-608C-4C3E-B1C4-9D025294DCA3}"/>
    <cellStyle name="style1690864794644" xfId="2285" xr:uid="{8E1D4AAE-379B-4E90-BFAD-06FA2214C3C5}"/>
    <cellStyle name="style1690864794695" xfId="2286" xr:uid="{A4DF47A9-7C98-4143-8F5B-84693186D8F4}"/>
    <cellStyle name="style1690864794765" xfId="2287" xr:uid="{8310F444-5E6C-4D77-85D2-AF93BA069937}"/>
    <cellStyle name="style1690864794826" xfId="2290" xr:uid="{20B095F2-0793-4364-8E3D-D331A6360092}"/>
    <cellStyle name="style1690864794886" xfId="2291" xr:uid="{1D629678-AEF7-41F9-A85B-04318B3D6707}"/>
    <cellStyle name="style1690864794947" xfId="2292" xr:uid="{0DEB60C5-8CCF-4A26-BE0F-E37D96EA9C81}"/>
    <cellStyle name="style1690864794988" xfId="2293" xr:uid="{85668A7B-7604-4162-AAB6-10394901E618}"/>
    <cellStyle name="style1690864795048" xfId="2298" xr:uid="{32D88F7C-5A2F-43F1-8BA9-D36133012981}"/>
    <cellStyle name="style1690864795089" xfId="2294" xr:uid="{E039C0A9-673A-48C4-9DBC-32FA2FF534A5}"/>
    <cellStyle name="style1690864795130" xfId="2299" xr:uid="{A3ED5F4C-7720-4743-B0BD-1927F2A8CB0D}"/>
    <cellStyle name="style1690864795219" xfId="2303" xr:uid="{096B90F2-91CA-4EA9-9E98-FE0B1F94CFB0}"/>
    <cellStyle name="style1690864795271" xfId="2304" xr:uid="{95E9B9D0-4C60-4A7B-81FE-CAABD57757D2}"/>
    <cellStyle name="style1690864795332" xfId="2295" xr:uid="{1265E234-0075-4CAA-A02C-F34D4D1547E0}"/>
    <cellStyle name="style1690864795382" xfId="2296" xr:uid="{5EB90E46-4A8E-4879-867C-7E1A74641579}"/>
    <cellStyle name="style1690864795422" xfId="2297" xr:uid="{0031817D-14F2-4D1A-B457-7C9C59AB7346}"/>
    <cellStyle name="style1690864795461" xfId="2300" xr:uid="{57683E85-B204-4A27-950B-A3F10311035E}"/>
    <cellStyle name="style1690864795493" xfId="2301" xr:uid="{08E9C1C2-E6C5-46B0-9B03-74BEDBC4971A}"/>
    <cellStyle name="style1690864795534" xfId="2302" xr:uid="{A9D439FB-4CA6-4950-B9E9-56E29927A785}"/>
    <cellStyle name="style1690864795604" xfId="2305" xr:uid="{D3414E41-885A-4614-8870-467CA16BCA52}"/>
    <cellStyle name="style1690864795655" xfId="2306" xr:uid="{3A67ECD5-58A1-4AE4-831C-637CE4031420}"/>
    <cellStyle name="style1690864795705" xfId="2307" xr:uid="{19332AFB-FEA0-4E30-AA1D-78C719D789DE}"/>
    <cellStyle name="style1690864795756" xfId="2308" xr:uid="{5ADE33D3-3F76-4603-8A0F-96BCA76362F6}"/>
    <cellStyle name="style1690864795796" xfId="2309" xr:uid="{329D0652-5D27-4709-9A48-484E22C255CA}"/>
    <cellStyle name="style1690864795837" xfId="2310" xr:uid="{CF0C31D3-8FE1-4DC7-BF56-7EEBD1CC757D}"/>
    <cellStyle name="style1690864795878" xfId="2311" xr:uid="{5D3E9AC2-63D8-4FF0-B080-FEF0BECD7E53}"/>
    <cellStyle name="style1690864795909" xfId="2312" xr:uid="{BB633839-3089-40F5-8722-C324E504FA30}"/>
    <cellStyle name="style1690864795950" xfId="2314" xr:uid="{2C56FB2A-A876-47ED-A214-4CA880022F09}"/>
    <cellStyle name="style1690864795990" xfId="2316" xr:uid="{846D609D-1ADE-4E87-B29B-41B1D83DDD87}"/>
    <cellStyle name="style1690864796029" xfId="2313" xr:uid="{9A46785C-52EC-402E-B3D0-BC79EC8835A9}"/>
    <cellStyle name="style1690864796062" xfId="2315" xr:uid="{225ED6F4-E9BD-4076-BE4E-D7DCD1C08272}"/>
    <cellStyle name="style1690864796103" xfId="2317" xr:uid="{C73F22F2-1BCD-4F35-BC25-003171C23077}"/>
    <cellStyle name="style1690864796154" xfId="2318" xr:uid="{6C490E42-0703-49BA-93EF-63E2B4CD4F56}"/>
    <cellStyle name="style1690864796213" xfId="2319" xr:uid="{B8CC2C92-DE8E-4912-B1AF-784B6F075CB6}"/>
    <cellStyle name="style1690864796263" xfId="2320" xr:uid="{7AECA014-33F7-4FA8-B0BD-2BAE0948562E}"/>
    <cellStyle name="style1690864796309" xfId="2321" xr:uid="{440D4CA8-51DA-4079-884C-F838882638A4}"/>
    <cellStyle name="style1690864796337" xfId="2323" xr:uid="{86DA6DBC-AF3A-491C-B642-ECE0BA16AE46}"/>
    <cellStyle name="style1690864796367" xfId="2325" xr:uid="{202D140F-53FE-4EC7-8052-573C1AE93847}"/>
    <cellStyle name="style1690864796406" xfId="2322" xr:uid="{EB1FD816-BE6D-4200-9290-9DB7F8FD744A}"/>
    <cellStyle name="style1690864796439" xfId="2324" xr:uid="{3DC6262A-3CEE-4E6F-A94F-8FCF874EF4DE}"/>
    <cellStyle name="style1690864796477" xfId="2326" xr:uid="{3CFF0BD1-2856-4CC8-A2EE-63FC242F7F2B}"/>
    <cellStyle name="style1690864797003" xfId="2327" xr:uid="{90CBD77E-01B9-4E0C-9A03-82582B478BCB}"/>
    <cellStyle name="style1690864797052" xfId="2328" xr:uid="{5F23FEBD-97BF-4F99-ACA8-4ED70215923A}"/>
    <cellStyle name="style1690864797094" xfId="2329" xr:uid="{A784F0C3-49C5-4492-B701-E55DA6D502A6}"/>
    <cellStyle name="style1690864797135" xfId="2330" xr:uid="{9D5A371C-97E5-456B-AFFA-FC5AC36B7E71}"/>
    <cellStyle name="style1690864797165" xfId="2331" xr:uid="{FB625004-AED3-4808-A368-30734E9754EF}"/>
    <cellStyle name="style1690864797195" xfId="2332" xr:uid="{57BCB941-43F8-4B38-9AB3-68BCDD6C0654}"/>
    <cellStyle name="style1690864797226" xfId="2333" xr:uid="{4C38E81B-4D42-4BD8-920D-F2635FAB5410}"/>
    <cellStyle name="style1690864797256" xfId="2334" xr:uid="{CBD279C3-1773-47DE-8D77-DE449F317C15}"/>
    <cellStyle name="style1690864797489" xfId="2335" xr:uid="{2F1117A9-A944-4B9D-837D-DF6655005A42}"/>
    <cellStyle name="style1690864797550" xfId="2336" xr:uid="{4238EAA5-F539-43CF-8501-196BE8857247}"/>
    <cellStyle name="style1690864797580" xfId="2337" xr:uid="{6B37230D-10DA-4C9F-9E3C-A7211FA5FCB8}"/>
    <cellStyle name="style1690864797620" xfId="2338" xr:uid="{304538D4-1646-486E-A8E0-BCB99B663B3D}"/>
    <cellStyle name="style1690864797650" xfId="2339" xr:uid="{62957934-AAC9-4CC9-A751-5AFAE48D4DBD}"/>
    <cellStyle name="style1690864797681" xfId="2340" xr:uid="{A1655078-124B-4ABC-9ADA-09ECC796208B}"/>
    <cellStyle name="style1690864797709" xfId="2341" xr:uid="{C35CF60F-370D-4F60-83A2-976B431081CD}"/>
    <cellStyle name="style1690864797732" xfId="2342" xr:uid="{FCF21E75-B54E-4BF7-AB60-2D5AF9F7EF2D}"/>
    <cellStyle name="style1690864797762" xfId="2343" xr:uid="{0428F889-43EE-4E67-8E3B-9F58D529C005}"/>
    <cellStyle name="style1690864797811" xfId="2344" xr:uid="{381CDEC7-D856-42A8-BC71-C7328F93088B}"/>
    <cellStyle name="style1690864798952" xfId="2345" xr:uid="{023F9721-0111-4AEE-8E47-E8B0D8AA2531}"/>
    <cellStyle name="style1690864798983" xfId="2346" xr:uid="{239D004B-C489-4BC6-99F7-4C315FAA3FEF}"/>
    <cellStyle name="style1690864799014" xfId="2347" xr:uid="{815D2CE0-6F9F-45E7-A9FA-3D7258378004}"/>
    <cellStyle name="style1690864823977" xfId="2349" xr:uid="{113FFEDA-3A2F-4FC0-9AFD-37410DFA59E2}"/>
    <cellStyle name="style1690864824029" xfId="2350" xr:uid="{C78C7986-F6D4-4DB0-B0AC-F1781615B659}"/>
    <cellStyle name="style1690864824069" xfId="2348" xr:uid="{59BCEB64-D7DC-49F8-AB27-C0C3123E0FA3}"/>
    <cellStyle name="style1690864824118" xfId="2351" xr:uid="{61072829-FFEE-4208-B10E-7E36D222ED18}"/>
    <cellStyle name="style1690864824159" xfId="2352" xr:uid="{7BB61E13-4717-4716-80BA-CB84FF479D62}"/>
    <cellStyle name="style1690864824191" xfId="2353" xr:uid="{45F21A95-1AE6-4E6A-AA19-ECF8D4025023}"/>
    <cellStyle name="style1690864824239" xfId="2354" xr:uid="{F8CAD53B-77F3-49C7-81B7-D9037BC4E0E4}"/>
    <cellStyle name="style1690864824282" xfId="2355" xr:uid="{786181F8-1F21-4541-B5F1-992C0CC320E4}"/>
    <cellStyle name="style1690864824333" xfId="2359" xr:uid="{68C67168-A26E-4CED-910A-D74ED03E35E8}"/>
    <cellStyle name="style1690864824384" xfId="2363" xr:uid="{D81BEB5E-4466-4DD7-BC26-520241619A7B}"/>
    <cellStyle name="style1690864824434" xfId="2356" xr:uid="{358FD258-E875-4702-B415-51FD66D39AF7}"/>
    <cellStyle name="style1690864824485" xfId="2360" xr:uid="{5FE46171-F809-4ED1-93B1-904874554320}"/>
    <cellStyle name="style1690864824525" xfId="2357" xr:uid="{DAA54B9A-4FEB-49FC-B87E-D170DCCA45C1}"/>
    <cellStyle name="style1690864824575" xfId="2361" xr:uid="{030D57C4-22C9-44CF-B29D-831B6EFF1D69}"/>
    <cellStyle name="style1690864824616" xfId="2364" xr:uid="{8AB6EBF1-19A0-4BBA-B52F-567E9015A5E3}"/>
    <cellStyle name="style1690864824656" xfId="2365" xr:uid="{5D98DE9A-AC58-41D5-A2B5-34775377AF83}"/>
    <cellStyle name="style1690864824705" xfId="2358" xr:uid="{F8DEAC1A-C07E-46C1-9B77-990F6DECA9FF}"/>
    <cellStyle name="style1690864824747" xfId="2362" xr:uid="{20B29AA5-9DF0-4990-91CC-ADA2AEBF3100}"/>
    <cellStyle name="style1690864824798" xfId="2366" xr:uid="{A12A9096-3443-44E1-8E33-2A7E1E47A9FE}"/>
    <cellStyle name="style1690864824866" xfId="2367" xr:uid="{A8349662-96D8-4003-8960-33556A34E06F}"/>
    <cellStyle name="style1690864824909" xfId="2368" xr:uid="{1318AB87-05AE-430A-9E3B-3D3575D66082}"/>
    <cellStyle name="style1690864824947" xfId="2369" xr:uid="{E397FAB6-369C-4E42-96D0-6053C1356C06}"/>
    <cellStyle name="style1690864824997" xfId="2370" xr:uid="{29F8CB3A-7E08-4258-B30B-D319652E0ABC}"/>
    <cellStyle name="style1690864825029" xfId="2371" xr:uid="{E6C8B6F9-9DCD-4D9D-B7C1-D665F435AA99}"/>
    <cellStyle name="style1690864825078" xfId="2372" xr:uid="{A73BA231-9A4F-4082-B839-F05DE1238515}"/>
    <cellStyle name="style1690864825125" xfId="2373" xr:uid="{28B05EE6-6DB6-4346-9C9B-B7617157A972}"/>
    <cellStyle name="style1690864825163" xfId="2374" xr:uid="{38F79E2A-106E-43F1-A18E-0DFAC53B340D}"/>
    <cellStyle name="style1690864825194" xfId="2375" xr:uid="{0972727B-10E0-4249-B352-B2F5FEE1C3CB}"/>
    <cellStyle name="style1690864825241" xfId="2376" xr:uid="{2B8D0DB9-7730-4A45-BFBA-90B74FE8D349}"/>
    <cellStyle name="style1690864825279" xfId="2377" xr:uid="{D16792A0-1C13-4C19-B3C2-750FA2F76764}"/>
    <cellStyle name="style1690864825315" xfId="2378" xr:uid="{3ADD64DB-0F18-4D44-8B6C-43365182E4F0}"/>
    <cellStyle name="style1690864825363" xfId="2379" xr:uid="{D5A64406-A419-44AC-A137-434F473AA0AB}"/>
    <cellStyle name="style1690864825394" xfId="2380" xr:uid="{7FCE54AD-1DA2-419E-82AE-A4CA8F438AFD}"/>
    <cellStyle name="style1690864825410" xfId="2381" xr:uid="{65CDB3A8-A8D1-46F5-A83D-81642428E800}"/>
    <cellStyle name="style1690864825448" xfId="2385" xr:uid="{49EB7341-34B5-4E09-A83A-44CD6227E925}"/>
    <cellStyle name="style1690864825479" xfId="2386" xr:uid="{324692F1-491F-40A7-B5A0-08065409C94A}"/>
    <cellStyle name="style1690864825510" xfId="2387" xr:uid="{EB6C4395-EC8C-41AC-A3D0-F3E36813D54C}"/>
    <cellStyle name="style1690864825548" xfId="2382" xr:uid="{6F8DFCFB-C1B8-4A88-A597-84E675E60075}"/>
    <cellStyle name="style1690864825579" xfId="2383" xr:uid="{7A58C5E4-F72F-45AA-ADDD-7CF97F8D6FBD}"/>
    <cellStyle name="style1690864825626" xfId="2384" xr:uid="{D64F8518-917C-4C1A-97ED-1EF787E5A672}"/>
    <cellStyle name="style1690864825664" xfId="2388" xr:uid="{161D4A04-791B-45E4-884C-E3FE4A1860C7}"/>
    <cellStyle name="style1690864825695" xfId="2389" xr:uid="{5AB1B1BF-1D00-402D-94CD-B63A39127443}"/>
    <cellStyle name="style1690864825726" xfId="2390" xr:uid="{26F01E0F-2602-40B3-81C2-725F9B7281CA}"/>
    <cellStyle name="style1690864825764" xfId="2391" xr:uid="{EC5FE068-6BFE-4590-8C03-0BB9B4A6C7D8}"/>
    <cellStyle name="style1690864825815" xfId="2392" xr:uid="{AB5AC037-C623-472A-A16B-F1D2C2A70A2F}"/>
    <cellStyle name="style1690864825849" xfId="2393" xr:uid="{D2A41A9A-59CC-49E5-B74E-4C084F1768E9}"/>
    <cellStyle name="style1690864825864" xfId="2394" xr:uid="{6DDC6E37-651B-4977-B9AF-D8A2D6CEEBF2}"/>
    <cellStyle name="style1690864825911" xfId="2395" xr:uid="{14064D5E-E371-4783-A6C1-A3641A6D8831}"/>
    <cellStyle name="style1690864825949" xfId="2396" xr:uid="{4B548A01-EC1B-4CBE-9D98-F323A4D2DE43}"/>
    <cellStyle name="style1690864825980" xfId="2407" xr:uid="{54993F5D-1BB1-4631-8A7A-E3CFCDC95242}"/>
    <cellStyle name="style1690864826011" xfId="2397" xr:uid="{0DEB7AEF-0549-44AC-9CD5-2CBB12C80410}"/>
    <cellStyle name="style1690864826049" xfId="2398" xr:uid="{1515C2CF-0AF8-4414-AE71-F4C9B10283B8}"/>
    <cellStyle name="style1690864826080" xfId="2399" xr:uid="{AC70A8DF-9246-4D83-A192-AFC4546E7CD9}"/>
    <cellStyle name="style1690864826112" xfId="2400" xr:uid="{E1EA3BBD-F146-4DBA-AA24-E0825D1B8279}"/>
    <cellStyle name="style1690864826127" xfId="2401" xr:uid="{6C6104B9-63DA-4AEB-B3FF-255B648AA5F5}"/>
    <cellStyle name="style1690864826165" xfId="2402" xr:uid="{5B6C13C0-131F-434B-B7BA-060AE5235678}"/>
    <cellStyle name="style1690864826181" xfId="2403" xr:uid="{B9259085-733F-4450-A23C-1F1BFFC50FA6}"/>
    <cellStyle name="style1690864826212" xfId="2404" xr:uid="{BE3FEF02-E213-4946-91AC-5BE642429CF9}"/>
    <cellStyle name="style1690864826243" xfId="2405" xr:uid="{8EE4FFFF-65FD-4BC3-AAF7-8948AC0E148B}"/>
    <cellStyle name="style1690864826265" xfId="2406" xr:uid="{F345630D-8AC3-4304-991B-3F85A8DF61D3}"/>
    <cellStyle name="style1690864826296" xfId="2408" xr:uid="{E5E5DF5A-0E2E-4C89-91A6-62D690EFECDD}"/>
    <cellStyle name="style1690864826332" xfId="2409" xr:uid="{910841B5-18CE-44DF-8F3F-09D850EEF26E}"/>
    <cellStyle name="style1690864826365" xfId="2410" xr:uid="{F545297B-605A-4175-8BA5-C3311E58F07B}"/>
    <cellStyle name="style1690867275242" xfId="2412" xr:uid="{AD3B23A6-467B-4FB9-B943-15EDC8254910}"/>
    <cellStyle name="style1690867275273" xfId="2413" xr:uid="{593B0583-D469-493A-B6AF-CB8349435433}"/>
    <cellStyle name="style1690867275295" xfId="2411" xr:uid="{71B6EFE8-5A20-43EA-AE98-3E9574A4BF80}"/>
    <cellStyle name="style1690867275331" xfId="2414" xr:uid="{5753F758-95BB-4828-926C-2BDE208096A3}"/>
    <cellStyle name="style1690867275346" xfId="2415" xr:uid="{4D961C3C-EA43-4D88-B041-F3101009A470}"/>
    <cellStyle name="style1690867275384" xfId="2419" xr:uid="{3ADA6DDA-4513-436C-980D-7755AAEF7CAF}"/>
    <cellStyle name="style1690867275409" xfId="2420" xr:uid="{19D531A4-2D56-4068-8AC2-BC18F8C3331A}"/>
    <cellStyle name="style1690867275441" xfId="2424" xr:uid="{CF224299-FF72-4551-BE21-B229BF463A77}"/>
    <cellStyle name="style1690867275472" xfId="2425" xr:uid="{23B11F72-FAD4-4F9E-9299-FDD9FEB5E763}"/>
    <cellStyle name="style1690867275496" xfId="2416" xr:uid="{C4578D4C-9760-4079-BCD9-92972C249A95}"/>
    <cellStyle name="style1690867275527" xfId="2417" xr:uid="{23E9E92A-EC87-4BCA-9682-904A8937DAD4}"/>
    <cellStyle name="style1690867275558" xfId="2418" xr:uid="{2505B72D-3190-4FE5-8155-EAC239B1C03B}"/>
    <cellStyle name="style1690867275596" xfId="2421" xr:uid="{99DA2BFE-FD06-492D-8C27-F53EE822FB44}"/>
    <cellStyle name="style1690867275627" xfId="2422" xr:uid="{4F669376-0F43-44A1-B71E-BAFC0D01BA33}"/>
    <cellStyle name="style1690867275658" xfId="2423" xr:uid="{569EB9EF-5882-489C-9DAA-C22ADFC0A7A4}"/>
    <cellStyle name="style1690867275689" xfId="2426" xr:uid="{B1E30A14-1BE3-48A8-A1D7-D41A291D605E}"/>
    <cellStyle name="style1690867275712" xfId="2427" xr:uid="{9848B1E2-DCE0-4E1F-B340-11BF695E8BB4}"/>
    <cellStyle name="style1690867275743" xfId="2428" xr:uid="{E7AC7F84-09B8-4795-9CC1-21AC63330642}"/>
    <cellStyle name="style1690867275774" xfId="2429" xr:uid="{CE264437-1F98-41EE-8D18-961C38B5F1DB}"/>
    <cellStyle name="style1690867275814" xfId="2434" xr:uid="{47D45994-4DC4-41E8-8E7D-30AD5E7D1106}"/>
    <cellStyle name="style1690867275833" xfId="2439" xr:uid="{F769489A-C8C7-4A3B-B090-CD54AD954C15}"/>
    <cellStyle name="style1690867275864" xfId="2430" xr:uid="{DCCEAD22-481F-460D-98F8-3754FAE8FA4D}"/>
    <cellStyle name="style1690867275903" xfId="2435" xr:uid="{FAE8CBA7-D08B-4310-A91F-DC8B1FF954BF}"/>
    <cellStyle name="style1690867275932" xfId="2440" xr:uid="{B33F6831-7B26-4FCE-8585-537F2207F355}"/>
    <cellStyle name="style1690867275959" xfId="2431" xr:uid="{6CA83040-B529-40E5-9EB0-B64A8B23A5C7}"/>
    <cellStyle name="style1690867275990" xfId="2432" xr:uid="{4892508C-6FE2-4742-B52E-520FC8313AA5}"/>
    <cellStyle name="style1690867276028" xfId="2433" xr:uid="{7D1E7C0F-B44E-433F-A976-9C1CFC746150}"/>
    <cellStyle name="style1690867276059" xfId="2436" xr:uid="{B1EBE7F8-0A12-4F69-BA71-048A9098AF1F}"/>
    <cellStyle name="style1690867276074" xfId="2437" xr:uid="{2CF1E2CC-8BB4-41A8-B854-1DB3DFBD41F1}"/>
    <cellStyle name="style1690867276112" xfId="2438" xr:uid="{91A3463F-4045-44B9-90ED-1FCA9A98C068}"/>
    <cellStyle name="style1690867276144" xfId="2441" xr:uid="{EEE42414-F5A7-4E99-8F5B-A37BC4473386}"/>
    <cellStyle name="style1690867276159" xfId="2442" xr:uid="{CAC23BF3-8DE8-4F8A-8106-65A61E6BBC72}"/>
    <cellStyle name="style1690867276197" xfId="2443" xr:uid="{4E06CF18-2D7E-422B-A71F-E91EB1AC4C1C}"/>
    <cellStyle name="style1690867276228" xfId="2444" xr:uid="{3C32E364-DCDC-45EB-9160-4E2BEB55E0E8}"/>
    <cellStyle name="style1690867276244" xfId="2445" xr:uid="{11A76F21-ED9E-4E8A-B0FD-1A4D052C3EF6}"/>
    <cellStyle name="style1690867276275" xfId="2446" xr:uid="{58AD831C-0E6D-4EF8-9E39-8AD432B305C2}"/>
    <cellStyle name="style1690867276297" xfId="2447" xr:uid="{6BEB3A7C-FE4E-4271-BD1B-DC6777EEF334}"/>
    <cellStyle name="style1690867276333" xfId="2448" xr:uid="{E4ECC5C2-C2B5-4E5F-8821-A50025EDAC82}"/>
    <cellStyle name="style1690867276348" xfId="2449" xr:uid="{E64BD7E6-BB40-463A-B0DF-786E8DD4488D}"/>
    <cellStyle name="style1690867276395" xfId="2450" xr:uid="{AB8DA6FA-891F-46F9-B83F-2B18E2DBA1C4}"/>
    <cellStyle name="style1690867276429" xfId="2451" xr:uid="{B261B4D1-8A01-41EF-9B01-C7066742DD49}"/>
    <cellStyle name="style1690867276458" xfId="2452" xr:uid="{FB6BF72A-B5F7-46E2-AC21-5F6D2AE62966}"/>
    <cellStyle name="style1690867276476" xfId="2453" xr:uid="{853D2562-8172-4148-BE88-C9B7AF43D7C0}"/>
    <cellStyle name="style1690867276513" xfId="2454" xr:uid="{E030351F-91CE-45C8-97BA-9C140EC1BA4D}"/>
    <cellStyle name="style1690867276544" xfId="2455" xr:uid="{D606222B-C555-4559-8584-FD33E147FC81}"/>
    <cellStyle name="style1690867276591" xfId="2456" xr:uid="{54B8A18A-1D67-4653-A08C-09BEF640E265}"/>
    <cellStyle name="style1690867276613" xfId="2457" xr:uid="{139D0DC6-4278-4633-B567-F007497C5B6E}"/>
    <cellStyle name="style1690867276644" xfId="2458" xr:uid="{7A173AD3-D560-474A-9C4A-2067A879A1F6}"/>
    <cellStyle name="style1690867276745" xfId="2459" xr:uid="{09B8B567-4854-4D79-AC3F-C3A87FCAE733}"/>
    <cellStyle name="style1690867276776" xfId="2460" xr:uid="{4D3F4BF9-0921-47DD-A9D2-0294FD304F3E}"/>
    <cellStyle name="style1690867276798" xfId="2461" xr:uid="{B4103A3E-F4AF-4944-BEEA-C01FCC716A95}"/>
    <cellStyle name="style1690867276834" xfId="2462" xr:uid="{CD029C4E-A175-4A27-8676-82BBC603F527}"/>
    <cellStyle name="style1690867276865" xfId="2463" xr:uid="{1B87989F-2BA3-4865-9FF6-3DA701D224A3}"/>
    <cellStyle name="style1690867276898" xfId="2464" xr:uid="{C80C62E9-EF4D-46C0-BA57-7E32165D3C5A}"/>
    <cellStyle name="style1690867276929" xfId="2465" xr:uid="{8B0E8812-EE65-4061-BF98-7E42EFB327D0}"/>
    <cellStyle name="style1690867276945" xfId="2466" xr:uid="{324F55FD-750A-43D1-B97E-31745F3F518B}"/>
    <cellStyle name="style1729051477296" xfId="2468" xr:uid="{1DE9E2B0-6EF8-4582-ABC2-A8C9C24716B2}"/>
    <cellStyle name="style1729051477369" xfId="2469" xr:uid="{04410AA5-5BE5-43D2-9231-DEF8B7D07A97}"/>
    <cellStyle name="style1729051477445" xfId="2467" xr:uid="{A6CF0653-65E4-4CE6-9AF2-EC4DDFDF9CD3}"/>
    <cellStyle name="style1729051477514" xfId="2470" xr:uid="{4373CFF6-C391-47D3-8264-73256DBB1D77}"/>
    <cellStyle name="style1729051477565" xfId="2471" xr:uid="{D5BDB849-B484-44BC-B404-B6015BE5BAF1}"/>
    <cellStyle name="style1729051477609" xfId="2475" xr:uid="{3BFACA73-C105-4BDC-9CA8-1EA96D3B2464}"/>
    <cellStyle name="style1729051477676" xfId="2476" xr:uid="{E4B2907D-8013-4FF0-A9CE-337D20D8CAB4}"/>
    <cellStyle name="style1729051477754" xfId="2480" xr:uid="{F0CB91FF-87AE-413E-AC36-6ACE865D1221}"/>
    <cellStyle name="style1729051477824" xfId="2481" xr:uid="{952B888D-9ECF-4126-B49C-ED85DA642725}"/>
    <cellStyle name="style1729051477897" xfId="2472" xr:uid="{9D5EF091-C002-464D-BA12-124AE798F3ED}"/>
    <cellStyle name="style1729051477973" xfId="2473" xr:uid="{C38F90B1-4A5D-4B86-AD77-23EDE5D0501E}"/>
    <cellStyle name="style1729051478048" xfId="2474" xr:uid="{1D786024-81C7-4741-B2E4-A3B1E95BB138}"/>
    <cellStyle name="style1729051478124" xfId="2477" xr:uid="{8D951D1F-DDD1-476D-842B-0FA00AA8486A}"/>
    <cellStyle name="style1729051478202" xfId="2478" xr:uid="{51C00760-E3FD-49AA-9A71-752B923A8B60}"/>
    <cellStyle name="style1729051478273" xfId="2479" xr:uid="{63ADAD37-8479-4BD4-81C4-1BB832ACB220}"/>
    <cellStyle name="style1729051478367" xfId="2482" xr:uid="{A159030C-4117-4C2C-A7E3-1F3F0E06B8C3}"/>
    <cellStyle name="style1729051478445" xfId="2483" xr:uid="{F5815043-3141-421D-A44D-23A3C3362434}"/>
    <cellStyle name="style1729051478537" xfId="2484" xr:uid="{DF26C2E9-6DFC-4C89-AB58-E5ED08EA6E9A}"/>
    <cellStyle name="style1729051478623" xfId="2485" xr:uid="{2DE88696-E17D-4097-AD7C-8AD127DBC62D}"/>
    <cellStyle name="style1729051478714" xfId="2486" xr:uid="{62FFE76F-CCDD-4049-9EA1-697A373B1124}"/>
    <cellStyle name="style1729051478781" xfId="2491" xr:uid="{6B1B5AF8-C358-4016-9A68-0B9D80B56296}"/>
    <cellStyle name="style1729051478836" xfId="2492" xr:uid="{584AB7A1-54F6-4E98-9766-81F977C3F602}"/>
    <cellStyle name="style1729051478928" xfId="2497" xr:uid="{5C8B5A9C-B9A2-4315-ABC4-80BBCA73914B}"/>
    <cellStyle name="style1729051479014" xfId="2498" xr:uid="{FAA72380-8664-4CE0-A4D0-F11244A7D072}"/>
    <cellStyle name="style1729051479095" xfId="2487" xr:uid="{486FC309-CBC5-402D-8757-8EE12CA3AACA}"/>
    <cellStyle name="style1729051479169" xfId="2488" xr:uid="{3C7CF056-4436-44A8-AFAB-AF74328DF405}"/>
    <cellStyle name="style1729051479222" xfId="2489" xr:uid="{CAC7B53F-A026-4AAD-BB69-90EC7349A8E2}"/>
    <cellStyle name="style1729051479262" xfId="2490" xr:uid="{669AAAC8-1C74-4EED-9267-F5E92A89B1AB}"/>
    <cellStyle name="style1729051479315" xfId="2493" xr:uid="{31A5F87F-1978-421E-B571-831DA660D39E}"/>
    <cellStyle name="style1729051479368" xfId="2494" xr:uid="{DD92F091-372B-4A5F-B93E-668C34328B58}"/>
    <cellStyle name="style1729051479421" xfId="2495" xr:uid="{010720C6-1741-4785-A3D0-9326FD67EE32}"/>
    <cellStyle name="style1729051479466" xfId="2496" xr:uid="{C75D175E-38CF-4BF1-B7EE-9679388BF23A}"/>
    <cellStyle name="style1729051479651" xfId="2499" xr:uid="{95CFB1E8-11AA-438F-BFFB-911FA82913C0}"/>
    <cellStyle name="style1729051479737" xfId="2500" xr:uid="{A52BE0FA-8C7B-4553-90AA-A7C35B30BFAC}"/>
    <cellStyle name="style1729051479813" xfId="2501" xr:uid="{ED61FF06-EC88-4D19-B44E-0ED1B64505E9}"/>
    <cellStyle name="style1729051479881" xfId="2502" xr:uid="{55D0DE8B-7624-4DA4-8563-9E301015B06B}"/>
    <cellStyle name="style1729051480315" xfId="2503" xr:uid="{75504AF9-504D-4F82-8E2C-621124B5012E}"/>
    <cellStyle name="style1729051480358" xfId="2504" xr:uid="{925CE139-A1E3-412E-82D4-179DE90157D4}"/>
    <cellStyle name="style1729051480399" xfId="2505" xr:uid="{FEEF9732-EABB-44F2-8142-0EC986DAFCC7}"/>
    <cellStyle name="style1729051480455" xfId="2506" xr:uid="{8E10C11C-8C7A-4257-BED2-13728B572C11}"/>
    <cellStyle name="style1729051480499" xfId="2508" xr:uid="{BBA2B2DD-C51B-48DF-BFA9-BF2A0D797146}"/>
    <cellStyle name="style1729051480543" xfId="2510" xr:uid="{4460E97F-83F9-4E45-B1CC-3DA3AF52C62A}"/>
    <cellStyle name="style1729051480612" xfId="2507" xr:uid="{A95B61D2-22F9-4EAF-8958-70ECFEF79202}"/>
    <cellStyle name="style1729051480667" xfId="2509" xr:uid="{BBEB3A2B-3514-48A9-A892-15E4A47436E7}"/>
    <cellStyle name="style1729051480746" xfId="2511" xr:uid="{A781C07C-64C3-49CC-AAA2-A1737F19C891}"/>
    <cellStyle name="style1729051481246" xfId="2512" xr:uid="{E6D639B1-3301-4476-B6CF-8F239B295C9D}"/>
    <cellStyle name="style1729051481289" xfId="2513" xr:uid="{B206789F-9B45-4E4C-BF65-971AA0334719}"/>
    <cellStyle name="style1729051481348" xfId="2514" xr:uid="{0AC2A125-9CDD-4C3F-ABBE-4DC3BC9A490E}"/>
    <cellStyle name="style1729051481395" xfId="2515" xr:uid="{71E197E1-A0EA-430B-97A6-C382415369B1}"/>
    <cellStyle name="style1729051481448" xfId="2516" xr:uid="{F5F88D7B-C3B3-4782-BA53-12449E8BDF1E}"/>
    <cellStyle name="style1729051481497" xfId="2517" xr:uid="{596C3309-A205-4DBF-85DD-5E91CD25245C}"/>
    <cellStyle name="style1729051481555" xfId="2518" xr:uid="{81B8F567-701A-4666-A702-B799E900389A}"/>
    <cellStyle name="style1729051481603" xfId="2519" xr:uid="{C3FDD122-4673-4627-8A0E-377631B51011}"/>
    <cellStyle name="style1729051481652" xfId="2520" xr:uid="{F1D1DC67-FCC0-4EBC-A555-8AFDA53D0608}"/>
    <cellStyle name="style1729051481930" xfId="2521" xr:uid="{4B1AB49A-F1A1-48A3-86BC-79D49EEF80DC}"/>
    <cellStyle name="style1729051481985" xfId="2522" xr:uid="{96303603-6CE5-4F51-89AE-F54C9C2C7662}"/>
    <cellStyle name="style1729051482037" xfId="2523" xr:uid="{0A0BF7E1-49EE-4F9E-A5E0-8023B6668209}"/>
    <cellStyle name="style1729051482071" xfId="2524" xr:uid="{5A75EFA1-2514-456A-942A-549DD7DAA03B}"/>
    <cellStyle name="style1729051482322" xfId="2525" xr:uid="{C5D28BA4-23CF-4363-AB93-EF7927D83B75}"/>
    <cellStyle name="style1729051482364" xfId="2526" xr:uid="{BB805153-EC08-4BA6-B606-A8D5507B1A42}"/>
    <cellStyle name="style1729051485406" xfId="2527" xr:uid="{A9EF7EF7-5351-46EC-BB9C-5039525E565D}"/>
    <cellStyle name="style1729051485453" xfId="2528" xr:uid="{A9D1C835-D1E2-42EE-8601-A1841C2C4CCB}"/>
    <cellStyle name="style1729051485495" xfId="2529" xr:uid="{68FB4584-5BE2-4571-BCF0-6F3BE9DF10F1}"/>
    <cellStyle name="style1729051485533" xfId="2530" xr:uid="{7DDEE004-43F2-4074-A587-F3FF800DF32E}"/>
    <cellStyle name="style1729051485570" xfId="2531" xr:uid="{9C079399-B54D-46C3-841F-37801C7A84FC}"/>
    <cellStyle name="style1729051485607" xfId="2532" xr:uid="{9FEBF44E-82C9-4D57-97EB-A2A27F57394D}"/>
    <cellStyle name="style1729051485646" xfId="2533" xr:uid="{A8BB8575-BFF9-4529-8A90-39775A9F5D37}"/>
    <cellStyle name="style1729051485680" xfId="2534" xr:uid="{1324C074-477B-4AE1-8B5E-9AE313335D24}"/>
    <cellStyle name="style1729051485719" xfId="2535" xr:uid="{95511191-4237-44F7-B007-5EAA27409F2B}"/>
    <cellStyle name="style1729051485989" xfId="2536" xr:uid="{3702B7E4-FFAD-4056-8014-84B5CFEFFA5E}"/>
    <cellStyle name="style1729051486039" xfId="2537" xr:uid="{30803342-3C8F-4D4A-9AD8-A796C26DB7DF}"/>
    <cellStyle name="style1729051486086" xfId="2538" xr:uid="{683F13E8-AF7B-4DF2-87E8-31FD33FE97C5}"/>
    <cellStyle name="style1729051501659" xfId="2588" xr:uid="{97CA6365-BAC6-49D0-9DC7-DF81BBF215C1}"/>
    <cellStyle name="style1729051501713" xfId="2589" xr:uid="{BB9E2060-E184-44C7-9872-421CD9207EDC}"/>
    <cellStyle name="style1729051501781" xfId="2587" xr:uid="{7466971F-4471-4C61-8397-1C625F1D78A2}"/>
    <cellStyle name="style1729051501843" xfId="2590" xr:uid="{0723080C-A6D1-430F-B3CE-40F242AC19CC}"/>
    <cellStyle name="style1729051501906" xfId="2591" xr:uid="{AC082C99-2631-4D30-B0E6-F6C5313280C2}"/>
    <cellStyle name="style1729051501964" xfId="2592" xr:uid="{73B85504-54D1-4C67-B73D-6B28869C5B1D}"/>
    <cellStyle name="style1729051502042" xfId="2593" xr:uid="{3AF852EE-6105-427F-904C-4939F16C1D55}"/>
    <cellStyle name="style1729051502107" xfId="2594" xr:uid="{A2C0150E-0F78-465B-8CD0-9D07959D476F}"/>
    <cellStyle name="style1729051502162" xfId="2595" xr:uid="{20F65003-194D-4F43-BECA-5896B93CA041}"/>
    <cellStyle name="style1729051502220" xfId="2596" xr:uid="{7856C649-D598-4ABA-A4DF-7810953DC830}"/>
    <cellStyle name="style1729051502274" xfId="2597" xr:uid="{C9F9B260-C489-4413-966E-131E24537490}"/>
    <cellStyle name="style1729051502326" xfId="2598" xr:uid="{9BE59B96-FB8D-475E-9424-4A36AC93410C}"/>
    <cellStyle name="style1729051502379" xfId="2599" xr:uid="{8D7D5F6E-06AA-482F-90DA-82EF5E736563}"/>
    <cellStyle name="style1729051502438" xfId="2600" xr:uid="{40EC8DB5-1CD4-4F8A-A045-AD4499A418CE}"/>
    <cellStyle name="style1729051502485" xfId="2601" xr:uid="{5A9C40F3-CCC0-49C2-9F3E-BC9FCAF74CF5}"/>
    <cellStyle name="style1729051502519" xfId="2602" xr:uid="{8CC4E8CC-BC8F-4C8F-AD0C-332B95E91170}"/>
    <cellStyle name="style1729051502605" xfId="2603" xr:uid="{70AADC16-6E2B-4498-9FF0-50ABB4B63F4A}"/>
    <cellStyle name="style1729051502643" xfId="2604" xr:uid="{B24A5CF9-5E16-4D8C-9A49-5C1D276CB1CD}"/>
    <cellStyle name="style1729051502680" xfId="2605" xr:uid="{32D5FFD2-C1B8-410A-81CD-782532F2CE57}"/>
    <cellStyle name="style1729051502744" xfId="2606" xr:uid="{8DAF2CCA-455F-428C-94DB-00761130E74B}"/>
    <cellStyle name="style1729051502808" xfId="2607" xr:uid="{4DCA35D1-ED82-4354-854C-EBBFE3C1FFC0}"/>
    <cellStyle name="style1729051502864" xfId="2608" xr:uid="{4851E8DA-505C-4043-A32E-5B06C9D60270}"/>
    <cellStyle name="style1729051502917" xfId="2609" xr:uid="{4676674E-8FF4-43FC-B534-069CF23E6564}"/>
    <cellStyle name="style1729051502980" xfId="2610" xr:uid="{5C64DAAE-4EFB-482D-9216-A89AD4D9AD3F}"/>
    <cellStyle name="style1729051503037" xfId="2614" xr:uid="{39613156-2522-4B47-B111-8E0CE6564A24}"/>
    <cellStyle name="style1729051503093" xfId="2615" xr:uid="{769865B0-D754-411C-95E2-C97B283783EB}"/>
    <cellStyle name="style1729051503163" xfId="2619" xr:uid="{9779A098-CDF2-4D32-A181-17518072CFB0}"/>
    <cellStyle name="style1729051503219" xfId="2620" xr:uid="{5DE2398B-CDAB-4EE4-A355-F6E77341BF0D}"/>
    <cellStyle name="style1729051503279" xfId="2611" xr:uid="{5F86A426-491F-4F5A-969C-64FEE4C4D0A8}"/>
    <cellStyle name="style1729051503350" xfId="2612" xr:uid="{44962A65-8797-4972-B2FA-B74A5A88A854}"/>
    <cellStyle name="style1729051503424" xfId="2613" xr:uid="{8983A079-0034-43FD-8A4A-23B50C96C428}"/>
    <cellStyle name="style1729051503489" xfId="2616" xr:uid="{868DF2A4-CDE5-4A9B-AB31-A139281C24A6}"/>
    <cellStyle name="style1729051503549" xfId="2617" xr:uid="{B36852CD-8C36-4BAB-A120-D2A75F1611D6}"/>
    <cellStyle name="style1729051503609" xfId="2618" xr:uid="{24828508-E042-4470-A074-97E99E355843}"/>
    <cellStyle name="style1729051503701" xfId="2621" xr:uid="{7B64E592-3B43-4981-81F3-36EB671E227F}"/>
    <cellStyle name="style1729051503755" xfId="2622" xr:uid="{73D30C6B-0B90-4241-AB27-489A300D288E}"/>
    <cellStyle name="style1729051503813" xfId="2623" xr:uid="{C282E9FA-B179-439C-A526-655619AA16F8}"/>
    <cellStyle name="style1729051564697" xfId="2540" xr:uid="{48AAE4B9-B947-42E0-87C4-D5EF8B6E71F7}"/>
    <cellStyle name="style1729051564750" xfId="2541" xr:uid="{0EC49741-481B-4A28-8717-E1CC5AF7A105}"/>
    <cellStyle name="style1729051564809" xfId="2539" xr:uid="{E4D4978D-0F58-4AA2-841A-9C120CFE732E}"/>
    <cellStyle name="style1729051564865" xfId="2542" xr:uid="{DBEF3275-26BD-4A10-84CC-1B1AED727B4A}"/>
    <cellStyle name="style1729051564899" xfId="2543" xr:uid="{993AB0CA-A194-4FA2-85B3-196E366E15B3}"/>
    <cellStyle name="style1729051564935" xfId="2544" xr:uid="{6EDF335F-2CC6-45D6-AD92-CBE13220D28A}"/>
    <cellStyle name="style1729051564973" xfId="2548" xr:uid="{A4525083-DDB9-4DB4-B523-FB5B747DF0E0}"/>
    <cellStyle name="style1729051565021" xfId="2549" xr:uid="{67D634AC-C964-4331-8306-BB6D5A76ACF4}"/>
    <cellStyle name="style1729051565056" xfId="2550" xr:uid="{5D00D1DB-517F-4C91-8BE8-91830CDAC781}"/>
    <cellStyle name="style1729051565104" xfId="2554" xr:uid="{47E297BE-4A47-45D0-83B8-7D7A91C565AD}"/>
    <cellStyle name="style1729051565153" xfId="2555" xr:uid="{F435DA9A-371D-4D2C-8C97-FBFD551F71C8}"/>
    <cellStyle name="style1729051565200" xfId="2556" xr:uid="{82065EDA-FCB1-4DC7-AC83-16AFEACCBC99}"/>
    <cellStyle name="style1729051565252" xfId="2545" xr:uid="{73624641-CCFA-4303-AC54-AB5C9E71A999}"/>
    <cellStyle name="style1729051565304" xfId="2546" xr:uid="{057645A9-0CFF-482A-94C4-DC351F714F19}"/>
    <cellStyle name="style1729051565357" xfId="2547" xr:uid="{AC263DA9-23A7-4542-9B7A-7388CC05ADE9}"/>
    <cellStyle name="style1729051565409" xfId="2551" xr:uid="{4994D646-828A-470C-9DDE-11F7F1519E95}"/>
    <cellStyle name="style1729051565458" xfId="2552" xr:uid="{A75C0508-6DFE-459A-8637-1C00FFAB2F87}"/>
    <cellStyle name="style1729051565500" xfId="2553" xr:uid="{28DC2F07-A619-4159-ABE2-47941523AFB8}"/>
    <cellStyle name="style1729051565552" xfId="2557" xr:uid="{07B5AB7F-0F77-454B-8E76-510F39D4950A}"/>
    <cellStyle name="style1729051565597" xfId="2558" xr:uid="{A94BBD0A-2211-4018-BE37-7BB93F7778F6}"/>
    <cellStyle name="style1729051565641" xfId="2559" xr:uid="{FFC7C2D4-8A4D-4B68-BF8F-3C205417B9A5}"/>
    <cellStyle name="style1729051565671" xfId="2560" xr:uid="{B88CCE8B-4DAC-4845-9AE2-535DAA675A8D}"/>
    <cellStyle name="style1729051565724" xfId="2566" xr:uid="{DCD114BF-08E3-49DA-B7AB-F708724F27E4}"/>
    <cellStyle name="style1729051565764" xfId="2572" xr:uid="{C9F17F65-7985-42FF-9D6F-5378AB503964}"/>
    <cellStyle name="style1729051565805" xfId="2561" xr:uid="{7337392D-49D3-4B04-A696-847356DC7447}"/>
    <cellStyle name="style1729051565846" xfId="2567" xr:uid="{2F718B4C-F248-486F-9637-963CA104BAC8}"/>
    <cellStyle name="style1729051565886" xfId="2573" xr:uid="{52E8C0ED-594F-44E8-A9A9-FA94DE80288A}"/>
    <cellStyle name="style1729051565927" xfId="2562" xr:uid="{0B904D15-9700-47A7-9A7D-587CD51D3C5A}"/>
    <cellStyle name="style1729051565973" xfId="2568" xr:uid="{C1A7705A-05CC-44E2-A305-90457EB64560}"/>
    <cellStyle name="style1729051566022" xfId="2574" xr:uid="{40D2837F-7F9A-4F27-BD18-2DD7E6835377}"/>
    <cellStyle name="style1729051566066" xfId="2563" xr:uid="{948D1D3B-D1DA-4A84-8269-CF3898D29FDF}"/>
    <cellStyle name="style1729051566116" xfId="2564" xr:uid="{A0C37EF1-E2DC-48DF-8900-6A8B09C60B3D}"/>
    <cellStyle name="style1729051566161" xfId="2565" xr:uid="{F359ECDB-0C7D-4FEF-888C-0B3E376FCE64}"/>
    <cellStyle name="style1729051566205" xfId="2569" xr:uid="{7B3B6AFE-0BF1-400C-91F7-A92E790EF1DE}"/>
    <cellStyle name="style1729051566245" xfId="2570" xr:uid="{3AFB018B-51D9-4424-AB1E-E9DA7FEA5797}"/>
    <cellStyle name="style1729051566286" xfId="2571" xr:uid="{1153ACF5-E013-4B37-8488-9E56BB9D0BD3}"/>
    <cellStyle name="style1729051566316" xfId="2575" xr:uid="{5348E9A3-336D-4D01-AA91-30814619E178}"/>
    <cellStyle name="style1729051566361" xfId="2576" xr:uid="{E76958D6-3260-4927-BCAD-D23A2C725EFA}"/>
    <cellStyle name="style1729051566399" xfId="2577" xr:uid="{0A81CFB3-C00D-4085-8DA0-E2EC380AE9FC}"/>
    <cellStyle name="style1729051566442" xfId="2578" xr:uid="{866DD85E-16C9-40F0-8348-845637B4D3CA}"/>
    <cellStyle name="style1729051566473" xfId="2579" xr:uid="{52EA18D7-44F2-41D1-9234-6393F686A8CC}"/>
    <cellStyle name="style1729051566499" xfId="2580" xr:uid="{566E96F7-5F21-46A5-A3DE-117D4501A790}"/>
    <cellStyle name="style1729051566526" xfId="2581" xr:uid="{E17B91D8-17E9-4040-9353-641B05B2C116}"/>
    <cellStyle name="style1729051566550" xfId="2582" xr:uid="{C32D37AF-074B-43C3-BC94-D3221839F3FF}"/>
    <cellStyle name="style1729051566576" xfId="2583" xr:uid="{4215B1A3-EAEB-4588-8143-B9C1B5482527}"/>
    <cellStyle name="style1729051566593" xfId="2584" xr:uid="{DFC86F66-3E7A-4A86-ABE9-33088C61B486}"/>
    <cellStyle name="style1729051566613" xfId="2585" xr:uid="{6BE316B2-0C48-45CF-88D4-77592A0CCCA8}"/>
    <cellStyle name="style1729051566644" xfId="2586" xr:uid="{D7765DC4-9BE9-468A-9D70-14279FC979F8}"/>
    <cellStyle name="style1729052435358" xfId="2625" xr:uid="{DEB00E20-E827-4BEC-BB59-3BEBA26D6A45}"/>
    <cellStyle name="style1729052435387" xfId="2626" xr:uid="{9EDA5530-C503-4DDF-B16E-5B1E09539DCD}"/>
    <cellStyle name="style1729052435418" xfId="2624" xr:uid="{856D9A50-2DC7-42B5-9B3B-2F4FC3310ECB}"/>
    <cellStyle name="style1729052435454" xfId="2627" xr:uid="{8C271885-039F-4F86-9937-23225329C785}"/>
    <cellStyle name="style1729052435483" xfId="2628" xr:uid="{2F6A89A2-CD4A-4A97-B973-6A83752DF796}"/>
    <cellStyle name="style1729052435509" xfId="2629" xr:uid="{BE9422EE-7E24-4C57-A8D1-9AC33E89D15D}"/>
    <cellStyle name="style1729052435540" xfId="2630" xr:uid="{D1146118-DDF1-4E91-B55B-C938F46A17F6}"/>
    <cellStyle name="style1729052435570" xfId="2631" xr:uid="{A420CC8E-63C3-4668-A792-37FE010488F6}"/>
    <cellStyle name="style1729052435590" xfId="2632" xr:uid="{3BCB7543-C8AB-4D06-B6E3-6A1A5940AAC6}"/>
    <cellStyle name="style1729052435622" xfId="2633" xr:uid="{D3DA2850-9F66-46FD-98CC-72E801BBA23F}"/>
    <cellStyle name="style1729052435651" xfId="2634" xr:uid="{AB21B836-79CD-415F-9883-28DF737D17A9}"/>
    <cellStyle name="style1729052435684" xfId="2635" xr:uid="{42B6DF5E-B82E-4822-98BC-F6F6462762E2}"/>
    <cellStyle name="style1729052435708" xfId="2636" xr:uid="{AE855986-97CD-409A-B7D8-3D1F3C38AA56}"/>
    <cellStyle name="style1729052435756" xfId="2637" xr:uid="{8EB4250C-7FE6-4A75-AABA-375EB4DDA7DE}"/>
    <cellStyle name="style1729052435783" xfId="2638" xr:uid="{1754BFF4-FE14-434D-B287-8CBD0F112802}"/>
    <cellStyle name="style1729052435802" xfId="2639" xr:uid="{9E510D65-D048-4BBB-8911-A63E68C93E64}"/>
    <cellStyle name="style1729052435858" xfId="2640" xr:uid="{46669CC1-5C82-44BF-90B2-789EB48DBD7D}"/>
    <cellStyle name="style1729052435874" xfId="2641" xr:uid="{A59427E9-0342-4F82-A775-9FDA4DB2209B}"/>
    <cellStyle name="style1729052435901" xfId="2642" xr:uid="{4EB4DD18-DF6D-4BD3-AB12-8F09EADA44F3}"/>
    <cellStyle name="style1729052435917" xfId="2643" xr:uid="{DD18AE2E-1DC6-43BC-A559-0B891F1EB4FE}"/>
    <cellStyle name="style1729052435965" xfId="2644" xr:uid="{CCB3D872-260C-4BB8-AE34-682DCE3FA186}"/>
    <cellStyle name="style1729052435989" xfId="2645" xr:uid="{F11C7D96-39D8-43D6-BF76-5101EEC54A34}"/>
    <cellStyle name="style1729052436014" xfId="2646" xr:uid="{E01F6F20-1F38-4EFD-BDB2-4A151C847F5A}"/>
    <cellStyle name="style1729052436045" xfId="2647" xr:uid="{477DF834-C768-4E03-B17C-07CADC70D698}"/>
    <cellStyle name="style1729052436087" xfId="2651" xr:uid="{AADFA34F-8E14-4D99-8904-82BC241EFA5F}"/>
    <cellStyle name="style1729052436121" xfId="2652" xr:uid="{2A39FA7F-2A16-4999-B71A-BB45991E1B63}"/>
    <cellStyle name="style1729052436147" xfId="2656" xr:uid="{5130F9EF-9F6A-42D9-8B17-BDC738F7B2F3}"/>
    <cellStyle name="style1729052436191" xfId="2657" xr:uid="{F511DD02-CAB9-4092-8026-D5DFD8ED304F}"/>
    <cellStyle name="style1729052436229" xfId="2648" xr:uid="{D97B4F9B-3CCA-42A8-BE11-008D9CECF892}"/>
    <cellStyle name="style1729052436260" xfId="2649" xr:uid="{67529A3D-B101-414E-978A-A82CBAEB19BC}"/>
    <cellStyle name="style1729052436300" xfId="2650" xr:uid="{632E3FAE-C239-4BCA-BF3B-52C95C514FCE}"/>
    <cellStyle name="style1729052436328" xfId="2653" xr:uid="{F0CC4456-D804-4F1E-A055-1B25B0AE38DC}"/>
    <cellStyle name="style1729052436359" xfId="2654" xr:uid="{4CB86D6F-286F-4C8F-92EE-2AF49B98A88B}"/>
    <cellStyle name="style1729052436391" xfId="2655" xr:uid="{6B588FA3-822D-4751-983D-5A077AB102AC}"/>
    <cellStyle name="style1729052436441" xfId="2658" xr:uid="{0F11662E-39CC-4CB9-A5CB-3222EABBD60E}"/>
    <cellStyle name="style1729052436469" xfId="2659" xr:uid="{8E25BFFA-BBD4-4790-9C07-A050F550BF52}"/>
    <cellStyle name="style1729052436489" xfId="2660" xr:uid="{B41AE81B-B8AC-4C49-BACD-5C810C7D6572}"/>
    <cellStyle name="style1741059580072" xfId="2662" xr:uid="{714FDBAF-95AC-4FD4-BDBB-94BE74F43DE6}"/>
    <cellStyle name="style1741059580110" xfId="2663" xr:uid="{B6CCADB6-AA5B-444F-BDC8-ACA92561EBE1}"/>
    <cellStyle name="style1741059580141" xfId="2661" xr:uid="{D611F22D-6065-419F-BA47-DDF9EDB15998}"/>
    <cellStyle name="style1741059580172" xfId="2664" xr:uid="{038FA9DF-62A5-490D-A3E5-BE47EB2C5906}"/>
    <cellStyle name="style1741059580188" xfId="2665" xr:uid="{DF8430F3-CBFB-4EA4-803A-7ED95E8D4670}"/>
    <cellStyle name="style1741059580210" xfId="2669" xr:uid="{24AAEB06-DB44-4608-8C64-8FA6B27D23A0}"/>
    <cellStyle name="style1741059580257" xfId="2670" xr:uid="{759588A8-798B-4586-9EE9-79F36354B809}"/>
    <cellStyle name="style1741059580288" xfId="2674" xr:uid="{B5FB7CFC-6EDD-4522-BD81-3FF2D181DE0D}"/>
    <cellStyle name="style1741059580310" xfId="2675" xr:uid="{74D48366-AF8E-401B-BD49-B4239E9B94EC}"/>
    <cellStyle name="style1741059580342" xfId="2666" xr:uid="{6D15F173-B2B6-4FC6-B13C-D8A36DC76CD7}"/>
    <cellStyle name="style1741059580388" xfId="2667" xr:uid="{8AAD8C1D-347E-4399-9B08-C466586F9FB9}"/>
    <cellStyle name="style1741059580411" xfId="2668" xr:uid="{136E3064-9012-446C-AC3B-D492538D8261}"/>
    <cellStyle name="style1741059580442" xfId="2671" xr:uid="{8BE7E2A8-E483-48DA-80AF-A738E2075C3C}"/>
    <cellStyle name="style1741059580473" xfId="2672" xr:uid="{9846FF5A-CD4A-4053-9C0A-2C930E99336C}"/>
    <cellStyle name="style1741059580511" xfId="2673" xr:uid="{A9574324-036D-42A2-8CE7-F1B9FEFAEA33}"/>
    <cellStyle name="style1741059580542" xfId="2676" xr:uid="{28D70BC8-E54D-420F-8B44-CABC3D42A041}"/>
    <cellStyle name="style1741059580589" xfId="2677" xr:uid="{B956FB9A-5D04-4E49-AD4E-31AE48E70157}"/>
    <cellStyle name="style1741059580611" xfId="2678" xr:uid="{6D894543-DB29-4A12-9834-89333765AAA2}"/>
    <cellStyle name="style1741059580658" xfId="2679" xr:uid="{D5381E4D-D4C2-4D7E-BD83-3741525C65B0}"/>
    <cellStyle name="style1741059580689" xfId="2680" xr:uid="{3259B17E-D831-4A0F-BF5F-C9A5EC615A86}"/>
    <cellStyle name="style1741059580727" xfId="2685" xr:uid="{614F9A50-AA40-4367-B25C-0F50BF159237}"/>
    <cellStyle name="style1741059580758" xfId="2686" xr:uid="{1095ADA1-C06D-4E18-B764-11BABC7BDE27}"/>
    <cellStyle name="style1741059580805" xfId="2691" xr:uid="{D94E231E-741B-4865-BC84-68B067CB9DF4}"/>
    <cellStyle name="style1741059580828" xfId="2692" xr:uid="{BC815893-06DE-4607-8625-57E890B4555F}"/>
    <cellStyle name="style1741059580859" xfId="2681" xr:uid="{02BBFEBF-708D-469D-9093-1B4274243400}"/>
    <cellStyle name="style1741059580912" xfId="2682" xr:uid="{D7C43FB6-0EB9-4824-9923-963211360FCC}"/>
    <cellStyle name="style1741059580943" xfId="2683" xr:uid="{5BCE0729-04BF-43E4-B91E-54D5ED74382E}"/>
    <cellStyle name="style1741059580990" xfId="2684" xr:uid="{132440A3-6DD0-4B6E-9EC7-D43C2B1672C7}"/>
    <cellStyle name="style1741059581035" xfId="2687" xr:uid="{D7900B75-F1B7-4D49-80AA-932B823916CD}"/>
    <cellStyle name="style1741059581075" xfId="2688" xr:uid="{4A45FC09-8164-4FB5-9F26-FD5570F2D3C9}"/>
    <cellStyle name="style1741059581104" xfId="2689" xr:uid="{577D5C86-389D-4B41-BB1B-5400BF95D48D}"/>
    <cellStyle name="style1741059581126" xfId="2690" xr:uid="{3F3492E2-5399-4571-9B25-210D5CBB587F}"/>
    <cellStyle name="style1741059581197" xfId="2693" xr:uid="{77F91306-A900-4A97-9A69-B663A6974C01}"/>
    <cellStyle name="style1741059581237" xfId="2694" xr:uid="{B0D8056D-2004-4DB8-A8D9-48E7E66FB7CB}"/>
    <cellStyle name="style1741059581267" xfId="2695" xr:uid="{14728E80-6471-4492-92EB-483F7D1FA4C9}"/>
    <cellStyle name="style1741059581297" xfId="2696" xr:uid="{10C87F64-ED66-4AEC-8F0B-E32EE1B68FB7}"/>
    <cellStyle name="style1741059581499" xfId="2697" xr:uid="{5540684A-EDE9-4394-B7C2-6804F3A1B837}"/>
    <cellStyle name="style1741059581529" xfId="2698" xr:uid="{358152D5-99E8-42C8-A477-3B14E3574259}"/>
    <cellStyle name="style1741059581558" xfId="2699" xr:uid="{10E40504-7F31-4940-B00F-0D20A3093BB0}"/>
    <cellStyle name="style1741059581600" xfId="2700" xr:uid="{D006211D-DC03-4DB7-B054-8E451391E06B}"/>
    <cellStyle name="style1741059581630" xfId="2702" xr:uid="{796420D4-2DFC-49F8-94DF-B8FB8C455397}"/>
    <cellStyle name="style1741059581671" xfId="2704" xr:uid="{FBBC9574-1C37-4D19-9E28-78554A53B44A}"/>
    <cellStyle name="style1741059581701" xfId="2701" xr:uid="{FBB7A470-F91C-43FB-AA6C-E9341E18CB1E}"/>
    <cellStyle name="style1741059581732" xfId="2703" xr:uid="{26BA74B9-A3A7-4CBF-ACE8-104091F07368}"/>
    <cellStyle name="style1741059581762" xfId="2705" xr:uid="{7197BEAD-ECB7-4C63-9B13-3174975160C5}"/>
    <cellStyle name="style1741059582005" xfId="2706" xr:uid="{8E6BDD7F-6F47-4BB2-ABB8-D481763A0A53}"/>
    <cellStyle name="style1741059582036" xfId="2707" xr:uid="{D692C015-72A1-4330-9134-FAC6679CD79C}"/>
    <cellStyle name="style1741059582086" xfId="2708" xr:uid="{A60BF318-3F3B-43F1-8829-92B4C9BC8633}"/>
    <cellStyle name="style1741059582117" xfId="2709" xr:uid="{90256694-E746-482C-955C-9E99256EF6C4}"/>
    <cellStyle name="style1741059582156" xfId="2710" xr:uid="{35BF4BDF-0409-4213-B62D-B3705019DDDE}"/>
    <cellStyle name="style1741059582188" xfId="2711" xr:uid="{E5B13A35-4FF3-42DE-8D9A-3C439AD0513B}"/>
    <cellStyle name="style1741059582227" xfId="2712" xr:uid="{DA546886-6FD7-4A15-9A9A-BC18EFCDF000}"/>
    <cellStyle name="style1741059582260" xfId="2713" xr:uid="{7A2CC176-C204-4A18-A085-44F165933FF6}"/>
    <cellStyle name="style1741059582290" xfId="2714" xr:uid="{88E47DE8-CF05-4763-914B-2537736CCAC6}"/>
    <cellStyle name="style1741059582450" xfId="2715" xr:uid="{6BF0E192-5131-4621-835A-CE5F16E5DDEC}"/>
    <cellStyle name="style1741059582482" xfId="2716" xr:uid="{AD50FDAB-21E1-4C29-9136-B4C56095D7FD}"/>
    <cellStyle name="style1741059582513" xfId="2717" xr:uid="{90AB6E5C-F70F-4D39-8D1C-AD9DC451C2BE}"/>
    <cellStyle name="style1741059582543" xfId="2718" xr:uid="{2B4B7D57-61E2-4198-B6A1-21E199610943}"/>
    <cellStyle name="style1741059582694" xfId="2719" xr:uid="{2504F60C-FF26-4EFC-8C68-9DF214CF7A5F}"/>
    <cellStyle name="style1741059582716" xfId="2720" xr:uid="{6FE48579-7446-4CC0-9093-0530772464ED}"/>
    <cellStyle name="style1741059584923" xfId="2721" xr:uid="{145D71F0-8A8F-4B04-AF76-278B0C8F24FD}"/>
    <cellStyle name="style1741059584951" xfId="2722" xr:uid="{C564CAE6-B7F2-4036-9414-C5C7FC46FD97}"/>
    <cellStyle name="style1741059584973" xfId="2723" xr:uid="{69F85A57-1725-4072-8F46-35F5F085E984}"/>
    <cellStyle name="style1741059585002" xfId="2724" xr:uid="{DA65EA19-D7F5-4807-AFF2-43EAD55E963C}"/>
    <cellStyle name="style1741059585024" xfId="2725" xr:uid="{6BD27212-FD4B-4D37-9D4E-A7636920F285}"/>
    <cellStyle name="style1741059585052" xfId="2726" xr:uid="{A52999FD-BDF5-4E8A-AA84-39EC4A590E59}"/>
    <cellStyle name="style1741059585068" xfId="2727" xr:uid="{913FCA70-AFE8-4C52-ABE3-A0157D3531B9}"/>
    <cellStyle name="style1741059585099" xfId="2728" xr:uid="{60E7F93F-756A-4F9C-9A33-85DD77B480D7}"/>
    <cellStyle name="style1741059585115" xfId="2729" xr:uid="{2B1DFF42-BD15-427C-8D13-4126C3FB7536}"/>
    <cellStyle name="style1741059585316" xfId="2730" xr:uid="{DBDB9A63-48DF-4933-83FD-9B48AF802B55}"/>
    <cellStyle name="style1741059585347" xfId="2731" xr:uid="{EFF1D45F-8926-49C7-BC76-5D340D340F5A}"/>
    <cellStyle name="style1741059585375" xfId="2732" xr:uid="{6A37E908-0D8C-4BF7-A0C8-DD0CDE17D4A8}"/>
    <cellStyle name="style1741059598540" xfId="2782" xr:uid="{5BC78ABE-A41E-475B-A421-242DF8C5387B}"/>
    <cellStyle name="style1741059598571" xfId="2783" xr:uid="{5D2B4B2B-AC3F-46CA-81CC-A94070491D47}"/>
    <cellStyle name="style1741059598603" xfId="2781" xr:uid="{6423C472-2346-4A80-B70D-F002FD863A4A}"/>
    <cellStyle name="style1741059598640" xfId="2784" xr:uid="{B33C2A34-D5CF-436A-A31F-6250B711C7BD}"/>
    <cellStyle name="style1741059598671" xfId="2785" xr:uid="{245B718A-10BE-4A40-93A8-C770F8E40E39}"/>
    <cellStyle name="style1741059598703" xfId="2786" xr:uid="{769BF203-5ADA-4FB7-BA8D-811B5DC0F1E8}"/>
    <cellStyle name="style1741059598741" xfId="2787" xr:uid="{C28E03D2-D55A-4944-8E4D-E15B4F3E79DA}"/>
    <cellStyle name="style1741059598772" xfId="2788" xr:uid="{C8AC3F82-1199-4A38-ADA0-F5E7C4A1A166}"/>
    <cellStyle name="style1741059598803" xfId="2789" xr:uid="{DE8BF396-0EA2-4C75-82D0-290B637F002E}"/>
    <cellStyle name="style1741059598841" xfId="2790" xr:uid="{7A8EB03D-E6B2-4B91-AB56-A1EDD8E9FC34}"/>
    <cellStyle name="style1741059598872" xfId="2791" xr:uid="{36C0B80C-6C46-4BA9-A669-C422F0166AB5}"/>
    <cellStyle name="style1741059598903" xfId="2792" xr:uid="{A4000992-53F7-4E76-BA76-2F0C69B5CABE}"/>
    <cellStyle name="style1741059598941" xfId="2793" xr:uid="{22AC61AB-1BDB-43EF-9C75-4BD8E1165FFF}"/>
    <cellStyle name="style1741059598972" xfId="2794" xr:uid="{E5887E69-8C9F-4871-825B-19692E8AF6D2}"/>
    <cellStyle name="style1741059599004" xfId="2795" xr:uid="{B48CF100-AEF3-4573-A8C7-D1AF7F4C7490}"/>
    <cellStyle name="style1741059599026" xfId="2796" xr:uid="{35F7E26B-0043-4AF1-9CFD-DC4942A4892E}"/>
    <cellStyle name="style1741059599088" xfId="2797" xr:uid="{7B3241EC-5B67-44DE-9EA2-8DF25C665BF9}"/>
    <cellStyle name="style1741059599104" xfId="2798" xr:uid="{9432D8BC-7B2B-4FF5-B6CF-256B3D20F243}"/>
    <cellStyle name="style1741059599126" xfId="2799" xr:uid="{A75CE128-CACC-4A05-B251-DB4B0FE50C96}"/>
    <cellStyle name="style1741059599157" xfId="2800" xr:uid="{DCCD2088-AAFE-4E5E-93B6-2DE29D915526}"/>
    <cellStyle name="style1741059599189" xfId="2801" xr:uid="{8EF6FCB6-F1E0-4940-ACEF-CD2FCC71C4D0}"/>
    <cellStyle name="style1741059599226" xfId="2802" xr:uid="{1782E107-4A9D-4F34-9B48-76327D402EEA}"/>
    <cellStyle name="style1741059599258" xfId="2803" xr:uid="{463BF438-B920-4E5A-8819-E2F120244081}"/>
    <cellStyle name="style1741059599289" xfId="2804" xr:uid="{25191115-BA89-49B4-AA26-E5D2F2C6214A}"/>
    <cellStyle name="style1741059599327" xfId="2808" xr:uid="{38F2EBD8-CFC2-43FF-8501-BE471C5EDB7A}"/>
    <cellStyle name="style1741059599358" xfId="2809" xr:uid="{B663160E-A10D-413F-A1AA-3318BB1BBBA2}"/>
    <cellStyle name="style1741059599389" xfId="2813" xr:uid="{49D8E112-659C-4E11-ABEF-C5059A47C253}"/>
    <cellStyle name="style1741059599427" xfId="2814" xr:uid="{01E7C5CD-C976-410A-819E-D85BC3ED7AFA}"/>
    <cellStyle name="style1741059599458" xfId="2805" xr:uid="{0380D9A1-AFBF-484F-98C2-7F8B94C79F1E}"/>
    <cellStyle name="style1741059599505" xfId="2806" xr:uid="{F1267F75-1E1D-46F5-B13F-AE64F78481FB}"/>
    <cellStyle name="style1741059599527" xfId="2807" xr:uid="{CA08D9C2-71FB-4EA5-A6B5-FB14BDB74114}"/>
    <cellStyle name="style1741059599575" xfId="2810" xr:uid="{7EF7124A-CC92-4972-9DC2-D6E26EB48AA5}"/>
    <cellStyle name="style1741059599607" xfId="2811" xr:uid="{3615870E-2812-41CA-9451-148A3B7D0C41}"/>
    <cellStyle name="style1741059599637" xfId="2812" xr:uid="{6F21660D-AAB4-4862-9447-4B823CF8E9FD}"/>
    <cellStyle name="style1741059599699" xfId="2815" xr:uid="{6BC8159D-03E5-4AC2-8A05-17D311A48065}"/>
    <cellStyle name="style1741059599743" xfId="2816" xr:uid="{6D0AD3B3-18FA-4CCB-9DFD-0818C0F2E078}"/>
    <cellStyle name="style1741059599774" xfId="2817" xr:uid="{7C6B7D62-CBD4-45B3-B22E-2622604FF43C}"/>
    <cellStyle name="style1741059656260" xfId="2734" xr:uid="{75C2B52F-67DE-4624-BE40-8CE81D7545E8}"/>
    <cellStyle name="style1741059656291" xfId="2735" xr:uid="{2E664B48-D40D-4776-853E-4F7B571D2207}"/>
    <cellStyle name="style1741059656323" xfId="2733" xr:uid="{574E3805-123D-47FD-AF1C-F8AB39938D6A}"/>
    <cellStyle name="style1741059656354" xfId="2736" xr:uid="{8A66A375-77CD-4C61-B5A2-B92F1440FF09}"/>
    <cellStyle name="style1741059656376" xfId="2737" xr:uid="{0A7B90D7-63FF-43C1-8B8B-849FE06E737A}"/>
    <cellStyle name="style1741059656392" xfId="2738" xr:uid="{08702E7C-B578-421B-A3F2-014E3E420986}"/>
    <cellStyle name="style1741059656407" xfId="2742" xr:uid="{F58D69E2-99A1-445A-81E0-CBF22AF8DB47}"/>
    <cellStyle name="style1741059656438" xfId="2743" xr:uid="{6E867FFC-BE9E-414B-AB2B-F8F09E9EF857}"/>
    <cellStyle name="style1741059656461" xfId="2744" xr:uid="{1E3DEF82-57AB-4A19-86F2-01250217C828}"/>
    <cellStyle name="style1741059656492" xfId="2748" xr:uid="{23C53B36-A534-486B-9FD7-454F15CB6EF1}"/>
    <cellStyle name="style1741059656523" xfId="2749" xr:uid="{CF39264B-4BFF-406D-8303-85785293CBCB}"/>
    <cellStyle name="style1741059656561" xfId="2750" xr:uid="{11833C91-7CE9-4DB1-96C1-2F082F8609D6}"/>
    <cellStyle name="style1741059656592" xfId="2739" xr:uid="{21F66AA8-9BAC-4313-82A1-8E087B3B2330}"/>
    <cellStyle name="style1741059656623" xfId="2740" xr:uid="{22A80319-9DDA-46A9-A48F-90F12E1FB912}"/>
    <cellStyle name="style1741059656655" xfId="2741" xr:uid="{71F4BFAA-BFF1-4F12-8017-E903D9E6ABDD}"/>
    <cellStyle name="style1741059656677" xfId="2745" xr:uid="{561933AA-9B87-4618-B563-43730A5FE5A1}"/>
    <cellStyle name="style1741059656708" xfId="2746" xr:uid="{4A1B9115-55FC-4966-8913-E50B2B044966}"/>
    <cellStyle name="style1741059656739" xfId="2747" xr:uid="{87CA2D83-1B20-4433-A2E1-CD7499676A48}"/>
    <cellStyle name="style1741059656777" xfId="2751" xr:uid="{BA83A455-1CED-4F56-BA37-D20399353A93}"/>
    <cellStyle name="style1741059656824" xfId="2752" xr:uid="{A4F5D4A1-2736-4EA7-988A-3B0AC5ECB738}"/>
    <cellStyle name="style1741059656862" xfId="2753" xr:uid="{8521F829-FEE4-42E8-A84F-E8042C71C62F}"/>
    <cellStyle name="style1741059656908" xfId="2754" xr:uid="{D5C30207-98C9-45A6-AF8A-AC40A99652F3}"/>
    <cellStyle name="style1741059656955" xfId="2760" xr:uid="{E0DC1C02-2957-4C5B-8199-CEB999E24AF8}"/>
    <cellStyle name="style1741059656993" xfId="2766" xr:uid="{327B36E4-57E2-42E9-B1A6-A5917A6932D4}"/>
    <cellStyle name="style1741059657024" xfId="2755" xr:uid="{063CAC10-32F4-48E1-9517-4303BD5822BA}"/>
    <cellStyle name="style1741059657062" xfId="2761" xr:uid="{BB4A92D5-554E-441F-900D-43C3A5E755B8}"/>
    <cellStyle name="style1741059657109" xfId="2767" xr:uid="{D8045A0B-1BA2-4BAB-93E6-F5BA0B261FBD}"/>
    <cellStyle name="style1741059657140" xfId="2756" xr:uid="{74F7B84A-41B8-4826-ACF8-6F2F070F8E56}"/>
    <cellStyle name="style1741059657178" xfId="2762" xr:uid="{A3224EB3-E191-441B-B43E-088D7ECFF515}"/>
    <cellStyle name="style1741059657225" xfId="2768" xr:uid="{6C129D8D-C5D9-43EB-8B60-4C07AEAFFAF3}"/>
    <cellStyle name="style1741059657263" xfId="2757" xr:uid="{E33D6C50-F83B-416E-B4D8-654D2A1F007F}"/>
    <cellStyle name="style1741059657310" xfId="2758" xr:uid="{F24962E7-F45A-4395-91C4-AD400223412B}"/>
    <cellStyle name="style1741059657356" xfId="2759" xr:uid="{AF98EE94-3E08-44C8-8A2E-46B92FE26593}"/>
    <cellStyle name="style1741059657394" xfId="2763" xr:uid="{2B2B80EF-18D9-45F6-B071-7EF6F404C07D}"/>
    <cellStyle name="style1741059657457" xfId="2764" xr:uid="{9DF9502E-FA1D-42DC-821A-7AB9B7833BC1}"/>
    <cellStyle name="style1741059657494" xfId="2765" xr:uid="{3FB11C8E-4B74-4566-BBAB-B9A0761F6370}"/>
    <cellStyle name="style1741059657541" xfId="2769" xr:uid="{DD467BA3-AE16-49A6-956B-6C2AC1AF2851}"/>
    <cellStyle name="style1741059657579" xfId="2770" xr:uid="{5185B118-6911-4CD2-854D-D15073DF282C}"/>
    <cellStyle name="style1741059657626" xfId="2771" xr:uid="{2FEF6953-D72A-44F0-B554-8E3B2ABE83ED}"/>
    <cellStyle name="style1741059657664" xfId="2772" xr:uid="{5D33A944-816D-4D1D-8FD0-B278090ACA9F}"/>
    <cellStyle name="style1741059657711" xfId="2773" xr:uid="{4259FE91-33A3-42E2-9D5E-FE22579CF29D}"/>
    <cellStyle name="style1741059657726" xfId="2774" xr:uid="{39B3F0C9-628F-4151-A0AF-C3A137C27A89}"/>
    <cellStyle name="style1741059657764" xfId="2775" xr:uid="{AF1CEB89-2C33-42D3-95F0-68D0D698F6D4}"/>
    <cellStyle name="style1741059657795" xfId="2776" xr:uid="{739046EC-9C64-4192-97A8-77CA860396A1}"/>
    <cellStyle name="style1741059657811" xfId="2777" xr:uid="{D7F9759A-00AA-448F-97D0-E3D4230C8EB4}"/>
    <cellStyle name="style1741059657842" xfId="2778" xr:uid="{41276685-B0E7-4234-9C08-0A9EFF03BEE8}"/>
    <cellStyle name="style1741059657880" xfId="2779" xr:uid="{8AB861EF-1636-4DFD-B089-95D0F9E85F05}"/>
    <cellStyle name="style1741059657911" xfId="2780" xr:uid="{AD87312F-7EC9-472F-ADC1-B2BB2D9BC147}"/>
    <cellStyle name="style1741153468679" xfId="2819" xr:uid="{CA489CE1-49EE-4577-AEAE-541A42634979}"/>
    <cellStyle name="style1741153468701" xfId="2820" xr:uid="{8D0DACD6-286D-49AD-91FF-EF18066D7B0B}"/>
    <cellStyle name="style1741153468735" xfId="2818" xr:uid="{E343BDDA-F080-47D9-9DCD-EADBBF7BCD07}"/>
    <cellStyle name="style1741153468766" xfId="2821" xr:uid="{A0D62554-3027-402B-ACDD-74481744C237}"/>
    <cellStyle name="style1741153468782" xfId="2822" xr:uid="{8029B57F-004B-47B6-AFF4-0C866EB82D4D}"/>
    <cellStyle name="style1741153468801" xfId="2826" xr:uid="{501C0C3B-651E-4744-BDB8-7D29E017C4FE}"/>
    <cellStyle name="style1741153468832" xfId="2827" xr:uid="{FC13887A-FCFC-4256-8E65-FB6D4CB9042F}"/>
    <cellStyle name="style1741153468864" xfId="2831" xr:uid="{6F2B6229-A424-4111-895D-65499469CC2D}"/>
    <cellStyle name="style1741153468895" xfId="2832" xr:uid="{7C9CAADB-4C3E-4D8D-A6BA-8DE9B239B1BA}"/>
    <cellStyle name="style1741153468917" xfId="2823" xr:uid="{DD5EA5B9-AC50-46D7-9889-D770574BB771}"/>
    <cellStyle name="style1741153468948" xfId="2824" xr:uid="{9FFF18C9-F61F-4495-9099-297BE2202CB2}"/>
    <cellStyle name="style1741153468979" xfId="2825" xr:uid="{7EA2692A-E532-43C5-80EC-DAEA25290E74}"/>
    <cellStyle name="style1741153469001" xfId="2828" xr:uid="{1FCC2E7A-B81D-47C4-9555-2E123A3F1B0C}"/>
    <cellStyle name="style1741153469033" xfId="2829" xr:uid="{CEFE1805-CBB6-4291-AFAE-12BE0E269FF8}"/>
    <cellStyle name="style1741153469049" xfId="2830" xr:uid="{EEEE6170-66C6-4BA7-8198-36295EF09DEA}"/>
    <cellStyle name="style1741153469080" xfId="2833" xr:uid="{A12976E4-ACA1-41CA-93AA-8AF58AC1161D}"/>
    <cellStyle name="style1741153469120" xfId="2834" xr:uid="{4E6D539A-DAA4-4174-BB1A-50989A1E1BE5}"/>
    <cellStyle name="style1741153469151" xfId="2835" xr:uid="{ED5AE84D-4148-4D72-A22F-281941E0DBC3}"/>
    <cellStyle name="style1741153469167" xfId="2836" xr:uid="{C52BCF9B-8C40-495E-B8B3-D437F1D6D3D5}"/>
    <cellStyle name="style1741153469201" xfId="2837" xr:uid="{0FF14CEE-C454-4683-BEA2-9A155DFD8499}"/>
    <cellStyle name="style1741153469233" xfId="2842" xr:uid="{2111274B-9AC1-4DDC-BA3F-75A5483BA93C}"/>
    <cellStyle name="style1741153469264" xfId="2843" xr:uid="{1394C57E-1376-43DD-9A48-C6CA68F34A3E}"/>
    <cellStyle name="style1741153469296" xfId="2848" xr:uid="{1B56D48B-3BED-4A36-BE08-ABF4EA393EB8}"/>
    <cellStyle name="style1741153469317" xfId="2849" xr:uid="{BB23DECF-CBE0-4DD3-BE9D-0EEA5B16F43C}"/>
    <cellStyle name="style1741153469349" xfId="2838" xr:uid="{C3344F6F-7514-4176-ADD8-482061247720}"/>
    <cellStyle name="style1741153469380" xfId="2839" xr:uid="{5631B96B-32A5-41AF-AF1D-B33BFA255D48}"/>
    <cellStyle name="style1741153469402" xfId="2840" xr:uid="{9ED7BB8A-0300-4DF3-8DA0-76E02F4BDF5B}"/>
    <cellStyle name="style1741153469418" xfId="2841" xr:uid="{3F5292A7-BC88-4E40-92DA-F5B637047B51}"/>
    <cellStyle name="style1741153469449" xfId="2844" xr:uid="{5DD6BE4C-0459-4D98-81D9-6AF5F46D7CEC}"/>
    <cellStyle name="style1741153469480" xfId="2845" xr:uid="{F6A2FF76-1D62-4901-A6BE-60BC245F35A8}"/>
    <cellStyle name="style1741153469502" xfId="2846" xr:uid="{1B930D96-75A8-4781-8EB3-F06952B102DD}"/>
    <cellStyle name="style1741153469520" xfId="2847" xr:uid="{9E4FEA93-70B9-41FC-A7A7-E8C0E7EE3B66}"/>
    <cellStyle name="style1741153469582" xfId="2850" xr:uid="{48D5EF47-FB5F-42D7-80F3-C6100421ED65}"/>
    <cellStyle name="style1741153469616" xfId="2851" xr:uid="{ED413989-7881-458C-9073-24A854892EDB}"/>
    <cellStyle name="style1741153469632" xfId="2852" xr:uid="{B398D126-E496-43F1-9DE9-B985F31B34AD}"/>
    <cellStyle name="style1741153469663" xfId="2853" xr:uid="{19861E54-5FF4-44B8-9F1A-30519A253806}"/>
    <cellStyle name="style1741153469818" xfId="2854" xr:uid="{FD1D1AA7-BF47-4789-A615-AA9649E04864}"/>
    <cellStyle name="style1741153469849" xfId="2855" xr:uid="{2F147AEB-AC10-4BDC-9600-F5C4F551203F}"/>
    <cellStyle name="style1741153469865" xfId="2856" xr:uid="{3E871D3B-F028-4830-8825-82292AF3C161}"/>
    <cellStyle name="style1741153469902" xfId="2857" xr:uid="{562165AE-7C9E-4353-9C11-4E6B33DBEEBF}"/>
    <cellStyle name="style1741153469918" xfId="2859" xr:uid="{77DEFF05-45FC-4706-9E47-ECA1459B0B09}"/>
    <cellStyle name="style1741153469949" xfId="2861" xr:uid="{2B5FDBE5-5D8C-4ABD-B3AE-1AC8F3019BD4}"/>
    <cellStyle name="style1741153469980" xfId="2858" xr:uid="{65B15AA3-D41F-41C9-9826-CE0B7F544CF7}"/>
    <cellStyle name="style1741153470003" xfId="2860" xr:uid="{19CD6086-7941-49DA-A2D4-F5B2974CDC30}"/>
    <cellStyle name="style1741153470034" xfId="2862" xr:uid="{8A6398A2-D00D-43C0-9461-A3F21D3FACD6}"/>
    <cellStyle name="style1741153470235" xfId="2863" xr:uid="{E94C5465-8BFC-4FD8-8F96-1567B6989168}"/>
    <cellStyle name="style1741153470267" xfId="2864" xr:uid="{A3AA576A-15C9-4637-8530-5DA692768043}"/>
    <cellStyle name="style1741153470303" xfId="2865" xr:uid="{B5AFDC2A-DCF3-46EE-AD1F-0935946A3665}"/>
    <cellStyle name="style1741153470319" xfId="2866" xr:uid="{F897844E-E8BE-4981-8D84-F310E5157EF7}"/>
    <cellStyle name="style1741153470350" xfId="2867" xr:uid="{8A3B179F-A3B1-4A90-A310-5E5EF309D64D}"/>
    <cellStyle name="style1741153470381" xfId="2868" xr:uid="{B6594648-EBE8-4A8F-9269-69E1EE25089B}"/>
    <cellStyle name="style1741153470403" xfId="2869" xr:uid="{16EF727D-BE98-41F3-9FFB-01CCCABA88E0}"/>
    <cellStyle name="style1741153470435" xfId="2870" xr:uid="{B1095F8D-5AE9-49D0-84CF-51DAF4FC7DB9}"/>
    <cellStyle name="style1741153470466" xfId="2871" xr:uid="{4818C93C-7A5A-4160-B85B-22E3D9C25B3A}"/>
    <cellStyle name="style1741153470620" xfId="2872" xr:uid="{C8841234-F5E8-4790-BD91-68D11C5D44BB}"/>
    <cellStyle name="style1741153470651" xfId="2873" xr:uid="{D83C802B-29D1-4309-841D-9B99FC46934C}"/>
    <cellStyle name="style1741153470666" xfId="2874" xr:uid="{02DB939C-5742-4D53-A50D-7032A71F0DC1}"/>
    <cellStyle name="style1741153470698" xfId="2875" xr:uid="{7ACC69A4-A5BA-4D2E-86A0-645B581B18D3}"/>
    <cellStyle name="style1741153470820" xfId="2876" xr:uid="{945E1CC7-5E44-4F9A-9C1E-89571F1F19B9}"/>
    <cellStyle name="style1741153470835" xfId="2877" xr:uid="{9D949B30-78F5-4720-8BBC-404DECB60D00}"/>
    <cellStyle name="style1741153472887" xfId="2878" xr:uid="{1D49E2DD-807D-4466-A280-7A712D042148}"/>
    <cellStyle name="style1741153472907" xfId="2879" xr:uid="{FE61A469-2A8B-432F-8E2E-321C3CDF688E}"/>
    <cellStyle name="style1741153472926" xfId="2880" xr:uid="{776E61A9-8EE9-4953-80E0-0353ABA05D22}"/>
    <cellStyle name="style1741153472952" xfId="2881" xr:uid="{18D59A12-B4F9-471E-BD5F-8B47F3E60E6C}"/>
    <cellStyle name="style1741153472967" xfId="2882" xr:uid="{C1B9BC0B-796C-4FDF-B931-4542037C94CC}"/>
    <cellStyle name="style1741153472983" xfId="2883" xr:uid="{E9D88BCB-0D31-424B-8892-FB5DF2E38EFC}"/>
    <cellStyle name="style1741153473014" xfId="2884" xr:uid="{B1BF201F-431F-4B0E-A55F-405DB82FB83D}"/>
    <cellStyle name="style1741153473036" xfId="2885" xr:uid="{87F5AECF-B892-4457-A547-11F0043808AA}"/>
    <cellStyle name="style1741153473051" xfId="2886" xr:uid="{E061675D-1331-41B0-AB09-470432FAF9D4}"/>
    <cellStyle name="style1741153473067" xfId="2887" xr:uid="{ED628E76-B9CA-4845-A0C6-342B5471C779}"/>
    <cellStyle name="style1741153473098" xfId="2888" xr:uid="{FC9A07E3-FEB0-4883-BCD5-9301A78B93A2}"/>
    <cellStyle name="style1741153473114" xfId="2889" xr:uid="{9479BA62-C3C9-49E2-95DF-31932E32575B}"/>
    <cellStyle name="style1741153473283" xfId="2890" xr:uid="{614AFFEB-C8C9-4CF3-9BE9-496E1D6FBE25}"/>
    <cellStyle name="style1741153473315" xfId="2891" xr:uid="{47A6F476-DADA-4E78-9D8B-5A9F9393D6A1}"/>
    <cellStyle name="style1741153473336" xfId="2892" xr:uid="{969D8B63-0701-403F-97CA-4F1A0BF708CB}"/>
    <cellStyle name="style1741153486654" xfId="2942" xr:uid="{092F8AE2-10D7-4532-9427-68251D1E9143}"/>
    <cellStyle name="style1741153486685" xfId="2943" xr:uid="{78111F5C-FF1E-41DB-A8D6-9ED73718154E}"/>
    <cellStyle name="style1741153486724" xfId="2941" xr:uid="{C26679D4-8BD0-458E-8673-ACE87B1C0C01}"/>
    <cellStyle name="style1741153486756" xfId="2944" xr:uid="{7477B81C-F0FE-42EF-A93E-38A36D0EADD5}"/>
    <cellStyle name="style1741153486785" xfId="2945" xr:uid="{A8368B4F-64AB-44C5-A02A-D79678335252}"/>
    <cellStyle name="style1741153486817" xfId="2946" xr:uid="{A4BB77F9-9709-4E89-9395-E7B2DD87A973}"/>
    <cellStyle name="style1741153486848" xfId="2947" xr:uid="{5712CC95-C140-4009-979B-699D87D4575C}"/>
    <cellStyle name="style1741153486878" xfId="2948" xr:uid="{7B7743E8-0032-458B-B016-26476A3B8274}"/>
    <cellStyle name="style1741153486909" xfId="2949" xr:uid="{5D0DEA93-4492-4A9B-9AB3-2D9890EBB553}"/>
    <cellStyle name="style1741153486938" xfId="2950" xr:uid="{DBD94B1F-3773-4C84-AD32-7D4DB8CDB7E8}"/>
    <cellStyle name="style1741153486970" xfId="2951" xr:uid="{5895A2A8-9A09-44B3-BEFA-33E9721BD707}"/>
    <cellStyle name="style1741153486998" xfId="2952" xr:uid="{9EF5CE82-3337-4BCF-B5AF-D8A3B4F258BA}"/>
    <cellStyle name="style1741153487029" xfId="2953" xr:uid="{83F5D28B-9C1A-4D9D-B49B-E20F26BC6452}"/>
    <cellStyle name="style1741153487063" xfId="2954" xr:uid="{5B5D1DC8-1B47-4C99-AD9D-202609123868}"/>
    <cellStyle name="style1741153487093" xfId="2955" xr:uid="{0D4F586F-EA61-4DB0-AB4D-728E36C99628}"/>
    <cellStyle name="style1741153487114" xfId="2956" xr:uid="{9C82131F-795B-454B-A4D4-B296A862E044}"/>
    <cellStyle name="style1741153487175" xfId="2957" xr:uid="{FB9535EB-7B05-405F-8ECB-D7A04269523B}"/>
    <cellStyle name="style1741153487203" xfId="2958" xr:uid="{E4C26D1A-4266-4A34-AFF2-259F45B74593}"/>
    <cellStyle name="style1741153487224" xfId="2959" xr:uid="{5B7EA593-E5DA-4C95-ACF8-B2205972DB0D}"/>
    <cellStyle name="style1741153487254" xfId="2960" xr:uid="{E6C66486-4E10-4E60-A884-9A17CDDE3894}"/>
    <cellStyle name="style1741153487285" xfId="2961" xr:uid="{DF9F7520-1D0E-4474-8C12-27AEECF3AD8A}"/>
    <cellStyle name="style1741153487308" xfId="2962" xr:uid="{A8A7A2BC-AAC4-4FF1-9BE2-9C5121EEE8E2}"/>
    <cellStyle name="style1741153487339" xfId="2963" xr:uid="{D07345CA-E83E-461F-8AE1-24810807A996}"/>
    <cellStyle name="style1741153487379" xfId="2964" xr:uid="{F6D3D917-056A-4364-AC8E-99F59BCEE293}"/>
    <cellStyle name="style1741153487408" xfId="2968" xr:uid="{70173E8B-5903-45D4-A3B4-103C7755E29E}"/>
    <cellStyle name="style1741153487438" xfId="2969" xr:uid="{6CDD2076-465F-4685-A522-F79C1F9474B9}"/>
    <cellStyle name="style1741153487471" xfId="2973" xr:uid="{E6F3D07A-37B3-4623-A4AD-DBB2648BE47E}"/>
    <cellStyle name="style1741153487501" xfId="2974" xr:uid="{2025990D-463E-4BE9-B60B-DB858FAD2766}"/>
    <cellStyle name="style1741153487532" xfId="2965" xr:uid="{F9B923F8-A078-4549-A11B-EF9519F426BE}"/>
    <cellStyle name="style1741153487570" xfId="2966" xr:uid="{6C99D9B6-3AD6-48CE-8531-4D0180F75D3A}"/>
    <cellStyle name="style1741153487601" xfId="2967" xr:uid="{1C08385A-7E74-4EE6-AE0D-B0EECE89F41E}"/>
    <cellStyle name="style1741153487623" xfId="2970" xr:uid="{DF3EA7BD-2605-4855-ACE2-84188037EE08}"/>
    <cellStyle name="style1741153487662" xfId="2971" xr:uid="{08069C08-7771-4A7C-9A5D-C6429FD7EBD4}"/>
    <cellStyle name="style1741153487684" xfId="2972" xr:uid="{4FBD5F1F-17BA-42E6-B8B7-4C5CEB5D5DA6}"/>
    <cellStyle name="style1741153487735" xfId="2975" xr:uid="{B19F6246-93F1-4A2A-B03F-ACBF985D8E57}"/>
    <cellStyle name="style1741153487766" xfId="2976" xr:uid="{A28BBDD8-2F1A-489E-BDC9-92D92FCEA71F}"/>
    <cellStyle name="style1741153487797" xfId="2977" xr:uid="{47AA0B10-D59F-4580-B3D6-FB192DB0CDB0}"/>
    <cellStyle name="style1741153542741" xfId="2894" xr:uid="{2A0E29BF-861D-4D3D-A851-272DFBE2914A}"/>
    <cellStyle name="style1741153542773" xfId="2895" xr:uid="{B81A132A-1CC4-40D2-B460-67AD32579EF6}"/>
    <cellStyle name="style1741153542789" xfId="2893" xr:uid="{5E24F6E7-5D13-46CB-95CF-07BCFADB1754}"/>
    <cellStyle name="style1741153542830" xfId="2896" xr:uid="{72253944-B224-4E4C-831B-411AD0AB536F}"/>
    <cellStyle name="style1741153542846" xfId="2897" xr:uid="{F7443C13-EE31-4E29-9710-94185B52A0C9}"/>
    <cellStyle name="style1741153542857" xfId="2898" xr:uid="{53FD4055-E96E-4880-B29A-5222601A3CAD}"/>
    <cellStyle name="style1741153542891" xfId="2902" xr:uid="{9B685644-A20C-4F8C-86D4-62A2E999B971}"/>
    <cellStyle name="style1741153542916" xfId="2903" xr:uid="{08896B7F-3D3F-4EE4-A6A2-5A84AE07E1F2}"/>
    <cellStyle name="style1741153542932" xfId="2904" xr:uid="{901307C6-87BA-4A8B-B251-0B1E9646E767}"/>
    <cellStyle name="style1741153542958" xfId="2908" xr:uid="{06ECEDC2-B89B-44CC-9E2D-BC506FA07198}"/>
    <cellStyle name="style1741153542991" xfId="2909" xr:uid="{362A5F3F-4F3A-441C-96D5-6E43B72F484E}"/>
    <cellStyle name="style1741153543022" xfId="2910" xr:uid="{CB25BBD6-439F-40E6-AE74-4A9912B6EFA8}"/>
    <cellStyle name="style1741153543038" xfId="2899" xr:uid="{C7D59BD9-B785-4B65-8CD4-290844E78549}"/>
    <cellStyle name="style1741153543074" xfId="2900" xr:uid="{1E293368-5A37-4FB8-A9A0-32CE5F55D504}"/>
    <cellStyle name="style1741153543108" xfId="2901" xr:uid="{338B24BD-8CB9-4D39-A9A2-19007B78DF17}"/>
    <cellStyle name="style1741153543123" xfId="2905" xr:uid="{6A7C7F50-0117-4A92-913B-1EBAE92BB6AF}"/>
    <cellStyle name="style1741153543158" xfId="2906" xr:uid="{013E8F35-0763-4322-9824-4C8924DC4E3E}"/>
    <cellStyle name="style1741153543191" xfId="2907" xr:uid="{EC4B0CDC-66BF-4A52-8495-588112A616CE}"/>
    <cellStyle name="style1741153543217" xfId="2911" xr:uid="{D10D19E4-802E-4003-B401-975543CF3537}"/>
    <cellStyle name="style1741153543248" xfId="2912" xr:uid="{C01432BC-1F63-419B-9F13-DA4260DBF407}"/>
    <cellStyle name="style1741153543274" xfId="2913" xr:uid="{30ED8B40-322A-410A-81D3-99CFB351D0AF}"/>
    <cellStyle name="style1741153543306" xfId="2914" xr:uid="{2CDA1CC3-4BE3-45C2-951A-84FB2289FE6B}"/>
    <cellStyle name="style1741153543337" xfId="2920" xr:uid="{9F9E9E40-47FD-4865-BDE9-D25E7ECABD94}"/>
    <cellStyle name="style1741153543374" xfId="2926" xr:uid="{EAC37F15-23F6-4C36-B9F9-426853A24A20}"/>
    <cellStyle name="style1741153543406" xfId="2915" xr:uid="{E8AD06EF-3C39-4783-B263-BCE5C202E57D}"/>
    <cellStyle name="style1741153543421" xfId="2921" xr:uid="{6DF25B7F-9E6C-48B5-A8FF-51C69A24D917}"/>
    <cellStyle name="style1741153543459" xfId="2927" xr:uid="{B7100D8D-7CDD-43BF-B171-D08293EFE6E7}"/>
    <cellStyle name="style1741153543491" xfId="2916" xr:uid="{DEA9A99F-48BD-46DA-93FB-FAA2B93B57B8}"/>
    <cellStyle name="style1741153543522" xfId="2922" xr:uid="{44D0C8A4-E6B3-49A8-A36B-97E3EFCF63B6}"/>
    <cellStyle name="style1741153543554" xfId="2928" xr:uid="{DE13B772-8892-43FE-988E-9A8858FEA0D1}"/>
    <cellStyle name="style1741153543576" xfId="2917" xr:uid="{D0F33C82-7FA3-4CF9-8E8F-76374A83D741}"/>
    <cellStyle name="style1741153543607" xfId="2918" xr:uid="{12258D8C-CB25-4C49-9517-E8E344016CCE}"/>
    <cellStyle name="style1741153543638" xfId="2919" xr:uid="{91B75FBB-FCD1-449B-A560-BED71359045A}"/>
    <cellStyle name="style1741153543659" xfId="2923" xr:uid="{78EC6778-39B9-4959-AC6D-70C1871BD65E}"/>
    <cellStyle name="style1741153543691" xfId="2924" xr:uid="{4B7984B4-8E9F-45A2-A171-BDA61FD454C6}"/>
    <cellStyle name="style1741153543722" xfId="2925" xr:uid="{22213C89-6D75-46C5-BC6F-5D36AD17ADE2}"/>
    <cellStyle name="style1741153543760" xfId="2929" xr:uid="{305D723B-5EF2-4062-A6C7-18E7036428A5}"/>
    <cellStyle name="style1741153543775" xfId="2930" xr:uid="{A5766A17-1AB4-4E0F-9467-3111348A4BEE}"/>
    <cellStyle name="style1741153543807" xfId="2931" xr:uid="{24D909D2-8507-4BF1-A2CD-E7DC3E6C2B67}"/>
    <cellStyle name="style1741153543838" xfId="2932" xr:uid="{41B381BC-B998-48D0-9A20-D6A315E1C356}"/>
    <cellStyle name="style1741153543875" xfId="2933" xr:uid="{79213583-1ED4-4300-9E01-DD9B2ECFC2E5}"/>
    <cellStyle name="style1741153543891" xfId="2934" xr:uid="{F5B4415B-29BE-4029-A8C3-167ECDF4570B}"/>
    <cellStyle name="style1741153543907" xfId="2935" xr:uid="{43356689-26F7-4477-A4CF-4FD70B113A42}"/>
    <cellStyle name="style1741153543922" xfId="2936" xr:uid="{5570A74D-D94A-468D-A8E4-7F694538E212}"/>
    <cellStyle name="style1741153543954" xfId="2937" xr:uid="{52C48823-C6DF-4440-91D5-E94498500E5D}"/>
    <cellStyle name="style1741153543976" xfId="2938" xr:uid="{A745E620-0D43-48DB-A8EF-8FC81C9D3AFA}"/>
    <cellStyle name="style1741153543991" xfId="2939" xr:uid="{F1443157-EC43-4D72-BC12-D39B6C05F4D3}"/>
    <cellStyle name="style1741153544023" xfId="2940" xr:uid="{02A6F1F3-AB1D-47D3-A13B-08CB0D4DC607}"/>
    <cellStyle name="style1741230117005" xfId="3016" xr:uid="{A416C37D-8143-4418-8E97-00213E9395C9}"/>
    <cellStyle name="style1741230117045" xfId="3017" xr:uid="{9071668A-5701-4D2B-A2C3-699D91B6A95C}"/>
    <cellStyle name="style1741230117075" xfId="3015" xr:uid="{39675E0B-ADCD-4DFE-B45B-3E07DF030058}"/>
    <cellStyle name="style1741230117101" xfId="3018" xr:uid="{2323465B-5B97-4625-B054-ECF6B1940A9D}"/>
    <cellStyle name="style1741230117116" xfId="3019" xr:uid="{E0D15A6B-1A53-4DA1-970C-CA00567E1E53}"/>
    <cellStyle name="style1741230117136" xfId="3023" xr:uid="{28A448DE-DE66-45FC-890D-2D0233A90820}"/>
    <cellStyle name="style1741230117171" xfId="3024" xr:uid="{10737603-FB47-45A7-8B7B-4F18BDBD1B9F}"/>
    <cellStyle name="style1741230117199" xfId="3028" xr:uid="{68E17E73-AFE6-4E0E-9565-67DB6DA1B747}"/>
    <cellStyle name="style1741230117231" xfId="3029" xr:uid="{C961F8DB-FE58-46BC-BA6F-9FA68A7C5A38}"/>
    <cellStyle name="style1741230117262" xfId="3020" xr:uid="{1F8234AB-92C1-4B74-8E25-98CCF42C5FC6}"/>
    <cellStyle name="style1741230117288" xfId="3021" xr:uid="{D3273378-1C31-437A-B88D-7E1D8B04109A}"/>
    <cellStyle name="style1741230117317" xfId="3022" xr:uid="{CF5C5A3B-E8A2-48E9-8F04-AF5DEDBFFDD5}"/>
    <cellStyle name="style1741230117345" xfId="3025" xr:uid="{2A4DA361-CFE4-41EC-8AAD-61C632FA58FE}"/>
    <cellStyle name="style1741230117381" xfId="3026" xr:uid="{7792CAC5-9187-433B-89C9-F5843B014DED}"/>
    <cellStyle name="style1741230117411" xfId="3027" xr:uid="{7055DF5F-3BB6-490F-8AA5-5DC53202E430}"/>
    <cellStyle name="style1741230117440" xfId="3030" xr:uid="{12BC5D18-B8DE-4722-86F7-586264B24B4F}"/>
    <cellStyle name="style1741230117468" xfId="3031" xr:uid="{A26A33C7-C413-4F1A-8978-1AFF47A20A27}"/>
    <cellStyle name="style1741230117492" xfId="3032" xr:uid="{8C80B7D9-C393-41D1-BA99-6CFCCA6451DC}"/>
    <cellStyle name="style1741230117518" xfId="3033" xr:uid="{5EAD9BA6-D122-496C-BB51-658865697A07}"/>
    <cellStyle name="style1741230117546" xfId="3034" xr:uid="{9D4D8F3A-72B1-42BF-8A35-A3F5BFE46154}"/>
    <cellStyle name="style1741230117585" xfId="3039" xr:uid="{57ABFD9E-BBE4-4807-B4B5-D5C3AC875888}"/>
    <cellStyle name="style1741230117609" xfId="3040" xr:uid="{AFE21421-9B31-4329-A11B-6556C36E9D5F}"/>
    <cellStyle name="style1741230117637" xfId="3045" xr:uid="{A9441022-6E1A-4337-9C9A-C8AC156EB09F}"/>
    <cellStyle name="style1741230117668" xfId="3046" xr:uid="{31DAC229-398A-4ACB-AA5C-25B2EFB6EFA5}"/>
    <cellStyle name="style1741230117696" xfId="3035" xr:uid="{6F691006-2BB1-4509-8D76-4F4597815891}"/>
    <cellStyle name="style1741230117716" xfId="3036" xr:uid="{D93B94ED-D3CB-4BD3-832F-BF8229D2764D}"/>
    <cellStyle name="style1741230117759" xfId="3037" xr:uid="{B1E009EE-FD24-4C12-A397-3ADD8A33A8EB}"/>
    <cellStyle name="style1741230117780" xfId="3038" xr:uid="{51F589A8-6392-40AA-BAE2-BFE970B68514}"/>
    <cellStyle name="style1741230117805" xfId="3041" xr:uid="{62713E16-BCCE-4455-86F3-524DEE2DDC13}"/>
    <cellStyle name="style1741230117837" xfId="3042" xr:uid="{7C14D822-76B1-45FA-B243-D7803F921DC9}"/>
    <cellStyle name="style1741230117855" xfId="3043" xr:uid="{0E8D3ECC-C034-42B8-A5EC-41CB7BC961BC}"/>
    <cellStyle name="style1741230117889" xfId="3044" xr:uid="{54AF77A6-0AA8-481B-9192-9AC17B7D541C}"/>
    <cellStyle name="style1741230117947" xfId="3047" xr:uid="{313EA1DD-77BB-41B4-AB04-2C048AAC698F}"/>
    <cellStyle name="style1741230117981" xfId="3048" xr:uid="{1F43282C-0BEC-4981-8189-F083C0800C33}"/>
    <cellStyle name="style1741230118011" xfId="3049" xr:uid="{C6B313C9-1A22-4011-A1C3-F5B3F33C6405}"/>
    <cellStyle name="style1741230118022" xfId="3050" xr:uid="{9A8D575F-2178-4C44-A1D3-13D451028791}"/>
    <cellStyle name="style1741230118217" xfId="3051" xr:uid="{1ED41737-33E2-48F0-B78F-FE483A0C718C}"/>
    <cellStyle name="style1741230118247" xfId="3052" xr:uid="{1B0CABF1-71F7-4765-8ED3-48B48EFFE981}"/>
    <cellStyle name="style1741230118255" xfId="3053" xr:uid="{161A8B52-1693-42BC-B90C-985E21B02ADD}"/>
    <cellStyle name="style1741230118293" xfId="3054" xr:uid="{326CAD57-CA52-4A6F-89A0-E95189E79126}"/>
    <cellStyle name="style1741230118317" xfId="3056" xr:uid="{945AD680-07F7-4D65-8DED-BFFA427F3761}"/>
    <cellStyle name="style1741230118353" xfId="3058" xr:uid="{E28567C7-2212-4980-83B3-0EAEECD4C550}"/>
    <cellStyle name="style1741230118384" xfId="3055" xr:uid="{8518D7F2-518D-496C-A2A5-96F574327291}"/>
    <cellStyle name="style1741230118395" xfId="3057" xr:uid="{6F8BBBE9-0D8D-4266-862B-CE9210E77B3D}"/>
    <cellStyle name="style1741230118441" xfId="3059" xr:uid="{9293FBD0-D222-4B77-BA2C-05639B7E760E}"/>
    <cellStyle name="style1741230118671" xfId="3060" xr:uid="{193A846E-47FD-4313-B392-95AEF63FE89A}"/>
    <cellStyle name="style1741230118694" xfId="3061" xr:uid="{8F24818F-1607-4390-A288-A68660A4DF20}"/>
    <cellStyle name="style1741230118741" xfId="3062" xr:uid="{FE9D8628-B00E-4274-AB7E-FB39B38AED62}"/>
    <cellStyle name="style1741230118762" xfId="3063" xr:uid="{F16A17DF-C5FE-45C9-8485-0820CABE5291}"/>
    <cellStyle name="style1741230118800" xfId="3064" xr:uid="{13DBCABA-DC3E-4834-83F8-5F326BB02B04}"/>
    <cellStyle name="style1741230118824" xfId="3065" xr:uid="{3EFCBEA6-2A6E-471F-BE62-0F68AACE3873}"/>
    <cellStyle name="style1741230118854" xfId="3066" xr:uid="{7DE30447-EA4A-42EB-AD2D-7783CC83ECF7}"/>
    <cellStyle name="style1741230118884" xfId="3067" xr:uid="{BCB5BBD1-6DEA-427E-AD11-82FEC0D7B1BB}"/>
    <cellStyle name="style1741230118919" xfId="3068" xr:uid="{1E372266-EDF7-48CB-B398-1729FDD63DC4}"/>
    <cellStyle name="style1741230119074" xfId="3069" xr:uid="{1B70763F-7433-4650-A532-F505B478BD4B}"/>
    <cellStyle name="style1741230119108" xfId="3070" xr:uid="{7681803C-E28E-4421-B2D2-0F1AA8FDC862}"/>
    <cellStyle name="style1741230119135" xfId="3071" xr:uid="{404D9434-9C3C-4740-B309-E780928E6627}"/>
    <cellStyle name="style1741230119156" xfId="3072" xr:uid="{51B28C25-60E4-4893-A509-221F915FF012}"/>
    <cellStyle name="style1741230119291" xfId="3073" xr:uid="{D5AF4B06-721A-4DBC-8112-9E2D0A525E49}"/>
    <cellStyle name="style1741230119311" xfId="3074" xr:uid="{647F2593-8107-48B8-8E9A-137DC2F615E6}"/>
    <cellStyle name="style1741230121562" xfId="3075" xr:uid="{EC4284DD-DE96-4141-9F98-D2F34E91448C}"/>
    <cellStyle name="style1741230121582" xfId="3076" xr:uid="{07A84665-46E7-453F-8A60-36198D771AB4}"/>
    <cellStyle name="style1741230121602" xfId="3077" xr:uid="{C7533231-9153-4E0B-B2BA-9967F3C12C77}"/>
    <cellStyle name="style1741230121624" xfId="3078" xr:uid="{F2ED5680-3815-4167-A074-D4749FBA488D}"/>
    <cellStyle name="style1741230121644" xfId="3079" xr:uid="{B2B0280F-6AE5-4E09-BED0-35050FC463D7}"/>
    <cellStyle name="style1741230121664" xfId="3080" xr:uid="{E1A3AFCC-C00A-43E9-A3E3-CAB37F6E1232}"/>
    <cellStyle name="style1741230121695" xfId="3081" xr:uid="{0E1422B2-8520-4A75-83B8-D125C2422867}"/>
    <cellStyle name="style1741230121716" xfId="3082" xr:uid="{1068F5EA-8715-4935-AF97-831F65666BC8}"/>
    <cellStyle name="style1741230121743" xfId="3083" xr:uid="{7A364CF6-C12F-4DF6-A043-96B5A6471CFD}"/>
    <cellStyle name="style1741230121776" xfId="3084" xr:uid="{EB3E7F81-2EF9-4128-B862-FF94C91DC55F}"/>
    <cellStyle name="style1741230121805" xfId="3085" xr:uid="{C5E3F585-9F0A-4806-A13C-2E2CACA91F63}"/>
    <cellStyle name="style1741230121830" xfId="3086" xr:uid="{22DB7479-D1A0-4C6F-A8E8-7DB0118F5B2C}"/>
    <cellStyle name="style1741230122034" xfId="3087" xr:uid="{57B81174-2651-4158-A584-FA51CF59D5AB}"/>
    <cellStyle name="style1741230122066" xfId="3088" xr:uid="{A3C73DBB-6A7F-443F-913D-1A13E7ED23FA}"/>
    <cellStyle name="style1741230122101" xfId="3089" xr:uid="{8A65BE0E-0AB1-44B4-A7E7-1FF01AE76443}"/>
    <cellStyle name="style1741230135217" xfId="2979" xr:uid="{177D6CCA-B6FB-460A-95F6-95E40DCD7957}"/>
    <cellStyle name="style1741230135233" xfId="2980" xr:uid="{3AE6DF67-B44D-47E6-8BDF-E48EB10061B8}"/>
    <cellStyle name="style1741230135275" xfId="2978" xr:uid="{DA26FCF5-292B-4D9F-BCE2-355E1FC0CAAE}"/>
    <cellStyle name="style1741230135291" xfId="2981" xr:uid="{E460FCB1-5178-4885-A3B3-CAD3B99376CD}"/>
    <cellStyle name="style1741230135336" xfId="2982" xr:uid="{BECA146E-63EE-43F3-8FF0-933C462A3F56}"/>
    <cellStyle name="style1741230135367" xfId="2983" xr:uid="{93990D98-7865-4904-8144-1BF689108F32}"/>
    <cellStyle name="style1741230135387" xfId="2984" xr:uid="{31AE69A4-3053-400A-9346-36AF60ACC02B}"/>
    <cellStyle name="style1741230135426" xfId="2985" xr:uid="{97602962-5D47-4F71-B398-C0D1FAD41669}"/>
    <cellStyle name="style1741230135452" xfId="2986" xr:uid="{ADF4B352-9BBD-46D3-90B1-59A5A7CAC838}"/>
    <cellStyle name="style1741230135482" xfId="2987" xr:uid="{5C2231E7-AE4F-4569-8C7F-70CEBA710D06}"/>
    <cellStyle name="style1741230135502" xfId="2988" xr:uid="{518FDC18-E290-439D-B831-C58B29FB9C6E}"/>
    <cellStyle name="style1741230135538" xfId="2989" xr:uid="{B2FB35D6-1EDD-4357-BD25-C6AC9A292BF1}"/>
    <cellStyle name="style1741230135560" xfId="2990" xr:uid="{33321945-CAC2-4496-8455-4C23D0F35C16}"/>
    <cellStyle name="style1741230135592" xfId="2991" xr:uid="{89CABDCC-569E-4277-B085-DDB035A77C38}"/>
    <cellStyle name="style1741230135618" xfId="2992" xr:uid="{B7234FBF-D3D2-4D2C-B069-21CA483E42DC}"/>
    <cellStyle name="style1741230135634" xfId="2993" xr:uid="{48B5DCF8-B783-46AC-A791-F70B53B9E213}"/>
    <cellStyle name="style1741230135691" xfId="2994" xr:uid="{959EAF59-7679-4A5A-A556-C32E848E191F}"/>
    <cellStyle name="style1741230135707" xfId="2995" xr:uid="{027817C0-681C-4A2D-9B20-26AB8DF260F1}"/>
    <cellStyle name="style1741230135738" xfId="2996" xr:uid="{7E98F413-EAA6-4AF3-85D6-FEB4D37297FB}"/>
    <cellStyle name="style1741230135767" xfId="2997" xr:uid="{1108F6FF-6567-4E6E-83B3-812A3401FCA2}"/>
    <cellStyle name="style1741230135797" xfId="2998" xr:uid="{8B96E3C3-6312-430B-AB0B-C818188963DF}"/>
    <cellStyle name="style1741230135827" xfId="2999" xr:uid="{EB4F3872-2841-4513-A9F2-566D5F13E52F}"/>
    <cellStyle name="style1741230135860" xfId="3000" xr:uid="{AA441EF1-D261-4F88-AC1D-E0C003709749}"/>
    <cellStyle name="style1741230135896" xfId="3001" xr:uid="{4E96C5B7-A002-4FE1-B1CB-E5FB2B49CFA1}"/>
    <cellStyle name="style1741230135927" xfId="3005" xr:uid="{8A5A36CA-8D90-4123-A578-F8E885225419}"/>
    <cellStyle name="style1741230135946" xfId="3006" xr:uid="{C93E3CCB-887B-4F8D-9854-D68B870CE15D}"/>
    <cellStyle name="style1741230135993" xfId="3010" xr:uid="{87D1D624-73D9-4248-B990-996E38CBF220}"/>
    <cellStyle name="style1741230136020" xfId="3011" xr:uid="{ADBE3158-3DB2-496A-AC00-B1679931EDD5}"/>
    <cellStyle name="style1741230136048" xfId="3002" xr:uid="{57C86333-0F66-477D-BE07-259CE44E78D6}"/>
    <cellStyle name="style1741230136080" xfId="3003" xr:uid="{93DEF4DD-D583-459A-970E-1CC5530D1FBB}"/>
    <cellStyle name="style1741230136113" xfId="3004" xr:uid="{4B7F8EC9-B8C8-4B96-A082-DE118D580B5B}"/>
    <cellStyle name="style1741230136144" xfId="3007" xr:uid="{6006D2A4-985A-4973-90C0-7860198F0C90}"/>
    <cellStyle name="style1741230136175" xfId="3008" xr:uid="{089EF2E3-9507-4877-8630-36CA5245CA83}"/>
    <cellStyle name="style1741230136211" xfId="3009" xr:uid="{C2C5737E-A8B9-486A-ADBE-696608E1EAE1}"/>
    <cellStyle name="style1741230136281" xfId="3012" xr:uid="{DEAF6115-DEB5-4643-A5C7-73658329D5C7}"/>
    <cellStyle name="style1741230136309" xfId="3013" xr:uid="{30D986F1-EFF4-4DCE-9D07-DAA1B37628E7}"/>
    <cellStyle name="style1741230136338" xfId="3014" xr:uid="{AA6F4C62-206D-42A8-80B0-256D194F48C0}"/>
    <cellStyle name="style1741230189510" xfId="3091" xr:uid="{B01D0F40-1CD8-441D-988C-282170B970AD}"/>
    <cellStyle name="style1741230189546" xfId="3092" xr:uid="{F7664A86-95E8-439F-991A-66DDDF35E3D2}"/>
    <cellStyle name="style1741230189578" xfId="3090" xr:uid="{601B1A11-9FA7-406C-997F-C70EECC019CD}"/>
    <cellStyle name="style1741230189599" xfId="3093" xr:uid="{50376FEC-C701-43CF-BDA9-F2629CF566A1}"/>
    <cellStyle name="style1741230189615" xfId="3094" xr:uid="{F2210C0B-01F1-4024-9785-646A3D8F9947}"/>
    <cellStyle name="style1741230189651" xfId="3095" xr:uid="{84D0A0A1-1B3E-4406-85E7-C78B21BC320E}"/>
    <cellStyle name="style1741230189660" xfId="3099" xr:uid="{A657CA71-7318-4719-989A-EA411288754D}"/>
    <cellStyle name="style1741230189701" xfId="3100" xr:uid="{1D10B832-210D-470B-98A6-AA44A6F47C3F}"/>
    <cellStyle name="style1741230189713" xfId="3101" xr:uid="{F2988914-C44E-4801-A0C0-8F1A377867B9}"/>
    <cellStyle name="style1741230189745" xfId="3105" xr:uid="{B67CF543-8C77-4720-B21F-98A7C3C50208}"/>
    <cellStyle name="style1741230189778" xfId="3106" xr:uid="{E7EBF936-E340-4B28-BD2B-772A41AF03C6}"/>
    <cellStyle name="style1741230189794" xfId="3107" xr:uid="{91CDE1FA-5EB6-4655-8F4D-1BC472841A78}"/>
    <cellStyle name="style1741230189835" xfId="3096" xr:uid="{6441A8B3-CF59-4AA2-B5CB-74BB913BFB5B}"/>
    <cellStyle name="style1741230189862" xfId="3097" xr:uid="{02E192BA-4B6E-44DE-9E99-FE7E5E7BF694}"/>
    <cellStyle name="style1741230189884" xfId="3098" xr:uid="{E5420A42-8B8D-4504-8EA1-14E4B6BE1522}"/>
    <cellStyle name="style1741230189922" xfId="3102" xr:uid="{4E52FB0D-EDAE-447A-B61F-44C5BA7BE9AF}"/>
    <cellStyle name="style1741230189945" xfId="3103" xr:uid="{C4DBD154-B2D2-4EAD-BE9C-23DBF3C999BD}"/>
    <cellStyle name="style1741230189976" xfId="3104" xr:uid="{9ABC1960-EA80-436F-BA0E-7AEAEC252DEA}"/>
    <cellStyle name="style1741230190011" xfId="3108" xr:uid="{E57CDEA8-8B49-478E-AFD1-B450B164C36F}"/>
    <cellStyle name="style1741230190030" xfId="3109" xr:uid="{A82A9E55-366A-42F7-94AD-D4D0F85890E5}"/>
    <cellStyle name="style1741230190061" xfId="3110" xr:uid="{E1E891C9-BB76-436F-B958-8AA5A90BFD78}"/>
    <cellStyle name="style1741230190084" xfId="3111" xr:uid="{A0996953-B8F8-46B4-90B8-3B8F6B1489FD}"/>
    <cellStyle name="style1741230190123" xfId="3117" xr:uid="{0645CDBD-E1AB-4E97-890F-817C53EDE213}"/>
    <cellStyle name="style1741230190152" xfId="3123" xr:uid="{6C78679E-01DE-4589-981B-C0421EF6047A}"/>
    <cellStyle name="style1741230190186" xfId="3112" xr:uid="{15B68660-6D85-4CE5-BC08-8417250C484D}"/>
    <cellStyle name="style1741230190210" xfId="3118" xr:uid="{6755E7E0-C065-42CF-A47D-99279AB6644F}"/>
    <cellStyle name="style1741230190243" xfId="3124" xr:uid="{4A394F51-AAE2-4C62-B073-ADA7FEE19FDA}"/>
    <cellStyle name="style1741230190262" xfId="3113" xr:uid="{0A5D7CF4-C3FC-4829-A9F3-CEA29FCEF817}"/>
    <cellStyle name="style1741230190285" xfId="3119" xr:uid="{5BFAAF18-B691-4809-B84A-F80AD6C54F1D}"/>
    <cellStyle name="style1741230190326" xfId="3125" xr:uid="{121FE71F-3917-41D0-B11C-99730773FF60}"/>
    <cellStyle name="style1741230190343" xfId="3114" xr:uid="{80366A58-D278-4A58-AC2E-E3586372D803}"/>
    <cellStyle name="style1741230190385" xfId="3115" xr:uid="{711688D3-94A6-4B5E-9890-EE30CA9D051B}"/>
    <cellStyle name="style1741230190413" xfId="3116" xr:uid="{E2E6723E-DAFB-4CC9-A042-2E28FBD946D1}"/>
    <cellStyle name="style1741230190442" xfId="3120" xr:uid="{0CF0BAFB-FEE1-4B1C-AF2A-9A4B3FA4573E}"/>
    <cellStyle name="style1741230190469" xfId="3121" xr:uid="{7DC9CB46-9EB4-4F3F-BB91-31865C161AB9}"/>
    <cellStyle name="style1741230190501" xfId="3122" xr:uid="{B99B3513-E267-44C2-B230-6A3B48641890}"/>
    <cellStyle name="style1741230190521" xfId="3126" xr:uid="{D3ECA452-D6F9-4135-B8D7-BA1B666FA196}"/>
    <cellStyle name="style1741230190550" xfId="3127" xr:uid="{C38F621E-0A9C-4B0D-896D-515CCD70803F}"/>
    <cellStyle name="style1741230190587" xfId="3128" xr:uid="{E843E425-8638-4355-8867-0FD718D465EB}"/>
    <cellStyle name="style1741230190621" xfId="3129" xr:uid="{A660565E-3527-4E58-B408-16DCEB0F3383}"/>
    <cellStyle name="style1741230190642" xfId="3130" xr:uid="{CC781714-776B-469C-9A4A-9D9D394AAAC3}"/>
    <cellStyle name="style1741230190662" xfId="3131" xr:uid="{F2560BBD-BF88-4F72-A375-F624551EE3A1}"/>
    <cellStyle name="style1741230190677" xfId="3132" xr:uid="{687E9E9F-0D93-4206-96E5-3BCDDAB2EC5A}"/>
    <cellStyle name="style1741230190702" xfId="3133" xr:uid="{FB52D457-A133-4EA6-A688-27FAB267CE50}"/>
    <cellStyle name="style1741230190711" xfId="3134" xr:uid="{7BB22D19-6A42-4056-91FB-EE657A86E1B4}"/>
    <cellStyle name="style1741230190745" xfId="3135" xr:uid="{D9951601-7A8D-4F8B-B9B6-299E38168226}"/>
    <cellStyle name="style1741230190753" xfId="3136" xr:uid="{5141132F-8FCB-4805-9659-774206276C1C}"/>
    <cellStyle name="style1741230190788" xfId="3137" xr:uid="{4A2038D7-03B5-41A6-936C-44FC8ED4B1B4}"/>
    <cellStyle name="style1745376573652" xfId="3139" xr:uid="{422D9256-46FC-4B6B-BE48-5F3D73084BE7}"/>
    <cellStyle name="style1745376573723" xfId="3140" xr:uid="{0BDCF0D7-D92A-46A2-AADF-A8C76D697903}"/>
    <cellStyle name="style1745376573770" xfId="3138" xr:uid="{3F073983-DB85-4CFD-8FE9-EBB50A6CC7D0}"/>
    <cellStyle name="style1745376573841" xfId="3141" xr:uid="{F85DC302-99E6-4FF6-B4E5-269C874A42F0}"/>
    <cellStyle name="style1745376573884" xfId="3142" xr:uid="{D1EE22F7-7A4B-4CAF-A8BB-E78EB7D1C582}"/>
    <cellStyle name="style1745376573935" xfId="3146" xr:uid="{44A2A519-DD98-4DE4-8BB8-29213B91EDC0}"/>
    <cellStyle name="style1745376573988" xfId="3147" xr:uid="{92164E65-6841-4AF3-9F94-2C634B8DA9B9}"/>
    <cellStyle name="style1745376574065" xfId="3151" xr:uid="{908DC97B-1DB3-4858-84E7-23CD433F9101}"/>
    <cellStyle name="style1745376574123" xfId="3152" xr:uid="{3B61CC9E-6D2C-4332-AB8C-EE9C0E4F2DF8}"/>
    <cellStyle name="style1745376574170" xfId="3143" xr:uid="{3F3B9EDD-42C2-4EE1-A16B-F9BD9B826270}"/>
    <cellStyle name="style1745376574236" xfId="3144" xr:uid="{7B1288B1-2089-449E-879C-70F5182158A5}"/>
    <cellStyle name="style1745376574286" xfId="3145" xr:uid="{98A10DB9-2344-458B-A942-974221213F04}"/>
    <cellStyle name="style1745376574339" xfId="3148" xr:uid="{8FDDA1CB-DF58-4A13-9371-7E620AD0D147}"/>
    <cellStyle name="style1745376574415" xfId="3149" xr:uid="{5B0C6922-2970-4B80-84EE-563007C0E59C}"/>
    <cellStyle name="style1745376574481" xfId="3150" xr:uid="{90B5972E-8AED-4C91-A8EF-696F881466FA}"/>
    <cellStyle name="style1745376574596" xfId="3153" xr:uid="{5221E940-F110-4946-B385-FCF516D7F08D}"/>
    <cellStyle name="style1745376574682" xfId="3154" xr:uid="{99A45ADB-D3FF-432D-8A0A-06769D8C3910}"/>
    <cellStyle name="style1745376574791" xfId="3155" xr:uid="{458C9137-EA8C-4287-A915-5C56ADA0AF6B}"/>
    <cellStyle name="style1745376574868" xfId="3156" xr:uid="{68DF485F-01A7-4AFC-89AF-1A5488104D33}"/>
    <cellStyle name="style1745376574945" xfId="3157" xr:uid="{B739BA34-7BA1-421D-8C06-B17D6A76B2EF}"/>
    <cellStyle name="style1745376575019" xfId="3162" xr:uid="{9AFE487F-774C-4B1A-B533-3FE587A33B05}"/>
    <cellStyle name="style1745376575078" xfId="3163" xr:uid="{BA059F9B-0CD0-4817-9C17-987DC0649C08}"/>
    <cellStyle name="style1745376575189" xfId="3168" xr:uid="{E05040E5-0E68-485D-B8C2-1061DB78B42F}"/>
    <cellStyle name="style1745376575252" xfId="3169" xr:uid="{322C98E2-29FF-4B9C-BEBD-B9C3F113F45B}"/>
    <cellStyle name="style1745376575325" xfId="3158" xr:uid="{C22C7945-F251-4323-B4F6-C6F37C262204}"/>
    <cellStyle name="style1745376575413" xfId="3159" xr:uid="{3EB19881-FF4D-4AF6-9295-C654DDD30BD4}"/>
    <cellStyle name="style1745376575466" xfId="3160" xr:uid="{91F581C4-232C-45FA-BCB8-1ABE48F3FDF2}"/>
    <cellStyle name="style1745376575507" xfId="3161" xr:uid="{4D2171B7-A67C-486B-8CAF-1FF6A47240B7}"/>
    <cellStyle name="style1745376575576" xfId="3164" xr:uid="{3FEF80AF-719E-40EB-8FE3-F51DEB97DF46}"/>
    <cellStyle name="style1745376575619" xfId="3165" xr:uid="{A0C81293-FF55-482E-BA53-71D4BC03CBDE}"/>
    <cellStyle name="style1745376575671" xfId="3166" xr:uid="{589CB122-6618-4480-9516-4D5AEC9CC510}"/>
    <cellStyle name="style1745376575733" xfId="3167" xr:uid="{ABD50BED-A7E5-4273-B9F5-043675E29331}"/>
    <cellStyle name="style1745376575924" xfId="3170" xr:uid="{B591E321-1352-410D-83FC-0E114295C3B4}"/>
    <cellStyle name="style1745376576003" xfId="3171" xr:uid="{1C7EB41C-C17C-4916-83ED-93B831A85379}"/>
    <cellStyle name="style1745376576074" xfId="3172" xr:uid="{22B45A93-0CEB-4832-A8EB-1871D8AD7BB6}"/>
    <cellStyle name="style1745376576155" xfId="3173" xr:uid="{99395840-D8C8-41F5-AA6E-4A1E17E12A6C}"/>
    <cellStyle name="style1745376576611" xfId="3174" xr:uid="{02182F33-95CB-401D-B8F0-980D64BD1996}"/>
    <cellStyle name="style1745376576661" xfId="3175" xr:uid="{B80F7C98-CDCD-451D-B850-517A90018C28}"/>
    <cellStyle name="style1745376576698" xfId="3176" xr:uid="{1B67FC4E-4E6B-4798-ABEA-45B8725408CD}"/>
    <cellStyle name="style1745376576746" xfId="3177" xr:uid="{A423E578-1331-4EE0-88A5-4E10D92C618B}"/>
    <cellStyle name="style1745376576786" xfId="3179" xr:uid="{F5895016-58C3-40E8-AFD8-62293CD788DC}"/>
    <cellStyle name="style1745376576853" xfId="3181" xr:uid="{D0B2C618-65AE-467C-A3E4-2726DF1FF991}"/>
    <cellStyle name="style1745376576920" xfId="3178" xr:uid="{935054D2-B3CE-4234-B757-320E5E5DCCAF}"/>
    <cellStyle name="style1745376576956" xfId="3180" xr:uid="{E9DE87A2-F2F7-4CF3-8218-1BE7F9D8D285}"/>
    <cellStyle name="style1745376577014" xfId="3182" xr:uid="{F5DA7BB2-D571-4EB7-8F2A-BA3C7710ACA8}"/>
    <cellStyle name="style1745376577571" xfId="3183" xr:uid="{010DE5F9-E6CE-4309-842D-70B22BC09085}"/>
    <cellStyle name="style1745376577613" xfId="3184" xr:uid="{3D3A91B6-8D87-488B-A7D6-328800584D3E}"/>
    <cellStyle name="style1745376577666" xfId="3185" xr:uid="{8B2F4DA1-C268-4A35-9414-2B1670C04BF5}"/>
    <cellStyle name="style1745376577700" xfId="3186" xr:uid="{0D854BE2-A8D8-4D23-B44D-980EB61424E4}"/>
    <cellStyle name="style1745376577750" xfId="3187" xr:uid="{02E39F13-5E6A-4843-BA80-D020309BE560}"/>
    <cellStyle name="style1745376577801" xfId="3188" xr:uid="{CFDB8658-9DCC-4622-B10D-6FA46FD35FFE}"/>
    <cellStyle name="style1745376577848" xfId="3189" xr:uid="{8B7FAE97-6A28-42C6-8B67-4EC30D4BEC17}"/>
    <cellStyle name="style1745376577900" xfId="3190" xr:uid="{56A6F43D-C5E9-49DA-9FA5-E1CED19B65F7}"/>
    <cellStyle name="style1745376577933" xfId="3191" xr:uid="{5BF5327C-684D-4ABA-8D02-358811DEBE5C}"/>
    <cellStyle name="style1745376578203" xfId="3192" xr:uid="{1DD2F364-0AD6-413F-8B2E-5921F6F06590}"/>
    <cellStyle name="style1745376578254" xfId="3193" xr:uid="{7A699F6B-333E-460C-9E07-295A899241DC}"/>
    <cellStyle name="style1745376578295" xfId="3194" xr:uid="{6956ADAE-580D-4C60-8963-D24920E6FB3F}"/>
    <cellStyle name="style1745376578350" xfId="3195" xr:uid="{989AA397-6E2A-4DFD-BA82-0ECBE3DC4F6C}"/>
    <cellStyle name="style1745376578595" xfId="3196" xr:uid="{51C5C7C1-0A68-4787-A7B3-E329A86BFB64}"/>
    <cellStyle name="style1745376578616" xfId="3197" xr:uid="{1485FE59-F264-462E-AB16-7836EB46E89A}"/>
    <cellStyle name="style1745376581727" xfId="3198" xr:uid="{1AFD1250-A317-4C76-8BCC-5CBDC72C2DB1}"/>
    <cellStyle name="style1745376581764" xfId="3199" xr:uid="{9917CC87-286C-4809-87EC-5DB148F2BB6C}"/>
    <cellStyle name="style1745376581796" xfId="3200" xr:uid="{0AFBF227-358C-4B20-8A95-9E42200B865D}"/>
    <cellStyle name="style1745376581834" xfId="3201" xr:uid="{F8FA42E6-33A0-46A0-BE8B-80AFB9868D60}"/>
    <cellStyle name="style1745376581874" xfId="3202" xr:uid="{20583715-D455-44E3-BBF4-5DCFDF942517}"/>
    <cellStyle name="style1745376581912" xfId="3203" xr:uid="{DFEE92C3-3D2B-4FE2-BB27-03BFEAF2EA01}"/>
    <cellStyle name="style1745376581950" xfId="3204" xr:uid="{9E610A05-C780-4F9B-8B6D-4F5D5FF4CF9C}"/>
    <cellStyle name="style1745376581987" xfId="3205" xr:uid="{4B104BD5-6E16-4E8E-86A4-8A18725F7939}"/>
    <cellStyle name="style1745376582010" xfId="3206" xr:uid="{0FD4210B-D32F-4CA2-9981-CAE6C7E3EFB9}"/>
    <cellStyle name="style1745376582044" xfId="3207" xr:uid="{5497C94C-03C2-4CBC-9E80-39B8B309BA00}"/>
    <cellStyle name="style1745376582095" xfId="3208" xr:uid="{B7DC3A79-86F7-4302-BF8B-AC6226030CDF}"/>
    <cellStyle name="style1745376582117" xfId="3209" xr:uid="{930D7A1D-C5E4-492D-AAA9-BADFD18F15D8}"/>
    <cellStyle name="style1745376582394" xfId="3210" xr:uid="{805B2CBA-CE6F-4E52-8C0E-9E649FD74700}"/>
    <cellStyle name="style1745376582455" xfId="3211" xr:uid="{63B4AA47-9349-4A15-BB83-4F21C3B1A7C3}"/>
    <cellStyle name="style1745376582494" xfId="3212" xr:uid="{7B3CC404-DC9A-4EF7-A4C9-0ECDCC4E1F57}"/>
    <cellStyle name="style1746493918184" xfId="3214" xr:uid="{BCB553F8-75B0-4F29-85E8-7F9135105765}"/>
    <cellStyle name="style1746493918221" xfId="3215" xr:uid="{D1200E0C-18ED-46FA-BCD8-FCA9A57502FA}"/>
    <cellStyle name="style1746493918268" xfId="3213" xr:uid="{76D769F3-DBF1-48EB-B3C9-972184EFAC43}"/>
    <cellStyle name="style1746493918312" xfId="3216" xr:uid="{DFECE4CE-AF01-49E5-993D-7C09A0995BA1}"/>
    <cellStyle name="style1746493918347" xfId="3217" xr:uid="{C98E232B-9EA4-4FC4-B1CA-1319DE227230}"/>
    <cellStyle name="style1746493918382" xfId="3218" xr:uid="{205E2807-8A20-4224-9C79-9A090890EFCD}"/>
    <cellStyle name="style1746493918431" xfId="3222" xr:uid="{18C513E6-D81A-40A9-9388-0910D94779F9}"/>
    <cellStyle name="style1746493918488" xfId="3223" xr:uid="{547682D4-8204-4E17-A9FA-8AEAD1CD57F0}"/>
    <cellStyle name="style1746493918510" xfId="3224" xr:uid="{D53C3252-55EA-4E46-86E3-77BE483D489D}"/>
    <cellStyle name="style1746493918557" xfId="3228" xr:uid="{BAA1A51C-7D1F-457D-A759-884594CE98CE}"/>
    <cellStyle name="style1746493918619" xfId="3229" xr:uid="{E7CECD0C-C781-4C1C-988E-9A4B023BEECE}"/>
    <cellStyle name="style1746493918679" xfId="3230" xr:uid="{942CE359-807E-4BC5-B5B5-A22ABF433580}"/>
    <cellStyle name="style1746493918740" xfId="3219" xr:uid="{C9D85C5F-10E3-4DCA-A659-DFA5FCA29EB1}"/>
    <cellStyle name="style1746493918801" xfId="3220" xr:uid="{44167769-1831-48C8-AD57-31C56B9D3685}"/>
    <cellStyle name="style1746493918868" xfId="3221" xr:uid="{0F1DCEDE-1BFD-4253-9E17-8962F7CB2E97}"/>
    <cellStyle name="style1746493918920" xfId="3225" xr:uid="{BA72FE07-2CEC-4EB3-B76D-C243C760832F}"/>
    <cellStyle name="style1746493918963" xfId="3226" xr:uid="{8C9CBE99-FE87-4982-A5DA-06BF6C413100}"/>
    <cellStyle name="style1746493919013" xfId="3227" xr:uid="{76E4199D-9502-4FEB-AEFB-6956D7B54F38}"/>
    <cellStyle name="style1746493919074" xfId="3231" xr:uid="{25199E30-7B2F-424B-9EDB-7A79FDCD6687}"/>
    <cellStyle name="style1746493919124" xfId="3232" xr:uid="{6455075B-0B97-4AC7-AC17-E3F919EE6CC3}"/>
    <cellStyle name="style1746493919173" xfId="3233" xr:uid="{EAD1A048-7693-4B66-BF97-3FC272A30814}"/>
    <cellStyle name="style1746493919216" xfId="3234" xr:uid="{E6507306-6BDE-4A66-A8AF-6871AE5E8EBE}"/>
    <cellStyle name="style1746493919266" xfId="3240" xr:uid="{1AA1829D-7864-441F-B72A-35421A227284}"/>
    <cellStyle name="style1746493919306" xfId="3246" xr:uid="{279828B1-BFAD-4DE9-845E-320DD827C75B}"/>
    <cellStyle name="style1746493919347" xfId="3235" xr:uid="{BE9F28AF-BB07-4548-8AFA-8B56C3740FC5}"/>
    <cellStyle name="style1746493919385" xfId="3241" xr:uid="{CD5D8EA6-90CE-4CF5-BE5A-FA876C579B85}"/>
    <cellStyle name="style1746493919428" xfId="3247" xr:uid="{DE692BB7-9518-4B38-984F-D36F7BF11C3A}"/>
    <cellStyle name="style1746493919468" xfId="3236" xr:uid="{CFB77B9E-CE43-4608-979E-94FB2A652471}"/>
    <cellStyle name="style1746493919509" xfId="3242" xr:uid="{2D1DCDCC-41FB-4B7F-A401-72C27BE943BF}"/>
    <cellStyle name="style1746493919549" xfId="3248" xr:uid="{64F71EEB-31E3-428A-8B7C-73D271A2F0A9}"/>
    <cellStyle name="style1746493919587" xfId="3237" xr:uid="{1E939330-FA1E-40A4-A75B-58961A3B5D37}"/>
    <cellStyle name="style1746493919638" xfId="3238" xr:uid="{C201AC7A-0761-4667-A39E-E9E62FCE56B7}"/>
    <cellStyle name="style1746493919670" xfId="3239" xr:uid="{2FE87BDE-2F6D-40D0-A234-C5B52C747BC0}"/>
    <cellStyle name="style1746493919711" xfId="3243" xr:uid="{B982AA63-F572-4C84-B634-8E6A5986EEFD}"/>
    <cellStyle name="style1746493919741" xfId="3244" xr:uid="{91EE09DE-06F2-47BA-8744-AAEF9BF55D5D}"/>
    <cellStyle name="style1746493919780" xfId="3245" xr:uid="{8828F2A0-37A3-4DA0-896A-F56F34F54C36}"/>
    <cellStyle name="style1746493919812" xfId="3249" xr:uid="{429BF988-1F15-4385-9784-116D9CC70FE4}"/>
    <cellStyle name="style1746493919850" xfId="3250" xr:uid="{EACA2AF2-4C58-4E80-805C-1B16AD605824}"/>
    <cellStyle name="style1746493919883" xfId="3251" xr:uid="{75286AD9-816C-4C55-B1C2-0819AD740C2A}"/>
    <cellStyle name="style1746493919923" xfId="3252" xr:uid="{F6307A52-AD07-47BE-8498-379E54CB9D55}"/>
    <cellStyle name="style1746493919952" xfId="3253" xr:uid="{0DCAD284-B38D-4E9A-83CF-1C38937809E9}"/>
    <cellStyle name="style1746493919974" xfId="3254" xr:uid="{C917CF37-CC1D-4DDE-9DAB-B12B83053DE7}"/>
    <cellStyle name="style1746493920004" xfId="3255" xr:uid="{6A6CDDBD-BEA1-4009-932F-DD1F2526C54D}"/>
    <cellStyle name="style1746493920034" xfId="3256" xr:uid="{67A5DB95-DF50-45F7-A6B4-CB8A7805BF5E}"/>
    <cellStyle name="style1746493920065" xfId="3257" xr:uid="{D9A5FDE6-12D2-45B3-8F08-03C4D9A734F4}"/>
    <cellStyle name="style1746493920095" xfId="3258" xr:uid="{3CD1F308-5765-4000-A99F-3FE4AB3ECD22}"/>
    <cellStyle name="style1746493920123" xfId="3259" xr:uid="{8951A455-8AB8-4F77-B561-72F19582868F}"/>
    <cellStyle name="style1746493920146" xfId="3260" xr:uid="{C8FF2FD8-148A-4080-8880-72EEF63FECB5}"/>
    <cellStyle name="style1755226061847" xfId="3262" xr:uid="{FB902FBB-A8AB-49E1-B25C-F8C9BA44F667}"/>
    <cellStyle name="style1755226061889" xfId="3263" xr:uid="{DBD3DA68-A5C2-4AA7-B418-04E02D3021A3}"/>
    <cellStyle name="style1755226061921" xfId="3261" xr:uid="{D6511734-23C5-4B46-9B7A-07A76C57CA56}"/>
    <cellStyle name="style1755226061956" xfId="3264" xr:uid="{9FDC3D86-0AEF-404F-AC31-2DA3789B6D23}"/>
    <cellStyle name="style1755226061978" xfId="3265" xr:uid="{B02C67B4-1D94-41D1-85F5-6EC134EE1736}"/>
    <cellStyle name="style1755226062000" xfId="3269" xr:uid="{D3486554-41B5-45FB-91C8-17C83CEF0716}"/>
    <cellStyle name="style1755226062031" xfId="3270" xr:uid="{777CFF4D-C29C-4A94-8F83-1DB4D13374C1}"/>
    <cellStyle name="style1755226062060" xfId="3274" xr:uid="{E179B13D-F8E7-42F6-A8EC-63F7A69430A1}"/>
    <cellStyle name="style1755226062088" xfId="3275" xr:uid="{DEB75223-47F5-4165-93DB-D2D248A94AA1}"/>
    <cellStyle name="style1755226062110" xfId="3266" xr:uid="{C3FD16C6-118F-42E8-81AE-4E9A52966466}"/>
    <cellStyle name="style1755226062142" xfId="3267" xr:uid="{89ABE22D-E814-45F4-BD13-A9AA476E2BF6}"/>
    <cellStyle name="style1755226062174" xfId="3268" xr:uid="{4CA0B665-C235-42CD-B282-B792967B0B26}"/>
    <cellStyle name="style1755226062190" xfId="3271" xr:uid="{19BD1106-6511-4F06-80D3-E44223155058}"/>
    <cellStyle name="style1755226062223" xfId="3272" xr:uid="{E8F449A1-E706-4B3F-8749-6B2CBB590188}"/>
    <cellStyle name="style1755226062261" xfId="3273" xr:uid="{C254A7DE-02BC-401D-B459-F71242EEBD06}"/>
    <cellStyle name="style1755226062302" xfId="3276" xr:uid="{44A87F82-EA70-4209-B34B-46F6592B57EA}"/>
    <cellStyle name="style1755226062332" xfId="3277" xr:uid="{11F380D3-D632-41DE-9174-BE9D8FA49642}"/>
    <cellStyle name="style1755226062363" xfId="3278" xr:uid="{8F33BAEF-B275-49B1-B212-61EA261FA722}"/>
    <cellStyle name="style1755226062395" xfId="3279" xr:uid="{58D4363D-3BC7-4563-80F3-BF6852F9F33D}"/>
    <cellStyle name="style1755226062426" xfId="3280" xr:uid="{3A4709AF-5A68-4242-8584-A53B2688786C}"/>
    <cellStyle name="style1755226062458" xfId="3285" xr:uid="{B777C290-641E-475A-BBF5-86BECFD7762E}"/>
    <cellStyle name="style1755226062474" xfId="3286" xr:uid="{6A926997-9EDF-439F-968D-35F21FB4A859}"/>
    <cellStyle name="style1755226062524" xfId="3291" xr:uid="{C9CC8060-53C5-49CA-B480-9F6E18ED5EA8}"/>
    <cellStyle name="style1755226062542" xfId="3292" xr:uid="{652B0763-7CDC-4D1A-BB4B-22983C86EAF3}"/>
    <cellStyle name="style1755226062575" xfId="3281" xr:uid="{100CF155-A505-4D11-8C6F-FC51504DA40D}"/>
    <cellStyle name="style1755226062609" xfId="3282" xr:uid="{968492CE-28B4-436F-9FD1-737483D12371}"/>
    <cellStyle name="style1755226062633" xfId="3283" xr:uid="{1B4872B6-AC6F-4560-940B-A22F4CCA1A91}"/>
    <cellStyle name="style1755226062654" xfId="3284" xr:uid="{55C7C2DF-36B4-42F3-9C5C-AF4CCED37C61}"/>
    <cellStyle name="style1755226062681" xfId="3287" xr:uid="{E6A642CF-0C11-4A65-8C1A-2FED0C338F4D}"/>
    <cellStyle name="style1755226062695" xfId="3288" xr:uid="{BAA78A1F-7D0C-4DEF-B9DF-89378255B28D}"/>
    <cellStyle name="style1755226062727" xfId="3289" xr:uid="{12CCEC79-B477-4D6C-A681-D98F01A6CBB4}"/>
    <cellStyle name="style1755226062743" xfId="3290" xr:uid="{B7FE6376-755E-444F-AAC3-5C70470BCA42}"/>
    <cellStyle name="style1755226062842" xfId="3293" xr:uid="{D86CBBC8-D4C5-4075-B9A5-4470FAB740DC}"/>
    <cellStyle name="style1755226062879" xfId="3294" xr:uid="{B6B810CF-76CA-40C7-8E92-A2CAC1D443DE}"/>
    <cellStyle name="style1755226062934" xfId="3295" xr:uid="{AF6E3BDB-C2D7-4C3C-A1CD-A24BE173D514}"/>
    <cellStyle name="style1755226062979" xfId="3296" xr:uid="{BE7FF732-D919-48D5-9F59-81C5ECE0AAEC}"/>
    <cellStyle name="style1755226063182" xfId="3297" xr:uid="{4C55D097-9AC2-48B4-915F-A5DFF6FFDAEC}"/>
    <cellStyle name="style1755226063205" xfId="3298" xr:uid="{DF9F9FCB-7461-454A-BC63-1E1AB70C64EB}"/>
    <cellStyle name="style1755226063219" xfId="3299" xr:uid="{E590B999-F9B5-448D-ABC1-CCAA6D738ACF}"/>
    <cellStyle name="style1755226063247" xfId="3300" xr:uid="{81D194BF-854F-4B95-BB73-079ADB51A3DB}"/>
    <cellStyle name="style1755226063275" xfId="3302" xr:uid="{AC4B0FFA-1896-4BAB-B635-E6293F249DA0}"/>
    <cellStyle name="style1755226063302" xfId="3304" xr:uid="{9FAA51C5-94F6-4B5F-9DDD-550BC5BB4F5E}"/>
    <cellStyle name="style1755226063334" xfId="3301" xr:uid="{A12119F8-6412-4DC4-8F77-B652810D5BD3}"/>
    <cellStyle name="style1755226063355" xfId="3303" xr:uid="{37046863-5D50-4008-8B48-564CCB0D3AA7}"/>
    <cellStyle name="style1755226063382" xfId="3305" xr:uid="{CF419BFD-3374-4E89-9879-8E57DF90AF06}"/>
    <cellStyle name="style1755226063626" xfId="3306" xr:uid="{5925C62D-644E-4DD4-B767-12F5B217A2D5}"/>
    <cellStyle name="style1755226063642" xfId="3307" xr:uid="{496BE372-96EE-40B2-9667-E9515579059B}"/>
    <cellStyle name="style1755226063673" xfId="3308" xr:uid="{FF19F958-8CEF-416E-9122-5DC6F9F4FB0F}"/>
    <cellStyle name="style1755226063708" xfId="3309" xr:uid="{B78D9401-CC05-4726-A77A-57225A232D47}"/>
    <cellStyle name="style1755226063730" xfId="3310" xr:uid="{57755F30-34EA-473D-BF51-5D4AE3E7C837}"/>
    <cellStyle name="style1755226063756" xfId="3311" xr:uid="{0895509A-E755-45A8-8F06-368CDA587382}"/>
    <cellStyle name="style1755226063784" xfId="3312" xr:uid="{C55DA08D-B018-40B3-BA1E-ECA046EFE489}"/>
    <cellStyle name="style1755226063800" xfId="3313" xr:uid="{95ED3AFC-6573-43AF-B5B1-317BFEAD254C}"/>
    <cellStyle name="style1755226063834" xfId="3314" xr:uid="{8E315481-F33D-4C74-993F-4FB1E5E8AABA}"/>
    <cellStyle name="style1755226063972" xfId="3315" xr:uid="{7D4F7A3D-3C70-48D8-A086-4030745A277E}"/>
    <cellStyle name="style1755226063999" xfId="3316" xr:uid="{4E6D7ACE-12AB-4EBF-9EB9-F0314846E2AD}"/>
    <cellStyle name="style1755226064029" xfId="3317" xr:uid="{716448C4-DFEB-486F-A8AA-4C532C695B53}"/>
    <cellStyle name="style1755226064054" xfId="3318" xr:uid="{D92735DF-E8E1-4497-A2D6-19B1DF096A39}"/>
    <cellStyle name="style1755226064158" xfId="3319" xr:uid="{27EFF290-2769-428D-A501-84EB2811B52F}"/>
    <cellStyle name="style1755226064178" xfId="3320" xr:uid="{DB08005B-FE27-4A08-B48C-C57523AE4C3D}"/>
    <cellStyle name="style1755226065718" xfId="3321" xr:uid="{BFE4D10A-71C8-477F-861A-1C17E78FF069}"/>
    <cellStyle name="style1755226065741" xfId="3322" xr:uid="{5C3ACC6C-42B2-4833-A190-9ED44F1C88AA}"/>
    <cellStyle name="style1755226065746" xfId="3323" xr:uid="{4AF8D2B5-7F2A-4CC7-AC92-0A009DB69F67}"/>
    <cellStyle name="style1755226065776" xfId="3324" xr:uid="{A5DD0C7A-F1DA-4DDF-8085-E8C3D0960E75}"/>
    <cellStyle name="style1755226065794" xfId="3325" xr:uid="{B8993DB6-B8DC-48B0-8E37-9F397AB0F823}"/>
    <cellStyle name="style1755226065810" xfId="3326" xr:uid="{F1AB211C-68F6-4441-B15C-43E78F2D2FD6}"/>
    <cellStyle name="style1755226065825" xfId="3327" xr:uid="{7D633CB3-91B3-4264-9CE4-D32FAA0DDCF8}"/>
    <cellStyle name="style1755226065841" xfId="3328" xr:uid="{8DB50291-330F-47B7-987C-1AFC59A48073}"/>
    <cellStyle name="style1755226065869" xfId="3329" xr:uid="{511FE256-4B3B-4B62-83FD-CA50C0F529D3}"/>
    <cellStyle name="style1755226065889" xfId="3330" xr:uid="{55793E26-E247-4E2A-B3F3-F757E52F23B4}"/>
    <cellStyle name="style1755226065906" xfId="3331" xr:uid="{727D56B6-1790-44E1-B3C1-A4C65D44BAD0}"/>
    <cellStyle name="style1755226065921" xfId="3332" xr:uid="{DFB75CB8-499E-4197-937A-8A26EB096275}"/>
    <cellStyle name="style1755226066048" xfId="3333" xr:uid="{A263A2FC-6894-4CF2-930C-5439B4AC445A}"/>
    <cellStyle name="style1755226066084" xfId="3334" xr:uid="{9E570796-6665-4C57-8859-007152C73746}"/>
    <cellStyle name="style1755226066096" xfId="3335" xr:uid="{2907EBEF-B4E1-4411-B9F5-6B772ECB1A25}"/>
    <cellStyle name="style1755226073563" xfId="3337" xr:uid="{8B848ED5-162C-4088-9C4B-B70652BC5F76}"/>
    <cellStyle name="style1755226073588" xfId="3338" xr:uid="{018A83B6-7383-42FF-A069-0B1F97FD8C0D}"/>
    <cellStyle name="style1755226073610" xfId="3336" xr:uid="{CD1DA37D-3613-4E51-93AD-7A7A2B4F74F9}"/>
    <cellStyle name="style1755226073626" xfId="3339" xr:uid="{E9414D5E-6F62-4A97-BC37-BCAE86FED466}"/>
    <cellStyle name="style1755226073663" xfId="3340" xr:uid="{FA3E7CE2-9675-4B5E-A4CE-58814777537E}"/>
    <cellStyle name="style1755226073674" xfId="3341" xr:uid="{A9A7534D-086B-4960-926D-FB97225864DF}"/>
    <cellStyle name="style1755226073707" xfId="3342" xr:uid="{6574F2C2-EA27-477C-A31E-BFBE0AE85433}"/>
    <cellStyle name="style1755226073721" xfId="3343" xr:uid="{3385E2DB-3378-41EA-82BF-687463D3BEF1}"/>
    <cellStyle name="style1755226073753" xfId="3344" xr:uid="{B45EA2D0-1623-4373-A084-A74C9F4A9B33}"/>
    <cellStyle name="style1755226073780" xfId="3345" xr:uid="{032F0BF5-256F-44E2-B3EB-A96CA62F8549}"/>
    <cellStyle name="style1755226073801" xfId="3346" xr:uid="{4965E907-446B-45FC-8044-96E599900898}"/>
    <cellStyle name="style1755226073817" xfId="3347" xr:uid="{4E58D6AB-58EA-4B99-AF23-15AF9A936C64}"/>
    <cellStyle name="style1755226073848" xfId="3348" xr:uid="{8BAFB296-7A6B-4D31-B578-A4308097A090}"/>
    <cellStyle name="style1755226073880" xfId="3349" xr:uid="{6518CB3B-69E1-43A7-AB9E-D4FC1C034538}"/>
    <cellStyle name="style1755226073896" xfId="3350" xr:uid="{DB4D0B5D-6841-4614-8BBC-3929F4557DB4}"/>
    <cellStyle name="style1755226073912" xfId="3351" xr:uid="{75CB197E-E7C2-4175-9159-90460C78CB97}"/>
    <cellStyle name="style1755226073959" xfId="3352" xr:uid="{213E3631-E372-4983-AF51-EEA720A5FB6C}"/>
    <cellStyle name="style1755226073983" xfId="3353" xr:uid="{F6C2B669-5159-4577-991B-6D5F866E6740}"/>
    <cellStyle name="style1755226074000" xfId="3354" xr:uid="{2AF590DF-3F31-4F3A-882C-0DB6E98D76C1}"/>
    <cellStyle name="style1755226074024" xfId="3355" xr:uid="{7FC8FC9C-7645-4327-BEEF-8E9C7CB5F17B}"/>
    <cellStyle name="style1755226074048" xfId="3356" xr:uid="{DA07444F-C36E-4179-89A4-802C3A489D08}"/>
    <cellStyle name="style1755226074073" xfId="3357" xr:uid="{4702E5EE-E993-45C4-98A2-F70D201B4FC8}"/>
    <cellStyle name="style1755226074104" xfId="3358" xr:uid="{95DF9F07-BFFB-4D47-9AED-FFAC96024BDC}"/>
    <cellStyle name="style1755226074116" xfId="3359" xr:uid="{8F6853E1-5B1B-4336-9603-3BFFE914D20B}"/>
    <cellStyle name="style1755226074147" xfId="3363" xr:uid="{5653E255-14F0-4EBB-AE56-71BFD754BB8B}"/>
    <cellStyle name="style1755226074175" xfId="3364" xr:uid="{7F3812FA-FCB3-48D4-A9B3-97B750589D80}"/>
    <cellStyle name="style1755226074195" xfId="3368" xr:uid="{C3A6E52F-DD2F-422A-BD9E-B88D83E74A0A}"/>
    <cellStyle name="style1755226074227" xfId="3369" xr:uid="{CD959E0A-8252-4E45-8CBF-5D258162D1DD}"/>
    <cellStyle name="style1755226074243" xfId="3360" xr:uid="{B212D399-ABD7-4A92-B94C-56D963E2A562}"/>
    <cellStyle name="style1755226074279" xfId="3361" xr:uid="{26A4DFE0-9A6B-42A9-BADD-3E12B7D23AD4}"/>
    <cellStyle name="style1755226074291" xfId="3362" xr:uid="{1084B1CF-9C1B-492B-B6C0-343A41FD57B7}"/>
    <cellStyle name="style1755226074322" xfId="3365" xr:uid="{34C4F325-90E5-46BC-A5B5-706452647E01}"/>
    <cellStyle name="style1755226074348" xfId="3366" xr:uid="{E4010409-46F0-4ECE-B7F2-A6AF2BED3185}"/>
    <cellStyle name="style1755226074370" xfId="3367" xr:uid="{7880CAAF-7EA4-453E-A9D8-CD68F0EB7FD2}"/>
    <cellStyle name="style1755226074401" xfId="3370" xr:uid="{6A4DB926-C050-4C15-A4AE-12D5B617BCB8}"/>
    <cellStyle name="style1755226074432" xfId="3371" xr:uid="{906D68F2-405A-48BA-858F-2C9F2DBD2D2C}"/>
    <cellStyle name="style1755226074460" xfId="3372" xr:uid="{0E1884F4-C1EC-482F-9A11-D13B6A7C2651}"/>
    <cellStyle name="style1755237097438" xfId="3374" xr:uid="{E21B0707-2FBA-4F40-9D2E-330F508E5FC5}"/>
    <cellStyle name="style1755237097469" xfId="3375" xr:uid="{B8891118-4405-4ABD-B699-69D23CF261A9}"/>
    <cellStyle name="style1755237097517" xfId="3373" xr:uid="{BEA93197-1C00-47D3-9C9F-C048A8D7C610}"/>
    <cellStyle name="style1755237097548" xfId="3376" xr:uid="{31283FF0-063B-4CBE-A98F-1D838B93759B}"/>
    <cellStyle name="style1755237097564" xfId="3377" xr:uid="{D23CF046-9F56-4C41-B153-B8E3E1602CBE}"/>
    <cellStyle name="style1755237097590" xfId="3381" xr:uid="{70426FC0-4721-4BDA-ACD8-13A9120C7237}"/>
    <cellStyle name="style1755237097627" xfId="3382" xr:uid="{D8124EF8-DEC5-431E-A385-67856019053A}"/>
    <cellStyle name="style1755237097643" xfId="3386" xr:uid="{0FCDE562-9605-49D5-8FAD-A56F7C925424}"/>
    <cellStyle name="style1755237097674" xfId="3387" xr:uid="{E6B6793D-EBDE-4419-B131-667A4D719681}"/>
    <cellStyle name="style1755237097705" xfId="3378" xr:uid="{ABDC8616-8378-49C8-AB22-599F56A479BB}"/>
    <cellStyle name="style1755237097737" xfId="3379" xr:uid="{49D2C546-4319-4AF0-9390-95BDDA9F24B1}"/>
    <cellStyle name="style1755237097768" xfId="3380" xr:uid="{B52D57F2-C99D-47AB-9854-952D6ED6DD34}"/>
    <cellStyle name="style1755237097800" xfId="3383" xr:uid="{313BA62A-F4C4-4FDA-ABB0-962F95C2ACDE}"/>
    <cellStyle name="style1755237097833" xfId="3384" xr:uid="{F6453C18-DE38-4AF9-B9F3-95FD8F6D1F10}"/>
    <cellStyle name="style1755237097863" xfId="3385" xr:uid="{9D3D381F-CCB1-4E4A-970F-2D20B7849DE5}"/>
    <cellStyle name="style1755237097895" xfId="3388" xr:uid="{CD53C76E-EAED-41AD-85B2-1EDEDBCCE514}"/>
    <cellStyle name="style1755237097927" xfId="3389" xr:uid="{1F8F2C91-AF44-44CC-957E-8A2B6245059F}"/>
    <cellStyle name="style1755237097958" xfId="3390" xr:uid="{C017576C-0B99-4966-B93D-42BCD5977F13}"/>
    <cellStyle name="style1755237097990" xfId="3391" xr:uid="{678846B9-AE4F-4727-BBEC-A2CA7532181C}"/>
    <cellStyle name="style1755237098021" xfId="3392" xr:uid="{02D061A4-50D5-452A-A8AF-B42093139955}"/>
    <cellStyle name="style1755237098053" xfId="3397" xr:uid="{F1D10958-57DD-495A-8FCA-CBD612D34540}"/>
    <cellStyle name="style1755237098084" xfId="3398" xr:uid="{7E6F610A-362E-4CF3-92F0-28CF6EFF64D0}"/>
    <cellStyle name="style1755237098116" xfId="3403" xr:uid="{E0993A2F-01AB-4E37-8F93-06103CC5E9FF}"/>
    <cellStyle name="style1755237098148" xfId="3404" xr:uid="{B8882B5A-548C-4CA5-B3D6-37D0942D4E64}"/>
    <cellStyle name="style1755237098179" xfId="3393" xr:uid="{998C1D6A-966F-42BF-8C38-3AE9F49B8074}"/>
    <cellStyle name="style1755237098213" xfId="3394" xr:uid="{873F8914-B31F-4825-AEDB-0A7270616F9C}"/>
    <cellStyle name="style1755237098244" xfId="3395" xr:uid="{F4E9ED4E-D512-4C30-B3ED-4F83EE3C9CAF}"/>
    <cellStyle name="style1755237098268" xfId="3396" xr:uid="{23219737-6430-4FB4-915B-F37DF14C78E0}"/>
    <cellStyle name="style1755237098290" xfId="3399" xr:uid="{73573368-106D-4508-9C96-D3B4003F8927}"/>
    <cellStyle name="style1755237098322" xfId="3400" xr:uid="{B66D70DA-DBC7-4499-91B7-90C33A445D2F}"/>
    <cellStyle name="style1755237098354" xfId="3401" xr:uid="{8F58DEA9-8F95-41C8-8D78-8D78595A09CA}"/>
    <cellStyle name="style1755237098370" xfId="3402" xr:uid="{DF547E65-575B-4EEE-A96A-EB3C58720044}"/>
    <cellStyle name="style1755237098470" xfId="3405" xr:uid="{F8E6FDBA-88AD-4239-B9B3-8141375EA9E4}"/>
    <cellStyle name="style1755237098512" xfId="3406" xr:uid="{AA4E63A9-90A8-4512-938B-A67851CB35A5}"/>
    <cellStyle name="style1755237098555" xfId="3407" xr:uid="{6ED75C5C-6BC1-426C-9013-5EB93BEC0C57}"/>
    <cellStyle name="style1755237098590" xfId="3408" xr:uid="{F06C7431-80DF-480E-BBB6-EA4135B95617}"/>
    <cellStyle name="style1755237098812" xfId="3409" xr:uid="{6594CB43-0D88-4A48-B83E-13F5E3D5A046}"/>
    <cellStyle name="style1755237098828" xfId="3410" xr:uid="{A2990DCE-73E9-48E2-9A3D-1FF2B2F3E682}"/>
    <cellStyle name="style1755237098861" xfId="3411" xr:uid="{2B69AF7F-28A2-4906-AE8D-6826DF2392A9}"/>
    <cellStyle name="style1755237098875" xfId="3412" xr:uid="{9725369A-85B9-4B09-A91A-FAF922C230EE}"/>
    <cellStyle name="style1755237098923" xfId="3414" xr:uid="{09394821-9A7A-46F3-927B-2ADFAB77F8CE}"/>
    <cellStyle name="style1755237098939" xfId="3416" xr:uid="{1C690820-334E-4AD8-B96F-06A7617F79C8}"/>
    <cellStyle name="style1755237098984" xfId="3413" xr:uid="{6552969B-E01B-4E78-BB1F-CD9D538A5940}"/>
    <cellStyle name="style1755237099007" xfId="3415" xr:uid="{DC5349B4-4AFA-4CE8-898C-9C4CE1BB73C4}"/>
    <cellStyle name="style1755237099042" xfId="3417" xr:uid="{C9B51D2F-1D6F-425D-A685-1178FD23B74C}"/>
    <cellStyle name="style1755237099301" xfId="3418" xr:uid="{A7259432-2B85-4304-B3F7-546A249FDDEB}"/>
    <cellStyle name="style1755237099317" xfId="3419" xr:uid="{F3608DBB-5044-4B57-8CCE-1CAC1B92FBA4}"/>
    <cellStyle name="style1755237099359" xfId="3420" xr:uid="{1608462F-2C49-408A-8F63-E729F4A62341}"/>
    <cellStyle name="style1755237099383" xfId="3421" xr:uid="{F52FD13A-EEC9-4752-82BF-0293005941F5}"/>
    <cellStyle name="style1755237099409" xfId="3422" xr:uid="{033212F9-8DE7-4061-8408-753A47535D94}"/>
    <cellStyle name="style1755237099433" xfId="3423" xr:uid="{B22B0F2C-E221-46A9-B971-5575AA4D4A7F}"/>
    <cellStyle name="style1755237099460" xfId="3424" xr:uid="{285B10CC-F845-4562-A9A4-E100F85310E0}"/>
    <cellStyle name="style1755237099476" xfId="3425" xr:uid="{67CB1BE7-58ED-4C87-AB34-D0E4D50C1C09}"/>
    <cellStyle name="style1755237099510" xfId="3426" xr:uid="{7CE6A5D1-FEF4-43D1-80A9-14E6C431A6AC}"/>
    <cellStyle name="style1755237099646" xfId="3427" xr:uid="{8AACB149-2DB7-427B-B872-94BDDAAEEF8A}"/>
    <cellStyle name="style1755237099666" xfId="3428" xr:uid="{C2F96682-37EA-4E8F-8AC3-6A8A01BB5318}"/>
    <cellStyle name="style1755237099702" xfId="3429" xr:uid="{C1374A55-93F8-4F55-B7E6-A25497883C27}"/>
    <cellStyle name="style1755237099713" xfId="3430" xr:uid="{769C929C-0264-4A2B-B768-DBAE9FA75475}"/>
    <cellStyle name="style1755237099827" xfId="3431" xr:uid="{111B8C96-81D2-4DD1-A929-3B44FE980C34}"/>
    <cellStyle name="style1755237099841" xfId="3432" xr:uid="{9E45B71A-C8AC-4D34-99A5-6F48664A4609}"/>
    <cellStyle name="style1755237101346" xfId="3433" xr:uid="{DEAFD03A-D429-4B9A-AE15-1F479FA08F16}"/>
    <cellStyle name="style1755237101369" xfId="3434" xr:uid="{F8A7C920-0253-45FC-A4D9-CEA88B0E2FA3}"/>
    <cellStyle name="style1755237101385" xfId="3435" xr:uid="{06F458D9-7FDC-471F-82AF-BC1D156B776D}"/>
    <cellStyle name="style1755237101403" xfId="3436" xr:uid="{D0807EC1-B499-4AF2-BCF0-6A133E97958B}"/>
    <cellStyle name="style1755237101413" xfId="3437" xr:uid="{82F342BF-DBEF-4FF8-811D-8F462FA1DF39}"/>
    <cellStyle name="style1755237101436" xfId="3438" xr:uid="{B58BE798-A155-441D-9074-449C4563FB06}"/>
    <cellStyle name="style1755237101457" xfId="3439" xr:uid="{F3A21BB2-DA65-4AEB-A005-8D006ED5A397}"/>
    <cellStyle name="style1755237101472" xfId="3440" xr:uid="{B0B3F80E-7CD6-4ABA-9919-5D6377ACD02D}"/>
    <cellStyle name="style1755237101482" xfId="3441" xr:uid="{093D65BA-8A88-479C-ADF5-7BDF4026D689}"/>
    <cellStyle name="style1755237101508" xfId="3442" xr:uid="{F2747394-7E9A-48CF-B277-4F991561D5C9}"/>
    <cellStyle name="style1755237101524" xfId="3443" xr:uid="{44460691-2CD4-43FD-9B8E-BBF7A8A1A759}"/>
    <cellStyle name="style1755237101540" xfId="3444" xr:uid="{3EC75268-2551-4538-9756-2B5A83B317CE}"/>
    <cellStyle name="style1755237101667" xfId="3445" xr:uid="{B048ADF3-144E-4338-8942-4236D3D859B9}"/>
    <cellStyle name="style1755237101696" xfId="3446" xr:uid="{A9FE03EF-F48C-4A73-B653-A78C8666B005}"/>
    <cellStyle name="style1755237101714" xfId="3447" xr:uid="{1D6B4BEF-6AF8-421F-8AA8-337EE07A9295}"/>
  </cellStyles>
  <dxfs count="186">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71" formatCode="\*0.0%"/>
    </dxf>
    <dxf>
      <font>
        <color rgb="FFFF0000"/>
      </font>
      <numFmt numFmtId="171" formatCode="\*0.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71" formatCode="\*0.0%"/>
    </dxf>
    <dxf>
      <font>
        <color rgb="FFFF0000"/>
      </font>
      <numFmt numFmtId="171"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5" formatCode="\*&quot;$&quot;###,##0"/>
    </dxf>
    <dxf>
      <font>
        <color rgb="FFFF0000"/>
      </font>
      <numFmt numFmtId="176" formatCode="\*\*&quot;$&quot;###,##0"/>
    </dxf>
    <dxf>
      <font>
        <color rgb="FF00B050"/>
      </font>
      <numFmt numFmtId="175" formatCode="\*&quot;$&quot;###,##0"/>
    </dxf>
    <dxf>
      <font>
        <color rgb="FFFF0000"/>
      </font>
      <numFmt numFmtId="176" formatCode="\*\*&quot;$&quot;###,##0"/>
    </dxf>
    <dxf>
      <font>
        <color rgb="FF00B050"/>
      </font>
      <numFmt numFmtId="171" formatCode="\*0.0%"/>
    </dxf>
    <dxf>
      <font>
        <color rgb="FFFF0000"/>
      </font>
      <numFmt numFmtId="172" formatCode="\*\*0.0%"/>
    </dxf>
    <dxf>
      <font>
        <color rgb="FF00B050"/>
      </font>
      <numFmt numFmtId="175" formatCode="\*&quot;$&quot;###,##0"/>
    </dxf>
    <dxf>
      <font>
        <color rgb="FFFF0000"/>
      </font>
      <numFmt numFmtId="176" formatCode="\*\*&quot;$&quot;###,##0"/>
    </dxf>
    <dxf>
      <font>
        <color rgb="FF00B050"/>
      </font>
      <numFmt numFmtId="175" formatCode="\*&quot;$&quot;###,##0"/>
    </dxf>
    <dxf>
      <font>
        <color rgb="FFFF0000"/>
      </font>
      <numFmt numFmtId="176" formatCode="\*\*&quot;$&quot;###,##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s>
  <tableStyles count="0" defaultTableStyle="TableStyleMedium2" defaultPivotStyle="PivotStyleLight16"/>
  <colors>
    <mruColors>
      <color rgb="FF0F0A30"/>
      <color rgb="FFFFDA00"/>
      <color rgb="FF3498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D156E47F-EA81-488E-B042-87836CAF59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54426</xdr:colOff>
      <xdr:row>1</xdr:row>
      <xdr:rowOff>0</xdr:rowOff>
    </xdr:from>
    <xdr:to>
      <xdr:col>1</xdr:col>
      <xdr:colOff>1254474</xdr:colOff>
      <xdr:row>5</xdr:row>
      <xdr:rowOff>94439</xdr:rowOff>
    </xdr:to>
    <xdr:pic>
      <xdr:nvPicPr>
        <xdr:cNvPr id="7" name="Picture 6">
          <a:extLst>
            <a:ext uri="{FF2B5EF4-FFF2-40B4-BE49-F238E27FC236}">
              <a16:creationId xmlns:a16="http://schemas.microsoft.com/office/drawing/2014/main" id="{CD7C9B2A-8EE7-4EFC-9832-4A2041DCCC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426" y="190500"/>
          <a:ext cx="2197905" cy="8564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2" name="Picture 1">
          <a:extLst>
            <a:ext uri="{FF2B5EF4-FFF2-40B4-BE49-F238E27FC236}">
              <a16:creationId xmlns:a16="http://schemas.microsoft.com/office/drawing/2014/main" id="{D01A3FAF-3694-476C-BE83-C53C723C9F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238124</xdr:colOff>
      <xdr:row>0</xdr:row>
      <xdr:rowOff>76200</xdr:rowOff>
    </xdr:from>
    <xdr:to>
      <xdr:col>14</xdr:col>
      <xdr:colOff>152400</xdr:colOff>
      <xdr:row>10</xdr:row>
      <xdr:rowOff>47625</xdr:rowOff>
    </xdr:to>
    <xdr:sp macro="" textlink="">
      <xdr:nvSpPr>
        <xdr:cNvPr id="3" name="TextBox 2">
          <a:extLst>
            <a:ext uri="{FF2B5EF4-FFF2-40B4-BE49-F238E27FC236}">
              <a16:creationId xmlns:a16="http://schemas.microsoft.com/office/drawing/2014/main" id="{BB5286F4-FE41-4622-8CFF-66576DDA006D}"/>
            </a:ext>
          </a:extLst>
        </xdr:cNvPr>
        <xdr:cNvSpPr txBox="1"/>
      </xdr:nvSpPr>
      <xdr:spPr>
        <a:xfrm>
          <a:off x="10372724" y="762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2</xdr:col>
      <xdr:colOff>157650</xdr:colOff>
      <xdr:row>5</xdr:row>
      <xdr:rowOff>90629</xdr:rowOff>
    </xdr:to>
    <xdr:pic>
      <xdr:nvPicPr>
        <xdr:cNvPr id="9" name="Picture 8">
          <a:extLst>
            <a:ext uri="{FF2B5EF4-FFF2-40B4-BE49-F238E27FC236}">
              <a16:creationId xmlns:a16="http://schemas.microsoft.com/office/drawing/2014/main" id="{4A51C569-FB43-4E4B-891F-56A04A2635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D62B4DB2-4BCB-482B-9057-3EF8114ABE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5535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157650</xdr:colOff>
      <xdr:row>5</xdr:row>
      <xdr:rowOff>90629</xdr:rowOff>
    </xdr:to>
    <xdr:pic>
      <xdr:nvPicPr>
        <xdr:cNvPr id="5" name="Picture 4">
          <a:extLst>
            <a:ext uri="{FF2B5EF4-FFF2-40B4-BE49-F238E27FC236}">
              <a16:creationId xmlns:a16="http://schemas.microsoft.com/office/drawing/2014/main" id="{624B9933-0D35-4721-A0A7-4B293DA195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21</xdr:col>
      <xdr:colOff>1</xdr:colOff>
      <xdr:row>1</xdr:row>
      <xdr:rowOff>0</xdr:rowOff>
    </xdr:from>
    <xdr:to>
      <xdr:col>28</xdr:col>
      <xdr:colOff>514351</xdr:colOff>
      <xdr:row>10</xdr:row>
      <xdr:rowOff>0</xdr:rowOff>
    </xdr:to>
    <xdr:sp macro="" textlink="">
      <xdr:nvSpPr>
        <xdr:cNvPr id="6" name="TextBox 5">
          <a:extLst>
            <a:ext uri="{FF2B5EF4-FFF2-40B4-BE49-F238E27FC236}">
              <a16:creationId xmlns:a16="http://schemas.microsoft.com/office/drawing/2014/main" id="{8F9CFD56-3AB1-417B-9C4F-6EE25A0EBE51}"/>
            </a:ext>
          </a:extLst>
        </xdr:cNvPr>
        <xdr:cNvSpPr txBox="1"/>
      </xdr:nvSpPr>
      <xdr:spPr>
        <a:xfrm>
          <a:off x="20574001" y="190500"/>
          <a:ext cx="4648200" cy="171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20</xdr:col>
      <xdr:colOff>0</xdr:colOff>
      <xdr:row>48</xdr:row>
      <xdr:rowOff>0</xdr:rowOff>
    </xdr:from>
    <xdr:to>
      <xdr:col>32</xdr:col>
      <xdr:colOff>542925</xdr:colOff>
      <xdr:row>63</xdr:row>
      <xdr:rowOff>104775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7B7818DC-8043-45B1-B86A-18CB494050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AA885634-0255-4BAB-8BAF-17AEA578AA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159555</xdr:colOff>
      <xdr:row>5</xdr:row>
      <xdr:rowOff>94439</xdr:rowOff>
    </xdr:to>
    <xdr:pic>
      <xdr:nvPicPr>
        <xdr:cNvPr id="2" name="Picture 1">
          <a:extLst>
            <a:ext uri="{FF2B5EF4-FFF2-40B4-BE49-F238E27FC236}">
              <a16:creationId xmlns:a16="http://schemas.microsoft.com/office/drawing/2014/main" id="{D8CEBD29-5F4D-4ACF-B4D7-9C79B032FD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7905" cy="85643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159555</xdr:colOff>
      <xdr:row>5</xdr:row>
      <xdr:rowOff>94439</xdr:rowOff>
    </xdr:to>
    <xdr:pic>
      <xdr:nvPicPr>
        <xdr:cNvPr id="2" name="Picture 1">
          <a:extLst>
            <a:ext uri="{FF2B5EF4-FFF2-40B4-BE49-F238E27FC236}">
              <a16:creationId xmlns:a16="http://schemas.microsoft.com/office/drawing/2014/main" id="{F649363A-B36A-489A-A17F-1E28249D10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7905" cy="85643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5AAB4C79-524D-41EF-AF92-45BD8808A4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48E17553-B2A6-40CF-B39D-D46C34D8C5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1A795EB3-CB2A-4C0C-BFF6-920288333F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AA6A96C0-E137-4FC8-8B89-4187D88162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FF65B778-46D2-4B24-821C-0E771FB100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7905" cy="85643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159555</xdr:colOff>
      <xdr:row>5</xdr:row>
      <xdr:rowOff>94439</xdr:rowOff>
    </xdr:to>
    <xdr:pic>
      <xdr:nvPicPr>
        <xdr:cNvPr id="6" name="Picture 5">
          <a:extLst>
            <a:ext uri="{FF2B5EF4-FFF2-40B4-BE49-F238E27FC236}">
              <a16:creationId xmlns:a16="http://schemas.microsoft.com/office/drawing/2014/main" id="{C6F08711-1E60-4EE7-B03E-89F541AD8C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06D0BA4F-8EFE-4087-8244-28C32D25C5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7</xdr:col>
      <xdr:colOff>1</xdr:colOff>
      <xdr:row>1</xdr:row>
      <xdr:rowOff>0</xdr:rowOff>
    </xdr:from>
    <xdr:to>
      <xdr:col>17</xdr:col>
      <xdr:colOff>38101</xdr:colOff>
      <xdr:row>10</xdr:row>
      <xdr:rowOff>152400</xdr:rowOff>
    </xdr:to>
    <xdr:sp macro="" textlink="">
      <xdr:nvSpPr>
        <xdr:cNvPr id="3" name="TextBox 2">
          <a:extLst>
            <a:ext uri="{FF2B5EF4-FFF2-40B4-BE49-F238E27FC236}">
              <a16:creationId xmlns:a16="http://schemas.microsoft.com/office/drawing/2014/main" id="{F0801A9D-F661-48D2-85EB-B275855ED144}"/>
            </a:ext>
          </a:extLst>
        </xdr:cNvPr>
        <xdr:cNvSpPr txBox="1"/>
      </xdr:nvSpPr>
      <xdr:spPr>
        <a:xfrm>
          <a:off x="7915276"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8659DBB2-1C7A-48E4-9C61-A12D5DF856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7</xdr:col>
      <xdr:colOff>0</xdr:colOff>
      <xdr:row>1</xdr:row>
      <xdr:rowOff>0</xdr:rowOff>
    </xdr:from>
    <xdr:to>
      <xdr:col>17</xdr:col>
      <xdr:colOff>38100</xdr:colOff>
      <xdr:row>10</xdr:row>
      <xdr:rowOff>152400</xdr:rowOff>
    </xdr:to>
    <xdr:sp macro="" textlink="">
      <xdr:nvSpPr>
        <xdr:cNvPr id="4" name="TextBox 3">
          <a:extLst>
            <a:ext uri="{FF2B5EF4-FFF2-40B4-BE49-F238E27FC236}">
              <a16:creationId xmlns:a16="http://schemas.microsoft.com/office/drawing/2014/main" id="{3B4B62FB-474D-4253-8F66-6CCFEE79ED99}"/>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D1F23EA7-A399-4C18-A94E-2D88E19306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BA9EE600-4F2B-4E2A-A972-F6E3FF8033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32B8AC9D-93A0-4B35-B266-9D9A7FA33F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14</xdr:col>
      <xdr:colOff>0</xdr:colOff>
      <xdr:row>1</xdr:row>
      <xdr:rowOff>0</xdr:rowOff>
    </xdr:from>
    <xdr:to>
      <xdr:col>21</xdr:col>
      <xdr:colOff>304801</xdr:colOff>
      <xdr:row>8</xdr:row>
      <xdr:rowOff>66675</xdr:rowOff>
    </xdr:to>
    <xdr:sp macro="" textlink="">
      <xdr:nvSpPr>
        <xdr:cNvPr id="4" name="TextBox 3">
          <a:extLst>
            <a:ext uri="{FF2B5EF4-FFF2-40B4-BE49-F238E27FC236}">
              <a16:creationId xmlns:a16="http://schemas.microsoft.com/office/drawing/2014/main" id="{130DA05F-4C7D-4ADE-8725-9649906A5662}"/>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8F833BA8-AE39-4D45-AED4-196560C3F3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209085</xdr:colOff>
      <xdr:row>5</xdr:row>
      <xdr:rowOff>94439</xdr:rowOff>
    </xdr:to>
    <xdr:pic>
      <xdr:nvPicPr>
        <xdr:cNvPr id="2" name="Picture 1">
          <a:extLst>
            <a:ext uri="{FF2B5EF4-FFF2-40B4-BE49-F238E27FC236}">
              <a16:creationId xmlns:a16="http://schemas.microsoft.com/office/drawing/2014/main" id="{5EA1A195-DEF8-4D70-A4DF-28C139359E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89F859D2-801F-40CD-8B86-DD003EA501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348AC757-3DE9-46C7-950F-4D542411D8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A0957901-BA49-4C92-92B3-12B4792573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4A574AF4-6F8B-4AF4-A70B-EED3CAE033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212895</xdr:colOff>
      <xdr:row>5</xdr:row>
      <xdr:rowOff>98249</xdr:rowOff>
    </xdr:to>
    <xdr:pic>
      <xdr:nvPicPr>
        <xdr:cNvPr id="2" name="Picture 1">
          <a:extLst>
            <a:ext uri="{FF2B5EF4-FFF2-40B4-BE49-F238E27FC236}">
              <a16:creationId xmlns:a16="http://schemas.microsoft.com/office/drawing/2014/main" id="{20027438-363C-468E-A646-56C07FAB34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22D4FD6D-8EE5-457B-9F02-BD3E397B08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6E438100-7794-49E9-921B-40EC920E3A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CDD77903-602B-4CB8-B579-301FBDA0A1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2AFFDA7B-16D2-46B4-8293-12C70DC478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1251120</xdr:colOff>
      <xdr:row>5</xdr:row>
      <xdr:rowOff>94439</xdr:rowOff>
    </xdr:to>
    <xdr:pic>
      <xdr:nvPicPr>
        <xdr:cNvPr id="3" name="Picture 2">
          <a:extLst>
            <a:ext uri="{FF2B5EF4-FFF2-40B4-BE49-F238E27FC236}">
              <a16:creationId xmlns:a16="http://schemas.microsoft.com/office/drawing/2014/main" id="{601EB1DA-805D-4CD9-A570-E5663AC880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19</xdr:col>
      <xdr:colOff>0</xdr:colOff>
      <xdr:row>27</xdr:row>
      <xdr:rowOff>0</xdr:rowOff>
    </xdr:from>
    <xdr:to>
      <xdr:col>22</xdr:col>
      <xdr:colOff>424350</xdr:colOff>
      <xdr:row>31</xdr:row>
      <xdr:rowOff>90629</xdr:rowOff>
    </xdr:to>
    <xdr:pic>
      <xdr:nvPicPr>
        <xdr:cNvPr id="2" name="Picture 1">
          <a:extLst>
            <a:ext uri="{FF2B5EF4-FFF2-40B4-BE49-F238E27FC236}">
              <a16:creationId xmlns:a16="http://schemas.microsoft.com/office/drawing/2014/main" id="{F66CD18D-14A2-43FC-8B72-7D771B1090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36740" y="5067300"/>
          <a:ext cx="2253150" cy="822149"/>
        </a:xfrm>
        <a:prstGeom prst="rect">
          <a:avLst/>
        </a:prstGeom>
      </xdr:spPr>
    </xdr:pic>
    <xdr:clientData/>
  </xdr:twoCellAnchor>
  <xdr:twoCellAnchor editAs="oneCell">
    <xdr:from>
      <xdr:col>19</xdr:col>
      <xdr:colOff>152400</xdr:colOff>
      <xdr:row>27</xdr:row>
      <xdr:rowOff>152400</xdr:rowOff>
    </xdr:from>
    <xdr:to>
      <xdr:col>22</xdr:col>
      <xdr:colOff>576750</xdr:colOff>
      <xdr:row>32</xdr:row>
      <xdr:rowOff>52529</xdr:rowOff>
    </xdr:to>
    <xdr:pic>
      <xdr:nvPicPr>
        <xdr:cNvPr id="3" name="Picture 2">
          <a:extLst>
            <a:ext uri="{FF2B5EF4-FFF2-40B4-BE49-F238E27FC236}">
              <a16:creationId xmlns:a16="http://schemas.microsoft.com/office/drawing/2014/main" id="{7C0F6170-D7C7-4633-A373-6E914C9A80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89140" y="5219700"/>
          <a:ext cx="2253150" cy="814529"/>
        </a:xfrm>
        <a:prstGeom prst="rect">
          <a:avLst/>
        </a:prstGeom>
      </xdr:spPr>
    </xdr:pic>
    <xdr:clientData/>
  </xdr:twoCellAnchor>
  <xdr:twoCellAnchor editAs="oneCell">
    <xdr:from>
      <xdr:col>0</xdr:col>
      <xdr:colOff>57150</xdr:colOff>
      <xdr:row>1</xdr:row>
      <xdr:rowOff>0</xdr:rowOff>
    </xdr:from>
    <xdr:to>
      <xdr:col>1</xdr:col>
      <xdr:colOff>1253025</xdr:colOff>
      <xdr:row>5</xdr:row>
      <xdr:rowOff>90629</xdr:rowOff>
    </xdr:to>
    <xdr:pic>
      <xdr:nvPicPr>
        <xdr:cNvPr id="5" name="Picture 4">
          <a:extLst>
            <a:ext uri="{FF2B5EF4-FFF2-40B4-BE49-F238E27FC236}">
              <a16:creationId xmlns:a16="http://schemas.microsoft.com/office/drawing/2014/main" id="{091021DC-B0C8-4FF3-B7AC-015A87466D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A045F157-9819-4810-B485-34615BA495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652950</xdr:colOff>
      <xdr:row>5</xdr:row>
      <xdr:rowOff>90629</xdr:rowOff>
    </xdr:to>
    <xdr:pic>
      <xdr:nvPicPr>
        <xdr:cNvPr id="2" name="Picture 1">
          <a:extLst>
            <a:ext uri="{FF2B5EF4-FFF2-40B4-BE49-F238E27FC236}">
              <a16:creationId xmlns:a16="http://schemas.microsoft.com/office/drawing/2014/main" id="{9F6377AE-629D-43BE-BDE4-F6A75ECC12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82880"/>
          <a:ext cx="2241720" cy="822149"/>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652950</xdr:colOff>
      <xdr:row>5</xdr:row>
      <xdr:rowOff>90629</xdr:rowOff>
    </xdr:to>
    <xdr:pic>
      <xdr:nvPicPr>
        <xdr:cNvPr id="2" name="Picture 1">
          <a:extLst>
            <a:ext uri="{FF2B5EF4-FFF2-40B4-BE49-F238E27FC236}">
              <a16:creationId xmlns:a16="http://schemas.microsoft.com/office/drawing/2014/main" id="{48A32FDF-CA0B-4C0F-BC3E-D1E8C5EB72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82880"/>
          <a:ext cx="2241720" cy="822149"/>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2" name="Picture 1">
          <a:extLst>
            <a:ext uri="{FF2B5EF4-FFF2-40B4-BE49-F238E27FC236}">
              <a16:creationId xmlns:a16="http://schemas.microsoft.com/office/drawing/2014/main" id="{9B37D2CB-AEF0-409A-AA70-6088C00622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82880"/>
          <a:ext cx="2251245" cy="822149"/>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2" name="Picture 1">
          <a:extLst>
            <a:ext uri="{FF2B5EF4-FFF2-40B4-BE49-F238E27FC236}">
              <a16:creationId xmlns:a16="http://schemas.microsoft.com/office/drawing/2014/main" id="{9491BC7D-381F-4EA7-A6A3-33F68A3E39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82880"/>
          <a:ext cx="2251245" cy="822149"/>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3</xdr:col>
      <xdr:colOff>167175</xdr:colOff>
      <xdr:row>5</xdr:row>
      <xdr:rowOff>90629</xdr:rowOff>
    </xdr:to>
    <xdr:pic>
      <xdr:nvPicPr>
        <xdr:cNvPr id="2" name="Picture 1">
          <a:extLst>
            <a:ext uri="{FF2B5EF4-FFF2-40B4-BE49-F238E27FC236}">
              <a16:creationId xmlns:a16="http://schemas.microsoft.com/office/drawing/2014/main" id="{5DD37A3C-8C81-485C-82A5-34FC99AF15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12</xdr:col>
      <xdr:colOff>47625</xdr:colOff>
      <xdr:row>13</xdr:row>
      <xdr:rowOff>85725</xdr:rowOff>
    </xdr:from>
    <xdr:to>
      <xdr:col>18</xdr:col>
      <xdr:colOff>133350</xdr:colOff>
      <xdr:row>21</xdr:row>
      <xdr:rowOff>123825</xdr:rowOff>
    </xdr:to>
    <xdr:sp macro="" textlink="">
      <xdr:nvSpPr>
        <xdr:cNvPr id="3" name="TextBox 2">
          <a:extLst>
            <a:ext uri="{FF2B5EF4-FFF2-40B4-BE49-F238E27FC236}">
              <a16:creationId xmlns:a16="http://schemas.microsoft.com/office/drawing/2014/main" id="{75BDF06B-DD88-843B-6295-DDE927E9FD57}"/>
            </a:ext>
          </a:extLst>
        </xdr:cNvPr>
        <xdr:cNvSpPr txBox="1"/>
      </xdr:nvSpPr>
      <xdr:spPr>
        <a:xfrm>
          <a:off x="9582150" y="2562225"/>
          <a:ext cx="4105275" cy="156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66675</xdr:colOff>
      <xdr:row>1</xdr:row>
      <xdr:rowOff>9525</xdr:rowOff>
    </xdr:from>
    <xdr:to>
      <xdr:col>0</xdr:col>
      <xdr:colOff>2262675</xdr:colOff>
      <xdr:row>5</xdr:row>
      <xdr:rowOff>100154</xdr:rowOff>
    </xdr:to>
    <xdr:pic>
      <xdr:nvPicPr>
        <xdr:cNvPr id="2" name="Picture 1">
          <a:extLst>
            <a:ext uri="{FF2B5EF4-FFF2-40B4-BE49-F238E27FC236}">
              <a16:creationId xmlns:a16="http://schemas.microsoft.com/office/drawing/2014/main" id="{786D9F82-9151-4478-B676-33C1F49656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200025"/>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7"/>
  <sheetViews>
    <sheetView tabSelected="1" workbookViewId="0">
      <pane xSplit="1" ySplit="12" topLeftCell="B13" activePane="bottomRight" state="frozen"/>
      <selection pane="bottomRight"/>
      <selection pane="bottomLeft" activeCell="A13" sqref="A13"/>
      <selection pane="topRight" activeCell="B1" sqref="B1"/>
    </sheetView>
  </sheetViews>
  <sheetFormatPr defaultColWidth="8.85546875" defaultRowHeight="15"/>
  <cols>
    <col min="1" max="1" width="30.7109375" style="1" customWidth="1"/>
    <col min="2" max="2" width="13.28515625" style="1" customWidth="1"/>
    <col min="3" max="3" width="3.28515625" style="1" customWidth="1"/>
    <col min="4" max="4" width="81" style="1" customWidth="1"/>
    <col min="5" max="16384" width="8.85546875" style="1"/>
  </cols>
  <sheetData>
    <row r="1" spans="1:5">
      <c r="A1" s="29"/>
      <c r="B1" s="29"/>
      <c r="C1" s="29"/>
      <c r="D1" s="29"/>
    </row>
    <row r="2" spans="1:5">
      <c r="A2" s="29"/>
      <c r="B2" s="29"/>
      <c r="C2" s="29"/>
      <c r="D2" s="29"/>
    </row>
    <row r="3" spans="1:5">
      <c r="A3" s="29"/>
      <c r="B3" s="29"/>
      <c r="C3" s="29"/>
      <c r="D3" s="29"/>
    </row>
    <row r="4" spans="1:5">
      <c r="A4" s="29"/>
      <c r="B4" s="29"/>
      <c r="C4" s="29"/>
      <c r="D4" s="29"/>
    </row>
    <row r="5" spans="1:5">
      <c r="A5" s="29"/>
      <c r="B5" s="29"/>
      <c r="C5" s="29"/>
      <c r="D5" s="29"/>
    </row>
    <row r="6" spans="1:5">
      <c r="A6" s="29"/>
      <c r="B6" s="29"/>
      <c r="C6" s="29"/>
      <c r="D6" s="29"/>
    </row>
    <row r="7" spans="1:5">
      <c r="A7" s="29"/>
      <c r="B7" s="29"/>
      <c r="C7" s="29"/>
      <c r="D7" s="29"/>
    </row>
    <row r="8" spans="1:5">
      <c r="A8" s="30" t="s">
        <v>0</v>
      </c>
      <c r="B8" s="29"/>
      <c r="C8" s="29"/>
      <c r="D8" s="29"/>
    </row>
    <row r="9" spans="1:5">
      <c r="A9" s="29" t="s">
        <v>1</v>
      </c>
      <c r="B9" s="29"/>
      <c r="C9" s="29"/>
      <c r="D9" s="56" t="s">
        <v>2</v>
      </c>
    </row>
    <row r="10" spans="1:5">
      <c r="A10" s="116" t="s">
        <v>3</v>
      </c>
      <c r="B10" s="116"/>
      <c r="C10" s="116"/>
      <c r="D10" s="117" t="s">
        <v>4</v>
      </c>
    </row>
    <row r="11" spans="1:5">
      <c r="A11" s="32"/>
      <c r="B11" s="32"/>
      <c r="C11" s="32"/>
      <c r="D11" s="32"/>
    </row>
    <row r="12" spans="1:5">
      <c r="A12" s="32"/>
      <c r="B12" s="33" t="s">
        <v>5</v>
      </c>
      <c r="C12" s="33"/>
      <c r="D12" s="33" t="s">
        <v>6</v>
      </c>
    </row>
    <row r="13" spans="1:5">
      <c r="A13" s="35" t="s">
        <v>7</v>
      </c>
      <c r="B13" s="1">
        <v>1</v>
      </c>
      <c r="D13" s="1" t="s">
        <v>8</v>
      </c>
      <c r="E13" s="106"/>
    </row>
    <row r="14" spans="1:5">
      <c r="A14" s="35"/>
      <c r="B14" s="1">
        <v>2</v>
      </c>
      <c r="D14" s="1" t="s">
        <v>9</v>
      </c>
    </row>
    <row r="15" spans="1:5">
      <c r="A15" s="35"/>
    </row>
    <row r="16" spans="1:5">
      <c r="A16" s="35" t="s">
        <v>10</v>
      </c>
      <c r="B16" s="1">
        <v>3</v>
      </c>
      <c r="D16" s="1" t="s">
        <v>11</v>
      </c>
    </row>
    <row r="17" spans="1:4">
      <c r="A17" s="35"/>
      <c r="B17" s="1">
        <v>4</v>
      </c>
      <c r="D17" s="1" t="s">
        <v>12</v>
      </c>
    </row>
    <row r="18" spans="1:4">
      <c r="A18" s="35"/>
      <c r="B18" s="1">
        <v>5</v>
      </c>
      <c r="D18" s="1" t="s">
        <v>13</v>
      </c>
    </row>
    <row r="19" spans="1:4">
      <c r="A19" s="35"/>
      <c r="B19" s="1">
        <v>6</v>
      </c>
      <c r="D19" s="1" t="s">
        <v>14</v>
      </c>
    </row>
    <row r="20" spans="1:4">
      <c r="A20" s="35"/>
      <c r="B20" s="1">
        <v>7</v>
      </c>
      <c r="D20" s="1" t="s">
        <v>15</v>
      </c>
    </row>
    <row r="21" spans="1:4">
      <c r="A21" s="35"/>
      <c r="B21" s="1">
        <v>8</v>
      </c>
      <c r="D21" s="1" t="s">
        <v>16</v>
      </c>
    </row>
    <row r="22" spans="1:4">
      <c r="A22" s="35"/>
      <c r="B22" s="1">
        <v>9</v>
      </c>
      <c r="D22" s="1" t="s">
        <v>17</v>
      </c>
    </row>
    <row r="23" spans="1:4">
      <c r="A23" s="35"/>
      <c r="B23" s="1">
        <v>10</v>
      </c>
      <c r="D23" s="1" t="s">
        <v>18</v>
      </c>
    </row>
    <row r="24" spans="1:4">
      <c r="A24" s="35"/>
      <c r="B24" s="1">
        <v>11</v>
      </c>
      <c r="D24" s="9" t="s">
        <v>19</v>
      </c>
    </row>
    <row r="25" spans="1:4">
      <c r="A25" s="35"/>
      <c r="B25" s="1">
        <v>12</v>
      </c>
      <c r="D25" s="9" t="s">
        <v>20</v>
      </c>
    </row>
    <row r="26" spans="1:4">
      <c r="A26" s="35"/>
      <c r="B26" s="1">
        <v>13</v>
      </c>
      <c r="D26" s="9" t="s">
        <v>21</v>
      </c>
    </row>
    <row r="27" spans="1:4">
      <c r="A27" s="35"/>
      <c r="B27" s="1">
        <v>14</v>
      </c>
      <c r="D27" s="9" t="s">
        <v>22</v>
      </c>
    </row>
    <row r="28" spans="1:4">
      <c r="A28" s="35"/>
      <c r="B28" s="1">
        <v>15</v>
      </c>
      <c r="D28" s="1" t="s">
        <v>23</v>
      </c>
    </row>
    <row r="29" spans="1:4">
      <c r="A29" s="35"/>
      <c r="B29" s="1">
        <v>16</v>
      </c>
      <c r="D29" s="1" t="s">
        <v>24</v>
      </c>
    </row>
    <row r="30" spans="1:4">
      <c r="A30" s="35"/>
      <c r="B30" s="1">
        <v>17</v>
      </c>
      <c r="D30" s="1" t="s">
        <v>25</v>
      </c>
    </row>
    <row r="31" spans="1:4">
      <c r="A31" s="35"/>
      <c r="B31" s="1">
        <v>18</v>
      </c>
      <c r="D31" s="1" t="s">
        <v>26</v>
      </c>
    </row>
    <row r="32" spans="1:4">
      <c r="A32" s="35"/>
      <c r="B32" s="1">
        <v>19</v>
      </c>
      <c r="D32" s="1" t="s">
        <v>27</v>
      </c>
    </row>
    <row r="33" spans="1:4">
      <c r="A33" s="35"/>
      <c r="B33" s="1">
        <v>20</v>
      </c>
      <c r="D33" s="1" t="s">
        <v>28</v>
      </c>
    </row>
    <row r="34" spans="1:4">
      <c r="A34" s="35"/>
      <c r="B34" s="1">
        <v>21</v>
      </c>
      <c r="D34" s="1" t="s">
        <v>29</v>
      </c>
    </row>
    <row r="35" spans="1:4">
      <c r="A35" s="35"/>
      <c r="B35" s="1">
        <v>22</v>
      </c>
      <c r="D35" s="1" t="s">
        <v>30</v>
      </c>
    </row>
    <row r="36" spans="1:4">
      <c r="A36" s="35"/>
      <c r="B36" s="1">
        <v>23</v>
      </c>
      <c r="D36" s="1" t="s">
        <v>31</v>
      </c>
    </row>
    <row r="37" spans="1:4">
      <c r="A37" s="35"/>
      <c r="B37" s="1">
        <v>24</v>
      </c>
      <c r="D37" s="1" t="s">
        <v>32</v>
      </c>
    </row>
    <row r="38" spans="1:4">
      <c r="A38" s="35"/>
      <c r="B38" s="1">
        <v>25</v>
      </c>
      <c r="D38" s="1" t="s">
        <v>33</v>
      </c>
    </row>
    <row r="39" spans="1:4">
      <c r="A39" s="35"/>
      <c r="B39" s="1">
        <v>26</v>
      </c>
      <c r="D39" s="1" t="s">
        <v>34</v>
      </c>
    </row>
    <row r="40" spans="1:4">
      <c r="A40" s="35"/>
      <c r="B40" s="1">
        <v>27</v>
      </c>
      <c r="D40" s="1" t="s">
        <v>35</v>
      </c>
    </row>
    <row r="41" spans="1:4">
      <c r="A41" s="35"/>
      <c r="B41" s="1">
        <v>28</v>
      </c>
      <c r="D41" s="1" t="s">
        <v>36</v>
      </c>
    </row>
    <row r="42" spans="1:4">
      <c r="A42" s="35"/>
      <c r="B42" s="1">
        <v>29</v>
      </c>
      <c r="D42" s="1" t="s">
        <v>37</v>
      </c>
    </row>
    <row r="43" spans="1:4">
      <c r="A43" s="35"/>
    </row>
    <row r="44" spans="1:4">
      <c r="A44" s="35" t="s">
        <v>38</v>
      </c>
      <c r="B44" s="1">
        <v>30</v>
      </c>
      <c r="D44" s="1" t="s">
        <v>39</v>
      </c>
    </row>
    <row r="45" spans="1:4">
      <c r="A45" s="35"/>
      <c r="B45" s="1">
        <v>31</v>
      </c>
      <c r="D45" s="1" t="s">
        <v>40</v>
      </c>
    </row>
    <row r="46" spans="1:4">
      <c r="A46" s="35"/>
    </row>
    <row r="47" spans="1:4">
      <c r="A47" s="35" t="s">
        <v>41</v>
      </c>
      <c r="B47" s="149">
        <v>32</v>
      </c>
      <c r="C47" s="149"/>
      <c r="D47" s="149" t="s">
        <v>8</v>
      </c>
    </row>
    <row r="48" spans="1:4">
      <c r="A48" s="35"/>
      <c r="B48" s="149">
        <v>33</v>
      </c>
      <c r="C48" s="149"/>
      <c r="D48" s="149" t="s">
        <v>42</v>
      </c>
    </row>
    <row r="49" spans="1:4">
      <c r="A49" s="35"/>
      <c r="B49" s="1">
        <v>34</v>
      </c>
      <c r="D49" s="9" t="s">
        <v>43</v>
      </c>
    </row>
    <row r="50" spans="1:4">
      <c r="A50" s="34"/>
      <c r="B50" s="1">
        <v>35</v>
      </c>
      <c r="D50" s="9" t="s">
        <v>44</v>
      </c>
    </row>
    <row r="51" spans="1:4">
      <c r="A51" s="35"/>
      <c r="B51" s="1">
        <v>36</v>
      </c>
      <c r="D51" s="1" t="s">
        <v>25</v>
      </c>
    </row>
    <row r="52" spans="1:4">
      <c r="A52" s="35"/>
      <c r="B52" s="1">
        <v>37</v>
      </c>
      <c r="D52" s="1" t="s">
        <v>45</v>
      </c>
    </row>
    <row r="53" spans="1:4">
      <c r="A53" s="35"/>
    </row>
    <row r="54" spans="1:4">
      <c r="A54" s="35" t="s">
        <v>46</v>
      </c>
      <c r="B54" s="1">
        <v>38</v>
      </c>
      <c r="D54" s="1" t="s">
        <v>47</v>
      </c>
    </row>
    <row r="55" spans="1:4">
      <c r="A55" s="35"/>
    </row>
    <row r="56" spans="1:4">
      <c r="A56" s="35" t="s">
        <v>48</v>
      </c>
      <c r="B56" s="1">
        <v>39</v>
      </c>
      <c r="D56" s="1" t="s">
        <v>48</v>
      </c>
    </row>
    <row r="57" spans="1:4">
      <c r="A57" s="118"/>
      <c r="B57" s="119"/>
      <c r="C57" s="119"/>
      <c r="D57" s="119"/>
    </row>
  </sheetData>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5"/>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c r="A1" s="29"/>
      <c r="B1" s="29"/>
      <c r="C1" s="30"/>
      <c r="D1" s="29"/>
      <c r="E1" s="29"/>
      <c r="F1" s="29"/>
      <c r="G1" s="30"/>
      <c r="H1" s="29"/>
      <c r="I1" s="29"/>
      <c r="J1" s="29"/>
      <c r="K1" s="30"/>
      <c r="L1" s="29"/>
      <c r="M1" s="29"/>
      <c r="N1" s="29"/>
      <c r="O1" s="30"/>
      <c r="P1" s="29"/>
      <c r="Q1" s="29"/>
      <c r="R1" s="29"/>
      <c r="S1" s="30"/>
      <c r="T1" s="29"/>
      <c r="U1" s="29"/>
      <c r="V1" s="29"/>
      <c r="W1" s="30"/>
      <c r="X1" s="29"/>
      <c r="Y1" s="29"/>
    </row>
    <row r="2" spans="1:26">
      <c r="A2" s="29"/>
      <c r="B2" s="29"/>
      <c r="C2" s="30"/>
      <c r="D2" s="29"/>
      <c r="E2" s="29"/>
      <c r="F2" s="29"/>
      <c r="G2" s="30"/>
      <c r="H2" s="29"/>
      <c r="I2" s="29"/>
      <c r="J2" s="29"/>
      <c r="K2" s="30"/>
      <c r="L2" s="29"/>
      <c r="M2" s="29"/>
      <c r="N2" s="29"/>
      <c r="O2" s="30"/>
      <c r="P2" s="29"/>
      <c r="Q2" s="29"/>
      <c r="R2" s="29"/>
      <c r="S2" s="30"/>
      <c r="T2" s="29"/>
      <c r="U2" s="29"/>
      <c r="V2" s="29"/>
      <c r="W2" s="30"/>
      <c r="X2" s="29"/>
      <c r="Y2" s="29"/>
    </row>
    <row r="3" spans="1:26">
      <c r="A3" s="29"/>
      <c r="B3" s="29"/>
      <c r="C3" s="30"/>
      <c r="D3" s="29"/>
      <c r="E3" s="29"/>
      <c r="F3" s="29"/>
      <c r="G3" s="30"/>
      <c r="H3" s="29"/>
      <c r="I3" s="29"/>
      <c r="J3" s="29"/>
      <c r="K3" s="30"/>
      <c r="L3" s="29"/>
      <c r="M3" s="29"/>
      <c r="N3" s="29"/>
      <c r="O3" s="30"/>
      <c r="P3" s="29"/>
      <c r="Q3" s="29"/>
      <c r="R3" s="29"/>
      <c r="S3" s="30"/>
      <c r="T3" s="29"/>
      <c r="U3" s="29"/>
      <c r="V3" s="29"/>
      <c r="W3" s="30"/>
      <c r="X3" s="29"/>
      <c r="Y3" s="29"/>
    </row>
    <row r="4" spans="1:26">
      <c r="A4" s="29"/>
      <c r="B4" s="29"/>
      <c r="C4" s="30"/>
      <c r="D4" s="29"/>
      <c r="E4" s="29"/>
      <c r="F4" s="29"/>
      <c r="G4" s="30"/>
      <c r="H4" s="29"/>
      <c r="I4" s="29"/>
      <c r="J4" s="29"/>
      <c r="K4" s="30"/>
      <c r="L4" s="29"/>
      <c r="M4" s="29"/>
      <c r="N4" s="29"/>
      <c r="O4" s="30"/>
      <c r="P4" s="29"/>
      <c r="Q4" s="29"/>
      <c r="R4" s="29"/>
      <c r="S4" s="30"/>
      <c r="T4" s="29"/>
      <c r="U4" s="29"/>
      <c r="V4" s="29"/>
      <c r="W4" s="30"/>
      <c r="X4" s="29"/>
      <c r="Y4" s="29"/>
    </row>
    <row r="5" spans="1:26">
      <c r="A5" s="29"/>
      <c r="B5" s="29"/>
      <c r="C5" s="30"/>
      <c r="D5" s="29"/>
      <c r="E5" s="29"/>
      <c r="F5" s="29"/>
      <c r="G5" s="30"/>
      <c r="H5" s="29"/>
      <c r="I5" s="29"/>
      <c r="J5" s="29"/>
      <c r="K5" s="30"/>
      <c r="L5" s="29"/>
      <c r="M5" s="29"/>
      <c r="N5" s="29"/>
      <c r="O5" s="30"/>
      <c r="P5" s="29"/>
      <c r="Q5" s="29"/>
      <c r="R5" s="29"/>
      <c r="S5" s="30"/>
      <c r="T5" s="29"/>
      <c r="U5" s="29"/>
      <c r="V5" s="29"/>
      <c r="W5" s="30"/>
      <c r="X5" s="29"/>
      <c r="Y5" s="29"/>
    </row>
    <row r="6" spans="1:26">
      <c r="A6" s="29"/>
      <c r="B6" s="29"/>
      <c r="C6" s="30"/>
      <c r="D6" s="29"/>
      <c r="E6" s="29"/>
      <c r="F6" s="29"/>
      <c r="G6" s="30"/>
      <c r="H6" s="29"/>
      <c r="I6" s="29"/>
      <c r="J6" s="29"/>
      <c r="K6" s="30"/>
      <c r="L6" s="29"/>
      <c r="M6" s="29"/>
      <c r="N6" s="29"/>
      <c r="O6" s="30"/>
      <c r="P6" s="29"/>
      <c r="Q6" s="29"/>
      <c r="R6" s="29"/>
      <c r="S6" s="30"/>
      <c r="T6" s="29"/>
      <c r="U6" s="29"/>
      <c r="V6" s="29"/>
      <c r="W6" s="30"/>
      <c r="X6" s="29"/>
      <c r="Y6" s="29"/>
    </row>
    <row r="7" spans="1:26">
      <c r="A7" s="29"/>
      <c r="B7" s="29"/>
      <c r="C7" s="30"/>
      <c r="D7" s="29"/>
      <c r="E7" s="29"/>
      <c r="F7" s="29"/>
      <c r="G7" s="30"/>
      <c r="H7" s="29"/>
      <c r="I7" s="29"/>
      <c r="J7" s="29"/>
      <c r="K7" s="30"/>
      <c r="L7" s="29"/>
      <c r="M7" s="29"/>
      <c r="N7" s="29"/>
      <c r="O7" s="30"/>
      <c r="P7" s="29"/>
      <c r="Q7" s="29"/>
      <c r="R7" s="29"/>
      <c r="S7" s="30"/>
      <c r="T7" s="29"/>
      <c r="U7" s="29"/>
      <c r="V7" s="29"/>
      <c r="W7" s="30"/>
      <c r="X7" s="29"/>
      <c r="Y7" s="29"/>
    </row>
    <row r="8" spans="1:26">
      <c r="A8" s="30" t="s">
        <v>0</v>
      </c>
      <c r="B8" s="29"/>
      <c r="C8" s="30"/>
      <c r="D8" s="29"/>
      <c r="E8" s="29"/>
      <c r="F8" s="29"/>
      <c r="G8" s="30"/>
      <c r="H8" s="29"/>
      <c r="I8" s="29"/>
      <c r="J8" s="29"/>
      <c r="K8" s="30"/>
      <c r="L8" s="29"/>
      <c r="M8" s="29"/>
      <c r="N8" s="29"/>
      <c r="O8" s="30"/>
      <c r="P8" s="29"/>
      <c r="Q8" s="29"/>
      <c r="R8" s="29"/>
      <c r="S8" s="30"/>
      <c r="T8" s="29"/>
      <c r="U8" s="29"/>
      <c r="V8" s="29"/>
      <c r="W8" s="30"/>
      <c r="X8" s="29"/>
      <c r="Y8" s="29"/>
    </row>
    <row r="9" spans="1:26">
      <c r="A9" s="29" t="s">
        <v>1</v>
      </c>
      <c r="B9" s="90" t="s">
        <v>2</v>
      </c>
      <c r="C9" s="30"/>
      <c r="D9" s="29"/>
      <c r="E9" s="29"/>
      <c r="F9" s="29"/>
      <c r="G9" s="30"/>
      <c r="H9" s="29"/>
      <c r="I9" s="29"/>
      <c r="J9" s="29"/>
      <c r="K9" s="30"/>
      <c r="L9" s="29"/>
      <c r="M9" s="29"/>
      <c r="N9" s="29"/>
      <c r="O9" s="30"/>
      <c r="P9" s="29"/>
      <c r="Q9" s="29"/>
      <c r="R9" s="29"/>
      <c r="S9" s="30"/>
      <c r="T9" s="29"/>
      <c r="U9" s="29"/>
      <c r="V9" s="29"/>
      <c r="W9" s="30"/>
      <c r="X9" s="29"/>
      <c r="Y9" s="29"/>
    </row>
    <row r="10" spans="1:26">
      <c r="A10" s="29" t="s">
        <v>49</v>
      </c>
      <c r="B10" s="31">
        <v>1</v>
      </c>
      <c r="C10" s="30"/>
      <c r="D10" s="29"/>
      <c r="E10" s="29"/>
      <c r="F10" s="29"/>
      <c r="G10" s="30"/>
      <c r="H10" s="29"/>
      <c r="I10" s="29"/>
      <c r="J10" s="29"/>
      <c r="K10" s="30"/>
      <c r="L10" s="29"/>
      <c r="M10" s="29"/>
      <c r="N10" s="29"/>
      <c r="O10" s="30"/>
      <c r="P10" s="29"/>
      <c r="Q10" s="29"/>
      <c r="R10" s="29"/>
      <c r="S10" s="30"/>
      <c r="T10" s="29"/>
      <c r="U10" s="29"/>
      <c r="V10" s="29"/>
      <c r="W10" s="30"/>
      <c r="X10" s="29"/>
      <c r="Y10" s="29"/>
    </row>
    <row r="11" spans="1:26">
      <c r="A11" s="29" t="s">
        <v>3</v>
      </c>
      <c r="B11" s="30" t="s">
        <v>8</v>
      </c>
      <c r="C11" s="30"/>
      <c r="D11" s="29"/>
      <c r="E11" s="29"/>
      <c r="F11" s="29"/>
      <c r="G11" s="30"/>
      <c r="H11" s="29"/>
      <c r="I11" s="29"/>
      <c r="J11" s="29"/>
      <c r="K11" s="30"/>
      <c r="L11" s="29"/>
      <c r="M11" s="29"/>
      <c r="N11" s="29"/>
      <c r="O11" s="30"/>
      <c r="P11" s="29"/>
      <c r="Q11" s="29"/>
      <c r="R11" s="29"/>
      <c r="S11" s="30"/>
      <c r="T11" s="29"/>
      <c r="U11" s="29"/>
      <c r="V11" s="29"/>
      <c r="W11" s="30"/>
      <c r="X11" s="29"/>
      <c r="Y11" s="29"/>
    </row>
    <row r="12" spans="1:26">
      <c r="A12" s="116" t="s">
        <v>50</v>
      </c>
      <c r="B12" s="117" t="s">
        <v>51</v>
      </c>
      <c r="C12" s="117"/>
      <c r="D12" s="116"/>
      <c r="E12" s="116"/>
      <c r="F12" s="116"/>
      <c r="G12" s="117"/>
      <c r="H12" s="116"/>
      <c r="I12" s="116"/>
      <c r="J12" s="116"/>
      <c r="K12" s="117"/>
      <c r="L12" s="116"/>
      <c r="M12" s="116"/>
      <c r="N12" s="116"/>
      <c r="O12" s="117"/>
      <c r="P12" s="116"/>
      <c r="Q12" s="116"/>
      <c r="R12" s="116"/>
      <c r="S12" s="117"/>
      <c r="T12" s="116"/>
      <c r="U12" s="116"/>
      <c r="V12" s="116"/>
      <c r="W12" s="117"/>
      <c r="X12" s="116"/>
      <c r="Y12" s="116"/>
    </row>
    <row r="13" spans="1:26" s="95" customFormat="1" ht="24.95" customHeight="1">
      <c r="A13" s="93"/>
      <c r="B13" s="93"/>
      <c r="C13" s="182" t="s">
        <v>52</v>
      </c>
      <c r="D13" s="182"/>
      <c r="E13" s="182"/>
      <c r="F13" s="182"/>
      <c r="G13" s="182"/>
      <c r="H13" s="182"/>
      <c r="I13" s="182"/>
      <c r="J13" s="94"/>
      <c r="K13" s="182" t="s">
        <v>53</v>
      </c>
      <c r="L13" s="182"/>
      <c r="M13" s="182"/>
      <c r="N13" s="182"/>
      <c r="O13" s="182"/>
      <c r="P13" s="182"/>
      <c r="Q13" s="182"/>
      <c r="R13" s="94"/>
      <c r="S13" s="182" t="s">
        <v>54</v>
      </c>
      <c r="T13" s="182"/>
      <c r="U13" s="182"/>
      <c r="V13" s="182"/>
      <c r="W13" s="182"/>
      <c r="X13" s="182"/>
      <c r="Y13" s="182"/>
    </row>
    <row r="14" spans="1:26" s="2" customFormat="1">
      <c r="A14" s="33"/>
      <c r="B14" s="33"/>
      <c r="C14" s="181" t="s">
        <v>55</v>
      </c>
      <c r="D14" s="181"/>
      <c r="E14" s="181"/>
      <c r="F14" s="57"/>
      <c r="G14" s="181" t="s">
        <v>56</v>
      </c>
      <c r="H14" s="181"/>
      <c r="I14" s="181"/>
      <c r="J14" s="65"/>
      <c r="K14" s="181" t="s">
        <v>55</v>
      </c>
      <c r="L14" s="181"/>
      <c r="M14" s="181"/>
      <c r="N14" s="57"/>
      <c r="O14" s="181" t="s">
        <v>56</v>
      </c>
      <c r="P14" s="181"/>
      <c r="Q14" s="181"/>
      <c r="R14" s="65"/>
      <c r="S14" s="181" t="s">
        <v>55</v>
      </c>
      <c r="T14" s="181"/>
      <c r="U14" s="181"/>
      <c r="V14" s="57"/>
      <c r="W14" s="181" t="s">
        <v>56</v>
      </c>
      <c r="X14" s="181"/>
      <c r="Y14" s="181"/>
    </row>
    <row r="15" spans="1:26" s="2" customFormat="1" ht="17.25">
      <c r="A15" s="33"/>
      <c r="B15" s="33"/>
      <c r="C15" s="37" t="s">
        <v>57</v>
      </c>
      <c r="D15" s="37" t="s">
        <v>58</v>
      </c>
      <c r="E15" s="37" t="s">
        <v>59</v>
      </c>
      <c r="F15" s="37"/>
      <c r="G15" s="37" t="s">
        <v>60</v>
      </c>
      <c r="H15" s="37" t="s">
        <v>58</v>
      </c>
      <c r="I15" s="37" t="s">
        <v>59</v>
      </c>
      <c r="J15" s="37"/>
      <c r="K15" s="37" t="s">
        <v>57</v>
      </c>
      <c r="L15" s="37" t="s">
        <v>58</v>
      </c>
      <c r="M15" s="37" t="s">
        <v>59</v>
      </c>
      <c r="N15" s="37"/>
      <c r="O15" s="37" t="s">
        <v>60</v>
      </c>
      <c r="P15" s="37" t="s">
        <v>58</v>
      </c>
      <c r="Q15" s="37" t="s">
        <v>59</v>
      </c>
      <c r="R15" s="37"/>
      <c r="S15" s="37" t="s">
        <v>57</v>
      </c>
      <c r="T15" s="37" t="s">
        <v>58</v>
      </c>
      <c r="U15" s="37" t="s">
        <v>59</v>
      </c>
      <c r="V15" s="37"/>
      <c r="W15" s="37" t="s">
        <v>60</v>
      </c>
      <c r="X15" s="37" t="s">
        <v>58</v>
      </c>
      <c r="Y15" s="37" t="s">
        <v>59</v>
      </c>
    </row>
    <row r="16" spans="1:26">
      <c r="A16" s="180" t="s">
        <v>57</v>
      </c>
      <c r="B16" s="180"/>
      <c r="C16" s="28">
        <v>0.85544795004655749</v>
      </c>
      <c r="D16" s="28">
        <v>0.85916717511669649</v>
      </c>
      <c r="E16" s="28">
        <v>0.85324878371030721</v>
      </c>
      <c r="F16" s="28"/>
      <c r="G16" s="101">
        <v>19187077.863524184</v>
      </c>
      <c r="H16" s="101">
        <v>9431927.7987960801</v>
      </c>
      <c r="I16" s="101">
        <v>9661932.2049446106</v>
      </c>
      <c r="J16" s="47"/>
      <c r="K16" s="28">
        <v>0.67738112330035094</v>
      </c>
      <c r="L16" s="28">
        <v>0.67207792949722456</v>
      </c>
      <c r="M16" s="28">
        <v>0.68397656546777885</v>
      </c>
      <c r="N16" s="28"/>
      <c r="O16" s="101">
        <v>15193167.924872523</v>
      </c>
      <c r="P16" s="101">
        <v>7378064.1181050595</v>
      </c>
      <c r="Q16" s="101">
        <v>7745144.5949722566</v>
      </c>
      <c r="R16" s="47"/>
      <c r="S16" s="28">
        <v>0.49015856907536592</v>
      </c>
      <c r="T16" s="28">
        <v>0.47802590024665148</v>
      </c>
      <c r="U16" s="28">
        <v>0.50306993631010954</v>
      </c>
      <c r="V16" s="28"/>
      <c r="W16" s="101">
        <v>10993901.650954679</v>
      </c>
      <c r="X16" s="101">
        <v>5247763.0752926739</v>
      </c>
      <c r="Y16" s="101">
        <v>5696612.4203985371</v>
      </c>
      <c r="Z16" s="2"/>
    </row>
    <row r="17" spans="1:26">
      <c r="A17" s="34" t="s">
        <v>61</v>
      </c>
      <c r="B17" s="34"/>
      <c r="C17" s="28"/>
      <c r="D17" s="102"/>
      <c r="E17" s="102"/>
      <c r="F17" s="2"/>
      <c r="G17" s="101"/>
      <c r="H17" s="103"/>
      <c r="I17" s="103"/>
      <c r="J17" s="49"/>
      <c r="K17" s="28"/>
      <c r="L17" s="102"/>
      <c r="M17" s="102"/>
      <c r="N17" s="2"/>
      <c r="O17" s="101"/>
      <c r="P17" s="103"/>
      <c r="Q17" s="103"/>
      <c r="R17" s="49"/>
      <c r="S17" s="28"/>
      <c r="T17" s="102"/>
      <c r="U17" s="102"/>
      <c r="V17" s="2"/>
      <c r="W17" s="101"/>
      <c r="X17" s="103"/>
      <c r="Y17" s="103"/>
      <c r="Z17" s="2"/>
    </row>
    <row r="18" spans="1:26">
      <c r="A18" s="34"/>
      <c r="B18" s="34" t="s">
        <v>62</v>
      </c>
      <c r="C18" s="28">
        <v>0.84811698202841401</v>
      </c>
      <c r="D18" s="102">
        <v>0.81951768377544942</v>
      </c>
      <c r="E18" s="102">
        <v>0.89341390187014946</v>
      </c>
      <c r="F18" s="4"/>
      <c r="G18" s="101">
        <v>847603.32237604295</v>
      </c>
      <c r="H18" s="103">
        <v>410547.95167589508</v>
      </c>
      <c r="I18" s="103">
        <v>430175.79294348339</v>
      </c>
      <c r="J18" s="48"/>
      <c r="K18" s="28">
        <v>0.68089932378917839</v>
      </c>
      <c r="L18" s="102">
        <v>0.67689872342884949</v>
      </c>
      <c r="M18" s="102">
        <v>0.70167175752119559</v>
      </c>
      <c r="N18" s="4"/>
      <c r="O18" s="101">
        <v>680486.93903876247</v>
      </c>
      <c r="P18" s="103">
        <v>339101.14436516265</v>
      </c>
      <c r="Q18" s="103">
        <v>337852.594464775</v>
      </c>
      <c r="R18" s="48"/>
      <c r="S18" s="28">
        <v>0.4945875528109539</v>
      </c>
      <c r="T18" s="102">
        <v>0.51118607546981776</v>
      </c>
      <c r="U18" s="102">
        <v>0.49061988144863039</v>
      </c>
      <c r="V18" s="4"/>
      <c r="W18" s="101">
        <v>494288.00725789083</v>
      </c>
      <c r="X18" s="103">
        <v>256085.25644319993</v>
      </c>
      <c r="Y18" s="103">
        <v>236231.8250188558</v>
      </c>
    </row>
    <row r="19" spans="1:26">
      <c r="A19" s="34"/>
      <c r="B19" s="34" t="s">
        <v>63</v>
      </c>
      <c r="C19" s="28">
        <v>0.87778332109952784</v>
      </c>
      <c r="D19" s="102">
        <v>0.86450585832695093</v>
      </c>
      <c r="E19" s="102">
        <v>0.893801378591354</v>
      </c>
      <c r="F19" s="4"/>
      <c r="G19" s="101">
        <v>2148288.6440141289</v>
      </c>
      <c r="H19" s="103">
        <v>1080931.5955208552</v>
      </c>
      <c r="I19" s="103">
        <v>1038139.9671917572</v>
      </c>
      <c r="J19" s="48"/>
      <c r="K19" s="28">
        <v>0.67670226093190744</v>
      </c>
      <c r="L19" s="102">
        <v>0.65406149505887157</v>
      </c>
      <c r="M19" s="102">
        <v>0.69974390208092219</v>
      </c>
      <c r="N19" s="4"/>
      <c r="O19" s="101">
        <v>1656162.4578577161</v>
      </c>
      <c r="P19" s="103">
        <v>817803.29029923177</v>
      </c>
      <c r="Q19" s="103">
        <v>812744.45189801557</v>
      </c>
      <c r="R19" s="48"/>
      <c r="S19" s="28">
        <v>0.47063704561289627</v>
      </c>
      <c r="T19" s="102">
        <v>0.44521806518256019</v>
      </c>
      <c r="U19" s="102">
        <v>0.49668551022134855</v>
      </c>
      <c r="V19" s="4"/>
      <c r="W19" s="101">
        <v>1151838.0404814102</v>
      </c>
      <c r="X19" s="103">
        <v>556676.70602468832</v>
      </c>
      <c r="Y19" s="103">
        <v>576894.47749392828</v>
      </c>
    </row>
    <row r="20" spans="1:26">
      <c r="A20" s="34"/>
      <c r="B20" s="34" t="s">
        <v>64</v>
      </c>
      <c r="C20" s="28">
        <v>0.89908487785021851</v>
      </c>
      <c r="D20" s="102">
        <v>0.89497984596179203</v>
      </c>
      <c r="E20" s="102">
        <v>0.90348263650556859</v>
      </c>
      <c r="F20" s="4"/>
      <c r="G20" s="101">
        <v>3624033.8094432447</v>
      </c>
      <c r="H20" s="103">
        <v>1796020.4717735117</v>
      </c>
      <c r="I20" s="103">
        <v>1801475.9158407359</v>
      </c>
      <c r="J20" s="48"/>
      <c r="K20" s="28">
        <v>0.69141918264419255</v>
      </c>
      <c r="L20" s="102">
        <v>0.65903208947268832</v>
      </c>
      <c r="M20" s="102">
        <v>0.72569420496407278</v>
      </c>
      <c r="N20" s="4"/>
      <c r="O20" s="101">
        <v>2786974.3515112321</v>
      </c>
      <c r="P20" s="103">
        <v>1322527.1268277832</v>
      </c>
      <c r="Q20" s="103">
        <v>1446979.2552564568</v>
      </c>
      <c r="R20" s="48"/>
      <c r="S20" s="28">
        <v>0.49220152641242459</v>
      </c>
      <c r="T20" s="102">
        <v>0.45055091068922659</v>
      </c>
      <c r="U20" s="102">
        <v>0.53524859541990433</v>
      </c>
      <c r="V20" s="4"/>
      <c r="W20" s="101">
        <v>1983967.2724151418</v>
      </c>
      <c r="X20" s="103">
        <v>904152.94023123279</v>
      </c>
      <c r="Y20" s="103">
        <v>1067245.1408318754</v>
      </c>
    </row>
    <row r="21" spans="1:26">
      <c r="A21" s="34"/>
      <c r="B21" s="34" t="s">
        <v>65</v>
      </c>
      <c r="C21" s="28">
        <v>0.88785080357180457</v>
      </c>
      <c r="D21" s="102">
        <v>0.88836191491840455</v>
      </c>
      <c r="E21" s="102">
        <v>0.88920071090117747</v>
      </c>
      <c r="F21" s="4"/>
      <c r="G21" s="101">
        <v>3404434.8230936211</v>
      </c>
      <c r="H21" s="103">
        <v>1680862.6390512059</v>
      </c>
      <c r="I21" s="103">
        <v>1711987.1963223317</v>
      </c>
      <c r="J21" s="48"/>
      <c r="K21" s="28">
        <v>0.67967720821742039</v>
      </c>
      <c r="L21" s="102">
        <v>0.66303291358825167</v>
      </c>
      <c r="M21" s="102">
        <v>0.69684906115242728</v>
      </c>
      <c r="N21" s="4"/>
      <c r="O21" s="101">
        <v>2606199.9908200819</v>
      </c>
      <c r="P21" s="103">
        <v>1254519.3959762694</v>
      </c>
      <c r="Q21" s="103">
        <v>1341650.6035551049</v>
      </c>
      <c r="R21" s="48"/>
      <c r="S21" s="28">
        <v>0.47000401718279256</v>
      </c>
      <c r="T21" s="102">
        <v>0.44485784158454356</v>
      </c>
      <c r="U21" s="102">
        <v>0.49462557586782824</v>
      </c>
      <c r="V21" s="4"/>
      <c r="W21" s="101">
        <v>1802215.0080326919</v>
      </c>
      <c r="X21" s="103">
        <v>841712.04669112712</v>
      </c>
      <c r="Y21" s="103">
        <v>952307.66516266484</v>
      </c>
    </row>
    <row r="22" spans="1:26">
      <c r="A22" s="34"/>
      <c r="B22" s="34" t="s">
        <v>66</v>
      </c>
      <c r="C22" s="28">
        <v>0.88258653404143272</v>
      </c>
      <c r="D22" s="102">
        <v>0.89046778633955403</v>
      </c>
      <c r="E22" s="102">
        <v>0.87449684105041925</v>
      </c>
      <c r="F22" s="4"/>
      <c r="G22" s="101">
        <v>2944816.0797376256</v>
      </c>
      <c r="H22" s="103">
        <v>1457931.6929437409</v>
      </c>
      <c r="I22" s="103">
        <v>1476528.9327245522</v>
      </c>
      <c r="J22" s="48"/>
      <c r="K22" s="28">
        <v>0.70696146210251243</v>
      </c>
      <c r="L22" s="102">
        <v>0.70494666207231238</v>
      </c>
      <c r="M22" s="102">
        <v>0.70945895646759771</v>
      </c>
      <c r="N22" s="4"/>
      <c r="O22" s="101">
        <v>2358829.8722633445</v>
      </c>
      <c r="P22" s="103">
        <v>1154184.4592660172</v>
      </c>
      <c r="Q22" s="103">
        <v>1197873.5961432487</v>
      </c>
      <c r="R22" s="48"/>
      <c r="S22" s="28">
        <v>0.51532375083006787</v>
      </c>
      <c r="T22" s="102">
        <v>0.50146072445459244</v>
      </c>
      <c r="U22" s="102">
        <v>0.52959872861268775</v>
      </c>
      <c r="V22" s="4"/>
      <c r="W22" s="101">
        <v>1719416.2942484338</v>
      </c>
      <c r="X22" s="103">
        <v>821024.06641142291</v>
      </c>
      <c r="Y22" s="103">
        <v>894191.73268996086</v>
      </c>
    </row>
    <row r="23" spans="1:26">
      <c r="A23" s="34"/>
      <c r="B23" s="34" t="s">
        <v>67</v>
      </c>
      <c r="C23" s="28">
        <v>0.86062976948929415</v>
      </c>
      <c r="D23" s="102">
        <v>0.85790761092388845</v>
      </c>
      <c r="E23" s="102">
        <v>0.86348228910468316</v>
      </c>
      <c r="F23" s="4"/>
      <c r="G23" s="101">
        <v>2653284.8040556596</v>
      </c>
      <c r="H23" s="103">
        <v>1290921.9280840035</v>
      </c>
      <c r="I23" s="103">
        <v>1356722.0497343731</v>
      </c>
      <c r="J23" s="48"/>
      <c r="K23" s="28">
        <v>0.71129400181699609</v>
      </c>
      <c r="L23" s="102">
        <v>0.70602674651933872</v>
      </c>
      <c r="M23" s="102">
        <v>0.71673573429436099</v>
      </c>
      <c r="N23" s="4"/>
      <c r="O23" s="101">
        <v>2192889.0135381855</v>
      </c>
      <c r="P23" s="103">
        <v>1062381.7731539861</v>
      </c>
      <c r="Q23" s="103">
        <v>1126150.688693312</v>
      </c>
      <c r="R23" s="48"/>
      <c r="S23" s="28">
        <v>0.54840245142461652</v>
      </c>
      <c r="T23" s="102">
        <v>0.53134409984595876</v>
      </c>
      <c r="U23" s="102">
        <v>0.56554729672174409</v>
      </c>
      <c r="V23" s="4"/>
      <c r="W23" s="101">
        <v>1690701.3241422707</v>
      </c>
      <c r="X23" s="103">
        <v>799531.02305564925</v>
      </c>
      <c r="Y23" s="103">
        <v>888600.14537835738</v>
      </c>
    </row>
    <row r="24" spans="1:26">
      <c r="A24" s="34"/>
      <c r="B24" s="34" t="s">
        <v>68</v>
      </c>
      <c r="C24" s="28">
        <v>0.7588040411794027</v>
      </c>
      <c r="D24" s="102">
        <v>0.78447139367299201</v>
      </c>
      <c r="E24" s="102">
        <v>0.73822201163473755</v>
      </c>
      <c r="F24" s="4"/>
      <c r="G24" s="101">
        <v>3564616.380804182</v>
      </c>
      <c r="H24" s="103">
        <v>1714711.519747111</v>
      </c>
      <c r="I24" s="103">
        <v>1846902.3501872316</v>
      </c>
      <c r="J24" s="48"/>
      <c r="K24" s="28">
        <v>0.61980106914701849</v>
      </c>
      <c r="L24" s="102">
        <v>0.65309512149125093</v>
      </c>
      <c r="M24" s="102">
        <v>0.59232494361583377</v>
      </c>
      <c r="N24" s="4"/>
      <c r="O24" s="101">
        <v>2911625.2998434603</v>
      </c>
      <c r="P24" s="103">
        <v>1427546.9282166152</v>
      </c>
      <c r="Q24" s="103">
        <v>1481893.4049610579</v>
      </c>
      <c r="R24" s="48"/>
      <c r="S24" s="28">
        <v>0.45798713930956497</v>
      </c>
      <c r="T24" s="102">
        <v>0.48887013660967504</v>
      </c>
      <c r="U24" s="102">
        <v>0.43214109509220022</v>
      </c>
      <c r="V24" s="4"/>
      <c r="W24" s="101">
        <v>2151475.7043769374</v>
      </c>
      <c r="X24" s="103">
        <v>1068581.0364353301</v>
      </c>
      <c r="Y24" s="103">
        <v>1081141.4338227143</v>
      </c>
    </row>
    <row r="25" spans="1:26">
      <c r="A25" s="34" t="s">
        <v>69</v>
      </c>
      <c r="B25" s="34"/>
      <c r="C25" s="28"/>
      <c r="D25" s="102"/>
      <c r="E25" s="102"/>
      <c r="F25" s="4"/>
      <c r="G25" s="101"/>
      <c r="H25" s="103"/>
      <c r="I25" s="103"/>
      <c r="J25" s="48"/>
      <c r="K25" s="28"/>
      <c r="L25" s="102"/>
      <c r="M25" s="102"/>
      <c r="N25" s="4"/>
      <c r="O25" s="101"/>
      <c r="P25" s="103"/>
      <c r="Q25" s="103"/>
      <c r="R25" s="48"/>
      <c r="S25" s="28"/>
      <c r="T25" s="102"/>
      <c r="U25" s="102"/>
      <c r="V25" s="4"/>
      <c r="W25" s="101"/>
      <c r="X25" s="103"/>
      <c r="Y25" s="103"/>
    </row>
    <row r="26" spans="1:26">
      <c r="A26" s="34"/>
      <c r="B26" s="34" t="s">
        <v>70</v>
      </c>
      <c r="C26" s="28">
        <v>0.85972101343427498</v>
      </c>
      <c r="D26" s="102">
        <v>0.86529788554381026</v>
      </c>
      <c r="E26" s="102">
        <v>0.85587501618931439</v>
      </c>
      <c r="F26" s="4"/>
      <c r="G26" s="101">
        <v>13913584.222501742</v>
      </c>
      <c r="H26" s="103">
        <v>6865788.7511064969</v>
      </c>
      <c r="I26" s="103">
        <v>6979470.8595123114</v>
      </c>
      <c r="J26" s="48"/>
      <c r="K26" s="28">
        <v>0.68289905325149225</v>
      </c>
      <c r="L26" s="102">
        <v>0.68180580700369542</v>
      </c>
      <c r="M26" s="102">
        <v>0.68561740356812029</v>
      </c>
      <c r="N26" s="4"/>
      <c r="O26" s="101">
        <v>11051926.548736993</v>
      </c>
      <c r="P26" s="103">
        <v>5409853.3214641176</v>
      </c>
      <c r="Q26" s="103">
        <v>5591057.80454248</v>
      </c>
      <c r="R26" s="48"/>
      <c r="S26" s="28">
        <v>0.49224079680870308</v>
      </c>
      <c r="T26" s="102">
        <v>0.48504577633975954</v>
      </c>
      <c r="U26" s="102">
        <v>0.50070987951470569</v>
      </c>
      <c r="V26" s="4"/>
      <c r="W26" s="101">
        <v>7966344.5200561509</v>
      </c>
      <c r="X26" s="103">
        <v>3848642.0579570788</v>
      </c>
      <c r="Y26" s="103">
        <v>4083177.9722961378</v>
      </c>
    </row>
    <row r="27" spans="1:26">
      <c r="A27" s="34"/>
      <c r="B27" s="34" t="s">
        <v>71</v>
      </c>
      <c r="C27" s="28">
        <v>0.84484180957230492</v>
      </c>
      <c r="D27" s="102">
        <v>0.84551433997395065</v>
      </c>
      <c r="E27" s="102">
        <v>0.8455336623863664</v>
      </c>
      <c r="F27" s="4"/>
      <c r="G27" s="101">
        <v>3391196.5494407848</v>
      </c>
      <c r="H27" s="103">
        <v>1678415.31338618</v>
      </c>
      <c r="I27" s="103">
        <v>1694439.8101972512</v>
      </c>
      <c r="J27" s="48"/>
      <c r="K27" s="28">
        <v>0.66747504532664037</v>
      </c>
      <c r="L27" s="102">
        <v>0.65005615206120093</v>
      </c>
      <c r="M27" s="102">
        <v>0.68503845397461272</v>
      </c>
      <c r="N27" s="4"/>
      <c r="O27" s="101">
        <v>2679246.0374273318</v>
      </c>
      <c r="P27" s="103">
        <v>1290414.7790255449</v>
      </c>
      <c r="Q27" s="103">
        <v>1372809.244110442</v>
      </c>
      <c r="R27" s="48"/>
      <c r="S27" s="28">
        <v>0.48632678667980239</v>
      </c>
      <c r="T27" s="102">
        <v>0.46430047498122673</v>
      </c>
      <c r="U27" s="102">
        <v>0.50816765674412057</v>
      </c>
      <c r="V27" s="4"/>
      <c r="W27" s="101">
        <v>1952116.6000580406</v>
      </c>
      <c r="X27" s="103">
        <v>921674.52446161583</v>
      </c>
      <c r="Y27" s="103">
        <v>1018362.1849090008</v>
      </c>
    </row>
    <row r="28" spans="1:26">
      <c r="A28" s="34"/>
      <c r="B28" s="34" t="s">
        <v>72</v>
      </c>
      <c r="C28" s="28">
        <v>0.84112086479182868</v>
      </c>
      <c r="D28" s="102">
        <v>0.83592457509846074</v>
      </c>
      <c r="E28" s="102">
        <v>0.84579172909059031</v>
      </c>
      <c r="F28" s="4"/>
      <c r="G28" s="101">
        <v>1636733.9080027053</v>
      </c>
      <c r="H28" s="103">
        <v>776302.90640177228</v>
      </c>
      <c r="I28" s="103">
        <v>853879.17955840228</v>
      </c>
      <c r="J28" s="48"/>
      <c r="K28" s="28">
        <v>0.65515491563073514</v>
      </c>
      <c r="L28" s="102">
        <v>0.64008631761861967</v>
      </c>
      <c r="M28" s="102">
        <v>0.67109206214661754</v>
      </c>
      <c r="N28" s="4"/>
      <c r="O28" s="101">
        <v>1274863.4712240384</v>
      </c>
      <c r="P28" s="103">
        <v>594432.65997630719</v>
      </c>
      <c r="Q28" s="103">
        <v>677509.03647407785</v>
      </c>
      <c r="R28" s="48"/>
      <c r="S28" s="28">
        <v>0.47992999950672105</v>
      </c>
      <c r="T28" s="102">
        <v>0.44915759033598257</v>
      </c>
      <c r="U28" s="102">
        <v>0.50898352545571102</v>
      </c>
      <c r="V28" s="4"/>
      <c r="W28" s="101">
        <v>933893.96998822747</v>
      </c>
      <c r="X28" s="103">
        <v>417121.7753338209</v>
      </c>
      <c r="Y28" s="103">
        <v>513850.41988075041</v>
      </c>
    </row>
    <row r="29" spans="1:26">
      <c r="A29" s="34"/>
      <c r="B29" s="34" t="s">
        <v>73</v>
      </c>
      <c r="C29" s="28">
        <v>0.85999205487104025</v>
      </c>
      <c r="D29" s="102">
        <v>0.85949215961988812</v>
      </c>
      <c r="E29" s="102">
        <v>0.86337319690052394</v>
      </c>
      <c r="F29" s="4"/>
      <c r="G29" s="101">
        <v>245563.18357883111</v>
      </c>
      <c r="H29" s="103">
        <v>111420.82790196205</v>
      </c>
      <c r="I29" s="103">
        <v>134142.35567686887</v>
      </c>
      <c r="J29" s="48"/>
      <c r="K29" s="28">
        <v>0.65535849838834825</v>
      </c>
      <c r="L29" s="102">
        <v>0.64305887543269824</v>
      </c>
      <c r="M29" s="102">
        <v>0.6678796538988192</v>
      </c>
      <c r="N29" s="4"/>
      <c r="O29" s="101">
        <v>187131.86748430779</v>
      </c>
      <c r="P29" s="103">
        <v>83363.357639124166</v>
      </c>
      <c r="Q29" s="103">
        <v>103768.50984518341</v>
      </c>
      <c r="R29" s="48"/>
      <c r="S29" s="28">
        <v>0.49571322522172595</v>
      </c>
      <c r="T29" s="102">
        <v>0.46534048196652722</v>
      </c>
      <c r="U29" s="102">
        <v>0.52276376216174747</v>
      </c>
      <c r="V29" s="4"/>
      <c r="W29" s="101">
        <v>141546.56085262433</v>
      </c>
      <c r="X29" s="103">
        <v>60324.717540109559</v>
      </c>
      <c r="Y29" s="103">
        <v>81221.843312514655</v>
      </c>
    </row>
    <row r="30" spans="1:26">
      <c r="A30" s="34" t="s">
        <v>74</v>
      </c>
      <c r="B30" s="34"/>
      <c r="C30" s="28"/>
      <c r="D30" s="102"/>
      <c r="E30" s="102"/>
      <c r="G30" s="101"/>
      <c r="H30" s="103"/>
      <c r="I30" s="103"/>
      <c r="J30" s="48"/>
      <c r="K30" s="28"/>
      <c r="L30" s="102"/>
      <c r="M30" s="102"/>
      <c r="O30" s="101"/>
      <c r="P30" s="103"/>
      <c r="Q30" s="103"/>
      <c r="R30" s="48"/>
      <c r="S30" s="28"/>
      <c r="T30" s="102"/>
      <c r="U30" s="102"/>
      <c r="W30" s="101"/>
      <c r="X30" s="103"/>
      <c r="Y30" s="103"/>
    </row>
    <row r="31" spans="1:26">
      <c r="A31" s="34"/>
      <c r="B31" s="34" t="s">
        <v>75</v>
      </c>
      <c r="C31" s="28">
        <v>0.90683693278646327</v>
      </c>
      <c r="D31" s="102">
        <v>0.90233157146762266</v>
      </c>
      <c r="E31" s="102">
        <v>0.91339547201135074</v>
      </c>
      <c r="G31" s="101">
        <v>9182513.2668730412</v>
      </c>
      <c r="H31" s="103">
        <v>5331751.3484688122</v>
      </c>
      <c r="I31" s="103">
        <v>3822279.672452738</v>
      </c>
      <c r="J31" s="48"/>
      <c r="K31" s="28">
        <v>0.71452752598183578</v>
      </c>
      <c r="L31" s="102">
        <v>0.6905496002269349</v>
      </c>
      <c r="M31" s="102">
        <v>0.74918177224248539</v>
      </c>
      <c r="O31" s="101">
        <v>7235213.1344204545</v>
      </c>
      <c r="P31" s="103">
        <v>4080361.2315217219</v>
      </c>
      <c r="Q31" s="103">
        <v>3135095.7463241979</v>
      </c>
      <c r="R31" s="48"/>
      <c r="S31" s="28">
        <v>0.51209873223270608</v>
      </c>
      <c r="T31" s="102">
        <v>0.47888727682341359</v>
      </c>
      <c r="U31" s="102">
        <v>0.55994273720029086</v>
      </c>
      <c r="W31" s="101">
        <v>5185445.4011115702</v>
      </c>
      <c r="X31" s="103">
        <v>2829678.0969493212</v>
      </c>
      <c r="Y31" s="103">
        <v>2343188.4739096016</v>
      </c>
    </row>
    <row r="32" spans="1:26">
      <c r="A32" s="34"/>
      <c r="B32" s="34" t="s">
        <v>76</v>
      </c>
      <c r="C32" s="28">
        <v>0.87410939369827223</v>
      </c>
      <c r="D32" s="102">
        <v>0.85687994691296288</v>
      </c>
      <c r="E32" s="102">
        <v>0.88363691393698252</v>
      </c>
      <c r="F32" s="4"/>
      <c r="G32" s="101">
        <v>2621325.8116023191</v>
      </c>
      <c r="H32" s="103">
        <v>874122.28770600073</v>
      </c>
      <c r="I32" s="103">
        <v>1732866.9109702411</v>
      </c>
      <c r="J32" s="48"/>
      <c r="K32" s="28">
        <v>0.68595500413928634</v>
      </c>
      <c r="L32" s="102">
        <v>0.65936416078184223</v>
      </c>
      <c r="M32" s="102">
        <v>0.70003131289566023</v>
      </c>
      <c r="N32" s="4"/>
      <c r="O32" s="101">
        <v>2057078.4056449172</v>
      </c>
      <c r="P32" s="103">
        <v>672632.0422486387</v>
      </c>
      <c r="Q32" s="103">
        <v>1372804.9152623515</v>
      </c>
      <c r="R32" s="48"/>
      <c r="S32" s="28">
        <v>0.49341356338252107</v>
      </c>
      <c r="T32" s="102">
        <v>0.473134144581767</v>
      </c>
      <c r="U32" s="102">
        <v>0.5036778881527525</v>
      </c>
      <c r="V32" s="4"/>
      <c r="W32" s="101">
        <v>1479674.8768675723</v>
      </c>
      <c r="X32" s="103">
        <v>482654.6616519721</v>
      </c>
      <c r="Y32" s="103">
        <v>987743.64493052382</v>
      </c>
    </row>
    <row r="33" spans="1:25">
      <c r="A33" s="34"/>
      <c r="B33" s="34" t="s">
        <v>77</v>
      </c>
      <c r="C33" s="28">
        <v>0.89456559009498771</v>
      </c>
      <c r="D33" s="102">
        <v>0.87986813469481251</v>
      </c>
      <c r="E33" s="102">
        <v>0.90416809071639448</v>
      </c>
      <c r="F33" s="4"/>
      <c r="G33" s="101">
        <v>1177753.5940009928</v>
      </c>
      <c r="H33" s="103">
        <v>461489.32128449745</v>
      </c>
      <c r="I33" s="103">
        <v>710078.98794623243</v>
      </c>
      <c r="J33" s="48"/>
      <c r="K33" s="28">
        <v>0.73069755636853972</v>
      </c>
      <c r="L33" s="102">
        <v>0.73930302349833321</v>
      </c>
      <c r="M33" s="102">
        <v>0.7233332837433234</v>
      </c>
      <c r="N33" s="4"/>
      <c r="O33" s="101">
        <v>962010.70404397231</v>
      </c>
      <c r="P33" s="103">
        <v>387763.16255181032</v>
      </c>
      <c r="Q33" s="103">
        <v>568062.25672189717</v>
      </c>
      <c r="R33" s="48"/>
      <c r="S33" s="28">
        <v>0.51905419824034305</v>
      </c>
      <c r="T33" s="102">
        <v>0.49906218153641618</v>
      </c>
      <c r="U33" s="102">
        <v>0.53088379415600673</v>
      </c>
      <c r="V33" s="4"/>
      <c r="W33" s="101">
        <v>683368.50224023953</v>
      </c>
      <c r="X33" s="103">
        <v>261757.2547003153</v>
      </c>
      <c r="Y33" s="103">
        <v>416924.05554001709</v>
      </c>
    </row>
    <row r="34" spans="1:25">
      <c r="A34" s="34"/>
      <c r="B34" s="35" t="s">
        <v>78</v>
      </c>
      <c r="C34" s="28">
        <v>0.89892205000714487</v>
      </c>
      <c r="D34" s="102">
        <v>0.89453008288097324</v>
      </c>
      <c r="E34" s="102">
        <v>0.90393015492432494</v>
      </c>
      <c r="F34" s="4"/>
      <c r="G34" s="101">
        <v>12981592.672475941</v>
      </c>
      <c r="H34" s="103">
        <v>6667362.957459297</v>
      </c>
      <c r="I34" s="103">
        <v>6265225.5713694077</v>
      </c>
      <c r="J34" s="48"/>
      <c r="K34" s="28">
        <v>0.71006837352178365</v>
      </c>
      <c r="L34" s="102">
        <v>0.68971215612455306</v>
      </c>
      <c r="M34" s="102">
        <v>0.73234648854532725</v>
      </c>
      <c r="N34" s="4"/>
      <c r="O34" s="101">
        <v>10254302.244108966</v>
      </c>
      <c r="P34" s="103">
        <v>5140756.4363222392</v>
      </c>
      <c r="Q34" s="103">
        <v>5075962.9183085514</v>
      </c>
      <c r="R34" s="48"/>
      <c r="S34" s="28">
        <v>0.50885270901890789</v>
      </c>
      <c r="T34" s="102">
        <v>0.47951957261391798</v>
      </c>
      <c r="U34" s="102">
        <v>0.54073076439945111</v>
      </c>
      <c r="V34" s="4"/>
      <c r="W34" s="101">
        <v>7348488.7802194674</v>
      </c>
      <c r="X34" s="103">
        <v>3574090.0133016128</v>
      </c>
      <c r="Y34" s="103">
        <v>3747856.1743801846</v>
      </c>
    </row>
    <row r="35" spans="1:25">
      <c r="A35" s="34"/>
      <c r="B35" s="34" t="s">
        <v>79</v>
      </c>
      <c r="C35" s="28">
        <v>0.90070091733644086</v>
      </c>
      <c r="D35" s="102">
        <v>0.89375302075478924</v>
      </c>
      <c r="E35" s="102">
        <v>0.91869145226091964</v>
      </c>
      <c r="F35" s="4"/>
      <c r="G35" s="101">
        <v>1002509.7157765257</v>
      </c>
      <c r="H35" s="103">
        <v>478093.84831159009</v>
      </c>
      <c r="I35" s="103">
        <v>511425.000015584</v>
      </c>
      <c r="J35" s="48"/>
      <c r="K35" s="28">
        <v>0.72007998960185438</v>
      </c>
      <c r="L35" s="102">
        <v>0.71764877466058086</v>
      </c>
      <c r="M35" s="102">
        <v>0.73108632453785372</v>
      </c>
      <c r="N35" s="4"/>
      <c r="O35" s="101">
        <v>801472.68845566234</v>
      </c>
      <c r="P35" s="103">
        <v>383890.69065614761</v>
      </c>
      <c r="Q35" s="103">
        <v>406987.37603141874</v>
      </c>
      <c r="R35" s="48"/>
      <c r="S35" s="28">
        <v>0.5266732603369122</v>
      </c>
      <c r="T35" s="102">
        <v>0.54214890013222794</v>
      </c>
      <c r="U35" s="102">
        <v>0.51956087663121453</v>
      </c>
      <c r="V35" s="4"/>
      <c r="W35" s="101">
        <v>586204.64392202988</v>
      </c>
      <c r="X35" s="103">
        <v>290010.82849847683</v>
      </c>
      <c r="Y35" s="103">
        <v>289233.58401265391</v>
      </c>
    </row>
    <row r="36" spans="1:25">
      <c r="A36" s="34"/>
      <c r="B36" s="34" t="s">
        <v>80</v>
      </c>
      <c r="C36" s="28">
        <v>0.7850167686211702</v>
      </c>
      <c r="D36" s="102">
        <v>0.70655286528709704</v>
      </c>
      <c r="E36" s="102">
        <v>0.79855527650047409</v>
      </c>
      <c r="F36" s="4"/>
      <c r="G36" s="101">
        <v>618987.36460511305</v>
      </c>
      <c r="H36" s="103">
        <v>79881.180434577996</v>
      </c>
      <c r="I36" s="103">
        <v>534626.01209937118</v>
      </c>
      <c r="J36" s="48"/>
      <c r="K36" s="28">
        <v>0.60431846048507221</v>
      </c>
      <c r="L36" s="102">
        <v>0.55657880347412747</v>
      </c>
      <c r="M36" s="102">
        <v>0.61364027626966144</v>
      </c>
      <c r="N36" s="4"/>
      <c r="O36" s="101">
        <v>476506.37055167003</v>
      </c>
      <c r="P36" s="103">
        <v>62925.470988377601</v>
      </c>
      <c r="Q36" s="103">
        <v>410826.98144993186</v>
      </c>
      <c r="R36" s="48"/>
      <c r="S36" s="28">
        <v>0.4297746901743984</v>
      </c>
      <c r="T36" s="102">
        <v>0.377391552963249</v>
      </c>
      <c r="U36" s="102">
        <v>0.43936036150331392</v>
      </c>
      <c r="V36" s="4"/>
      <c r="W36" s="101">
        <v>338878.24245115835</v>
      </c>
      <c r="X36" s="103">
        <v>42666.98815876052</v>
      </c>
      <c r="Y36" s="103">
        <v>294148.05068276991</v>
      </c>
    </row>
    <row r="37" spans="1:25">
      <c r="A37" s="34"/>
      <c r="B37" s="34" t="s">
        <v>81</v>
      </c>
      <c r="C37" s="28">
        <v>0.74201719962769674</v>
      </c>
      <c r="D37" s="102">
        <v>0.73297184086512535</v>
      </c>
      <c r="E37" s="102">
        <v>0.75054154210853352</v>
      </c>
      <c r="F37" s="4"/>
      <c r="G37" s="101">
        <v>754122.68480208924</v>
      </c>
      <c r="H37" s="103">
        <v>368120.68103052018</v>
      </c>
      <c r="I37" s="103">
        <v>372692.54037029145</v>
      </c>
      <c r="J37" s="48"/>
      <c r="K37" s="28">
        <v>0.53341992156152229</v>
      </c>
      <c r="L37" s="102">
        <v>0.54351239964960185</v>
      </c>
      <c r="M37" s="102">
        <v>0.52431579291825159</v>
      </c>
      <c r="N37" s="4"/>
      <c r="O37" s="101">
        <v>542122.28985625796</v>
      </c>
      <c r="P37" s="103">
        <v>272968.40554118948</v>
      </c>
      <c r="Q37" s="103">
        <v>260356.78754036166</v>
      </c>
      <c r="R37" s="48"/>
      <c r="S37" s="28">
        <v>0.38478089918467817</v>
      </c>
      <c r="T37" s="102">
        <v>0.38311250715395573</v>
      </c>
      <c r="U37" s="102">
        <v>0.38771913826384752</v>
      </c>
      <c r="V37" s="4"/>
      <c r="W37" s="101">
        <v>391058.32708366303</v>
      </c>
      <c r="X37" s="103">
        <v>192410.71645858162</v>
      </c>
      <c r="Y37" s="103">
        <v>192527.69165019505</v>
      </c>
    </row>
    <row r="38" spans="1:25">
      <c r="A38" s="34"/>
      <c r="B38" s="34" t="s">
        <v>82</v>
      </c>
      <c r="C38" s="28">
        <v>0.76292402342974441</v>
      </c>
      <c r="D38" s="102">
        <v>0.78767153845927984</v>
      </c>
      <c r="E38" s="102">
        <v>0.74218857194952914</v>
      </c>
      <c r="F38" s="4"/>
      <c r="G38" s="101">
        <v>3664311.3678293657</v>
      </c>
      <c r="H38" s="103">
        <v>1766292.485169393</v>
      </c>
      <c r="I38" s="103">
        <v>1888538.8261252162</v>
      </c>
      <c r="J38" s="48"/>
      <c r="K38" s="28">
        <v>0.62663339235795557</v>
      </c>
      <c r="L38" s="102">
        <v>0.65739842332334386</v>
      </c>
      <c r="M38" s="102">
        <v>0.60057985902992639</v>
      </c>
      <c r="N38" s="4"/>
      <c r="O38" s="101">
        <v>3009709.7385349078</v>
      </c>
      <c r="P38" s="103">
        <v>1474165.1033240401</v>
      </c>
      <c r="Q38" s="103">
        <v>1528207.823232227</v>
      </c>
      <c r="R38" s="48"/>
      <c r="S38" s="28">
        <v>0.46889357631226747</v>
      </c>
      <c r="T38" s="102">
        <v>0.49924584923110948</v>
      </c>
      <c r="U38" s="102">
        <v>0.44295697218039742</v>
      </c>
      <c r="V38" s="4"/>
      <c r="W38" s="101">
        <v>2252088.0313338693</v>
      </c>
      <c r="X38" s="103">
        <v>1119520.1917207618</v>
      </c>
      <c r="Y38" s="103">
        <v>1127127.8915925357</v>
      </c>
    </row>
    <row r="39" spans="1:25">
      <c r="A39" s="34" t="s">
        <v>83</v>
      </c>
      <c r="B39" s="34"/>
      <c r="C39" s="28"/>
      <c r="D39" s="102"/>
      <c r="E39" s="102"/>
      <c r="G39" s="101"/>
      <c r="H39" s="103"/>
      <c r="I39" s="103"/>
      <c r="J39" s="48"/>
      <c r="K39" s="28"/>
      <c r="L39" s="102"/>
      <c r="M39" s="102"/>
      <c r="O39" s="101"/>
      <c r="P39" s="103"/>
      <c r="Q39" s="103"/>
      <c r="R39" s="48"/>
      <c r="S39" s="28"/>
      <c r="T39" s="102"/>
      <c r="U39" s="102"/>
      <c r="W39" s="101"/>
      <c r="X39" s="103"/>
      <c r="Y39" s="103"/>
    </row>
    <row r="40" spans="1:25">
      <c r="A40" s="34"/>
      <c r="B40" s="34" t="s">
        <v>84</v>
      </c>
      <c r="C40" s="28">
        <v>0.91831365726874636</v>
      </c>
      <c r="D40" s="102">
        <v>0.91421382482240632</v>
      </c>
      <c r="E40" s="102">
        <v>0.92331890558999163</v>
      </c>
      <c r="F40" s="4"/>
      <c r="G40" s="101">
        <v>8268517.1293736948</v>
      </c>
      <c r="H40" s="103">
        <v>4215141.0880234661</v>
      </c>
      <c r="I40" s="103">
        <v>4024255.6332506533</v>
      </c>
      <c r="J40" s="48"/>
      <c r="K40" s="28">
        <v>0.75460627528948609</v>
      </c>
      <c r="L40" s="102">
        <v>0.74157053891657998</v>
      </c>
      <c r="M40" s="102">
        <v>0.76963894969802515</v>
      </c>
      <c r="N40" s="4"/>
      <c r="O40" s="101">
        <v>6794492.1256223926</v>
      </c>
      <c r="P40" s="103">
        <v>3419139.3341291882</v>
      </c>
      <c r="Q40" s="103">
        <v>3354446.5082866452</v>
      </c>
      <c r="R40" s="48"/>
      <c r="S40" s="28">
        <v>0.55332503889750806</v>
      </c>
      <c r="T40" s="102">
        <v>0.53219879897032529</v>
      </c>
      <c r="U40" s="102">
        <v>0.57654554443699524</v>
      </c>
      <c r="V40" s="4"/>
      <c r="W40" s="101">
        <v>4982151.2791641699</v>
      </c>
      <c r="X40" s="103">
        <v>2453794.6852557575</v>
      </c>
      <c r="Y40" s="103">
        <v>2512855.1370272003</v>
      </c>
    </row>
    <row r="41" spans="1:25">
      <c r="A41" s="34"/>
      <c r="B41" s="34" t="s">
        <v>85</v>
      </c>
      <c r="C41" s="28">
        <v>0.87426937343558753</v>
      </c>
      <c r="D41" s="102">
        <v>0.88066448919536422</v>
      </c>
      <c r="E41" s="102">
        <v>0.86936386156695122</v>
      </c>
      <c r="F41" s="4"/>
      <c r="G41" s="101">
        <v>2517106.7186275586</v>
      </c>
      <c r="H41" s="103">
        <v>1233553.6466016695</v>
      </c>
      <c r="I41" s="103">
        <v>1274236.9717788962</v>
      </c>
      <c r="J41" s="48"/>
      <c r="K41" s="28">
        <v>0.6830765357665084</v>
      </c>
      <c r="L41" s="102">
        <v>0.67369727103495891</v>
      </c>
      <c r="M41" s="102">
        <v>0.69259091465937672</v>
      </c>
      <c r="N41" s="4"/>
      <c r="O41" s="101">
        <v>1966643.9083393011</v>
      </c>
      <c r="P41" s="103">
        <v>943653.04334010766</v>
      </c>
      <c r="Q41" s="103">
        <v>1015138.7569601377</v>
      </c>
      <c r="R41" s="48"/>
      <c r="S41" s="28">
        <v>0.48797315145755837</v>
      </c>
      <c r="T41" s="102">
        <v>0.46173551461421147</v>
      </c>
      <c r="U41" s="102">
        <v>0.51368697387003315</v>
      </c>
      <c r="V41" s="4"/>
      <c r="W41" s="101">
        <v>1404922.2532146473</v>
      </c>
      <c r="X41" s="103">
        <v>646756.55122447642</v>
      </c>
      <c r="Y41" s="103">
        <v>752917.11901462253</v>
      </c>
    </row>
    <row r="42" spans="1:25">
      <c r="A42" s="34"/>
      <c r="B42" s="34" t="s">
        <v>86</v>
      </c>
      <c r="C42" s="28">
        <v>0.82749433083856261</v>
      </c>
      <c r="D42" s="102">
        <v>0.82933594693932633</v>
      </c>
      <c r="E42" s="102">
        <v>0.82589173657833892</v>
      </c>
      <c r="F42" s="4"/>
      <c r="G42" s="101">
        <v>3504091.1622660714</v>
      </c>
      <c r="H42" s="103">
        <v>1677554.5787044351</v>
      </c>
      <c r="I42" s="103">
        <v>1811234.4948475545</v>
      </c>
      <c r="J42" s="48"/>
      <c r="K42" s="28">
        <v>0.63513317789449664</v>
      </c>
      <c r="L42" s="102">
        <v>0.63127306034123321</v>
      </c>
      <c r="M42" s="102">
        <v>0.63841654903678646</v>
      </c>
      <c r="N42" s="4"/>
      <c r="O42" s="101">
        <v>2689522.4203732456</v>
      </c>
      <c r="P42" s="103">
        <v>1276919.222778694</v>
      </c>
      <c r="Q42" s="103">
        <v>1400089.1696623499</v>
      </c>
      <c r="R42" s="48"/>
      <c r="S42" s="28">
        <v>0.45542292338973556</v>
      </c>
      <c r="T42" s="102">
        <v>0.44887936130400019</v>
      </c>
      <c r="U42" s="102">
        <v>0.46123568759845079</v>
      </c>
      <c r="V42" s="4"/>
      <c r="W42" s="101">
        <v>1928524.9233383404</v>
      </c>
      <c r="X42" s="103">
        <v>907979.0049140827</v>
      </c>
      <c r="Y42" s="103">
        <v>1011519.9736640094</v>
      </c>
    </row>
    <row r="43" spans="1:25">
      <c r="A43" s="34"/>
      <c r="B43" s="34" t="s">
        <v>87</v>
      </c>
      <c r="C43" s="28">
        <v>0.81545138493630143</v>
      </c>
      <c r="D43" s="102">
        <v>0.82170357418297113</v>
      </c>
      <c r="E43" s="102">
        <v>0.80946100269593568</v>
      </c>
      <c r="F43" s="4"/>
      <c r="G43" s="101">
        <v>3121505.014922169</v>
      </c>
      <c r="H43" s="103">
        <v>1527582.1848798289</v>
      </c>
      <c r="I43" s="103">
        <v>1568350.2045698301</v>
      </c>
      <c r="J43" s="48"/>
      <c r="K43" s="28">
        <v>0.62972317755466911</v>
      </c>
      <c r="L43" s="102">
        <v>0.62066634115856378</v>
      </c>
      <c r="M43" s="102">
        <v>0.63942583301209943</v>
      </c>
      <c r="N43" s="4"/>
      <c r="O43" s="101">
        <v>2410547.2049730727</v>
      </c>
      <c r="P43" s="103">
        <v>1153845.3467859053</v>
      </c>
      <c r="Q43" s="103">
        <v>1238902.9646539579</v>
      </c>
      <c r="R43" s="48"/>
      <c r="S43" s="28">
        <v>0.45016536896892556</v>
      </c>
      <c r="T43" s="102">
        <v>0.43896771901886056</v>
      </c>
      <c r="U43" s="102">
        <v>0.46189607060373356</v>
      </c>
      <c r="V43" s="4"/>
      <c r="W43" s="101">
        <v>1723209.357098039</v>
      </c>
      <c r="X43" s="103">
        <v>816059.8157033578</v>
      </c>
      <c r="Y43" s="103">
        <v>894934.77067910566</v>
      </c>
    </row>
    <row r="44" spans="1:25">
      <c r="A44" s="34"/>
      <c r="B44" s="34" t="s">
        <v>88</v>
      </c>
      <c r="C44" s="28">
        <v>0.67642567513944651</v>
      </c>
      <c r="D44" s="102">
        <v>0.69581244352433413</v>
      </c>
      <c r="E44" s="102">
        <v>0.66322869700770004</v>
      </c>
      <c r="F44" s="4"/>
      <c r="G44" s="101">
        <v>953487.3448428819</v>
      </c>
      <c r="H44" s="103">
        <v>373496.40870652895</v>
      </c>
      <c r="I44" s="103">
        <v>574596.32580017461</v>
      </c>
      <c r="J44" s="48"/>
      <c r="K44" s="28">
        <v>0.49634723693434241</v>
      </c>
      <c r="L44" s="102">
        <v>0.51171606096913747</v>
      </c>
      <c r="M44" s="102">
        <v>0.48670324125991271</v>
      </c>
      <c r="N44" s="4"/>
      <c r="O44" s="101">
        <v>699649.38715116517</v>
      </c>
      <c r="P44" s="103">
        <v>274677.6273234901</v>
      </c>
      <c r="Q44" s="103">
        <v>421661.32956055575</v>
      </c>
      <c r="R44" s="48"/>
      <c r="S44" s="28">
        <v>0.35788894053024234</v>
      </c>
      <c r="T44" s="102">
        <v>0.36282584230080756</v>
      </c>
      <c r="U44" s="102">
        <v>0.35447365650358625</v>
      </c>
      <c r="V44" s="4"/>
      <c r="W44" s="101">
        <v>504479.0406343831</v>
      </c>
      <c r="X44" s="103">
        <v>194756.71978340208</v>
      </c>
      <c r="Y44" s="103">
        <v>307102.60508759186</v>
      </c>
    </row>
    <row r="45" spans="1:25">
      <c r="A45" s="34"/>
      <c r="B45" s="34" t="s">
        <v>89</v>
      </c>
      <c r="C45" s="28">
        <v>0.86516768932836496</v>
      </c>
      <c r="D45" s="102">
        <v>0.85579708678314514</v>
      </c>
      <c r="E45" s="102">
        <v>0.89879576702680364</v>
      </c>
      <c r="F45" s="4"/>
      <c r="G45" s="101">
        <v>627750.64594906697</v>
      </c>
      <c r="H45" s="103">
        <v>303816.96223037958</v>
      </c>
      <c r="I45" s="103">
        <v>321479.5099347707</v>
      </c>
      <c r="J45" s="48"/>
      <c r="K45" s="28">
        <v>0.69953737124602045</v>
      </c>
      <c r="L45" s="102">
        <v>0.70240437419921431</v>
      </c>
      <c r="M45" s="102">
        <v>0.71504823892266101</v>
      </c>
      <c r="N45" s="4"/>
      <c r="O45" s="101">
        <v>507572.16442757455</v>
      </c>
      <c r="P45" s="103">
        <v>249360.93674809532</v>
      </c>
      <c r="Q45" s="103">
        <v>255757.05389556277</v>
      </c>
      <c r="R45" s="48"/>
      <c r="S45" s="28">
        <v>0.50034822568996296</v>
      </c>
      <c r="T45" s="102">
        <v>0.53783702923768062</v>
      </c>
      <c r="U45" s="102">
        <v>0.48011600137678573</v>
      </c>
      <c r="V45" s="4"/>
      <c r="W45" s="101">
        <v>363043.9806648083</v>
      </c>
      <c r="X45" s="103">
        <v>190937.79930032615</v>
      </c>
      <c r="Y45" s="103">
        <v>171726.95121276405</v>
      </c>
    </row>
    <row r="46" spans="1:25">
      <c r="A46" s="34"/>
      <c r="B46" s="34" t="s">
        <v>90</v>
      </c>
      <c r="C46" s="28">
        <v>0.82216684492961578</v>
      </c>
      <c r="D46" s="102">
        <v>0.53195066380027867</v>
      </c>
      <c r="E46" s="102">
        <v>0.92062795565662026</v>
      </c>
      <c r="F46" s="4"/>
      <c r="G46" s="101">
        <v>7019.608579358408</v>
      </c>
      <c r="H46" s="103">
        <v>1214.2835886327516</v>
      </c>
      <c r="I46" s="103">
        <v>5218.4839731218763</v>
      </c>
      <c r="J46" s="48"/>
      <c r="K46" s="28">
        <v>0.53004304027706151</v>
      </c>
      <c r="L46" s="102">
        <v>0.53195066380027867</v>
      </c>
      <c r="M46" s="102">
        <v>0.48062085032164809</v>
      </c>
      <c r="N46" s="4"/>
      <c r="O46" s="101">
        <v>4525.4739909593372</v>
      </c>
      <c r="P46" s="103">
        <v>1214.2835886327516</v>
      </c>
      <c r="Q46" s="103">
        <v>2724.3493847228065</v>
      </c>
      <c r="R46" s="48"/>
      <c r="S46" s="28">
        <v>0.3092688520408145</v>
      </c>
      <c r="T46" s="102">
        <v>0.37467926761244397</v>
      </c>
      <c r="U46" s="102">
        <v>0.31494582218301487</v>
      </c>
      <c r="V46" s="4"/>
      <c r="W46" s="101">
        <v>2640.5179198145338</v>
      </c>
      <c r="X46" s="103">
        <v>855.2802292085255</v>
      </c>
      <c r="Y46" s="103">
        <v>1785.2376906060081</v>
      </c>
    </row>
    <row r="47" spans="1:25">
      <c r="A47" s="34" t="s">
        <v>91</v>
      </c>
      <c r="B47" s="34"/>
      <c r="C47" s="28"/>
      <c r="D47" s="102"/>
      <c r="E47" s="102"/>
      <c r="F47" s="4"/>
      <c r="G47" s="101"/>
      <c r="H47" s="103"/>
      <c r="I47" s="103"/>
      <c r="J47" s="48"/>
      <c r="K47" s="28"/>
      <c r="L47" s="102"/>
      <c r="M47" s="102"/>
      <c r="N47" s="4"/>
      <c r="O47" s="101"/>
      <c r="P47" s="103"/>
      <c r="Q47" s="103"/>
      <c r="R47" s="48"/>
      <c r="S47" s="28"/>
      <c r="T47" s="102"/>
      <c r="U47" s="102"/>
      <c r="V47" s="4"/>
      <c r="W47" s="101"/>
      <c r="X47" s="103"/>
      <c r="Y47" s="103"/>
    </row>
    <row r="48" spans="1:25">
      <c r="A48" s="34"/>
      <c r="B48" s="34" t="s">
        <v>92</v>
      </c>
      <c r="C48" s="28">
        <v>0.90415695656928674</v>
      </c>
      <c r="D48" s="102">
        <v>0.91557291908352578</v>
      </c>
      <c r="E48" s="102">
        <v>0.8933867526552477</v>
      </c>
      <c r="G48" s="101">
        <v>3655975.8858734402</v>
      </c>
      <c r="H48" s="103">
        <v>1858981.4900574535</v>
      </c>
      <c r="I48" s="103">
        <v>1789081.2937517043</v>
      </c>
      <c r="J48" s="48"/>
      <c r="K48" s="28">
        <v>0.66327216375797049</v>
      </c>
      <c r="L48" s="102">
        <v>0.65421186600806291</v>
      </c>
      <c r="M48" s="102">
        <v>0.67326987401176586</v>
      </c>
      <c r="O48" s="101">
        <v>2681953.6352087073</v>
      </c>
      <c r="P48" s="103">
        <v>1328313.3698431151</v>
      </c>
      <c r="Q48" s="103">
        <v>1348278.9325686803</v>
      </c>
      <c r="R48" s="48"/>
      <c r="S48" s="28">
        <v>0.43164837862901967</v>
      </c>
      <c r="T48" s="102">
        <v>0.41499893428491497</v>
      </c>
      <c r="U48" s="102">
        <v>0.44905086174211234</v>
      </c>
      <c r="W48" s="101">
        <v>1745378.445609662</v>
      </c>
      <c r="X48" s="103">
        <v>842614.84929180879</v>
      </c>
      <c r="Y48" s="103">
        <v>899261.70753946539</v>
      </c>
    </row>
    <row r="49" spans="1:25">
      <c r="A49" s="34"/>
      <c r="B49" s="34" t="s">
        <v>93</v>
      </c>
      <c r="C49" s="28">
        <v>0.87528173883210159</v>
      </c>
      <c r="D49" s="102">
        <v>0.87346289614783013</v>
      </c>
      <c r="E49" s="102">
        <v>0.8783773203284726</v>
      </c>
      <c r="F49" s="4"/>
      <c r="G49" s="101">
        <v>4670431.0378241697</v>
      </c>
      <c r="H49" s="103">
        <v>2309884.0010508867</v>
      </c>
      <c r="I49" s="103">
        <v>2338355.3797864201</v>
      </c>
      <c r="J49" s="48"/>
      <c r="K49" s="28">
        <v>0.70319035248512751</v>
      </c>
      <c r="L49" s="102">
        <v>0.69747600241418539</v>
      </c>
      <c r="M49" s="102">
        <v>0.70990601035300083</v>
      </c>
      <c r="N49" s="4"/>
      <c r="O49" s="101">
        <v>3752165.6194121065</v>
      </c>
      <c r="P49" s="103">
        <v>1844484.3692831413</v>
      </c>
      <c r="Q49" s="103">
        <v>1889862.7048235785</v>
      </c>
      <c r="R49" s="48"/>
      <c r="S49" s="28">
        <v>0.51005619088274257</v>
      </c>
      <c r="T49" s="102">
        <v>0.5021583183657311</v>
      </c>
      <c r="U49" s="102">
        <v>0.51974711765699977</v>
      </c>
      <c r="V49" s="4"/>
      <c r="W49" s="101">
        <v>2721617.6909068194</v>
      </c>
      <c r="X49" s="103">
        <v>1327964.2108476085</v>
      </c>
      <c r="Y49" s="103">
        <v>1383634.8464088815</v>
      </c>
    </row>
    <row r="50" spans="1:25">
      <c r="A50" s="34"/>
      <c r="B50" s="34" t="s">
        <v>94</v>
      </c>
      <c r="C50" s="28">
        <v>0.89236365419137942</v>
      </c>
      <c r="D50" s="102">
        <v>0.9049441428334043</v>
      </c>
      <c r="E50" s="102">
        <v>0.88410671919886596</v>
      </c>
      <c r="F50" s="4"/>
      <c r="G50" s="101">
        <v>703038.0781600771</v>
      </c>
      <c r="H50" s="103">
        <v>333884.38251719211</v>
      </c>
      <c r="I50" s="103">
        <v>363797.04599476687</v>
      </c>
      <c r="J50" s="48"/>
      <c r="K50" s="28">
        <v>0.69581933358693082</v>
      </c>
      <c r="L50" s="102">
        <v>0.70274562801958329</v>
      </c>
      <c r="M50" s="102">
        <v>0.69437946595211275</v>
      </c>
      <c r="N50" s="4"/>
      <c r="O50" s="101">
        <v>548192.97573797021</v>
      </c>
      <c r="P50" s="103">
        <v>259282.0694361577</v>
      </c>
      <c r="Q50" s="103">
        <v>285727.04293177195</v>
      </c>
      <c r="R50" s="48"/>
      <c r="S50" s="28">
        <v>0.49661744337095048</v>
      </c>
      <c r="T50" s="102">
        <v>0.5132880924108415</v>
      </c>
      <c r="U50" s="102">
        <v>0.48700288410868725</v>
      </c>
      <c r="V50" s="4"/>
      <c r="W50" s="101">
        <v>391254.13874533033</v>
      </c>
      <c r="X50" s="103">
        <v>189380.61442270834</v>
      </c>
      <c r="Y50" s="103">
        <v>200394.59805284045</v>
      </c>
    </row>
    <row r="51" spans="1:25">
      <c r="A51" s="34"/>
      <c r="B51" s="34" t="s">
        <v>95</v>
      </c>
      <c r="C51" s="28">
        <v>0.84455348271023989</v>
      </c>
      <c r="D51" s="102">
        <v>0.84674704276152712</v>
      </c>
      <c r="E51" s="102">
        <v>0.84191015326554075</v>
      </c>
      <c r="F51" s="4"/>
      <c r="G51" s="101">
        <v>2365255.9936614181</v>
      </c>
      <c r="H51" s="103">
        <v>1255983.4398580231</v>
      </c>
      <c r="I51" s="103">
        <v>1088338.0569186634</v>
      </c>
      <c r="J51" s="48"/>
      <c r="K51" s="28">
        <v>0.65768713586197036</v>
      </c>
      <c r="L51" s="102">
        <v>0.65303079623226989</v>
      </c>
      <c r="M51" s="102">
        <v>0.66297830056546592</v>
      </c>
      <c r="N51" s="4"/>
      <c r="O51" s="101">
        <v>1841918.2110995462</v>
      </c>
      <c r="P51" s="103">
        <v>968643.31891859381</v>
      </c>
      <c r="Q51" s="103">
        <v>857032.68052770419</v>
      </c>
      <c r="R51" s="48"/>
      <c r="S51" s="28">
        <v>0.48519892421178379</v>
      </c>
      <c r="T51" s="102">
        <v>0.46991333022207565</v>
      </c>
      <c r="U51" s="102">
        <v>0.50244696123199939</v>
      </c>
      <c r="V51" s="4"/>
      <c r="W51" s="101">
        <v>1358847.8256311135</v>
      </c>
      <c r="X51" s="103">
        <v>697024.41357528674</v>
      </c>
      <c r="Y51" s="103">
        <v>649513.66528947034</v>
      </c>
    </row>
    <row r="52" spans="1:25">
      <c r="A52" s="34"/>
      <c r="B52" s="34" t="s">
        <v>96</v>
      </c>
      <c r="C52" s="28">
        <v>0.8307924519766684</v>
      </c>
      <c r="D52" s="102">
        <v>0.83511840013724636</v>
      </c>
      <c r="E52" s="102">
        <v>0.82821533517426194</v>
      </c>
      <c r="F52" s="4"/>
      <c r="G52" s="101">
        <v>7641265.6890387638</v>
      </c>
      <c r="H52" s="103">
        <v>3608023.2470436022</v>
      </c>
      <c r="I52" s="103">
        <v>4003757.1937396056</v>
      </c>
      <c r="J52" s="48"/>
      <c r="K52" s="28">
        <v>0.68113778700014338</v>
      </c>
      <c r="L52" s="102">
        <v>0.6785135626680856</v>
      </c>
      <c r="M52" s="102">
        <v>0.68504281332521755</v>
      </c>
      <c r="N52" s="4"/>
      <c r="O52" s="101">
        <v>6264807.5207334189</v>
      </c>
      <c r="P52" s="103">
        <v>2931431.8869498037</v>
      </c>
      <c r="Q52" s="103">
        <v>3311632.8270996893</v>
      </c>
      <c r="R52" s="48"/>
      <c r="S52" s="28">
        <v>0.51125613589892027</v>
      </c>
      <c r="T52" s="102">
        <v>0.49924964853680043</v>
      </c>
      <c r="U52" s="102">
        <v>0.52309790358348018</v>
      </c>
      <c r="V52" s="4"/>
      <c r="W52" s="101">
        <v>4702310.3787956322</v>
      </c>
      <c r="X52" s="103">
        <v>2156944.8568048449</v>
      </c>
      <c r="Y52" s="103">
        <v>2528759.0141781173</v>
      </c>
    </row>
    <row r="53" spans="1:25">
      <c r="A53" s="34" t="s">
        <v>97</v>
      </c>
      <c r="B53" s="34"/>
      <c r="C53" s="28"/>
      <c r="D53" s="102"/>
      <c r="E53" s="102"/>
      <c r="G53" s="101"/>
      <c r="H53" s="103"/>
      <c r="I53" s="103"/>
      <c r="J53" s="48"/>
      <c r="K53" s="28"/>
      <c r="L53" s="102"/>
      <c r="M53" s="102"/>
      <c r="O53" s="101"/>
      <c r="P53" s="103"/>
      <c r="Q53" s="103"/>
      <c r="R53" s="48"/>
      <c r="S53" s="28"/>
      <c r="T53" s="102"/>
      <c r="U53" s="102"/>
      <c r="W53" s="101"/>
      <c r="X53" s="103"/>
      <c r="Y53" s="103"/>
    </row>
    <row r="54" spans="1:25">
      <c r="A54" s="34"/>
      <c r="B54" s="34" t="s">
        <v>98</v>
      </c>
      <c r="C54" s="28">
        <v>0.79568003682208788</v>
      </c>
      <c r="D54" s="102">
        <v>0.80579288280400729</v>
      </c>
      <c r="E54" s="102">
        <v>0.78312687120909374</v>
      </c>
      <c r="F54" s="4"/>
      <c r="G54" s="101">
        <v>710179.92689145415</v>
      </c>
      <c r="H54" s="103">
        <v>403338.48746415449</v>
      </c>
      <c r="I54" s="103">
        <v>300413.71987516538</v>
      </c>
      <c r="J54" s="48"/>
      <c r="K54" s="28">
        <v>0.50199122887505288</v>
      </c>
      <c r="L54" s="102">
        <v>0.49312135642017813</v>
      </c>
      <c r="M54" s="102">
        <v>0.51172360197081446</v>
      </c>
      <c r="N54" s="4"/>
      <c r="O54" s="101">
        <v>448049.56480559509</v>
      </c>
      <c r="P54" s="103">
        <v>246831.19729560081</v>
      </c>
      <c r="Q54" s="103">
        <v>196301.25905222006</v>
      </c>
      <c r="R54" s="48"/>
      <c r="S54" s="28">
        <v>0.33593986562613415</v>
      </c>
      <c r="T54" s="102">
        <v>0.31751398014002435</v>
      </c>
      <c r="U54" s="102">
        <v>0.35706469500575239</v>
      </c>
      <c r="V54" s="4"/>
      <c r="W54" s="101">
        <v>299841.31581730046</v>
      </c>
      <c r="X54" s="103">
        <v>158931.17354518798</v>
      </c>
      <c r="Y54" s="103">
        <v>136972.86762380713</v>
      </c>
    </row>
    <row r="55" spans="1:25">
      <c r="A55" s="34"/>
      <c r="B55" s="34" t="s">
        <v>99</v>
      </c>
      <c r="C55" s="28">
        <v>0.86224014774035984</v>
      </c>
      <c r="D55" s="102">
        <v>0.86894773027827554</v>
      </c>
      <c r="E55" s="102">
        <v>0.85623310031643041</v>
      </c>
      <c r="F55" s="4"/>
      <c r="G55" s="101">
        <v>17280779.863000963</v>
      </c>
      <c r="H55" s="103">
        <v>8411087.6858465467</v>
      </c>
      <c r="I55" s="103">
        <v>8797965.280978201</v>
      </c>
      <c r="J55" s="48"/>
      <c r="K55" s="28">
        <v>0.68969568257225589</v>
      </c>
      <c r="L55" s="102">
        <v>0.68756494613172858</v>
      </c>
      <c r="M55" s="102">
        <v>0.6920730130137871</v>
      </c>
      <c r="N55" s="4"/>
      <c r="O55" s="101">
        <v>13822691.154230818</v>
      </c>
      <c r="P55" s="103">
        <v>6655370.4556847159</v>
      </c>
      <c r="Q55" s="103">
        <v>7111187.7573374324</v>
      </c>
      <c r="R55" s="48"/>
      <c r="S55" s="28">
        <v>0.50086234649919781</v>
      </c>
      <c r="T55" s="102">
        <v>0.49042682563167295</v>
      </c>
      <c r="U55" s="102">
        <v>0.51120723055937378</v>
      </c>
      <c r="V55" s="4"/>
      <c r="W55" s="101">
        <v>10038145.375393787</v>
      </c>
      <c r="X55" s="103">
        <v>4747147.4867174821</v>
      </c>
      <c r="Y55" s="103">
        <v>5252755.8957768129</v>
      </c>
    </row>
    <row r="56" spans="1:25">
      <c r="A56" s="34"/>
      <c r="B56" s="34" t="s">
        <v>100</v>
      </c>
      <c r="C56" s="28">
        <v>0.70320115270112704</v>
      </c>
      <c r="D56" s="102">
        <v>0.69715858178766121</v>
      </c>
      <c r="E56" s="102">
        <v>0.72726694134911185</v>
      </c>
      <c r="F56" s="4"/>
      <c r="G56" s="101">
        <v>348514.75125584676</v>
      </c>
      <c r="H56" s="103">
        <v>206953.67380975612</v>
      </c>
      <c r="I56" s="103">
        <v>133377.41114783238</v>
      </c>
      <c r="J56" s="48"/>
      <c r="K56" s="28">
        <v>0.48816491664608075</v>
      </c>
      <c r="L56" s="102">
        <v>0.46070372498836965</v>
      </c>
      <c r="M56" s="102">
        <v>0.5441956803048813</v>
      </c>
      <c r="N56" s="4"/>
      <c r="O56" s="101">
        <v>241940.26679738588</v>
      </c>
      <c r="P56" s="103">
        <v>136761.32075961787</v>
      </c>
      <c r="Q56" s="103">
        <v>99802.984117844142</v>
      </c>
      <c r="R56" s="48"/>
      <c r="S56" s="28">
        <v>0.32611606506182206</v>
      </c>
      <c r="T56" s="102">
        <v>0.28835529664219256</v>
      </c>
      <c r="U56" s="102">
        <v>0.38524320799074097</v>
      </c>
      <c r="V56" s="4"/>
      <c r="W56" s="101">
        <v>161626.9524857596</v>
      </c>
      <c r="X56" s="103">
        <v>85599.158586818899</v>
      </c>
      <c r="Y56" s="103">
        <v>70651.831979016861</v>
      </c>
    </row>
    <row r="57" spans="1:25">
      <c r="A57" s="34" t="s">
        <v>101</v>
      </c>
      <c r="B57" s="34"/>
      <c r="C57" s="28"/>
      <c r="D57" s="102"/>
      <c r="E57" s="102"/>
      <c r="G57" s="101"/>
      <c r="H57" s="103"/>
      <c r="I57" s="103"/>
      <c r="J57" s="48"/>
      <c r="K57" s="28"/>
      <c r="L57" s="102"/>
      <c r="M57" s="102"/>
      <c r="O57" s="101"/>
      <c r="P57" s="103"/>
      <c r="Q57" s="103"/>
      <c r="R57" s="48"/>
      <c r="S57" s="28"/>
      <c r="T57" s="102"/>
      <c r="U57" s="102"/>
      <c r="W57" s="101"/>
      <c r="X57" s="103"/>
      <c r="Y57" s="103"/>
    </row>
    <row r="58" spans="1:25">
      <c r="A58" s="34"/>
      <c r="B58" s="34" t="s">
        <v>102</v>
      </c>
      <c r="C58" s="28">
        <v>0.85637840042558677</v>
      </c>
      <c r="D58" s="102">
        <v>0.86288865965131412</v>
      </c>
      <c r="E58" s="102">
        <v>0.85031659491598943</v>
      </c>
      <c r="F58" s="4"/>
      <c r="G58" s="101">
        <v>15320389.834580319</v>
      </c>
      <c r="H58" s="103">
        <v>7423765.4327814626</v>
      </c>
      <c r="I58" s="103">
        <v>7830335.5259880973</v>
      </c>
      <c r="J58" s="48"/>
      <c r="K58" s="28">
        <v>0.68327735907517562</v>
      </c>
      <c r="L58" s="102">
        <v>0.6786069960915837</v>
      </c>
      <c r="M58" s="102">
        <v>0.68790352929027576</v>
      </c>
      <c r="N58" s="4"/>
      <c r="O58" s="101">
        <v>12223656.623020828</v>
      </c>
      <c r="P58" s="103">
        <v>5838318.8881681487</v>
      </c>
      <c r="Q58" s="103">
        <v>6334717.5346923852</v>
      </c>
      <c r="R58" s="48"/>
      <c r="S58" s="28">
        <v>0.49782584985957157</v>
      </c>
      <c r="T58" s="102">
        <v>0.4837968268790887</v>
      </c>
      <c r="U58" s="102">
        <v>0.51123814220029529</v>
      </c>
      <c r="V58" s="4"/>
      <c r="W58" s="101">
        <v>8905976.7105167788</v>
      </c>
      <c r="X58" s="103">
        <v>4162291.5305500352</v>
      </c>
      <c r="Y58" s="103">
        <v>4707853.7700497741</v>
      </c>
    </row>
    <row r="59" spans="1:25">
      <c r="A59" s="34"/>
      <c r="B59" s="34" t="s">
        <v>103</v>
      </c>
      <c r="C59" s="28">
        <v>0.86863933789199921</v>
      </c>
      <c r="D59" s="102">
        <v>0.86844913498620957</v>
      </c>
      <c r="E59" s="102">
        <v>0.87215291637008252</v>
      </c>
      <c r="F59" s="4"/>
      <c r="G59" s="101">
        <v>2859745.4489357118</v>
      </c>
      <c r="H59" s="103">
        <v>1502155.3429141666</v>
      </c>
      <c r="I59" s="103">
        <v>1341864.968669839</v>
      </c>
      <c r="J59" s="48"/>
      <c r="K59" s="28">
        <v>0.66220164253557268</v>
      </c>
      <c r="L59" s="102">
        <v>0.65825273411704033</v>
      </c>
      <c r="M59" s="102">
        <v>0.6683808092598682</v>
      </c>
      <c r="N59" s="4"/>
      <c r="O59" s="101">
        <v>2180108.6491368534</v>
      </c>
      <c r="P59" s="103">
        <v>1138578.9008327723</v>
      </c>
      <c r="Q59" s="103">
        <v>1028348.0991038054</v>
      </c>
      <c r="R59" s="48"/>
      <c r="S59" s="28">
        <v>0.46172853974835343</v>
      </c>
      <c r="T59" s="102">
        <v>0.45475418352315311</v>
      </c>
      <c r="U59" s="102">
        <v>0.47049601463011959</v>
      </c>
      <c r="V59" s="4"/>
      <c r="W59" s="101">
        <v>1520108.5566691875</v>
      </c>
      <c r="X59" s="103">
        <v>786587.72168933216</v>
      </c>
      <c r="Y59" s="103">
        <v>723889.24932864727</v>
      </c>
    </row>
    <row r="60" spans="1:25">
      <c r="A60" s="34" t="s">
        <v>104</v>
      </c>
      <c r="B60" s="34"/>
      <c r="C60" s="28"/>
      <c r="D60" s="102"/>
      <c r="E60" s="102"/>
      <c r="F60" s="4"/>
      <c r="G60" s="101"/>
      <c r="H60" s="103"/>
      <c r="I60" s="103"/>
      <c r="J60" s="48"/>
      <c r="K60" s="28"/>
      <c r="L60" s="102"/>
      <c r="M60" s="102"/>
      <c r="N60" s="4"/>
      <c r="O60" s="101"/>
      <c r="P60" s="103"/>
      <c r="Q60" s="103"/>
      <c r="R60" s="48"/>
      <c r="S60" s="28"/>
      <c r="T60" s="102"/>
      <c r="U60" s="102"/>
      <c r="V60" s="4"/>
      <c r="W60" s="101"/>
      <c r="X60" s="103"/>
      <c r="Y60" s="103"/>
    </row>
    <row r="61" spans="1:25">
      <c r="A61" s="34"/>
      <c r="B61" s="34" t="s">
        <v>98</v>
      </c>
      <c r="C61" s="28">
        <v>0.6966958896840546</v>
      </c>
      <c r="D61" s="102">
        <v>0.69226453733482685</v>
      </c>
      <c r="E61" s="102">
        <v>0.69669119292082149</v>
      </c>
      <c r="G61" s="101">
        <v>2429628.6427636812</v>
      </c>
      <c r="H61" s="103">
        <v>1014893.3571319055</v>
      </c>
      <c r="I61" s="103">
        <v>1380890.115247146</v>
      </c>
      <c r="J61" s="48"/>
      <c r="K61" s="28">
        <v>0.51158488580311401</v>
      </c>
      <c r="L61" s="102">
        <v>0.51048190422163153</v>
      </c>
      <c r="M61" s="102">
        <v>0.50860317715670122</v>
      </c>
      <c r="O61" s="101">
        <v>1784080.1275803489</v>
      </c>
      <c r="P61" s="103">
        <v>748391.20825858228</v>
      </c>
      <c r="Q61" s="103">
        <v>1008086.663152064</v>
      </c>
      <c r="R61" s="48"/>
      <c r="S61" s="28">
        <v>0.36037604553104041</v>
      </c>
      <c r="T61" s="102">
        <v>0.3623192407085476</v>
      </c>
      <c r="U61" s="102">
        <v>0.35583402195204522</v>
      </c>
      <c r="W61" s="101">
        <v>1256760.6259098097</v>
      </c>
      <c r="X61" s="103">
        <v>531177.56395822472</v>
      </c>
      <c r="Y61" s="103">
        <v>705287.63471545547</v>
      </c>
    </row>
    <row r="62" spans="1:25">
      <c r="A62" s="34"/>
      <c r="B62" s="34" t="s">
        <v>99</v>
      </c>
      <c r="C62" s="28">
        <v>0.89258953291547993</v>
      </c>
      <c r="D62" s="102">
        <v>0.89423020236088346</v>
      </c>
      <c r="E62" s="102">
        <v>0.89174199025886824</v>
      </c>
      <c r="G62" s="101">
        <v>15575670.185761761</v>
      </c>
      <c r="H62" s="103">
        <v>7848893.4533375213</v>
      </c>
      <c r="I62" s="103">
        <v>7682708.7548932824</v>
      </c>
      <c r="J62" s="48"/>
      <c r="K62" s="28">
        <v>0.71559812694441904</v>
      </c>
      <c r="L62" s="102">
        <v>0.70462113723057096</v>
      </c>
      <c r="M62" s="102">
        <v>0.72773602220309785</v>
      </c>
      <c r="O62" s="101">
        <v>12487173.554936325</v>
      </c>
      <c r="P62" s="103">
        <v>6184644.8671617694</v>
      </c>
      <c r="Q62" s="103">
        <v>6269732.6918607</v>
      </c>
      <c r="R62" s="48"/>
      <c r="S62" s="28">
        <v>0.51963953360611825</v>
      </c>
      <c r="T62" s="102">
        <v>0.49992449061434607</v>
      </c>
      <c r="U62" s="102">
        <v>0.54054734331477094</v>
      </c>
      <c r="W62" s="101">
        <v>9067699.8692727946</v>
      </c>
      <c r="X62" s="103">
        <v>4387968.6138832634</v>
      </c>
      <c r="Y62" s="103">
        <v>4657028.4367938517</v>
      </c>
    </row>
    <row r="63" spans="1:25">
      <c r="A63" s="34"/>
      <c r="B63" s="34" t="s">
        <v>100</v>
      </c>
      <c r="C63" s="28">
        <v>0.67847210281086645</v>
      </c>
      <c r="D63" s="102">
        <v>0.67429609255475209</v>
      </c>
      <c r="E63" s="102">
        <v>0.68708981598453955</v>
      </c>
      <c r="G63" s="101">
        <v>334175.71262259019</v>
      </c>
      <c r="H63" s="103">
        <v>157593.03665102512</v>
      </c>
      <c r="I63" s="103">
        <v>168157.54186086476</v>
      </c>
      <c r="J63" s="48"/>
      <c r="K63" s="28">
        <v>0.4901663525214518</v>
      </c>
      <c r="L63" s="102">
        <v>0.45323127944737457</v>
      </c>
      <c r="M63" s="102">
        <v>0.52902376654389982</v>
      </c>
      <c r="O63" s="101">
        <v>241427.30331704428</v>
      </c>
      <c r="P63" s="103">
        <v>105926.89831958558</v>
      </c>
      <c r="Q63" s="103">
        <v>129472.64549471927</v>
      </c>
      <c r="R63" s="48"/>
      <c r="S63" s="28">
        <v>0.35561089719482392</v>
      </c>
      <c r="T63" s="102">
        <v>0.31034240571526167</v>
      </c>
      <c r="U63" s="102">
        <v>0.40069053647563313</v>
      </c>
      <c r="W63" s="101">
        <v>175153.14851429677</v>
      </c>
      <c r="X63" s="103">
        <v>72531.641007961603</v>
      </c>
      <c r="Y63" s="103">
        <v>98064.523870296704</v>
      </c>
    </row>
    <row r="64" spans="1:25">
      <c r="A64" s="34" t="s">
        <v>105</v>
      </c>
      <c r="B64" s="34"/>
      <c r="C64" s="28"/>
      <c r="D64" s="102"/>
      <c r="E64" s="102"/>
      <c r="F64" s="4"/>
      <c r="G64" s="101"/>
      <c r="H64" s="103"/>
      <c r="I64" s="103"/>
      <c r="J64" s="48"/>
      <c r="K64" s="28"/>
      <c r="L64" s="102"/>
      <c r="M64" s="102"/>
      <c r="N64" s="4"/>
      <c r="O64" s="101"/>
      <c r="P64" s="103"/>
      <c r="Q64" s="103"/>
      <c r="R64" s="48"/>
      <c r="S64" s="28"/>
      <c r="T64" s="102"/>
      <c r="U64" s="102"/>
      <c r="V64" s="4"/>
      <c r="W64" s="101"/>
      <c r="X64" s="103"/>
      <c r="Y64" s="103"/>
    </row>
    <row r="65" spans="1:25">
      <c r="A65" s="34"/>
      <c r="B65" s="36" t="s">
        <v>106</v>
      </c>
      <c r="C65" s="28">
        <v>0.70596602886897264</v>
      </c>
      <c r="D65" s="102">
        <v>0.70352544930376992</v>
      </c>
      <c r="E65" s="102">
        <v>0.70643148656748278</v>
      </c>
      <c r="G65" s="101">
        <v>1990550.4825181994</v>
      </c>
      <c r="H65" s="103">
        <v>784818.31740607461</v>
      </c>
      <c r="I65" s="103">
        <v>1187779.1136451603</v>
      </c>
      <c r="J65" s="48"/>
      <c r="K65" s="28">
        <v>0.51423926670654319</v>
      </c>
      <c r="L65" s="102">
        <v>0.51841881212287466</v>
      </c>
      <c r="M65" s="102">
        <v>0.51044189405471319</v>
      </c>
      <c r="O65" s="101">
        <v>1449955.3499938997</v>
      </c>
      <c r="P65" s="103">
        <v>578322.47610171873</v>
      </c>
      <c r="Q65" s="103">
        <v>858246.31548292004</v>
      </c>
      <c r="R65" s="48"/>
      <c r="S65" s="28">
        <v>0.37280237535660882</v>
      </c>
      <c r="T65" s="102">
        <v>0.36953861596368071</v>
      </c>
      <c r="U65" s="102">
        <v>0.37507549389878925</v>
      </c>
      <c r="W65" s="101">
        <v>1051158.1546479189</v>
      </c>
      <c r="X65" s="103">
        <v>412239.06695088098</v>
      </c>
      <c r="Y65" s="103">
        <v>630644.0839122578</v>
      </c>
    </row>
    <row r="66" spans="1:25">
      <c r="A66" s="34"/>
      <c r="B66" s="34" t="s">
        <v>107</v>
      </c>
      <c r="C66" s="28">
        <v>0.8051985840088256</v>
      </c>
      <c r="D66" s="102">
        <v>0.80538120800243229</v>
      </c>
      <c r="E66" s="102">
        <v>0.80517816363093742</v>
      </c>
      <c r="F66" s="4"/>
      <c r="G66" s="101">
        <v>2571792.5834525866</v>
      </c>
      <c r="H66" s="103">
        <v>1225766.007003898</v>
      </c>
      <c r="I66" s="103">
        <v>1330329.1315374977</v>
      </c>
      <c r="J66" s="48"/>
      <c r="K66" s="28">
        <v>0.61664768390944757</v>
      </c>
      <c r="L66" s="102">
        <v>0.60311353151871538</v>
      </c>
      <c r="M66" s="102">
        <v>0.62893045198026587</v>
      </c>
      <c r="N66" s="4"/>
      <c r="O66" s="101">
        <v>1969563.7468534717</v>
      </c>
      <c r="P66" s="103">
        <v>917920.67899538425</v>
      </c>
      <c r="Q66" s="103">
        <v>1039129.6482847701</v>
      </c>
      <c r="R66" s="48"/>
      <c r="S66" s="28">
        <v>0.43429531239179719</v>
      </c>
      <c r="T66" s="102">
        <v>0.41531363012393835</v>
      </c>
      <c r="U66" s="102">
        <v>0.45127398681423986</v>
      </c>
      <c r="V66" s="4"/>
      <c r="W66" s="101">
        <v>1387132.9205233748</v>
      </c>
      <c r="X66" s="103">
        <v>632094.87009756046</v>
      </c>
      <c r="Y66" s="103">
        <v>745602.59838246915</v>
      </c>
    </row>
    <row r="67" spans="1:25">
      <c r="A67" s="34"/>
      <c r="B67" s="34" t="s">
        <v>108</v>
      </c>
      <c r="C67" s="28">
        <v>0.87153136801125441</v>
      </c>
      <c r="D67" s="102">
        <v>0.8711072528975069</v>
      </c>
      <c r="E67" s="102">
        <v>0.87346237319217523</v>
      </c>
      <c r="F67" s="4"/>
      <c r="G67" s="101">
        <v>2645541.0975022824</v>
      </c>
      <c r="H67" s="103">
        <v>1325928.4165072283</v>
      </c>
      <c r="I67" s="103">
        <v>1308005.3769635709</v>
      </c>
      <c r="J67" s="48"/>
      <c r="K67" s="28">
        <v>0.67571941563934634</v>
      </c>
      <c r="L67" s="102">
        <v>0.65292758699736797</v>
      </c>
      <c r="M67" s="102">
        <v>0.70044575846427903</v>
      </c>
      <c r="N67" s="4"/>
      <c r="O67" s="101">
        <v>2051152.2018230243</v>
      </c>
      <c r="P67" s="103">
        <v>993833.12289235031</v>
      </c>
      <c r="Q67" s="103">
        <v>1048913.8931014128</v>
      </c>
      <c r="R67" s="48"/>
      <c r="S67" s="28">
        <v>0.48220260899917833</v>
      </c>
      <c r="T67" s="102">
        <v>0.44874937451734204</v>
      </c>
      <c r="U67" s="102">
        <v>0.51698198034478549</v>
      </c>
      <c r="V67" s="4"/>
      <c r="W67" s="101">
        <v>1463730.2411055351</v>
      </c>
      <c r="X67" s="103">
        <v>683049.69977376179</v>
      </c>
      <c r="Y67" s="103">
        <v>774177.83620483079</v>
      </c>
    </row>
    <row r="68" spans="1:25">
      <c r="A68" s="34"/>
      <c r="B68" s="34" t="s">
        <v>109</v>
      </c>
      <c r="C68" s="28">
        <v>0.90508349682253875</v>
      </c>
      <c r="D68" s="102">
        <v>0.90543398929622299</v>
      </c>
      <c r="E68" s="102">
        <v>0.90439983347257558</v>
      </c>
      <c r="F68" s="4"/>
      <c r="G68" s="101">
        <v>3815242.3173825871</v>
      </c>
      <c r="H68" s="103">
        <v>1993526.5128144938</v>
      </c>
      <c r="I68" s="103">
        <v>1810263.4819968618</v>
      </c>
      <c r="J68" s="48"/>
      <c r="K68" s="28">
        <v>0.71295181999813939</v>
      </c>
      <c r="L68" s="102">
        <v>0.70107249337172362</v>
      </c>
      <c r="M68" s="102">
        <v>0.72611357573212287</v>
      </c>
      <c r="N68" s="4"/>
      <c r="O68" s="101">
        <v>3005340.3508750144</v>
      </c>
      <c r="P68" s="103">
        <v>1543576.4721267293</v>
      </c>
      <c r="Q68" s="103">
        <v>1453402.4015495172</v>
      </c>
      <c r="R68" s="48"/>
      <c r="S68" s="28">
        <v>0.51255107752794682</v>
      </c>
      <c r="T68" s="102">
        <v>0.49412985972048007</v>
      </c>
      <c r="U68" s="102">
        <v>0.53319512292287108</v>
      </c>
      <c r="V68" s="4"/>
      <c r="W68" s="101">
        <v>2160581.3912968575</v>
      </c>
      <c r="X68" s="103">
        <v>1087943.4478616749</v>
      </c>
      <c r="Y68" s="103">
        <v>1067253.2480462582</v>
      </c>
    </row>
    <row r="69" spans="1:25">
      <c r="A69" s="34"/>
      <c r="B69" s="34" t="s">
        <v>110</v>
      </c>
      <c r="C69" s="28">
        <v>0.92172448289566788</v>
      </c>
      <c r="D69" s="102">
        <v>0.91310813269834479</v>
      </c>
      <c r="E69" s="102">
        <v>0.93351575212060023</v>
      </c>
      <c r="G69" s="101">
        <v>2179012.58464895</v>
      </c>
      <c r="H69" s="103">
        <v>1143510.6039442583</v>
      </c>
      <c r="I69" s="103">
        <v>1029809.3114209865</v>
      </c>
      <c r="J69" s="48"/>
      <c r="K69" s="28">
        <v>0.74622914823702891</v>
      </c>
      <c r="L69" s="102">
        <v>0.71699655288092767</v>
      </c>
      <c r="M69" s="102">
        <v>0.78098993187499044</v>
      </c>
      <c r="O69" s="101">
        <v>1764130.968868284</v>
      </c>
      <c r="P69" s="103">
        <v>897914.64104907005</v>
      </c>
      <c r="Q69" s="103">
        <v>861550.22252586891</v>
      </c>
      <c r="R69" s="48"/>
      <c r="S69" s="28">
        <v>0.54047899177171543</v>
      </c>
      <c r="T69" s="102">
        <v>0.51543253429563962</v>
      </c>
      <c r="U69" s="102">
        <v>0.56969084267244408</v>
      </c>
      <c r="W69" s="101">
        <v>1277725.1192341952</v>
      </c>
      <c r="X69" s="103">
        <v>645490.4380745911</v>
      </c>
      <c r="Y69" s="103">
        <v>628455.31324206223</v>
      </c>
    </row>
    <row r="70" spans="1:25">
      <c r="A70" s="34"/>
      <c r="B70" s="34" t="s">
        <v>111</v>
      </c>
      <c r="C70" s="28">
        <v>0.9422687694443026</v>
      </c>
      <c r="D70" s="102">
        <v>0.94014387427668611</v>
      </c>
      <c r="E70" s="102">
        <v>0.94650371409429535</v>
      </c>
      <c r="G70" s="101">
        <v>2608763.6657523173</v>
      </c>
      <c r="H70" s="103">
        <v>1544828.7856405305</v>
      </c>
      <c r="I70" s="103">
        <v>1057924.154639876</v>
      </c>
      <c r="J70" s="48"/>
      <c r="K70" s="28">
        <v>0.80327522534563489</v>
      </c>
      <c r="L70" s="102">
        <v>0.79617933642251326</v>
      </c>
      <c r="M70" s="102">
        <v>0.8148157248114003</v>
      </c>
      <c r="O70" s="101">
        <v>2223946.3828526745</v>
      </c>
      <c r="P70" s="103">
        <v>1308268.6502467121</v>
      </c>
      <c r="Q70" s="103">
        <v>910734.13027569</v>
      </c>
      <c r="R70" s="48"/>
      <c r="S70" s="28">
        <v>0.59876203587346066</v>
      </c>
      <c r="T70" s="102">
        <v>0.58378850773558322</v>
      </c>
      <c r="U70" s="102">
        <v>0.6223962857954648</v>
      </c>
      <c r="W70" s="101">
        <v>1657731.5244564104</v>
      </c>
      <c r="X70" s="103">
        <v>959271.57124744647</v>
      </c>
      <c r="Y70" s="103">
        <v>695663.47674740118</v>
      </c>
    </row>
    <row r="71" spans="1:25">
      <c r="A71" s="34"/>
      <c r="B71" s="34" t="s">
        <v>112</v>
      </c>
      <c r="C71" s="28">
        <v>0.83375065153613614</v>
      </c>
      <c r="D71" s="102">
        <v>0.822037788622898</v>
      </c>
      <c r="E71" s="102">
        <v>0.84290859131678597</v>
      </c>
      <c r="G71" s="101">
        <v>2528571.8098914446</v>
      </c>
      <c r="H71" s="103">
        <v>1003001.2038039425</v>
      </c>
      <c r="I71" s="103">
        <v>1507645.8417970575</v>
      </c>
      <c r="J71" s="48"/>
      <c r="K71" s="28">
        <v>0.67548601751527859</v>
      </c>
      <c r="L71" s="102">
        <v>0.65494690713079318</v>
      </c>
      <c r="M71" s="102">
        <v>0.69065156136055039</v>
      </c>
      <c r="O71" s="101">
        <v>2048591.9845676348</v>
      </c>
      <c r="P71" s="103">
        <v>799126.93232793349</v>
      </c>
      <c r="Q71" s="103">
        <v>1235315.3892870317</v>
      </c>
      <c r="R71" s="48"/>
      <c r="S71" s="28">
        <v>0.49511026925761714</v>
      </c>
      <c r="T71" s="102">
        <v>0.4684615826881956</v>
      </c>
      <c r="U71" s="102">
        <v>0.51357046643352045</v>
      </c>
      <c r="W71" s="101">
        <v>1501554.2924326132</v>
      </c>
      <c r="X71" s="103">
        <v>571588.72484353348</v>
      </c>
      <c r="Y71" s="103">
        <v>918584.03884422826</v>
      </c>
    </row>
    <row r="72" spans="1:25">
      <c r="A72" s="34" t="s">
        <v>113</v>
      </c>
      <c r="B72" s="34"/>
      <c r="C72" s="28"/>
      <c r="D72" s="102"/>
      <c r="E72" s="102"/>
      <c r="F72" s="4"/>
      <c r="G72" s="101"/>
      <c r="H72" s="103"/>
      <c r="I72" s="103"/>
      <c r="J72" s="48"/>
      <c r="K72" s="28"/>
      <c r="L72" s="102"/>
      <c r="M72" s="102"/>
      <c r="N72" s="4"/>
      <c r="O72" s="101"/>
      <c r="P72" s="103"/>
      <c r="Q72" s="103"/>
      <c r="R72" s="48"/>
      <c r="S72" s="28"/>
      <c r="T72" s="102"/>
      <c r="U72" s="102"/>
      <c r="V72" s="4"/>
      <c r="W72" s="101"/>
      <c r="X72" s="103"/>
      <c r="Y72" s="103"/>
    </row>
    <row r="73" spans="1:25">
      <c r="A73" s="34"/>
      <c r="B73" s="34" t="s">
        <v>114</v>
      </c>
      <c r="C73" s="28">
        <v>0.85758704219679993</v>
      </c>
      <c r="D73" s="102">
        <v>0.86554168731241499</v>
      </c>
      <c r="E73" s="102">
        <v>0.85029786389905027</v>
      </c>
      <c r="F73" s="4"/>
      <c r="G73" s="101">
        <v>16244836.008153321</v>
      </c>
      <c r="H73" s="103">
        <v>7923334.6764242612</v>
      </c>
      <c r="I73" s="103">
        <v>8303716.9435944315</v>
      </c>
      <c r="J73" s="48"/>
      <c r="K73" s="28">
        <v>0.67932415276122671</v>
      </c>
      <c r="L73" s="102">
        <v>0.67465926005643806</v>
      </c>
      <c r="M73" s="102">
        <v>0.68377549266188553</v>
      </c>
      <c r="N73" s="4"/>
      <c r="O73" s="101">
        <v>12868092.584182706</v>
      </c>
      <c r="P73" s="103">
        <v>6175960.3128698822</v>
      </c>
      <c r="Q73" s="103">
        <v>6677516.6504537081</v>
      </c>
      <c r="R73" s="48"/>
      <c r="S73" s="28">
        <v>0.49042941391786016</v>
      </c>
      <c r="T73" s="102">
        <v>0.47516693935772358</v>
      </c>
      <c r="U73" s="102">
        <v>0.50493479508610484</v>
      </c>
      <c r="V73" s="4"/>
      <c r="W73" s="101">
        <v>9289955.4338673428</v>
      </c>
      <c r="X73" s="103">
        <v>4349769.3327675639</v>
      </c>
      <c r="Y73" s="103">
        <v>4931019.8124461668</v>
      </c>
    </row>
    <row r="74" spans="1:25">
      <c r="A74" s="34"/>
      <c r="B74" s="34" t="s">
        <v>115</v>
      </c>
      <c r="C74" s="28">
        <v>0.87592487555580467</v>
      </c>
      <c r="D74" s="102">
        <v>0.86722667045124791</v>
      </c>
      <c r="E74" s="102">
        <v>0.89986096771338042</v>
      </c>
      <c r="G74" s="101">
        <v>811956.07521579997</v>
      </c>
      <c r="H74" s="103">
        <v>595363.07681557094</v>
      </c>
      <c r="I74" s="103">
        <v>200576.00760836987</v>
      </c>
      <c r="J74" s="48"/>
      <c r="K74" s="28">
        <v>0.71183674123054475</v>
      </c>
      <c r="L74" s="102">
        <v>0.7139252786347311</v>
      </c>
      <c r="M74" s="102">
        <v>0.71603305352297142</v>
      </c>
      <c r="O74" s="101">
        <v>659851.29859134287</v>
      </c>
      <c r="P74" s="103">
        <v>490119.5558056602</v>
      </c>
      <c r="Q74" s="103">
        <v>159601.37881768052</v>
      </c>
      <c r="R74" s="48"/>
      <c r="S74" s="28">
        <v>0.55306496736502819</v>
      </c>
      <c r="T74" s="102">
        <v>0.55917040787872352</v>
      </c>
      <c r="U74" s="102">
        <v>0.54937977325667875</v>
      </c>
      <c r="W74" s="101">
        <v>512674.62858172151</v>
      </c>
      <c r="X74" s="103">
        <v>383878.20144607686</v>
      </c>
      <c r="Y74" s="103">
        <v>122454.91863106799</v>
      </c>
    </row>
    <row r="75" spans="1:25">
      <c r="A75" s="34"/>
      <c r="B75" s="34" t="s">
        <v>116</v>
      </c>
      <c r="C75" s="28">
        <v>0.86767961646265723</v>
      </c>
      <c r="D75" s="102">
        <v>0.82176656810449833</v>
      </c>
      <c r="E75" s="102">
        <v>0.89437406396177299</v>
      </c>
      <c r="G75" s="101">
        <v>608420.71662183839</v>
      </c>
      <c r="H75" s="103">
        <v>202417.57381623753</v>
      </c>
      <c r="I75" s="103">
        <v>385354.40671020572</v>
      </c>
      <c r="J75" s="48"/>
      <c r="K75" s="28">
        <v>0.68161634503054491</v>
      </c>
      <c r="L75" s="102">
        <v>0.629987392369738</v>
      </c>
      <c r="M75" s="102">
        <v>0.71023289892917907</v>
      </c>
      <c r="O75" s="101">
        <v>477952.34235802799</v>
      </c>
      <c r="P75" s="103">
        <v>155178.51960373807</v>
      </c>
      <c r="Q75" s="103">
        <v>306014.43894802086</v>
      </c>
      <c r="R75" s="48"/>
      <c r="S75" s="28">
        <v>0.48197335649389189</v>
      </c>
      <c r="T75" s="102">
        <v>0.44659800106987263</v>
      </c>
      <c r="U75" s="102">
        <v>0.49825064338597125</v>
      </c>
      <c r="W75" s="101">
        <v>337961.81146462017</v>
      </c>
      <c r="X75" s="103">
        <v>110006.03742771101</v>
      </c>
      <c r="Y75" s="103">
        <v>214678.72203770187</v>
      </c>
    </row>
    <row r="76" spans="1:25">
      <c r="A76" s="34"/>
      <c r="B76" s="34" t="s">
        <v>90</v>
      </c>
      <c r="C76" s="28">
        <v>0.83928970214188725</v>
      </c>
      <c r="D76" s="102">
        <v>0.87989801953817603</v>
      </c>
      <c r="E76" s="102">
        <v>0.82334933300603508</v>
      </c>
      <c r="F76" s="4"/>
      <c r="G76" s="101">
        <v>96352.581491128847</v>
      </c>
      <c r="H76" s="103">
        <v>30409.339873446093</v>
      </c>
      <c r="I76" s="103">
        <v>47878.085186475051</v>
      </c>
      <c r="J76" s="48"/>
      <c r="K76" s="28">
        <v>0.68050583443915613</v>
      </c>
      <c r="L76" s="102">
        <v>0.72083139555475939</v>
      </c>
      <c r="M76" s="102">
        <v>0.65496251153178808</v>
      </c>
      <c r="N76" s="4"/>
      <c r="O76" s="101">
        <v>78123.791702263319</v>
      </c>
      <c r="P76" s="103">
        <v>24911.985721231751</v>
      </c>
      <c r="Q76" s="103">
        <v>38086.325772048382</v>
      </c>
      <c r="R76" s="48"/>
      <c r="S76" s="28">
        <v>0.52135167327951215</v>
      </c>
      <c r="T76" s="102">
        <v>0.52870498351546158</v>
      </c>
      <c r="U76" s="102">
        <v>0.52628756532684751</v>
      </c>
      <c r="V76" s="4"/>
      <c r="W76" s="101">
        <v>59852.491287577206</v>
      </c>
      <c r="X76" s="103">
        <v>18272.082877223511</v>
      </c>
      <c r="Y76" s="103">
        <v>30603.827409813013</v>
      </c>
    </row>
    <row r="77" spans="1:25">
      <c r="A77" s="118"/>
      <c r="B77" s="118"/>
      <c r="C77" s="155"/>
      <c r="D77" s="119"/>
      <c r="E77" s="119"/>
      <c r="F77" s="119"/>
      <c r="G77" s="156"/>
      <c r="H77" s="157"/>
      <c r="I77" s="157"/>
      <c r="J77" s="119"/>
      <c r="K77" s="155"/>
      <c r="L77" s="119"/>
      <c r="M77" s="119"/>
      <c r="N77" s="119"/>
      <c r="O77" s="156"/>
      <c r="P77" s="157"/>
      <c r="Q77" s="157"/>
      <c r="R77" s="119"/>
      <c r="S77" s="155"/>
      <c r="T77" s="119"/>
      <c r="U77" s="119"/>
      <c r="V77" s="119"/>
      <c r="W77" s="156"/>
      <c r="X77" s="157"/>
      <c r="Y77" s="157"/>
    </row>
    <row r="78" spans="1:25">
      <c r="A78" s="130" t="s">
        <v>117</v>
      </c>
    </row>
    <row r="79" spans="1:25" ht="15" customHeight="1">
      <c r="A79" s="24" t="s">
        <v>118</v>
      </c>
      <c r="B79" s="129"/>
    </row>
    <row r="80" spans="1:25">
      <c r="A80" s="16" t="s">
        <v>119</v>
      </c>
      <c r="B80" s="16"/>
    </row>
    <row r="81" spans="1:22" ht="15" customHeight="1">
      <c r="A81" s="24" t="s">
        <v>120</v>
      </c>
      <c r="B81" s="24"/>
    </row>
    <row r="82" spans="1:22">
      <c r="A82" s="16" t="s">
        <v>121</v>
      </c>
      <c r="B82" s="16"/>
    </row>
    <row r="83" spans="1:22">
      <c r="A83" s="16" t="s">
        <v>122</v>
      </c>
      <c r="B83" s="16"/>
      <c r="D83" s="2"/>
      <c r="E83" s="2"/>
      <c r="F83" s="2"/>
      <c r="L83" s="2"/>
      <c r="M83" s="2"/>
      <c r="N83" s="2"/>
      <c r="T83" s="2"/>
      <c r="U83" s="2"/>
      <c r="V83" s="2"/>
    </row>
    <row r="84" spans="1:22">
      <c r="A84" s="148"/>
    </row>
    <row r="85" spans="1:22">
      <c r="A85" s="130"/>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G16&lt;'38'!$C$104</xm:f>
            <x14:dxf>
              <font>
                <color rgb="FFFF0000"/>
              </font>
              <numFmt numFmtId="172" formatCode="\*\*0.0%"/>
            </x14:dxf>
          </x14:cfRule>
          <x14:cfRule type="expression" priority="12" id="{CBF5BCDA-1D02-4223-AF26-D1579BA49BDB}">
            <xm:f>G16&lt;'38'!$C$103</xm:f>
            <x14:dxf>
              <font>
                <color rgb="FF00B050"/>
              </font>
              <numFmt numFmtId="171" formatCode="\*0.0%"/>
            </x14:dxf>
          </x14:cfRule>
          <xm:sqref>C16:E76</xm:sqref>
        </x14:conditionalFormatting>
        <x14:conditionalFormatting xmlns:xm="http://schemas.microsoft.com/office/excel/2006/main">
          <x14:cfRule type="expression" priority="9" id="{4097F712-85D1-4637-BA35-5BB214BDD29D}">
            <xm:f>G16&lt;'38'!$C$104</xm:f>
            <x14:dxf>
              <font>
                <color rgb="FFFF0000"/>
              </font>
              <numFmt numFmtId="174" formatCode="\*\*#,###,###,##0"/>
            </x14:dxf>
          </x14:cfRule>
          <x14:cfRule type="expression" priority="10" id="{679B6B3F-9DCA-484C-AF0F-279E5F4CD65D}">
            <xm:f>G16&lt;'38'!$C$103</xm:f>
            <x14:dxf>
              <font>
                <color rgb="FF00B050"/>
              </font>
              <numFmt numFmtId="173" formatCode="\*#,###,###,##0"/>
            </x14:dxf>
          </x14:cfRule>
          <xm:sqref>G16:I76</xm:sqref>
        </x14:conditionalFormatting>
        <x14:conditionalFormatting xmlns:xm="http://schemas.microsoft.com/office/excel/2006/main">
          <x14:cfRule type="expression" priority="7" id="{34A98352-4672-4162-B956-762C7485A3EB}">
            <xm:f>O16&lt;'38'!$C$104</xm:f>
            <x14:dxf>
              <font>
                <color rgb="FFFF0000"/>
              </font>
              <numFmt numFmtId="172" formatCode="\*\*0.0%"/>
            </x14:dxf>
          </x14:cfRule>
          <x14:cfRule type="expression" priority="8" id="{EB6C383F-E720-4ADA-BAED-66F14FC3E7F9}">
            <xm:f>O16&lt;'38'!$C$103</xm:f>
            <x14:dxf>
              <font>
                <color rgb="FF00B050"/>
              </font>
              <numFmt numFmtId="171" formatCode="\*0.0%"/>
            </x14:dxf>
          </x14:cfRule>
          <xm:sqref>K16:M76</xm:sqref>
        </x14:conditionalFormatting>
        <x14:conditionalFormatting xmlns:xm="http://schemas.microsoft.com/office/excel/2006/main">
          <x14:cfRule type="expression" priority="5" id="{F3F34CF2-6546-49A2-A194-5F2460E1C4EE}">
            <xm:f>O16&lt;'38'!$C$104</xm:f>
            <x14:dxf>
              <font>
                <color rgb="FFFF0000"/>
              </font>
              <numFmt numFmtId="174" formatCode="\*\*#,###,###,##0"/>
            </x14:dxf>
          </x14:cfRule>
          <x14:cfRule type="expression" priority="6" id="{C8712AFA-6CF4-4AD7-994B-BADD42F90564}">
            <xm:f>O16&lt;'38'!$C$103</xm:f>
            <x14:dxf>
              <font>
                <color rgb="FF00B050"/>
              </font>
              <numFmt numFmtId="173" formatCode="\*#,###,###,##0"/>
            </x14:dxf>
          </x14:cfRule>
          <xm:sqref>O16:Q76</xm:sqref>
        </x14:conditionalFormatting>
        <x14:conditionalFormatting xmlns:xm="http://schemas.microsoft.com/office/excel/2006/main">
          <x14:cfRule type="expression" priority="3" id="{1E1DB2E6-BAEB-4014-86EB-EC82BACDA9C2}">
            <xm:f>W16&lt;'38'!$C$104</xm:f>
            <x14:dxf>
              <font>
                <color rgb="FFFF0000"/>
              </font>
              <numFmt numFmtId="172" formatCode="\*\*0.0%"/>
            </x14:dxf>
          </x14:cfRule>
          <x14:cfRule type="expression" priority="4" id="{9E260C39-FD4D-459C-BA1E-4606BDD8EF0E}">
            <xm:f>W16&lt;'38'!$C$103</xm:f>
            <x14:dxf>
              <font>
                <color rgb="FF00B050"/>
              </font>
              <numFmt numFmtId="171" formatCode="\*0.0%"/>
            </x14:dxf>
          </x14:cfRule>
          <xm:sqref>S16:U76</xm:sqref>
        </x14:conditionalFormatting>
        <x14:conditionalFormatting xmlns:xm="http://schemas.microsoft.com/office/excel/2006/main">
          <x14:cfRule type="expression" priority="1" id="{3998E210-908C-4B3A-B90B-CF526248F3C0}">
            <xm:f>W16&lt;'38'!$C$104</xm:f>
            <x14:dxf>
              <font>
                <color rgb="FFFF0000"/>
              </font>
              <numFmt numFmtId="174" formatCode="\*\*#,###,###,##0"/>
            </x14:dxf>
          </x14:cfRule>
          <x14:cfRule type="expression" priority="2" id="{57B8E1BE-98C3-40D3-977E-A0A4ADC51F99}">
            <xm:f>W16&lt;'38'!$C$103</xm:f>
            <x14:dxf>
              <font>
                <color rgb="FF00B050"/>
              </font>
              <numFmt numFmtId="173" formatCode="\*#,###,###,##0"/>
            </x14:dxf>
          </x14:cfRule>
          <xm:sqref>W16:Y76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8"/>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c r="A1" s="29"/>
      <c r="B1" s="29"/>
      <c r="C1" s="30"/>
      <c r="D1" s="29"/>
      <c r="E1" s="29"/>
      <c r="F1" s="29"/>
      <c r="G1" s="30"/>
      <c r="H1" s="29"/>
      <c r="I1" s="29"/>
    </row>
    <row r="2" spans="1:9">
      <c r="A2" s="29"/>
      <c r="B2" s="29"/>
      <c r="C2" s="30"/>
      <c r="D2" s="29"/>
      <c r="E2" s="29"/>
      <c r="F2" s="29"/>
      <c r="G2" s="30"/>
      <c r="H2" s="29"/>
      <c r="I2" s="29"/>
    </row>
    <row r="3" spans="1:9">
      <c r="A3" s="29"/>
      <c r="B3" s="29"/>
      <c r="C3" s="30"/>
      <c r="D3" s="29"/>
      <c r="E3" s="29"/>
      <c r="F3" s="29"/>
      <c r="G3" s="30"/>
      <c r="H3" s="29"/>
      <c r="I3" s="29"/>
    </row>
    <row r="4" spans="1:9">
      <c r="A4" s="29"/>
      <c r="B4" s="29"/>
      <c r="C4" s="30"/>
      <c r="D4" s="29"/>
      <c r="E4" s="29"/>
      <c r="F4" s="29"/>
      <c r="G4" s="30"/>
      <c r="H4" s="29"/>
      <c r="I4" s="29"/>
    </row>
    <row r="5" spans="1:9">
      <c r="A5" s="29"/>
      <c r="B5" s="29"/>
      <c r="C5" s="30"/>
      <c r="D5" s="29"/>
      <c r="E5" s="29"/>
      <c r="F5" s="29"/>
      <c r="G5" s="30"/>
      <c r="H5" s="29"/>
      <c r="I5" s="29"/>
    </row>
    <row r="6" spans="1:9">
      <c r="A6" s="29"/>
      <c r="B6" s="29"/>
      <c r="C6" s="30"/>
      <c r="D6" s="29"/>
      <c r="E6" s="29"/>
      <c r="F6" s="29"/>
      <c r="G6" s="30"/>
      <c r="H6" s="29"/>
      <c r="I6" s="29"/>
    </row>
    <row r="7" spans="1:9">
      <c r="A7" s="29"/>
      <c r="B7" s="29"/>
      <c r="C7" s="30"/>
      <c r="D7" s="29"/>
      <c r="E7" s="29"/>
      <c r="F7" s="29"/>
      <c r="G7" s="30"/>
      <c r="H7" s="29"/>
      <c r="I7" s="29"/>
    </row>
    <row r="8" spans="1:9">
      <c r="A8" s="30" t="str">
        <f>Index!A8</f>
        <v>AusPlay survey results July 2024 - June 2025</v>
      </c>
      <c r="B8" s="29"/>
      <c r="C8" s="30"/>
      <c r="D8" s="29"/>
      <c r="E8" s="29"/>
      <c r="F8" s="29"/>
      <c r="G8" s="30"/>
      <c r="H8" s="29"/>
      <c r="I8" s="29"/>
    </row>
    <row r="9" spans="1:9">
      <c r="A9" s="29" t="s">
        <v>1</v>
      </c>
      <c r="B9" s="90" t="s">
        <v>2</v>
      </c>
      <c r="C9" s="30"/>
      <c r="D9" s="29"/>
      <c r="E9" s="29"/>
      <c r="F9" s="29"/>
      <c r="G9" s="30"/>
      <c r="H9" s="29"/>
      <c r="I9" s="29"/>
    </row>
    <row r="10" spans="1:9">
      <c r="A10" s="29" t="s">
        <v>49</v>
      </c>
      <c r="B10" s="31">
        <f>Index!B14</f>
        <v>2</v>
      </c>
      <c r="C10" s="30"/>
      <c r="D10" s="29"/>
      <c r="E10" s="29"/>
      <c r="F10" s="29"/>
      <c r="G10" s="30"/>
      <c r="H10" s="29"/>
      <c r="I10" s="29"/>
    </row>
    <row r="11" spans="1:9">
      <c r="A11" s="29" t="s">
        <v>3</v>
      </c>
      <c r="B11" s="30" t="str">
        <f>Index!D14</f>
        <v>Demographics of participants (children) (organised outside of school hours)</v>
      </c>
      <c r="C11" s="30"/>
      <c r="D11" s="29"/>
      <c r="E11" s="29"/>
      <c r="F11" s="29"/>
      <c r="G11" s="30"/>
      <c r="H11" s="29"/>
      <c r="I11" s="29"/>
    </row>
    <row r="12" spans="1:9">
      <c r="A12" s="116" t="s">
        <v>50</v>
      </c>
      <c r="B12" s="117" t="s">
        <v>123</v>
      </c>
      <c r="C12" s="117"/>
      <c r="D12" s="116"/>
      <c r="E12" s="116"/>
      <c r="F12" s="116"/>
      <c r="G12" s="117"/>
      <c r="H12" s="116"/>
      <c r="I12" s="116"/>
    </row>
    <row r="13" spans="1:9" s="92" customFormat="1" ht="24.95" customHeight="1">
      <c r="A13" s="91"/>
      <c r="B13" s="91"/>
      <c r="C13" s="182" t="s">
        <v>52</v>
      </c>
      <c r="D13" s="182"/>
      <c r="E13" s="182"/>
      <c r="F13" s="182"/>
      <c r="G13" s="182"/>
      <c r="H13" s="182"/>
      <c r="I13" s="182"/>
    </row>
    <row r="14" spans="1:9">
      <c r="A14" s="32"/>
      <c r="B14" s="32"/>
      <c r="C14" s="181" t="s">
        <v>55</v>
      </c>
      <c r="D14" s="181"/>
      <c r="E14" s="181"/>
      <c r="F14" s="57"/>
      <c r="G14" s="181" t="s">
        <v>56</v>
      </c>
      <c r="H14" s="181"/>
      <c r="I14" s="181"/>
    </row>
    <row r="15" spans="1:9" ht="17.25">
      <c r="A15" s="32"/>
      <c r="B15" s="32"/>
      <c r="C15" s="37" t="s">
        <v>57</v>
      </c>
      <c r="D15" s="37" t="s">
        <v>58</v>
      </c>
      <c r="E15" s="37" t="s">
        <v>59</v>
      </c>
      <c r="F15" s="37"/>
      <c r="G15" s="37" t="s">
        <v>60</v>
      </c>
      <c r="H15" s="37" t="s">
        <v>58</v>
      </c>
      <c r="I15" s="37" t="s">
        <v>59</v>
      </c>
    </row>
    <row r="16" spans="1:9">
      <c r="A16" s="35" t="s">
        <v>57</v>
      </c>
      <c r="B16" s="34"/>
      <c r="C16" s="28">
        <v>0.71724338763041207</v>
      </c>
      <c r="D16" s="28">
        <v>0.7189477258840391</v>
      </c>
      <c r="E16" s="28">
        <v>0.71730053673529681</v>
      </c>
      <c r="F16" s="28"/>
      <c r="G16" s="101">
        <v>3460623.755104857</v>
      </c>
      <c r="H16" s="101">
        <v>1777208.2365711608</v>
      </c>
      <c r="I16" s="101">
        <v>1676939.6149131453</v>
      </c>
    </row>
    <row r="17" spans="1:9">
      <c r="A17" s="34" t="s">
        <v>61</v>
      </c>
      <c r="B17" s="34"/>
      <c r="C17" s="28"/>
      <c r="D17" s="102"/>
      <c r="E17" s="102"/>
      <c r="F17" s="2"/>
      <c r="G17" s="101"/>
      <c r="H17" s="103"/>
      <c r="I17" s="103"/>
    </row>
    <row r="18" spans="1:9">
      <c r="A18" s="34"/>
      <c r="B18" s="34" t="s">
        <v>124</v>
      </c>
      <c r="C18" s="28">
        <v>0.47391435704656909</v>
      </c>
      <c r="D18" s="102">
        <v>0.48072123063049815</v>
      </c>
      <c r="E18" s="102">
        <v>0.46827823658025958</v>
      </c>
      <c r="F18" s="4"/>
      <c r="G18" s="101">
        <v>720572.40802780527</v>
      </c>
      <c r="H18" s="103">
        <v>373878.22360420495</v>
      </c>
      <c r="I18" s="103">
        <v>344686.45512969425</v>
      </c>
    </row>
    <row r="19" spans="1:9">
      <c r="A19" s="34"/>
      <c r="B19" s="34" t="s">
        <v>125</v>
      </c>
      <c r="C19" s="28">
        <v>0.82254079047571493</v>
      </c>
      <c r="D19" s="102">
        <v>0.81600317829500413</v>
      </c>
      <c r="E19" s="102">
        <v>0.8305618531823693</v>
      </c>
      <c r="F19" s="4"/>
      <c r="G19" s="101">
        <v>1061647.3366712814</v>
      </c>
      <c r="H19" s="103">
        <v>540750.79477773816</v>
      </c>
      <c r="I19" s="103">
        <v>520295.35639481049</v>
      </c>
    </row>
    <row r="20" spans="1:9">
      <c r="A20" s="34"/>
      <c r="B20" s="34" t="s">
        <v>126</v>
      </c>
      <c r="C20" s="28">
        <v>0.84213335620047347</v>
      </c>
      <c r="D20" s="102">
        <v>0.84750642076142224</v>
      </c>
      <c r="E20" s="102">
        <v>0.83870051882700336</v>
      </c>
      <c r="F20" s="4"/>
      <c r="G20" s="101">
        <v>845513.11008261389</v>
      </c>
      <c r="H20" s="103">
        <v>435787.99175048975</v>
      </c>
      <c r="I20" s="103">
        <v>407268.32126061921</v>
      </c>
    </row>
    <row r="21" spans="1:9">
      <c r="A21" s="34"/>
      <c r="B21" s="34" t="s">
        <v>127</v>
      </c>
      <c r="C21" s="28">
        <v>0.82487396554094206</v>
      </c>
      <c r="D21" s="102">
        <v>0.82498720411454596</v>
      </c>
      <c r="E21" s="102">
        <v>0.82632894926306222</v>
      </c>
      <c r="F21" s="4"/>
      <c r="G21" s="101">
        <v>832890.90032312379</v>
      </c>
      <c r="H21" s="103">
        <v>426791.2264387529</v>
      </c>
      <c r="I21" s="103">
        <v>404689.48212804645</v>
      </c>
    </row>
    <row r="22" spans="1:9">
      <c r="A22" s="34" t="s">
        <v>69</v>
      </c>
      <c r="B22" s="34"/>
      <c r="C22" s="28"/>
      <c r="D22" s="102"/>
      <c r="E22" s="102"/>
      <c r="F22" s="4"/>
      <c r="G22" s="101"/>
      <c r="H22" s="103"/>
      <c r="I22" s="103"/>
    </row>
    <row r="23" spans="1:9">
      <c r="A23" s="34"/>
      <c r="B23" s="34" t="s">
        <v>70</v>
      </c>
      <c r="C23" s="28">
        <v>0.73077739502689154</v>
      </c>
      <c r="D23" s="102">
        <v>0.73095005400931545</v>
      </c>
      <c r="E23" s="102">
        <v>0.7329091177514655</v>
      </c>
      <c r="F23" s="4"/>
      <c r="G23" s="101">
        <v>2556319.9418448932</v>
      </c>
      <c r="H23" s="103">
        <v>1320155.0813537522</v>
      </c>
      <c r="I23" s="103">
        <v>1231607.2033226637</v>
      </c>
    </row>
    <row r="24" spans="1:9">
      <c r="A24" s="34"/>
      <c r="B24" s="34" t="s">
        <v>71</v>
      </c>
      <c r="C24" s="28">
        <v>0.68075155569547718</v>
      </c>
      <c r="D24" s="102">
        <v>0.67819535674081222</v>
      </c>
      <c r="E24" s="102">
        <v>0.6840368667806257</v>
      </c>
      <c r="F24" s="4"/>
      <c r="G24" s="101">
        <v>571019.37655262928</v>
      </c>
      <c r="H24" s="103">
        <v>291476.27435407043</v>
      </c>
      <c r="I24" s="103">
        <v>278991.52383049502</v>
      </c>
    </row>
    <row r="25" spans="1:9">
      <c r="A25" s="34"/>
      <c r="B25" s="34" t="s">
        <v>72</v>
      </c>
      <c r="C25" s="28">
        <v>0.6870056017907592</v>
      </c>
      <c r="D25" s="102">
        <v>0.70504364980926626</v>
      </c>
      <c r="E25" s="102">
        <v>0.67116345452764437</v>
      </c>
      <c r="F25" s="4"/>
      <c r="G25" s="101">
        <v>289681.861315027</v>
      </c>
      <c r="H25" s="103">
        <v>143516.69487867289</v>
      </c>
      <c r="I25" s="103">
        <v>144798.49835243585</v>
      </c>
    </row>
    <row r="26" spans="1:9">
      <c r="A26" s="34"/>
      <c r="B26" s="34" t="s">
        <v>73</v>
      </c>
      <c r="C26" s="28">
        <v>0.65720270815958159</v>
      </c>
      <c r="D26" s="102">
        <v>0.67800175064164181</v>
      </c>
      <c r="E26" s="102">
        <v>0.63718593779569888</v>
      </c>
      <c r="F26" s="4"/>
      <c r="G26" s="101">
        <v>43602.575392240302</v>
      </c>
      <c r="H26" s="103">
        <v>22060.185984683438</v>
      </c>
      <c r="I26" s="103">
        <v>21542.389407556853</v>
      </c>
    </row>
    <row r="27" spans="1:9">
      <c r="A27" s="34" t="s">
        <v>91</v>
      </c>
      <c r="B27" s="34"/>
      <c r="C27" s="28"/>
      <c r="D27" s="102"/>
      <c r="E27" s="102"/>
      <c r="F27" s="4"/>
      <c r="G27" s="101"/>
      <c r="H27" s="103"/>
      <c r="I27" s="103"/>
    </row>
    <row r="28" spans="1:9">
      <c r="A28" s="34"/>
      <c r="B28" s="34" t="s">
        <v>92</v>
      </c>
      <c r="C28" s="28">
        <v>0.70647792985776281</v>
      </c>
      <c r="D28" s="102">
        <v>0.70737742439317741</v>
      </c>
      <c r="E28" s="102">
        <v>0.70694413524231192</v>
      </c>
      <c r="F28" s="4"/>
      <c r="G28" s="101">
        <v>2871512.9841726539</v>
      </c>
      <c r="H28" s="103">
        <v>1491186.6759485207</v>
      </c>
      <c r="I28" s="103">
        <v>1377621.9672636595</v>
      </c>
    </row>
    <row r="29" spans="1:9">
      <c r="A29" s="34"/>
      <c r="B29" s="34" t="s">
        <v>93</v>
      </c>
      <c r="C29" s="28">
        <v>0.7480643568003148</v>
      </c>
      <c r="D29" s="102">
        <v>0.76453560411739829</v>
      </c>
      <c r="E29" s="102">
        <v>0.74083260497540759</v>
      </c>
      <c r="F29" s="4"/>
      <c r="G29" s="101">
        <v>227139.46376666415</v>
      </c>
      <c r="H29" s="103">
        <v>109181.81803333948</v>
      </c>
      <c r="I29" s="103">
        <v>116523.62771920925</v>
      </c>
    </row>
    <row r="30" spans="1:9">
      <c r="A30" s="34"/>
      <c r="B30" s="34" t="s">
        <v>94</v>
      </c>
      <c r="C30" s="28">
        <v>0.79256092414430701</v>
      </c>
      <c r="D30" s="102">
        <v>0.79981819355995343</v>
      </c>
      <c r="E30" s="102">
        <v>0.78837865177854138</v>
      </c>
      <c r="G30" s="101">
        <v>361971.30716550449</v>
      </c>
      <c r="H30" s="103">
        <v>176839.74258931773</v>
      </c>
      <c r="I30" s="103">
        <v>182794.01993028505</v>
      </c>
    </row>
    <row r="31" spans="1:9">
      <c r="A31" s="34"/>
      <c r="B31" s="34" t="s">
        <v>90</v>
      </c>
      <c r="C31" s="28">
        <v>0</v>
      </c>
      <c r="D31" s="102">
        <v>0</v>
      </c>
      <c r="E31" s="102">
        <v>0</v>
      </c>
      <c r="G31" s="101">
        <v>0</v>
      </c>
      <c r="H31" s="103">
        <v>0</v>
      </c>
      <c r="I31" s="103">
        <v>0</v>
      </c>
    </row>
    <row r="32" spans="1:9">
      <c r="A32" s="34" t="s">
        <v>128</v>
      </c>
      <c r="B32" s="34"/>
      <c r="C32" s="28"/>
      <c r="D32" s="102"/>
      <c r="E32" s="102"/>
      <c r="F32" s="4"/>
      <c r="G32" s="101"/>
      <c r="H32" s="103"/>
      <c r="I32" s="103"/>
    </row>
    <row r="33" spans="1:9">
      <c r="A33" s="34"/>
      <c r="B33" s="34" t="s">
        <v>98</v>
      </c>
      <c r="C33" s="28">
        <v>0.70116089342411281</v>
      </c>
      <c r="D33" s="102">
        <v>0.76179658356363034</v>
      </c>
      <c r="E33" s="102">
        <v>0.63279324000649051</v>
      </c>
      <c r="F33" s="4"/>
      <c r="G33" s="101">
        <v>256982.72223222192</v>
      </c>
      <c r="H33" s="103">
        <v>149440.68328502678</v>
      </c>
      <c r="I33" s="103">
        <v>106557.90165077386</v>
      </c>
    </row>
    <row r="34" spans="1:9">
      <c r="A34" s="34"/>
      <c r="B34" s="34" t="s">
        <v>99</v>
      </c>
      <c r="C34" s="28">
        <v>0.71956266516634959</v>
      </c>
      <c r="D34" s="102">
        <v>0.71559974741019616</v>
      </c>
      <c r="E34" s="102">
        <v>0.72539541290889464</v>
      </c>
      <c r="F34" s="4"/>
      <c r="G34" s="101">
        <v>3118586.6314698784</v>
      </c>
      <c r="H34" s="103">
        <v>1585552.7601548256</v>
      </c>
      <c r="I34" s="103">
        <v>1527542.1049909503</v>
      </c>
    </row>
    <row r="35" spans="1:9">
      <c r="A35" s="34"/>
      <c r="B35" s="34" t="s">
        <v>100</v>
      </c>
      <c r="C35" s="28">
        <v>0.68381914593976134</v>
      </c>
      <c r="D35" s="102">
        <v>0.70251434432598248</v>
      </c>
      <c r="E35" s="102">
        <v>0.67306084583452952</v>
      </c>
      <c r="F35" s="4"/>
      <c r="G35" s="101">
        <v>85054.401402740303</v>
      </c>
      <c r="H35" s="103">
        <v>42214.793131315477</v>
      </c>
      <c r="I35" s="103">
        <v>42839.608271424819</v>
      </c>
    </row>
    <row r="36" spans="1:9">
      <c r="A36" s="34" t="s">
        <v>129</v>
      </c>
      <c r="B36" s="34"/>
      <c r="C36" s="28"/>
      <c r="D36" s="102"/>
      <c r="E36" s="102"/>
      <c r="F36" s="4"/>
      <c r="G36" s="101"/>
      <c r="H36" s="103"/>
      <c r="I36" s="103"/>
    </row>
    <row r="37" spans="1:9">
      <c r="A37" s="34"/>
      <c r="B37" s="34" t="s">
        <v>102</v>
      </c>
      <c r="C37" s="28">
        <v>0.70892376407969504</v>
      </c>
      <c r="D37" s="102">
        <v>0.70347653411265032</v>
      </c>
      <c r="E37" s="102">
        <v>0.71621052079506642</v>
      </c>
      <c r="F37" s="4"/>
      <c r="G37" s="101">
        <v>2747779.5199323012</v>
      </c>
      <c r="H37" s="103">
        <v>1415939.287816219</v>
      </c>
      <c r="I37" s="103">
        <v>1327472.4655065211</v>
      </c>
    </row>
    <row r="38" spans="1:9">
      <c r="A38" s="34"/>
      <c r="B38" s="34" t="s">
        <v>103</v>
      </c>
      <c r="C38" s="28">
        <v>0.75541627046515769</v>
      </c>
      <c r="D38" s="102">
        <v>0.78842802349431862</v>
      </c>
      <c r="E38" s="102">
        <v>0.72665121228415719</v>
      </c>
      <c r="F38" s="4"/>
      <c r="G38" s="101">
        <v>681870.91176682885</v>
      </c>
      <c r="H38" s="103">
        <v>345006.83136855136</v>
      </c>
      <c r="I38" s="103">
        <v>334755.94338735694</v>
      </c>
    </row>
    <row r="39" spans="1:9">
      <c r="A39" s="34" t="s">
        <v>105</v>
      </c>
      <c r="B39" s="34"/>
      <c r="C39" s="28"/>
      <c r="D39" s="102"/>
      <c r="E39" s="102"/>
      <c r="G39" s="101"/>
      <c r="H39" s="103"/>
      <c r="I39" s="103"/>
    </row>
    <row r="40" spans="1:9">
      <c r="A40" s="34"/>
      <c r="B40" s="36" t="s">
        <v>106</v>
      </c>
      <c r="C40" s="28">
        <v>0.5794722038701513</v>
      </c>
      <c r="D40" s="102">
        <v>0.57557953147946073</v>
      </c>
      <c r="E40" s="102">
        <v>0.58923346637156959</v>
      </c>
      <c r="F40" s="4"/>
      <c r="G40" s="101">
        <v>145717.95747388175</v>
      </c>
      <c r="H40" s="103">
        <v>68094.252584090355</v>
      </c>
      <c r="I40" s="103">
        <v>76189.68687567595</v>
      </c>
    </row>
    <row r="41" spans="1:9">
      <c r="A41" s="34"/>
      <c r="B41" s="34" t="s">
        <v>107</v>
      </c>
      <c r="C41" s="28">
        <v>0.69312513937989673</v>
      </c>
      <c r="D41" s="102">
        <v>0.70120150712876628</v>
      </c>
      <c r="E41" s="102">
        <v>0.68904790239520397</v>
      </c>
      <c r="F41" s="4"/>
      <c r="G41" s="101">
        <v>271589.02419403073</v>
      </c>
      <c r="H41" s="103">
        <v>135575.38395545576</v>
      </c>
      <c r="I41" s="103">
        <v>136013.640238575</v>
      </c>
    </row>
    <row r="42" spans="1:9">
      <c r="A42" s="34"/>
      <c r="B42" s="34" t="s">
        <v>108</v>
      </c>
      <c r="C42" s="28">
        <v>0.67248883999376052</v>
      </c>
      <c r="D42" s="102">
        <v>0.66165238502962009</v>
      </c>
      <c r="E42" s="102">
        <v>0.68571455981537555</v>
      </c>
      <c r="F42" s="4"/>
      <c r="G42" s="101">
        <v>435758.959210122</v>
      </c>
      <c r="H42" s="103">
        <v>217411.18919411534</v>
      </c>
      <c r="I42" s="103">
        <v>216792.66104030641</v>
      </c>
    </row>
    <row r="43" spans="1:9">
      <c r="A43" s="34"/>
      <c r="B43" s="34" t="s">
        <v>109</v>
      </c>
      <c r="C43" s="28">
        <v>0.71460712771551416</v>
      </c>
      <c r="D43" s="102">
        <v>0.72173519924247831</v>
      </c>
      <c r="E43" s="102">
        <v>0.7066487984083818</v>
      </c>
      <c r="F43" s="4"/>
      <c r="G43" s="101">
        <v>964245.8005740043</v>
      </c>
      <c r="H43" s="103">
        <v>504895.82470483193</v>
      </c>
      <c r="I43" s="103">
        <v>457521.45553174918</v>
      </c>
    </row>
    <row r="44" spans="1:9">
      <c r="A44" s="34"/>
      <c r="B44" s="34" t="s">
        <v>110</v>
      </c>
      <c r="C44" s="28">
        <v>0.72723546880413492</v>
      </c>
      <c r="D44" s="102">
        <v>0.72531852860122281</v>
      </c>
      <c r="E44" s="102">
        <v>0.73049206913513653</v>
      </c>
      <c r="F44" s="4"/>
      <c r="G44" s="101">
        <v>612397.78902652464</v>
      </c>
      <c r="H44" s="103">
        <v>329398.33462868817</v>
      </c>
      <c r="I44" s="103">
        <v>282662.18439433601</v>
      </c>
    </row>
    <row r="45" spans="1:9">
      <c r="A45" s="34"/>
      <c r="B45" s="34" t="s">
        <v>111</v>
      </c>
      <c r="C45" s="28">
        <v>0.7929964069812967</v>
      </c>
      <c r="D45" s="102">
        <v>0.79431451175958789</v>
      </c>
      <c r="E45" s="102">
        <v>0.79135231218545765</v>
      </c>
      <c r="F45" s="4"/>
      <c r="G45" s="101">
        <v>746289.18664127379</v>
      </c>
      <c r="H45" s="103">
        <v>381261.95800200664</v>
      </c>
      <c r="I45" s="103">
        <v>364426.04314053495</v>
      </c>
    </row>
    <row r="46" spans="1:9">
      <c r="A46" s="34"/>
      <c r="B46" s="34" t="s">
        <v>112</v>
      </c>
      <c r="C46" s="28">
        <v>0.7096315645877439</v>
      </c>
      <c r="D46" s="102">
        <v>0.70986082560414832</v>
      </c>
      <c r="E46" s="102">
        <v>0.71636535810940571</v>
      </c>
      <c r="F46" s="4"/>
      <c r="G46" s="101">
        <v>284625.03798498749</v>
      </c>
      <c r="H46" s="103">
        <v>140571.29350199827</v>
      </c>
      <c r="I46" s="103">
        <v>143333.94369199249</v>
      </c>
    </row>
    <row r="47" spans="1:9">
      <c r="A47" s="118"/>
      <c r="B47" s="118"/>
      <c r="C47" s="167"/>
      <c r="D47" s="124"/>
      <c r="E47" s="124"/>
      <c r="F47" s="123"/>
      <c r="G47" s="168"/>
      <c r="H47" s="169"/>
      <c r="I47" s="169"/>
    </row>
    <row r="48" spans="1:9" ht="16.5" customHeight="1">
      <c r="A48" s="19" t="s">
        <v>130</v>
      </c>
      <c r="B48" s="18"/>
      <c r="C48" s="28"/>
      <c r="D48" s="102"/>
      <c r="E48" s="102"/>
      <c r="G48" s="127"/>
      <c r="H48" s="128"/>
      <c r="I48" s="128"/>
    </row>
    <row r="49" spans="1:23" ht="16.5" customHeight="1">
      <c r="A49" s="130" t="s">
        <v>117</v>
      </c>
      <c r="B49" s="17"/>
      <c r="C49" s="28"/>
      <c r="D49" s="102"/>
      <c r="E49" s="102"/>
      <c r="G49" s="127"/>
      <c r="H49" s="128"/>
      <c r="I49" s="128"/>
    </row>
    <row r="50" spans="1:23" ht="15" customHeight="1">
      <c r="A50" s="24" t="s">
        <v>120</v>
      </c>
      <c r="B50" s="24"/>
      <c r="K50" s="2"/>
      <c r="O50" s="2"/>
      <c r="S50" s="2"/>
      <c r="W50" s="2"/>
    </row>
    <row r="51" spans="1:23">
      <c r="A51" s="16" t="s">
        <v>118</v>
      </c>
      <c r="B51" s="17"/>
      <c r="C51" s="28"/>
      <c r="D51" s="102"/>
      <c r="E51" s="102"/>
      <c r="F51" s="4"/>
      <c r="G51" s="127"/>
      <c r="H51" s="128"/>
      <c r="I51" s="128"/>
    </row>
    <row r="52" spans="1:23">
      <c r="A52" s="16" t="s">
        <v>119</v>
      </c>
      <c r="C52" s="28"/>
      <c r="D52" s="102"/>
      <c r="E52" s="102"/>
      <c r="F52" s="4"/>
      <c r="G52" s="127"/>
      <c r="H52" s="128"/>
      <c r="I52" s="128"/>
    </row>
    <row r="53" spans="1:23">
      <c r="A53" s="16" t="s">
        <v>121</v>
      </c>
      <c r="C53" s="28"/>
      <c r="D53" s="102"/>
      <c r="E53" s="102"/>
      <c r="F53" s="4"/>
      <c r="G53" s="127"/>
      <c r="H53" s="128"/>
      <c r="I53" s="128"/>
    </row>
    <row r="54" spans="1:23">
      <c r="A54" s="16" t="s">
        <v>122</v>
      </c>
      <c r="C54" s="28"/>
      <c r="D54" s="102"/>
      <c r="E54" s="102"/>
      <c r="F54" s="4"/>
      <c r="G54" s="127"/>
      <c r="H54" s="128"/>
      <c r="I54" s="128"/>
    </row>
    <row r="55" spans="1:23">
      <c r="C55" s="28"/>
      <c r="D55" s="102"/>
      <c r="E55" s="102"/>
      <c r="G55" s="127"/>
      <c r="H55" s="128"/>
      <c r="I55" s="128"/>
    </row>
    <row r="56" spans="1:23">
      <c r="C56" s="28"/>
      <c r="D56" s="102"/>
      <c r="E56" s="102"/>
      <c r="F56" s="4"/>
      <c r="G56" s="127"/>
      <c r="H56" s="128"/>
      <c r="I56" s="128"/>
    </row>
    <row r="57" spans="1:23">
      <c r="C57" s="28"/>
      <c r="D57" s="102"/>
      <c r="E57" s="102"/>
      <c r="F57" s="4"/>
      <c r="G57" s="127"/>
      <c r="H57" s="128"/>
      <c r="I57" s="128"/>
    </row>
    <row r="58" spans="1:23">
      <c r="C58" s="28"/>
      <c r="D58" s="102"/>
      <c r="E58" s="102"/>
      <c r="F58" s="4"/>
      <c r="G58" s="127"/>
      <c r="H58" s="128"/>
      <c r="I58" s="128"/>
    </row>
    <row r="59" spans="1:23">
      <c r="C59" s="28"/>
      <c r="D59" s="102"/>
      <c r="E59" s="102"/>
      <c r="G59" s="127"/>
      <c r="H59" s="128"/>
      <c r="I59" s="128"/>
    </row>
    <row r="60" spans="1:23">
      <c r="C60" s="28"/>
      <c r="D60" s="102"/>
      <c r="E60" s="102"/>
      <c r="F60" s="4"/>
      <c r="G60" s="127"/>
      <c r="H60" s="128"/>
      <c r="I60" s="128"/>
    </row>
    <row r="61" spans="1:23">
      <c r="C61" s="28"/>
      <c r="D61" s="102"/>
      <c r="E61" s="102"/>
      <c r="F61" s="4"/>
      <c r="G61" s="127"/>
      <c r="H61" s="128"/>
      <c r="I61" s="128"/>
    </row>
    <row r="62" spans="1:23">
      <c r="C62" s="28"/>
      <c r="D62" s="102"/>
      <c r="E62" s="102"/>
      <c r="F62" s="4"/>
      <c r="G62" s="127"/>
      <c r="H62" s="128"/>
      <c r="I62" s="128"/>
    </row>
    <row r="63" spans="1:23">
      <c r="C63" s="28"/>
      <c r="D63" s="102"/>
      <c r="E63" s="102"/>
      <c r="G63" s="127"/>
      <c r="H63" s="128"/>
      <c r="I63" s="128"/>
    </row>
    <row r="64" spans="1:23">
      <c r="C64" s="28"/>
      <c r="D64" s="102"/>
      <c r="E64" s="102"/>
      <c r="G64" s="127"/>
      <c r="H64" s="128"/>
      <c r="I64" s="128"/>
    </row>
    <row r="65" spans="3:9">
      <c r="C65" s="28"/>
      <c r="D65" s="102"/>
      <c r="E65" s="102"/>
      <c r="G65" s="127"/>
      <c r="H65" s="128"/>
      <c r="I65" s="128"/>
    </row>
    <row r="66" spans="3:9">
      <c r="C66" s="28"/>
      <c r="D66" s="102"/>
      <c r="E66" s="102"/>
      <c r="F66" s="4"/>
      <c r="G66" s="127"/>
      <c r="H66" s="128"/>
      <c r="I66" s="128"/>
    </row>
    <row r="67" spans="3:9">
      <c r="C67" s="28"/>
      <c r="D67" s="102"/>
      <c r="E67" s="102"/>
      <c r="G67" s="127"/>
      <c r="H67" s="128"/>
      <c r="I67" s="128"/>
    </row>
    <row r="68" spans="3:9">
      <c r="C68" s="28"/>
      <c r="D68" s="102"/>
      <c r="E68" s="102"/>
      <c r="F68" s="4"/>
      <c r="G68" s="127"/>
      <c r="H68" s="128"/>
      <c r="I68" s="128"/>
    </row>
    <row r="69" spans="3:9">
      <c r="C69" s="28"/>
      <c r="D69" s="102"/>
      <c r="E69" s="102"/>
      <c r="F69" s="4"/>
      <c r="G69" s="127"/>
      <c r="H69" s="128"/>
      <c r="I69" s="128"/>
    </row>
    <row r="70" spans="3:9">
      <c r="C70" s="28"/>
      <c r="D70" s="102"/>
      <c r="E70" s="102"/>
      <c r="F70" s="4"/>
      <c r="G70" s="127"/>
      <c r="H70" s="128"/>
      <c r="I70" s="128"/>
    </row>
    <row r="71" spans="3:9">
      <c r="C71" s="28"/>
      <c r="D71" s="102"/>
      <c r="E71" s="102"/>
      <c r="G71" s="127"/>
      <c r="H71" s="128"/>
      <c r="I71" s="128"/>
    </row>
    <row r="72" spans="3:9">
      <c r="C72" s="28"/>
      <c r="D72" s="102"/>
      <c r="E72" s="102"/>
      <c r="G72" s="127"/>
      <c r="H72" s="128"/>
      <c r="I72" s="128"/>
    </row>
    <row r="73" spans="3:9">
      <c r="C73" s="28"/>
      <c r="D73" s="102"/>
      <c r="E73" s="102"/>
      <c r="G73" s="127"/>
      <c r="H73" s="128"/>
      <c r="I73" s="128"/>
    </row>
    <row r="74" spans="3:9">
      <c r="C74" s="28"/>
      <c r="D74" s="102"/>
      <c r="E74" s="102"/>
      <c r="F74" s="4"/>
      <c r="G74" s="127"/>
      <c r="H74" s="128"/>
      <c r="I74" s="128"/>
    </row>
    <row r="75" spans="3:9">
      <c r="C75" s="28"/>
      <c r="D75" s="102"/>
      <c r="E75" s="102"/>
      <c r="F75" s="4"/>
      <c r="G75" s="127"/>
      <c r="H75" s="128"/>
      <c r="I75" s="128"/>
    </row>
    <row r="76" spans="3:9">
      <c r="C76" s="28"/>
      <c r="D76" s="102"/>
      <c r="E76" s="102"/>
      <c r="G76" s="127"/>
      <c r="H76" s="128"/>
      <c r="I76" s="128"/>
    </row>
    <row r="77" spans="3:9">
      <c r="C77" s="28"/>
      <c r="D77" s="102"/>
      <c r="E77" s="102"/>
      <c r="G77" s="127"/>
      <c r="H77" s="128"/>
      <c r="I77" s="128"/>
    </row>
    <row r="78" spans="3:9">
      <c r="C78" s="28"/>
      <c r="D78" s="102"/>
      <c r="E78" s="102"/>
      <c r="F78" s="4"/>
      <c r="G78" s="127"/>
      <c r="H78" s="128"/>
      <c r="I78" s="128"/>
    </row>
  </sheetData>
  <mergeCells count="3">
    <mergeCell ref="G14:I14"/>
    <mergeCell ref="C13:I13"/>
    <mergeCell ref="C14:E14"/>
  </mergeCells>
  <phoneticPr fontId="25" type="noConversion"/>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G16&lt;'38'!$D$104</xm:f>
            <x14:dxf>
              <font>
                <color rgb="FFFF0000"/>
              </font>
              <numFmt numFmtId="172" formatCode="\*\*0.0%"/>
            </x14:dxf>
          </x14:cfRule>
          <x14:cfRule type="expression" priority="4" id="{960CF273-368D-4DB7-8B1A-07A8DECF66FC}">
            <xm:f>G16&lt;'38'!$D$103</xm:f>
            <x14:dxf>
              <font>
                <color rgb="FF00B050"/>
              </font>
              <numFmt numFmtId="171" formatCode="\*0.0%"/>
            </x14:dxf>
          </x14:cfRule>
          <xm:sqref>C16:E49 C51:E78</xm:sqref>
        </x14:conditionalFormatting>
        <x14:conditionalFormatting xmlns:xm="http://schemas.microsoft.com/office/excel/2006/main">
          <x14:cfRule type="expression" priority="1" id="{9349AE94-C2B0-4927-AD26-049668A9489F}">
            <xm:f>G16&lt;'38'!$D$104</xm:f>
            <x14:dxf>
              <font>
                <color rgb="FFFF0000"/>
              </font>
              <numFmt numFmtId="174" formatCode="\*\*#,###,###,##0"/>
            </x14:dxf>
          </x14:cfRule>
          <x14:cfRule type="expression" priority="2" id="{970DE5FB-C1A7-4AFD-B4DC-18E10C799A06}">
            <xm:f>G16&lt;'38'!$D$103</xm:f>
            <x14:dxf>
              <font>
                <color rgb="FF00B050"/>
              </font>
              <numFmt numFmtId="173" formatCode="\*#,###,###,##0"/>
            </x14:dxf>
          </x14:cfRule>
          <xm:sqref>G16:I49 G51:I78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W75"/>
  <sheetViews>
    <sheetView workbookViewId="0">
      <pane xSplit="2" ySplit="16" topLeftCell="C17" activePane="bottomRight" state="frozen"/>
      <selection pane="bottomRight"/>
      <selection pane="bottomLeft" activeCell="A17" sqref="A17"/>
      <selection pane="topRight" activeCell="C1" sqref="C1"/>
    </sheetView>
  </sheetViews>
  <sheetFormatPr defaultColWidth="8.85546875" defaultRowHeight="1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72" customFormat="1">
      <c r="A1" s="29"/>
      <c r="B1" s="29"/>
      <c r="C1" s="29"/>
      <c r="D1" s="29"/>
      <c r="E1" s="29"/>
      <c r="F1" s="29"/>
      <c r="G1" s="29"/>
      <c r="H1" s="29"/>
      <c r="I1" s="29"/>
      <c r="J1" s="29"/>
    </row>
    <row r="2" spans="1:18" s="72" customFormat="1">
      <c r="A2" s="29"/>
      <c r="B2" s="29"/>
      <c r="C2" s="29"/>
      <c r="D2" s="29"/>
      <c r="E2" s="29"/>
      <c r="F2" s="29"/>
      <c r="G2" s="29"/>
      <c r="H2" s="29"/>
      <c r="I2" s="29"/>
      <c r="J2" s="29"/>
    </row>
    <row r="3" spans="1:18" s="72" customFormat="1">
      <c r="A3" s="29"/>
      <c r="B3" s="29"/>
      <c r="C3" s="29"/>
      <c r="D3" s="29"/>
      <c r="E3" s="197"/>
      <c r="F3" s="197"/>
      <c r="G3" s="197"/>
      <c r="H3" s="197"/>
      <c r="I3" s="197"/>
      <c r="J3" s="197"/>
      <c r="L3" s="73"/>
      <c r="M3" s="74"/>
      <c r="N3" s="74"/>
    </row>
    <row r="4" spans="1:18" s="72" customFormat="1" ht="15" customHeight="1">
      <c r="A4" s="29"/>
      <c r="B4" s="29"/>
      <c r="C4" s="29"/>
      <c r="D4" s="29"/>
      <c r="E4" s="184"/>
      <c r="F4" s="185"/>
      <c r="G4" s="185"/>
      <c r="H4" s="185"/>
      <c r="I4" s="185"/>
      <c r="J4" s="185"/>
      <c r="L4" s="183"/>
      <c r="M4" s="183"/>
      <c r="N4" s="183"/>
    </row>
    <row r="5" spans="1:18" s="72" customFormat="1">
      <c r="A5" s="29"/>
      <c r="B5" s="29"/>
      <c r="C5" s="29"/>
      <c r="D5" s="29"/>
      <c r="E5" s="184"/>
      <c r="F5" s="185"/>
      <c r="G5" s="185"/>
      <c r="H5" s="185"/>
      <c r="I5" s="185"/>
      <c r="J5" s="185"/>
      <c r="L5" s="183"/>
      <c r="M5" s="183"/>
      <c r="N5" s="183"/>
    </row>
    <row r="6" spans="1:18" s="72" customFormat="1" ht="15" customHeight="1">
      <c r="A6" s="29"/>
      <c r="B6" s="29"/>
      <c r="C6" s="29"/>
      <c r="D6" s="29"/>
      <c r="E6" s="184"/>
      <c r="F6" s="185"/>
      <c r="G6" s="185"/>
      <c r="H6" s="185"/>
      <c r="I6" s="185"/>
      <c r="J6" s="185"/>
      <c r="L6" s="186"/>
      <c r="M6" s="186"/>
      <c r="N6" s="186"/>
    </row>
    <row r="7" spans="1:18" s="72" customFormat="1">
      <c r="A7" s="29"/>
      <c r="B7" s="29"/>
      <c r="C7" s="29"/>
      <c r="D7" s="29"/>
      <c r="E7" s="184"/>
      <c r="F7" s="185"/>
      <c r="G7" s="185"/>
      <c r="H7" s="185"/>
      <c r="I7" s="185"/>
      <c r="J7" s="185"/>
      <c r="L7" s="186"/>
      <c r="M7" s="186"/>
      <c r="N7" s="186"/>
    </row>
    <row r="8" spans="1:18" s="72" customFormat="1">
      <c r="A8" s="30" t="s">
        <v>0</v>
      </c>
      <c r="B8" s="29"/>
      <c r="C8" s="29"/>
      <c r="D8" s="29"/>
      <c r="E8" s="184"/>
      <c r="F8" s="185"/>
      <c r="G8" s="185"/>
      <c r="H8" s="185"/>
      <c r="I8" s="185"/>
      <c r="J8" s="185"/>
      <c r="L8" s="186"/>
      <c r="M8" s="186"/>
      <c r="N8" s="186"/>
    </row>
    <row r="9" spans="1:18" s="72" customFormat="1">
      <c r="A9" s="29" t="s">
        <v>1</v>
      </c>
      <c r="B9" s="29"/>
      <c r="C9" s="90" t="s">
        <v>2</v>
      </c>
      <c r="D9" s="30"/>
      <c r="E9" s="184"/>
      <c r="F9" s="185"/>
      <c r="G9" s="185"/>
      <c r="H9" s="185"/>
      <c r="I9" s="185"/>
      <c r="J9" s="185"/>
      <c r="L9" s="186"/>
      <c r="M9" s="186"/>
      <c r="N9" s="186"/>
    </row>
    <row r="10" spans="1:18" s="72" customFormat="1">
      <c r="A10" s="29" t="s">
        <v>49</v>
      </c>
      <c r="B10" s="29"/>
      <c r="C10" s="31">
        <v>3</v>
      </c>
      <c r="D10" s="31"/>
      <c r="E10" s="29"/>
      <c r="F10" s="29"/>
      <c r="G10" s="29"/>
      <c r="H10" s="29"/>
      <c r="I10" s="29"/>
      <c r="J10" s="29"/>
      <c r="L10" s="75"/>
      <c r="M10" s="76"/>
    </row>
    <row r="11" spans="1:18" s="72" customFormat="1">
      <c r="A11" s="29" t="s">
        <v>3</v>
      </c>
      <c r="B11" s="29"/>
      <c r="C11" s="30" t="s">
        <v>11</v>
      </c>
      <c r="D11" s="30"/>
      <c r="E11" s="29"/>
      <c r="F11" s="29"/>
      <c r="G11" s="29"/>
      <c r="H11" s="29"/>
      <c r="I11" s="29"/>
      <c r="J11" s="29"/>
      <c r="R11" s="77"/>
    </row>
    <row r="12" spans="1:18" s="72" customFormat="1">
      <c r="A12" s="116" t="s">
        <v>50</v>
      </c>
      <c r="B12" s="116"/>
      <c r="C12" s="117" t="s">
        <v>51</v>
      </c>
      <c r="D12" s="117"/>
      <c r="E12" s="116"/>
      <c r="F12" s="116"/>
      <c r="G12" s="116"/>
      <c r="H12" s="116"/>
      <c r="I12" s="116"/>
      <c r="J12" s="116"/>
      <c r="R12" s="77"/>
    </row>
    <row r="13" spans="1:18" ht="24.95" customHeight="1">
      <c r="A13" s="32"/>
      <c r="B13" s="32"/>
      <c r="C13" s="33"/>
      <c r="D13" s="33"/>
      <c r="E13" s="182" t="s">
        <v>131</v>
      </c>
      <c r="F13" s="182"/>
      <c r="G13" s="182"/>
      <c r="H13" s="182"/>
      <c r="I13" s="182"/>
      <c r="J13" s="182"/>
      <c r="Q13" s="78"/>
      <c r="R13" s="5"/>
    </row>
    <row r="14" spans="1:18" s="5" customFormat="1" ht="34.5" customHeight="1">
      <c r="A14" s="79"/>
      <c r="B14" s="79"/>
      <c r="C14" s="37" t="s">
        <v>60</v>
      </c>
      <c r="D14" s="64"/>
      <c r="E14" s="64" t="s">
        <v>132</v>
      </c>
      <c r="F14" s="64" t="s">
        <v>133</v>
      </c>
      <c r="G14" s="64" t="s">
        <v>134</v>
      </c>
      <c r="H14" s="64" t="s">
        <v>135</v>
      </c>
      <c r="I14" s="64" t="s">
        <v>136</v>
      </c>
      <c r="J14" s="64" t="s">
        <v>137</v>
      </c>
      <c r="Q14" s="78"/>
      <c r="R14" s="1"/>
    </row>
    <row r="15" spans="1:18">
      <c r="A15" s="32"/>
      <c r="B15" s="32"/>
      <c r="C15" s="38"/>
      <c r="D15" s="38"/>
      <c r="E15" s="38" t="s">
        <v>138</v>
      </c>
      <c r="F15" s="38" t="s">
        <v>139</v>
      </c>
      <c r="G15" s="38" t="s">
        <v>140</v>
      </c>
      <c r="H15" s="38" t="s">
        <v>141</v>
      </c>
      <c r="I15" s="38" t="s">
        <v>142</v>
      </c>
      <c r="J15" s="38" t="s">
        <v>143</v>
      </c>
    </row>
    <row r="16" spans="1:18">
      <c r="A16" s="67"/>
      <c r="B16" s="67"/>
      <c r="C16" s="187" t="s">
        <v>144</v>
      </c>
      <c r="D16" s="187"/>
      <c r="E16" s="187"/>
      <c r="F16" s="187"/>
      <c r="G16" s="187"/>
      <c r="H16" s="187"/>
      <c r="I16" s="187"/>
      <c r="J16" s="187"/>
    </row>
    <row r="17" spans="1:13">
      <c r="A17" s="35" t="s">
        <v>145</v>
      </c>
      <c r="B17" s="35" t="s">
        <v>57</v>
      </c>
      <c r="C17" s="28">
        <v>0.85544795004656904</v>
      </c>
      <c r="D17" s="28"/>
      <c r="E17" s="28">
        <v>0.43233005507396299</v>
      </c>
      <c r="F17" s="28">
        <v>0.35218021828774154</v>
      </c>
      <c r="G17" s="28">
        <v>6.5781927468324577E-2</v>
      </c>
      <c r="H17" s="28">
        <v>5.1557492165399564E-3</v>
      </c>
      <c r="I17" s="28">
        <v>0.78451027336170454</v>
      </c>
      <c r="J17" s="28">
        <v>0.41796214575606605</v>
      </c>
      <c r="K17" s="105" t="s">
        <v>146</v>
      </c>
      <c r="L17" s="147"/>
      <c r="M17" s="105"/>
    </row>
    <row r="18" spans="1:13">
      <c r="A18" s="35"/>
      <c r="B18" s="34" t="s">
        <v>62</v>
      </c>
      <c r="C18" s="4">
        <v>0.84811698202841324</v>
      </c>
      <c r="D18" s="4"/>
      <c r="E18" s="4">
        <v>0.24514343082707898</v>
      </c>
      <c r="F18" s="4">
        <v>0.51958230515754877</v>
      </c>
      <c r="G18" s="4">
        <v>7.1198857671923757E-2</v>
      </c>
      <c r="H18" s="4">
        <v>1.2192388371861674E-2</v>
      </c>
      <c r="I18" s="4">
        <v>0.76472573598462779</v>
      </c>
      <c r="J18" s="4">
        <v>0.59078116282947257</v>
      </c>
    </row>
    <row r="19" spans="1:13">
      <c r="A19" s="35"/>
      <c r="B19" s="34" t="s">
        <v>63</v>
      </c>
      <c r="C19" s="4">
        <v>0.87778332109952517</v>
      </c>
      <c r="D19" s="4"/>
      <c r="E19" s="4">
        <v>0.34920291455986724</v>
      </c>
      <c r="F19" s="4">
        <v>0.45649720650840975</v>
      </c>
      <c r="G19" s="4">
        <v>6.8927998501966778E-2</v>
      </c>
      <c r="H19" s="4">
        <v>3.1552015292813755E-3</v>
      </c>
      <c r="I19" s="4">
        <v>0.80570012106827704</v>
      </c>
      <c r="J19" s="4">
        <v>0.52542520501037648</v>
      </c>
    </row>
    <row r="20" spans="1:13">
      <c r="A20" s="35"/>
      <c r="B20" s="34" t="s">
        <v>64</v>
      </c>
      <c r="C20" s="4">
        <v>0.8990848778502154</v>
      </c>
      <c r="D20" s="4"/>
      <c r="E20" s="4">
        <v>0.3793475954712684</v>
      </c>
      <c r="F20" s="4">
        <v>0.44656375396274844</v>
      </c>
      <c r="G20" s="4">
        <v>6.8116819562156358E-2</v>
      </c>
      <c r="H20" s="4">
        <v>5.0567088540420637E-3</v>
      </c>
      <c r="I20" s="4">
        <v>0.82591134943401689</v>
      </c>
      <c r="J20" s="4">
        <v>0.51468057352490482</v>
      </c>
    </row>
    <row r="21" spans="1:13">
      <c r="A21" s="35"/>
      <c r="B21" s="34" t="s">
        <v>65</v>
      </c>
      <c r="C21" s="4">
        <v>0.88785080357180035</v>
      </c>
      <c r="D21" s="4"/>
      <c r="E21" s="4">
        <v>0.44590953260927418</v>
      </c>
      <c r="F21" s="4">
        <v>0.36568110935493697</v>
      </c>
      <c r="G21" s="4">
        <v>7.2152304995739477E-2</v>
      </c>
      <c r="H21" s="4">
        <v>4.1078566118497445E-3</v>
      </c>
      <c r="I21" s="4">
        <v>0.81159064196421127</v>
      </c>
      <c r="J21" s="4">
        <v>0.43783341435067646</v>
      </c>
    </row>
    <row r="22" spans="1:13">
      <c r="A22" s="35"/>
      <c r="B22" s="34" t="s">
        <v>66</v>
      </c>
      <c r="C22" s="4">
        <v>0.88258653404141862</v>
      </c>
      <c r="D22" s="4"/>
      <c r="E22" s="4">
        <v>0.50285123765799511</v>
      </c>
      <c r="F22" s="4">
        <v>0.323553335080069</v>
      </c>
      <c r="G22" s="4">
        <v>5.241730683846562E-2</v>
      </c>
      <c r="H22" s="4">
        <v>3.7646544648888359E-3</v>
      </c>
      <c r="I22" s="4">
        <v>0.82640457273806422</v>
      </c>
      <c r="J22" s="4">
        <v>0.37597064191853458</v>
      </c>
    </row>
    <row r="23" spans="1:13">
      <c r="A23" s="35"/>
      <c r="B23" s="34" t="s">
        <v>67</v>
      </c>
      <c r="C23" s="4">
        <v>0.86062976948930803</v>
      </c>
      <c r="D23" s="4"/>
      <c r="E23" s="4">
        <v>0.5173729125916452</v>
      </c>
      <c r="F23" s="4">
        <v>0.29393913224105367</v>
      </c>
      <c r="G23" s="4">
        <v>4.4255539558380248E-2</v>
      </c>
      <c r="H23" s="4">
        <v>5.0621850982289019E-3</v>
      </c>
      <c r="I23" s="4">
        <v>0.81131204483269892</v>
      </c>
      <c r="J23" s="4">
        <v>0.33819467179943391</v>
      </c>
    </row>
    <row r="24" spans="1:13">
      <c r="A24" s="35"/>
      <c r="B24" s="34" t="s">
        <v>68</v>
      </c>
      <c r="C24" s="4">
        <v>0.75880404117939548</v>
      </c>
      <c r="D24" s="4"/>
      <c r="E24" s="4">
        <v>0.4439374647915017</v>
      </c>
      <c r="F24" s="4">
        <v>0.22876902777305572</v>
      </c>
      <c r="G24" s="4">
        <v>7.940677797836207E-2</v>
      </c>
      <c r="H24" s="4">
        <v>6.6907706364758776E-3</v>
      </c>
      <c r="I24" s="4">
        <v>0.6727064925645575</v>
      </c>
      <c r="J24" s="4">
        <v>0.30817580575141779</v>
      </c>
    </row>
    <row r="25" spans="1:13">
      <c r="A25" s="35"/>
      <c r="B25" s="35"/>
      <c r="C25" s="4"/>
      <c r="D25" s="4"/>
      <c r="E25" s="4"/>
      <c r="F25" s="4"/>
      <c r="G25" s="4"/>
      <c r="H25" s="4"/>
    </row>
    <row r="26" spans="1:13">
      <c r="A26" s="35" t="s">
        <v>58</v>
      </c>
      <c r="B26" s="35" t="s">
        <v>57</v>
      </c>
      <c r="C26" s="28">
        <v>0.85916717511672025</v>
      </c>
      <c r="D26" s="28"/>
      <c r="E26" s="28">
        <v>0.44343142378316919</v>
      </c>
      <c r="F26" s="28">
        <v>0.34523427975684812</v>
      </c>
      <c r="G26" s="28">
        <v>6.5650658184123328E-2</v>
      </c>
      <c r="H26" s="28">
        <v>4.8508133925794826E-3</v>
      </c>
      <c r="I26" s="28">
        <v>0.78866570354001742</v>
      </c>
      <c r="J26" s="28">
        <v>0.41088493794097142</v>
      </c>
    </row>
    <row r="27" spans="1:13">
      <c r="A27" s="35"/>
      <c r="B27" s="34" t="s">
        <v>62</v>
      </c>
      <c r="C27" s="4">
        <v>0.8195176837754492</v>
      </c>
      <c r="D27" s="4"/>
      <c r="E27" s="4">
        <v>0.21790255947631221</v>
      </c>
      <c r="F27" s="4">
        <v>0.51171663025280345</v>
      </c>
      <c r="G27" s="4">
        <v>8.0470935913487474E-2</v>
      </c>
      <c r="H27" s="4">
        <v>9.427558132846155E-3</v>
      </c>
      <c r="I27" s="4">
        <v>0.72961918972911566</v>
      </c>
      <c r="J27" s="4">
        <v>0.59218756616629098</v>
      </c>
    </row>
    <row r="28" spans="1:13">
      <c r="A28" s="35"/>
      <c r="B28" s="34" t="s">
        <v>63</v>
      </c>
      <c r="C28" s="4">
        <v>0.86450585832695948</v>
      </c>
      <c r="D28" s="4"/>
      <c r="E28" s="4">
        <v>0.33491673391716026</v>
      </c>
      <c r="F28" s="4">
        <v>0.44952888732281981</v>
      </c>
      <c r="G28" s="4">
        <v>7.6445374830219376E-2</v>
      </c>
      <c r="H28" s="4">
        <v>3.6148622567600546E-3</v>
      </c>
      <c r="I28" s="4">
        <v>0.78444562123998018</v>
      </c>
      <c r="J28" s="4">
        <v>0.52597426215303911</v>
      </c>
    </row>
    <row r="29" spans="1:13">
      <c r="A29" s="35"/>
      <c r="B29" s="34" t="s">
        <v>64</v>
      </c>
      <c r="C29" s="4">
        <v>0.89497984596178004</v>
      </c>
      <c r="D29" s="4"/>
      <c r="E29" s="4">
        <v>0.3851637032203708</v>
      </c>
      <c r="F29" s="4">
        <v>0.42835921469070715</v>
      </c>
      <c r="G29" s="4">
        <v>7.6359121962873186E-2</v>
      </c>
      <c r="H29" s="4">
        <v>5.0978060878288855E-3</v>
      </c>
      <c r="I29" s="4">
        <v>0.813522917911078</v>
      </c>
      <c r="J29" s="4">
        <v>0.50471833665358035</v>
      </c>
    </row>
    <row r="30" spans="1:13">
      <c r="A30" s="35"/>
      <c r="B30" s="34" t="s">
        <v>65</v>
      </c>
      <c r="C30" s="4">
        <v>0.888361914918395</v>
      </c>
      <c r="D30" s="4"/>
      <c r="E30" s="4">
        <v>0.45623254786091788</v>
      </c>
      <c r="F30" s="4">
        <v>0.34887013210560969</v>
      </c>
      <c r="G30" s="4">
        <v>7.6975969043429196E-2</v>
      </c>
      <c r="H30" s="4">
        <v>6.2832659084383E-3</v>
      </c>
      <c r="I30" s="4">
        <v>0.80510267996652751</v>
      </c>
      <c r="J30" s="4">
        <v>0.42584610114903887</v>
      </c>
    </row>
    <row r="31" spans="1:13">
      <c r="A31" s="35"/>
      <c r="B31" s="34" t="s">
        <v>66</v>
      </c>
      <c r="C31" s="4">
        <v>0.8904677863395597</v>
      </c>
      <c r="D31" s="4"/>
      <c r="E31" s="4">
        <v>0.5188957206541619</v>
      </c>
      <c r="F31" s="4">
        <v>0.31555256520404384</v>
      </c>
      <c r="G31" s="4">
        <v>5.258457248349608E-2</v>
      </c>
      <c r="H31" s="4">
        <v>3.4349279978579191E-3</v>
      </c>
      <c r="I31" s="4">
        <v>0.83444828585820574</v>
      </c>
      <c r="J31" s="4">
        <v>0.36813713768753992</v>
      </c>
    </row>
    <row r="32" spans="1:13">
      <c r="A32" s="35"/>
      <c r="B32" s="34" t="s">
        <v>67</v>
      </c>
      <c r="C32" s="4">
        <v>0.85790761092388823</v>
      </c>
      <c r="D32" s="4"/>
      <c r="E32" s="4">
        <v>0.52747311933758845</v>
      </c>
      <c r="F32" s="4">
        <v>0.28600145923982773</v>
      </c>
      <c r="G32" s="4">
        <v>4.1113876148261841E-2</v>
      </c>
      <c r="H32" s="4">
        <v>3.31915619821029E-3</v>
      </c>
      <c r="I32" s="4">
        <v>0.81347457857741612</v>
      </c>
      <c r="J32" s="4">
        <v>0.32711533538808957</v>
      </c>
    </row>
    <row r="33" spans="1:13">
      <c r="A33" s="35"/>
      <c r="B33" s="34" t="s">
        <v>68</v>
      </c>
      <c r="C33" s="4">
        <v>0.78447139367299978</v>
      </c>
      <c r="D33" s="4"/>
      <c r="E33" s="4">
        <v>0.48522643479452898</v>
      </c>
      <c r="F33" s="4">
        <v>0.23096510726422753</v>
      </c>
      <c r="G33" s="4">
        <v>6.3122740062492369E-2</v>
      </c>
      <c r="H33" s="4">
        <v>5.1571115517508714E-3</v>
      </c>
      <c r="I33" s="4">
        <v>0.71619154205875657</v>
      </c>
      <c r="J33" s="4">
        <v>0.29408784732671994</v>
      </c>
    </row>
    <row r="34" spans="1:13">
      <c r="A34" s="35"/>
      <c r="B34" s="34"/>
      <c r="C34" s="4"/>
      <c r="D34" s="4"/>
      <c r="E34" s="4"/>
      <c r="F34" s="4"/>
      <c r="G34" s="4"/>
      <c r="H34" s="4"/>
    </row>
    <row r="35" spans="1:13">
      <c r="A35" s="35" t="s">
        <v>59</v>
      </c>
      <c r="B35" s="35" t="s">
        <v>57</v>
      </c>
      <c r="C35" s="28">
        <v>0.85324878371031632</v>
      </c>
      <c r="D35" s="28"/>
      <c r="E35" s="28">
        <v>0.4218224996724606</v>
      </c>
      <c r="F35" s="28">
        <v>0.35991343831597422</v>
      </c>
      <c r="G35" s="28">
        <v>6.6143468250651719E-2</v>
      </c>
      <c r="H35" s="28">
        <v>5.3693774712294745E-3</v>
      </c>
      <c r="I35" s="28">
        <v>0.78173593798843499</v>
      </c>
      <c r="J35" s="28">
        <v>0.42605690656662598</v>
      </c>
    </row>
    <row r="36" spans="1:13">
      <c r="A36" s="35"/>
      <c r="B36" s="34" t="s">
        <v>62</v>
      </c>
      <c r="C36" s="4">
        <v>0.89341390187015091</v>
      </c>
      <c r="D36" s="4"/>
      <c r="E36" s="4">
        <v>0.2719130314421781</v>
      </c>
      <c r="F36" s="4">
        <v>0.54194698110222328</v>
      </c>
      <c r="G36" s="4">
        <v>6.4056071419258301E-2</v>
      </c>
      <c r="H36" s="4">
        <v>1.5497817906491245E-2</v>
      </c>
      <c r="I36" s="4">
        <v>0.81386001254440143</v>
      </c>
      <c r="J36" s="4">
        <v>0.60600305252148168</v>
      </c>
    </row>
    <row r="37" spans="1:13">
      <c r="A37" s="34"/>
      <c r="B37" s="34" t="s">
        <v>63</v>
      </c>
      <c r="C37" s="4">
        <v>0.89380137859136577</v>
      </c>
      <c r="D37" s="4"/>
      <c r="E37" s="4">
        <v>0.36291456240802811</v>
      </c>
      <c r="F37" s="4">
        <v>0.46742902583392865</v>
      </c>
      <c r="G37" s="4">
        <v>6.0700795806121352E-2</v>
      </c>
      <c r="H37" s="4">
        <v>2.7569945432876202E-3</v>
      </c>
      <c r="I37" s="4">
        <v>0.83034358824195675</v>
      </c>
      <c r="J37" s="4">
        <v>0.52812982164005007</v>
      </c>
    </row>
    <row r="38" spans="1:13">
      <c r="A38" s="34"/>
      <c r="B38" s="34" t="s">
        <v>64</v>
      </c>
      <c r="C38" s="4">
        <v>0.90348263650557237</v>
      </c>
      <c r="D38" s="4"/>
      <c r="E38" s="4">
        <v>0.37104013550465054</v>
      </c>
      <c r="F38" s="4">
        <v>0.46749465419337272</v>
      </c>
      <c r="G38" s="4">
        <v>6.018896161956986E-2</v>
      </c>
      <c r="H38" s="4">
        <v>4.7588851879792355E-3</v>
      </c>
      <c r="I38" s="4">
        <v>0.8385347896980232</v>
      </c>
      <c r="J38" s="4">
        <v>0.52768361581294254</v>
      </c>
    </row>
    <row r="39" spans="1:13">
      <c r="A39" s="34"/>
      <c r="B39" s="34" t="s">
        <v>65</v>
      </c>
      <c r="C39" s="4">
        <v>0.88920071090119024</v>
      </c>
      <c r="D39" s="4"/>
      <c r="E39" s="4">
        <v>0.4360540852032298</v>
      </c>
      <c r="F39" s="4">
        <v>0.38334260765529615</v>
      </c>
      <c r="G39" s="4">
        <v>6.7797627963707141E-2</v>
      </c>
      <c r="H39" s="4">
        <v>2.0063900789572741E-3</v>
      </c>
      <c r="I39" s="4">
        <v>0.8193966928585259</v>
      </c>
      <c r="J39" s="4">
        <v>0.45114023561900324</v>
      </c>
    </row>
    <row r="40" spans="1:13">
      <c r="A40" s="34"/>
      <c r="B40" s="34" t="s">
        <v>66</v>
      </c>
      <c r="C40" s="4">
        <v>0.87449684105044623</v>
      </c>
      <c r="D40" s="4"/>
      <c r="E40" s="4">
        <v>0.48786537800874935</v>
      </c>
      <c r="F40" s="4">
        <v>0.33077360284801027</v>
      </c>
      <c r="G40" s="4">
        <v>5.22957170463983E-2</v>
      </c>
      <c r="H40" s="4">
        <v>3.5621431472883823E-3</v>
      </c>
      <c r="I40" s="4">
        <v>0.81863898085675957</v>
      </c>
      <c r="J40" s="4">
        <v>0.38306931989440857</v>
      </c>
    </row>
    <row r="41" spans="1:13">
      <c r="A41" s="34"/>
      <c r="B41" s="34" t="s">
        <v>67</v>
      </c>
      <c r="C41" s="4">
        <v>0.86348228910469038</v>
      </c>
      <c r="D41" s="4"/>
      <c r="E41" s="4">
        <v>0.50810288039146312</v>
      </c>
      <c r="F41" s="4">
        <v>0.30138860569735859</v>
      </c>
      <c r="G41" s="4">
        <v>4.7236786812167433E-2</v>
      </c>
      <c r="H41" s="4">
        <v>6.7540162037010671E-3</v>
      </c>
      <c r="I41" s="4">
        <v>0.80949148608882182</v>
      </c>
      <c r="J41" s="4">
        <v>0.34862539250952601</v>
      </c>
    </row>
    <row r="42" spans="1:13">
      <c r="A42" s="118"/>
      <c r="B42" s="118" t="s">
        <v>68</v>
      </c>
      <c r="C42" s="123">
        <v>0.738222011634738</v>
      </c>
      <c r="D42" s="123"/>
      <c r="E42" s="123">
        <v>0.40878530402595203</v>
      </c>
      <c r="F42" s="123">
        <v>0.22761492785640947</v>
      </c>
      <c r="G42" s="123">
        <v>9.3764232451308022E-2</v>
      </c>
      <c r="H42" s="123">
        <v>8.0575473010685086E-3</v>
      </c>
      <c r="I42" s="123">
        <v>0.6364002318823615</v>
      </c>
      <c r="J42" s="123">
        <v>0.32137916030771746</v>
      </c>
    </row>
    <row r="43" spans="1:13">
      <c r="A43" s="67"/>
      <c r="B43" s="67"/>
      <c r="C43" s="187" t="s">
        <v>147</v>
      </c>
      <c r="D43" s="187"/>
      <c r="E43" s="187"/>
      <c r="F43" s="187"/>
      <c r="G43" s="187"/>
      <c r="H43" s="187"/>
      <c r="I43" s="187"/>
      <c r="J43" s="187"/>
    </row>
    <row r="44" spans="1:13">
      <c r="A44" s="35" t="s">
        <v>145</v>
      </c>
      <c r="B44" s="35" t="s">
        <v>57</v>
      </c>
      <c r="C44" s="80">
        <v>19187077.863524444</v>
      </c>
      <c r="D44" s="80"/>
      <c r="E44" s="80">
        <v>9696849.9708186407</v>
      </c>
      <c r="F44" s="80">
        <v>7899147.189390162</v>
      </c>
      <c r="G44" s="80">
        <v>1475440.9830297111</v>
      </c>
      <c r="H44" s="80">
        <v>115639.7202859298</v>
      </c>
      <c r="I44" s="80">
        <v>17595997.160208803</v>
      </c>
      <c r="J44" s="80">
        <v>9374588.1724198721</v>
      </c>
    </row>
    <row r="45" spans="1:13">
      <c r="A45" s="35"/>
      <c r="B45" s="34" t="s">
        <v>62</v>
      </c>
      <c r="C45" s="81">
        <v>847603.32237604214</v>
      </c>
      <c r="D45" s="45"/>
      <c r="E45" s="81">
        <v>244994.96040126751</v>
      </c>
      <c r="F45" s="81">
        <v>519267.62160339201</v>
      </c>
      <c r="G45" s="81">
        <v>71155.736285068007</v>
      </c>
      <c r="H45" s="81">
        <v>12185.004086314548</v>
      </c>
      <c r="I45" s="81">
        <v>764262.58200465958</v>
      </c>
      <c r="J45" s="81">
        <v>590423.35788846004</v>
      </c>
      <c r="L45" s="78"/>
      <c r="M45" s="78"/>
    </row>
    <row r="46" spans="1:13">
      <c r="A46" s="35"/>
      <c r="B46" s="34" t="s">
        <v>63</v>
      </c>
      <c r="C46" s="81">
        <v>2148288.6440141224</v>
      </c>
      <c r="D46" s="45"/>
      <c r="E46" s="81">
        <v>854639.90688032052</v>
      </c>
      <c r="F46" s="81">
        <v>1117232.1701644564</v>
      </c>
      <c r="G46" s="81">
        <v>168694.52047791681</v>
      </c>
      <c r="H46" s="81">
        <v>7722.046491428644</v>
      </c>
      <c r="I46" s="81">
        <v>1971872.0770447769</v>
      </c>
      <c r="J46" s="81">
        <v>1285926.6906423732</v>
      </c>
      <c r="L46" s="78"/>
      <c r="M46" s="82"/>
    </row>
    <row r="47" spans="1:13">
      <c r="A47" s="35"/>
      <c r="B47" s="34" t="s">
        <v>64</v>
      </c>
      <c r="C47" s="81">
        <v>3624033.8094432321</v>
      </c>
      <c r="D47" s="45"/>
      <c r="E47" s="81">
        <v>1529075.3358081761</v>
      </c>
      <c r="F47" s="81">
        <v>1800010.4131464476</v>
      </c>
      <c r="G47" s="81">
        <v>274565.46447011252</v>
      </c>
      <c r="H47" s="81">
        <v>20382.596018495577</v>
      </c>
      <c r="I47" s="81">
        <v>3329085.7489546239</v>
      </c>
      <c r="J47" s="81">
        <v>2074575.8776165601</v>
      </c>
      <c r="L47" s="78"/>
      <c r="M47" s="82"/>
    </row>
    <row r="48" spans="1:13">
      <c r="A48" s="35"/>
      <c r="B48" s="34" t="s">
        <v>65</v>
      </c>
      <c r="C48" s="81">
        <v>3404434.8230936052</v>
      </c>
      <c r="D48" s="45"/>
      <c r="E48" s="81">
        <v>1709825.4961951391</v>
      </c>
      <c r="F48" s="81">
        <v>1402192.23525743</v>
      </c>
      <c r="G48" s="81">
        <v>276665.65002337296</v>
      </c>
      <c r="H48" s="81">
        <v>15751.441617663211</v>
      </c>
      <c r="I48" s="81">
        <v>3112017.7314525694</v>
      </c>
      <c r="J48" s="81">
        <v>1678857.8852808028</v>
      </c>
      <c r="L48" s="78"/>
      <c r="M48" s="5"/>
    </row>
    <row r="49" spans="1:12">
      <c r="A49" s="35"/>
      <c r="B49" s="34" t="s">
        <v>66</v>
      </c>
      <c r="C49" s="81">
        <v>2944816.0797375785</v>
      </c>
      <c r="D49" s="45"/>
      <c r="E49" s="81">
        <v>1677800.8198136801</v>
      </c>
      <c r="F49" s="81">
        <v>1079559.9378041201</v>
      </c>
      <c r="G49" s="81">
        <v>174894.27051150569</v>
      </c>
      <c r="H49" s="81">
        <v>12561.051608272386</v>
      </c>
      <c r="I49" s="81">
        <v>2757360.7576178005</v>
      </c>
      <c r="J49" s="81">
        <v>1254454.2083156258</v>
      </c>
      <c r="L49" s="78"/>
    </row>
    <row r="50" spans="1:12">
      <c r="A50" s="35"/>
      <c r="B50" s="34" t="s">
        <v>67</v>
      </c>
      <c r="C50" s="81">
        <v>2653284.8040557024</v>
      </c>
      <c r="D50" s="45"/>
      <c r="E50" s="81">
        <v>1595038.5818329577</v>
      </c>
      <c r="F50" s="81">
        <v>906201.78448544396</v>
      </c>
      <c r="G50" s="81">
        <v>136437.93738998138</v>
      </c>
      <c r="H50" s="81">
        <v>15606.500347319012</v>
      </c>
      <c r="I50" s="81">
        <v>2501240.3663184019</v>
      </c>
      <c r="J50" s="81">
        <v>1042639.7218754253</v>
      </c>
      <c r="L50" s="78"/>
    </row>
    <row r="51" spans="1:12">
      <c r="A51" s="35"/>
      <c r="B51" s="34" t="s">
        <v>68</v>
      </c>
      <c r="C51" s="81">
        <v>3564616.380804148</v>
      </c>
      <c r="D51" s="45"/>
      <c r="E51" s="81">
        <v>2085474.8698871611</v>
      </c>
      <c r="F51" s="81">
        <v>1074683.0269287934</v>
      </c>
      <c r="G51" s="81">
        <v>373027.4038717568</v>
      </c>
      <c r="H51" s="81">
        <v>31431.080116436435</v>
      </c>
      <c r="I51" s="81">
        <v>3160157.8968159547</v>
      </c>
      <c r="J51" s="81">
        <v>1447710.4308005502</v>
      </c>
      <c r="L51" s="78"/>
    </row>
    <row r="52" spans="1:12">
      <c r="A52" s="35"/>
      <c r="B52" s="35"/>
      <c r="C52" s="45"/>
      <c r="D52" s="45"/>
      <c r="E52" s="21"/>
      <c r="F52" s="21"/>
      <c r="G52" s="21"/>
      <c r="H52" s="21"/>
    </row>
    <row r="53" spans="1:12">
      <c r="A53" s="35" t="s">
        <v>58</v>
      </c>
      <c r="B53" s="35" t="s">
        <v>57</v>
      </c>
      <c r="C53" s="46">
        <v>9431927.7987963408</v>
      </c>
      <c r="D53" s="46"/>
      <c r="E53" s="80">
        <v>4867985.2931673303</v>
      </c>
      <c r="F53" s="80">
        <v>3789978.1260773628</v>
      </c>
      <c r="G53" s="80">
        <v>720712.20348005916</v>
      </c>
      <c r="H53" s="80">
        <v>53252.17607158747</v>
      </c>
      <c r="I53" s="80">
        <v>8657963.4192446936</v>
      </c>
      <c r="J53" s="80">
        <v>4510690.3295574216</v>
      </c>
    </row>
    <row r="54" spans="1:12">
      <c r="A54" s="35"/>
      <c r="B54" s="34" t="s">
        <v>62</v>
      </c>
      <c r="C54" s="104">
        <v>410547.95167589496</v>
      </c>
      <c r="D54" s="45"/>
      <c r="E54" s="81">
        <v>109161.09710507121</v>
      </c>
      <c r="F54" s="81">
        <v>256351.04470343995</v>
      </c>
      <c r="G54" s="81">
        <v>40312.953048828655</v>
      </c>
      <c r="H54" s="81">
        <v>4722.8568185551621</v>
      </c>
      <c r="I54" s="81">
        <v>365512.14180851117</v>
      </c>
      <c r="J54" s="81">
        <v>296663.99775226862</v>
      </c>
    </row>
    <row r="55" spans="1:12">
      <c r="A55" s="35"/>
      <c r="B55" s="34" t="s">
        <v>63</v>
      </c>
      <c r="C55" s="104">
        <v>1080931.5955208659</v>
      </c>
      <c r="D55" s="45"/>
      <c r="E55" s="81">
        <v>418761.85808655928</v>
      </c>
      <c r="F55" s="81">
        <v>562066.72601031943</v>
      </c>
      <c r="G55" s="81">
        <v>95583.182218492075</v>
      </c>
      <c r="H55" s="81">
        <v>4519.8292054951035</v>
      </c>
      <c r="I55" s="81">
        <v>980828.58409687877</v>
      </c>
      <c r="J55" s="81">
        <v>657649.90822881146</v>
      </c>
    </row>
    <row r="56" spans="1:12">
      <c r="A56" s="35"/>
      <c r="B56" s="34" t="s">
        <v>64</v>
      </c>
      <c r="C56" s="104">
        <v>1796020.4717734877</v>
      </c>
      <c r="D56" s="45"/>
      <c r="E56" s="81">
        <v>772935.72485364717</v>
      </c>
      <c r="F56" s="81">
        <v>859619.26665573113</v>
      </c>
      <c r="G56" s="81">
        <v>153235.34588043162</v>
      </c>
      <c r="H56" s="81">
        <v>10230.134383677716</v>
      </c>
      <c r="I56" s="81">
        <v>1632554.9915093784</v>
      </c>
      <c r="J56" s="81">
        <v>1012854.6125361627</v>
      </c>
    </row>
    <row r="57" spans="1:12">
      <c r="A57" s="35"/>
      <c r="B57" s="34" t="s">
        <v>65</v>
      </c>
      <c r="C57" s="104">
        <v>1680862.6390511878</v>
      </c>
      <c r="D57" s="45"/>
      <c r="E57" s="81">
        <v>863234.03957383067</v>
      </c>
      <c r="F57" s="81">
        <v>660094.45147256076</v>
      </c>
      <c r="G57" s="81">
        <v>145645.62966631269</v>
      </c>
      <c r="H57" s="81">
        <v>11888.51833848384</v>
      </c>
      <c r="I57" s="81">
        <v>1523328.4910463914</v>
      </c>
      <c r="J57" s="81">
        <v>805740.08113887347</v>
      </c>
    </row>
    <row r="58" spans="1:12">
      <c r="A58" s="35"/>
      <c r="B58" s="34" t="s">
        <v>66</v>
      </c>
      <c r="C58" s="104">
        <v>1457931.6929437502</v>
      </c>
      <c r="D58" s="45"/>
      <c r="E58" s="81">
        <v>849569.77453882864</v>
      </c>
      <c r="F58" s="81">
        <v>516643.15392229537</v>
      </c>
      <c r="G58" s="81">
        <v>86094.877276506479</v>
      </c>
      <c r="H58" s="81">
        <v>5623.8872061198144</v>
      </c>
      <c r="I58" s="81">
        <v>1366212.928461124</v>
      </c>
      <c r="J58" s="81">
        <v>602738.03119880182</v>
      </c>
    </row>
    <row r="59" spans="1:12">
      <c r="A59" s="35"/>
      <c r="B59" s="34" t="s">
        <v>67</v>
      </c>
      <c r="C59" s="104">
        <v>1290921.9280840033</v>
      </c>
      <c r="D59" s="45"/>
      <c r="E59" s="81">
        <v>793706.23078453331</v>
      </c>
      <c r="F59" s="81">
        <v>430355.84542619472</v>
      </c>
      <c r="G59" s="81">
        <v>61865.407874356504</v>
      </c>
      <c r="H59" s="81">
        <v>4994.4439989188222</v>
      </c>
      <c r="I59" s="81">
        <v>1224062.0762107279</v>
      </c>
      <c r="J59" s="81">
        <v>492221.25330055121</v>
      </c>
    </row>
    <row r="60" spans="1:12">
      <c r="A60" s="35"/>
      <c r="B60" s="34" t="s">
        <v>68</v>
      </c>
      <c r="C60" s="104">
        <v>1714711.519747128</v>
      </c>
      <c r="D60" s="45"/>
      <c r="E60" s="81">
        <v>1060616.568224831</v>
      </c>
      <c r="F60" s="81">
        <v>504847.63788682816</v>
      </c>
      <c r="G60" s="81">
        <v>137974.80751513166</v>
      </c>
      <c r="H60" s="81">
        <v>11272.506120337024</v>
      </c>
      <c r="I60" s="81">
        <v>1565464.2061116593</v>
      </c>
      <c r="J60" s="81">
        <v>642822.44540195982</v>
      </c>
    </row>
    <row r="61" spans="1:12">
      <c r="A61" s="35"/>
      <c r="B61" s="34"/>
      <c r="C61" s="45"/>
      <c r="D61" s="45"/>
      <c r="E61" s="21"/>
      <c r="F61" s="21"/>
      <c r="G61" s="21"/>
      <c r="H61" s="21"/>
    </row>
    <row r="62" spans="1:12">
      <c r="A62" s="35" t="s">
        <v>59</v>
      </c>
      <c r="B62" s="35" t="s">
        <v>57</v>
      </c>
      <c r="C62" s="46">
        <v>9661932.204944713</v>
      </c>
      <c r="D62" s="46"/>
      <c r="E62" s="80">
        <v>4776590.9218563018</v>
      </c>
      <c r="F62" s="80">
        <v>4075551.3597522043</v>
      </c>
      <c r="G62" s="80">
        <v>748988.7102548508</v>
      </c>
      <c r="H62" s="80">
        <v>60801.213081353519</v>
      </c>
      <c r="I62" s="80">
        <v>8852142.281608507</v>
      </c>
      <c r="J62" s="80">
        <v>4824540.0700070551</v>
      </c>
    </row>
    <row r="63" spans="1:12">
      <c r="A63" s="34"/>
      <c r="B63" s="34" t="s">
        <v>62</v>
      </c>
      <c r="C63" s="104">
        <v>430175.79294348409</v>
      </c>
      <c r="D63" s="45"/>
      <c r="E63" s="81">
        <v>130925.21133536828</v>
      </c>
      <c r="F63" s="81">
        <v>260945.65110411707</v>
      </c>
      <c r="G63" s="81">
        <v>30842.783236239356</v>
      </c>
      <c r="H63" s="81">
        <v>7462.1472677593847</v>
      </c>
      <c r="I63" s="81">
        <v>391870.86243948538</v>
      </c>
      <c r="J63" s="81">
        <v>291788.43434035644</v>
      </c>
    </row>
    <row r="64" spans="1:12">
      <c r="A64" s="34"/>
      <c r="B64" s="34" t="s">
        <v>63</v>
      </c>
      <c r="C64" s="104">
        <v>1038139.9671917708</v>
      </c>
      <c r="D64" s="45"/>
      <c r="E64" s="81">
        <v>421521.06825506932</v>
      </c>
      <c r="F64" s="81">
        <v>542913.40913848497</v>
      </c>
      <c r="G64" s="81">
        <v>70503.2725122829</v>
      </c>
      <c r="H64" s="81">
        <v>3202.2172859335415</v>
      </c>
      <c r="I64" s="81">
        <v>964434.47739355429</v>
      </c>
      <c r="J64" s="81">
        <v>613416.68165076792</v>
      </c>
    </row>
    <row r="65" spans="1:23">
      <c r="A65" s="34"/>
      <c r="B65" s="34" t="s">
        <v>64</v>
      </c>
      <c r="C65" s="104">
        <v>1801475.9158407433</v>
      </c>
      <c r="D65" s="45"/>
      <c r="E65" s="81">
        <v>739825.91464865557</v>
      </c>
      <c r="F65" s="81">
        <v>932148.91607766214</v>
      </c>
      <c r="G65" s="81">
        <v>120012.22865388096</v>
      </c>
      <c r="H65" s="81">
        <v>9488.8564605446809</v>
      </c>
      <c r="I65" s="81">
        <v>1671974.8307263176</v>
      </c>
      <c r="J65" s="81">
        <v>1052161.144731543</v>
      </c>
    </row>
    <row r="66" spans="1:23">
      <c r="A66" s="34"/>
      <c r="B66" s="34" t="s">
        <v>65</v>
      </c>
      <c r="C66" s="104">
        <v>1711987.1963223564</v>
      </c>
      <c r="D66" s="45"/>
      <c r="E66" s="81">
        <v>839539.3769033344</v>
      </c>
      <c r="F66" s="81">
        <v>738053.43165500276</v>
      </c>
      <c r="G66" s="81">
        <v>130531.46448483998</v>
      </c>
      <c r="H66" s="81">
        <v>3862.923279179372</v>
      </c>
      <c r="I66" s="81">
        <v>1577592.8085583372</v>
      </c>
      <c r="J66" s="81">
        <v>868584.89613984269</v>
      </c>
    </row>
    <row r="67" spans="1:23">
      <c r="A67" s="34"/>
      <c r="B67" s="34" t="s">
        <v>66</v>
      </c>
      <c r="C67" s="104">
        <v>1476528.9327245979</v>
      </c>
      <c r="D67" s="45"/>
      <c r="E67" s="81">
        <v>823727.78504180687</v>
      </c>
      <c r="F67" s="81">
        <v>558488.91826753772</v>
      </c>
      <c r="G67" s="81">
        <v>88297.790971816386</v>
      </c>
      <c r="H67" s="81">
        <v>6014.4384434369258</v>
      </c>
      <c r="I67" s="81">
        <v>1382216.7033093446</v>
      </c>
      <c r="J67" s="81">
        <v>646786.70923935412</v>
      </c>
    </row>
    <row r="68" spans="1:23">
      <c r="A68" s="34"/>
      <c r="B68" s="34" t="s">
        <v>67</v>
      </c>
      <c r="C68" s="104">
        <v>1356722.0497343843</v>
      </c>
      <c r="D68" s="45"/>
      <c r="E68" s="81">
        <v>798342.23591941188</v>
      </c>
      <c r="F68" s="81">
        <v>473548.29629717232</v>
      </c>
      <c r="G68" s="81">
        <v>74219.461169399699</v>
      </c>
      <c r="H68" s="81">
        <v>10612.056348400189</v>
      </c>
      <c r="I68" s="81">
        <v>1271890.5322165843</v>
      </c>
      <c r="J68" s="81">
        <v>547767.75746657199</v>
      </c>
    </row>
    <row r="69" spans="1:23">
      <c r="A69" s="34"/>
      <c r="B69" s="34" t="s">
        <v>68</v>
      </c>
      <c r="C69" s="104">
        <v>1846902.350187233</v>
      </c>
      <c r="D69" s="45"/>
      <c r="E69" s="81">
        <v>1022709.3297525382</v>
      </c>
      <c r="F69" s="81">
        <v>569452.73721220274</v>
      </c>
      <c r="G69" s="81">
        <v>234581.7092263927</v>
      </c>
      <c r="H69" s="81">
        <v>20158.573996099407</v>
      </c>
      <c r="I69" s="81">
        <v>1592162.0669647409</v>
      </c>
      <c r="J69" s="81">
        <v>804034.44643859542</v>
      </c>
    </row>
    <row r="70" spans="1:23">
      <c r="A70" s="118"/>
      <c r="B70" s="118"/>
      <c r="C70" s="170"/>
      <c r="D70" s="170"/>
      <c r="E70" s="171"/>
      <c r="F70" s="171"/>
      <c r="G70" s="171"/>
      <c r="H70" s="171"/>
      <c r="I70" s="171"/>
      <c r="J70" s="171"/>
    </row>
    <row r="71" spans="1:23">
      <c r="A71" s="24" t="s">
        <v>117</v>
      </c>
    </row>
    <row r="72" spans="1:23">
      <c r="A72" s="16" t="s">
        <v>121</v>
      </c>
    </row>
    <row r="73" spans="1:23">
      <c r="A73" s="16" t="s">
        <v>122</v>
      </c>
    </row>
    <row r="74" spans="1:23" ht="15" customHeight="1">
      <c r="A74" s="24" t="s">
        <v>120</v>
      </c>
      <c r="B74" s="24"/>
      <c r="C74" s="2"/>
      <c r="G74" s="2"/>
      <c r="K74" s="2"/>
      <c r="O74" s="2"/>
      <c r="S74" s="2"/>
      <c r="W74" s="2"/>
    </row>
    <row r="75" spans="1:23">
      <c r="A75" s="24"/>
    </row>
  </sheetData>
  <mergeCells count="10">
    <mergeCell ref="C43:J43"/>
    <mergeCell ref="C16:J16"/>
    <mergeCell ref="E3:J3"/>
    <mergeCell ref="E4:E5"/>
    <mergeCell ref="F4:J5"/>
    <mergeCell ref="L4:N5"/>
    <mergeCell ref="E6:E9"/>
    <mergeCell ref="F6:J9"/>
    <mergeCell ref="L6:N9"/>
    <mergeCell ref="E13:J13"/>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C44&lt;'38'!$C$104</xm:f>
            <x14:dxf>
              <font>
                <color rgb="FFFF0000"/>
              </font>
              <numFmt numFmtId="172" formatCode="\*\*0.0%"/>
            </x14:dxf>
          </x14:cfRule>
          <x14:cfRule type="expression" priority="4" id="{EFA72807-B0EB-465A-855A-CBBE8E448C34}">
            <xm:f>C44&lt;'38'!$C$103</xm:f>
            <x14:dxf>
              <font>
                <color rgb="FF00B050"/>
              </font>
              <numFmt numFmtId="171" formatCode="\*0.0%"/>
            </x14:dxf>
          </x14:cfRule>
          <xm:sqref>C17:J42</xm:sqref>
        </x14:conditionalFormatting>
        <x14:conditionalFormatting xmlns:xm="http://schemas.microsoft.com/office/excel/2006/main">
          <x14:cfRule type="expression" priority="1" id="{F59254B0-D41C-4009-906C-C5D0ECD200B8}">
            <xm:f>C44&lt;'38'!$C$104</xm:f>
            <x14:dxf>
              <font>
                <color rgb="FFFF0000"/>
              </font>
              <numFmt numFmtId="174" formatCode="\*\*#,###,###,##0"/>
            </x14:dxf>
          </x14:cfRule>
          <x14:cfRule type="expression" priority="2" id="{6781CF44-E2AF-448A-A2EB-B08F0E69E821}">
            <xm:f>C44&lt;'38'!$C$103</xm:f>
            <x14:dxf>
              <font>
                <color rgb="FF00B050"/>
              </font>
              <numFmt numFmtId="173"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B9F96-C9C6-407B-AD27-FCFEEB6177FF}">
  <dimension ref="A1:Z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c r="A1" s="29"/>
      <c r="B1" s="29"/>
      <c r="C1" s="29"/>
      <c r="D1" s="29"/>
      <c r="E1" s="29"/>
      <c r="F1" s="29"/>
      <c r="G1" s="29"/>
      <c r="H1" s="29"/>
      <c r="I1" s="29"/>
      <c r="J1" s="29"/>
      <c r="K1" s="29"/>
      <c r="L1" s="29"/>
      <c r="M1" s="29"/>
      <c r="N1" s="29"/>
      <c r="O1" s="29"/>
      <c r="P1" s="29"/>
      <c r="Q1" s="29"/>
      <c r="R1" s="29"/>
      <c r="S1" s="29"/>
      <c r="T1" s="29"/>
    </row>
    <row r="2" spans="1:20">
      <c r="A2" s="29"/>
      <c r="B2" s="29"/>
      <c r="C2" s="29"/>
      <c r="D2" s="29"/>
      <c r="E2" s="29"/>
      <c r="F2" s="29"/>
      <c r="G2" s="29"/>
      <c r="H2" s="29"/>
      <c r="I2" s="29"/>
      <c r="J2" s="29"/>
      <c r="K2" s="29"/>
      <c r="L2" s="29"/>
      <c r="M2" s="29"/>
      <c r="N2" s="29"/>
      <c r="O2" s="29"/>
      <c r="P2" s="29"/>
      <c r="Q2" s="29"/>
      <c r="R2" s="29"/>
      <c r="S2" s="29"/>
      <c r="T2" s="29"/>
    </row>
    <row r="3" spans="1:20">
      <c r="A3" s="29"/>
      <c r="B3" s="29"/>
      <c r="C3" s="29"/>
      <c r="D3" s="29"/>
      <c r="E3" s="29"/>
      <c r="F3" s="29"/>
      <c r="G3" s="29"/>
      <c r="H3" s="29"/>
      <c r="I3" s="29"/>
      <c r="J3" s="29"/>
      <c r="K3" s="29"/>
      <c r="L3" s="29"/>
      <c r="M3" s="29"/>
      <c r="N3" s="29"/>
      <c r="O3" s="29"/>
      <c r="P3" s="29"/>
      <c r="Q3" s="29"/>
      <c r="R3" s="29"/>
      <c r="S3" s="29"/>
      <c r="T3" s="29"/>
    </row>
    <row r="4" spans="1:20">
      <c r="A4" s="29"/>
      <c r="B4" s="29"/>
      <c r="C4" s="29"/>
      <c r="D4" s="29"/>
      <c r="E4" s="29"/>
      <c r="F4" s="29"/>
      <c r="G4" s="29"/>
      <c r="H4" s="29"/>
      <c r="I4" s="29"/>
      <c r="J4" s="29"/>
      <c r="K4" s="29"/>
      <c r="L4" s="29"/>
      <c r="M4" s="29"/>
      <c r="N4" s="29"/>
      <c r="O4" s="29"/>
      <c r="P4" s="29"/>
      <c r="Q4" s="29"/>
      <c r="R4" s="29"/>
      <c r="S4" s="29"/>
      <c r="T4" s="29"/>
    </row>
    <row r="5" spans="1:20">
      <c r="A5" s="29"/>
      <c r="B5" s="29"/>
      <c r="C5" s="29"/>
      <c r="D5" s="29"/>
      <c r="E5" s="29"/>
      <c r="F5" s="29"/>
      <c r="G5" s="29"/>
      <c r="H5" s="29"/>
      <c r="I5" s="29"/>
      <c r="J5" s="29"/>
      <c r="K5" s="29"/>
      <c r="L5" s="29"/>
      <c r="M5" s="29"/>
      <c r="N5" s="29"/>
      <c r="O5" s="29"/>
      <c r="P5" s="29"/>
      <c r="Q5" s="29"/>
      <c r="R5" s="29"/>
      <c r="S5" s="29"/>
      <c r="T5" s="29"/>
    </row>
    <row r="6" spans="1:20">
      <c r="A6" s="29"/>
      <c r="B6" s="29"/>
      <c r="C6" s="29"/>
      <c r="D6" s="29"/>
      <c r="E6" s="29"/>
      <c r="F6" s="29"/>
      <c r="G6" s="29"/>
      <c r="H6" s="29"/>
      <c r="I6" s="29"/>
      <c r="J6" s="29"/>
      <c r="K6" s="29"/>
      <c r="L6" s="29"/>
      <c r="M6" s="29"/>
      <c r="N6" s="29"/>
      <c r="O6" s="29"/>
      <c r="P6" s="29"/>
      <c r="Q6" s="29"/>
      <c r="R6" s="29"/>
      <c r="S6" s="29"/>
      <c r="T6" s="29"/>
    </row>
    <row r="7" spans="1:20">
      <c r="A7" s="29"/>
      <c r="B7" s="29"/>
      <c r="C7" s="29"/>
      <c r="D7" s="29"/>
      <c r="E7" s="29"/>
      <c r="F7" s="29"/>
      <c r="G7" s="29"/>
      <c r="H7" s="29"/>
      <c r="I7" s="29"/>
      <c r="J7" s="29"/>
      <c r="K7" s="29"/>
      <c r="L7" s="29"/>
      <c r="M7" s="29"/>
      <c r="N7" s="29"/>
      <c r="O7" s="29"/>
      <c r="P7" s="29"/>
      <c r="Q7" s="29"/>
      <c r="R7" s="29"/>
      <c r="S7" s="29"/>
      <c r="T7" s="29"/>
    </row>
    <row r="8" spans="1:20">
      <c r="A8" s="30" t="s">
        <v>0</v>
      </c>
      <c r="B8" s="29"/>
      <c r="C8" s="29"/>
      <c r="D8" s="29"/>
      <c r="E8" s="29"/>
      <c r="F8" s="29"/>
      <c r="G8" s="29"/>
      <c r="H8" s="29"/>
      <c r="I8" s="29"/>
      <c r="J8" s="29"/>
      <c r="K8" s="29"/>
      <c r="L8" s="29"/>
      <c r="M8" s="29"/>
      <c r="N8" s="29"/>
      <c r="O8" s="29"/>
      <c r="P8" s="29"/>
      <c r="Q8" s="29"/>
      <c r="R8" s="29"/>
      <c r="S8" s="29"/>
      <c r="T8" s="29"/>
    </row>
    <row r="9" spans="1:20">
      <c r="A9" s="29" t="s">
        <v>1</v>
      </c>
      <c r="B9" s="29"/>
      <c r="C9" s="90" t="s">
        <v>2</v>
      </c>
      <c r="D9" s="30"/>
      <c r="E9" s="30"/>
      <c r="F9" s="30"/>
      <c r="G9" s="30"/>
      <c r="H9" s="29"/>
      <c r="I9" s="29"/>
      <c r="J9" s="29"/>
      <c r="K9" s="29"/>
      <c r="L9" s="29"/>
      <c r="M9" s="29"/>
      <c r="N9" s="29"/>
      <c r="O9" s="29"/>
      <c r="P9" s="29"/>
      <c r="Q9" s="29"/>
      <c r="R9" s="29"/>
      <c r="S9" s="29"/>
      <c r="T9" s="29"/>
    </row>
    <row r="10" spans="1:20">
      <c r="A10" s="29" t="s">
        <v>49</v>
      </c>
      <c r="B10" s="29"/>
      <c r="C10" s="31">
        <v>4</v>
      </c>
      <c r="D10" s="31"/>
      <c r="E10" s="31"/>
      <c r="F10" s="31"/>
      <c r="G10" s="31"/>
      <c r="H10" s="29"/>
      <c r="I10" s="29"/>
      <c r="J10" s="29"/>
      <c r="K10" s="29"/>
      <c r="L10" s="29"/>
      <c r="M10" s="29"/>
      <c r="N10" s="29"/>
      <c r="O10" s="29"/>
      <c r="P10" s="29"/>
      <c r="Q10" s="29"/>
      <c r="R10" s="29"/>
      <c r="S10" s="29"/>
      <c r="T10" s="29"/>
    </row>
    <row r="11" spans="1:20">
      <c r="A11" s="29" t="s">
        <v>3</v>
      </c>
      <c r="B11" s="29"/>
      <c r="C11" s="30" t="s">
        <v>12</v>
      </c>
      <c r="D11" s="30"/>
      <c r="E11" s="30"/>
      <c r="F11" s="30"/>
      <c r="G11" s="30"/>
      <c r="H11" s="29"/>
      <c r="I11" s="29"/>
      <c r="J11" s="29"/>
      <c r="K11" s="29"/>
      <c r="L11" s="29"/>
      <c r="M11" s="29"/>
      <c r="N11" s="29"/>
      <c r="O11" s="29"/>
      <c r="P11" s="29"/>
      <c r="Q11" s="29"/>
      <c r="R11" s="29"/>
      <c r="S11" s="29"/>
      <c r="T11" s="29"/>
    </row>
    <row r="12" spans="1:20">
      <c r="A12" s="116" t="s">
        <v>50</v>
      </c>
      <c r="B12" s="116"/>
      <c r="C12" s="117" t="s">
        <v>51</v>
      </c>
      <c r="D12" s="117"/>
      <c r="E12" s="117"/>
      <c r="F12" s="117"/>
      <c r="G12" s="117"/>
      <c r="H12" s="116"/>
      <c r="I12" s="116"/>
      <c r="J12" s="116"/>
      <c r="K12" s="116"/>
      <c r="L12" s="116"/>
      <c r="M12" s="116"/>
      <c r="N12" s="116"/>
      <c r="O12" s="116"/>
      <c r="P12" s="116"/>
      <c r="Q12" s="116"/>
      <c r="R12" s="116"/>
      <c r="S12" s="116"/>
      <c r="T12" s="116"/>
    </row>
    <row r="13" spans="1:20" ht="24.95" customHeight="1">
      <c r="A13" s="32"/>
      <c r="B13" s="32"/>
      <c r="C13" s="32"/>
      <c r="D13" s="32"/>
      <c r="E13" s="188" t="s">
        <v>148</v>
      </c>
      <c r="F13" s="188"/>
      <c r="G13" s="32"/>
      <c r="H13" s="182" t="s">
        <v>149</v>
      </c>
      <c r="I13" s="182"/>
      <c r="J13" s="182"/>
      <c r="K13" s="182"/>
      <c r="L13" s="182"/>
      <c r="M13" s="182"/>
      <c r="N13" s="182"/>
      <c r="O13" s="182"/>
      <c r="P13" s="182"/>
      <c r="Q13" s="182"/>
      <c r="R13" s="120"/>
      <c r="S13" s="188" t="s">
        <v>90</v>
      </c>
      <c r="T13" s="188"/>
    </row>
    <row r="14" spans="1:20" s="8" customFormat="1" ht="50.25" customHeight="1">
      <c r="A14" s="83"/>
      <c r="B14" s="83"/>
      <c r="C14" s="37" t="s">
        <v>60</v>
      </c>
      <c r="D14" s="64"/>
      <c r="E14" s="64" t="s">
        <v>150</v>
      </c>
      <c r="F14" s="64" t="s">
        <v>151</v>
      </c>
      <c r="G14" s="64"/>
      <c r="H14" s="64" t="s">
        <v>152</v>
      </c>
      <c r="I14" s="64" t="s">
        <v>153</v>
      </c>
      <c r="J14" s="64" t="s">
        <v>154</v>
      </c>
      <c r="K14" s="64" t="s">
        <v>155</v>
      </c>
      <c r="L14" s="64" t="s">
        <v>156</v>
      </c>
      <c r="M14" s="64" t="s">
        <v>157</v>
      </c>
      <c r="N14" s="64" t="s">
        <v>158</v>
      </c>
      <c r="O14" s="64" t="s">
        <v>159</v>
      </c>
      <c r="P14" s="64" t="s">
        <v>160</v>
      </c>
      <c r="Q14" s="64" t="s">
        <v>161</v>
      </c>
      <c r="R14" s="64"/>
      <c r="S14" s="64" t="s">
        <v>90</v>
      </c>
      <c r="T14" s="64" t="s">
        <v>135</v>
      </c>
    </row>
    <row r="15" spans="1:20">
      <c r="A15" s="67"/>
      <c r="B15" s="67"/>
      <c r="C15" s="189" t="s">
        <v>144</v>
      </c>
      <c r="D15" s="189"/>
      <c r="E15" s="189"/>
      <c r="F15" s="189"/>
      <c r="G15" s="189"/>
      <c r="H15" s="189"/>
      <c r="I15" s="189"/>
      <c r="J15" s="189"/>
      <c r="K15" s="189"/>
      <c r="L15" s="189"/>
      <c r="M15" s="189"/>
      <c r="N15" s="189"/>
      <c r="O15" s="189"/>
      <c r="P15" s="189"/>
      <c r="Q15" s="189"/>
      <c r="R15" s="189"/>
      <c r="S15" s="189"/>
      <c r="T15" s="189"/>
    </row>
    <row r="16" spans="1:20">
      <c r="A16" s="35" t="s">
        <v>145</v>
      </c>
      <c r="B16" s="35" t="s">
        <v>57</v>
      </c>
      <c r="C16" s="28">
        <v>0.85544795004655749</v>
      </c>
      <c r="D16" s="28"/>
      <c r="E16" s="28">
        <v>0.68480899521529892</v>
      </c>
      <c r="F16" s="28">
        <v>0.50644957838331239</v>
      </c>
      <c r="G16" s="28"/>
      <c r="H16" s="28">
        <v>0.13438638161312519</v>
      </c>
      <c r="I16" s="28">
        <v>0.11423954194575468</v>
      </c>
      <c r="J16" s="89">
        <v>0.107061032429485</v>
      </c>
      <c r="K16" s="89">
        <v>7.0776764159812489E-2</v>
      </c>
      <c r="L16" s="89">
        <v>6.8510688266419081E-2</v>
      </c>
      <c r="M16" s="89">
        <v>6.9057195141574934E-2</v>
      </c>
      <c r="N16" s="89">
        <v>6.2561909200289242E-2</v>
      </c>
      <c r="O16" s="28">
        <v>4.5557557555658268E-2</v>
      </c>
      <c r="P16" s="28">
        <v>4.4710140109693979E-2</v>
      </c>
      <c r="Q16" s="28">
        <v>4.1679076854749669E-2</v>
      </c>
      <c r="R16" s="28"/>
      <c r="S16" s="28">
        <v>1.3325728204405564E-2</v>
      </c>
      <c r="T16" s="28">
        <v>1.1464721079375698E-2</v>
      </c>
    </row>
    <row r="17" spans="1:20">
      <c r="A17" s="35"/>
      <c r="B17" s="34" t="s">
        <v>62</v>
      </c>
      <c r="C17" s="4">
        <v>0.84811698202841401</v>
      </c>
      <c r="D17" s="4"/>
      <c r="E17" s="4">
        <v>0.66752185118719243</v>
      </c>
      <c r="F17" s="4">
        <v>0.59850811757018008</v>
      </c>
      <c r="G17" s="4"/>
      <c r="H17" s="4">
        <v>0.25962851470212994</v>
      </c>
      <c r="I17" s="4">
        <v>0.11491574725315665</v>
      </c>
      <c r="J17" s="26">
        <v>0.10201590746978585</v>
      </c>
      <c r="K17" s="26">
        <v>0.1177244727988507</v>
      </c>
      <c r="L17" s="26">
        <v>8.146923829940661E-2</v>
      </c>
      <c r="M17" s="26">
        <v>0.10595350981620144</v>
      </c>
      <c r="N17" s="26">
        <v>7.8355150561471673E-2</v>
      </c>
      <c r="O17" s="102">
        <v>7.111916087133241E-2</v>
      </c>
      <c r="P17" s="102">
        <v>2.7167140859287418E-2</v>
      </c>
      <c r="Q17" s="102">
        <v>0.28846556869644513</v>
      </c>
      <c r="R17" s="102"/>
      <c r="S17" s="102">
        <v>1.8537346303410467E-2</v>
      </c>
      <c r="T17" s="102">
        <v>3.9697701175425398E-2</v>
      </c>
    </row>
    <row r="18" spans="1:20">
      <c r="A18" s="35"/>
      <c r="B18" s="34" t="s">
        <v>63</v>
      </c>
      <c r="C18" s="4">
        <v>0.87778332109952784</v>
      </c>
      <c r="D18" s="4"/>
      <c r="E18" s="4">
        <v>0.7033921593345398</v>
      </c>
      <c r="F18" s="4">
        <v>0.60209210293524218</v>
      </c>
      <c r="G18" s="4"/>
      <c r="H18" s="4">
        <v>0.21244653914489153</v>
      </c>
      <c r="I18" s="4">
        <v>0.14829731512238986</v>
      </c>
      <c r="J18" s="26">
        <v>0.12812913762558795</v>
      </c>
      <c r="K18" s="26">
        <v>0.10774448396639522</v>
      </c>
      <c r="L18" s="26">
        <v>9.7067987997434574E-2</v>
      </c>
      <c r="M18" s="26">
        <v>0.10068911841681491</v>
      </c>
      <c r="N18" s="26">
        <v>0.1093590505992697</v>
      </c>
      <c r="O18" s="102">
        <v>5.930718733293066E-2</v>
      </c>
      <c r="P18" s="102">
        <v>6.8522316765828373E-2</v>
      </c>
      <c r="Q18" s="102">
        <v>0.11484092798865131</v>
      </c>
      <c r="R18" s="102"/>
      <c r="S18" s="102">
        <v>4.593280213396317E-3</v>
      </c>
      <c r="T18" s="102">
        <v>1.62337545894807E-2</v>
      </c>
    </row>
    <row r="19" spans="1:20">
      <c r="A19" s="35"/>
      <c r="B19" s="34" t="s">
        <v>64</v>
      </c>
      <c r="C19" s="4">
        <v>0.89908487785021851</v>
      </c>
      <c r="D19" s="4"/>
      <c r="E19" s="4">
        <v>0.72791546674535246</v>
      </c>
      <c r="F19" s="4">
        <v>0.57953294862643723</v>
      </c>
      <c r="G19" s="4"/>
      <c r="H19" s="4">
        <v>0.16617693097054848</v>
      </c>
      <c r="I19" s="4">
        <v>0.16304503294529868</v>
      </c>
      <c r="J19" s="26">
        <v>0.15616755159831996</v>
      </c>
      <c r="K19" s="26">
        <v>9.7077182627822389E-2</v>
      </c>
      <c r="L19" s="26">
        <v>9.8305127240119305E-2</v>
      </c>
      <c r="M19" s="26">
        <v>0.10774531152643722</v>
      </c>
      <c r="N19" s="26">
        <v>8.8010400397605049E-2</v>
      </c>
      <c r="O19" s="102">
        <v>5.3424935947503985E-2</v>
      </c>
      <c r="P19" s="102">
        <v>8.8760067177003216E-2</v>
      </c>
      <c r="Q19" s="102">
        <v>4.8054889124142623E-2</v>
      </c>
      <c r="R19" s="102"/>
      <c r="S19" s="102">
        <v>8.750658091104745E-3</v>
      </c>
      <c r="T19" s="102">
        <v>1.5771824975130442E-2</v>
      </c>
    </row>
    <row r="20" spans="1:20">
      <c r="A20" s="35"/>
      <c r="B20" s="34" t="s">
        <v>65</v>
      </c>
      <c r="C20" s="4">
        <v>0.88785080357180457</v>
      </c>
      <c r="D20" s="4"/>
      <c r="E20" s="4">
        <v>0.71957963115016899</v>
      </c>
      <c r="F20" s="4">
        <v>0.51835178674744897</v>
      </c>
      <c r="G20" s="4"/>
      <c r="H20" s="4">
        <v>0.12840677784697632</v>
      </c>
      <c r="I20" s="4">
        <v>0.12172367612204173</v>
      </c>
      <c r="J20" s="26">
        <v>0.12815161505774567</v>
      </c>
      <c r="K20" s="26">
        <v>6.3543233252873768E-2</v>
      </c>
      <c r="L20" s="26">
        <v>7.0736897270038679E-2</v>
      </c>
      <c r="M20" s="26">
        <v>7.8094724711911909E-2</v>
      </c>
      <c r="N20" s="26">
        <v>5.6768100652967647E-2</v>
      </c>
      <c r="O20" s="102">
        <v>4.0548988430018765E-2</v>
      </c>
      <c r="P20" s="102">
        <v>5.1254625516602106E-2</v>
      </c>
      <c r="Q20" s="102">
        <v>2.3084987085296896E-2</v>
      </c>
      <c r="R20" s="102"/>
      <c r="S20" s="102">
        <v>9.1816388619317783E-3</v>
      </c>
      <c r="T20" s="102">
        <v>1.0784258837402794E-2</v>
      </c>
    </row>
    <row r="21" spans="1:20">
      <c r="A21" s="35"/>
      <c r="B21" s="34" t="s">
        <v>66</v>
      </c>
      <c r="C21" s="4">
        <v>0.88258653404143272</v>
      </c>
      <c r="D21" s="4"/>
      <c r="E21" s="4">
        <v>0.7314451246320296</v>
      </c>
      <c r="F21" s="4">
        <v>0.51037765839684979</v>
      </c>
      <c r="G21" s="4"/>
      <c r="H21" s="4">
        <v>0.10710991101909222</v>
      </c>
      <c r="I21" s="4">
        <v>9.3709213778953776E-2</v>
      </c>
      <c r="J21" s="26">
        <v>9.8697010067900048E-2</v>
      </c>
      <c r="K21" s="26">
        <v>4.6106340686893892E-2</v>
      </c>
      <c r="L21" s="26">
        <v>5.5571745120653736E-2</v>
      </c>
      <c r="M21" s="26">
        <v>6.4302016823213945E-2</v>
      </c>
      <c r="N21" s="26">
        <v>4.0129819012063431E-2</v>
      </c>
      <c r="O21" s="102">
        <v>3.7262158738755054E-2</v>
      </c>
      <c r="P21" s="102">
        <v>4.6719476716808359E-2</v>
      </c>
      <c r="Q21" s="102">
        <v>1.2526506226955895E-2</v>
      </c>
      <c r="R21" s="102"/>
      <c r="S21" s="102">
        <v>1.1437780761941015E-2</v>
      </c>
      <c r="T21" s="102">
        <v>6.8116711798113056E-3</v>
      </c>
    </row>
    <row r="22" spans="1:20">
      <c r="A22" s="35"/>
      <c r="B22" s="34" t="s">
        <v>67</v>
      </c>
      <c r="C22" s="4">
        <v>0.86062976948929415</v>
      </c>
      <c r="D22" s="4"/>
      <c r="E22" s="4">
        <v>0.71107007873848016</v>
      </c>
      <c r="F22" s="4">
        <v>0.50310582374714352</v>
      </c>
      <c r="G22" s="4"/>
      <c r="H22" s="4">
        <v>9.7627534051685907E-2</v>
      </c>
      <c r="I22" s="4">
        <v>8.3181083590365426E-2</v>
      </c>
      <c r="J22" s="26">
        <v>9.2149404564735068E-2</v>
      </c>
      <c r="K22" s="26">
        <v>4.4533291492169363E-2</v>
      </c>
      <c r="L22" s="26">
        <v>5.5949029066731042E-2</v>
      </c>
      <c r="M22" s="26">
        <v>5.3182883536360852E-2</v>
      </c>
      <c r="N22" s="26">
        <v>3.733290634993653E-2</v>
      </c>
      <c r="O22" s="102">
        <v>4.1334369668226435E-2</v>
      </c>
      <c r="P22" s="102">
        <v>2.3297342324088824E-2</v>
      </c>
      <c r="Q22" s="102">
        <v>7.7665132236056887E-3</v>
      </c>
      <c r="R22" s="102"/>
      <c r="S22" s="102">
        <v>2.1502604855411108E-2</v>
      </c>
      <c r="T22" s="102">
        <v>5.4803347873686806E-3</v>
      </c>
    </row>
    <row r="23" spans="1:20">
      <c r="A23" s="35"/>
      <c r="B23" s="34" t="s">
        <v>68</v>
      </c>
      <c r="C23" s="4">
        <v>0.7588040411794027</v>
      </c>
      <c r="D23" s="4"/>
      <c r="E23" s="4">
        <v>0.56307838862235893</v>
      </c>
      <c r="F23" s="4">
        <v>0.36401759947439521</v>
      </c>
      <c r="G23" s="4"/>
      <c r="H23" s="4">
        <v>8.8174657049235799E-2</v>
      </c>
      <c r="I23" s="4">
        <v>8.3330871238186402E-2</v>
      </c>
      <c r="J23" s="26">
        <v>5.3534408618475512E-2</v>
      </c>
      <c r="K23" s="26">
        <v>5.9612312893396462E-2</v>
      </c>
      <c r="L23" s="26">
        <v>4.0927925235388872E-2</v>
      </c>
      <c r="M23" s="26">
        <v>1.7950565439408896E-2</v>
      </c>
      <c r="N23" s="26">
        <v>5.0204634688787185E-2</v>
      </c>
      <c r="O23" s="102">
        <v>3.8957375919846729E-2</v>
      </c>
      <c r="P23" s="102">
        <v>5.5234668638645505E-3</v>
      </c>
      <c r="Q23" s="102">
        <v>3.7296871585828328E-3</v>
      </c>
      <c r="R23" s="102"/>
      <c r="S23" s="102">
        <v>2.0049316247721133E-2</v>
      </c>
      <c r="T23" s="102">
        <v>7.0658145972899078E-3</v>
      </c>
    </row>
    <row r="24" spans="1:20">
      <c r="A24" s="35"/>
      <c r="B24" s="35"/>
      <c r="C24" s="4"/>
      <c r="D24" s="4"/>
      <c r="E24" s="4"/>
      <c r="F24" s="4"/>
      <c r="G24" s="4"/>
      <c r="J24" s="26"/>
      <c r="K24" s="26"/>
      <c r="L24" s="26"/>
      <c r="M24" s="26"/>
      <c r="N24" s="26"/>
      <c r="O24" s="26"/>
      <c r="P24" s="26"/>
      <c r="Q24" s="26"/>
      <c r="R24" s="26"/>
      <c r="S24" s="26"/>
      <c r="T24" s="26"/>
    </row>
    <row r="25" spans="1:20" s="2" customFormat="1">
      <c r="A25" s="35" t="s">
        <v>58</v>
      </c>
      <c r="B25" s="35" t="s">
        <v>57</v>
      </c>
      <c r="C25" s="28">
        <v>0.85916717511669649</v>
      </c>
      <c r="D25" s="28"/>
      <c r="E25" s="28">
        <v>0.68736289500479919</v>
      </c>
      <c r="F25" s="28">
        <v>0.49764261031032581</v>
      </c>
      <c r="G25" s="28"/>
      <c r="H25" s="28">
        <v>0.17394247437699745</v>
      </c>
      <c r="I25" s="28">
        <v>9.0266546428985545E-2</v>
      </c>
      <c r="J25" s="89">
        <v>7.5684262650589612E-2</v>
      </c>
      <c r="K25" s="89">
        <v>7.3500087331466665E-2</v>
      </c>
      <c r="L25" s="89">
        <v>6.7460297484347578E-2</v>
      </c>
      <c r="M25" s="89">
        <v>7.4724729225393541E-2</v>
      </c>
      <c r="N25" s="89">
        <v>7.5801913970203513E-2</v>
      </c>
      <c r="O25" s="28">
        <v>4.5829821985707862E-2</v>
      </c>
      <c r="P25" s="28">
        <v>5.2865765182412379E-2</v>
      </c>
      <c r="Q25" s="28">
        <v>4.8118321510994627E-2</v>
      </c>
      <c r="R25" s="28"/>
      <c r="S25" s="28">
        <v>8.8779145325796095E-3</v>
      </c>
      <c r="T25" s="28">
        <v>1.2901498306717461E-2</v>
      </c>
    </row>
    <row r="26" spans="1:20">
      <c r="A26" s="35"/>
      <c r="B26" s="34" t="s">
        <v>62</v>
      </c>
      <c r="C26" s="4">
        <v>0.81951768377544942</v>
      </c>
      <c r="D26" s="4"/>
      <c r="E26" s="4">
        <v>0.62554193409972503</v>
      </c>
      <c r="F26" s="4">
        <v>0.58248521945336729</v>
      </c>
      <c r="G26" s="4"/>
      <c r="H26" s="4">
        <v>0.26678747345916237</v>
      </c>
      <c r="I26" s="4">
        <v>0.12468294853482555</v>
      </c>
      <c r="J26" s="26">
        <v>8.4340351619931711E-2</v>
      </c>
      <c r="K26" s="26">
        <v>0.12089537922318162</v>
      </c>
      <c r="L26" s="26">
        <v>8.326043961381413E-2</v>
      </c>
      <c r="M26" s="26">
        <v>9.6993875277902139E-2</v>
      </c>
      <c r="N26" s="26">
        <v>8.6046406971495168E-2</v>
      </c>
      <c r="O26" s="102">
        <v>7.5597447303404453E-2</v>
      </c>
      <c r="P26" s="102">
        <v>2.7617422806632153E-2</v>
      </c>
      <c r="Q26" s="102">
        <v>0.29842130119859023</v>
      </c>
      <c r="R26" s="102"/>
      <c r="S26" s="102">
        <v>1.4352447520323466E-2</v>
      </c>
      <c r="T26" s="102">
        <v>2.5037439595029964E-2</v>
      </c>
    </row>
    <row r="27" spans="1:20">
      <c r="A27" s="35"/>
      <c r="B27" s="34" t="s">
        <v>63</v>
      </c>
      <c r="C27" s="4">
        <v>0.86450585832695093</v>
      </c>
      <c r="D27" s="4"/>
      <c r="E27" s="4">
        <v>0.66939441742718431</v>
      </c>
      <c r="F27" s="4">
        <v>0.57639484758216242</v>
      </c>
      <c r="G27" s="4"/>
      <c r="H27" s="4">
        <v>0.24519914168901039</v>
      </c>
      <c r="I27" s="4">
        <v>0.13076529378887047</v>
      </c>
      <c r="J27" s="26">
        <v>8.6975373722248311E-2</v>
      </c>
      <c r="K27" s="26">
        <v>0.12027877487542411</v>
      </c>
      <c r="L27" s="26">
        <v>0.10661878662353701</v>
      </c>
      <c r="M27" s="26">
        <v>0.10523281432876806</v>
      </c>
      <c r="N27" s="26">
        <v>0.12776827227554433</v>
      </c>
      <c r="O27" s="102">
        <v>6.6047939656304011E-2</v>
      </c>
      <c r="P27" s="102">
        <v>7.9940848098696823E-2</v>
      </c>
      <c r="Q27" s="102">
        <v>0.1345513833828921</v>
      </c>
      <c r="R27" s="102"/>
      <c r="S27" s="102">
        <v>1.8133165809654055E-3</v>
      </c>
      <c r="T27" s="102">
        <v>1.8780175216165425E-2</v>
      </c>
    </row>
    <row r="28" spans="1:20">
      <c r="A28" s="35"/>
      <c r="B28" s="34" t="s">
        <v>64</v>
      </c>
      <c r="C28" s="4">
        <v>0.89497984596179203</v>
      </c>
      <c r="D28" s="4"/>
      <c r="E28" s="4">
        <v>0.70360543240013662</v>
      </c>
      <c r="F28" s="4">
        <v>0.54789885648198933</v>
      </c>
      <c r="G28" s="4"/>
      <c r="H28" s="4">
        <v>0.20839570949196209</v>
      </c>
      <c r="I28" s="4">
        <v>0.13730157905323384</v>
      </c>
      <c r="J28" s="26">
        <v>0.11146438692960735</v>
      </c>
      <c r="K28" s="26">
        <v>0.11305682498031412</v>
      </c>
      <c r="L28" s="26">
        <v>9.9316060349587301E-2</v>
      </c>
      <c r="M28" s="26">
        <v>0.11591021358703822</v>
      </c>
      <c r="N28" s="26">
        <v>0.11504185910096756</v>
      </c>
      <c r="O28" s="102">
        <v>5.6303118633659222E-2</v>
      </c>
      <c r="P28" s="102">
        <v>0.10812842081449896</v>
      </c>
      <c r="Q28" s="102">
        <v>6.1432647796144976E-2</v>
      </c>
      <c r="R28" s="102"/>
      <c r="S28" s="102">
        <v>4.2080776422312397E-3</v>
      </c>
      <c r="T28" s="102">
        <v>1.9319944666336221E-2</v>
      </c>
    </row>
    <row r="29" spans="1:20">
      <c r="A29" s="35"/>
      <c r="B29" s="34" t="s">
        <v>65</v>
      </c>
      <c r="C29" s="4">
        <v>0.88836191491840455</v>
      </c>
      <c r="D29" s="4"/>
      <c r="E29" s="4">
        <v>0.71630676692107487</v>
      </c>
      <c r="F29" s="4">
        <v>0.49238591289804068</v>
      </c>
      <c r="G29" s="4"/>
      <c r="H29" s="4">
        <v>0.16289172697379731</v>
      </c>
      <c r="I29" s="4">
        <v>9.5887135028911538E-2</v>
      </c>
      <c r="J29" s="26">
        <v>8.8971498507131333E-2</v>
      </c>
      <c r="K29" s="26">
        <v>6.9467724834142916E-2</v>
      </c>
      <c r="L29" s="26">
        <v>6.5523405537433271E-2</v>
      </c>
      <c r="M29" s="26">
        <v>8.408292208867027E-2</v>
      </c>
      <c r="N29" s="26">
        <v>7.05824716649356E-2</v>
      </c>
      <c r="O29" s="102">
        <v>3.8298587130679969E-2</v>
      </c>
      <c r="P29" s="102">
        <v>6.0393063236575603E-2</v>
      </c>
      <c r="Q29" s="102">
        <v>2.7872073272353141E-2</v>
      </c>
      <c r="R29" s="102"/>
      <c r="S29" s="102">
        <v>7.6514720939444489E-3</v>
      </c>
      <c r="T29" s="102">
        <v>1.5596127268680163E-2</v>
      </c>
    </row>
    <row r="30" spans="1:20">
      <c r="A30" s="35"/>
      <c r="B30" s="34" t="s">
        <v>66</v>
      </c>
      <c r="C30" s="4">
        <v>0.89046778633955403</v>
      </c>
      <c r="D30" s="4"/>
      <c r="E30" s="4">
        <v>0.74490806274087951</v>
      </c>
      <c r="F30" s="4">
        <v>0.4982683263879667</v>
      </c>
      <c r="G30" s="4"/>
      <c r="H30" s="4">
        <v>0.14872927966590968</v>
      </c>
      <c r="I30" s="4">
        <v>7.397233272824473E-2</v>
      </c>
      <c r="J30" s="26">
        <v>7.0539639124534426E-2</v>
      </c>
      <c r="K30" s="26">
        <v>4.6341143951513723E-2</v>
      </c>
      <c r="L30" s="26">
        <v>5.1928590522433912E-2</v>
      </c>
      <c r="M30" s="26">
        <v>6.5234343577213E-2</v>
      </c>
      <c r="N30" s="26">
        <v>4.6039438086896013E-2</v>
      </c>
      <c r="O30" s="102">
        <v>3.4696048438432901E-2</v>
      </c>
      <c r="P30" s="102">
        <v>5.1242068247588195E-2</v>
      </c>
      <c r="Q30" s="102">
        <v>1.1942703988769525E-2</v>
      </c>
      <c r="R30" s="102"/>
      <c r="S30" s="102">
        <v>6.7241859717067929E-3</v>
      </c>
      <c r="T30" s="102">
        <v>7.0737554226911617E-3</v>
      </c>
    </row>
    <row r="31" spans="1:20">
      <c r="A31" s="35"/>
      <c r="B31" s="34" t="s">
        <v>67</v>
      </c>
      <c r="C31" s="4">
        <v>0.85790761092388845</v>
      </c>
      <c r="D31" s="4"/>
      <c r="E31" s="4">
        <v>0.71946392250412894</v>
      </c>
      <c r="F31" s="4">
        <v>0.49713487584410337</v>
      </c>
      <c r="G31" s="4"/>
      <c r="H31" s="4">
        <v>0.13399104888066599</v>
      </c>
      <c r="I31" s="4">
        <v>5.5876625930390701E-2</v>
      </c>
      <c r="J31" s="26">
        <v>5.5023250609441333E-2</v>
      </c>
      <c r="K31" s="26">
        <v>4.4453597649651663E-2</v>
      </c>
      <c r="L31" s="26">
        <v>4.8208056657648532E-2</v>
      </c>
      <c r="M31" s="26">
        <v>6.0565426687812063E-2</v>
      </c>
      <c r="N31" s="26">
        <v>4.733063065250611E-2</v>
      </c>
      <c r="O31" s="102">
        <v>4.2245834155544677E-2</v>
      </c>
      <c r="P31" s="102">
        <v>2.5229335941719066E-2</v>
      </c>
      <c r="Q31" s="102">
        <v>6.3669104349610862E-3</v>
      </c>
      <c r="R31" s="102"/>
      <c r="S31" s="102">
        <v>1.1972370283065723E-2</v>
      </c>
      <c r="T31" s="102">
        <v>5.5086487156937279E-3</v>
      </c>
    </row>
    <row r="32" spans="1:20">
      <c r="A32" s="35"/>
      <c r="B32" s="34" t="s">
        <v>68</v>
      </c>
      <c r="C32" s="4">
        <v>0.78447139367299201</v>
      </c>
      <c r="D32" s="4"/>
      <c r="E32" s="4">
        <v>0.60664121623002776</v>
      </c>
      <c r="F32" s="4">
        <v>0.39144085436034604</v>
      </c>
      <c r="G32" s="4"/>
      <c r="H32" s="4">
        <v>0.13622604354275389</v>
      </c>
      <c r="I32" s="4">
        <v>4.7044070269383918E-2</v>
      </c>
      <c r="J32" s="26">
        <v>4.0967286600785406E-2</v>
      </c>
      <c r="K32" s="26">
        <v>4.339191060941644E-2</v>
      </c>
      <c r="L32" s="26">
        <v>3.8756887486288215E-2</v>
      </c>
      <c r="M32" s="26">
        <v>2.3112981088514277E-2</v>
      </c>
      <c r="N32" s="26">
        <v>5.4113342443735044E-2</v>
      </c>
      <c r="O32" s="102">
        <v>3.5152826114710212E-2</v>
      </c>
      <c r="P32" s="102">
        <v>6.1542941892474608E-3</v>
      </c>
      <c r="Q32" s="102">
        <v>2.4507432866889374E-3</v>
      </c>
      <c r="R32" s="102"/>
      <c r="S32" s="102">
        <v>1.6496294125870101E-2</v>
      </c>
      <c r="T32" s="102">
        <v>7.9866064628022586E-3</v>
      </c>
    </row>
    <row r="33" spans="1:22">
      <c r="A33" s="35"/>
      <c r="B33" s="34"/>
      <c r="C33" s="4"/>
      <c r="D33" s="4"/>
      <c r="E33" s="4"/>
      <c r="F33" s="4"/>
      <c r="G33" s="4"/>
      <c r="J33" s="26"/>
      <c r="K33" s="26"/>
      <c r="L33" s="26"/>
      <c r="M33" s="26"/>
      <c r="N33" s="26"/>
      <c r="O33" s="26"/>
      <c r="P33" s="26"/>
      <c r="Q33" s="26"/>
      <c r="R33" s="26"/>
      <c r="S33" s="26"/>
      <c r="T33" s="26"/>
    </row>
    <row r="34" spans="1:22">
      <c r="A34" s="35" t="s">
        <v>59</v>
      </c>
      <c r="B34" s="35" t="s">
        <v>57</v>
      </c>
      <c r="C34" s="28">
        <v>0.85324878371030721</v>
      </c>
      <c r="D34" s="28"/>
      <c r="E34" s="28">
        <v>0.68312387212772341</v>
      </c>
      <c r="F34" s="28">
        <v>0.51589093719197066</v>
      </c>
      <c r="G34" s="28"/>
      <c r="H34" s="28">
        <v>9.6504070193359048E-2</v>
      </c>
      <c r="I34" s="28">
        <v>0.13780683699043547</v>
      </c>
      <c r="J34" s="89">
        <v>0.13769125801499191</v>
      </c>
      <c r="K34" s="89">
        <v>6.8465043657805869E-2</v>
      </c>
      <c r="L34" s="89">
        <v>6.9605368418077046E-2</v>
      </c>
      <c r="M34" s="89">
        <v>6.3903401154755221E-2</v>
      </c>
      <c r="N34" s="89">
        <v>5.0087158817186506E-2</v>
      </c>
      <c r="O34" s="28">
        <v>4.5196606316299154E-2</v>
      </c>
      <c r="P34" s="28">
        <v>3.7032380289084857E-2</v>
      </c>
      <c r="Q34" s="28">
        <v>3.5617441476083297E-2</v>
      </c>
      <c r="R34" s="28"/>
      <c r="S34" s="28">
        <v>1.7612693410697475E-2</v>
      </c>
      <c r="T34" s="28">
        <v>9.8288604141108481E-3</v>
      </c>
    </row>
    <row r="35" spans="1:22">
      <c r="A35" s="35"/>
      <c r="B35" s="34" t="s">
        <v>62</v>
      </c>
      <c r="C35" s="4">
        <v>0.89341390187014946</v>
      </c>
      <c r="D35" s="4"/>
      <c r="E35" s="4">
        <v>0.7203886020164747</v>
      </c>
      <c r="F35" s="4">
        <v>0.62889109633715867</v>
      </c>
      <c r="G35" s="4"/>
      <c r="H35" s="4">
        <v>0.25721824386981251</v>
      </c>
      <c r="I35" s="4">
        <v>0.10879539642099807</v>
      </c>
      <c r="J35" s="26">
        <v>0.12399408421972397</v>
      </c>
      <c r="K35" s="26">
        <v>0.11856588230886055</v>
      </c>
      <c r="L35" s="26">
        <v>7.8377659908904815E-2</v>
      </c>
      <c r="M35" s="26">
        <v>0.11900188262559952</v>
      </c>
      <c r="N35" s="26">
        <v>7.3108792048646731E-2</v>
      </c>
      <c r="O35" s="102">
        <v>6.8961169877264417E-2</v>
      </c>
      <c r="P35" s="102">
        <v>2.7654155659895367E-2</v>
      </c>
      <c r="Q35" s="102">
        <v>0.28825302063753933</v>
      </c>
      <c r="R35" s="102"/>
      <c r="S35" s="102">
        <v>2.354341562692416E-2</v>
      </c>
      <c r="T35" s="102">
        <v>5.2253540719550247E-2</v>
      </c>
    </row>
    <row r="36" spans="1:22">
      <c r="A36" s="34"/>
      <c r="B36" s="34" t="s">
        <v>63</v>
      </c>
      <c r="C36" s="4">
        <v>0.893801378591354</v>
      </c>
      <c r="D36" s="4"/>
      <c r="E36" s="4">
        <v>0.7405120699602602</v>
      </c>
      <c r="F36" s="4">
        <v>0.63117031990558703</v>
      </c>
      <c r="G36" s="4"/>
      <c r="H36" s="4">
        <v>0.17997571278787089</v>
      </c>
      <c r="I36" s="4">
        <v>0.16742539360575262</v>
      </c>
      <c r="J36" s="26">
        <v>0.17274867779783767</v>
      </c>
      <c r="K36" s="26">
        <v>9.49606585915862E-2</v>
      </c>
      <c r="L36" s="26">
        <v>8.8445594997832777E-2</v>
      </c>
      <c r="M36" s="26">
        <v>9.749766939180092E-2</v>
      </c>
      <c r="N36" s="26">
        <v>9.172124240497409E-2</v>
      </c>
      <c r="O36" s="102">
        <v>5.1313161935029605E-2</v>
      </c>
      <c r="P36" s="102">
        <v>5.7826653482151012E-2</v>
      </c>
      <c r="Q36" s="102">
        <v>9.630308740481143E-2</v>
      </c>
      <c r="R36" s="102"/>
      <c r="S36" s="102">
        <v>7.2851869785337227E-3</v>
      </c>
      <c r="T36" s="102">
        <v>1.3989638127079639E-2</v>
      </c>
    </row>
    <row r="37" spans="1:22">
      <c r="A37" s="34"/>
      <c r="B37" s="34" t="s">
        <v>64</v>
      </c>
      <c r="C37" s="4">
        <v>0.90348263650556859</v>
      </c>
      <c r="D37" s="4"/>
      <c r="E37" s="4">
        <v>0.75224535393045755</v>
      </c>
      <c r="F37" s="4">
        <v>0.61292464045948603</v>
      </c>
      <c r="G37" s="4"/>
      <c r="H37" s="4">
        <v>0.12489668284936112</v>
      </c>
      <c r="I37" s="4">
        <v>0.18991691085672721</v>
      </c>
      <c r="J37" s="26">
        <v>0.2019407530643211</v>
      </c>
      <c r="K37" s="26">
        <v>8.1776865244414271E-2</v>
      </c>
      <c r="L37" s="26">
        <v>9.748699265842771E-2</v>
      </c>
      <c r="M37" s="26">
        <v>0.10038424683936849</v>
      </c>
      <c r="N37" s="26">
        <v>6.140573001782125E-2</v>
      </c>
      <c r="O37" s="102">
        <v>5.1106874859903076E-2</v>
      </c>
      <c r="P37" s="102">
        <v>7.0394618794953373E-2</v>
      </c>
      <c r="Q37" s="102">
        <v>3.458761998187096E-2</v>
      </c>
      <c r="R37" s="102"/>
      <c r="S37" s="102">
        <v>1.2945444479907841E-2</v>
      </c>
      <c r="T37" s="102">
        <v>1.2106170694092028E-2</v>
      </c>
    </row>
    <row r="38" spans="1:22">
      <c r="A38" s="34"/>
      <c r="B38" s="34" t="s">
        <v>65</v>
      </c>
      <c r="C38" s="4">
        <v>0.88920071090117747</v>
      </c>
      <c r="D38" s="4"/>
      <c r="E38" s="4">
        <v>0.72376927690299253</v>
      </c>
      <c r="F38" s="4">
        <v>0.54537619374724433</v>
      </c>
      <c r="G38" s="4"/>
      <c r="H38" s="4">
        <v>9.5164421082715209E-2</v>
      </c>
      <c r="I38" s="4">
        <v>0.14766239289503652</v>
      </c>
      <c r="J38" s="26">
        <v>0.16694904549559328</v>
      </c>
      <c r="K38" s="26">
        <v>5.8284170063860587E-2</v>
      </c>
      <c r="L38" s="26">
        <v>7.6044035905221782E-2</v>
      </c>
      <c r="M38" s="26">
        <v>7.2376262449779225E-2</v>
      </c>
      <c r="N38" s="26">
        <v>4.3695233783076916E-2</v>
      </c>
      <c r="O38" s="102">
        <v>4.2325386288782338E-2</v>
      </c>
      <c r="P38" s="102">
        <v>4.2449465673469411E-2</v>
      </c>
      <c r="Q38" s="102">
        <v>1.8331351938729097E-2</v>
      </c>
      <c r="R38" s="102"/>
      <c r="S38" s="102">
        <v>1.0766786000582049E-2</v>
      </c>
      <c r="T38" s="102">
        <v>6.1509967099348381E-3</v>
      </c>
    </row>
    <row r="39" spans="1:22">
      <c r="A39" s="34"/>
      <c r="B39" s="34" t="s">
        <v>66</v>
      </c>
      <c r="C39" s="4">
        <v>0.87449684105041925</v>
      </c>
      <c r="D39" s="4"/>
      <c r="E39" s="4">
        <v>0.71866316654354878</v>
      </c>
      <c r="F39" s="4">
        <v>0.52157552780508076</v>
      </c>
      <c r="G39" s="4"/>
      <c r="H39" s="4">
        <v>6.6935006061162747E-2</v>
      </c>
      <c r="I39" s="4">
        <v>0.1129130356860818</v>
      </c>
      <c r="J39" s="26">
        <v>0.12578002140252278</v>
      </c>
      <c r="K39" s="26">
        <v>4.5619082589982582E-2</v>
      </c>
      <c r="L39" s="26">
        <v>5.9462505041269695E-2</v>
      </c>
      <c r="M39" s="26">
        <v>6.333990103581072E-2</v>
      </c>
      <c r="N39" s="26">
        <v>3.4015452838796673E-2</v>
      </c>
      <c r="O39" s="102">
        <v>3.9121802452761367E-2</v>
      </c>
      <c r="P39" s="102">
        <v>4.1992557114620292E-2</v>
      </c>
      <c r="Q39" s="102">
        <v>1.317331608706746E-2</v>
      </c>
      <c r="R39" s="102"/>
      <c r="S39" s="102">
        <v>1.5812149878638722E-2</v>
      </c>
      <c r="T39" s="102">
        <v>5.6660493905377439E-3</v>
      </c>
    </row>
    <row r="40" spans="1:22">
      <c r="A40" s="34"/>
      <c r="B40" s="34" t="s">
        <v>67</v>
      </c>
      <c r="C40" s="4">
        <v>0.86348228910468328</v>
      </c>
      <c r="D40" s="4"/>
      <c r="E40" s="4">
        <v>0.70314929888473909</v>
      </c>
      <c r="F40" s="4">
        <v>0.50896543076665435</v>
      </c>
      <c r="G40" s="4"/>
      <c r="H40" s="4">
        <v>6.2724879420876248E-2</v>
      </c>
      <c r="I40" s="4">
        <v>0.10937545093902924</v>
      </c>
      <c r="J40" s="26">
        <v>0.12756400103831311</v>
      </c>
      <c r="K40" s="26">
        <v>4.4808088321926738E-2</v>
      </c>
      <c r="L40" s="26">
        <v>6.2998090006867555E-2</v>
      </c>
      <c r="M40" s="26">
        <v>4.6349768453051658E-2</v>
      </c>
      <c r="N40" s="26">
        <v>2.792463545371492E-2</v>
      </c>
      <c r="O40" s="102">
        <v>4.0331534885222203E-2</v>
      </c>
      <c r="P40" s="102">
        <v>2.1242275840309827E-2</v>
      </c>
      <c r="Q40" s="102">
        <v>8.915686103270877E-3</v>
      </c>
      <c r="R40" s="102"/>
      <c r="S40" s="102">
        <v>3.0725385831451228E-2</v>
      </c>
      <c r="T40" s="102">
        <v>5.4776436846882002E-3</v>
      </c>
    </row>
    <row r="41" spans="1:22">
      <c r="A41" s="118"/>
      <c r="B41" s="118" t="s">
        <v>68</v>
      </c>
      <c r="C41" s="123">
        <v>0.73822201163473744</v>
      </c>
      <c r="D41" s="123"/>
      <c r="E41" s="123">
        <v>0.5263796349805947</v>
      </c>
      <c r="F41" s="123">
        <v>0.34111152188524768</v>
      </c>
      <c r="G41" s="123"/>
      <c r="H41" s="123">
        <v>4.6393374748464021E-2</v>
      </c>
      <c r="I41" s="123">
        <v>0.11518026414969913</v>
      </c>
      <c r="J41" s="125">
        <v>6.472888277563392E-2</v>
      </c>
      <c r="K41" s="125">
        <v>7.4022995967890803E-2</v>
      </c>
      <c r="L41" s="125">
        <v>4.2988890212859995E-2</v>
      </c>
      <c r="M41" s="125">
        <v>1.3512213804942511E-2</v>
      </c>
      <c r="N41" s="125">
        <v>4.6990997910680114E-2</v>
      </c>
      <c r="O41" s="102">
        <v>4.2437619458573134E-2</v>
      </c>
      <c r="P41" s="102">
        <v>4.9944731506294804E-3</v>
      </c>
      <c r="Q41" s="102">
        <v>4.8620456413508741E-3</v>
      </c>
      <c r="R41" s="102"/>
      <c r="S41" s="102">
        <v>2.3233966838386889E-2</v>
      </c>
      <c r="T41" s="102">
        <v>6.2896679758607096E-3</v>
      </c>
    </row>
    <row r="42" spans="1:22">
      <c r="A42" s="67"/>
      <c r="B42" s="67"/>
      <c r="C42" s="187" t="s">
        <v>147</v>
      </c>
      <c r="D42" s="187"/>
      <c r="E42" s="187"/>
      <c r="F42" s="187"/>
      <c r="G42" s="187"/>
      <c r="H42" s="187"/>
      <c r="I42" s="187"/>
      <c r="J42" s="187"/>
      <c r="K42" s="187"/>
      <c r="L42" s="187"/>
      <c r="M42" s="187"/>
      <c r="N42" s="187"/>
      <c r="O42" s="187"/>
      <c r="P42" s="187"/>
      <c r="Q42" s="187"/>
      <c r="R42" s="187"/>
      <c r="S42" s="187"/>
      <c r="T42" s="187"/>
    </row>
    <row r="43" spans="1:22">
      <c r="A43" s="35" t="s">
        <v>145</v>
      </c>
      <c r="B43" s="35" t="s">
        <v>57</v>
      </c>
      <c r="C43" s="80">
        <v>19187077.863524184</v>
      </c>
      <c r="D43" s="80"/>
      <c r="E43" s="80">
        <v>15359769.711439004</v>
      </c>
      <c r="F43" s="80">
        <v>11359297.189105133</v>
      </c>
      <c r="G43" s="80"/>
      <c r="H43" s="80">
        <v>3014189.1948750066</v>
      </c>
      <c r="I43" s="80">
        <v>2562310.1747888196</v>
      </c>
      <c r="J43" s="80">
        <v>2401301.4061954534</v>
      </c>
      <c r="K43" s="80">
        <v>1587471.5519380241</v>
      </c>
      <c r="L43" s="80">
        <v>1536645.1111138596</v>
      </c>
      <c r="M43" s="80">
        <v>1548902.8644534939</v>
      </c>
      <c r="N43" s="80">
        <v>1403218.3057442005</v>
      </c>
      <c r="O43" s="80">
        <v>1021823.0157016873</v>
      </c>
      <c r="P43" s="80">
        <v>1002816.0562277173</v>
      </c>
      <c r="Q43" s="80">
        <v>934831.5030135581</v>
      </c>
      <c r="R43" s="80"/>
      <c r="S43" s="80">
        <v>298886.43094202806</v>
      </c>
      <c r="T43" s="80">
        <v>257145.38917487208</v>
      </c>
      <c r="U43" s="44"/>
      <c r="V43" s="44"/>
    </row>
    <row r="44" spans="1:22">
      <c r="A44" s="35"/>
      <c r="B44" s="34" t="s">
        <v>62</v>
      </c>
      <c r="C44" s="81">
        <v>847603.32237604295</v>
      </c>
      <c r="D44" s="81"/>
      <c r="E44" s="81">
        <v>667117.56846523716</v>
      </c>
      <c r="F44" s="81">
        <v>598145.63282087445</v>
      </c>
      <c r="G44" s="81"/>
      <c r="H44" s="81">
        <v>259471.27142622176</v>
      </c>
      <c r="I44" s="81">
        <v>114846.14885572232</v>
      </c>
      <c r="J44" s="81">
        <v>101954.12182384593</v>
      </c>
      <c r="K44" s="81">
        <v>117653.17330473044</v>
      </c>
      <c r="L44" s="81">
        <v>81419.896685560219</v>
      </c>
      <c r="M44" s="81">
        <v>105889.33937253278</v>
      </c>
      <c r="N44" s="81">
        <v>78307.694986059621</v>
      </c>
      <c r="O44" s="81">
        <v>71076.087752618623</v>
      </c>
      <c r="P44" s="81">
        <v>27150.687157232871</v>
      </c>
      <c r="Q44" s="81">
        <v>288290.86034031335</v>
      </c>
      <c r="R44" s="81"/>
      <c r="S44" s="81">
        <v>18526.11921203055</v>
      </c>
      <c r="T44" s="81">
        <v>39673.658374941755</v>
      </c>
      <c r="U44" s="44"/>
      <c r="V44" s="44"/>
    </row>
    <row r="45" spans="1:22">
      <c r="A45" s="35"/>
      <c r="B45" s="34" t="s">
        <v>63</v>
      </c>
      <c r="C45" s="81">
        <v>2148288.6440141289</v>
      </c>
      <c r="D45" s="81"/>
      <c r="E45" s="81">
        <v>1721483.3682350556</v>
      </c>
      <c r="F45" s="81">
        <v>1473561.4089433197</v>
      </c>
      <c r="G45" s="81"/>
      <c r="H45" s="81">
        <v>519942.08198599942</v>
      </c>
      <c r="I45" s="81">
        <v>362943.14366345992</v>
      </c>
      <c r="J45" s="81">
        <v>313583.50598822068</v>
      </c>
      <c r="K45" s="81">
        <v>263694.06412305747</v>
      </c>
      <c r="L45" s="81">
        <v>237564.38667686214</v>
      </c>
      <c r="M45" s="81">
        <v>246426.74845961336</v>
      </c>
      <c r="N45" s="81">
        <v>267645.55770812993</v>
      </c>
      <c r="O45" s="81">
        <v>145148.52810846153</v>
      </c>
      <c r="P45" s="81">
        <v>167701.65419089462</v>
      </c>
      <c r="Q45" s="81">
        <v>281061.91532214184</v>
      </c>
      <c r="R45" s="81"/>
      <c r="S45" s="81">
        <v>11241.603120065722</v>
      </c>
      <c r="T45" s="81">
        <v>39730.523235060806</v>
      </c>
      <c r="U45" s="44"/>
      <c r="V45" s="44"/>
    </row>
    <row r="46" spans="1:22">
      <c r="A46" s="35"/>
      <c r="B46" s="34" t="s">
        <v>64</v>
      </c>
      <c r="C46" s="81">
        <v>3624033.8094432447</v>
      </c>
      <c r="D46" s="81"/>
      <c r="E46" s="81">
        <v>2934083.6742905253</v>
      </c>
      <c r="F46" s="81">
        <v>2335983.0103364619</v>
      </c>
      <c r="G46" s="81"/>
      <c r="H46" s="81">
        <v>669826.43243512709</v>
      </c>
      <c r="I46" s="81">
        <v>657202.36922279419</v>
      </c>
      <c r="J46" s="81">
        <v>629480.59840971825</v>
      </c>
      <c r="K46" s="81">
        <v>391298.97592086304</v>
      </c>
      <c r="L46" s="81">
        <v>396248.57845641929</v>
      </c>
      <c r="M46" s="81">
        <v>434300.099357086</v>
      </c>
      <c r="N46" s="81">
        <v>354752.56505948404</v>
      </c>
      <c r="O46" s="81">
        <v>215345.37940849338</v>
      </c>
      <c r="P46" s="81">
        <v>357774.3239849055</v>
      </c>
      <c r="Q46" s="81">
        <v>193699.77983764064</v>
      </c>
      <c r="R46" s="81"/>
      <c r="S46" s="81">
        <v>35272.176808122007</v>
      </c>
      <c r="T46" s="81">
        <v>63573.115680871415</v>
      </c>
      <c r="U46" s="44"/>
      <c r="V46" s="44"/>
    </row>
    <row r="47" spans="1:22">
      <c r="A47" s="35"/>
      <c r="B47" s="34" t="s">
        <v>65</v>
      </c>
      <c r="C47" s="81">
        <v>3404434.8230936211</v>
      </c>
      <c r="D47" s="81"/>
      <c r="E47" s="81">
        <v>2759204.5244777156</v>
      </c>
      <c r="F47" s="81">
        <v>1987602.9467073572</v>
      </c>
      <c r="G47" s="81"/>
      <c r="H47" s="81">
        <v>492371.58345167647</v>
      </c>
      <c r="I47" s="81">
        <v>466745.44880482717</v>
      </c>
      <c r="J47" s="81">
        <v>491393.17009470263</v>
      </c>
      <c r="K47" s="81">
        <v>243654.44643149272</v>
      </c>
      <c r="L47" s="81">
        <v>271238.31546348275</v>
      </c>
      <c r="M47" s="81">
        <v>299451.66377003887</v>
      </c>
      <c r="N47" s="81">
        <v>217675.42240920741</v>
      </c>
      <c r="O47" s="81">
        <v>155483.76787746162</v>
      </c>
      <c r="P47" s="81">
        <v>196534.18260293442</v>
      </c>
      <c r="Q47" s="81">
        <v>88518.62678693315</v>
      </c>
      <c r="R47" s="81"/>
      <c r="S47" s="81">
        <v>35206.693454439417</v>
      </c>
      <c r="T47" s="81">
        <v>41351.887253588488</v>
      </c>
      <c r="U47" s="44"/>
      <c r="V47" s="44"/>
    </row>
    <row r="48" spans="1:22">
      <c r="A48" s="35"/>
      <c r="B48" s="34" t="s">
        <v>66</v>
      </c>
      <c r="C48" s="81">
        <v>2944816.0797376256</v>
      </c>
      <c r="D48" s="81"/>
      <c r="E48" s="81">
        <v>2440521.4462075341</v>
      </c>
      <c r="F48" s="81">
        <v>1702913.2863648741</v>
      </c>
      <c r="G48" s="81"/>
      <c r="H48" s="81">
        <v>357380.24103309261</v>
      </c>
      <c r="I48" s="81">
        <v>312667.81093090988</v>
      </c>
      <c r="J48" s="81">
        <v>329309.96685287537</v>
      </c>
      <c r="K48" s="81">
        <v>153837.2592327047</v>
      </c>
      <c r="L48" s="81">
        <v>185419.29011880848</v>
      </c>
      <c r="M48" s="81">
        <v>214548.49558317687</v>
      </c>
      <c r="N48" s="81">
        <v>133896.14700164617</v>
      </c>
      <c r="O48" s="81">
        <v>124327.98370167577</v>
      </c>
      <c r="P48" s="81">
        <v>155883.03352261003</v>
      </c>
      <c r="Q48" s="81">
        <v>41795.626306645536</v>
      </c>
      <c r="R48" s="81"/>
      <c r="S48" s="81">
        <v>38163.012243167053</v>
      </c>
      <c r="T48" s="81">
        <v>22727.65111013129</v>
      </c>
      <c r="U48" s="44"/>
      <c r="V48" s="44"/>
    </row>
    <row r="49" spans="1:26">
      <c r="A49" s="35"/>
      <c r="B49" s="34" t="s">
        <v>67</v>
      </c>
      <c r="C49" s="81">
        <v>2653284.8040556596</v>
      </c>
      <c r="D49" s="81"/>
      <c r="E49" s="81">
        <v>2192198.6682555024</v>
      </c>
      <c r="F49" s="81">
        <v>1551053.7565675112</v>
      </c>
      <c r="G49" s="81"/>
      <c r="H49" s="81">
        <v>300981.51579218282</v>
      </c>
      <c r="I49" s="81">
        <v>256443.72632632434</v>
      </c>
      <c r="J49" s="81">
        <v>284092.67666801321</v>
      </c>
      <c r="K49" s="81">
        <v>137294.23473332921</v>
      </c>
      <c r="L49" s="81">
        <v>172488.46587367845</v>
      </c>
      <c r="M49" s="81">
        <v>163960.55740277702</v>
      </c>
      <c r="N49" s="81">
        <v>115095.75501704957</v>
      </c>
      <c r="O49" s="81">
        <v>127432.09544216056</v>
      </c>
      <c r="P49" s="81">
        <v>71824.710874304219</v>
      </c>
      <c r="Q49" s="81">
        <v>23943.828400124436</v>
      </c>
      <c r="R49" s="81"/>
      <c r="S49" s="81">
        <v>66291.611948691076</v>
      </c>
      <c r="T49" s="81">
        <v>16895.637971123895</v>
      </c>
      <c r="U49" s="44"/>
      <c r="V49" s="44"/>
      <c r="Z49"/>
    </row>
    <row r="50" spans="1:26">
      <c r="A50" s="35"/>
      <c r="B50" s="34" t="s">
        <v>68</v>
      </c>
      <c r="C50" s="81">
        <v>3564616.380804182</v>
      </c>
      <c r="D50" s="81"/>
      <c r="E50" s="81">
        <v>2645160.4615077884</v>
      </c>
      <c r="F50" s="81">
        <v>1710037.1473649805</v>
      </c>
      <c r="G50" s="81"/>
      <c r="H50" s="81">
        <v>414216.06875072687</v>
      </c>
      <c r="I50" s="81">
        <v>391461.52698479639</v>
      </c>
      <c r="J50" s="81">
        <v>251487.36635808833</v>
      </c>
      <c r="K50" s="81">
        <v>280039.3981918522</v>
      </c>
      <c r="L50" s="81">
        <v>192266.17783905944</v>
      </c>
      <c r="M50" s="81">
        <v>84325.960508275763</v>
      </c>
      <c r="N50" s="81">
        <v>235845.16356262975</v>
      </c>
      <c r="O50" s="81">
        <v>183009.17341081964</v>
      </c>
      <c r="P50" s="81">
        <v>25947.463894839268</v>
      </c>
      <c r="Q50" s="81">
        <v>17520.866019763434</v>
      </c>
      <c r="R50" s="81"/>
      <c r="S50" s="81">
        <v>94185.214155512265</v>
      </c>
      <c r="T50" s="81">
        <v>33192.915549154292</v>
      </c>
      <c r="U50" s="44"/>
      <c r="V50" s="44"/>
    </row>
    <row r="51" spans="1:26">
      <c r="A51" s="35"/>
      <c r="B51" s="35"/>
      <c r="D51" s="45"/>
      <c r="E51" s="21"/>
      <c r="F51" s="21"/>
      <c r="G51" s="21"/>
      <c r="J51" s="87"/>
      <c r="K51" s="87"/>
      <c r="L51" s="87"/>
      <c r="M51" s="87"/>
      <c r="N51" s="87"/>
      <c r="O51" s="87"/>
      <c r="P51" s="87"/>
      <c r="Q51" s="87"/>
      <c r="R51" s="87"/>
      <c r="S51" s="87"/>
      <c r="T51" s="87"/>
      <c r="U51" s="44"/>
    </row>
    <row r="52" spans="1:26">
      <c r="A52" s="35" t="s">
        <v>58</v>
      </c>
      <c r="B52" s="35" t="s">
        <v>57</v>
      </c>
      <c r="C52" s="80">
        <v>9431927.7987960801</v>
      </c>
      <c r="D52" s="80"/>
      <c r="E52" s="80">
        <v>7545862.3013340114</v>
      </c>
      <c r="F52" s="80">
        <v>5463115.1026153676</v>
      </c>
      <c r="G52" s="80"/>
      <c r="H52" s="80">
        <v>1909538.5705871976</v>
      </c>
      <c r="I52" s="80">
        <v>990945.15389187902</v>
      </c>
      <c r="J52" s="80">
        <v>830861.00295733649</v>
      </c>
      <c r="K52" s="80">
        <v>806883.15032687283</v>
      </c>
      <c r="L52" s="80">
        <v>740578.40381442441</v>
      </c>
      <c r="M52" s="80">
        <v>820327.25556905719</v>
      </c>
      <c r="N52" s="80">
        <v>832152.57785005833</v>
      </c>
      <c r="O52" s="80">
        <v>503119.28169527836</v>
      </c>
      <c r="P52" s="80">
        <v>580359.78872318449</v>
      </c>
      <c r="Q52" s="80">
        <v>528242.4043135884</v>
      </c>
      <c r="R52" s="80"/>
      <c r="S52" s="80">
        <v>97461.648094039308</v>
      </c>
      <c r="T52" s="80">
        <v>141632.50651274121</v>
      </c>
      <c r="U52" s="44"/>
      <c r="V52" s="44"/>
    </row>
    <row r="53" spans="1:26">
      <c r="A53" s="35"/>
      <c r="B53" s="34" t="s">
        <v>62</v>
      </c>
      <c r="C53" s="81">
        <v>410547.95167589508</v>
      </c>
      <c r="D53" s="81"/>
      <c r="E53" s="81">
        <v>313373.29848563462</v>
      </c>
      <c r="F53" s="81">
        <v>291803.48205102159</v>
      </c>
      <c r="G53" s="81"/>
      <c r="H53" s="81">
        <v>133650.62515412131</v>
      </c>
      <c r="I53" s="81">
        <v>62461.530902009727</v>
      </c>
      <c r="J53" s="81">
        <v>42251.386744541924</v>
      </c>
      <c r="K53" s="81">
        <v>60564.099213211703</v>
      </c>
      <c r="L53" s="81">
        <v>41710.390899206068</v>
      </c>
      <c r="M53" s="81">
        <v>48590.33259294615</v>
      </c>
      <c r="N53" s="81">
        <v>43106.057173132685</v>
      </c>
      <c r="O53" s="81">
        <v>37871.516084140028</v>
      </c>
      <c r="P53" s="81">
        <v>13835.304092030678</v>
      </c>
      <c r="Q53" s="80">
        <v>149497.99909028737</v>
      </c>
      <c r="R53" s="80"/>
      <c r="S53" s="80">
        <v>7190.0436655118065</v>
      </c>
      <c r="T53" s="80">
        <v>12542.82823232525</v>
      </c>
      <c r="U53" s="44"/>
      <c r="V53" s="44"/>
    </row>
    <row r="54" spans="1:26">
      <c r="A54" s="35"/>
      <c r="B54" s="34" t="s">
        <v>63</v>
      </c>
      <c r="C54" s="81">
        <v>1080931.5955208552</v>
      </c>
      <c r="D54" s="81"/>
      <c r="E54" s="81">
        <v>836974.75117475726</v>
      </c>
      <c r="F54" s="81">
        <v>720693.09449532465</v>
      </c>
      <c r="G54" s="81"/>
      <c r="H54" s="81">
        <v>306583.80957553716</v>
      </c>
      <c r="I54" s="81">
        <v>163501.88525905865</v>
      </c>
      <c r="J54" s="81">
        <v>108749.32608386887</v>
      </c>
      <c r="K54" s="81">
        <v>150390.10641870718</v>
      </c>
      <c r="L54" s="81">
        <v>133310.39232112584</v>
      </c>
      <c r="M54" s="81">
        <v>131577.44716002353</v>
      </c>
      <c r="N54" s="81">
        <v>159754.57086551664</v>
      </c>
      <c r="O54" s="81">
        <v>82582.788891354547</v>
      </c>
      <c r="P54" s="81">
        <v>99953.733858833744</v>
      </c>
      <c r="Q54" s="80">
        <v>168235.80791120906</v>
      </c>
      <c r="R54" s="80"/>
      <c r="S54" s="80">
        <v>2267.2734558914585</v>
      </c>
      <c r="T54" s="80">
        <v>23481.720297253953</v>
      </c>
      <c r="U54" s="44"/>
      <c r="V54" s="44"/>
    </row>
    <row r="55" spans="1:26">
      <c r="A55" s="35"/>
      <c r="B55" s="34" t="s">
        <v>64</v>
      </c>
      <c r="C55" s="81">
        <v>1796020.4717735117</v>
      </c>
      <c r="D55" s="81"/>
      <c r="E55" s="81">
        <v>1411975.6621822831</v>
      </c>
      <c r="F55" s="81">
        <v>1099508.0695313893</v>
      </c>
      <c r="G55" s="81"/>
      <c r="H55" s="81">
        <v>418202.66921776935</v>
      </c>
      <c r="I55" s="81">
        <v>275532.96076900116</v>
      </c>
      <c r="J55" s="81">
        <v>223683.60773992797</v>
      </c>
      <c r="K55" s="81">
        <v>226879.26778971034</v>
      </c>
      <c r="L55" s="81">
        <v>199304.68643353941</v>
      </c>
      <c r="M55" s="81">
        <v>232605.368075348</v>
      </c>
      <c r="N55" s="81">
        <v>230862.77862958985</v>
      </c>
      <c r="O55" s="81">
        <v>112987.52049782098</v>
      </c>
      <c r="P55" s="81">
        <v>216989.08443539625</v>
      </c>
      <c r="Q55" s="80">
        <v>123281.31585863512</v>
      </c>
      <c r="R55" s="80"/>
      <c r="S55" s="80">
        <v>8444.6522749768956</v>
      </c>
      <c r="T55" s="80">
        <v>38770.723487054558</v>
      </c>
      <c r="U55" s="44"/>
      <c r="V55" s="44"/>
    </row>
    <row r="56" spans="1:26">
      <c r="A56" s="35"/>
      <c r="B56" s="34" t="s">
        <v>65</v>
      </c>
      <c r="C56" s="81">
        <v>1680862.6390512059</v>
      </c>
      <c r="D56" s="81"/>
      <c r="E56" s="81">
        <v>1355318.4376750132</v>
      </c>
      <c r="F56" s="81">
        <v>931639.53911898111</v>
      </c>
      <c r="G56" s="81"/>
      <c r="H56" s="81">
        <v>308206.16404512757</v>
      </c>
      <c r="I56" s="81">
        <v>181427.29908739866</v>
      </c>
      <c r="J56" s="81">
        <v>168342.277251691</v>
      </c>
      <c r="K56" s="81">
        <v>131439.33945471459</v>
      </c>
      <c r="L56" s="81">
        <v>123976.32372768749</v>
      </c>
      <c r="M56" s="81">
        <v>159092.64000143509</v>
      </c>
      <c r="N56" s="81">
        <v>133548.54322450055</v>
      </c>
      <c r="O56" s="81">
        <v>72464.4575092124</v>
      </c>
      <c r="P56" s="81">
        <v>114269.24314010094</v>
      </c>
      <c r="Q56" s="80">
        <v>52736.532093115609</v>
      </c>
      <c r="R56" s="80"/>
      <c r="S56" s="80">
        <v>14477.290573218015</v>
      </c>
      <c r="T56" s="80">
        <v>29509.310563161682</v>
      </c>
      <c r="U56" s="44"/>
      <c r="V56" s="44"/>
    </row>
    <row r="57" spans="1:26">
      <c r="A57" s="35"/>
      <c r="B57" s="34" t="s">
        <v>66</v>
      </c>
      <c r="C57" s="81">
        <v>1457931.6929437409</v>
      </c>
      <c r="D57" s="81"/>
      <c r="E57" s="81">
        <v>1219611.8598108711</v>
      </c>
      <c r="F57" s="81">
        <v>815797.26496029075</v>
      </c>
      <c r="G57" s="81"/>
      <c r="H57" s="81">
        <v>243509.23617908201</v>
      </c>
      <c r="I57" s="81">
        <v>121112.30741856771</v>
      </c>
      <c r="J57" s="81">
        <v>115492.07850766341</v>
      </c>
      <c r="K57" s="81">
        <v>75872.73059243169</v>
      </c>
      <c r="L57" s="81">
        <v>85020.86100584126</v>
      </c>
      <c r="M57" s="81">
        <v>106805.90407493239</v>
      </c>
      <c r="N57" s="81">
        <v>75378.758156010023</v>
      </c>
      <c r="O57" s="81">
        <v>56806.623905217384</v>
      </c>
      <c r="P57" s="81">
        <v>83896.842149949996</v>
      </c>
      <c r="Q57" s="80">
        <v>19553.370612368559</v>
      </c>
      <c r="R57" s="80"/>
      <c r="S57" s="80">
        <v>11009.273988111227</v>
      </c>
      <c r="T57" s="80">
        <v>11581.611796725356</v>
      </c>
      <c r="U57" s="44"/>
      <c r="V57" s="44"/>
    </row>
    <row r="58" spans="1:26">
      <c r="A58" s="35"/>
      <c r="B58" s="34" t="s">
        <v>67</v>
      </c>
      <c r="C58" s="81">
        <v>1290921.9280840035</v>
      </c>
      <c r="D58" s="81"/>
      <c r="E58" s="81">
        <v>1082601.1358329221</v>
      </c>
      <c r="F58" s="81">
        <v>748055.27340100415</v>
      </c>
      <c r="G58" s="81"/>
      <c r="H58" s="81">
        <v>201620.75841797487</v>
      </c>
      <c r="I58" s="81">
        <v>84079.405244124835</v>
      </c>
      <c r="J58" s="81">
        <v>82795.303202515832</v>
      </c>
      <c r="K58" s="81">
        <v>66890.797164462987</v>
      </c>
      <c r="L58" s="81">
        <v>72540.255684007076</v>
      </c>
      <c r="M58" s="81">
        <v>91134.798665397466</v>
      </c>
      <c r="N58" s="81">
        <v>71219.963783239698</v>
      </c>
      <c r="O58" s="81">
        <v>63568.70248867754</v>
      </c>
      <c r="P58" s="81">
        <v>37963.415388154754</v>
      </c>
      <c r="Q58" s="80">
        <v>9580.500499100146</v>
      </c>
      <c r="R58" s="80"/>
      <c r="S58" s="80">
        <v>18015.221141244772</v>
      </c>
      <c r="T58" s="80">
        <v>8289.0457324917115</v>
      </c>
      <c r="U58" s="44"/>
      <c r="V58" s="44"/>
    </row>
    <row r="59" spans="1:26">
      <c r="A59" s="35"/>
      <c r="B59" s="34" t="s">
        <v>68</v>
      </c>
      <c r="C59" s="81">
        <v>1714711.519747111</v>
      </c>
      <c r="D59" s="81"/>
      <c r="E59" s="81">
        <v>1326007.1561725317</v>
      </c>
      <c r="F59" s="81">
        <v>855618.37905733823</v>
      </c>
      <c r="G59" s="81"/>
      <c r="H59" s="81">
        <v>297765.30799758295</v>
      </c>
      <c r="I59" s="81">
        <v>102829.76521172081</v>
      </c>
      <c r="J59" s="81">
        <v>89547.023427129316</v>
      </c>
      <c r="K59" s="81">
        <v>94846.809693635441</v>
      </c>
      <c r="L59" s="81">
        <v>84715.493743018102</v>
      </c>
      <c r="M59" s="81">
        <v>50520.76499897617</v>
      </c>
      <c r="N59" s="81">
        <v>118281.90601806939</v>
      </c>
      <c r="O59" s="81">
        <v>76837.672318854762</v>
      </c>
      <c r="P59" s="81">
        <v>13452.16565871909</v>
      </c>
      <c r="Q59" s="80">
        <v>5356.8782488710594</v>
      </c>
      <c r="R59" s="80"/>
      <c r="S59" s="80">
        <v>36057.892995085145</v>
      </c>
      <c r="T59" s="80">
        <v>17457.266403728707</v>
      </c>
      <c r="U59" s="44"/>
      <c r="V59" s="44"/>
    </row>
    <row r="60" spans="1:26">
      <c r="A60" s="35"/>
      <c r="B60" s="34"/>
      <c r="D60" s="45"/>
      <c r="E60" s="21"/>
      <c r="F60" s="21"/>
      <c r="G60" s="21"/>
      <c r="J60" s="87"/>
      <c r="K60" s="87"/>
      <c r="L60" s="87"/>
      <c r="M60" s="87"/>
      <c r="N60" s="87"/>
      <c r="O60" s="87"/>
      <c r="P60" s="87"/>
      <c r="Q60" s="87"/>
      <c r="R60" s="87"/>
      <c r="S60" s="87"/>
      <c r="T60" s="87"/>
      <c r="U60" s="44"/>
    </row>
    <row r="61" spans="1:26">
      <c r="A61" s="35" t="s">
        <v>59</v>
      </c>
      <c r="B61" s="35" t="s">
        <v>57</v>
      </c>
      <c r="C61" s="80">
        <v>9661932.2049446106</v>
      </c>
      <c r="D61" s="80"/>
      <c r="E61" s="80">
        <v>7735488.9524439452</v>
      </c>
      <c r="F61" s="80">
        <v>5841793.5723498017</v>
      </c>
      <c r="G61" s="80"/>
      <c r="H61" s="80">
        <v>1092783.0212132155</v>
      </c>
      <c r="I61" s="80">
        <v>1560483.1109041481</v>
      </c>
      <c r="J61" s="80">
        <v>1559174.3294017629</v>
      </c>
      <c r="K61" s="80">
        <v>775277.53084367199</v>
      </c>
      <c r="L61" s="80">
        <v>788190.22493208281</v>
      </c>
      <c r="M61" s="80">
        <v>723622.86523018638</v>
      </c>
      <c r="N61" s="80">
        <v>567171.89882834372</v>
      </c>
      <c r="O61" s="80">
        <v>511792.75547601184</v>
      </c>
      <c r="P61" s="80">
        <v>419343.51923125127</v>
      </c>
      <c r="Q61" s="80">
        <v>403321.17833095952</v>
      </c>
      <c r="R61" s="80"/>
      <c r="S61" s="80">
        <v>199440.83475940849</v>
      </c>
      <c r="T61" s="80">
        <v>111299.05460872635</v>
      </c>
      <c r="U61" s="44"/>
      <c r="V61" s="44"/>
    </row>
    <row r="62" spans="1:26">
      <c r="A62" s="34"/>
      <c r="B62" s="34" t="s">
        <v>62</v>
      </c>
      <c r="C62" s="81">
        <v>430175.79294348339</v>
      </c>
      <c r="D62" s="81"/>
      <c r="E62" s="81">
        <v>346864.69222293905</v>
      </c>
      <c r="F62" s="81">
        <v>302808.95056102867</v>
      </c>
      <c r="G62" s="81"/>
      <c r="H62" s="81">
        <v>123849.72047626457</v>
      </c>
      <c r="I62" s="81">
        <v>52384.617953712601</v>
      </c>
      <c r="J62" s="81">
        <v>59702.73507930398</v>
      </c>
      <c r="K62" s="81">
        <v>57089.074091518734</v>
      </c>
      <c r="L62" s="81">
        <v>37738.579990518403</v>
      </c>
      <c r="M62" s="81">
        <v>57299.006779586598</v>
      </c>
      <c r="N62" s="81">
        <v>35201.637812926929</v>
      </c>
      <c r="O62" s="81">
        <v>33204.571668478595</v>
      </c>
      <c r="P62" s="81">
        <v>13315.383065202201</v>
      </c>
      <c r="Q62" s="81">
        <v>138792.86125002571</v>
      </c>
      <c r="R62" s="81"/>
      <c r="S62" s="81">
        <v>11336.075546518745</v>
      </c>
      <c r="T62" s="81">
        <v>25159.90434678075</v>
      </c>
      <c r="U62" s="44"/>
      <c r="V62" s="44"/>
    </row>
    <row r="63" spans="1:26">
      <c r="A63" s="34"/>
      <c r="B63" s="34" t="s">
        <v>63</v>
      </c>
      <c r="C63" s="81">
        <v>1038139.9671917572</v>
      </c>
      <c r="D63" s="81"/>
      <c r="E63" s="81">
        <v>860096.20753238909</v>
      </c>
      <c r="F63" s="81">
        <v>733097.02904225898</v>
      </c>
      <c r="G63" s="81"/>
      <c r="H63" s="81">
        <v>209039.70954193015</v>
      </c>
      <c r="I63" s="81">
        <v>194462.65891743431</v>
      </c>
      <c r="J63" s="81">
        <v>200645.59195926195</v>
      </c>
      <c r="K63" s="81">
        <v>110295.70702849503</v>
      </c>
      <c r="L63" s="81">
        <v>102728.53599086376</v>
      </c>
      <c r="M63" s="81">
        <v>113242.41574027942</v>
      </c>
      <c r="N63" s="81">
        <v>106533.16258155086</v>
      </c>
      <c r="O63" s="81">
        <v>59599.644309893272</v>
      </c>
      <c r="P63" s="81">
        <v>67164.989433537296</v>
      </c>
      <c r="Q63" s="81">
        <v>111854.92257402853</v>
      </c>
      <c r="R63" s="81"/>
      <c r="S63" s="81">
        <v>8461.660444964069</v>
      </c>
      <c r="T63" s="81">
        <v>16248.802937806857</v>
      </c>
      <c r="U63" s="44"/>
      <c r="V63" s="44"/>
    </row>
    <row r="64" spans="1:26">
      <c r="A64" s="34"/>
      <c r="B64" s="34" t="s">
        <v>64</v>
      </c>
      <c r="C64" s="81">
        <v>1801475.9158407359</v>
      </c>
      <c r="D64" s="81"/>
      <c r="E64" s="81">
        <v>1499920.2343834497</v>
      </c>
      <c r="F64" s="81">
        <v>1222125.2887423928</v>
      </c>
      <c r="G64" s="81"/>
      <c r="H64" s="81">
        <v>249034.52156176107</v>
      </c>
      <c r="I64" s="81">
        <v>378679.92930394004</v>
      </c>
      <c r="J64" s="81">
        <v>402654.55955984333</v>
      </c>
      <c r="K64" s="81">
        <v>163056.87265950866</v>
      </c>
      <c r="L64" s="81">
        <v>194381.67628893632</v>
      </c>
      <c r="M64" s="81">
        <v>200158.58158644231</v>
      </c>
      <c r="N64" s="81">
        <v>122438.37263943002</v>
      </c>
      <c r="O64" s="81">
        <v>101903.2358497731</v>
      </c>
      <c r="P64" s="81">
        <v>140361.5357284362</v>
      </c>
      <c r="Q64" s="81">
        <v>68965.093368685106</v>
      </c>
      <c r="R64" s="81"/>
      <c r="S64" s="81">
        <v>25812.235352531468</v>
      </c>
      <c r="T64" s="81">
        <v>24138.787019543674</v>
      </c>
      <c r="U64" s="44"/>
      <c r="V64" s="44"/>
    </row>
    <row r="65" spans="1:23">
      <c r="A65" s="34"/>
      <c r="B65" s="34" t="s">
        <v>65</v>
      </c>
      <c r="C65" s="81">
        <v>1711987.1963223317</v>
      </c>
      <c r="D65" s="81"/>
      <c r="E65" s="81">
        <v>1393480.3694585697</v>
      </c>
      <c r="F65" s="81">
        <v>1050018.3472953332</v>
      </c>
      <c r="G65" s="81"/>
      <c r="H65" s="81">
        <v>183221.03034974044</v>
      </c>
      <c r="I65" s="81">
        <v>284295.91082807287</v>
      </c>
      <c r="J65" s="81">
        <v>321428.69975556567</v>
      </c>
      <c r="K65" s="81">
        <v>112215.10697677798</v>
      </c>
      <c r="L65" s="81">
        <v>146408.35778738352</v>
      </c>
      <c r="M65" s="81">
        <v>139346.75615149995</v>
      </c>
      <c r="N65" s="81">
        <v>84126.879184706719</v>
      </c>
      <c r="O65" s="81">
        <v>81489.49783492148</v>
      </c>
      <c r="P65" s="81">
        <v>81728.389139559033</v>
      </c>
      <c r="Q65" s="81">
        <v>35293.53882159746</v>
      </c>
      <c r="R65" s="81"/>
      <c r="S65" s="81">
        <v>20729.402881221409</v>
      </c>
      <c r="T65" s="81">
        <v>11842.576690426808</v>
      </c>
      <c r="U65" s="44"/>
      <c r="V65" s="44"/>
    </row>
    <row r="66" spans="1:23">
      <c r="A66" s="34"/>
      <c r="B66" s="34" t="s">
        <v>66</v>
      </c>
      <c r="C66" s="81">
        <v>1476528.9327245522</v>
      </c>
      <c r="D66" s="81"/>
      <c r="E66" s="81">
        <v>1213414.2840474981</v>
      </c>
      <c r="F66" s="81">
        <v>880645.09927815676</v>
      </c>
      <c r="G66" s="81"/>
      <c r="H66" s="81">
        <v>113015.24307702093</v>
      </c>
      <c r="I66" s="81">
        <v>190646.04495540701</v>
      </c>
      <c r="J66" s="81">
        <v>212371.08248036623</v>
      </c>
      <c r="K66" s="81">
        <v>77024.744020289319</v>
      </c>
      <c r="L66" s="81">
        <v>100398.42911296719</v>
      </c>
      <c r="M66" s="81">
        <v>106945.15072569859</v>
      </c>
      <c r="N66" s="81">
        <v>57432.797831358977</v>
      </c>
      <c r="O66" s="81">
        <v>66054.524739565168</v>
      </c>
      <c r="P66" s="81">
        <v>70901.600358382886</v>
      </c>
      <c r="Q66" s="81">
        <v>22242.255694276948</v>
      </c>
      <c r="R66" s="81"/>
      <c r="S66" s="81">
        <v>26697.748566299291</v>
      </c>
      <c r="T66" s="81">
        <v>9566.7422301105216</v>
      </c>
      <c r="U66" s="44"/>
      <c r="V66" s="44"/>
    </row>
    <row r="67" spans="1:23">
      <c r="A67" s="34"/>
      <c r="B67" s="34" t="s">
        <v>67</v>
      </c>
      <c r="C67" s="81">
        <v>1356722.0497343731</v>
      </c>
      <c r="D67" s="81"/>
      <c r="E67" s="81">
        <v>1104803.3875035695</v>
      </c>
      <c r="F67" s="81">
        <v>799697.49372584815</v>
      </c>
      <c r="G67" s="81"/>
      <c r="H67" s="81">
        <v>98554.687283129213</v>
      </c>
      <c r="I67" s="81">
        <v>171853.07430275617</v>
      </c>
      <c r="J67" s="81">
        <v>200431.31763648262</v>
      </c>
      <c r="K67" s="81">
        <v>70403.43756886624</v>
      </c>
      <c r="L67" s="81">
        <v>98983.961665374605</v>
      </c>
      <c r="M67" s="81">
        <v>72825.758737379496</v>
      </c>
      <c r="N67" s="81">
        <v>43875.791233809767</v>
      </c>
      <c r="O67" s="81">
        <v>63369.779981414642</v>
      </c>
      <c r="P67" s="81">
        <v>33376.323270012268</v>
      </c>
      <c r="Q67" s="81">
        <v>14008.518851452056</v>
      </c>
      <c r="R67" s="81"/>
      <c r="S67" s="81">
        <v>48276.390807446252</v>
      </c>
      <c r="T67" s="81">
        <v>8606.5922386321854</v>
      </c>
      <c r="U67" s="44"/>
      <c r="V67" s="44"/>
    </row>
    <row r="68" spans="1:23">
      <c r="A68" s="34"/>
      <c r="B68" s="34" t="s">
        <v>68</v>
      </c>
      <c r="C68" s="81">
        <v>1846902.3501872316</v>
      </c>
      <c r="D68" s="81"/>
      <c r="E68" s="81">
        <v>1316909.7772952553</v>
      </c>
      <c r="F68" s="81">
        <v>853401.36370455835</v>
      </c>
      <c r="G68" s="81"/>
      <c r="H68" s="81">
        <v>116068.10892337696</v>
      </c>
      <c r="I68" s="81">
        <v>288160.87464284367</v>
      </c>
      <c r="J68" s="81">
        <v>161940.34293095942</v>
      </c>
      <c r="K68" s="81">
        <v>185192.58849821647</v>
      </c>
      <c r="L68" s="81">
        <v>107550.68409604162</v>
      </c>
      <c r="M68" s="81">
        <v>33805.195509299512</v>
      </c>
      <c r="N68" s="81">
        <v>117563.25754456079</v>
      </c>
      <c r="O68" s="81">
        <v>106171.50109196498</v>
      </c>
      <c r="P68" s="81">
        <v>12495.298236120165</v>
      </c>
      <c r="Q68" s="81">
        <v>12163.987770892376</v>
      </c>
      <c r="R68" s="81"/>
      <c r="S68" s="81">
        <v>58127.32116042712</v>
      </c>
      <c r="T68" s="81">
        <v>15735.649145425585</v>
      </c>
      <c r="U68" s="44"/>
      <c r="V68" s="44"/>
    </row>
    <row r="69" spans="1:23">
      <c r="A69" s="118"/>
      <c r="B69" s="118"/>
      <c r="C69" s="119"/>
      <c r="D69" s="119"/>
      <c r="E69" s="119"/>
      <c r="F69" s="119"/>
      <c r="G69" s="119"/>
      <c r="H69" s="119"/>
      <c r="I69" s="119"/>
      <c r="J69" s="119"/>
      <c r="K69" s="119"/>
      <c r="L69" s="119"/>
      <c r="M69" s="119"/>
      <c r="N69" s="119"/>
      <c r="O69" s="119"/>
      <c r="P69" s="119"/>
      <c r="Q69" s="119"/>
      <c r="R69" s="119"/>
      <c r="S69" s="119"/>
      <c r="T69" s="119"/>
    </row>
    <row r="70" spans="1:23">
      <c r="A70" s="24" t="s">
        <v>117</v>
      </c>
    </row>
    <row r="71" spans="1:23">
      <c r="A71" s="16" t="s">
        <v>121</v>
      </c>
    </row>
    <row r="72" spans="1:23" ht="15" customHeight="1">
      <c r="A72" s="16" t="s">
        <v>122</v>
      </c>
      <c r="B72" s="24"/>
      <c r="C72" s="2"/>
      <c r="G72" s="2"/>
      <c r="K72" s="2"/>
      <c r="O72" s="2"/>
      <c r="S72" s="2"/>
      <c r="W72" s="2"/>
    </row>
    <row r="73" spans="1:23">
      <c r="A73" s="24" t="s">
        <v>120</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 id="{3DDB214C-E14F-4772-B070-8620F42486CA}">
            <xm:f>C43&lt;'38'!$C$104</xm:f>
            <x14:dxf>
              <font>
                <color rgb="FFFF0000"/>
              </font>
              <numFmt numFmtId="172" formatCode="\*\*0.0%"/>
            </x14:dxf>
          </x14:cfRule>
          <x14:cfRule type="expression" priority="2" id="{EAF20631-DF36-425D-9BD3-A25F361E09DF}">
            <xm:f>C43&lt;'38'!$C$103</xm:f>
            <x14:dxf>
              <font>
                <color rgb="FF00B050"/>
              </font>
              <numFmt numFmtId="171" formatCode="\*0.0%"/>
            </x14:dxf>
          </x14:cfRule>
          <xm:sqref>C16:T41</xm:sqref>
        </x14:conditionalFormatting>
        <x14:conditionalFormatting xmlns:xm="http://schemas.microsoft.com/office/excel/2006/main">
          <x14:cfRule type="expression" priority="3" id="{4C3D6742-DA05-4932-8430-03B9F3E97622}">
            <xm:f>C43&lt;'38'!$C$104</xm:f>
            <x14:dxf>
              <font>
                <color rgb="FFFF0000"/>
              </font>
              <numFmt numFmtId="174" formatCode="\*\*#,###,###,##0"/>
            </x14:dxf>
          </x14:cfRule>
          <x14:cfRule type="expression" priority="4" id="{4099D477-CE5D-42B1-B403-D5BB460192D2}">
            <xm:f>C43&lt;'38'!$C$103</xm:f>
            <x14:dxf>
              <font>
                <color rgb="FF00B050"/>
              </font>
              <numFmt numFmtId="173"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W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6384" width="8.85546875" style="1"/>
  </cols>
  <sheetData>
    <row r="1" spans="1:15">
      <c r="A1" s="29"/>
      <c r="B1" s="29"/>
      <c r="C1" s="29"/>
      <c r="D1" s="29"/>
      <c r="E1" s="29"/>
      <c r="F1" s="29"/>
      <c r="G1" s="29"/>
      <c r="H1" s="29"/>
      <c r="I1" s="29"/>
      <c r="J1" s="29"/>
      <c r="K1" s="29"/>
      <c r="L1" s="29"/>
      <c r="M1" s="29"/>
      <c r="N1" s="29"/>
    </row>
    <row r="2" spans="1:15">
      <c r="A2" s="29"/>
      <c r="B2" s="29"/>
      <c r="C2" s="29"/>
      <c r="D2" s="29"/>
      <c r="E2" s="29"/>
      <c r="F2" s="29"/>
      <c r="G2" s="29"/>
      <c r="H2" s="29"/>
      <c r="I2" s="29"/>
      <c r="J2" s="29"/>
      <c r="K2" s="29"/>
      <c r="L2" s="29"/>
      <c r="M2" s="29"/>
      <c r="N2" s="29"/>
    </row>
    <row r="3" spans="1:15">
      <c r="A3" s="29"/>
      <c r="B3" s="29"/>
      <c r="C3" s="29"/>
      <c r="D3" s="29"/>
      <c r="E3" s="29"/>
      <c r="F3" s="29"/>
      <c r="G3" s="29"/>
      <c r="H3" s="29"/>
      <c r="I3" s="29"/>
      <c r="J3" s="29"/>
      <c r="K3" s="29"/>
      <c r="L3" s="29"/>
      <c r="M3" s="29"/>
      <c r="N3" s="29"/>
    </row>
    <row r="4" spans="1:15">
      <c r="A4" s="29"/>
      <c r="B4" s="29"/>
      <c r="C4" s="29"/>
      <c r="D4" s="29"/>
      <c r="E4" s="29"/>
      <c r="F4" s="29"/>
      <c r="G4" s="29"/>
      <c r="H4" s="29"/>
      <c r="I4" s="29"/>
      <c r="J4" s="29"/>
      <c r="K4" s="29"/>
      <c r="L4" s="29"/>
      <c r="M4" s="29"/>
      <c r="N4" s="29"/>
    </row>
    <row r="5" spans="1:15">
      <c r="A5" s="29"/>
      <c r="B5" s="29"/>
      <c r="C5" s="29"/>
      <c r="D5" s="29"/>
      <c r="E5" s="29"/>
      <c r="F5" s="29"/>
      <c r="G5" s="29"/>
      <c r="H5" s="29"/>
      <c r="I5" s="29"/>
      <c r="J5" s="29"/>
      <c r="K5" s="29"/>
      <c r="L5" s="29"/>
      <c r="M5" s="29"/>
      <c r="N5" s="29"/>
    </row>
    <row r="6" spans="1:15">
      <c r="A6" s="29"/>
      <c r="B6" s="29"/>
      <c r="C6" s="29"/>
      <c r="D6" s="29"/>
      <c r="E6" s="29"/>
      <c r="F6" s="29"/>
      <c r="G6" s="29"/>
      <c r="H6" s="29"/>
      <c r="I6" s="29"/>
      <c r="J6" s="29"/>
      <c r="K6" s="29"/>
      <c r="L6" s="29"/>
      <c r="M6" s="29"/>
      <c r="N6" s="29"/>
    </row>
    <row r="7" spans="1:15">
      <c r="A7" s="29"/>
      <c r="B7" s="29"/>
      <c r="C7" s="29"/>
      <c r="D7" s="29"/>
      <c r="E7" s="29"/>
      <c r="F7" s="29"/>
      <c r="G7" s="29"/>
      <c r="H7" s="29"/>
      <c r="I7" s="29"/>
      <c r="J7" s="29"/>
      <c r="K7" s="29"/>
      <c r="L7" s="29"/>
      <c r="M7" s="29"/>
      <c r="N7" s="29"/>
    </row>
    <row r="8" spans="1:15">
      <c r="A8" s="30" t="s">
        <v>0</v>
      </c>
      <c r="B8" s="29"/>
      <c r="C8" s="29"/>
      <c r="D8" s="29"/>
      <c r="E8" s="29"/>
      <c r="F8" s="29"/>
      <c r="G8" s="29"/>
      <c r="H8" s="29"/>
      <c r="I8" s="29"/>
      <c r="J8" s="29"/>
      <c r="K8" s="29"/>
      <c r="L8" s="29"/>
      <c r="M8" s="29"/>
      <c r="N8" s="29"/>
    </row>
    <row r="9" spans="1:15">
      <c r="A9" s="29" t="s">
        <v>1</v>
      </c>
      <c r="B9" s="29"/>
      <c r="C9" s="90" t="s">
        <v>2</v>
      </c>
      <c r="D9" s="30"/>
      <c r="E9" s="29"/>
      <c r="F9" s="29"/>
      <c r="G9" s="29"/>
      <c r="H9" s="29"/>
      <c r="I9" s="29"/>
      <c r="J9" s="29"/>
      <c r="K9" s="29"/>
      <c r="L9" s="29"/>
      <c r="M9" s="29"/>
      <c r="N9" s="29"/>
    </row>
    <row r="10" spans="1:15">
      <c r="A10" s="29" t="s">
        <v>49</v>
      </c>
      <c r="B10" s="29"/>
      <c r="C10" s="31">
        <v>5</v>
      </c>
      <c r="D10" s="31"/>
      <c r="E10" s="29"/>
      <c r="F10" s="29"/>
      <c r="G10" s="29"/>
      <c r="H10" s="29"/>
      <c r="I10" s="29"/>
      <c r="J10" s="29"/>
      <c r="K10" s="29"/>
      <c r="L10" s="29"/>
      <c r="M10" s="29"/>
      <c r="N10" s="29"/>
    </row>
    <row r="11" spans="1:15">
      <c r="A11" s="29" t="s">
        <v>3</v>
      </c>
      <c r="B11" s="29"/>
      <c r="C11" s="30" t="s">
        <v>13</v>
      </c>
      <c r="D11" s="30"/>
      <c r="E11" s="29"/>
      <c r="F11" s="29"/>
      <c r="G11" s="29"/>
      <c r="H11" s="29"/>
      <c r="I11" s="29"/>
      <c r="J11" s="29"/>
      <c r="K11" s="29"/>
      <c r="L11" s="29"/>
      <c r="M11" s="29"/>
      <c r="N11" s="29"/>
    </row>
    <row r="12" spans="1:15">
      <c r="A12" s="116" t="s">
        <v>50</v>
      </c>
      <c r="B12" s="116"/>
      <c r="C12" s="117" t="s">
        <v>51</v>
      </c>
      <c r="D12" s="117"/>
      <c r="E12" s="116"/>
      <c r="F12" s="116"/>
      <c r="G12" s="116"/>
      <c r="H12" s="116"/>
      <c r="I12" s="116"/>
      <c r="J12" s="116"/>
      <c r="K12" s="116"/>
      <c r="L12" s="116"/>
      <c r="M12" s="116"/>
      <c r="N12" s="116"/>
    </row>
    <row r="13" spans="1:15" ht="24.95" customHeight="1">
      <c r="A13" s="32"/>
      <c r="B13" s="32"/>
      <c r="C13" s="32"/>
      <c r="D13" s="32"/>
      <c r="E13" s="182" t="s">
        <v>162</v>
      </c>
      <c r="F13" s="182"/>
      <c r="G13" s="182"/>
      <c r="H13" s="182"/>
      <c r="I13" s="182"/>
      <c r="J13" s="182"/>
      <c r="K13" s="182"/>
      <c r="L13" s="182"/>
      <c r="M13" s="182"/>
      <c r="N13" s="182"/>
    </row>
    <row r="14" spans="1:15" s="8" customFormat="1" ht="50.25" customHeight="1">
      <c r="A14" s="83"/>
      <c r="B14" s="83"/>
      <c r="C14" s="64" t="s">
        <v>163</v>
      </c>
      <c r="D14" s="64"/>
      <c r="E14" s="64" t="s">
        <v>152</v>
      </c>
      <c r="F14" s="64" t="s">
        <v>153</v>
      </c>
      <c r="G14" s="64" t="s">
        <v>154</v>
      </c>
      <c r="H14" s="64" t="s">
        <v>155</v>
      </c>
      <c r="I14" s="64" t="s">
        <v>164</v>
      </c>
      <c r="J14" s="64" t="s">
        <v>157</v>
      </c>
      <c r="K14" s="64" t="s">
        <v>165</v>
      </c>
      <c r="L14" s="64" t="s">
        <v>159</v>
      </c>
      <c r="M14" s="64" t="s">
        <v>160</v>
      </c>
      <c r="N14" s="64" t="s">
        <v>161</v>
      </c>
    </row>
    <row r="15" spans="1:15">
      <c r="A15" s="67"/>
      <c r="B15" s="67"/>
      <c r="C15" s="189" t="s">
        <v>144</v>
      </c>
      <c r="D15" s="189"/>
      <c r="E15" s="189"/>
      <c r="F15" s="189"/>
      <c r="G15" s="189"/>
      <c r="H15" s="189"/>
      <c r="I15" s="189"/>
      <c r="J15" s="189"/>
      <c r="K15" s="189"/>
      <c r="L15" s="189"/>
      <c r="M15" s="189"/>
      <c r="N15" s="189"/>
    </row>
    <row r="16" spans="1:15">
      <c r="A16" s="35" t="s">
        <v>145</v>
      </c>
      <c r="B16" s="35" t="s">
        <v>57</v>
      </c>
      <c r="C16" s="28">
        <v>0.41796214575606</v>
      </c>
      <c r="D16" s="28"/>
      <c r="E16" s="28">
        <v>0.13438638161312519</v>
      </c>
      <c r="F16" s="28">
        <v>0.11423954194575468</v>
      </c>
      <c r="G16" s="28">
        <v>0.107061032429485</v>
      </c>
      <c r="H16" s="28">
        <v>7.0776764159812489E-2</v>
      </c>
      <c r="I16" s="28">
        <v>6.8510688266419081E-2</v>
      </c>
      <c r="J16" s="89">
        <v>6.9057195141574934E-2</v>
      </c>
      <c r="K16" s="89">
        <v>6.2561909200289242E-2</v>
      </c>
      <c r="L16" s="89">
        <v>4.5557557555658268E-2</v>
      </c>
      <c r="M16" s="89">
        <v>4.4710140109693979E-2</v>
      </c>
      <c r="N16" s="89">
        <v>4.1679076854749669E-2</v>
      </c>
      <c r="O16" s="26"/>
    </row>
    <row r="17" spans="1:15">
      <c r="A17" s="35"/>
      <c r="B17" s="34" t="s">
        <v>62</v>
      </c>
      <c r="C17" s="4">
        <v>0.59078116282947313</v>
      </c>
      <c r="D17" s="4"/>
      <c r="E17" s="4">
        <v>0.25962851470212994</v>
      </c>
      <c r="F17" s="4">
        <v>0.11491574725315665</v>
      </c>
      <c r="G17" s="4">
        <v>0.10201590746978585</v>
      </c>
      <c r="H17" s="4">
        <v>0.1177244727988507</v>
      </c>
      <c r="I17" s="4">
        <v>8.146923829940661E-2</v>
      </c>
      <c r="J17" s="26">
        <v>0.10595350981620144</v>
      </c>
      <c r="K17" s="26">
        <v>7.8355150561471673E-2</v>
      </c>
      <c r="L17" s="26">
        <v>7.111916087133241E-2</v>
      </c>
      <c r="M17" s="26">
        <v>2.7167140859287418E-2</v>
      </c>
      <c r="N17" s="26">
        <v>0.28846556869644513</v>
      </c>
      <c r="O17" s="26"/>
    </row>
    <row r="18" spans="1:15">
      <c r="A18" s="35"/>
      <c r="B18" s="34" t="s">
        <v>63</v>
      </c>
      <c r="C18" s="4">
        <v>0.5254252050103777</v>
      </c>
      <c r="D18" s="4"/>
      <c r="E18" s="4">
        <v>0.21244653914489153</v>
      </c>
      <c r="F18" s="4">
        <v>0.14829731512238986</v>
      </c>
      <c r="G18" s="4">
        <v>0.12812913762558795</v>
      </c>
      <c r="H18" s="4">
        <v>0.10774448396639522</v>
      </c>
      <c r="I18" s="4">
        <v>9.7067987997434574E-2</v>
      </c>
      <c r="J18" s="26">
        <v>0.10068911841681491</v>
      </c>
      <c r="K18" s="26">
        <v>0.1093590505992697</v>
      </c>
      <c r="L18" s="26">
        <v>5.930718733293066E-2</v>
      </c>
      <c r="M18" s="26">
        <v>6.8522316765828373E-2</v>
      </c>
      <c r="N18" s="26">
        <v>0.11484092798865131</v>
      </c>
      <c r="O18" s="26"/>
    </row>
    <row r="19" spans="1:15">
      <c r="A19" s="35"/>
      <c r="B19" s="34" t="s">
        <v>64</v>
      </c>
      <c r="C19" s="4">
        <v>0.51468057352490471</v>
      </c>
      <c r="D19" s="4"/>
      <c r="E19" s="4">
        <v>0.16617693097054848</v>
      </c>
      <c r="F19" s="4">
        <v>0.16304503294529868</v>
      </c>
      <c r="G19" s="4">
        <v>0.15616755159831996</v>
      </c>
      <c r="H19" s="4">
        <v>9.7077182627822389E-2</v>
      </c>
      <c r="I19" s="4">
        <v>9.8305127240119305E-2</v>
      </c>
      <c r="J19" s="26">
        <v>0.10774531152643722</v>
      </c>
      <c r="K19" s="26">
        <v>8.8010400397605049E-2</v>
      </c>
      <c r="L19" s="26">
        <v>5.3424935947503985E-2</v>
      </c>
      <c r="M19" s="26">
        <v>8.8760067177003216E-2</v>
      </c>
      <c r="N19" s="26">
        <v>4.8054889124142623E-2</v>
      </c>
      <c r="O19" s="26"/>
    </row>
    <row r="20" spans="1:15">
      <c r="A20" s="35"/>
      <c r="B20" s="34" t="s">
        <v>65</v>
      </c>
      <c r="C20" s="4">
        <v>0.43783341435067691</v>
      </c>
      <c r="D20" s="4"/>
      <c r="E20" s="4">
        <v>0.12840677784697632</v>
      </c>
      <c r="F20" s="4">
        <v>0.12172367612204173</v>
      </c>
      <c r="G20" s="4">
        <v>0.12815161505774567</v>
      </c>
      <c r="H20" s="4">
        <v>6.3543233252873768E-2</v>
      </c>
      <c r="I20" s="4">
        <v>7.0736897270038679E-2</v>
      </c>
      <c r="J20" s="26">
        <v>7.8094724711911909E-2</v>
      </c>
      <c r="K20" s="26">
        <v>5.6768100652967647E-2</v>
      </c>
      <c r="L20" s="26">
        <v>4.0548988430018765E-2</v>
      </c>
      <c r="M20" s="26">
        <v>5.1254625516602106E-2</v>
      </c>
      <c r="N20" s="26">
        <v>2.3084987085296896E-2</v>
      </c>
      <c r="O20" s="26"/>
    </row>
    <row r="21" spans="1:15">
      <c r="A21" s="35"/>
      <c r="B21" s="34" t="s">
        <v>66</v>
      </c>
      <c r="C21" s="4">
        <v>0.37597064191853091</v>
      </c>
      <c r="D21" s="4"/>
      <c r="E21" s="4">
        <v>0.10710991101909222</v>
      </c>
      <c r="F21" s="4">
        <v>9.3709213778953776E-2</v>
      </c>
      <c r="G21" s="4">
        <v>9.8697010067900048E-2</v>
      </c>
      <c r="H21" s="4">
        <v>4.6106340686893892E-2</v>
      </c>
      <c r="I21" s="4">
        <v>5.5571745120653736E-2</v>
      </c>
      <c r="J21" s="26">
        <v>6.4302016823213945E-2</v>
      </c>
      <c r="K21" s="26">
        <v>4.0129819012063431E-2</v>
      </c>
      <c r="L21" s="26">
        <v>3.7262158738755054E-2</v>
      </c>
      <c r="M21" s="26">
        <v>4.6719476716808359E-2</v>
      </c>
      <c r="N21" s="26">
        <v>1.2526506226955895E-2</v>
      </c>
      <c r="O21" s="26"/>
    </row>
    <row r="22" spans="1:15">
      <c r="A22" s="35"/>
      <c r="B22" s="34" t="s">
        <v>67</v>
      </c>
      <c r="C22" s="4">
        <v>0.3381946717994338</v>
      </c>
      <c r="D22" s="4"/>
      <c r="E22" s="4">
        <v>9.7627534051685907E-2</v>
      </c>
      <c r="F22" s="4">
        <v>8.3181083590365426E-2</v>
      </c>
      <c r="G22" s="4">
        <v>9.2149404564735068E-2</v>
      </c>
      <c r="H22" s="4">
        <v>4.4533291492169363E-2</v>
      </c>
      <c r="I22" s="4">
        <v>5.5949029066731042E-2</v>
      </c>
      <c r="J22" s="26">
        <v>5.3182883536360852E-2</v>
      </c>
      <c r="K22" s="26">
        <v>3.733290634993653E-2</v>
      </c>
      <c r="L22" s="26">
        <v>4.1334369668226435E-2</v>
      </c>
      <c r="M22" s="26">
        <v>2.3297342324088824E-2</v>
      </c>
      <c r="N22" s="26">
        <v>7.7665132236056887E-3</v>
      </c>
      <c r="O22" s="26"/>
    </row>
    <row r="23" spans="1:15">
      <c r="A23" s="35"/>
      <c r="B23" s="34" t="s">
        <v>68</v>
      </c>
      <c r="C23" s="4">
        <v>0.30817580575141723</v>
      </c>
      <c r="D23" s="4"/>
      <c r="E23" s="4">
        <v>8.8174657049235799E-2</v>
      </c>
      <c r="F23" s="4">
        <v>8.3330871238186402E-2</v>
      </c>
      <c r="G23" s="4">
        <v>5.3534408618475512E-2</v>
      </c>
      <c r="H23" s="4">
        <v>5.9612312893396462E-2</v>
      </c>
      <c r="I23" s="4">
        <v>4.0927925235388872E-2</v>
      </c>
      <c r="J23" s="26">
        <v>1.7950565439408896E-2</v>
      </c>
      <c r="K23" s="26">
        <v>5.0204634688787185E-2</v>
      </c>
      <c r="L23" s="26">
        <v>3.8957375919846729E-2</v>
      </c>
      <c r="M23" s="26">
        <v>5.5234668638645505E-3</v>
      </c>
      <c r="N23" s="26">
        <v>3.7296871585828328E-3</v>
      </c>
      <c r="O23" s="26"/>
    </row>
    <row r="24" spans="1:15">
      <c r="A24" s="35"/>
      <c r="B24" s="35"/>
      <c r="C24" s="4"/>
      <c r="D24" s="4"/>
      <c r="E24" s="4"/>
      <c r="F24" s="4"/>
      <c r="G24" s="4"/>
      <c r="J24" s="26"/>
      <c r="K24" s="26"/>
      <c r="L24" s="26"/>
      <c r="M24" s="26"/>
      <c r="N24" s="26"/>
    </row>
    <row r="25" spans="1:15">
      <c r="A25" s="35" t="s">
        <v>58</v>
      </c>
      <c r="B25" s="35" t="s">
        <v>57</v>
      </c>
      <c r="C25" s="28">
        <v>0.41088493794097253</v>
      </c>
      <c r="D25" s="28"/>
      <c r="E25" s="28">
        <v>0.17394247437699745</v>
      </c>
      <c r="F25" s="28">
        <v>9.0266546428985545E-2</v>
      </c>
      <c r="G25" s="28">
        <v>7.5684262650589612E-2</v>
      </c>
      <c r="H25" s="28">
        <v>7.3500087331466665E-2</v>
      </c>
      <c r="I25" s="28">
        <v>6.7460297484347578E-2</v>
      </c>
      <c r="J25" s="89">
        <v>7.4724729225393541E-2</v>
      </c>
      <c r="K25" s="89">
        <v>7.5801913970203513E-2</v>
      </c>
      <c r="L25" s="89">
        <v>4.5829821985707862E-2</v>
      </c>
      <c r="M25" s="89">
        <v>5.2865765182412379E-2</v>
      </c>
      <c r="N25" s="89">
        <v>4.8118321510994627E-2</v>
      </c>
      <c r="O25" s="26"/>
    </row>
    <row r="26" spans="1:15">
      <c r="A26" s="35"/>
      <c r="B26" s="34" t="s">
        <v>62</v>
      </c>
      <c r="C26" s="4">
        <v>0.5921875661662912</v>
      </c>
      <c r="D26" s="4"/>
      <c r="E26" s="4">
        <v>0.26678747345916237</v>
      </c>
      <c r="F26" s="4">
        <v>0.12468294853482555</v>
      </c>
      <c r="G26" s="4">
        <v>8.4340351619931711E-2</v>
      </c>
      <c r="H26" s="4">
        <v>0.12089537922318162</v>
      </c>
      <c r="I26" s="4">
        <v>8.326043961381413E-2</v>
      </c>
      <c r="J26" s="26">
        <v>9.6993875277902139E-2</v>
      </c>
      <c r="K26" s="26">
        <v>8.6046406971495168E-2</v>
      </c>
      <c r="L26" s="26">
        <v>7.5597447303404453E-2</v>
      </c>
      <c r="M26" s="26">
        <v>2.7617422806632153E-2</v>
      </c>
      <c r="N26" s="26">
        <v>0.29842130119859023</v>
      </c>
      <c r="O26" s="26"/>
    </row>
    <row r="27" spans="1:15">
      <c r="A27" s="35"/>
      <c r="B27" s="34" t="s">
        <v>63</v>
      </c>
      <c r="C27" s="4">
        <v>0.52597426215303722</v>
      </c>
      <c r="D27" s="4"/>
      <c r="E27" s="4">
        <v>0.24519914168901039</v>
      </c>
      <c r="F27" s="4">
        <v>0.13076529378887047</v>
      </c>
      <c r="G27" s="4">
        <v>8.6975373722248311E-2</v>
      </c>
      <c r="H27" s="4">
        <v>0.12027877487542411</v>
      </c>
      <c r="I27" s="4">
        <v>0.10661878662353701</v>
      </c>
      <c r="J27" s="26">
        <v>0.10523281432876806</v>
      </c>
      <c r="K27" s="26">
        <v>0.12776827227554433</v>
      </c>
      <c r="L27" s="26">
        <v>6.6047939656304011E-2</v>
      </c>
      <c r="M27" s="26">
        <v>7.9940848098696823E-2</v>
      </c>
      <c r="N27" s="26">
        <v>0.1345513833828921</v>
      </c>
      <c r="O27" s="26"/>
    </row>
    <row r="28" spans="1:15">
      <c r="A28" s="35"/>
      <c r="B28" s="34" t="s">
        <v>64</v>
      </c>
      <c r="C28" s="4">
        <v>0.50471833665357946</v>
      </c>
      <c r="D28" s="4"/>
      <c r="E28" s="4">
        <v>0.20839570949196209</v>
      </c>
      <c r="F28" s="4">
        <v>0.13730157905323384</v>
      </c>
      <c r="G28" s="4">
        <v>0.11146438692960735</v>
      </c>
      <c r="H28" s="4">
        <v>0.11305682498031412</v>
      </c>
      <c r="I28" s="4">
        <v>9.9316060349587301E-2</v>
      </c>
      <c r="J28" s="26">
        <v>0.11591021358703822</v>
      </c>
      <c r="K28" s="26">
        <v>0.11504185910096756</v>
      </c>
      <c r="L28" s="26">
        <v>5.6303118633659222E-2</v>
      </c>
      <c r="M28" s="26">
        <v>0.10812842081449896</v>
      </c>
      <c r="N28" s="26">
        <v>6.1432647796144976E-2</v>
      </c>
      <c r="O28" s="26"/>
    </row>
    <row r="29" spans="1:15">
      <c r="A29" s="35"/>
      <c r="B29" s="34" t="s">
        <v>65</v>
      </c>
      <c r="C29" s="4">
        <v>0.42584610114904015</v>
      </c>
      <c r="D29" s="4"/>
      <c r="E29" s="4">
        <v>0.16289172697379731</v>
      </c>
      <c r="F29" s="4">
        <v>9.5887135028911538E-2</v>
      </c>
      <c r="G29" s="4">
        <v>8.8971498507131333E-2</v>
      </c>
      <c r="H29" s="4">
        <v>6.9467724834142916E-2</v>
      </c>
      <c r="I29" s="4">
        <v>6.5523405537433271E-2</v>
      </c>
      <c r="J29" s="26">
        <v>8.408292208867027E-2</v>
      </c>
      <c r="K29" s="26">
        <v>7.05824716649356E-2</v>
      </c>
      <c r="L29" s="26">
        <v>3.8298587130679969E-2</v>
      </c>
      <c r="M29" s="26">
        <v>6.0393063236575603E-2</v>
      </c>
      <c r="N29" s="26">
        <v>2.7872073272353141E-2</v>
      </c>
      <c r="O29" s="26"/>
    </row>
    <row r="30" spans="1:15">
      <c r="A30" s="35"/>
      <c r="B30" s="34" t="s">
        <v>66</v>
      </c>
      <c r="C30" s="4">
        <v>0.36813713768754081</v>
      </c>
      <c r="D30" s="4"/>
      <c r="E30" s="4">
        <v>0.14872927966590968</v>
      </c>
      <c r="F30" s="4">
        <v>7.397233272824473E-2</v>
      </c>
      <c r="G30" s="4">
        <v>7.0539639124534426E-2</v>
      </c>
      <c r="H30" s="4">
        <v>4.6341143951513723E-2</v>
      </c>
      <c r="I30" s="4">
        <v>5.1928590522433912E-2</v>
      </c>
      <c r="J30" s="26">
        <v>6.5234343577213E-2</v>
      </c>
      <c r="K30" s="26">
        <v>4.6039438086896013E-2</v>
      </c>
      <c r="L30" s="26">
        <v>3.4696048438432901E-2</v>
      </c>
      <c r="M30" s="26">
        <v>5.1242068247588195E-2</v>
      </c>
      <c r="N30" s="26">
        <v>1.1942703988769525E-2</v>
      </c>
      <c r="O30" s="26"/>
    </row>
    <row r="31" spans="1:15">
      <c r="A31" s="35"/>
      <c r="B31" s="34" t="s">
        <v>67</v>
      </c>
      <c r="C31" s="4">
        <v>0.3271153353880894</v>
      </c>
      <c r="D31" s="4"/>
      <c r="E31" s="4">
        <v>0.13399104888066599</v>
      </c>
      <c r="F31" s="4">
        <v>5.5876625930390701E-2</v>
      </c>
      <c r="G31" s="4">
        <v>5.5023250609441333E-2</v>
      </c>
      <c r="H31" s="4">
        <v>4.4453597649651663E-2</v>
      </c>
      <c r="I31" s="4">
        <v>4.8208056657648532E-2</v>
      </c>
      <c r="J31" s="26">
        <v>6.0565426687812063E-2</v>
      </c>
      <c r="K31" s="26">
        <v>4.733063065250611E-2</v>
      </c>
      <c r="L31" s="26">
        <v>4.2245834155544677E-2</v>
      </c>
      <c r="M31" s="26">
        <v>2.5229335941719066E-2</v>
      </c>
      <c r="N31" s="26">
        <v>6.3669104349610862E-3</v>
      </c>
      <c r="O31" s="26"/>
    </row>
    <row r="32" spans="1:15">
      <c r="A32" s="35"/>
      <c r="B32" s="34" t="s">
        <v>68</v>
      </c>
      <c r="C32" s="4">
        <v>0.29408784732672105</v>
      </c>
      <c r="D32" s="4"/>
      <c r="E32" s="4">
        <v>0.13622604354275389</v>
      </c>
      <c r="F32" s="4">
        <v>4.7044070269383918E-2</v>
      </c>
      <c r="G32" s="4">
        <v>4.0967286600785406E-2</v>
      </c>
      <c r="H32" s="4">
        <v>4.339191060941644E-2</v>
      </c>
      <c r="I32" s="4">
        <v>3.8756887486288215E-2</v>
      </c>
      <c r="J32" s="26">
        <v>2.3112981088514277E-2</v>
      </c>
      <c r="K32" s="26">
        <v>5.4113342443735044E-2</v>
      </c>
      <c r="L32" s="26">
        <v>3.5152826114710212E-2</v>
      </c>
      <c r="M32" s="26">
        <v>6.1542941892474608E-3</v>
      </c>
      <c r="N32" s="26">
        <v>2.4507432866889374E-3</v>
      </c>
      <c r="O32" s="26"/>
    </row>
    <row r="33" spans="1:17">
      <c r="A33" s="35"/>
      <c r="B33" s="34"/>
      <c r="C33" s="4"/>
      <c r="D33" s="4"/>
      <c r="E33" s="4"/>
      <c r="F33" s="4"/>
      <c r="G33" s="4"/>
      <c r="J33" s="26"/>
      <c r="K33" s="26"/>
      <c r="L33" s="26"/>
      <c r="M33" s="26"/>
      <c r="N33" s="26"/>
    </row>
    <row r="34" spans="1:17">
      <c r="A34" s="35" t="s">
        <v>59</v>
      </c>
      <c r="B34" s="35" t="s">
        <v>57</v>
      </c>
      <c r="C34" s="28">
        <v>0.42605690656662865</v>
      </c>
      <c r="D34" s="28"/>
      <c r="E34" s="28">
        <v>9.6504070193359048E-2</v>
      </c>
      <c r="F34" s="28">
        <v>0.13780683699043547</v>
      </c>
      <c r="G34" s="28">
        <v>0.13769125801499191</v>
      </c>
      <c r="H34" s="28">
        <v>6.8465043657805869E-2</v>
      </c>
      <c r="I34" s="28">
        <v>6.9605368418077046E-2</v>
      </c>
      <c r="J34" s="89">
        <v>6.3903401154755221E-2</v>
      </c>
      <c r="K34" s="89">
        <v>5.0087158817186506E-2</v>
      </c>
      <c r="L34" s="89">
        <v>4.5196606316299154E-2</v>
      </c>
      <c r="M34" s="89">
        <v>3.7032380289084857E-2</v>
      </c>
      <c r="N34" s="89">
        <v>3.5617441476083297E-2</v>
      </c>
      <c r="O34" s="26"/>
    </row>
    <row r="35" spans="1:17">
      <c r="A35" s="35"/>
      <c r="B35" s="34" t="s">
        <v>62</v>
      </c>
      <c r="C35" s="4">
        <v>0.60600305252148134</v>
      </c>
      <c r="D35" s="4"/>
      <c r="E35" s="4">
        <v>0.25721824386981251</v>
      </c>
      <c r="F35" s="4">
        <v>0.10879539642099807</v>
      </c>
      <c r="G35" s="4">
        <v>0.12399408421972397</v>
      </c>
      <c r="H35" s="4">
        <v>0.11856588230886055</v>
      </c>
      <c r="I35" s="4">
        <v>7.8377659908904815E-2</v>
      </c>
      <c r="J35" s="26">
        <v>0.11900188262559952</v>
      </c>
      <c r="K35" s="26">
        <v>7.3108792048646731E-2</v>
      </c>
      <c r="L35" s="26">
        <v>6.8961169877264417E-2</v>
      </c>
      <c r="M35" s="26">
        <v>2.7654155659895367E-2</v>
      </c>
      <c r="N35" s="26">
        <v>0.28825302063753933</v>
      </c>
      <c r="O35" s="26"/>
    </row>
    <row r="36" spans="1:17">
      <c r="A36" s="34"/>
      <c r="B36" s="34" t="s">
        <v>63</v>
      </c>
      <c r="C36" s="4">
        <v>0.52812982164004885</v>
      </c>
      <c r="D36" s="4"/>
      <c r="E36" s="4">
        <v>0.17997571278787089</v>
      </c>
      <c r="F36" s="4">
        <v>0.16742539360575262</v>
      </c>
      <c r="G36" s="4">
        <v>0.17274867779783767</v>
      </c>
      <c r="H36" s="4">
        <v>9.49606585915862E-2</v>
      </c>
      <c r="I36" s="4">
        <v>8.8445594997832777E-2</v>
      </c>
      <c r="J36" s="26">
        <v>9.749766939180092E-2</v>
      </c>
      <c r="K36" s="26">
        <v>9.172124240497409E-2</v>
      </c>
      <c r="L36" s="26">
        <v>5.1313161935029605E-2</v>
      </c>
      <c r="M36" s="26">
        <v>5.7826653482151012E-2</v>
      </c>
      <c r="N36" s="26">
        <v>9.630308740481143E-2</v>
      </c>
      <c r="O36" s="26"/>
    </row>
    <row r="37" spans="1:17">
      <c r="A37" s="34"/>
      <c r="B37" s="34" t="s">
        <v>64</v>
      </c>
      <c r="C37" s="4">
        <v>0.52768361581294121</v>
      </c>
      <c r="D37" s="4"/>
      <c r="E37" s="4">
        <v>0.12489668284936112</v>
      </c>
      <c r="F37" s="4">
        <v>0.18991691085672721</v>
      </c>
      <c r="G37" s="4">
        <v>0.2019407530643211</v>
      </c>
      <c r="H37" s="4">
        <v>8.1776865244414271E-2</v>
      </c>
      <c r="I37" s="4">
        <v>9.748699265842771E-2</v>
      </c>
      <c r="J37" s="26">
        <v>0.10038424683936849</v>
      </c>
      <c r="K37" s="26">
        <v>6.140573001782125E-2</v>
      </c>
      <c r="L37" s="26">
        <v>5.1106874859903076E-2</v>
      </c>
      <c r="M37" s="26">
        <v>7.0394618794953373E-2</v>
      </c>
      <c r="N37" s="26">
        <v>3.458761998187096E-2</v>
      </c>
      <c r="O37" s="26"/>
    </row>
    <row r="38" spans="1:17">
      <c r="A38" s="34"/>
      <c r="B38" s="34" t="s">
        <v>65</v>
      </c>
      <c r="C38" s="4">
        <v>0.45114023561900324</v>
      </c>
      <c r="D38" s="4"/>
      <c r="E38" s="4">
        <v>9.5164421082715209E-2</v>
      </c>
      <c r="F38" s="4">
        <v>0.14766239289503652</v>
      </c>
      <c r="G38" s="4">
        <v>0.16694904549559328</v>
      </c>
      <c r="H38" s="4">
        <v>5.8284170063860587E-2</v>
      </c>
      <c r="I38" s="4">
        <v>7.6044035905221782E-2</v>
      </c>
      <c r="J38" s="26">
        <v>7.2376262449779225E-2</v>
      </c>
      <c r="K38" s="26">
        <v>4.3695233783076916E-2</v>
      </c>
      <c r="L38" s="26">
        <v>4.2325386288782338E-2</v>
      </c>
      <c r="M38" s="26">
        <v>4.2449465673469411E-2</v>
      </c>
      <c r="N38" s="26">
        <v>1.8331351938729097E-2</v>
      </c>
      <c r="O38" s="26"/>
    </row>
    <row r="39" spans="1:17">
      <c r="A39" s="34"/>
      <c r="B39" s="34" t="s">
        <v>66</v>
      </c>
      <c r="C39" s="4">
        <v>0.3830693198944079</v>
      </c>
      <c r="D39" s="4"/>
      <c r="E39" s="4">
        <v>6.6935006061162747E-2</v>
      </c>
      <c r="F39" s="4">
        <v>0.1129130356860818</v>
      </c>
      <c r="G39" s="4">
        <v>0.12578002140252278</v>
      </c>
      <c r="H39" s="4">
        <v>4.5619082589982582E-2</v>
      </c>
      <c r="I39" s="4">
        <v>5.9462505041269695E-2</v>
      </c>
      <c r="J39" s="26">
        <v>6.333990103581072E-2</v>
      </c>
      <c r="K39" s="26">
        <v>3.4015452838796673E-2</v>
      </c>
      <c r="L39" s="26">
        <v>3.9121802452761367E-2</v>
      </c>
      <c r="M39" s="26">
        <v>4.1992557114620292E-2</v>
      </c>
      <c r="N39" s="26">
        <v>1.317331608706746E-2</v>
      </c>
      <c r="O39" s="26"/>
    </row>
    <row r="40" spans="1:17">
      <c r="A40" s="34"/>
      <c r="B40" s="34" t="s">
        <v>67</v>
      </c>
      <c r="C40" s="4">
        <v>0.34862539250952557</v>
      </c>
      <c r="D40" s="4"/>
      <c r="E40" s="4">
        <v>6.2724879420876248E-2</v>
      </c>
      <c r="F40" s="4">
        <v>0.10937545093902924</v>
      </c>
      <c r="G40" s="4">
        <v>0.12756400103831311</v>
      </c>
      <c r="H40" s="4">
        <v>4.4808088321926738E-2</v>
      </c>
      <c r="I40" s="4">
        <v>6.2998090006867555E-2</v>
      </c>
      <c r="J40" s="26">
        <v>4.6349768453051658E-2</v>
      </c>
      <c r="K40" s="26">
        <v>2.792463545371492E-2</v>
      </c>
      <c r="L40" s="26">
        <v>4.0331534885222203E-2</v>
      </c>
      <c r="M40" s="26">
        <v>2.1242275840309827E-2</v>
      </c>
      <c r="N40" s="26">
        <v>8.915686103270877E-3</v>
      </c>
      <c r="O40" s="26"/>
    </row>
    <row r="41" spans="1:17">
      <c r="A41" s="118"/>
      <c r="B41" s="118" t="s">
        <v>68</v>
      </c>
      <c r="C41" s="123">
        <v>0.32137916030771607</v>
      </c>
      <c r="D41" s="123"/>
      <c r="E41" s="123">
        <v>4.6393374748464021E-2</v>
      </c>
      <c r="F41" s="123">
        <v>0.11518026414969913</v>
      </c>
      <c r="G41" s="123">
        <v>6.472888277563392E-2</v>
      </c>
      <c r="H41" s="123">
        <v>7.4022995967890803E-2</v>
      </c>
      <c r="I41" s="123">
        <v>4.2988890212859995E-2</v>
      </c>
      <c r="J41" s="125">
        <v>1.3512213804942511E-2</v>
      </c>
      <c r="K41" s="125">
        <v>4.6990997910680114E-2</v>
      </c>
      <c r="L41" s="125">
        <v>4.2437619458573134E-2</v>
      </c>
      <c r="M41" s="125">
        <v>4.9944731506294804E-3</v>
      </c>
      <c r="N41" s="125">
        <v>4.8620456413508741E-3</v>
      </c>
      <c r="O41" s="121"/>
    </row>
    <row r="42" spans="1:17">
      <c r="A42" s="67"/>
      <c r="B42" s="67"/>
      <c r="C42" s="187" t="s">
        <v>147</v>
      </c>
      <c r="D42" s="187"/>
      <c r="E42" s="187"/>
      <c r="F42" s="187"/>
      <c r="G42" s="187"/>
      <c r="H42" s="187"/>
      <c r="I42" s="187"/>
      <c r="J42" s="187"/>
      <c r="K42" s="187"/>
      <c r="L42" s="187"/>
      <c r="M42" s="187"/>
      <c r="N42" s="187"/>
    </row>
    <row r="43" spans="1:17">
      <c r="A43" s="35" t="s">
        <v>145</v>
      </c>
      <c r="B43" s="35" t="s">
        <v>57</v>
      </c>
      <c r="C43" s="80">
        <v>9374588.1724197268</v>
      </c>
      <c r="D43" s="80"/>
      <c r="E43" s="80">
        <v>3014189.1948750066</v>
      </c>
      <c r="F43" s="80">
        <v>2562310.1747888196</v>
      </c>
      <c r="G43" s="80">
        <v>2401301.4061954534</v>
      </c>
      <c r="H43" s="80">
        <v>1587471.5519380241</v>
      </c>
      <c r="I43" s="80">
        <v>1536645.1111138596</v>
      </c>
      <c r="J43" s="84">
        <v>1548902.8644534939</v>
      </c>
      <c r="K43" s="84">
        <v>1403218.3057442005</v>
      </c>
      <c r="L43" s="84">
        <v>1021823.0157016873</v>
      </c>
      <c r="M43" s="84">
        <v>1002816.0562277173</v>
      </c>
      <c r="N43" s="84">
        <v>934831.5030135581</v>
      </c>
      <c r="O43" s="84"/>
      <c r="P43" s="44"/>
      <c r="Q43" s="44"/>
    </row>
    <row r="44" spans="1:17">
      <c r="A44" s="35"/>
      <c r="B44" s="34" t="s">
        <v>62</v>
      </c>
      <c r="C44" s="81">
        <v>590423.35788846062</v>
      </c>
      <c r="D44" s="45"/>
      <c r="E44" s="81">
        <v>259471.27142622176</v>
      </c>
      <c r="F44" s="81">
        <v>114846.14885572232</v>
      </c>
      <c r="G44" s="81">
        <v>101954.12182384593</v>
      </c>
      <c r="H44" s="81">
        <v>117653.17330473044</v>
      </c>
      <c r="I44" s="81">
        <v>81419.896685560219</v>
      </c>
      <c r="J44" s="86">
        <v>105889.33937253278</v>
      </c>
      <c r="K44" s="86">
        <v>78307.694986059621</v>
      </c>
      <c r="L44" s="86">
        <v>71076.087752618623</v>
      </c>
      <c r="M44" s="86">
        <v>27150.687157232871</v>
      </c>
      <c r="N44" s="86">
        <v>288290.86034031335</v>
      </c>
      <c r="O44" s="86"/>
      <c r="P44" s="44"/>
      <c r="Q44" s="44"/>
    </row>
    <row r="45" spans="1:17">
      <c r="A45" s="35"/>
      <c r="B45" s="34" t="s">
        <v>63</v>
      </c>
      <c r="C45" s="81">
        <v>1285926.6906423762</v>
      </c>
      <c r="D45" s="45"/>
      <c r="E45" s="81">
        <v>519942.08198599942</v>
      </c>
      <c r="F45" s="81">
        <v>362943.14366345992</v>
      </c>
      <c r="G45" s="81">
        <v>313583.50598822068</v>
      </c>
      <c r="H45" s="81">
        <v>263694.06412305747</v>
      </c>
      <c r="I45" s="81">
        <v>237564.38667686214</v>
      </c>
      <c r="J45" s="86">
        <v>246426.74845961336</v>
      </c>
      <c r="K45" s="86">
        <v>267645.55770812993</v>
      </c>
      <c r="L45" s="86">
        <v>145148.52810846153</v>
      </c>
      <c r="M45" s="86">
        <v>167701.65419089462</v>
      </c>
      <c r="N45" s="86">
        <v>281061.91532214184</v>
      </c>
      <c r="O45" s="86"/>
      <c r="P45" s="44"/>
      <c r="Q45" s="44"/>
    </row>
    <row r="46" spans="1:17">
      <c r="A46" s="35"/>
      <c r="B46" s="34" t="s">
        <v>64</v>
      </c>
      <c r="C46" s="81">
        <v>2074575.8776165596</v>
      </c>
      <c r="D46" s="45"/>
      <c r="E46" s="81">
        <v>669826.43243512709</v>
      </c>
      <c r="F46" s="81">
        <v>657202.36922279419</v>
      </c>
      <c r="G46" s="81">
        <v>629480.59840971825</v>
      </c>
      <c r="H46" s="81">
        <v>391298.97592086304</v>
      </c>
      <c r="I46" s="81">
        <v>396248.57845641929</v>
      </c>
      <c r="J46" s="86">
        <v>434300.099357086</v>
      </c>
      <c r="K46" s="86">
        <v>354752.56505948404</v>
      </c>
      <c r="L46" s="86">
        <v>215345.37940849338</v>
      </c>
      <c r="M46" s="86">
        <v>357774.3239849055</v>
      </c>
      <c r="N46" s="86">
        <v>193699.77983764064</v>
      </c>
      <c r="O46" s="86"/>
      <c r="P46" s="44"/>
      <c r="Q46" s="44"/>
    </row>
    <row r="47" spans="1:17">
      <c r="A47" s="35"/>
      <c r="B47" s="34" t="s">
        <v>65</v>
      </c>
      <c r="C47" s="81">
        <v>1678857.8852808047</v>
      </c>
      <c r="D47" s="45"/>
      <c r="E47" s="81">
        <v>492371.58345167647</v>
      </c>
      <c r="F47" s="81">
        <v>466745.44880482717</v>
      </c>
      <c r="G47" s="81">
        <v>491393.17009470263</v>
      </c>
      <c r="H47" s="81">
        <v>243654.44643149272</v>
      </c>
      <c r="I47" s="81">
        <v>271238.31546348275</v>
      </c>
      <c r="J47" s="86">
        <v>299451.66377003887</v>
      </c>
      <c r="K47" s="86">
        <v>217675.42240920741</v>
      </c>
      <c r="L47" s="86">
        <v>155483.76787746162</v>
      </c>
      <c r="M47" s="86">
        <v>196534.18260293442</v>
      </c>
      <c r="N47" s="86">
        <v>88518.62678693315</v>
      </c>
      <c r="O47" s="86"/>
      <c r="P47" s="44"/>
      <c r="Q47" s="44"/>
    </row>
    <row r="48" spans="1:17">
      <c r="A48" s="35"/>
      <c r="B48" s="34" t="s">
        <v>66</v>
      </c>
      <c r="C48" s="81">
        <v>1254454.2083156134</v>
      </c>
      <c r="D48" s="45"/>
      <c r="E48" s="81">
        <v>357380.24103309261</v>
      </c>
      <c r="F48" s="81">
        <v>312667.81093090988</v>
      </c>
      <c r="G48" s="81">
        <v>329309.96685287537</v>
      </c>
      <c r="H48" s="81">
        <v>153837.2592327047</v>
      </c>
      <c r="I48" s="81">
        <v>185419.29011880848</v>
      </c>
      <c r="J48" s="86">
        <v>214548.49558317687</v>
      </c>
      <c r="K48" s="86">
        <v>133896.14700164617</v>
      </c>
      <c r="L48" s="86">
        <v>124327.98370167577</v>
      </c>
      <c r="M48" s="86">
        <v>155883.03352261003</v>
      </c>
      <c r="N48" s="86">
        <v>41795.626306645536</v>
      </c>
      <c r="O48" s="86"/>
      <c r="P48" s="44"/>
      <c r="Q48" s="44"/>
    </row>
    <row r="49" spans="1:21">
      <c r="A49" s="35"/>
      <c r="B49" s="34" t="s">
        <v>67</v>
      </c>
      <c r="C49" s="81">
        <v>1042639.721875425</v>
      </c>
      <c r="D49" s="45"/>
      <c r="E49" s="81">
        <v>300981.51579218282</v>
      </c>
      <c r="F49" s="81">
        <v>256443.72632632434</v>
      </c>
      <c r="G49" s="81">
        <v>284092.67666801321</v>
      </c>
      <c r="H49" s="81">
        <v>137294.23473332921</v>
      </c>
      <c r="I49" s="81">
        <v>172488.46587367845</v>
      </c>
      <c r="J49" s="86">
        <v>163960.55740277702</v>
      </c>
      <c r="K49" s="86">
        <v>115095.75501704957</v>
      </c>
      <c r="L49" s="86">
        <v>127432.09544216056</v>
      </c>
      <c r="M49" s="86">
        <v>71824.710874304219</v>
      </c>
      <c r="N49" s="86">
        <v>23943.828400124436</v>
      </c>
      <c r="O49" s="86"/>
      <c r="P49" s="44"/>
      <c r="Q49" s="44"/>
      <c r="U49"/>
    </row>
    <row r="50" spans="1:21">
      <c r="A50" s="35"/>
      <c r="B50" s="34" t="s">
        <v>68</v>
      </c>
      <c r="C50" s="81">
        <v>1447710.4308005476</v>
      </c>
      <c r="D50" s="45"/>
      <c r="E50" s="81">
        <v>414216.06875072687</v>
      </c>
      <c r="F50" s="81">
        <v>391461.52698479639</v>
      </c>
      <c r="G50" s="81">
        <v>251487.36635808833</v>
      </c>
      <c r="H50" s="81">
        <v>280039.3981918522</v>
      </c>
      <c r="I50" s="81">
        <v>192266.17783905944</v>
      </c>
      <c r="J50" s="86">
        <v>84325.960508275763</v>
      </c>
      <c r="K50" s="86">
        <v>235845.16356262975</v>
      </c>
      <c r="L50" s="86">
        <v>183009.17341081964</v>
      </c>
      <c r="M50" s="86">
        <v>25947.463894839268</v>
      </c>
      <c r="N50" s="86">
        <v>17520.866019763434</v>
      </c>
      <c r="O50" s="86"/>
      <c r="P50" s="44"/>
      <c r="Q50" s="44"/>
    </row>
    <row r="51" spans="1:21">
      <c r="A51" s="35"/>
      <c r="B51" s="35"/>
      <c r="C51" s="45"/>
      <c r="D51" s="45"/>
      <c r="E51" s="21"/>
      <c r="F51" s="21"/>
      <c r="G51" s="21"/>
      <c r="J51" s="87"/>
      <c r="K51" s="87"/>
      <c r="L51" s="87"/>
      <c r="M51" s="87"/>
      <c r="N51" s="87"/>
      <c r="O51" s="44"/>
      <c r="P51" s="44"/>
    </row>
    <row r="52" spans="1:21">
      <c r="A52" s="35" t="s">
        <v>58</v>
      </c>
      <c r="B52" s="35" t="s">
        <v>57</v>
      </c>
      <c r="C52" s="46">
        <v>4510690.3295574337</v>
      </c>
      <c r="D52" s="46"/>
      <c r="E52" s="80">
        <v>1909538.5705871976</v>
      </c>
      <c r="F52" s="80">
        <v>990945.15389187902</v>
      </c>
      <c r="G52" s="80">
        <v>830861.00295733649</v>
      </c>
      <c r="H52" s="80">
        <v>806883.15032687283</v>
      </c>
      <c r="I52" s="80">
        <v>740578.40381442441</v>
      </c>
      <c r="J52" s="88">
        <v>820327.25556905719</v>
      </c>
      <c r="K52" s="88">
        <v>832152.57785005833</v>
      </c>
      <c r="L52" s="88">
        <v>503119.28169527836</v>
      </c>
      <c r="M52" s="88">
        <v>580359.78872318449</v>
      </c>
      <c r="N52" s="88">
        <v>528242.4043135884</v>
      </c>
      <c r="O52" s="84"/>
      <c r="P52" s="44"/>
      <c r="Q52" s="44"/>
    </row>
    <row r="53" spans="1:21">
      <c r="A53" s="35"/>
      <c r="B53" s="34" t="s">
        <v>62</v>
      </c>
      <c r="C53" s="104">
        <v>296663.99775226874</v>
      </c>
      <c r="D53" s="45"/>
      <c r="E53" s="81">
        <v>133650.62515412131</v>
      </c>
      <c r="F53" s="81">
        <v>62461.530902009727</v>
      </c>
      <c r="G53" s="81">
        <v>42251.386744541924</v>
      </c>
      <c r="H53" s="81">
        <v>60564.099213211703</v>
      </c>
      <c r="I53" s="81">
        <v>41710.390899206068</v>
      </c>
      <c r="J53" s="85">
        <v>48590.33259294615</v>
      </c>
      <c r="K53" s="85">
        <v>43106.057173132685</v>
      </c>
      <c r="L53" s="85">
        <v>37871.516084140028</v>
      </c>
      <c r="M53" s="85">
        <v>13835.304092030678</v>
      </c>
      <c r="N53" s="85">
        <v>149497.99909028737</v>
      </c>
      <c r="O53" s="86"/>
      <c r="P53" s="44"/>
      <c r="Q53" s="44"/>
    </row>
    <row r="54" spans="1:21">
      <c r="A54" s="35"/>
      <c r="B54" s="34" t="s">
        <v>63</v>
      </c>
      <c r="C54" s="104">
        <v>657649.90822880901</v>
      </c>
      <c r="D54" s="45"/>
      <c r="E54" s="81">
        <v>306583.80957553716</v>
      </c>
      <c r="F54" s="81">
        <v>163501.88525905865</v>
      </c>
      <c r="G54" s="81">
        <v>108749.32608386887</v>
      </c>
      <c r="H54" s="81">
        <v>150390.10641870718</v>
      </c>
      <c r="I54" s="81">
        <v>133310.39232112584</v>
      </c>
      <c r="J54" s="85">
        <v>131577.44716002353</v>
      </c>
      <c r="K54" s="85">
        <v>159754.57086551664</v>
      </c>
      <c r="L54" s="85">
        <v>82582.788891354547</v>
      </c>
      <c r="M54" s="85">
        <v>99953.733858833744</v>
      </c>
      <c r="N54" s="85">
        <v>168235.80791120906</v>
      </c>
      <c r="O54" s="86"/>
      <c r="P54" s="44"/>
      <c r="Q54" s="44"/>
    </row>
    <row r="55" spans="1:21">
      <c r="A55" s="35"/>
      <c r="B55" s="34" t="s">
        <v>64</v>
      </c>
      <c r="C55" s="104">
        <v>1012854.612536161</v>
      </c>
      <c r="D55" s="45"/>
      <c r="E55" s="81">
        <v>418202.66921776935</v>
      </c>
      <c r="F55" s="81">
        <v>275532.96076900116</v>
      </c>
      <c r="G55" s="81">
        <v>223683.60773992797</v>
      </c>
      <c r="H55" s="81">
        <v>226879.26778971034</v>
      </c>
      <c r="I55" s="81">
        <v>199304.68643353941</v>
      </c>
      <c r="J55" s="85">
        <v>232605.368075348</v>
      </c>
      <c r="K55" s="85">
        <v>230862.77862958985</v>
      </c>
      <c r="L55" s="85">
        <v>112987.52049782098</v>
      </c>
      <c r="M55" s="85">
        <v>216989.08443539625</v>
      </c>
      <c r="N55" s="85">
        <v>123281.31585863512</v>
      </c>
      <c r="O55" s="86"/>
      <c r="P55" s="44"/>
      <c r="Q55" s="44"/>
    </row>
    <row r="56" spans="1:21">
      <c r="A56" s="35"/>
      <c r="B56" s="34" t="s">
        <v>65</v>
      </c>
      <c r="C56" s="104">
        <v>805740.0811388758</v>
      </c>
      <c r="D56" s="45"/>
      <c r="E56" s="81">
        <v>308206.16404512757</v>
      </c>
      <c r="F56" s="81">
        <v>181427.29908739866</v>
      </c>
      <c r="G56" s="81">
        <v>168342.277251691</v>
      </c>
      <c r="H56" s="81">
        <v>131439.33945471459</v>
      </c>
      <c r="I56" s="81">
        <v>123976.32372768749</v>
      </c>
      <c r="J56" s="85">
        <v>159092.64000143509</v>
      </c>
      <c r="K56" s="85">
        <v>133548.54322450055</v>
      </c>
      <c r="L56" s="85">
        <v>72464.4575092124</v>
      </c>
      <c r="M56" s="85">
        <v>114269.24314010094</v>
      </c>
      <c r="N56" s="85">
        <v>52736.532093115609</v>
      </c>
      <c r="O56" s="86"/>
      <c r="P56" s="44"/>
      <c r="Q56" s="44"/>
    </row>
    <row r="57" spans="1:21">
      <c r="A57" s="35"/>
      <c r="B57" s="34" t="s">
        <v>66</v>
      </c>
      <c r="C57" s="104">
        <v>602738.03119880334</v>
      </c>
      <c r="D57" s="45"/>
      <c r="E57" s="81">
        <v>243509.23617908201</v>
      </c>
      <c r="F57" s="81">
        <v>121112.30741856771</v>
      </c>
      <c r="G57" s="81">
        <v>115492.07850766341</v>
      </c>
      <c r="H57" s="81">
        <v>75872.73059243169</v>
      </c>
      <c r="I57" s="81">
        <v>85020.86100584126</v>
      </c>
      <c r="J57" s="85">
        <v>106805.90407493239</v>
      </c>
      <c r="K57" s="85">
        <v>75378.758156010023</v>
      </c>
      <c r="L57" s="85">
        <v>56806.623905217384</v>
      </c>
      <c r="M57" s="85">
        <v>83896.842149949996</v>
      </c>
      <c r="N57" s="85">
        <v>19553.370612368559</v>
      </c>
      <c r="O57" s="86"/>
      <c r="P57" s="44"/>
      <c r="Q57" s="44"/>
    </row>
    <row r="58" spans="1:21">
      <c r="A58" s="35"/>
      <c r="B58" s="34" t="s">
        <v>67</v>
      </c>
      <c r="C58" s="104">
        <v>492221.25330055098</v>
      </c>
      <c r="D58" s="45"/>
      <c r="E58" s="81">
        <v>201620.75841797487</v>
      </c>
      <c r="F58" s="81">
        <v>84079.405244124835</v>
      </c>
      <c r="G58" s="81">
        <v>82795.303202515832</v>
      </c>
      <c r="H58" s="81">
        <v>66890.797164462987</v>
      </c>
      <c r="I58" s="81">
        <v>72540.255684007076</v>
      </c>
      <c r="J58" s="85">
        <v>91134.798665397466</v>
      </c>
      <c r="K58" s="85">
        <v>71219.963783239698</v>
      </c>
      <c r="L58" s="85">
        <v>63568.70248867754</v>
      </c>
      <c r="M58" s="85">
        <v>37963.415388154754</v>
      </c>
      <c r="N58" s="85">
        <v>9580.500499100146</v>
      </c>
      <c r="O58" s="86"/>
      <c r="P58" s="44"/>
      <c r="Q58" s="44"/>
    </row>
    <row r="59" spans="1:21">
      <c r="A59" s="35"/>
      <c r="B59" s="34" t="s">
        <v>68</v>
      </c>
      <c r="C59" s="104">
        <v>642822.44540196226</v>
      </c>
      <c r="D59" s="45"/>
      <c r="E59" s="81">
        <v>297765.30799758295</v>
      </c>
      <c r="F59" s="81">
        <v>102829.76521172081</v>
      </c>
      <c r="G59" s="81">
        <v>89547.023427129316</v>
      </c>
      <c r="H59" s="81">
        <v>94846.809693635441</v>
      </c>
      <c r="I59" s="81">
        <v>84715.493743018102</v>
      </c>
      <c r="J59" s="85">
        <v>50520.76499897617</v>
      </c>
      <c r="K59" s="85">
        <v>118281.90601806939</v>
      </c>
      <c r="L59" s="85">
        <v>76837.672318854762</v>
      </c>
      <c r="M59" s="85">
        <v>13452.16565871909</v>
      </c>
      <c r="N59" s="85">
        <v>5356.8782488710594</v>
      </c>
      <c r="O59" s="86"/>
      <c r="P59" s="44"/>
      <c r="Q59" s="44"/>
    </row>
    <row r="60" spans="1:21">
      <c r="A60" s="35"/>
      <c r="B60" s="34"/>
      <c r="C60" s="45"/>
      <c r="D60" s="45"/>
      <c r="E60" s="21"/>
      <c r="F60" s="21"/>
      <c r="G60" s="21"/>
      <c r="J60" s="87"/>
      <c r="K60" s="87"/>
      <c r="L60" s="87"/>
      <c r="M60" s="87"/>
      <c r="N60" s="87"/>
      <c r="O60" s="44"/>
      <c r="P60" s="44"/>
    </row>
    <row r="61" spans="1:21">
      <c r="A61" s="35" t="s">
        <v>59</v>
      </c>
      <c r="B61" s="35" t="s">
        <v>57</v>
      </c>
      <c r="C61" s="46">
        <v>4824540.0700070858</v>
      </c>
      <c r="D61" s="46"/>
      <c r="E61" s="80">
        <v>1092783.0212132155</v>
      </c>
      <c r="F61" s="80">
        <v>1560483.1109041481</v>
      </c>
      <c r="G61" s="80">
        <v>1559174.3294017629</v>
      </c>
      <c r="H61" s="80">
        <v>775277.53084367199</v>
      </c>
      <c r="I61" s="80">
        <v>788190.22493208281</v>
      </c>
      <c r="J61" s="88">
        <v>723622.86523018638</v>
      </c>
      <c r="K61" s="88">
        <v>567171.89882834372</v>
      </c>
      <c r="L61" s="88">
        <v>511792.75547601184</v>
      </c>
      <c r="M61" s="88">
        <v>419343.51923125127</v>
      </c>
      <c r="N61" s="88">
        <v>403321.17833095952</v>
      </c>
      <c r="O61" s="84"/>
      <c r="P61" s="44"/>
      <c r="Q61" s="44"/>
    </row>
    <row r="62" spans="1:21">
      <c r="A62" s="34"/>
      <c r="B62" s="34" t="s">
        <v>62</v>
      </c>
      <c r="C62" s="104">
        <v>291788.43434035633</v>
      </c>
      <c r="D62" s="45"/>
      <c r="E62" s="81">
        <v>123849.72047626457</v>
      </c>
      <c r="F62" s="81">
        <v>52384.617953712601</v>
      </c>
      <c r="G62" s="81">
        <v>59702.73507930398</v>
      </c>
      <c r="H62" s="81">
        <v>57089.074091518734</v>
      </c>
      <c r="I62" s="81">
        <v>37738.579990518403</v>
      </c>
      <c r="J62" s="85">
        <v>57299.006779586598</v>
      </c>
      <c r="K62" s="85">
        <v>35201.637812926929</v>
      </c>
      <c r="L62" s="85">
        <v>33204.571668478595</v>
      </c>
      <c r="M62" s="85">
        <v>13315.383065202201</v>
      </c>
      <c r="N62" s="85">
        <v>138792.86125002571</v>
      </c>
      <c r="O62" s="86"/>
      <c r="P62" s="44"/>
      <c r="Q62" s="44"/>
    </row>
    <row r="63" spans="1:21">
      <c r="A63" s="34"/>
      <c r="B63" s="34" t="s">
        <v>63</v>
      </c>
      <c r="C63" s="104">
        <v>613416.68165076652</v>
      </c>
      <c r="D63" s="45"/>
      <c r="E63" s="81">
        <v>209039.70954193015</v>
      </c>
      <c r="F63" s="81">
        <v>194462.65891743431</v>
      </c>
      <c r="G63" s="81">
        <v>200645.59195926195</v>
      </c>
      <c r="H63" s="81">
        <v>110295.70702849503</v>
      </c>
      <c r="I63" s="81">
        <v>102728.53599086376</v>
      </c>
      <c r="J63" s="85">
        <v>113242.41574027942</v>
      </c>
      <c r="K63" s="85">
        <v>106533.16258155086</v>
      </c>
      <c r="L63" s="85">
        <v>59599.644309893272</v>
      </c>
      <c r="M63" s="85">
        <v>67164.989433537296</v>
      </c>
      <c r="N63" s="85">
        <v>111854.92257402853</v>
      </c>
      <c r="O63" s="86"/>
      <c r="P63" s="44"/>
      <c r="Q63" s="44"/>
    </row>
    <row r="64" spans="1:21">
      <c r="A64" s="34"/>
      <c r="B64" s="34" t="s">
        <v>64</v>
      </c>
      <c r="C64" s="104">
        <v>1052161.1447315405</v>
      </c>
      <c r="D64" s="45"/>
      <c r="E64" s="81">
        <v>249034.52156176107</v>
      </c>
      <c r="F64" s="81">
        <v>378679.92930394004</v>
      </c>
      <c r="G64" s="81">
        <v>402654.55955984333</v>
      </c>
      <c r="H64" s="81">
        <v>163056.87265950866</v>
      </c>
      <c r="I64" s="81">
        <v>194381.67628893632</v>
      </c>
      <c r="J64" s="85">
        <v>200158.58158644231</v>
      </c>
      <c r="K64" s="85">
        <v>122438.37263943002</v>
      </c>
      <c r="L64" s="85">
        <v>101903.2358497731</v>
      </c>
      <c r="M64" s="85">
        <v>140361.5357284362</v>
      </c>
      <c r="N64" s="85">
        <v>68965.093368685106</v>
      </c>
      <c r="O64" s="86"/>
      <c r="P64" s="44"/>
      <c r="Q64" s="44"/>
    </row>
    <row r="65" spans="1:23">
      <c r="A65" s="34"/>
      <c r="B65" s="34" t="s">
        <v>65</v>
      </c>
      <c r="C65" s="104">
        <v>868584.89613984269</v>
      </c>
      <c r="D65" s="45"/>
      <c r="E65" s="81">
        <v>183221.03034974044</v>
      </c>
      <c r="F65" s="81">
        <v>284295.91082807287</v>
      </c>
      <c r="G65" s="81">
        <v>321428.69975556567</v>
      </c>
      <c r="H65" s="81">
        <v>112215.10697677798</v>
      </c>
      <c r="I65" s="81">
        <v>146408.35778738352</v>
      </c>
      <c r="J65" s="85">
        <v>139346.75615149995</v>
      </c>
      <c r="K65" s="85">
        <v>84126.879184706719</v>
      </c>
      <c r="L65" s="85">
        <v>81489.49783492148</v>
      </c>
      <c r="M65" s="85">
        <v>81728.389139559033</v>
      </c>
      <c r="N65" s="85">
        <v>35293.53882159746</v>
      </c>
      <c r="O65" s="86"/>
      <c r="P65" s="44"/>
      <c r="Q65" s="44"/>
    </row>
    <row r="66" spans="1:23">
      <c r="A66" s="34"/>
      <c r="B66" s="34" t="s">
        <v>66</v>
      </c>
      <c r="C66" s="104">
        <v>646786.70923935296</v>
      </c>
      <c r="D66" s="45"/>
      <c r="E66" s="81">
        <v>113015.24307702093</v>
      </c>
      <c r="F66" s="81">
        <v>190646.04495540701</v>
      </c>
      <c r="G66" s="81">
        <v>212371.08248036623</v>
      </c>
      <c r="H66" s="81">
        <v>77024.744020289319</v>
      </c>
      <c r="I66" s="81">
        <v>100398.42911296719</v>
      </c>
      <c r="J66" s="85">
        <v>106945.15072569859</v>
      </c>
      <c r="K66" s="85">
        <v>57432.797831358977</v>
      </c>
      <c r="L66" s="85">
        <v>66054.524739565168</v>
      </c>
      <c r="M66" s="85">
        <v>70901.600358382886</v>
      </c>
      <c r="N66" s="85">
        <v>22242.255694276948</v>
      </c>
      <c r="O66" s="86"/>
      <c r="P66" s="44"/>
      <c r="Q66" s="44"/>
    </row>
    <row r="67" spans="1:23">
      <c r="A67" s="34"/>
      <c r="B67" s="34" t="s">
        <v>67</v>
      </c>
      <c r="C67" s="104">
        <v>547767.75746657129</v>
      </c>
      <c r="D67" s="45"/>
      <c r="E67" s="81">
        <v>98554.687283129213</v>
      </c>
      <c r="F67" s="81">
        <v>171853.07430275617</v>
      </c>
      <c r="G67" s="81">
        <v>200431.31763648262</v>
      </c>
      <c r="H67" s="81">
        <v>70403.43756886624</v>
      </c>
      <c r="I67" s="81">
        <v>98983.961665374605</v>
      </c>
      <c r="J67" s="85">
        <v>72825.758737379496</v>
      </c>
      <c r="K67" s="85">
        <v>43875.791233809767</v>
      </c>
      <c r="L67" s="85">
        <v>63369.779981414642</v>
      </c>
      <c r="M67" s="85">
        <v>33376.323270012268</v>
      </c>
      <c r="N67" s="85">
        <v>14008.518851452056</v>
      </c>
      <c r="O67" s="86"/>
      <c r="P67" s="44"/>
      <c r="Q67" s="44"/>
    </row>
    <row r="68" spans="1:23">
      <c r="A68" s="34"/>
      <c r="B68" s="34" t="s">
        <v>68</v>
      </c>
      <c r="C68" s="104">
        <v>804034.44643859193</v>
      </c>
      <c r="D68" s="45"/>
      <c r="E68" s="81">
        <v>116068.10892337696</v>
      </c>
      <c r="F68" s="81">
        <v>288160.87464284367</v>
      </c>
      <c r="G68" s="81">
        <v>161940.34293095942</v>
      </c>
      <c r="H68" s="81">
        <v>185192.58849821647</v>
      </c>
      <c r="I68" s="81">
        <v>107550.68409604162</v>
      </c>
      <c r="J68" s="85">
        <v>33805.195509299512</v>
      </c>
      <c r="K68" s="85">
        <v>117563.25754456079</v>
      </c>
      <c r="L68" s="85">
        <v>106171.50109196498</v>
      </c>
      <c r="M68" s="85">
        <v>12495.298236120165</v>
      </c>
      <c r="N68" s="85">
        <v>12163.987770892376</v>
      </c>
      <c r="O68" s="86"/>
      <c r="P68" s="44"/>
      <c r="Q68" s="44"/>
    </row>
    <row r="69" spans="1:23">
      <c r="A69" s="118"/>
      <c r="B69" s="118"/>
      <c r="C69" s="119"/>
      <c r="D69" s="119"/>
      <c r="E69" s="119"/>
      <c r="F69" s="119"/>
      <c r="G69" s="119"/>
      <c r="H69" s="119"/>
      <c r="I69" s="119"/>
      <c r="J69" s="119"/>
      <c r="K69" s="119"/>
      <c r="L69" s="119"/>
      <c r="M69" s="119"/>
      <c r="N69" s="119"/>
    </row>
    <row r="70" spans="1:23">
      <c r="A70" s="24" t="s">
        <v>117</v>
      </c>
    </row>
    <row r="71" spans="1:23">
      <c r="A71" s="16" t="s">
        <v>121</v>
      </c>
    </row>
    <row r="72" spans="1:23" ht="15" customHeight="1">
      <c r="A72" s="16" t="s">
        <v>122</v>
      </c>
      <c r="B72" s="24"/>
      <c r="C72" s="2"/>
      <c r="G72" s="2"/>
      <c r="K72" s="2"/>
      <c r="O72" s="2"/>
      <c r="S72" s="2"/>
      <c r="W72" s="2"/>
    </row>
    <row r="73" spans="1:23">
      <c r="A73" s="24" t="s">
        <v>120</v>
      </c>
    </row>
  </sheetData>
  <mergeCells count="3">
    <mergeCell ref="E13:N13"/>
    <mergeCell ref="C42:N42"/>
    <mergeCell ref="C15:N15"/>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C43&lt;'38'!$C$104</xm:f>
            <x14:dxf>
              <font>
                <color rgb="FFFF0000"/>
              </font>
              <numFmt numFmtId="172" formatCode="\*\*0.0%"/>
            </x14:dxf>
          </x14:cfRule>
          <x14:cfRule type="expression" priority="4" id="{EDCE512B-7B5B-4E1B-9C0A-6E5ECA220EFC}">
            <xm:f>C43&lt;'38'!$C$103</xm:f>
            <x14:dxf>
              <font>
                <color rgb="FF00B050"/>
              </font>
              <numFmt numFmtId="171" formatCode="\*0.0%"/>
            </x14:dxf>
          </x14:cfRule>
          <xm:sqref>C16:N41</xm:sqref>
        </x14:conditionalFormatting>
        <x14:conditionalFormatting xmlns:xm="http://schemas.microsoft.com/office/excel/2006/main">
          <x14:cfRule type="expression" priority="1" id="{812C1C3B-921C-4D88-B52E-460AEBC03269}">
            <xm:f>C43&lt;'38'!$C$104</xm:f>
            <x14:dxf>
              <font>
                <color rgb="FFFF0000"/>
              </font>
              <numFmt numFmtId="174" formatCode="\*\*#,###,###,##0"/>
            </x14:dxf>
          </x14:cfRule>
          <x14:cfRule type="expression" priority="2" id="{9DE07595-3FD4-4042-9FB6-73689C82AD15}">
            <xm:f>C43&lt;'38'!$C$103</xm:f>
            <x14:dxf>
              <font>
                <color rgb="FF00B050"/>
              </font>
              <numFmt numFmtId="173" formatCode="\*#,###,###,##0"/>
            </x14:dxf>
          </x14:cfRule>
          <xm:sqref>C43:N68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W56"/>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3" width="16.7109375" style="1" customWidth="1"/>
    <col min="14" max="14" width="8.85546875" style="1" customWidth="1"/>
    <col min="15" max="16384" width="8.85546875" style="1"/>
  </cols>
  <sheetData>
    <row r="1" spans="1:15">
      <c r="A1" s="29"/>
      <c r="B1" s="29"/>
      <c r="C1" s="29"/>
      <c r="D1" s="29"/>
      <c r="E1" s="29"/>
      <c r="F1" s="29"/>
      <c r="G1" s="29"/>
      <c r="H1" s="29"/>
      <c r="I1" s="29"/>
      <c r="J1" s="29"/>
      <c r="K1" s="29"/>
      <c r="L1" s="29"/>
      <c r="M1" s="29"/>
    </row>
    <row r="2" spans="1:15">
      <c r="A2" s="29"/>
      <c r="B2" s="29"/>
      <c r="C2" s="29"/>
      <c r="D2" s="29"/>
      <c r="E2" s="29"/>
      <c r="F2" s="29"/>
      <c r="G2" s="29"/>
      <c r="H2" s="29"/>
      <c r="I2" s="29"/>
      <c r="J2" s="29"/>
      <c r="K2" s="29"/>
      <c r="L2" s="29"/>
      <c r="M2" s="29"/>
    </row>
    <row r="3" spans="1:15">
      <c r="A3" s="29"/>
      <c r="B3" s="29"/>
      <c r="C3" s="29"/>
      <c r="D3" s="29"/>
      <c r="E3" s="29"/>
      <c r="F3" s="29"/>
      <c r="G3" s="29"/>
      <c r="H3" s="29"/>
      <c r="I3" s="29"/>
      <c r="J3" s="29"/>
      <c r="K3" s="29"/>
      <c r="L3" s="29"/>
      <c r="M3" s="29"/>
    </row>
    <row r="4" spans="1:15">
      <c r="A4" s="29"/>
      <c r="B4" s="29"/>
      <c r="C4" s="29"/>
      <c r="D4" s="29"/>
      <c r="E4" s="29"/>
      <c r="F4" s="29"/>
      <c r="G4" s="29"/>
      <c r="H4" s="29"/>
      <c r="I4" s="29"/>
      <c r="J4" s="29"/>
      <c r="K4" s="29"/>
      <c r="L4" s="29"/>
      <c r="M4" s="29"/>
    </row>
    <row r="5" spans="1:15">
      <c r="A5" s="29"/>
      <c r="B5" s="29"/>
      <c r="C5" s="29"/>
      <c r="D5" s="29"/>
      <c r="E5" s="29"/>
      <c r="F5" s="29"/>
      <c r="G5" s="29"/>
      <c r="H5" s="29"/>
      <c r="I5" s="29"/>
      <c r="J5" s="29"/>
      <c r="K5" s="29"/>
      <c r="L5" s="29"/>
      <c r="M5" s="29"/>
    </row>
    <row r="6" spans="1:15">
      <c r="A6" s="29"/>
      <c r="B6" s="29"/>
      <c r="C6" s="29"/>
      <c r="D6" s="29"/>
      <c r="E6" s="29"/>
      <c r="F6" s="29"/>
      <c r="G6" s="29"/>
      <c r="H6" s="29"/>
      <c r="I6" s="29"/>
      <c r="J6" s="29"/>
      <c r="K6" s="29"/>
      <c r="L6" s="29"/>
      <c r="M6" s="29"/>
    </row>
    <row r="7" spans="1:15">
      <c r="A7" s="29"/>
      <c r="B7" s="29"/>
      <c r="C7" s="29"/>
      <c r="D7" s="29"/>
      <c r="E7" s="29"/>
      <c r="F7" s="29"/>
      <c r="G7" s="29"/>
      <c r="H7" s="29"/>
      <c r="I7" s="29"/>
      <c r="J7" s="29"/>
      <c r="K7" s="29"/>
      <c r="L7" s="29"/>
      <c r="M7" s="29"/>
    </row>
    <row r="8" spans="1:15">
      <c r="A8" s="30" t="str">
        <f>Index!A8</f>
        <v>AusPlay survey results July 2024 - June 2025</v>
      </c>
      <c r="B8" s="29"/>
      <c r="C8" s="29"/>
      <c r="D8" s="29"/>
      <c r="E8" s="29"/>
      <c r="F8" s="29"/>
      <c r="G8" s="29"/>
      <c r="H8" s="29"/>
      <c r="I8" s="29"/>
      <c r="J8" s="29"/>
      <c r="K8" s="29"/>
      <c r="L8" s="29"/>
      <c r="M8" s="29"/>
    </row>
    <row r="9" spans="1:15">
      <c r="A9" s="29" t="s">
        <v>1</v>
      </c>
      <c r="B9" s="29"/>
      <c r="C9" s="90" t="s">
        <v>2</v>
      </c>
      <c r="D9" s="30"/>
      <c r="E9" s="29"/>
      <c r="F9" s="29"/>
      <c r="G9" s="29"/>
      <c r="H9" s="29"/>
      <c r="I9" s="29"/>
      <c r="J9" s="29"/>
      <c r="K9" s="29"/>
      <c r="L9" s="29"/>
      <c r="M9" s="29"/>
    </row>
    <row r="10" spans="1:15">
      <c r="A10" s="29" t="s">
        <v>49</v>
      </c>
      <c r="B10" s="29"/>
      <c r="C10" s="31">
        <v>6</v>
      </c>
      <c r="D10" s="31"/>
      <c r="E10" s="29"/>
      <c r="F10" s="29"/>
      <c r="G10" s="29"/>
      <c r="H10" s="29"/>
      <c r="I10" s="29"/>
      <c r="J10" s="29"/>
      <c r="K10" s="29"/>
      <c r="L10" s="29"/>
      <c r="M10" s="29"/>
    </row>
    <row r="11" spans="1:15">
      <c r="A11" s="29" t="s">
        <v>3</v>
      </c>
      <c r="B11" s="29"/>
      <c r="C11" s="30" t="s">
        <v>14</v>
      </c>
      <c r="D11" s="30"/>
      <c r="E11" s="29"/>
      <c r="F11" s="29"/>
      <c r="G11" s="29"/>
      <c r="H11" s="29"/>
      <c r="I11" s="29"/>
      <c r="J11" s="29"/>
      <c r="K11" s="29"/>
      <c r="L11" s="29"/>
      <c r="M11" s="29"/>
    </row>
    <row r="12" spans="1:15">
      <c r="A12" s="116" t="s">
        <v>50</v>
      </c>
      <c r="B12" s="116"/>
      <c r="C12" s="117" t="s">
        <v>123</v>
      </c>
      <c r="D12" s="117"/>
      <c r="E12" s="116"/>
      <c r="F12" s="116"/>
      <c r="G12" s="116"/>
      <c r="H12" s="116"/>
      <c r="I12" s="116"/>
      <c r="J12" s="116"/>
      <c r="K12" s="116"/>
      <c r="L12" s="116"/>
      <c r="M12" s="116"/>
    </row>
    <row r="13" spans="1:15" ht="24.95" customHeight="1">
      <c r="A13" s="32"/>
      <c r="B13" s="32"/>
      <c r="C13" s="32"/>
      <c r="D13" s="32"/>
      <c r="E13" s="182" t="s">
        <v>162</v>
      </c>
      <c r="F13" s="182"/>
      <c r="G13" s="182"/>
      <c r="H13" s="182"/>
      <c r="I13" s="182"/>
      <c r="J13" s="182"/>
      <c r="K13" s="182"/>
      <c r="L13" s="182"/>
      <c r="M13" s="182"/>
    </row>
    <row r="14" spans="1:15" s="8" customFormat="1" ht="50.25" customHeight="1">
      <c r="A14" s="83"/>
      <c r="B14" s="83"/>
      <c r="C14" s="64" t="s">
        <v>60</v>
      </c>
      <c r="D14" s="64"/>
      <c r="E14" s="64" t="s">
        <v>152</v>
      </c>
      <c r="F14" s="64" t="s">
        <v>154</v>
      </c>
      <c r="G14" s="64" t="s">
        <v>153</v>
      </c>
      <c r="H14" s="64" t="s">
        <v>161</v>
      </c>
      <c r="I14" s="64" t="s">
        <v>165</v>
      </c>
      <c r="J14" s="64" t="s">
        <v>164</v>
      </c>
      <c r="K14" s="64" t="s">
        <v>155</v>
      </c>
      <c r="L14" s="64" t="s">
        <v>157</v>
      </c>
      <c r="M14" s="64" t="s">
        <v>159</v>
      </c>
      <c r="N14" s="122" t="s">
        <v>146</v>
      </c>
    </row>
    <row r="15" spans="1:15">
      <c r="A15" s="67"/>
      <c r="B15" s="67"/>
      <c r="C15" s="189" t="s">
        <v>144</v>
      </c>
      <c r="D15" s="189"/>
      <c r="E15" s="189"/>
      <c r="F15" s="189"/>
      <c r="G15" s="189"/>
      <c r="H15" s="189"/>
      <c r="I15" s="189"/>
      <c r="J15" s="189"/>
      <c r="K15" s="189"/>
      <c r="L15" s="189"/>
      <c r="M15" s="189"/>
    </row>
    <row r="16" spans="1:15">
      <c r="A16" s="35" t="s">
        <v>145</v>
      </c>
      <c r="B16" s="35" t="s">
        <v>57</v>
      </c>
      <c r="C16" s="89">
        <v>0.71724338763041207</v>
      </c>
      <c r="D16" s="89"/>
      <c r="E16" s="89">
        <v>0.27992194039745455</v>
      </c>
      <c r="F16" s="89">
        <v>0.17817854832890562</v>
      </c>
      <c r="G16" s="89">
        <v>0.14509527350539564</v>
      </c>
      <c r="H16" s="89">
        <v>0.13544240322533163</v>
      </c>
      <c r="I16" s="89">
        <v>0.11125049055833565</v>
      </c>
      <c r="J16" s="89">
        <v>9.3248701688165E-2</v>
      </c>
      <c r="K16" s="89">
        <v>0.108677110804658</v>
      </c>
      <c r="L16" s="89">
        <v>4.8936033434181514E-2</v>
      </c>
      <c r="M16" s="89">
        <v>6.4297004404907918E-2</v>
      </c>
      <c r="N16" s="89"/>
      <c r="O16" s="89"/>
    </row>
    <row r="17" spans="1:15">
      <c r="A17" s="34" t="s">
        <v>61</v>
      </c>
      <c r="B17" s="34" t="s">
        <v>124</v>
      </c>
      <c r="C17" s="26">
        <v>0.47391435704656909</v>
      </c>
      <c r="D17" s="26"/>
      <c r="E17" s="26">
        <v>9.1017962720166434E-2</v>
      </c>
      <c r="F17" s="26">
        <v>0.1330436744106625</v>
      </c>
      <c r="G17" s="26">
        <v>0.13185289177538231</v>
      </c>
      <c r="H17" s="26">
        <v>4.4392889527354137E-2</v>
      </c>
      <c r="I17" s="26">
        <v>5.4302460031564082E-2</v>
      </c>
      <c r="J17" s="26">
        <v>5.2977877852185259E-2</v>
      </c>
      <c r="K17" s="26">
        <v>7.0595227522097986E-2</v>
      </c>
      <c r="L17" s="26">
        <v>2.7911875825784312E-2</v>
      </c>
      <c r="M17" s="26">
        <v>4.6080195591818633E-2</v>
      </c>
      <c r="N17" s="26"/>
      <c r="O17" s="26"/>
    </row>
    <row r="18" spans="1:15">
      <c r="A18" s="34"/>
      <c r="B18" s="34" t="s">
        <v>125</v>
      </c>
      <c r="C18" s="26">
        <v>0.82254079047571493</v>
      </c>
      <c r="D18" s="26"/>
      <c r="E18" s="26">
        <v>0.32712080065360943</v>
      </c>
      <c r="F18" s="26">
        <v>0.23152511862876141</v>
      </c>
      <c r="G18" s="26">
        <v>0.19178756545588885</v>
      </c>
      <c r="H18" s="26">
        <v>0.14229009496451722</v>
      </c>
      <c r="I18" s="26">
        <v>0.13238832526946723</v>
      </c>
      <c r="J18" s="26">
        <v>0.10853384879353248</v>
      </c>
      <c r="K18" s="26">
        <v>0.12895180028428191</v>
      </c>
      <c r="L18" s="26">
        <v>5.3424831152474199E-2</v>
      </c>
      <c r="M18" s="26">
        <v>6.2222740883877324E-2</v>
      </c>
      <c r="N18" s="26"/>
      <c r="O18" s="26"/>
    </row>
    <row r="19" spans="1:15">
      <c r="A19" s="34"/>
      <c r="B19" s="34" t="s">
        <v>126</v>
      </c>
      <c r="C19" s="26">
        <v>0.84213335620047347</v>
      </c>
      <c r="D19" s="26"/>
      <c r="E19" s="26">
        <v>0.38383489625946576</v>
      </c>
      <c r="F19" s="26">
        <v>0.204531888887381</v>
      </c>
      <c r="G19" s="26">
        <v>0.14346313826793949</v>
      </c>
      <c r="H19" s="26">
        <v>0.18933244630572013</v>
      </c>
      <c r="I19" s="26">
        <v>0.14023843382832674</v>
      </c>
      <c r="J19" s="26">
        <v>0.11120784618263073</v>
      </c>
      <c r="K19" s="26">
        <v>0.12663562941592715</v>
      </c>
      <c r="L19" s="26">
        <v>5.5259641411939071E-2</v>
      </c>
      <c r="M19" s="26">
        <v>7.6937168190723576E-2</v>
      </c>
      <c r="N19" s="26"/>
      <c r="O19" s="26"/>
    </row>
    <row r="20" spans="1:15">
      <c r="A20" s="34"/>
      <c r="B20" s="34" t="s">
        <v>127</v>
      </c>
      <c r="C20" s="26">
        <v>0.82487396554094206</v>
      </c>
      <c r="D20" s="26"/>
      <c r="E20" s="26">
        <v>0.40072144828824097</v>
      </c>
      <c r="F20" s="26">
        <v>0.15174849832892037</v>
      </c>
      <c r="G20" s="26">
        <v>0.1069737045576155</v>
      </c>
      <c r="H20" s="26">
        <v>0.21020918414991963</v>
      </c>
      <c r="I20" s="26">
        <v>0.14116081730146943</v>
      </c>
      <c r="J20" s="26">
        <v>0.11649370325932168</v>
      </c>
      <c r="K20" s="26">
        <v>0.12224857440442655</v>
      </c>
      <c r="L20" s="26">
        <v>6.8569168625106092E-2</v>
      </c>
      <c r="M20" s="26">
        <v>8.1811233084885165E-2</v>
      </c>
      <c r="N20" s="26"/>
      <c r="O20" s="26"/>
    </row>
    <row r="21" spans="1:15">
      <c r="A21" s="34"/>
      <c r="B21" s="34"/>
      <c r="C21" s="26"/>
      <c r="D21" s="26"/>
      <c r="E21" s="26"/>
      <c r="F21" s="26"/>
      <c r="G21" s="26"/>
      <c r="H21" s="26"/>
      <c r="I21" s="26"/>
      <c r="J21" s="26"/>
      <c r="K21" s="26"/>
      <c r="L21" s="26"/>
      <c r="M21" s="26"/>
      <c r="N21" s="26"/>
    </row>
    <row r="22" spans="1:15">
      <c r="A22" s="35" t="s">
        <v>58</v>
      </c>
      <c r="B22" s="35" t="s">
        <v>57</v>
      </c>
      <c r="C22" s="89">
        <v>0.7189477258840391</v>
      </c>
      <c r="D22" s="89"/>
      <c r="E22" s="89">
        <v>0.31199189034623831</v>
      </c>
      <c r="F22" s="89">
        <v>0.15116205044305986</v>
      </c>
      <c r="G22" s="89">
        <v>0.14732208202648855</v>
      </c>
      <c r="H22" s="89">
        <v>0.14139087556968188</v>
      </c>
      <c r="I22" s="89">
        <v>0.11400448261764748</v>
      </c>
      <c r="J22" s="89">
        <v>9.579936181574443E-2</v>
      </c>
      <c r="K22" s="89">
        <v>0.11187120536559991</v>
      </c>
      <c r="L22" s="89">
        <v>5.7420961270541734E-2</v>
      </c>
      <c r="M22" s="89">
        <v>6.6697167206452648E-2</v>
      </c>
      <c r="N22" s="89"/>
      <c r="O22" s="89"/>
    </row>
    <row r="23" spans="1:15">
      <c r="A23" s="34" t="s">
        <v>61</v>
      </c>
      <c r="B23" s="34" t="s">
        <v>124</v>
      </c>
      <c r="C23" s="26">
        <v>0.48072123063049815</v>
      </c>
      <c r="D23" s="26"/>
      <c r="E23" s="26">
        <v>0.10266096256974552</v>
      </c>
      <c r="F23" s="26">
        <v>0.12349353289318939</v>
      </c>
      <c r="G23" s="26">
        <v>0.13104523501572315</v>
      </c>
      <c r="H23" s="26">
        <v>4.5087030466997385E-2</v>
      </c>
      <c r="I23" s="26">
        <v>5.5118821654516335E-2</v>
      </c>
      <c r="J23" s="26">
        <v>5.5666693533305438E-2</v>
      </c>
      <c r="K23" s="26">
        <v>7.3277090747270665E-2</v>
      </c>
      <c r="L23" s="26">
        <v>3.4698956029806979E-2</v>
      </c>
      <c r="M23" s="26">
        <v>4.5476655237523228E-2</v>
      </c>
      <c r="N23" s="26"/>
      <c r="O23" s="26"/>
    </row>
    <row r="24" spans="1:15">
      <c r="A24" s="34"/>
      <c r="B24" s="34" t="s">
        <v>125</v>
      </c>
      <c r="C24" s="26">
        <v>0.81600317829500413</v>
      </c>
      <c r="D24" s="26"/>
      <c r="E24" s="26">
        <v>0.3766805134641048</v>
      </c>
      <c r="F24" s="26">
        <v>0.18847359022869922</v>
      </c>
      <c r="G24" s="26">
        <v>0.19008404200833975</v>
      </c>
      <c r="H24" s="26">
        <v>0.16380560338376277</v>
      </c>
      <c r="I24" s="26">
        <v>0.1300801649372669</v>
      </c>
      <c r="J24" s="26">
        <v>0.10899889745475129</v>
      </c>
      <c r="K24" s="26">
        <v>0.1234375992553068</v>
      </c>
      <c r="L24" s="26">
        <v>6.5078290366981276E-2</v>
      </c>
      <c r="M24" s="26">
        <v>6.0498215559601887E-2</v>
      </c>
      <c r="N24" s="26"/>
      <c r="O24" s="26"/>
    </row>
    <row r="25" spans="1:15">
      <c r="A25" s="34"/>
      <c r="B25" s="34" t="s">
        <v>126</v>
      </c>
      <c r="C25" s="26">
        <v>0.84750642076142224</v>
      </c>
      <c r="D25" s="26"/>
      <c r="E25" s="26">
        <v>0.43147685518869544</v>
      </c>
      <c r="F25" s="26">
        <v>0.16695872627201172</v>
      </c>
      <c r="G25" s="26">
        <v>0.14989117137384222</v>
      </c>
      <c r="H25" s="26">
        <v>0.18440664139987176</v>
      </c>
      <c r="I25" s="26">
        <v>0.14743383190179735</v>
      </c>
      <c r="J25" s="26">
        <v>0.11670108520708299</v>
      </c>
      <c r="K25" s="26">
        <v>0.13724025430253131</v>
      </c>
      <c r="L25" s="26">
        <v>6.1035542062938569E-2</v>
      </c>
      <c r="M25" s="26">
        <v>7.8464341927123593E-2</v>
      </c>
      <c r="N25" s="26"/>
      <c r="O25" s="26"/>
    </row>
    <row r="26" spans="1:15">
      <c r="A26" s="34"/>
      <c r="B26" s="34" t="s">
        <v>127</v>
      </c>
      <c r="C26" s="26">
        <v>0.82498720411454596</v>
      </c>
      <c r="D26" s="26"/>
      <c r="E26" s="26">
        <v>0.42506994474444215</v>
      </c>
      <c r="F26" s="26">
        <v>0.12926249122640796</v>
      </c>
      <c r="G26" s="26">
        <v>0.11446226893292641</v>
      </c>
      <c r="H26" s="26">
        <v>0.21470415915437779</v>
      </c>
      <c r="I26" s="26">
        <v>0.14871253676024604</v>
      </c>
      <c r="J26" s="26">
        <v>0.11845061239385857</v>
      </c>
      <c r="K26" s="26">
        <v>0.12986112978183498</v>
      </c>
      <c r="L26" s="26">
        <v>7.8179282353092086E-2</v>
      </c>
      <c r="M26" s="26">
        <v>9.4844315441120916E-2</v>
      </c>
      <c r="N26" s="26"/>
      <c r="O26" s="26"/>
    </row>
    <row r="27" spans="1:15">
      <c r="A27" s="34"/>
      <c r="B27" s="34"/>
      <c r="C27" s="26"/>
      <c r="D27" s="26"/>
      <c r="E27" s="26"/>
      <c r="F27" s="26"/>
      <c r="G27" s="26"/>
      <c r="H27" s="26"/>
      <c r="I27" s="26"/>
      <c r="J27" s="26"/>
      <c r="K27" s="26"/>
      <c r="L27" s="26"/>
      <c r="M27" s="26"/>
      <c r="N27" s="26"/>
    </row>
    <row r="28" spans="1:15">
      <c r="A28" s="35" t="s">
        <v>59</v>
      </c>
      <c r="B28" s="35" t="s">
        <v>57</v>
      </c>
      <c r="C28" s="89">
        <v>0.71730053673529681</v>
      </c>
      <c r="D28" s="89"/>
      <c r="E28" s="89">
        <v>0.24634097385933743</v>
      </c>
      <c r="F28" s="89">
        <v>0.20766448575272764</v>
      </c>
      <c r="G28" s="89">
        <v>0.14257853300940035</v>
      </c>
      <c r="H28" s="89">
        <v>0.130026881654455</v>
      </c>
      <c r="I28" s="89">
        <v>0.10859166556621619</v>
      </c>
      <c r="J28" s="89">
        <v>9.0917642370430166E-2</v>
      </c>
      <c r="K28" s="89">
        <v>0.10576528588647049</v>
      </c>
      <c r="L28" s="89">
        <v>4.0280218212964396E-2</v>
      </c>
      <c r="M28" s="89">
        <v>6.1938213504643624E-2</v>
      </c>
      <c r="N28" s="89"/>
      <c r="O28" s="89"/>
    </row>
    <row r="29" spans="1:15">
      <c r="A29" s="34" t="s">
        <v>61</v>
      </c>
      <c r="B29" s="34" t="s">
        <v>124</v>
      </c>
      <c r="C29" s="26">
        <v>0.46827823658025958</v>
      </c>
      <c r="D29" s="26"/>
      <c r="E29" s="26">
        <v>7.8725130595825948E-2</v>
      </c>
      <c r="F29" s="26">
        <v>0.14433708579237442</v>
      </c>
      <c r="G29" s="26">
        <v>0.1319838620044913</v>
      </c>
      <c r="H29" s="26">
        <v>4.4060720796801525E-2</v>
      </c>
      <c r="I29" s="26">
        <v>5.308587811202168E-2</v>
      </c>
      <c r="J29" s="26">
        <v>5.0615706955812328E-2</v>
      </c>
      <c r="K29" s="26">
        <v>6.8399647273807873E-2</v>
      </c>
      <c r="L29" s="26">
        <v>2.0992845105744305E-2</v>
      </c>
      <c r="M29" s="26">
        <v>4.7134427605996079E-2</v>
      </c>
      <c r="N29" s="26"/>
      <c r="O29" s="26"/>
    </row>
    <row r="30" spans="1:15">
      <c r="A30" s="34"/>
      <c r="B30" s="34" t="s">
        <v>125</v>
      </c>
      <c r="C30" s="26">
        <v>0.8305618531823693</v>
      </c>
      <c r="D30" s="26"/>
      <c r="E30" s="26">
        <v>0.27455517260335688</v>
      </c>
      <c r="F30" s="26">
        <v>0.27764873457796324</v>
      </c>
      <c r="G30" s="26">
        <v>0.19407111018778717</v>
      </c>
      <c r="H30" s="26">
        <v>0.1198869453917831</v>
      </c>
      <c r="I30" s="26">
        <v>0.13516237548661422</v>
      </c>
      <c r="J30" s="26">
        <v>0.10831435416991472</v>
      </c>
      <c r="K30" s="26">
        <v>0.13510875911212278</v>
      </c>
      <c r="L30" s="26">
        <v>4.1231243312588421E-2</v>
      </c>
      <c r="M30" s="26">
        <v>6.4203246165108557E-2</v>
      </c>
      <c r="N30" s="26"/>
      <c r="O30" s="26"/>
    </row>
    <row r="31" spans="1:15">
      <c r="A31" s="34"/>
      <c r="B31" s="34" t="s">
        <v>126</v>
      </c>
      <c r="C31" s="26">
        <v>0.83870051882700336</v>
      </c>
      <c r="D31" s="26"/>
      <c r="E31" s="26">
        <v>0.33277070228575678</v>
      </c>
      <c r="F31" s="26">
        <v>0.24498627457223693</v>
      </c>
      <c r="G31" s="26">
        <v>0.13676690354662166</v>
      </c>
      <c r="H31" s="26">
        <v>0.19619326657346586</v>
      </c>
      <c r="I31" s="26">
        <v>0.13383749747031976</v>
      </c>
      <c r="J31" s="26">
        <v>0.10522125242053167</v>
      </c>
      <c r="K31" s="26">
        <v>0.11537057458796522</v>
      </c>
      <c r="L31" s="26">
        <v>4.9623562583038412E-2</v>
      </c>
      <c r="M31" s="26">
        <v>7.4852546194615774E-2</v>
      </c>
      <c r="N31" s="26"/>
      <c r="O31" s="26"/>
    </row>
    <row r="32" spans="1:15">
      <c r="A32" s="118"/>
      <c r="B32" s="118" t="s">
        <v>127</v>
      </c>
      <c r="C32" s="125">
        <v>0.82632894926306222</v>
      </c>
      <c r="D32" s="125"/>
      <c r="E32" s="125">
        <v>0.37647651653881953</v>
      </c>
      <c r="F32" s="125">
        <v>0.1763205183085082</v>
      </c>
      <c r="G32" s="125">
        <v>9.8399591079714896E-2</v>
      </c>
      <c r="H32" s="125">
        <v>0.20659607104327088</v>
      </c>
      <c r="I32" s="125">
        <v>0.13299650180737485</v>
      </c>
      <c r="J32" s="125">
        <v>0.11505559061054832</v>
      </c>
      <c r="K32" s="125">
        <v>0.11486731140440086</v>
      </c>
      <c r="L32" s="125">
        <v>5.878797505286118E-2</v>
      </c>
      <c r="M32" s="125">
        <v>6.8485760303705942E-2</v>
      </c>
      <c r="N32" s="26"/>
      <c r="O32" s="121"/>
    </row>
    <row r="33" spans="1:21">
      <c r="A33" s="67"/>
      <c r="B33" s="67"/>
      <c r="C33" s="187" t="s">
        <v>147</v>
      </c>
      <c r="D33" s="187"/>
      <c r="E33" s="187"/>
      <c r="F33" s="187"/>
      <c r="G33" s="187"/>
      <c r="H33" s="187"/>
      <c r="I33" s="187"/>
      <c r="J33" s="187"/>
      <c r="K33" s="187"/>
      <c r="L33" s="187"/>
      <c r="M33" s="187"/>
    </row>
    <row r="34" spans="1:21">
      <c r="A34" s="35" t="s">
        <v>145</v>
      </c>
      <c r="B34" s="35" t="s">
        <v>57</v>
      </c>
      <c r="C34" s="84">
        <v>3460623.755104857</v>
      </c>
      <c r="D34" s="84"/>
      <c r="E34" s="84">
        <v>1350593.8614712476</v>
      </c>
      <c r="F34" s="84">
        <v>859692.71746683796</v>
      </c>
      <c r="G34" s="84">
        <v>700069.40308656532</v>
      </c>
      <c r="H34" s="84">
        <v>653495.32130033011</v>
      </c>
      <c r="I34" s="84">
        <v>536771.89226543193</v>
      </c>
      <c r="J34" s="84">
        <v>449915.15817366226</v>
      </c>
      <c r="K34" s="84">
        <v>524355.60616218287</v>
      </c>
      <c r="L34" s="84">
        <v>236111.20395605225</v>
      </c>
      <c r="M34" s="84">
        <v>310226.26999854873</v>
      </c>
      <c r="N34" s="84"/>
      <c r="O34" s="84"/>
      <c r="P34" s="44"/>
      <c r="Q34" s="44"/>
    </row>
    <row r="35" spans="1:21">
      <c r="A35" s="34" t="s">
        <v>61</v>
      </c>
      <c r="B35" s="34" t="s">
        <v>124</v>
      </c>
      <c r="C35" s="86">
        <v>720572.40802780527</v>
      </c>
      <c r="D35" s="86"/>
      <c r="E35" s="86">
        <v>138390.05211781469</v>
      </c>
      <c r="F35" s="86">
        <v>202288.87227727089</v>
      </c>
      <c r="G35" s="86">
        <v>200478.3233918375</v>
      </c>
      <c r="H35" s="86">
        <v>67498.042273689935</v>
      </c>
      <c r="I35" s="86">
        <v>82565.243709071234</v>
      </c>
      <c r="J35" s="86">
        <v>80551.256674422431</v>
      </c>
      <c r="K35" s="86">
        <v>107337.90258620569</v>
      </c>
      <c r="L35" s="86">
        <v>42439.160741404026</v>
      </c>
      <c r="M35" s="86">
        <v>70063.539975696942</v>
      </c>
      <c r="N35" s="86"/>
      <c r="O35" s="86"/>
      <c r="P35" s="44"/>
      <c r="Q35" s="44"/>
    </row>
    <row r="36" spans="1:21">
      <c r="A36" s="34"/>
      <c r="B36" s="34" t="s">
        <v>125</v>
      </c>
      <c r="C36" s="86">
        <v>1061647.3366712814</v>
      </c>
      <c r="D36" s="86"/>
      <c r="E36" s="86">
        <v>422212.40673405252</v>
      </c>
      <c r="F36" s="86">
        <v>298827.76442317251</v>
      </c>
      <c r="G36" s="86">
        <v>247538.7973831128</v>
      </c>
      <c r="H36" s="86">
        <v>183652.77698436944</v>
      </c>
      <c r="I36" s="86">
        <v>170872.6358086321</v>
      </c>
      <c r="J36" s="86">
        <v>140083.83881326707</v>
      </c>
      <c r="K36" s="86">
        <v>166437.13833522864</v>
      </c>
      <c r="L36" s="86">
        <v>68955.03586191051</v>
      </c>
      <c r="M36" s="86">
        <v>80310.433117305642</v>
      </c>
      <c r="N36" s="86"/>
      <c r="O36" s="86"/>
      <c r="P36" s="44"/>
      <c r="Q36" s="44"/>
    </row>
    <row r="37" spans="1:21">
      <c r="A37" s="34"/>
      <c r="B37" s="34" t="s">
        <v>126</v>
      </c>
      <c r="C37" s="86">
        <v>845513.11008261389</v>
      </c>
      <c r="D37" s="86"/>
      <c r="E37" s="86">
        <v>385375.3500025486</v>
      </c>
      <c r="F37" s="86">
        <v>205352.7415948518</v>
      </c>
      <c r="G37" s="86">
        <v>144038.90230214514</v>
      </c>
      <c r="H37" s="86">
        <v>190092.29872779254</v>
      </c>
      <c r="I37" s="86">
        <v>140801.25607930019</v>
      </c>
      <c r="J37" s="86">
        <v>111654.15928386686</v>
      </c>
      <c r="K37" s="86">
        <v>127143.85920754449</v>
      </c>
      <c r="L37" s="86">
        <v>55481.416248682661</v>
      </c>
      <c r="M37" s="86">
        <v>77245.941962667115</v>
      </c>
      <c r="N37" s="86"/>
      <c r="O37" s="86"/>
      <c r="P37" s="44"/>
      <c r="Q37" s="44"/>
    </row>
    <row r="38" spans="1:21">
      <c r="A38" s="34"/>
      <c r="B38" s="34" t="s">
        <v>127</v>
      </c>
      <c r="C38" s="86">
        <v>832890.90032312379</v>
      </c>
      <c r="D38" s="86"/>
      <c r="E38" s="86">
        <v>404616.05261684465</v>
      </c>
      <c r="F38" s="86">
        <v>153223.33917154433</v>
      </c>
      <c r="G38" s="86">
        <v>108013.38000946998</v>
      </c>
      <c r="H38" s="86">
        <v>212252.20331447816</v>
      </c>
      <c r="I38" s="86">
        <v>142532.7566684286</v>
      </c>
      <c r="J38" s="86">
        <v>117625.90340210636</v>
      </c>
      <c r="K38" s="86">
        <v>123436.70603320486</v>
      </c>
      <c r="L38" s="86">
        <v>69235.59110405462</v>
      </c>
      <c r="M38" s="86">
        <v>82606.354942878679</v>
      </c>
      <c r="N38" s="86"/>
      <c r="O38" s="86"/>
      <c r="P38" s="44"/>
      <c r="Q38" s="44"/>
    </row>
    <row r="39" spans="1:21">
      <c r="A39" s="34"/>
      <c r="B39" s="34"/>
      <c r="C39" s="85"/>
      <c r="D39" s="86"/>
      <c r="E39" s="86"/>
      <c r="F39" s="86"/>
      <c r="G39" s="86"/>
      <c r="H39" s="86"/>
      <c r="I39" s="86"/>
      <c r="J39" s="87"/>
      <c r="K39" s="86"/>
      <c r="L39" s="86"/>
      <c r="M39" s="86"/>
      <c r="N39" s="86"/>
      <c r="O39" s="44"/>
      <c r="P39" s="44"/>
    </row>
    <row r="40" spans="1:21">
      <c r="A40" s="35" t="s">
        <v>58</v>
      </c>
      <c r="B40" s="35" t="s">
        <v>57</v>
      </c>
      <c r="C40" s="88">
        <v>1777208.2365711608</v>
      </c>
      <c r="D40" s="88"/>
      <c r="E40" s="88">
        <v>771230.6991234211</v>
      </c>
      <c r="F40" s="88">
        <v>373666.1671390027</v>
      </c>
      <c r="G40" s="88">
        <v>364173.92833998275</v>
      </c>
      <c r="H40" s="88">
        <v>349512.23794395383</v>
      </c>
      <c r="I40" s="88">
        <v>281814.23797534377</v>
      </c>
      <c r="J40" s="88">
        <v>236811.95272973529</v>
      </c>
      <c r="K40" s="88">
        <v>276540.86723261426</v>
      </c>
      <c r="L40" s="88">
        <v>141942.17694528203</v>
      </c>
      <c r="M40" s="88">
        <v>164872.5639538226</v>
      </c>
      <c r="N40" s="88"/>
      <c r="O40" s="84"/>
      <c r="P40" s="44"/>
      <c r="Q40" s="44"/>
      <c r="U40"/>
    </row>
    <row r="41" spans="1:21">
      <c r="A41" s="34" t="s">
        <v>61</v>
      </c>
      <c r="B41" s="34" t="s">
        <v>124</v>
      </c>
      <c r="C41" s="85">
        <v>373878.22360420495</v>
      </c>
      <c r="D41" s="85"/>
      <c r="E41" s="85">
        <v>79843.98415009203</v>
      </c>
      <c r="F41" s="85">
        <v>96046.398125907654</v>
      </c>
      <c r="G41" s="85">
        <v>101919.69182474831</v>
      </c>
      <c r="H41" s="85">
        <v>35066.183443740323</v>
      </c>
      <c r="I41" s="85">
        <v>42868.352413558132</v>
      </c>
      <c r="J41" s="85">
        <v>43294.456674723609</v>
      </c>
      <c r="K41" s="85">
        <v>56990.843702786035</v>
      </c>
      <c r="L41" s="85">
        <v>26986.917187596326</v>
      </c>
      <c r="M41" s="85">
        <v>35369.21190970872</v>
      </c>
      <c r="N41" s="85"/>
      <c r="O41" s="86"/>
      <c r="P41" s="44"/>
      <c r="Q41" s="44"/>
    </row>
    <row r="42" spans="1:21">
      <c r="A42" s="34"/>
      <c r="B42" s="34" t="s">
        <v>125</v>
      </c>
      <c r="C42" s="85">
        <v>540750.79477773816</v>
      </c>
      <c r="D42" s="85"/>
      <c r="E42" s="85">
        <v>249619.47753512597</v>
      </c>
      <c r="F42" s="85">
        <v>124898.09650464058</v>
      </c>
      <c r="G42" s="85">
        <v>125965.31425936971</v>
      </c>
      <c r="H42" s="85">
        <v>108551.06030824019</v>
      </c>
      <c r="I42" s="85">
        <v>86201.812009629779</v>
      </c>
      <c r="J42" s="85">
        <v>72231.630949904604</v>
      </c>
      <c r="K42" s="85">
        <v>81799.901860960381</v>
      </c>
      <c r="L42" s="85">
        <v>43126.225699575807</v>
      </c>
      <c r="M42" s="85">
        <v>40091.091574967628</v>
      </c>
      <c r="N42" s="85"/>
      <c r="O42" s="86"/>
      <c r="P42" s="44"/>
      <c r="Q42" s="44"/>
    </row>
    <row r="43" spans="1:21">
      <c r="A43" s="34"/>
      <c r="B43" s="34" t="s">
        <v>126</v>
      </c>
      <c r="C43" s="85">
        <v>435787.99175048975</v>
      </c>
      <c r="D43" s="85"/>
      <c r="E43" s="85">
        <v>221865.4957688287</v>
      </c>
      <c r="F43" s="85">
        <v>85850.21451746815</v>
      </c>
      <c r="G43" s="85">
        <v>77074.073958577545</v>
      </c>
      <c r="H43" s="85">
        <v>94821.936391824973</v>
      </c>
      <c r="I43" s="85">
        <v>75810.509450582977</v>
      </c>
      <c r="J43" s="85">
        <v>60007.724203205762</v>
      </c>
      <c r="K43" s="85">
        <v>70568.969561426857</v>
      </c>
      <c r="L43" s="85">
        <v>31384.489426184755</v>
      </c>
      <c r="M43" s="85">
        <v>40346.382227670103</v>
      </c>
      <c r="N43" s="85"/>
      <c r="O43" s="86"/>
      <c r="P43" s="44"/>
      <c r="Q43" s="44"/>
    </row>
    <row r="44" spans="1:21">
      <c r="A44" s="34"/>
      <c r="B44" s="34" t="s">
        <v>127</v>
      </c>
      <c r="C44" s="85">
        <v>426791.2264387529</v>
      </c>
      <c r="D44" s="85"/>
      <c r="E44" s="85">
        <v>219901.74166937085</v>
      </c>
      <c r="F44" s="85">
        <v>66871.457990986411</v>
      </c>
      <c r="G44" s="85">
        <v>59214.848297287295</v>
      </c>
      <c r="H44" s="85">
        <v>111073.05780014877</v>
      </c>
      <c r="I44" s="85">
        <v>76933.564101572541</v>
      </c>
      <c r="J44" s="85">
        <v>61278.140901900682</v>
      </c>
      <c r="K44" s="85">
        <v>67181.152107440546</v>
      </c>
      <c r="L44" s="85">
        <v>40444.544631924939</v>
      </c>
      <c r="M44" s="85">
        <v>49065.878241475912</v>
      </c>
      <c r="N44" s="85"/>
      <c r="O44" s="86"/>
      <c r="P44" s="44"/>
      <c r="Q44" s="44"/>
    </row>
    <row r="45" spans="1:21">
      <c r="A45" s="34"/>
      <c r="B45" s="34"/>
      <c r="C45" s="85"/>
      <c r="D45" s="86"/>
      <c r="E45" s="86"/>
      <c r="F45" s="86"/>
      <c r="G45" s="86"/>
      <c r="H45" s="86"/>
      <c r="I45" s="86"/>
      <c r="J45" s="87"/>
      <c r="K45" s="86"/>
      <c r="L45" s="86"/>
      <c r="M45" s="86"/>
      <c r="N45" s="86"/>
      <c r="O45" s="44"/>
      <c r="P45" s="44"/>
    </row>
    <row r="46" spans="1:21">
      <c r="A46" s="35" t="s">
        <v>59</v>
      </c>
      <c r="B46" s="35" t="s">
        <v>57</v>
      </c>
      <c r="C46" s="88">
        <v>1676939.6149131453</v>
      </c>
      <c r="D46" s="88"/>
      <c r="E46" s="88">
        <v>575907.74952040939</v>
      </c>
      <c r="F46" s="88">
        <v>485487.99970830872</v>
      </c>
      <c r="G46" s="88">
        <v>333326.93619313114</v>
      </c>
      <c r="H46" s="88">
        <v>303983.08335637586</v>
      </c>
      <c r="I46" s="88">
        <v>253870.80660248836</v>
      </c>
      <c r="J46" s="88">
        <v>212551.62707586726</v>
      </c>
      <c r="K46" s="88">
        <v>247263.1605615094</v>
      </c>
      <c r="L46" s="88">
        <v>94169.027010769991</v>
      </c>
      <c r="M46" s="88">
        <v>144802.12767666567</v>
      </c>
      <c r="N46" s="88"/>
      <c r="O46" s="84"/>
      <c r="P46" s="44"/>
      <c r="Q46" s="44"/>
    </row>
    <row r="47" spans="1:21">
      <c r="A47" s="34" t="s">
        <v>61</v>
      </c>
      <c r="B47" s="34" t="s">
        <v>124</v>
      </c>
      <c r="C47" s="85">
        <v>344686.45512969425</v>
      </c>
      <c r="D47" s="85"/>
      <c r="E47" s="85">
        <v>57947.357094496641</v>
      </c>
      <c r="F47" s="85">
        <v>106242.47415136303</v>
      </c>
      <c r="G47" s="85">
        <v>97149.613146409072</v>
      </c>
      <c r="H47" s="85">
        <v>32431.85882994959</v>
      </c>
      <c r="I47" s="85">
        <v>39075.023596027473</v>
      </c>
      <c r="J47" s="85">
        <v>37256.799999698778</v>
      </c>
      <c r="K47" s="85">
        <v>50347.058883419741</v>
      </c>
      <c r="L47" s="85">
        <v>15452.243553807704</v>
      </c>
      <c r="M47" s="85">
        <v>34694.328065988258</v>
      </c>
      <c r="N47" s="85"/>
      <c r="O47" s="86"/>
      <c r="P47" s="44"/>
      <c r="Q47" s="44"/>
    </row>
    <row r="48" spans="1:21">
      <c r="A48" s="34"/>
      <c r="B48" s="34" t="s">
        <v>125</v>
      </c>
      <c r="C48" s="85">
        <v>520295.35639481049</v>
      </c>
      <c r="D48" s="85"/>
      <c r="E48" s="85">
        <v>171991.7437001965</v>
      </c>
      <c r="F48" s="85">
        <v>173929.66791853143</v>
      </c>
      <c r="G48" s="85">
        <v>121573.48312374274</v>
      </c>
      <c r="H48" s="85">
        <v>75101.716676129028</v>
      </c>
      <c r="I48" s="85">
        <v>84670.823799002232</v>
      </c>
      <c r="J48" s="85">
        <v>67852.207863362288</v>
      </c>
      <c r="K48" s="85">
        <v>84637.236474268095</v>
      </c>
      <c r="L48" s="85">
        <v>25828.810162334725</v>
      </c>
      <c r="M48" s="85">
        <v>40219.341542338007</v>
      </c>
      <c r="N48" s="85"/>
      <c r="O48" s="86"/>
      <c r="P48" s="44"/>
      <c r="Q48" s="44"/>
    </row>
    <row r="49" spans="1:23">
      <c r="A49" s="34"/>
      <c r="B49" s="34" t="s">
        <v>126</v>
      </c>
      <c r="C49" s="85">
        <v>407268.32126061921</v>
      </c>
      <c r="D49" s="85"/>
      <c r="E49" s="85">
        <v>161591.60778174299</v>
      </c>
      <c r="F49" s="85">
        <v>118963.97645785697</v>
      </c>
      <c r="G49" s="85">
        <v>66413.249975507526</v>
      </c>
      <c r="H49" s="85">
        <v>95270.362335967569</v>
      </c>
      <c r="I49" s="85">
        <v>64990.746628717272</v>
      </c>
      <c r="J49" s="85">
        <v>51094.856712600937</v>
      </c>
      <c r="K49" s="85">
        <v>56023.311278057641</v>
      </c>
      <c r="L49" s="85">
        <v>24096.92682249791</v>
      </c>
      <c r="M49" s="85">
        <v>36347.981366936765</v>
      </c>
      <c r="N49" s="85"/>
      <c r="O49" s="86"/>
      <c r="P49" s="44"/>
      <c r="Q49" s="44"/>
    </row>
    <row r="50" spans="1:23">
      <c r="A50" s="34"/>
      <c r="B50" s="34" t="s">
        <v>127</v>
      </c>
      <c r="C50" s="85">
        <v>404689.48212804645</v>
      </c>
      <c r="D50" s="85"/>
      <c r="E50" s="85">
        <v>184377.04094397297</v>
      </c>
      <c r="F50" s="85">
        <v>86351.881180557553</v>
      </c>
      <c r="G50" s="85">
        <v>48190.589947471679</v>
      </c>
      <c r="H50" s="85">
        <v>101179.14551432952</v>
      </c>
      <c r="I50" s="85">
        <v>65134.212578741419</v>
      </c>
      <c r="J50" s="85">
        <v>56347.762500205419</v>
      </c>
      <c r="K50" s="85">
        <v>56255.55392576391</v>
      </c>
      <c r="L50" s="85">
        <v>28791.04647212967</v>
      </c>
      <c r="M50" s="85">
        <v>33540.476701402658</v>
      </c>
      <c r="N50" s="85"/>
      <c r="O50" s="86"/>
      <c r="P50" s="44"/>
      <c r="Q50" s="44"/>
    </row>
    <row r="51" spans="1:23">
      <c r="A51" s="118"/>
      <c r="B51" s="118"/>
      <c r="C51" s="119"/>
      <c r="D51" s="119"/>
      <c r="E51" s="119"/>
      <c r="F51" s="119"/>
      <c r="G51" s="119"/>
      <c r="H51" s="119"/>
      <c r="I51" s="119"/>
      <c r="J51" s="119"/>
      <c r="K51" s="119"/>
      <c r="L51" s="119"/>
      <c r="M51" s="119"/>
    </row>
    <row r="52" spans="1:23">
      <c r="A52" s="16" t="s">
        <v>130</v>
      </c>
    </row>
    <row r="53" spans="1:23">
      <c r="A53" s="24" t="s">
        <v>117</v>
      </c>
    </row>
    <row r="54" spans="1:23" ht="15" customHeight="1">
      <c r="A54" s="16" t="s">
        <v>121</v>
      </c>
      <c r="B54" s="24"/>
      <c r="C54" s="2"/>
      <c r="G54" s="2"/>
      <c r="K54" s="2"/>
      <c r="O54" s="2"/>
      <c r="S54" s="2"/>
      <c r="W54" s="2"/>
    </row>
    <row r="55" spans="1:23">
      <c r="A55" s="16" t="s">
        <v>122</v>
      </c>
    </row>
    <row r="56" spans="1:23">
      <c r="A56" s="24" t="s">
        <v>120</v>
      </c>
    </row>
  </sheetData>
  <mergeCells count="3">
    <mergeCell ref="C15:M15"/>
    <mergeCell ref="C33:M33"/>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2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C34&lt;'38'!$D$104</xm:f>
            <x14:dxf>
              <font>
                <color rgb="FFFF0000"/>
              </font>
              <numFmt numFmtId="172" formatCode="\*\*0.0%"/>
            </x14:dxf>
          </x14:cfRule>
          <x14:cfRule type="expression" priority="4" id="{631786B4-464F-4B04-81C1-7994D274B302}">
            <xm:f>C34&lt;'38'!$D$103</xm:f>
            <x14:dxf>
              <font>
                <color rgb="FF00B050"/>
              </font>
              <numFmt numFmtId="171" formatCode="\*0.0%"/>
            </x14:dxf>
          </x14:cfRule>
          <xm:sqref>C16:N32</xm:sqref>
        </x14:conditionalFormatting>
        <x14:conditionalFormatting xmlns:xm="http://schemas.microsoft.com/office/excel/2006/main">
          <x14:cfRule type="expression" priority="1" id="{9C9083FA-6CB3-46B9-88D5-1705E3D89979}">
            <xm:f>C34&lt;'38'!$D$104</xm:f>
            <x14:dxf>
              <font>
                <color rgb="FFFF0000"/>
              </font>
              <numFmt numFmtId="174" formatCode="\*\*#,###,###,##0"/>
            </x14:dxf>
          </x14:cfRule>
          <x14:cfRule type="expression" priority="2" id="{1E197729-0375-47A7-8316-BADF5A695DD1}">
            <xm:f>C34&lt;'38'!$D$103</xm:f>
            <x14:dxf>
              <font>
                <color rgb="FF00B050"/>
              </font>
              <numFmt numFmtId="173"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dimension ref="A1:W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3" width="16.7109375" style="1" customWidth="1"/>
    <col min="14" max="16384" width="8.85546875" style="1"/>
  </cols>
  <sheetData>
    <row r="1" spans="1:13" s="72" customFormat="1">
      <c r="A1" s="29"/>
      <c r="B1" s="29"/>
      <c r="C1" s="115"/>
      <c r="D1" s="29"/>
      <c r="E1" s="29"/>
      <c r="F1" s="29"/>
      <c r="G1" s="29"/>
      <c r="H1" s="29"/>
      <c r="I1" s="29"/>
      <c r="J1" s="29"/>
      <c r="K1" s="29"/>
      <c r="L1" s="29"/>
      <c r="M1" s="29"/>
    </row>
    <row r="2" spans="1:13" s="72" customFormat="1">
      <c r="A2" s="29"/>
      <c r="B2" s="29"/>
      <c r="C2" s="115"/>
      <c r="D2" s="29"/>
      <c r="E2" s="29"/>
      <c r="F2" s="29"/>
      <c r="G2" s="29"/>
      <c r="H2" s="29"/>
      <c r="I2" s="29"/>
      <c r="J2" s="29"/>
      <c r="K2" s="29"/>
      <c r="L2" s="29"/>
      <c r="M2" s="29"/>
    </row>
    <row r="3" spans="1:13" s="72" customFormat="1">
      <c r="A3" s="29"/>
      <c r="B3" s="29"/>
      <c r="C3" s="115"/>
      <c r="D3" s="29"/>
      <c r="E3" s="29"/>
      <c r="F3" s="29"/>
      <c r="G3" s="29"/>
      <c r="H3" s="29"/>
      <c r="I3" s="29"/>
      <c r="J3" s="29"/>
      <c r="K3" s="29"/>
      <c r="L3" s="29"/>
      <c r="M3" s="29"/>
    </row>
    <row r="4" spans="1:13" s="72" customFormat="1">
      <c r="A4" s="29"/>
      <c r="B4" s="29"/>
      <c r="C4" s="115"/>
      <c r="D4" s="29"/>
      <c r="E4" s="29"/>
      <c r="F4" s="29"/>
      <c r="G4" s="29"/>
      <c r="H4" s="29"/>
      <c r="I4" s="29"/>
      <c r="J4" s="29"/>
      <c r="K4" s="29"/>
      <c r="L4" s="29"/>
      <c r="M4" s="29"/>
    </row>
    <row r="5" spans="1:13" s="72" customFormat="1">
      <c r="A5" s="29"/>
      <c r="B5" s="29"/>
      <c r="C5" s="115"/>
      <c r="D5" s="29"/>
      <c r="E5" s="29"/>
      <c r="F5" s="29"/>
      <c r="G5" s="29"/>
      <c r="H5" s="29"/>
      <c r="I5" s="29"/>
      <c r="J5" s="29"/>
      <c r="K5" s="29"/>
      <c r="L5" s="29"/>
      <c r="M5" s="29"/>
    </row>
    <row r="6" spans="1:13" s="72" customFormat="1">
      <c r="A6" s="29"/>
      <c r="B6" s="29"/>
      <c r="C6" s="115"/>
      <c r="D6" s="29"/>
      <c r="E6" s="29"/>
      <c r="F6" s="29"/>
      <c r="G6" s="29"/>
      <c r="H6" s="29"/>
      <c r="I6" s="29"/>
      <c r="J6" s="29"/>
      <c r="K6" s="29"/>
      <c r="L6" s="29"/>
      <c r="M6" s="29"/>
    </row>
    <row r="7" spans="1:13" s="72" customFormat="1">
      <c r="A7" s="29"/>
      <c r="B7" s="29"/>
      <c r="C7" s="115"/>
      <c r="D7" s="29"/>
      <c r="E7" s="29"/>
      <c r="F7" s="29"/>
      <c r="G7" s="29"/>
      <c r="H7" s="29"/>
      <c r="I7" s="29"/>
      <c r="J7" s="29"/>
      <c r="K7" s="29"/>
      <c r="L7" s="29"/>
      <c r="M7" s="29"/>
    </row>
    <row r="8" spans="1:13" s="72" customFormat="1">
      <c r="A8" s="30" t="s">
        <v>0</v>
      </c>
      <c r="B8" s="29"/>
      <c r="C8" s="29"/>
      <c r="D8" s="29"/>
      <c r="E8" s="29"/>
      <c r="F8" s="29"/>
      <c r="G8" s="29"/>
      <c r="H8" s="29"/>
      <c r="I8" s="29"/>
      <c r="J8" s="29"/>
      <c r="K8" s="29"/>
      <c r="L8" s="29"/>
      <c r="M8" s="29"/>
    </row>
    <row r="9" spans="1:13" s="72" customFormat="1">
      <c r="A9" s="29" t="s">
        <v>1</v>
      </c>
      <c r="B9" s="29"/>
      <c r="C9" s="90" t="s">
        <v>2</v>
      </c>
      <c r="D9" s="30"/>
      <c r="E9" s="29"/>
      <c r="F9" s="29"/>
      <c r="G9" s="29"/>
      <c r="H9" s="29"/>
      <c r="I9" s="29"/>
      <c r="J9" s="29"/>
      <c r="K9" s="29"/>
      <c r="L9" s="29"/>
      <c r="M9" s="29"/>
    </row>
    <row r="10" spans="1:13" s="72" customFormat="1">
      <c r="A10" s="29" t="s">
        <v>49</v>
      </c>
      <c r="B10" s="29"/>
      <c r="C10" s="31">
        <v>7</v>
      </c>
      <c r="D10" s="31"/>
      <c r="E10" s="29"/>
      <c r="F10" s="107" t="s">
        <v>146</v>
      </c>
      <c r="G10" s="29"/>
      <c r="H10" s="29"/>
      <c r="I10" s="29"/>
      <c r="J10" s="29"/>
      <c r="K10" s="29"/>
      <c r="L10" s="29"/>
      <c r="M10" s="29"/>
    </row>
    <row r="11" spans="1:13" s="72" customFormat="1">
      <c r="A11" s="29" t="s">
        <v>3</v>
      </c>
      <c r="B11" s="29"/>
      <c r="C11" s="30" t="s">
        <v>15</v>
      </c>
      <c r="D11" s="30"/>
      <c r="E11" s="29"/>
      <c r="F11" s="29"/>
      <c r="G11" s="29"/>
      <c r="H11" s="29"/>
      <c r="I11" s="29"/>
      <c r="J11" s="29"/>
      <c r="K11" s="29"/>
      <c r="L11" s="29"/>
      <c r="M11" s="29"/>
    </row>
    <row r="12" spans="1:13" s="72" customFormat="1">
      <c r="A12" s="116" t="s">
        <v>50</v>
      </c>
      <c r="B12" s="116"/>
      <c r="C12" s="117" t="s">
        <v>51</v>
      </c>
      <c r="D12" s="117"/>
      <c r="E12" s="116"/>
      <c r="F12" s="116"/>
      <c r="G12" s="116"/>
      <c r="H12" s="116"/>
      <c r="I12" s="116"/>
      <c r="J12" s="116"/>
      <c r="K12" s="116"/>
      <c r="L12" s="116"/>
      <c r="M12" s="116"/>
    </row>
    <row r="13" spans="1:13" s="8" customFormat="1" ht="50.1" customHeight="1">
      <c r="A13" s="100"/>
      <c r="B13" s="100"/>
      <c r="C13" s="37" t="s">
        <v>60</v>
      </c>
      <c r="D13" s="64"/>
      <c r="E13" s="64" t="s">
        <v>166</v>
      </c>
      <c r="F13" s="64" t="s">
        <v>167</v>
      </c>
      <c r="G13" s="64" t="s">
        <v>153</v>
      </c>
      <c r="H13" s="64" t="s">
        <v>168</v>
      </c>
      <c r="I13" s="64" t="s">
        <v>169</v>
      </c>
      <c r="J13" s="64" t="s">
        <v>170</v>
      </c>
      <c r="K13" s="64" t="s">
        <v>171</v>
      </c>
      <c r="L13" s="64" t="s">
        <v>172</v>
      </c>
      <c r="M13" s="64" t="s">
        <v>173</v>
      </c>
    </row>
    <row r="14" spans="1:13">
      <c r="A14" s="67"/>
      <c r="B14" s="67"/>
      <c r="C14" s="187" t="s">
        <v>144</v>
      </c>
      <c r="D14" s="187"/>
      <c r="E14" s="187"/>
      <c r="F14" s="187"/>
      <c r="G14" s="187"/>
      <c r="H14" s="187"/>
      <c r="I14" s="187"/>
      <c r="J14" s="187"/>
      <c r="K14" s="187"/>
      <c r="L14" s="187"/>
      <c r="M14" s="187"/>
    </row>
    <row r="15" spans="1:13">
      <c r="A15" s="35" t="s">
        <v>145</v>
      </c>
      <c r="B15" s="35" t="s">
        <v>57</v>
      </c>
      <c r="C15" s="89">
        <v>0.85544795004655749</v>
      </c>
      <c r="D15" s="28"/>
      <c r="E15" s="28">
        <v>0.62147317659758794</v>
      </c>
      <c r="F15" s="28">
        <v>0.29234204792064794</v>
      </c>
      <c r="G15" s="28">
        <v>0.29210875365255984</v>
      </c>
      <c r="H15" s="28">
        <v>0.20964889675811813</v>
      </c>
      <c r="I15" s="28">
        <v>0.18587269446893326</v>
      </c>
      <c r="J15" s="89">
        <v>0.1579165067634469</v>
      </c>
      <c r="K15" s="28">
        <v>9.2990820766160623E-2</v>
      </c>
      <c r="L15" s="28">
        <v>6.4571502306951314E-2</v>
      </c>
      <c r="M15" s="28">
        <v>6.5791914539357052E-2</v>
      </c>
    </row>
    <row r="16" spans="1:13">
      <c r="A16" s="35"/>
      <c r="B16" s="34" t="s">
        <v>62</v>
      </c>
      <c r="C16" s="26">
        <v>0.84811698202841401</v>
      </c>
      <c r="D16" s="4"/>
      <c r="E16" s="4">
        <v>0.57571960112158227</v>
      </c>
      <c r="F16" s="4">
        <v>0.41590052129737948</v>
      </c>
      <c r="G16" s="4">
        <v>0.31169082019580352</v>
      </c>
      <c r="H16" s="4">
        <v>0.33975378588894856</v>
      </c>
      <c r="I16" s="4">
        <v>0.31329104167572092</v>
      </c>
      <c r="J16" s="26">
        <v>0.18311841199505577</v>
      </c>
      <c r="K16" s="102">
        <v>0.14836403428312772</v>
      </c>
      <c r="L16" s="102">
        <v>0.36335385861923813</v>
      </c>
      <c r="M16" s="102">
        <v>7.0026988626972805E-2</v>
      </c>
    </row>
    <row r="17" spans="1:13">
      <c r="A17" s="35"/>
      <c r="B17" s="34" t="s">
        <v>63</v>
      </c>
      <c r="C17" s="26">
        <v>0.87778332109952784</v>
      </c>
      <c r="D17" s="4"/>
      <c r="E17" s="4">
        <v>0.57866963174118558</v>
      </c>
      <c r="F17" s="4">
        <v>0.36049291723798854</v>
      </c>
      <c r="G17" s="4">
        <v>0.41870706219914816</v>
      </c>
      <c r="H17" s="4">
        <v>0.32175137024167866</v>
      </c>
      <c r="I17" s="4">
        <v>0.27946371187992586</v>
      </c>
      <c r="J17" s="26">
        <v>0.21386739683341868</v>
      </c>
      <c r="K17" s="102">
        <v>0.14951855376051304</v>
      </c>
      <c r="L17" s="102">
        <v>0.17006219096543232</v>
      </c>
      <c r="M17" s="102">
        <v>8.7505524950253502E-2</v>
      </c>
    </row>
    <row r="18" spans="1:13">
      <c r="A18" s="35"/>
      <c r="B18" s="34" t="s">
        <v>64</v>
      </c>
      <c r="C18" s="26">
        <v>0.89908487785021851</v>
      </c>
      <c r="D18" s="4"/>
      <c r="E18" s="4">
        <v>0.60622424443375711</v>
      </c>
      <c r="F18" s="4">
        <v>0.33156158814139092</v>
      </c>
      <c r="G18" s="4">
        <v>0.42290337173589659</v>
      </c>
      <c r="H18" s="4">
        <v>0.29608085536640566</v>
      </c>
      <c r="I18" s="4">
        <v>0.23512247432536532</v>
      </c>
      <c r="J18" s="26">
        <v>0.21988427806606681</v>
      </c>
      <c r="K18" s="102">
        <v>0.1330693137380668</v>
      </c>
      <c r="L18" s="102">
        <v>7.881895498112039E-2</v>
      </c>
      <c r="M18" s="102">
        <v>0.10906878276043239</v>
      </c>
    </row>
    <row r="19" spans="1:13">
      <c r="A19" s="35"/>
      <c r="B19" s="34" t="s">
        <v>65</v>
      </c>
      <c r="C19" s="26">
        <v>0.88785080357180457</v>
      </c>
      <c r="D19" s="4"/>
      <c r="E19" s="4">
        <v>0.62483300088340077</v>
      </c>
      <c r="F19" s="4">
        <v>0.31454851179004062</v>
      </c>
      <c r="G19" s="4">
        <v>0.32596681048749959</v>
      </c>
      <c r="H19" s="4">
        <v>0.24015006469891256</v>
      </c>
      <c r="I19" s="4">
        <v>0.19396128493314246</v>
      </c>
      <c r="J19" s="26">
        <v>0.17781785863615174</v>
      </c>
      <c r="K19" s="102">
        <v>8.458976545801021E-2</v>
      </c>
      <c r="L19" s="102">
        <v>4.4088876539356434E-2</v>
      </c>
      <c r="M19" s="102">
        <v>7.542981478297496E-2</v>
      </c>
    </row>
    <row r="20" spans="1:13">
      <c r="A20" s="35"/>
      <c r="B20" s="34" t="s">
        <v>66</v>
      </c>
      <c r="C20" s="26">
        <v>0.88258653404143272</v>
      </c>
      <c r="D20" s="4"/>
      <c r="E20" s="4">
        <v>0.66857782397282106</v>
      </c>
      <c r="F20" s="4">
        <v>0.29911634201144527</v>
      </c>
      <c r="G20" s="4">
        <v>0.25490198265316832</v>
      </c>
      <c r="H20" s="4">
        <v>0.18729802716323354</v>
      </c>
      <c r="I20" s="4">
        <v>0.14780040823518503</v>
      </c>
      <c r="J20" s="26">
        <v>0.14534225314981614</v>
      </c>
      <c r="K20" s="102">
        <v>7.1180174494171009E-2</v>
      </c>
      <c r="L20" s="102">
        <v>3.1002388656213759E-2</v>
      </c>
      <c r="M20" s="102">
        <v>7.5843888958692665E-2</v>
      </c>
    </row>
    <row r="21" spans="1:13">
      <c r="A21" s="35"/>
      <c r="B21" s="34" t="s">
        <v>67</v>
      </c>
      <c r="C21" s="26">
        <v>0.86062976948929415</v>
      </c>
      <c r="D21" s="4"/>
      <c r="E21" s="4">
        <v>0.7052682156742166</v>
      </c>
      <c r="F21" s="4">
        <v>0.27276053577454878</v>
      </c>
      <c r="G21" s="4">
        <v>0.21331572516297437</v>
      </c>
      <c r="H21" s="4">
        <v>0.14147495711218913</v>
      </c>
      <c r="I21" s="4">
        <v>0.13970043034618834</v>
      </c>
      <c r="J21" s="26">
        <v>0.12889465688542701</v>
      </c>
      <c r="K21" s="102">
        <v>5.5025289803362361E-2</v>
      </c>
      <c r="L21" s="102">
        <v>1.4004522898562922E-2</v>
      </c>
      <c r="M21" s="102">
        <v>5.0936003932490093E-2</v>
      </c>
    </row>
    <row r="22" spans="1:13">
      <c r="A22" s="35"/>
      <c r="B22" s="34" t="s">
        <v>68</v>
      </c>
      <c r="C22" s="26">
        <v>0.7588040411794027</v>
      </c>
      <c r="D22" s="4"/>
      <c r="E22" s="4">
        <v>0.57539954141084837</v>
      </c>
      <c r="F22" s="4">
        <v>0.186811939120059</v>
      </c>
      <c r="G22" s="4">
        <v>0.16025989675097471</v>
      </c>
      <c r="H22" s="4">
        <v>8.5123709800574612E-2</v>
      </c>
      <c r="I22" s="4">
        <v>0.11848844423540821</v>
      </c>
      <c r="J22" s="26">
        <v>8.196751412441533E-2</v>
      </c>
      <c r="K22" s="102">
        <v>6.4636013964075353E-2</v>
      </c>
      <c r="L22" s="102">
        <v>7.5717279326553829E-3</v>
      </c>
      <c r="M22" s="102">
        <v>1.1188288807233344E-2</v>
      </c>
    </row>
    <row r="23" spans="1:13">
      <c r="A23" s="35"/>
      <c r="B23" s="35"/>
      <c r="C23" s="26"/>
      <c r="D23" s="4"/>
      <c r="E23" s="4"/>
      <c r="F23" s="4"/>
      <c r="G23" s="4"/>
      <c r="J23" s="26"/>
    </row>
    <row r="24" spans="1:13">
      <c r="A24" s="35" t="s">
        <v>58</v>
      </c>
      <c r="B24" s="35" t="s">
        <v>57</v>
      </c>
      <c r="C24" s="89">
        <v>0.85916717511669649</v>
      </c>
      <c r="D24" s="28"/>
      <c r="E24" s="28">
        <v>0.60011323819597906</v>
      </c>
      <c r="F24" s="28">
        <v>0.27159937156697644</v>
      </c>
      <c r="G24" s="28">
        <v>0.28236622730974537</v>
      </c>
      <c r="H24" s="28">
        <v>0.21564820055293274</v>
      </c>
      <c r="I24" s="28">
        <v>0.2429839224794243</v>
      </c>
      <c r="J24" s="89">
        <v>0.13797931284007897</v>
      </c>
      <c r="K24" s="28">
        <v>0.10959178015405205</v>
      </c>
      <c r="L24" s="28">
        <v>7.5651026683393408E-2</v>
      </c>
      <c r="M24" s="28">
        <v>7.5397987411927214E-2</v>
      </c>
    </row>
    <row r="25" spans="1:13">
      <c r="A25" s="35"/>
      <c r="B25" s="34" t="s">
        <v>62</v>
      </c>
      <c r="C25" s="26">
        <v>0.81951768377544942</v>
      </c>
      <c r="D25" s="4"/>
      <c r="E25" s="4">
        <v>0.50383502446313344</v>
      </c>
      <c r="F25" s="4">
        <v>0.38840831942637521</v>
      </c>
      <c r="G25" s="4">
        <v>0.27187638017417937</v>
      </c>
      <c r="H25" s="4">
        <v>0.31819998073435146</v>
      </c>
      <c r="I25" s="4">
        <v>0.3410306286315451</v>
      </c>
      <c r="J25" s="26">
        <v>0.17072078433978852</v>
      </c>
      <c r="K25" s="102">
        <v>0.15619847386087332</v>
      </c>
      <c r="L25" s="102">
        <v>0.39441335395180643</v>
      </c>
      <c r="M25" s="102">
        <v>7.5875732937686804E-2</v>
      </c>
    </row>
    <row r="26" spans="1:13">
      <c r="A26" s="35"/>
      <c r="B26" s="34" t="s">
        <v>63</v>
      </c>
      <c r="C26" s="26">
        <v>0.86450585832695093</v>
      </c>
      <c r="D26" s="4"/>
      <c r="E26" s="4">
        <v>0.52350874737986497</v>
      </c>
      <c r="F26" s="4">
        <v>0.34787382689971641</v>
      </c>
      <c r="G26" s="4">
        <v>0.38596551948953595</v>
      </c>
      <c r="H26" s="4">
        <v>0.32876131930348185</v>
      </c>
      <c r="I26" s="4">
        <v>0.33305943828051432</v>
      </c>
      <c r="J26" s="26">
        <v>0.18951880473977656</v>
      </c>
      <c r="K26" s="102">
        <v>0.18355944447587441</v>
      </c>
      <c r="L26" s="102">
        <v>0.19657271039899823</v>
      </c>
      <c r="M26" s="102">
        <v>9.8618447820081001E-2</v>
      </c>
    </row>
    <row r="27" spans="1:13">
      <c r="A27" s="35"/>
      <c r="B27" s="34" t="s">
        <v>64</v>
      </c>
      <c r="C27" s="26">
        <v>0.89497984596179203</v>
      </c>
      <c r="D27" s="4"/>
      <c r="E27" s="4">
        <v>0.54964672547278293</v>
      </c>
      <c r="F27" s="4">
        <v>0.29503983328562089</v>
      </c>
      <c r="G27" s="4">
        <v>0.40997696412161194</v>
      </c>
      <c r="H27" s="4">
        <v>0.30180133631438172</v>
      </c>
      <c r="I27" s="4">
        <v>0.29043228139101041</v>
      </c>
      <c r="J27" s="26">
        <v>0.19131525832267721</v>
      </c>
      <c r="K27" s="102">
        <v>0.16981647106126291</v>
      </c>
      <c r="L27" s="102">
        <v>9.8396406743830642E-2</v>
      </c>
      <c r="M27" s="102">
        <v>0.12650892757868812</v>
      </c>
    </row>
    <row r="28" spans="1:13">
      <c r="A28" s="35"/>
      <c r="B28" s="34" t="s">
        <v>65</v>
      </c>
      <c r="C28" s="26">
        <v>0.88836191491840455</v>
      </c>
      <c r="D28" s="4"/>
      <c r="E28" s="4">
        <v>0.58715601441655274</v>
      </c>
      <c r="F28" s="4">
        <v>0.28711286975954992</v>
      </c>
      <c r="G28" s="4">
        <v>0.33165808239471595</v>
      </c>
      <c r="H28" s="4">
        <v>0.24700728265823246</v>
      </c>
      <c r="I28" s="4">
        <v>0.25465891143996772</v>
      </c>
      <c r="J28" s="26">
        <v>0.14981109904605491</v>
      </c>
      <c r="K28" s="102">
        <v>0.1032791853316235</v>
      </c>
      <c r="L28" s="102">
        <v>4.9481577334788113E-2</v>
      </c>
      <c r="M28" s="102">
        <v>8.6437937242426904E-2</v>
      </c>
    </row>
    <row r="29" spans="1:13">
      <c r="A29" s="35"/>
      <c r="B29" s="34" t="s">
        <v>66</v>
      </c>
      <c r="C29" s="26">
        <v>0.89046778633955403</v>
      </c>
      <c r="D29" s="4"/>
      <c r="E29" s="4">
        <v>0.65479725497601926</v>
      </c>
      <c r="F29" s="4">
        <v>0.27035367102411451</v>
      </c>
      <c r="G29" s="4">
        <v>0.2639976147398479</v>
      </c>
      <c r="H29" s="4">
        <v>0.19180018087414227</v>
      </c>
      <c r="I29" s="4">
        <v>0.19579598024559017</v>
      </c>
      <c r="J29" s="26">
        <v>0.12714429977877387</v>
      </c>
      <c r="K29" s="102">
        <v>8.9525854050610643E-2</v>
      </c>
      <c r="L29" s="102">
        <v>3.4701663974274877E-2</v>
      </c>
      <c r="M29" s="102">
        <v>8.4668732271630173E-2</v>
      </c>
    </row>
    <row r="30" spans="1:13">
      <c r="A30" s="35"/>
      <c r="B30" s="34" t="s">
        <v>67</v>
      </c>
      <c r="C30" s="26">
        <v>0.85790761092388845</v>
      </c>
      <c r="D30" s="4"/>
      <c r="E30" s="4">
        <v>0.7095039965876927</v>
      </c>
      <c r="F30" s="4">
        <v>0.24737508645503986</v>
      </c>
      <c r="G30" s="4">
        <v>0.19466060119121101</v>
      </c>
      <c r="H30" s="4">
        <v>0.14397711704173149</v>
      </c>
      <c r="I30" s="4">
        <v>0.20238222357467978</v>
      </c>
      <c r="J30" s="26">
        <v>0.101160060479165</v>
      </c>
      <c r="K30" s="102">
        <v>6.2982780326733934E-2</v>
      </c>
      <c r="L30" s="102">
        <v>1.5167153341153797E-2</v>
      </c>
      <c r="M30" s="102">
        <v>5.5441508095378393E-2</v>
      </c>
    </row>
    <row r="31" spans="1:13">
      <c r="A31" s="35"/>
      <c r="B31" s="34" t="s">
        <v>68</v>
      </c>
      <c r="C31" s="26">
        <v>0.78447139367299201</v>
      </c>
      <c r="D31" s="4"/>
      <c r="E31" s="4">
        <v>0.60728166642855874</v>
      </c>
      <c r="F31" s="4">
        <v>0.18385718622285574</v>
      </c>
      <c r="G31" s="4">
        <v>0.13981889201085457</v>
      </c>
      <c r="H31" s="4">
        <v>8.8401641640790576E-2</v>
      </c>
      <c r="I31" s="4">
        <v>0.17861549677152894</v>
      </c>
      <c r="J31" s="26">
        <v>7.5246980565021729E-2</v>
      </c>
      <c r="K31" s="102">
        <v>5.3887556896791304E-2</v>
      </c>
      <c r="L31" s="102">
        <v>7.5049961283403877E-3</v>
      </c>
      <c r="M31" s="102">
        <v>1.2319058841078888E-2</v>
      </c>
    </row>
    <row r="32" spans="1:13">
      <c r="A32" s="35"/>
      <c r="B32" s="34"/>
      <c r="C32" s="26"/>
      <c r="D32" s="4"/>
      <c r="E32" s="4"/>
      <c r="F32" s="4"/>
      <c r="G32" s="4"/>
      <c r="J32" s="26"/>
    </row>
    <row r="33" spans="1:13">
      <c r="A33" s="35" t="s">
        <v>59</v>
      </c>
      <c r="B33" s="35" t="s">
        <v>57</v>
      </c>
      <c r="C33" s="89">
        <v>0.85324878371030721</v>
      </c>
      <c r="D33" s="28"/>
      <c r="E33" s="28">
        <v>0.6436368094169842</v>
      </c>
      <c r="F33" s="28">
        <v>0.31281876746360843</v>
      </c>
      <c r="G33" s="28">
        <v>0.30209066042988486</v>
      </c>
      <c r="H33" s="28">
        <v>0.20385980371621185</v>
      </c>
      <c r="I33" s="28">
        <v>0.13150357267104826</v>
      </c>
      <c r="J33" s="89">
        <v>0.17776886375130227</v>
      </c>
      <c r="K33" s="28">
        <v>7.7324185531332024E-2</v>
      </c>
      <c r="L33" s="28">
        <v>5.4012752602919253E-2</v>
      </c>
      <c r="M33" s="28">
        <v>5.6551523316553186E-2</v>
      </c>
    </row>
    <row r="34" spans="1:13">
      <c r="A34" s="35"/>
      <c r="B34" s="34" t="s">
        <v>62</v>
      </c>
      <c r="C34" s="26">
        <v>0.89341390187014946</v>
      </c>
      <c r="D34" s="4"/>
      <c r="E34" s="4">
        <v>0.6707591245649851</v>
      </c>
      <c r="F34" s="4">
        <v>0.45588729565961145</v>
      </c>
      <c r="G34" s="4">
        <v>0.35998411268446062</v>
      </c>
      <c r="H34" s="4">
        <v>0.3675191437914106</v>
      </c>
      <c r="I34" s="4">
        <v>0.2954488038777966</v>
      </c>
      <c r="J34" s="26">
        <v>0.20245775376914085</v>
      </c>
      <c r="K34" s="102">
        <v>0.14184581678470667</v>
      </c>
      <c r="L34" s="102">
        <v>0.34381826257825454</v>
      </c>
      <c r="M34" s="102">
        <v>6.6404720994515304E-2</v>
      </c>
    </row>
    <row r="35" spans="1:13">
      <c r="A35" s="34"/>
      <c r="B35" s="34" t="s">
        <v>63</v>
      </c>
      <c r="C35" s="26">
        <v>0.893801378591354</v>
      </c>
      <c r="D35" s="4"/>
      <c r="E35" s="4">
        <v>0.63656807603168897</v>
      </c>
      <c r="F35" s="4">
        <v>0.37376984258246854</v>
      </c>
      <c r="G35" s="4">
        <v>0.45697836209853293</v>
      </c>
      <c r="H35" s="4">
        <v>0.31553891325699257</v>
      </c>
      <c r="I35" s="4">
        <v>0.22619893489067225</v>
      </c>
      <c r="J35" s="26">
        <v>0.24239450941859644</v>
      </c>
      <c r="K35" s="102">
        <v>0.11578313409807249</v>
      </c>
      <c r="L35" s="102">
        <v>0.14384515746286</v>
      </c>
      <c r="M35" s="102">
        <v>7.5593012865812451E-2</v>
      </c>
    </row>
    <row r="36" spans="1:13">
      <c r="A36" s="34"/>
      <c r="B36" s="34" t="s">
        <v>64</v>
      </c>
      <c r="C36" s="26">
        <v>0.90348263650556859</v>
      </c>
      <c r="D36" s="4"/>
      <c r="E36" s="4">
        <v>0.66289682308394993</v>
      </c>
      <c r="F36" s="4">
        <v>0.36855485254461157</v>
      </c>
      <c r="G36" s="4">
        <v>0.43767941005667216</v>
      </c>
      <c r="H36" s="4">
        <v>0.29094856601881064</v>
      </c>
      <c r="I36" s="4">
        <v>0.18151928994937599</v>
      </c>
      <c r="J36" s="26">
        <v>0.24947119883920671</v>
      </c>
      <c r="K36" s="102">
        <v>9.7410761390296863E-2</v>
      </c>
      <c r="L36" s="102">
        <v>5.9314315483644763E-2</v>
      </c>
      <c r="M36" s="102">
        <v>9.1942856577059834E-2</v>
      </c>
    </row>
    <row r="37" spans="1:13">
      <c r="A37" s="34"/>
      <c r="B37" s="34" t="s">
        <v>65</v>
      </c>
      <c r="C37" s="26">
        <v>0.88920071090117747</v>
      </c>
      <c r="D37" s="4"/>
      <c r="E37" s="4">
        <v>0.66289982930731628</v>
      </c>
      <c r="F37" s="4">
        <v>0.34261409154197625</v>
      </c>
      <c r="G37" s="4">
        <v>0.32087068640863475</v>
      </c>
      <c r="H37" s="4">
        <v>0.23389010573458083</v>
      </c>
      <c r="I37" s="4">
        <v>0.13575619583860804</v>
      </c>
      <c r="J37" s="26">
        <v>0.20619739432028142</v>
      </c>
      <c r="K37" s="102">
        <v>6.6700541792995574E-2</v>
      </c>
      <c r="L37" s="102">
        <v>3.8926242219498378E-2</v>
      </c>
      <c r="M37" s="102">
        <v>6.5026431821852887E-2</v>
      </c>
    </row>
    <row r="38" spans="1:13">
      <c r="A38" s="34"/>
      <c r="B38" s="34" t="s">
        <v>66</v>
      </c>
      <c r="C38" s="26">
        <v>0.87449684105041925</v>
      </c>
      <c r="D38" s="4"/>
      <c r="E38" s="4">
        <v>0.68228462208451557</v>
      </c>
      <c r="F38" s="4">
        <v>0.32710449367038086</v>
      </c>
      <c r="G38" s="4">
        <v>0.24636455886149811</v>
      </c>
      <c r="H38" s="4">
        <v>0.18300561756761657</v>
      </c>
      <c r="I38" s="4">
        <v>0.10041565370633422</v>
      </c>
      <c r="J38" s="26">
        <v>0.1624773153774732</v>
      </c>
      <c r="K38" s="102">
        <v>5.2977377235283285E-2</v>
      </c>
      <c r="L38" s="102">
        <v>2.7614946105975178E-2</v>
      </c>
      <c r="M38" s="102">
        <v>6.7267921465659353E-2</v>
      </c>
    </row>
    <row r="39" spans="1:13">
      <c r="A39" s="34"/>
      <c r="B39" s="34" t="s">
        <v>67</v>
      </c>
      <c r="C39" s="26">
        <v>0.86348228910468328</v>
      </c>
      <c r="D39" s="4"/>
      <c r="E39" s="4">
        <v>0.70191666747015902</v>
      </c>
      <c r="F39" s="4">
        <v>0.29666174332670375</v>
      </c>
      <c r="G39" s="4">
        <v>0.23157471484723427</v>
      </c>
      <c r="H39" s="4">
        <v>0.13950559403844229</v>
      </c>
      <c r="I39" s="4">
        <v>7.9843198947850455E-2</v>
      </c>
      <c r="J39" s="26">
        <v>0.15570469663172601</v>
      </c>
      <c r="K39" s="102">
        <v>4.7649768315109149E-2</v>
      </c>
      <c r="L39" s="102">
        <v>1.272768874608049E-2</v>
      </c>
      <c r="M39" s="102">
        <v>4.6375452785625132E-2</v>
      </c>
    </row>
    <row r="40" spans="1:13">
      <c r="A40" s="118"/>
      <c r="B40" s="118" t="s">
        <v>68</v>
      </c>
      <c r="C40" s="125">
        <v>0.73822201163473744</v>
      </c>
      <c r="D40" s="123"/>
      <c r="E40" s="123">
        <v>0.5488403556055963</v>
      </c>
      <c r="F40" s="123">
        <v>0.19014273506303705</v>
      </c>
      <c r="G40" s="123">
        <v>0.1784205829121556</v>
      </c>
      <c r="H40" s="123">
        <v>8.2486073397899887E-2</v>
      </c>
      <c r="I40" s="123">
        <v>6.62783635470508E-2</v>
      </c>
      <c r="J40" s="125">
        <v>8.8167925265302413E-2</v>
      </c>
      <c r="K40" s="124">
        <v>7.4286066038369625E-2</v>
      </c>
      <c r="L40" s="124">
        <v>7.6603992653468955E-3</v>
      </c>
      <c r="M40" s="124">
        <v>1.0245220811365224E-2</v>
      </c>
    </row>
    <row r="41" spans="1:13">
      <c r="A41" s="67"/>
      <c r="B41" s="67"/>
      <c r="C41" s="187" t="s">
        <v>147</v>
      </c>
      <c r="D41" s="187"/>
      <c r="E41" s="187"/>
      <c r="F41" s="187"/>
      <c r="G41" s="187"/>
      <c r="H41" s="187"/>
      <c r="I41" s="187"/>
      <c r="J41" s="187"/>
      <c r="K41" s="187"/>
      <c r="L41" s="187"/>
      <c r="M41" s="187"/>
    </row>
    <row r="42" spans="1:13">
      <c r="A42" s="35" t="s">
        <v>145</v>
      </c>
      <c r="B42" s="35" t="s">
        <v>57</v>
      </c>
      <c r="C42" s="84">
        <v>19187077.863524184</v>
      </c>
      <c r="D42" s="80"/>
      <c r="E42" s="80">
        <v>13939193.178054446</v>
      </c>
      <c r="F42" s="80">
        <v>6557020.372695162</v>
      </c>
      <c r="G42" s="80">
        <v>6551787.7512520021</v>
      </c>
      <c r="H42" s="80">
        <v>4702272.892092417</v>
      </c>
      <c r="I42" s="80">
        <v>4168989.8973799231</v>
      </c>
      <c r="J42" s="84">
        <v>3541952.8576123123</v>
      </c>
      <c r="K42" s="84">
        <v>2085716.7505471723</v>
      </c>
      <c r="L42" s="84">
        <v>1448292.0234489748</v>
      </c>
      <c r="M42" s="84">
        <v>1475664.9857986909</v>
      </c>
    </row>
    <row r="43" spans="1:13">
      <c r="A43" s="35"/>
      <c r="B43" s="34" t="s">
        <v>62</v>
      </c>
      <c r="C43" s="86">
        <v>847603.32237604295</v>
      </c>
      <c r="D43" s="45"/>
      <c r="E43" s="81">
        <v>575370.91817283619</v>
      </c>
      <c r="F43" s="81">
        <v>415648.63232248876</v>
      </c>
      <c r="G43" s="81">
        <v>311502.04553176352</v>
      </c>
      <c r="H43" s="81">
        <v>339548.01496907603</v>
      </c>
      <c r="I43" s="81">
        <v>313101.29784206575</v>
      </c>
      <c r="J43" s="86">
        <v>183007.50684654294</v>
      </c>
      <c r="K43" s="86">
        <v>148274.1780252186</v>
      </c>
      <c r="L43" s="86">
        <v>363133.79438203858</v>
      </c>
      <c r="M43" s="86">
        <v>69984.576979291029</v>
      </c>
    </row>
    <row r="44" spans="1:13">
      <c r="A44" s="35"/>
      <c r="B44" s="34" t="s">
        <v>63</v>
      </c>
      <c r="C44" s="86">
        <v>2148288.6440141289</v>
      </c>
      <c r="D44" s="45"/>
      <c r="E44" s="81">
        <v>1416237.2064078806</v>
      </c>
      <c r="F44" s="81">
        <v>882271.08186541346</v>
      </c>
      <c r="G44" s="81">
        <v>1024744.4959015767</v>
      </c>
      <c r="H44" s="81">
        <v>787454.94277603179</v>
      </c>
      <c r="I44" s="81">
        <v>683960.04368555103</v>
      </c>
      <c r="J44" s="86">
        <v>523419.49191582075</v>
      </c>
      <c r="K44" s="86">
        <v>365932.00553272502</v>
      </c>
      <c r="L44" s="86">
        <v>416210.54404356348</v>
      </c>
      <c r="M44" s="86">
        <v>214161.1956167593</v>
      </c>
    </row>
    <row r="45" spans="1:13">
      <c r="A45" s="35"/>
      <c r="B45" s="34" t="s">
        <v>64</v>
      </c>
      <c r="C45" s="86">
        <v>3624033.8094432447</v>
      </c>
      <c r="D45" s="45"/>
      <c r="E45" s="81">
        <v>2443570.3592137638</v>
      </c>
      <c r="F45" s="81">
        <v>1336459.36544967</v>
      </c>
      <c r="G45" s="81">
        <v>1704640.0791024733</v>
      </c>
      <c r="H45" s="81">
        <v>1193443.529761475</v>
      </c>
      <c r="I45" s="81">
        <v>947732.31905812118</v>
      </c>
      <c r="J45" s="86">
        <v>886310.15547922347</v>
      </c>
      <c r="K45" s="86">
        <v>536376.15743160539</v>
      </c>
      <c r="L45" s="86">
        <v>317703.66148250521</v>
      </c>
      <c r="M45" s="86">
        <v>439634.75086328463</v>
      </c>
    </row>
    <row r="46" spans="1:13">
      <c r="A46" s="35"/>
      <c r="B46" s="34" t="s">
        <v>65</v>
      </c>
      <c r="C46" s="86">
        <v>3404434.8230936211</v>
      </c>
      <c r="D46" s="45"/>
      <c r="E46" s="81">
        <v>2395901.6743216817</v>
      </c>
      <c r="F46" s="81">
        <v>1206125.9648380589</v>
      </c>
      <c r="G46" s="81">
        <v>1249909.0571658793</v>
      </c>
      <c r="H46" s="81">
        <v>920847.55652647559</v>
      </c>
      <c r="I46" s="81">
        <v>743738.19351391797</v>
      </c>
      <c r="J46" s="86">
        <v>681836.75418602559</v>
      </c>
      <c r="K46" s="86">
        <v>324356.68475382711</v>
      </c>
      <c r="L46" s="86">
        <v>169057.3528771057</v>
      </c>
      <c r="M46" s="86">
        <v>289233.15394160559</v>
      </c>
    </row>
    <row r="47" spans="1:13">
      <c r="A47" s="35"/>
      <c r="B47" s="34" t="s">
        <v>66</v>
      </c>
      <c r="C47" s="86">
        <v>2944816.0797376256</v>
      </c>
      <c r="D47" s="45"/>
      <c r="E47" s="81">
        <v>2230759.9885709663</v>
      </c>
      <c r="F47" s="81">
        <v>998024.08001191216</v>
      </c>
      <c r="G47" s="81">
        <v>850499.55819834978</v>
      </c>
      <c r="H47" s="81">
        <v>624933.89692656696</v>
      </c>
      <c r="I47" s="81">
        <v>493147.13285929855</v>
      </c>
      <c r="J47" s="86">
        <v>484945.31429230084</v>
      </c>
      <c r="K47" s="86">
        <v>237497.98385109351</v>
      </c>
      <c r="L47" s="86">
        <v>103441.79194196471</v>
      </c>
      <c r="M47" s="86">
        <v>253058.81649097108</v>
      </c>
    </row>
    <row r="48" spans="1:13">
      <c r="A48" s="35"/>
      <c r="B48" s="34" t="s">
        <v>67</v>
      </c>
      <c r="C48" s="86">
        <v>2653284.8040556596</v>
      </c>
      <c r="D48" s="45"/>
      <c r="E48" s="81">
        <v>2174311.7723458279</v>
      </c>
      <c r="F48" s="81">
        <v>840909.07655465777</v>
      </c>
      <c r="G48" s="81">
        <v>657643.26555528701</v>
      </c>
      <c r="H48" s="81">
        <v>436161.24745829753</v>
      </c>
      <c r="I48" s="81">
        <v>430690.45726542058</v>
      </c>
      <c r="J48" s="86">
        <v>397376.71942374739</v>
      </c>
      <c r="K48" s="86">
        <v>169640.6171967031</v>
      </c>
      <c r="L48" s="86">
        <v>43175.345673734271</v>
      </c>
      <c r="M48" s="86">
        <v>157033.52359469648</v>
      </c>
    </row>
    <row r="49" spans="1:13">
      <c r="A49" s="35"/>
      <c r="B49" s="34" t="s">
        <v>68</v>
      </c>
      <c r="C49" s="86">
        <v>3564616.380804182</v>
      </c>
      <c r="D49" s="45"/>
      <c r="E49" s="81">
        <v>2703041.2590216971</v>
      </c>
      <c r="F49" s="81">
        <v>877582.17165281984</v>
      </c>
      <c r="G49" s="81">
        <v>752849.24979656003</v>
      </c>
      <c r="H49" s="81">
        <v>399883.70367443725</v>
      </c>
      <c r="I49" s="81">
        <v>556620.45315554633</v>
      </c>
      <c r="J49" s="86">
        <v>385056.91546865233</v>
      </c>
      <c r="K49" s="86">
        <v>303639.12375600694</v>
      </c>
      <c r="L49" s="86">
        <v>35569.533048064899</v>
      </c>
      <c r="M49" s="86">
        <v>52558.96831208736</v>
      </c>
    </row>
    <row r="50" spans="1:13">
      <c r="A50" s="35"/>
      <c r="B50" s="35"/>
      <c r="C50" s="85"/>
      <c r="D50" s="45"/>
      <c r="E50" s="21"/>
      <c r="F50" s="21"/>
      <c r="G50" s="21"/>
      <c r="J50" s="87"/>
      <c r="K50" s="87"/>
      <c r="L50" s="87"/>
      <c r="M50" s="87"/>
    </row>
    <row r="51" spans="1:13">
      <c r="A51" s="35" t="s">
        <v>58</v>
      </c>
      <c r="B51" s="35" t="s">
        <v>57</v>
      </c>
      <c r="C51" s="88">
        <v>9431927.7987960801</v>
      </c>
      <c r="D51" s="46"/>
      <c r="E51" s="80">
        <v>6588036.5285107493</v>
      </c>
      <c r="F51" s="80">
        <v>2981614.9138497603</v>
      </c>
      <c r="G51" s="80">
        <v>3099813.3377735512</v>
      </c>
      <c r="H51" s="80">
        <v>2367383.5738420677</v>
      </c>
      <c r="I51" s="80">
        <v>2667474.8284964552</v>
      </c>
      <c r="J51" s="88">
        <v>1514735.3787792898</v>
      </c>
      <c r="K51" s="88">
        <v>1203097.3571751676</v>
      </c>
      <c r="L51" s="88">
        <v>830496.13887500565</v>
      </c>
      <c r="M51" s="88">
        <v>827718.2765359272</v>
      </c>
    </row>
    <row r="52" spans="1:13">
      <c r="A52" s="35"/>
      <c r="B52" s="34" t="s">
        <v>62</v>
      </c>
      <c r="C52" s="85">
        <v>410547.95167589508</v>
      </c>
      <c r="D52" s="45"/>
      <c r="E52" s="81">
        <v>252402.65264683549</v>
      </c>
      <c r="F52" s="81">
        <v>194578.15628792183</v>
      </c>
      <c r="G52" s="81">
        <v>136199.97859637407</v>
      </c>
      <c r="H52" s="81">
        <v>159406.38365723426</v>
      </c>
      <c r="I52" s="81">
        <v>170843.69113111991</v>
      </c>
      <c r="J52" s="85">
        <v>85524.77842370396</v>
      </c>
      <c r="K52" s="85">
        <v>78249.639718638922</v>
      </c>
      <c r="L52" s="85">
        <v>197586.45577061406</v>
      </c>
      <c r="M52" s="85">
        <v>38010.92686123163</v>
      </c>
    </row>
    <row r="53" spans="1:13">
      <c r="A53" s="35"/>
      <c r="B53" s="34" t="s">
        <v>63</v>
      </c>
      <c r="C53" s="85">
        <v>1080931.5955208552</v>
      </c>
      <c r="D53" s="45"/>
      <c r="E53" s="81">
        <v>654567.16125621716</v>
      </c>
      <c r="F53" s="81">
        <v>434962.70977083972</v>
      </c>
      <c r="G53" s="81">
        <v>482590.51200099144</v>
      </c>
      <c r="H53" s="81">
        <v>411065.45895245479</v>
      </c>
      <c r="I53" s="81">
        <v>416439.59558650071</v>
      </c>
      <c r="J53" s="85">
        <v>236964.1131004302</v>
      </c>
      <c r="K53" s="85">
        <v>229512.84977318143</v>
      </c>
      <c r="L53" s="85">
        <v>245783.93707898838</v>
      </c>
      <c r="M53" s="85">
        <v>123307.19927826672</v>
      </c>
    </row>
    <row r="54" spans="1:13">
      <c r="A54" s="35"/>
      <c r="B54" s="34" t="s">
        <v>64</v>
      </c>
      <c r="C54" s="85">
        <v>1796020.4717735117</v>
      </c>
      <c r="D54" s="45"/>
      <c r="E54" s="81">
        <v>1103015.6440355612</v>
      </c>
      <c r="F54" s="81">
        <v>592077.66852019273</v>
      </c>
      <c r="G54" s="81">
        <v>822730.28140278859</v>
      </c>
      <c r="H54" s="81">
        <v>605646.46329742344</v>
      </c>
      <c r="I54" s="81">
        <v>582831.36251138395</v>
      </c>
      <c r="J54" s="85">
        <v>383926.09851555811</v>
      </c>
      <c r="K54" s="85">
        <v>340782.93477391102</v>
      </c>
      <c r="L54" s="85">
        <v>197459.15135212729</v>
      </c>
      <c r="M54" s="85">
        <v>253874.57026952595</v>
      </c>
    </row>
    <row r="55" spans="1:13">
      <c r="A55" s="35"/>
      <c r="B55" s="34" t="s">
        <v>65</v>
      </c>
      <c r="C55" s="85">
        <v>1680862.6390512059</v>
      </c>
      <c r="D55" s="45"/>
      <c r="E55" s="81">
        <v>1110953.307827974</v>
      </c>
      <c r="F55" s="81">
        <v>543244.01785496227</v>
      </c>
      <c r="G55" s="81">
        <v>627527.66668058699</v>
      </c>
      <c r="H55" s="81">
        <v>467360.54981816537</v>
      </c>
      <c r="I55" s="81">
        <v>481838.13685912825</v>
      </c>
      <c r="J55" s="85">
        <v>283456.41013307311</v>
      </c>
      <c r="K55" s="85">
        <v>195413.73971611125</v>
      </c>
      <c r="L55" s="85">
        <v>93623.705909328128</v>
      </c>
      <c r="M55" s="85">
        <v>163548.5457757304</v>
      </c>
    </row>
    <row r="56" spans="1:13">
      <c r="A56" s="35"/>
      <c r="B56" s="34" t="s">
        <v>66</v>
      </c>
      <c r="C56" s="85">
        <v>1457931.6929437409</v>
      </c>
      <c r="D56" s="45"/>
      <c r="E56" s="81">
        <v>1072076.5929179545</v>
      </c>
      <c r="F56" s="81">
        <v>442640.58884151711</v>
      </c>
      <c r="G56" s="81">
        <v>432234.04068657587</v>
      </c>
      <c r="H56" s="81">
        <v>314027.71295998862</v>
      </c>
      <c r="I56" s="81">
        <v>320569.89520582359</v>
      </c>
      <c r="J56" s="85">
        <v>208168.9052296943</v>
      </c>
      <c r="K56" s="85">
        <v>146577.54268099941</v>
      </c>
      <c r="L56" s="85">
        <v>56815.818025209679</v>
      </c>
      <c r="M56" s="85">
        <v>138625.14744930639</v>
      </c>
    </row>
    <row r="57" spans="1:13">
      <c r="A57" s="35"/>
      <c r="B57" s="34" t="s">
        <v>67</v>
      </c>
      <c r="C57" s="85">
        <v>1290921.9280840035</v>
      </c>
      <c r="D57" s="45"/>
      <c r="E57" s="81">
        <v>1067614.1062228533</v>
      </c>
      <c r="F57" s="81">
        <v>372233.4660518805</v>
      </c>
      <c r="G57" s="81">
        <v>292912.23834828922</v>
      </c>
      <c r="H57" s="81">
        <v>216647.12512729719</v>
      </c>
      <c r="I57" s="81">
        <v>304531.21867703286</v>
      </c>
      <c r="J57" s="85">
        <v>152218.88540914658</v>
      </c>
      <c r="K57" s="85">
        <v>94772.270557105338</v>
      </c>
      <c r="L57" s="85">
        <v>22822.516766837558</v>
      </c>
      <c r="M57" s="85">
        <v>83424.669061154127</v>
      </c>
    </row>
    <row r="58" spans="1:13">
      <c r="A58" s="35"/>
      <c r="B58" s="34" t="s">
        <v>68</v>
      </c>
      <c r="C58" s="85">
        <v>1714711.519747111</v>
      </c>
      <c r="D58" s="45"/>
      <c r="E58" s="81">
        <v>1327407.063603322</v>
      </c>
      <c r="F58" s="81">
        <v>401878.30652246572</v>
      </c>
      <c r="G58" s="81">
        <v>305618.6200579665</v>
      </c>
      <c r="H58" s="81">
        <v>193229.88002951603</v>
      </c>
      <c r="I58" s="81">
        <v>390420.92852548847</v>
      </c>
      <c r="J58" s="85">
        <v>164476.18796768357</v>
      </c>
      <c r="K58" s="85">
        <v>117788.37995522073</v>
      </c>
      <c r="L58" s="85">
        <v>16404.553971903213</v>
      </c>
      <c r="M58" s="85">
        <v>26927.217840713103</v>
      </c>
    </row>
    <row r="59" spans="1:13">
      <c r="A59" s="35"/>
      <c r="B59" s="34"/>
      <c r="C59" s="85"/>
      <c r="D59" s="45"/>
      <c r="E59" s="21"/>
      <c r="F59" s="21"/>
      <c r="G59" s="21"/>
      <c r="J59" s="87"/>
      <c r="K59" s="87"/>
      <c r="L59" s="87"/>
      <c r="M59" s="87"/>
    </row>
    <row r="60" spans="1:13">
      <c r="A60" s="35" t="s">
        <v>59</v>
      </c>
      <c r="B60" s="35" t="s">
        <v>57</v>
      </c>
      <c r="C60" s="88">
        <v>9661932.2049446106</v>
      </c>
      <c r="D60" s="46"/>
      <c r="E60" s="80">
        <v>7288349.3488871334</v>
      </c>
      <c r="F60" s="80">
        <v>3542265.4932185477</v>
      </c>
      <c r="G60" s="80">
        <v>3420783.6407669201</v>
      </c>
      <c r="H60" s="80">
        <v>2308447.0091528366</v>
      </c>
      <c r="I60" s="80">
        <v>1489106.8444664301</v>
      </c>
      <c r="J60" s="88">
        <v>2013001.0642924865</v>
      </c>
      <c r="K60" s="88">
        <v>875595.78480447351</v>
      </c>
      <c r="L60" s="88">
        <v>611624.14036213199</v>
      </c>
      <c r="M60" s="88">
        <v>640372.41517638369</v>
      </c>
    </row>
    <row r="61" spans="1:13">
      <c r="A61" s="34"/>
      <c r="B61" s="34" t="s">
        <v>62</v>
      </c>
      <c r="C61" s="85">
        <v>430175.79294348339</v>
      </c>
      <c r="D61" s="45"/>
      <c r="E61" s="81">
        <v>322968.26552600117</v>
      </c>
      <c r="F61" s="81">
        <v>219508.20162157813</v>
      </c>
      <c r="G61" s="81">
        <v>173331.14113955354</v>
      </c>
      <c r="H61" s="81">
        <v>176959.23330881679</v>
      </c>
      <c r="I61" s="81">
        <v>142257.60671094537</v>
      </c>
      <c r="J61" s="85">
        <v>97482.728422838962</v>
      </c>
      <c r="K61" s="85">
        <v>68298.284348776375</v>
      </c>
      <c r="L61" s="85">
        <v>165547.33861142429</v>
      </c>
      <c r="M61" s="85">
        <v>31973.65011805938</v>
      </c>
    </row>
    <row r="62" spans="1:13">
      <c r="A62" s="34"/>
      <c r="B62" s="34" t="s">
        <v>63</v>
      </c>
      <c r="C62" s="85">
        <v>1038139.9671917572</v>
      </c>
      <c r="D62" s="45"/>
      <c r="E62" s="81">
        <v>739366.46037441015</v>
      </c>
      <c r="F62" s="81">
        <v>434129.35067001876</v>
      </c>
      <c r="G62" s="81">
        <v>530775.0840393512</v>
      </c>
      <c r="H62" s="81">
        <v>366494.79951865639</v>
      </c>
      <c r="I62" s="81">
        <v>262727.44758606533</v>
      </c>
      <c r="J62" s="85">
        <v>281538.4201486372</v>
      </c>
      <c r="K62" s="85">
        <v>134480.77158190066</v>
      </c>
      <c r="L62" s="85">
        <v>167074.48726979527</v>
      </c>
      <c r="M62" s="85">
        <v>87800.410444790672</v>
      </c>
    </row>
    <row r="63" spans="1:13">
      <c r="A63" s="34"/>
      <c r="B63" s="34" t="s">
        <v>64</v>
      </c>
      <c r="C63" s="85">
        <v>1801475.9158407359</v>
      </c>
      <c r="D63" s="45"/>
      <c r="E63" s="81">
        <v>1321766.0342559472</v>
      </c>
      <c r="F63" s="81">
        <v>734870.44874852919</v>
      </c>
      <c r="G63" s="81">
        <v>872699.57851770706</v>
      </c>
      <c r="H63" s="81">
        <v>580129.3940285428</v>
      </c>
      <c r="I63" s="81">
        <v>361935.70954398386</v>
      </c>
      <c r="J63" s="85">
        <v>497426.66681782575</v>
      </c>
      <c r="K63" s="85">
        <v>194229.67691670393</v>
      </c>
      <c r="L63" s="85">
        <v>118268.2505351133</v>
      </c>
      <c r="M63" s="85">
        <v>183327.08904932166</v>
      </c>
    </row>
    <row r="64" spans="1:13">
      <c r="A64" s="34"/>
      <c r="B64" s="34" t="s">
        <v>65</v>
      </c>
      <c r="C64" s="85">
        <v>1711987.1963223317</v>
      </c>
      <c r="D64" s="45"/>
      <c r="E64" s="81">
        <v>1276287.8012864192</v>
      </c>
      <c r="F64" s="81">
        <v>659638.40425298281</v>
      </c>
      <c r="G64" s="81">
        <v>617775.60462138546</v>
      </c>
      <c r="H64" s="81">
        <v>450311.00566515361</v>
      </c>
      <c r="I64" s="81">
        <v>261372.78822188603</v>
      </c>
      <c r="J64" s="85">
        <v>396993.94598277693</v>
      </c>
      <c r="K64" s="85">
        <v>128419.23329283271</v>
      </c>
      <c r="L64" s="85">
        <v>74945.091095557247</v>
      </c>
      <c r="M64" s="85">
        <v>125196.05229365519</v>
      </c>
    </row>
    <row r="65" spans="1:23">
      <c r="A65" s="34"/>
      <c r="B65" s="34" t="s">
        <v>66</v>
      </c>
      <c r="C65" s="85">
        <v>1476528.9327245522</v>
      </c>
      <c r="D65" s="45"/>
      <c r="E65" s="81">
        <v>1151991.5654020547</v>
      </c>
      <c r="F65" s="81">
        <v>552293.87489655463</v>
      </c>
      <c r="G65" s="81">
        <v>415969.94074899127</v>
      </c>
      <c r="H65" s="81">
        <v>308992.64183177456</v>
      </c>
      <c r="I65" s="81">
        <v>169545.05841068391</v>
      </c>
      <c r="J65" s="85">
        <v>274331.98818429967</v>
      </c>
      <c r="K65" s="85">
        <v>89448.728223878032</v>
      </c>
      <c r="L65" s="85">
        <v>46625.97391675508</v>
      </c>
      <c r="M65" s="85">
        <v>113577.34828291109</v>
      </c>
    </row>
    <row r="66" spans="1:23">
      <c r="A66" s="34"/>
      <c r="B66" s="34" t="s">
        <v>67</v>
      </c>
      <c r="C66" s="85">
        <v>1356722.0497343731</v>
      </c>
      <c r="D66" s="45"/>
      <c r="E66" s="81">
        <v>1102866.650363205</v>
      </c>
      <c r="F66" s="81">
        <v>466121.34789852408</v>
      </c>
      <c r="G66" s="81">
        <v>363855.20092132787</v>
      </c>
      <c r="H66" s="81">
        <v>219194.20685454359</v>
      </c>
      <c r="I66" s="81">
        <v>125451.36119259112</v>
      </c>
      <c r="J66" s="85">
        <v>244646.58723515944</v>
      </c>
      <c r="K66" s="85">
        <v>74868.346639597847</v>
      </c>
      <c r="L66" s="85">
        <v>19998.01985732446</v>
      </c>
      <c r="M66" s="85">
        <v>72866.114516270187</v>
      </c>
    </row>
    <row r="67" spans="1:23">
      <c r="A67" s="34"/>
      <c r="B67" s="34" t="s">
        <v>68</v>
      </c>
      <c r="C67" s="85">
        <v>1846902.3501872316</v>
      </c>
      <c r="D67" s="45"/>
      <c r="E67" s="81">
        <v>1373102.5716788226</v>
      </c>
      <c r="F67" s="81">
        <v>475703.86513035605</v>
      </c>
      <c r="G67" s="81">
        <v>446377.09077859466</v>
      </c>
      <c r="H67" s="81">
        <v>206365.72794536973</v>
      </c>
      <c r="I67" s="81">
        <v>165816.87280029053</v>
      </c>
      <c r="J67" s="85">
        <v>220580.72750096905</v>
      </c>
      <c r="K67" s="85">
        <v>185850.74380078641</v>
      </c>
      <c r="L67" s="85">
        <v>19164.979076161675</v>
      </c>
      <c r="M67" s="85">
        <v>25631.750471374304</v>
      </c>
    </row>
    <row r="68" spans="1:23">
      <c r="A68" s="118"/>
      <c r="B68" s="118"/>
      <c r="C68" s="172"/>
      <c r="D68" s="119"/>
      <c r="E68" s="119"/>
      <c r="F68" s="119"/>
      <c r="G68" s="119"/>
      <c r="H68" s="119"/>
      <c r="I68" s="119"/>
      <c r="J68" s="119"/>
      <c r="K68" s="119"/>
      <c r="L68" s="119"/>
      <c r="M68" s="119"/>
    </row>
    <row r="69" spans="1:23">
      <c r="A69" s="24" t="s">
        <v>117</v>
      </c>
    </row>
    <row r="70" spans="1:23">
      <c r="A70" s="16" t="s">
        <v>121</v>
      </c>
    </row>
    <row r="71" spans="1:23" ht="15" customHeight="1">
      <c r="A71" s="16" t="s">
        <v>122</v>
      </c>
      <c r="B71" s="24"/>
      <c r="C71" s="2"/>
      <c r="G71" s="2"/>
      <c r="K71" s="2"/>
      <c r="O71" s="2"/>
      <c r="S71" s="2"/>
      <c r="W71" s="2"/>
    </row>
    <row r="72" spans="1:23">
      <c r="A72" s="24" t="s">
        <v>120</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3" id="{215E3DAB-9888-41F2-A87D-1FECA6745DDD}">
            <xm:f>C42&lt;'38'!$C$104</xm:f>
            <x14:dxf>
              <font>
                <color rgb="FFFF0000"/>
              </font>
              <numFmt numFmtId="172" formatCode="\*\*0.0%"/>
            </x14:dxf>
          </x14:cfRule>
          <x14:cfRule type="expression" priority="14" id="{A8E4BA90-86F7-4D16-A1FA-E53F96B7178D}">
            <xm:f>C42&lt;'38'!$C$103</xm:f>
            <x14:dxf>
              <font>
                <color rgb="FF00B050"/>
              </font>
              <numFmt numFmtId="171" formatCode="\*0.0%"/>
            </x14:dxf>
          </x14:cfRule>
          <xm:sqref>C15:M40</xm:sqref>
        </x14:conditionalFormatting>
        <x14:conditionalFormatting xmlns:xm="http://schemas.microsoft.com/office/excel/2006/main">
          <x14:cfRule type="expression" priority="11" id="{154F2D5D-B890-4BA6-8460-FF49161BF3A3}">
            <xm:f>C42&lt;'38'!$C$104</xm:f>
            <x14:dxf>
              <font>
                <color rgb="FFFF0000"/>
              </font>
              <numFmt numFmtId="174" formatCode="\*\*#,###,###,##0"/>
            </x14:dxf>
          </x14:cfRule>
          <x14:cfRule type="expression" priority="12" id="{2ECF344A-5978-490F-9B33-C99F11969352}">
            <xm:f>C42&lt;'38'!$C$103</xm:f>
            <x14:dxf>
              <font>
                <color rgb="FF00B050"/>
              </font>
              <numFmt numFmtId="173"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V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2" width="16.7109375" style="1" customWidth="1"/>
    <col min="13" max="16384" width="8.85546875" style="1"/>
  </cols>
  <sheetData>
    <row r="1" spans="1:12" s="72" customFormat="1">
      <c r="A1" s="29"/>
      <c r="B1" s="29"/>
      <c r="C1" s="115"/>
      <c r="D1" s="29"/>
      <c r="E1" s="29"/>
      <c r="F1" s="29"/>
      <c r="G1" s="29"/>
      <c r="H1" s="29"/>
      <c r="I1" s="29"/>
      <c r="J1" s="29"/>
      <c r="K1" s="29"/>
      <c r="L1" s="29"/>
    </row>
    <row r="2" spans="1:12" s="72" customFormat="1">
      <c r="A2" s="29"/>
      <c r="B2" s="29"/>
      <c r="C2" s="115"/>
      <c r="D2" s="29"/>
      <c r="E2" s="29"/>
      <c r="F2" s="29"/>
      <c r="G2" s="29"/>
      <c r="H2" s="29"/>
      <c r="I2" s="29"/>
      <c r="J2" s="29"/>
      <c r="K2" s="29"/>
      <c r="L2" s="29"/>
    </row>
    <row r="3" spans="1:12" s="72" customFormat="1">
      <c r="A3" s="29"/>
      <c r="B3" s="29"/>
      <c r="C3" s="115"/>
      <c r="D3" s="29"/>
      <c r="E3" s="29"/>
      <c r="F3" s="29"/>
      <c r="G3" s="29"/>
      <c r="H3" s="29"/>
      <c r="I3" s="29"/>
      <c r="J3" s="29"/>
      <c r="K3" s="29"/>
      <c r="L3" s="29"/>
    </row>
    <row r="4" spans="1:12" s="72" customFormat="1">
      <c r="A4" s="29"/>
      <c r="B4" s="29"/>
      <c r="C4" s="115"/>
      <c r="D4" s="29"/>
      <c r="E4" s="29"/>
      <c r="F4" s="29"/>
      <c r="G4" s="29"/>
      <c r="H4" s="29"/>
      <c r="I4" s="29"/>
      <c r="J4" s="29"/>
      <c r="K4" s="29"/>
      <c r="L4" s="29"/>
    </row>
    <row r="5" spans="1:12" s="72" customFormat="1">
      <c r="A5" s="29"/>
      <c r="B5" s="29"/>
      <c r="C5" s="115"/>
      <c r="D5" s="29"/>
      <c r="E5" s="29"/>
      <c r="F5" s="29"/>
      <c r="G5" s="29"/>
      <c r="H5" s="29"/>
      <c r="I5" s="29"/>
      <c r="J5" s="29"/>
      <c r="K5" s="29"/>
      <c r="L5" s="29"/>
    </row>
    <row r="6" spans="1:12" s="72" customFormat="1">
      <c r="A6" s="29"/>
      <c r="B6" s="29"/>
      <c r="C6" s="115"/>
      <c r="D6" s="29"/>
      <c r="E6" s="29"/>
      <c r="F6" s="29"/>
      <c r="G6" s="29"/>
      <c r="H6" s="29"/>
      <c r="I6" s="29"/>
      <c r="J6" s="29"/>
      <c r="K6" s="29"/>
      <c r="L6" s="29"/>
    </row>
    <row r="7" spans="1:12" s="72" customFormat="1">
      <c r="A7" s="29"/>
      <c r="B7" s="29"/>
      <c r="C7" s="115"/>
      <c r="D7" s="29"/>
      <c r="E7" s="29"/>
      <c r="F7" s="29"/>
      <c r="G7" s="29"/>
      <c r="H7" s="29"/>
      <c r="I7" s="29"/>
      <c r="J7" s="29"/>
      <c r="K7" s="29"/>
      <c r="L7" s="29"/>
    </row>
    <row r="8" spans="1:12" s="72" customFormat="1">
      <c r="A8" s="30" t="str">
        <f>Index!A8</f>
        <v>AusPlay survey results July 2024 - June 2025</v>
      </c>
      <c r="B8" s="29"/>
      <c r="C8" s="29"/>
      <c r="D8" s="29"/>
      <c r="E8" s="29"/>
      <c r="F8" s="29"/>
      <c r="G8" s="29"/>
      <c r="H8" s="29"/>
      <c r="I8" s="29"/>
      <c r="J8" s="29"/>
      <c r="K8" s="29"/>
      <c r="L8" s="29"/>
    </row>
    <row r="9" spans="1:12" s="72" customFormat="1">
      <c r="A9" s="29" t="s">
        <v>1</v>
      </c>
      <c r="B9" s="29"/>
      <c r="C9" s="90" t="s">
        <v>2</v>
      </c>
      <c r="D9" s="30"/>
      <c r="E9" s="29"/>
      <c r="F9" s="29"/>
      <c r="G9" s="29"/>
      <c r="H9" s="29"/>
      <c r="I9" s="29"/>
      <c r="J9" s="29"/>
      <c r="K9" s="29"/>
      <c r="L9" s="29"/>
    </row>
    <row r="10" spans="1:12" s="72" customFormat="1">
      <c r="A10" s="29" t="s">
        <v>49</v>
      </c>
      <c r="B10" s="29"/>
      <c r="C10" s="31">
        <v>8</v>
      </c>
      <c r="D10" s="31"/>
      <c r="E10" s="29"/>
      <c r="F10" s="29"/>
      <c r="G10" s="29"/>
      <c r="H10" s="29"/>
      <c r="I10" s="29"/>
      <c r="J10" s="29"/>
      <c r="K10" s="29"/>
      <c r="L10" s="29"/>
    </row>
    <row r="11" spans="1:12" s="72" customFormat="1">
      <c r="A11" s="29" t="s">
        <v>3</v>
      </c>
      <c r="B11" s="29"/>
      <c r="C11" s="30" t="s">
        <v>16</v>
      </c>
      <c r="D11" s="30"/>
      <c r="E11" s="29"/>
      <c r="F11" s="107" t="s">
        <v>146</v>
      </c>
      <c r="G11" s="29"/>
      <c r="H11" s="29"/>
      <c r="I11" s="29"/>
      <c r="J11" s="29"/>
      <c r="K11" s="29"/>
      <c r="L11" s="29"/>
    </row>
    <row r="12" spans="1:12" s="72" customFormat="1">
      <c r="A12" s="116" t="s">
        <v>50</v>
      </c>
      <c r="B12" s="116"/>
      <c r="C12" s="117" t="s">
        <v>123</v>
      </c>
      <c r="D12" s="173"/>
      <c r="E12" s="116"/>
      <c r="F12" s="116"/>
      <c r="G12" s="116"/>
      <c r="H12" s="116"/>
      <c r="I12" s="116"/>
      <c r="J12" s="116"/>
      <c r="K12" s="116"/>
      <c r="L12" s="116"/>
    </row>
    <row r="13" spans="1:12" s="8" customFormat="1" ht="50.1" customHeight="1">
      <c r="A13" s="100"/>
      <c r="B13" s="100"/>
      <c r="C13" s="37" t="s">
        <v>60</v>
      </c>
      <c r="D13" s="64"/>
      <c r="E13" s="64" t="s">
        <v>166</v>
      </c>
      <c r="F13" s="64" t="s">
        <v>167</v>
      </c>
      <c r="G13" s="64" t="s">
        <v>153</v>
      </c>
      <c r="H13" s="64" t="s">
        <v>168</v>
      </c>
      <c r="I13" s="64" t="s">
        <v>169</v>
      </c>
      <c r="J13" s="64" t="s">
        <v>170</v>
      </c>
      <c r="K13" s="64" t="s">
        <v>171</v>
      </c>
      <c r="L13" s="64" t="s">
        <v>172</v>
      </c>
    </row>
    <row r="14" spans="1:12">
      <c r="A14" s="67"/>
      <c r="B14" s="67"/>
      <c r="C14" s="187" t="s">
        <v>144</v>
      </c>
      <c r="D14" s="187"/>
      <c r="E14" s="187"/>
      <c r="F14" s="187"/>
      <c r="G14" s="187"/>
      <c r="H14" s="187"/>
      <c r="I14" s="187"/>
      <c r="J14" s="187"/>
      <c r="K14" s="187"/>
      <c r="L14" s="187"/>
    </row>
    <row r="15" spans="1:12">
      <c r="A15" s="35" t="s">
        <v>145</v>
      </c>
      <c r="B15" s="35" t="s">
        <v>57</v>
      </c>
      <c r="C15" s="89">
        <v>0.71724338763041207</v>
      </c>
      <c r="D15" s="89"/>
      <c r="E15" s="89">
        <v>0.16260103771320308</v>
      </c>
      <c r="F15" s="89">
        <v>0.1091717279628792</v>
      </c>
      <c r="G15" s="89">
        <v>0.18484931335401775</v>
      </c>
      <c r="H15" s="89">
        <v>0.1421816069400694</v>
      </c>
      <c r="I15" s="89">
        <v>0.2845823252892567</v>
      </c>
      <c r="J15" s="89">
        <v>0.17913174831282677</v>
      </c>
      <c r="K15" s="89">
        <v>0.1134203323715799</v>
      </c>
      <c r="L15" s="89">
        <v>0.14443465162862357</v>
      </c>
    </row>
    <row r="16" spans="1:12">
      <c r="A16" s="35"/>
      <c r="B16" s="34" t="s">
        <v>124</v>
      </c>
      <c r="C16" s="26">
        <v>0.47391435704656909</v>
      </c>
      <c r="D16" s="26"/>
      <c r="E16" s="26">
        <v>0.10085510416059662</v>
      </c>
      <c r="F16" s="26">
        <v>8.1137080154627686E-2</v>
      </c>
      <c r="G16" s="26">
        <v>0.15687192578812925</v>
      </c>
      <c r="H16" s="26">
        <v>7.8389691918064622E-2</v>
      </c>
      <c r="I16" s="26">
        <v>8.5310329448929911E-2</v>
      </c>
      <c r="J16" s="26">
        <v>0.13062464314222136</v>
      </c>
      <c r="K16" s="26">
        <v>6.6177289960049734E-2</v>
      </c>
      <c r="L16" s="26">
        <v>5.8860182147534676E-2</v>
      </c>
    </row>
    <row r="17" spans="1:12">
      <c r="A17" s="35"/>
      <c r="B17" s="34" t="s">
        <v>125</v>
      </c>
      <c r="C17" s="26">
        <v>0.82254079047571493</v>
      </c>
      <c r="D17" s="26"/>
      <c r="E17" s="26">
        <v>0.17533159437824128</v>
      </c>
      <c r="F17" s="26">
        <v>0.12130941707847059</v>
      </c>
      <c r="G17" s="26">
        <v>0.24294742220367524</v>
      </c>
      <c r="H17" s="26">
        <v>0.15872152633753248</v>
      </c>
      <c r="I17" s="26">
        <v>0.32702614929476348</v>
      </c>
      <c r="J17" s="26">
        <v>0.23110635435425922</v>
      </c>
      <c r="K17" s="26">
        <v>0.13503349849554952</v>
      </c>
      <c r="L17" s="26">
        <v>0.15429665550692781</v>
      </c>
    </row>
    <row r="18" spans="1:12">
      <c r="A18" s="35"/>
      <c r="B18" s="34" t="s">
        <v>126</v>
      </c>
      <c r="C18" s="26">
        <v>0.84213335620047347</v>
      </c>
      <c r="D18" s="26"/>
      <c r="E18" s="26">
        <v>0.20344443401580167</v>
      </c>
      <c r="F18" s="26">
        <v>0.12666989515777133</v>
      </c>
      <c r="G18" s="26">
        <v>0.19930084521179353</v>
      </c>
      <c r="H18" s="26">
        <v>0.17460824958193166</v>
      </c>
      <c r="I18" s="26">
        <v>0.40765679971294716</v>
      </c>
      <c r="J18" s="26">
        <v>0.2017251263641969</v>
      </c>
      <c r="K18" s="26">
        <v>0.12760087213089788</v>
      </c>
      <c r="L18" s="26">
        <v>0.18955581282643436</v>
      </c>
    </row>
    <row r="19" spans="1:12">
      <c r="A19" s="35"/>
      <c r="B19" s="34" t="s">
        <v>127</v>
      </c>
      <c r="C19" s="26">
        <v>0.82487396554094206</v>
      </c>
      <c r="D19" s="26"/>
      <c r="E19" s="26">
        <v>0.198694515588202</v>
      </c>
      <c r="F19" s="26">
        <v>0.11847274447226117</v>
      </c>
      <c r="G19" s="26">
        <v>0.13834373805210604</v>
      </c>
      <c r="H19" s="26">
        <v>0.18485579619395401</v>
      </c>
      <c r="I19" s="26">
        <v>0.40801932693103382</v>
      </c>
      <c r="J19" s="26">
        <v>0.16327217600166105</v>
      </c>
      <c r="K19" s="26">
        <v>0.14283268248788267</v>
      </c>
      <c r="L19" s="26">
        <v>0.21582315109271008</v>
      </c>
    </row>
    <row r="20" spans="1:12">
      <c r="A20" s="35"/>
      <c r="B20" s="35"/>
      <c r="C20" s="26"/>
      <c r="D20" s="26"/>
      <c r="E20" s="26"/>
      <c r="F20" s="26"/>
      <c r="G20" s="26"/>
      <c r="H20" s="26"/>
      <c r="I20" s="26"/>
      <c r="J20" s="26"/>
      <c r="K20" s="26"/>
      <c r="L20" s="26"/>
    </row>
    <row r="21" spans="1:12">
      <c r="A21" s="35" t="s">
        <v>58</v>
      </c>
      <c r="B21" s="35" t="s">
        <v>57</v>
      </c>
      <c r="C21" s="89">
        <v>0.7189477258840391</v>
      </c>
      <c r="D21" s="89"/>
      <c r="E21" s="89">
        <v>0.17463157733267112</v>
      </c>
      <c r="F21" s="89">
        <v>0.11710938950331666</v>
      </c>
      <c r="G21" s="89">
        <v>0.18019659606416952</v>
      </c>
      <c r="H21" s="89">
        <v>0.16346643966106658</v>
      </c>
      <c r="I21" s="89">
        <v>0.31870866155127514</v>
      </c>
      <c r="J21" s="89">
        <v>0.14826105626009281</v>
      </c>
      <c r="K21" s="89">
        <v>0.11279623868466</v>
      </c>
      <c r="L21" s="89">
        <v>0.1516612451857447</v>
      </c>
    </row>
    <row r="22" spans="1:12">
      <c r="A22" s="35"/>
      <c r="B22" s="34" t="s">
        <v>124</v>
      </c>
      <c r="C22" s="26">
        <v>0.48072123063049815</v>
      </c>
      <c r="D22" s="26"/>
      <c r="E22" s="26">
        <v>0.10597625946878671</v>
      </c>
      <c r="F22" s="26">
        <v>8.5865481702246033E-2</v>
      </c>
      <c r="G22" s="26">
        <v>0.15621605729267293</v>
      </c>
      <c r="H22" s="26">
        <v>9.2852398345959208E-2</v>
      </c>
      <c r="I22" s="26">
        <v>9.5820111867386232E-2</v>
      </c>
      <c r="J22" s="26">
        <v>0.12262098028000568</v>
      </c>
      <c r="K22" s="26">
        <v>6.27811090350269E-2</v>
      </c>
      <c r="L22" s="26">
        <v>6.5989228075694739E-2</v>
      </c>
    </row>
    <row r="23" spans="1:12">
      <c r="A23" s="35"/>
      <c r="B23" s="34" t="s">
        <v>125</v>
      </c>
      <c r="C23" s="26">
        <v>0.81600317829500413</v>
      </c>
      <c r="D23" s="26"/>
      <c r="E23" s="26">
        <v>0.1761775090828715</v>
      </c>
      <c r="F23" s="26">
        <v>0.12121479079346242</v>
      </c>
      <c r="G23" s="26">
        <v>0.2254144928943137</v>
      </c>
      <c r="H23" s="26">
        <v>0.17993029858244841</v>
      </c>
      <c r="I23" s="26">
        <v>0.38049388048603244</v>
      </c>
      <c r="J23" s="26">
        <v>0.17929964317572189</v>
      </c>
      <c r="K23" s="26">
        <v>0.1286639425656689</v>
      </c>
      <c r="L23" s="26">
        <v>0.16049475184843739</v>
      </c>
    </row>
    <row r="24" spans="1:12">
      <c r="A24" s="35"/>
      <c r="B24" s="34" t="s">
        <v>126</v>
      </c>
      <c r="C24" s="26">
        <v>0.84750642076142224</v>
      </c>
      <c r="D24" s="26"/>
      <c r="E24" s="26">
        <v>0.22715704414819166</v>
      </c>
      <c r="F24" s="26">
        <v>0.14000256220124857</v>
      </c>
      <c r="G24" s="26">
        <v>0.20066107970817051</v>
      </c>
      <c r="H24" s="26">
        <v>0.20733359866287279</v>
      </c>
      <c r="I24" s="26">
        <v>0.45577193114017567</v>
      </c>
      <c r="J24" s="26">
        <v>0.15739873144372243</v>
      </c>
      <c r="K24" s="26">
        <v>0.13160412588494216</v>
      </c>
      <c r="L24" s="26">
        <v>0.18736314831363582</v>
      </c>
    </row>
    <row r="25" spans="1:12">
      <c r="A25" s="35"/>
      <c r="B25" s="34" t="s">
        <v>127</v>
      </c>
      <c r="C25" s="26">
        <v>0.82498720411454596</v>
      </c>
      <c r="D25" s="26"/>
      <c r="E25" s="26">
        <v>0.22365866294826453</v>
      </c>
      <c r="F25" s="26">
        <v>0.1360673240254473</v>
      </c>
      <c r="G25" s="26">
        <v>0.13798528219174125</v>
      </c>
      <c r="H25" s="26">
        <v>0.20493481101071662</v>
      </c>
      <c r="I25" s="26">
        <v>0.4384161888066922</v>
      </c>
      <c r="J25" s="26">
        <v>0.13796611415629512</v>
      </c>
      <c r="K25" s="26">
        <v>0.14896791562535658</v>
      </c>
      <c r="L25" s="26">
        <v>0.23365752240029836</v>
      </c>
    </row>
    <row r="26" spans="1:12">
      <c r="A26" s="35"/>
      <c r="B26" s="34"/>
      <c r="C26" s="26"/>
      <c r="D26" s="26"/>
      <c r="E26" s="26"/>
      <c r="F26" s="26"/>
      <c r="G26" s="26"/>
      <c r="H26" s="26"/>
      <c r="I26" s="26"/>
      <c r="J26" s="26"/>
      <c r="K26" s="26"/>
      <c r="L26" s="26"/>
    </row>
    <row r="27" spans="1:12">
      <c r="A27" s="35" t="s">
        <v>59</v>
      </c>
      <c r="B27" s="35" t="s">
        <v>57</v>
      </c>
      <c r="C27" s="89">
        <v>0.71730053673529681</v>
      </c>
      <c r="D27" s="89"/>
      <c r="E27" s="89">
        <v>0.15043781408414136</v>
      </c>
      <c r="F27" s="89">
        <v>0.10114665138912401</v>
      </c>
      <c r="G27" s="89">
        <v>0.1904600649217135</v>
      </c>
      <c r="H27" s="89">
        <v>0.12059345865534048</v>
      </c>
      <c r="I27" s="89">
        <v>0.24862277805930907</v>
      </c>
      <c r="J27" s="89">
        <v>0.21246459544674395</v>
      </c>
      <c r="K27" s="89">
        <v>0.11455617764914285</v>
      </c>
      <c r="L27" s="89">
        <v>0.13772572844501518</v>
      </c>
    </row>
    <row r="28" spans="1:12">
      <c r="A28" s="35"/>
      <c r="B28" s="34" t="s">
        <v>124</v>
      </c>
      <c r="C28" s="26">
        <v>0.46827823658025958</v>
      </c>
      <c r="D28" s="26"/>
      <c r="E28" s="26">
        <v>9.5542267147877113E-2</v>
      </c>
      <c r="F28" s="26">
        <v>7.5804992387400405E-2</v>
      </c>
      <c r="G28" s="26">
        <v>0.15813805707277287</v>
      </c>
      <c r="H28" s="26">
        <v>6.3816755016857102E-2</v>
      </c>
      <c r="I28" s="26">
        <v>7.4976666108825626E-2</v>
      </c>
      <c r="J28" s="26">
        <v>0.13941731032698571</v>
      </c>
      <c r="K28" s="26">
        <v>6.9550539682983178E-2</v>
      </c>
      <c r="L28" s="26">
        <v>5.1859569562328511E-2</v>
      </c>
    </row>
    <row r="29" spans="1:12">
      <c r="A29" s="34"/>
      <c r="B29" s="34" t="s">
        <v>125</v>
      </c>
      <c r="C29" s="26">
        <v>0.8305618531823693</v>
      </c>
      <c r="D29" s="26"/>
      <c r="E29" s="26">
        <v>0.17487688506062124</v>
      </c>
      <c r="F29" s="26">
        <v>0.12171405051865544</v>
      </c>
      <c r="G29" s="26">
        <v>0.26210465997158</v>
      </c>
      <c r="H29" s="26">
        <v>0.13668410913415446</v>
      </c>
      <c r="I29" s="26">
        <v>0.2703261553916772</v>
      </c>
      <c r="J29" s="26">
        <v>0.28649065859548783</v>
      </c>
      <c r="K29" s="26">
        <v>0.14211056864041993</v>
      </c>
      <c r="L29" s="26">
        <v>0.14812729278148237</v>
      </c>
    </row>
    <row r="30" spans="1:12">
      <c r="A30" s="34"/>
      <c r="B30" s="34" t="s">
        <v>126</v>
      </c>
      <c r="C30" s="26">
        <v>0.83870051882700336</v>
      </c>
      <c r="D30" s="26"/>
      <c r="E30" s="26">
        <v>0.17896650196789607</v>
      </c>
      <c r="F30" s="26">
        <v>0.11365227302254577</v>
      </c>
      <c r="G30" s="26">
        <v>0.19845604184632071</v>
      </c>
      <c r="H30" s="26">
        <v>0.14147201513497693</v>
      </c>
      <c r="I30" s="26">
        <v>0.3551894598126672</v>
      </c>
      <c r="J30" s="26">
        <v>0.25041523923384912</v>
      </c>
      <c r="K30" s="26">
        <v>0.1244703354424315</v>
      </c>
      <c r="L30" s="26">
        <v>0.19352442729290287</v>
      </c>
    </row>
    <row r="31" spans="1:12">
      <c r="A31" s="118"/>
      <c r="B31" s="118" t="s">
        <v>127</v>
      </c>
      <c r="C31" s="125">
        <v>0.82632894926306222</v>
      </c>
      <c r="D31" s="125"/>
      <c r="E31" s="125">
        <v>0.17339704079281756</v>
      </c>
      <c r="F31" s="125">
        <v>0.10052678874106483</v>
      </c>
      <c r="G31" s="125">
        <v>0.13946939627963192</v>
      </c>
      <c r="H31" s="125">
        <v>0.16464390543357527</v>
      </c>
      <c r="I31" s="125">
        <v>0.37618338927825301</v>
      </c>
      <c r="J31" s="125">
        <v>0.18993589131408189</v>
      </c>
      <c r="K31" s="125">
        <v>0.13712310566871616</v>
      </c>
      <c r="L31" s="125">
        <v>0.19814955656975169</v>
      </c>
    </row>
    <row r="32" spans="1:12">
      <c r="A32" s="67"/>
      <c r="B32" s="67"/>
      <c r="C32" s="190" t="s">
        <v>147</v>
      </c>
      <c r="D32" s="190"/>
      <c r="E32" s="190"/>
      <c r="F32" s="190"/>
      <c r="G32" s="190"/>
      <c r="H32" s="190"/>
      <c r="I32" s="190"/>
      <c r="J32" s="190"/>
      <c r="K32" s="190"/>
      <c r="L32" s="190"/>
    </row>
    <row r="33" spans="1:12">
      <c r="A33" s="35" t="s">
        <v>145</v>
      </c>
      <c r="B33" s="35" t="s">
        <v>57</v>
      </c>
      <c r="C33" s="84">
        <v>3460623.755104857</v>
      </c>
      <c r="D33" s="84"/>
      <c r="E33" s="84">
        <v>784532.87045842409</v>
      </c>
      <c r="F33" s="84">
        <v>526742.08182294527</v>
      </c>
      <c r="G33" s="84">
        <v>891878.45568171737</v>
      </c>
      <c r="H33" s="84">
        <v>686011.26897990622</v>
      </c>
      <c r="I33" s="84">
        <v>1373079.727416676</v>
      </c>
      <c r="J33" s="84">
        <v>864291.80693160265</v>
      </c>
      <c r="K33" s="84">
        <v>547241.15033491468</v>
      </c>
      <c r="L33" s="84">
        <v>696881.97215401637</v>
      </c>
    </row>
    <row r="34" spans="1:12">
      <c r="A34" s="35"/>
      <c r="B34" s="34" t="s">
        <v>124</v>
      </c>
      <c r="C34" s="86">
        <v>720572.40802780527</v>
      </c>
      <c r="D34" s="86"/>
      <c r="E34" s="86">
        <v>153347.12735819267</v>
      </c>
      <c r="F34" s="86">
        <v>123366.46982319646</v>
      </c>
      <c r="G34" s="86">
        <v>238519.0058844405</v>
      </c>
      <c r="H34" s="86">
        <v>119189.1493264195</v>
      </c>
      <c r="I34" s="86">
        <v>129711.76881779982</v>
      </c>
      <c r="J34" s="86">
        <v>198610.80859281513</v>
      </c>
      <c r="K34" s="86">
        <v>100620.5625008772</v>
      </c>
      <c r="L34" s="86">
        <v>89495.121969551532</v>
      </c>
    </row>
    <row r="35" spans="1:12">
      <c r="A35" s="35"/>
      <c r="B35" s="34" t="s">
        <v>125</v>
      </c>
      <c r="C35" s="86">
        <v>1061647.3366712814</v>
      </c>
      <c r="D35" s="86"/>
      <c r="E35" s="86">
        <v>226299.19678309857</v>
      </c>
      <c r="F35" s="86">
        <v>156573.17065092878</v>
      </c>
      <c r="G35" s="86">
        <v>313570.44747229497</v>
      </c>
      <c r="H35" s="86">
        <v>204860.70436845656</v>
      </c>
      <c r="I35" s="86">
        <v>422090.24092270958</v>
      </c>
      <c r="J35" s="86">
        <v>298287.26846009545</v>
      </c>
      <c r="K35" s="86">
        <v>174286.7413983139</v>
      </c>
      <c r="L35" s="86">
        <v>199149.55619584251</v>
      </c>
    </row>
    <row r="36" spans="1:12">
      <c r="A36" s="35"/>
      <c r="B36" s="34" t="s">
        <v>126</v>
      </c>
      <c r="C36" s="86">
        <v>845513.11008261389</v>
      </c>
      <c r="D36" s="86"/>
      <c r="E36" s="86">
        <v>204260.9224147021</v>
      </c>
      <c r="F36" s="86">
        <v>127178.2624689076</v>
      </c>
      <c r="G36" s="86">
        <v>200100.70404692806</v>
      </c>
      <c r="H36" s="86">
        <v>175309.00903414103</v>
      </c>
      <c r="I36" s="86">
        <v>409292.85846927884</v>
      </c>
      <c r="J36" s="86">
        <v>202534.71462469606</v>
      </c>
      <c r="K36" s="86">
        <v>128112.9757541229</v>
      </c>
      <c r="L36" s="86">
        <v>190316.56169069133</v>
      </c>
    </row>
    <row r="37" spans="1:12">
      <c r="A37" s="35"/>
      <c r="B37" s="34" t="s">
        <v>127</v>
      </c>
      <c r="C37" s="86">
        <v>832890.90032312379</v>
      </c>
      <c r="D37" s="86"/>
      <c r="E37" s="86">
        <v>200625.62390243178</v>
      </c>
      <c r="F37" s="86">
        <v>119624.17887991318</v>
      </c>
      <c r="G37" s="86">
        <v>139688.29827805478</v>
      </c>
      <c r="H37" s="86">
        <v>186652.40625088962</v>
      </c>
      <c r="I37" s="86">
        <v>411984.85920690175</v>
      </c>
      <c r="J37" s="86">
        <v>164859.0152539968</v>
      </c>
      <c r="K37" s="86">
        <v>144220.87068160085</v>
      </c>
      <c r="L37" s="86">
        <v>217920.73229793159</v>
      </c>
    </row>
    <row r="38" spans="1:12">
      <c r="A38" s="35"/>
      <c r="B38" s="35"/>
      <c r="C38" s="85"/>
      <c r="D38" s="86"/>
      <c r="E38" s="86"/>
      <c r="F38" s="86"/>
      <c r="G38" s="86"/>
      <c r="H38" s="86"/>
      <c r="I38" s="86"/>
      <c r="J38" s="87"/>
      <c r="K38" s="86"/>
      <c r="L38" s="86"/>
    </row>
    <row r="39" spans="1:12">
      <c r="A39" s="35" t="s">
        <v>58</v>
      </c>
      <c r="B39" s="35" t="s">
        <v>57</v>
      </c>
      <c r="C39" s="88">
        <v>1777208.2365711608</v>
      </c>
      <c r="D39" s="88"/>
      <c r="E39" s="88">
        <v>431681.84059475688</v>
      </c>
      <c r="F39" s="88">
        <v>289489.43589632283</v>
      </c>
      <c r="G39" s="88">
        <v>445438.33048994426</v>
      </c>
      <c r="H39" s="88">
        <v>404082.09457980527</v>
      </c>
      <c r="I39" s="88">
        <v>787834.27220528491</v>
      </c>
      <c r="J39" s="88">
        <v>366495.03275663231</v>
      </c>
      <c r="K39" s="88">
        <v>278827.51030073839</v>
      </c>
      <c r="L39" s="88">
        <v>374900.15533649176</v>
      </c>
    </row>
    <row r="40" spans="1:12">
      <c r="A40" s="35"/>
      <c r="B40" s="34" t="s">
        <v>124</v>
      </c>
      <c r="C40" s="85">
        <v>373878.22360420495</v>
      </c>
      <c r="D40" s="85"/>
      <c r="E40" s="85">
        <v>82422.437599523284</v>
      </c>
      <c r="F40" s="85">
        <v>66781.393710549382</v>
      </c>
      <c r="G40" s="85">
        <v>121496.15676934876</v>
      </c>
      <c r="H40" s="85">
        <v>72215.428691271969</v>
      </c>
      <c r="I40" s="85">
        <v>74523.551130761582</v>
      </c>
      <c r="J40" s="85">
        <v>95367.77525628639</v>
      </c>
      <c r="K40" s="85">
        <v>48827.653172571583</v>
      </c>
      <c r="L40" s="85">
        <v>51322.749647637938</v>
      </c>
    </row>
    <row r="41" spans="1:12">
      <c r="A41" s="35"/>
      <c r="B41" s="34" t="s">
        <v>125</v>
      </c>
      <c r="C41" s="85">
        <v>540750.79477773816</v>
      </c>
      <c r="D41" s="85"/>
      <c r="E41" s="85">
        <v>116749.7021979531</v>
      </c>
      <c r="F41" s="85">
        <v>80326.88622284423</v>
      </c>
      <c r="G41" s="85">
        <v>149378.17575871473</v>
      </c>
      <c r="H41" s="85">
        <v>119236.60906119586</v>
      </c>
      <c r="I41" s="85">
        <v>252146.52804514384</v>
      </c>
      <c r="J41" s="85">
        <v>118818.68493848498</v>
      </c>
      <c r="K41" s="85">
        <v>85263.306629511309</v>
      </c>
      <c r="L41" s="85">
        <v>106357.01787465664</v>
      </c>
    </row>
    <row r="42" spans="1:12">
      <c r="A42" s="35"/>
      <c r="B42" s="34" t="s">
        <v>126</v>
      </c>
      <c r="C42" s="85">
        <v>435787.99175048975</v>
      </c>
      <c r="D42" s="85"/>
      <c r="E42" s="85">
        <v>116804.20307893415</v>
      </c>
      <c r="F42" s="85">
        <v>71989.348902856509</v>
      </c>
      <c r="G42" s="85">
        <v>103179.97221772674</v>
      </c>
      <c r="H42" s="85">
        <v>106610.98296166227</v>
      </c>
      <c r="I42" s="85">
        <v>234358.02927531127</v>
      </c>
      <c r="J42" s="85">
        <v>80934.463031335108</v>
      </c>
      <c r="K42" s="85">
        <v>67670.87106425871</v>
      </c>
      <c r="L42" s="85">
        <v>96342.17291037328</v>
      </c>
    </row>
    <row r="43" spans="1:12">
      <c r="A43" s="35"/>
      <c r="B43" s="34" t="s">
        <v>127</v>
      </c>
      <c r="C43" s="85">
        <v>426791.2264387529</v>
      </c>
      <c r="D43" s="85"/>
      <c r="E43" s="85">
        <v>115705.4977183475</v>
      </c>
      <c r="F43" s="85">
        <v>70391.807060072591</v>
      </c>
      <c r="G43" s="85">
        <v>71384.025744154336</v>
      </c>
      <c r="H43" s="85">
        <v>106019.07386567627</v>
      </c>
      <c r="I43" s="85">
        <v>226806.16375406508</v>
      </c>
      <c r="J43" s="85">
        <v>71374.109530526213</v>
      </c>
      <c r="K43" s="85">
        <v>77065.679434396458</v>
      </c>
      <c r="L43" s="85">
        <v>120878.21490382486</v>
      </c>
    </row>
    <row r="44" spans="1:12">
      <c r="A44" s="35"/>
      <c r="B44" s="34"/>
      <c r="C44" s="85"/>
      <c r="D44" s="86"/>
      <c r="E44" s="86"/>
      <c r="F44" s="86"/>
      <c r="G44" s="86"/>
      <c r="H44" s="86"/>
      <c r="I44" s="86"/>
      <c r="J44" s="87"/>
      <c r="K44" s="86"/>
      <c r="L44" s="86"/>
    </row>
    <row r="45" spans="1:12">
      <c r="A45" s="35" t="s">
        <v>59</v>
      </c>
      <c r="B45" s="35" t="s">
        <v>57</v>
      </c>
      <c r="C45" s="88">
        <v>1676939.6149131453</v>
      </c>
      <c r="D45" s="88"/>
      <c r="E45" s="88">
        <v>351700.7406223811</v>
      </c>
      <c r="F45" s="88">
        <v>236465.49520542874</v>
      </c>
      <c r="G45" s="88">
        <v>445266.67912422656</v>
      </c>
      <c r="H45" s="88">
        <v>281929.17440010019</v>
      </c>
      <c r="I45" s="88">
        <v>581242.26087296358</v>
      </c>
      <c r="J45" s="88">
        <v>496709.92648736958</v>
      </c>
      <c r="K45" s="88">
        <v>267814.92916095076</v>
      </c>
      <c r="L45" s="88">
        <v>321981.81681752432</v>
      </c>
    </row>
    <row r="46" spans="1:12">
      <c r="A46" s="34"/>
      <c r="B46" s="34" t="s">
        <v>124</v>
      </c>
      <c r="C46" s="85">
        <v>344686.45512969425</v>
      </c>
      <c r="D46" s="85"/>
      <c r="E46" s="85">
        <v>70325.978885443401</v>
      </c>
      <c r="F46" s="85">
        <v>55797.925391453005</v>
      </c>
      <c r="G46" s="85">
        <v>116400.98141560558</v>
      </c>
      <c r="H46" s="85">
        <v>46973.72063514746</v>
      </c>
      <c r="I46" s="85">
        <v>55188.217687038312</v>
      </c>
      <c r="J46" s="85">
        <v>102621.16563704297</v>
      </c>
      <c r="K46" s="85">
        <v>51194.198455079764</v>
      </c>
      <c r="L46" s="85">
        <v>38172.372321913586</v>
      </c>
    </row>
    <row r="47" spans="1:12">
      <c r="A47" s="34"/>
      <c r="B47" s="34" t="s">
        <v>125</v>
      </c>
      <c r="C47" s="85">
        <v>520295.35639481049</v>
      </c>
      <c r="D47" s="85"/>
      <c r="E47" s="85">
        <v>109549.49458514534</v>
      </c>
      <c r="F47" s="85">
        <v>76246.2844280844</v>
      </c>
      <c r="G47" s="85">
        <v>164192.27171357966</v>
      </c>
      <c r="H47" s="85">
        <v>85624.095307260475</v>
      </c>
      <c r="I47" s="85">
        <v>169342.52737883537</v>
      </c>
      <c r="J47" s="85">
        <v>179468.58352161013</v>
      </c>
      <c r="K47" s="85">
        <v>89023.434768802617</v>
      </c>
      <c r="L47" s="85">
        <v>92792.538321185464</v>
      </c>
    </row>
    <row r="48" spans="1:12">
      <c r="A48" s="34"/>
      <c r="B48" s="34" t="s">
        <v>126</v>
      </c>
      <c r="C48" s="85">
        <v>407268.32126061921</v>
      </c>
      <c r="D48" s="85"/>
      <c r="E48" s="85">
        <v>86905.140967707732</v>
      </c>
      <c r="F48" s="85">
        <v>55188.913566051189</v>
      </c>
      <c r="G48" s="85">
        <v>96369.153461141206</v>
      </c>
      <c r="H48" s="85">
        <v>68698.026072478795</v>
      </c>
      <c r="I48" s="85">
        <v>172478.03212246404</v>
      </c>
      <c r="J48" s="85">
        <v>121600.25159336108</v>
      </c>
      <c r="K48" s="85">
        <v>60442.104689864289</v>
      </c>
      <c r="L48" s="85">
        <v>93974.388780318099</v>
      </c>
    </row>
    <row r="49" spans="1:22">
      <c r="A49" s="34"/>
      <c r="B49" s="34" t="s">
        <v>127</v>
      </c>
      <c r="C49" s="85">
        <v>404689.48212804645</v>
      </c>
      <c r="D49" s="85"/>
      <c r="E49" s="85">
        <v>84920.126184084365</v>
      </c>
      <c r="F49" s="85">
        <v>49232.371819840329</v>
      </c>
      <c r="G49" s="85">
        <v>68304.272533900134</v>
      </c>
      <c r="H49" s="85">
        <v>80633.332385213391</v>
      </c>
      <c r="I49" s="85">
        <v>184233.48368462478</v>
      </c>
      <c r="J49" s="85">
        <v>93019.925735355893</v>
      </c>
      <c r="K49" s="85">
        <v>67155.191247204071</v>
      </c>
      <c r="L49" s="85">
        <v>97042.517394106981</v>
      </c>
    </row>
    <row r="50" spans="1:22">
      <c r="A50" s="118"/>
      <c r="B50" s="118"/>
      <c r="C50" s="172"/>
      <c r="D50" s="119"/>
      <c r="E50" s="119"/>
      <c r="F50" s="119"/>
      <c r="G50" s="119"/>
      <c r="H50" s="119"/>
      <c r="I50" s="119"/>
      <c r="J50" s="119"/>
      <c r="K50" s="119"/>
      <c r="L50" s="119"/>
    </row>
    <row r="51" spans="1:22">
      <c r="A51" s="16" t="s">
        <v>130</v>
      </c>
    </row>
    <row r="52" spans="1:22">
      <c r="A52" s="24" t="s">
        <v>117</v>
      </c>
    </row>
    <row r="53" spans="1:22" ht="15" customHeight="1">
      <c r="A53" s="16" t="s">
        <v>121</v>
      </c>
      <c r="B53" s="24"/>
      <c r="C53" s="2"/>
      <c r="G53" s="2"/>
      <c r="K53" s="2"/>
      <c r="L53" s="2"/>
      <c r="N53" s="2"/>
      <c r="R53" s="2"/>
      <c r="V53" s="2"/>
    </row>
    <row r="54" spans="1:22">
      <c r="A54" s="16" t="s">
        <v>122</v>
      </c>
    </row>
    <row r="55" spans="1:22">
      <c r="A55" s="24" t="s">
        <v>120</v>
      </c>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7" id="{EDED41CA-83A6-45E6-AFF2-A3105A4FE0FC}">
            <xm:f>C33&lt;'38'!$D$104</xm:f>
            <x14:dxf>
              <font>
                <color rgb="FFFF0000"/>
              </font>
              <numFmt numFmtId="172" formatCode="\*\*0.0%"/>
            </x14:dxf>
          </x14:cfRule>
          <x14:cfRule type="expression" priority="8" id="{132E7598-60C8-4989-90DE-0A5BA02378C7}">
            <xm:f>C33&lt;'38'!$D$103</xm:f>
            <x14:dxf>
              <font>
                <color rgb="FF00B050"/>
              </font>
              <numFmt numFmtId="171" formatCode="\*0.0%"/>
            </x14:dxf>
          </x14:cfRule>
          <xm:sqref>C15:L31</xm:sqref>
        </x14:conditionalFormatting>
        <x14:conditionalFormatting xmlns:xm="http://schemas.microsoft.com/office/excel/2006/main">
          <x14:cfRule type="expression" priority="5" id="{0B7870B5-B33A-4B9B-89BC-2D2C25430219}">
            <xm:f>C33&lt;'38'!$D$104</xm:f>
            <x14:dxf>
              <font>
                <color rgb="FFFF0000"/>
              </font>
              <numFmt numFmtId="174" formatCode="\*\*#,###,###,##0"/>
            </x14:dxf>
          </x14:cfRule>
          <x14:cfRule type="expression" priority="6" id="{380A339A-2936-440E-A452-9FC79DD890E3}">
            <xm:f>C33&lt;'38'!$D$103</xm:f>
            <x14:dxf>
              <font>
                <color rgb="FF00B050"/>
              </font>
              <numFmt numFmtId="173"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W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9"/>
      <c r="B1" s="29"/>
      <c r="C1" s="29"/>
      <c r="D1" s="29"/>
      <c r="E1" s="29"/>
      <c r="F1" s="29"/>
      <c r="G1" s="29"/>
      <c r="H1" s="29"/>
      <c r="I1" s="29"/>
      <c r="J1" s="29"/>
      <c r="K1" s="29"/>
      <c r="L1" s="29"/>
    </row>
    <row r="2" spans="1:12">
      <c r="A2" s="29"/>
      <c r="B2" s="29"/>
      <c r="C2" s="29"/>
      <c r="D2" s="29"/>
      <c r="E2" s="29"/>
      <c r="F2" s="29"/>
      <c r="G2" s="29"/>
      <c r="H2" s="29"/>
      <c r="I2" s="29"/>
      <c r="J2" s="29"/>
      <c r="K2" s="29"/>
      <c r="L2" s="29"/>
    </row>
    <row r="3" spans="1:12">
      <c r="A3" s="29"/>
      <c r="B3" s="29"/>
      <c r="C3" s="29"/>
      <c r="D3" s="29"/>
      <c r="E3" s="29"/>
      <c r="F3" s="29"/>
      <c r="G3" s="29"/>
      <c r="H3" s="29"/>
      <c r="I3" s="29"/>
      <c r="J3" s="29"/>
      <c r="K3" s="29"/>
      <c r="L3" s="29"/>
    </row>
    <row r="4" spans="1:12">
      <c r="A4" s="29"/>
      <c r="B4" s="29"/>
      <c r="C4" s="29"/>
      <c r="D4" s="29"/>
      <c r="E4" s="29"/>
      <c r="F4" s="29"/>
      <c r="G4" s="29"/>
      <c r="H4" s="29"/>
      <c r="I4" s="29"/>
      <c r="J4" s="29"/>
      <c r="K4" s="29"/>
      <c r="L4" s="29"/>
    </row>
    <row r="5" spans="1:12">
      <c r="A5" s="29"/>
      <c r="B5" s="29"/>
      <c r="C5" s="29"/>
      <c r="D5" s="29"/>
      <c r="E5" s="29"/>
      <c r="F5" s="29"/>
      <c r="G5" s="29"/>
      <c r="H5" s="29"/>
      <c r="I5" s="29"/>
      <c r="J5" s="29"/>
      <c r="K5" s="29"/>
      <c r="L5" s="29"/>
    </row>
    <row r="6" spans="1:12">
      <c r="A6" s="29"/>
      <c r="B6" s="29"/>
      <c r="C6" s="29"/>
      <c r="D6" s="29"/>
      <c r="E6" s="29"/>
      <c r="F6" s="29"/>
      <c r="G6" s="29"/>
      <c r="H6" s="29"/>
      <c r="I6" s="29"/>
      <c r="J6" s="29"/>
      <c r="K6" s="29"/>
      <c r="L6" s="29"/>
    </row>
    <row r="7" spans="1:12">
      <c r="A7" s="29"/>
      <c r="B7" s="29"/>
      <c r="C7" s="29"/>
      <c r="D7" s="29"/>
      <c r="E7" s="29"/>
      <c r="F7" s="29"/>
      <c r="G7" s="29"/>
      <c r="H7" s="29"/>
      <c r="I7" s="29"/>
      <c r="J7" s="29"/>
      <c r="K7" s="29"/>
      <c r="L7" s="29"/>
    </row>
    <row r="8" spans="1:12">
      <c r="A8" s="30" t="s">
        <v>0</v>
      </c>
      <c r="B8" s="29"/>
      <c r="C8" s="29"/>
      <c r="D8" s="29"/>
      <c r="E8" s="29"/>
      <c r="F8" s="29"/>
      <c r="G8" s="29"/>
      <c r="H8" s="29"/>
      <c r="I8" s="29"/>
      <c r="J8" s="29"/>
      <c r="K8" s="29"/>
      <c r="L8" s="29"/>
    </row>
    <row r="9" spans="1:12">
      <c r="A9" s="29" t="s">
        <v>1</v>
      </c>
      <c r="B9" s="29"/>
      <c r="C9" s="90" t="s">
        <v>2</v>
      </c>
      <c r="D9" s="29"/>
      <c r="E9" s="29"/>
      <c r="F9" s="29"/>
      <c r="G9" s="29"/>
      <c r="H9" s="29"/>
      <c r="I9" s="29"/>
      <c r="J9" s="29"/>
      <c r="K9" s="29"/>
      <c r="L9" s="29"/>
    </row>
    <row r="10" spans="1:12">
      <c r="A10" s="29" t="s">
        <v>49</v>
      </c>
      <c r="B10" s="29"/>
      <c r="C10" s="31">
        <v>9</v>
      </c>
      <c r="D10" s="29"/>
      <c r="E10" s="29"/>
      <c r="F10" s="29"/>
      <c r="G10" s="29"/>
      <c r="H10" s="29"/>
      <c r="I10" s="29"/>
      <c r="J10" s="29"/>
      <c r="K10" s="29"/>
      <c r="L10" s="29"/>
    </row>
    <row r="11" spans="1:12">
      <c r="A11" s="29" t="s">
        <v>3</v>
      </c>
      <c r="B11" s="29"/>
      <c r="C11" s="30" t="s">
        <v>17</v>
      </c>
      <c r="D11" s="29"/>
      <c r="E11" s="29"/>
      <c r="F11" s="29" t="s">
        <v>146</v>
      </c>
      <c r="G11" s="29"/>
      <c r="H11" s="29"/>
      <c r="I11" s="29"/>
      <c r="J11" s="29"/>
      <c r="K11" s="29"/>
      <c r="L11" s="29"/>
    </row>
    <row r="12" spans="1:12">
      <c r="A12" s="116" t="s">
        <v>50</v>
      </c>
      <c r="B12" s="116"/>
      <c r="C12" s="117" t="s">
        <v>51</v>
      </c>
      <c r="D12" s="116"/>
      <c r="E12" s="116"/>
      <c r="F12" s="174" t="s">
        <v>146</v>
      </c>
      <c r="G12" s="116"/>
      <c r="H12" s="116"/>
      <c r="I12" s="116"/>
      <c r="J12" s="116"/>
      <c r="K12" s="116"/>
      <c r="L12" s="116"/>
    </row>
    <row r="13" spans="1:12" s="2" customFormat="1" ht="50.1" customHeight="1">
      <c r="A13" s="58"/>
      <c r="B13" s="58"/>
      <c r="C13" s="59" t="s">
        <v>174</v>
      </c>
      <c r="D13" s="59" t="s">
        <v>175</v>
      </c>
      <c r="E13" s="59" t="s">
        <v>176</v>
      </c>
      <c r="F13" s="59" t="s">
        <v>177</v>
      </c>
      <c r="G13" s="59" t="s">
        <v>178</v>
      </c>
      <c r="H13" s="59" t="s">
        <v>179</v>
      </c>
      <c r="I13" s="59" t="s">
        <v>180</v>
      </c>
      <c r="J13" s="59" t="s">
        <v>181</v>
      </c>
      <c r="K13" s="59" t="s">
        <v>182</v>
      </c>
      <c r="L13" s="59" t="s">
        <v>183</v>
      </c>
    </row>
    <row r="14" spans="1:12">
      <c r="A14" s="68"/>
      <c r="B14" s="68"/>
      <c r="C14" s="190" t="s">
        <v>144</v>
      </c>
      <c r="D14" s="190"/>
      <c r="E14" s="190"/>
      <c r="F14" s="190"/>
      <c r="G14" s="190"/>
      <c r="H14" s="190"/>
      <c r="I14" s="190"/>
      <c r="J14" s="190"/>
      <c r="K14" s="190"/>
      <c r="L14" s="190"/>
    </row>
    <row r="15" spans="1:12">
      <c r="A15" s="35" t="s">
        <v>145</v>
      </c>
      <c r="B15" s="35" t="s">
        <v>57</v>
      </c>
      <c r="C15" s="28">
        <v>0.85544795004656971</v>
      </c>
      <c r="D15" s="28">
        <v>0.80146282408893177</v>
      </c>
      <c r="E15" s="28">
        <v>0.75678798484756316</v>
      </c>
      <c r="F15" s="28">
        <v>0.67738112330036404</v>
      </c>
      <c r="G15" s="28">
        <v>0.57842914792528577</v>
      </c>
      <c r="H15" s="28">
        <v>0.49015856907537309</v>
      </c>
      <c r="I15" s="28">
        <v>0.40135823622051814</v>
      </c>
      <c r="J15" s="28">
        <v>0.32765127982013975</v>
      </c>
      <c r="K15" s="28">
        <v>0.24879773657342888</v>
      </c>
      <c r="L15" s="28">
        <v>0.18881779222566711</v>
      </c>
    </row>
    <row r="16" spans="1:12">
      <c r="A16" s="34" t="s">
        <v>61</v>
      </c>
      <c r="B16" s="34" t="s">
        <v>62</v>
      </c>
      <c r="C16" s="102">
        <v>0.84811698202841357</v>
      </c>
      <c r="D16" s="102">
        <v>0.79367610766323471</v>
      </c>
      <c r="E16" s="102">
        <v>0.75011740007717453</v>
      </c>
      <c r="F16" s="102">
        <v>0.68089932378917783</v>
      </c>
      <c r="G16" s="102">
        <v>0.57048122038927418</v>
      </c>
      <c r="H16" s="102">
        <v>0.49458755281095435</v>
      </c>
      <c r="I16" s="102">
        <v>0.41252049003932573</v>
      </c>
      <c r="J16" s="102">
        <v>0.35164421631663567</v>
      </c>
      <c r="K16" s="102">
        <v>0.28260206233147073</v>
      </c>
      <c r="L16" s="102">
        <v>0.23023737370400457</v>
      </c>
    </row>
    <row r="17" spans="1:12">
      <c r="A17" s="34"/>
      <c r="B17" s="34" t="s">
        <v>63</v>
      </c>
      <c r="C17" s="102">
        <v>0.87778332109953094</v>
      </c>
      <c r="D17" s="102">
        <v>0.81409084712392898</v>
      </c>
      <c r="E17" s="102">
        <v>0.75960149837231039</v>
      </c>
      <c r="F17" s="102">
        <v>0.67670226093191088</v>
      </c>
      <c r="G17" s="102">
        <v>0.56478446448427533</v>
      </c>
      <c r="H17" s="102">
        <v>0.47063704561290076</v>
      </c>
      <c r="I17" s="102">
        <v>0.3782311918506116</v>
      </c>
      <c r="J17" s="102">
        <v>0.31125748076771759</v>
      </c>
      <c r="K17" s="102">
        <v>0.24108162421309559</v>
      </c>
      <c r="L17" s="102">
        <v>0.18371843475798885</v>
      </c>
    </row>
    <row r="18" spans="1:12">
      <c r="A18" s="34"/>
      <c r="B18" s="34" t="s">
        <v>64</v>
      </c>
      <c r="C18" s="102">
        <v>0.89908487785021451</v>
      </c>
      <c r="D18" s="102">
        <v>0.83403144384823691</v>
      </c>
      <c r="E18" s="102">
        <v>0.78142400783531996</v>
      </c>
      <c r="F18" s="102">
        <v>0.69141918264419266</v>
      </c>
      <c r="G18" s="102">
        <v>0.58653100343405618</v>
      </c>
      <c r="H18" s="102">
        <v>0.49220152641242426</v>
      </c>
      <c r="I18" s="102">
        <v>0.40087696523198846</v>
      </c>
      <c r="J18" s="102">
        <v>0.31990716795834379</v>
      </c>
      <c r="K18" s="102">
        <v>0.24297786562108584</v>
      </c>
      <c r="L18" s="102">
        <v>0.18635327920204853</v>
      </c>
    </row>
    <row r="19" spans="1:12">
      <c r="A19" s="34"/>
      <c r="B19" s="34" t="s">
        <v>65</v>
      </c>
      <c r="C19" s="102">
        <v>0.88785080357180191</v>
      </c>
      <c r="D19" s="102">
        <v>0.82587541273511078</v>
      </c>
      <c r="E19" s="102">
        <v>0.76996430100824231</v>
      </c>
      <c r="F19" s="102">
        <v>0.67967720821741806</v>
      </c>
      <c r="G19" s="102">
        <v>0.56460774351809551</v>
      </c>
      <c r="H19" s="102">
        <v>0.47000401718279389</v>
      </c>
      <c r="I19" s="102">
        <v>0.37642116720440078</v>
      </c>
      <c r="J19" s="102">
        <v>0.3008113673471936</v>
      </c>
      <c r="K19" s="102">
        <v>0.22168322536915033</v>
      </c>
      <c r="L19" s="102">
        <v>0.16847976255531533</v>
      </c>
    </row>
    <row r="20" spans="1:12">
      <c r="A20" s="34"/>
      <c r="B20" s="34" t="s">
        <v>66</v>
      </c>
      <c r="C20" s="102">
        <v>0.88258653404143328</v>
      </c>
      <c r="D20" s="102">
        <v>0.82834989983032525</v>
      </c>
      <c r="E20" s="102">
        <v>0.78296961654516595</v>
      </c>
      <c r="F20" s="102">
        <v>0.70696146210252253</v>
      </c>
      <c r="G20" s="102">
        <v>0.60380974028239942</v>
      </c>
      <c r="H20" s="102">
        <v>0.51532375083008031</v>
      </c>
      <c r="I20" s="102">
        <v>0.42515271203539673</v>
      </c>
      <c r="J20" s="102">
        <v>0.35002274665207583</v>
      </c>
      <c r="K20" s="102">
        <v>0.26607149822530402</v>
      </c>
      <c r="L20" s="102">
        <v>0.19792936393044008</v>
      </c>
    </row>
    <row r="21" spans="1:12">
      <c r="A21" s="34"/>
      <c r="B21" s="34" t="s">
        <v>67</v>
      </c>
      <c r="C21" s="102">
        <v>0.86062976948931491</v>
      </c>
      <c r="D21" s="102">
        <v>0.81876951297648048</v>
      </c>
      <c r="E21" s="102">
        <v>0.78114315355895669</v>
      </c>
      <c r="F21" s="102">
        <v>0.71129400181700719</v>
      </c>
      <c r="G21" s="102">
        <v>0.62833838359857275</v>
      </c>
      <c r="H21" s="102">
        <v>0.54840245142462318</v>
      </c>
      <c r="I21" s="102">
        <v>0.4626259365119183</v>
      </c>
      <c r="J21" s="102">
        <v>0.38056182189021809</v>
      </c>
      <c r="K21" s="102">
        <v>0.29429064263695176</v>
      </c>
      <c r="L21" s="102">
        <v>0.22619457660670025</v>
      </c>
    </row>
    <row r="22" spans="1:12">
      <c r="A22" s="34"/>
      <c r="B22" s="34" t="s">
        <v>68</v>
      </c>
      <c r="C22" s="102">
        <v>0.7588040411793987</v>
      </c>
      <c r="D22" s="102">
        <v>0.71821373801510591</v>
      </c>
      <c r="E22" s="102">
        <v>0.69026802872066162</v>
      </c>
      <c r="F22" s="102">
        <v>0.6198010691470226</v>
      </c>
      <c r="G22" s="102">
        <v>0.54077768660525194</v>
      </c>
      <c r="H22" s="102">
        <v>0.45798713930956697</v>
      </c>
      <c r="I22" s="102">
        <v>0.37469148452863094</v>
      </c>
      <c r="J22" s="102">
        <v>0.30902729841396931</v>
      </c>
      <c r="K22" s="102">
        <v>0.23062729838843699</v>
      </c>
      <c r="L22" s="102">
        <v>0.17037733491162582</v>
      </c>
    </row>
    <row r="23" spans="1:12">
      <c r="A23" s="34"/>
      <c r="B23" s="34"/>
    </row>
    <row r="24" spans="1:12">
      <c r="A24" s="35" t="s">
        <v>58</v>
      </c>
      <c r="B24" s="35" t="s">
        <v>57</v>
      </c>
      <c r="C24" s="28">
        <v>0.8591671751167177</v>
      </c>
      <c r="D24" s="28">
        <v>0.8037871755351722</v>
      </c>
      <c r="E24" s="28">
        <v>0.75679142834532265</v>
      </c>
      <c r="F24" s="28">
        <v>0.67207792949722345</v>
      </c>
      <c r="G24" s="28">
        <v>0.56485061052888497</v>
      </c>
      <c r="H24" s="28">
        <v>0.47802590024664854</v>
      </c>
      <c r="I24" s="28">
        <v>0.39099509243375286</v>
      </c>
      <c r="J24" s="28">
        <v>0.31885111545427142</v>
      </c>
      <c r="K24" s="28">
        <v>0.23893957119155471</v>
      </c>
      <c r="L24" s="28">
        <v>0.17978555613756675</v>
      </c>
    </row>
    <row r="25" spans="1:12">
      <c r="A25" s="34" t="s">
        <v>61</v>
      </c>
      <c r="B25" s="34" t="s">
        <v>62</v>
      </c>
      <c r="C25" s="102">
        <v>0.8195176837754492</v>
      </c>
      <c r="D25" s="102">
        <v>0.77750420003729526</v>
      </c>
      <c r="E25" s="102">
        <v>0.75023474710096427</v>
      </c>
      <c r="F25" s="102">
        <v>0.6768987234288486</v>
      </c>
      <c r="G25" s="102">
        <v>0.5681825652785123</v>
      </c>
      <c r="H25" s="102">
        <v>0.51118607546981754</v>
      </c>
      <c r="I25" s="102">
        <v>0.44041523352749801</v>
      </c>
      <c r="J25" s="102">
        <v>0.37022051488837071</v>
      </c>
      <c r="K25" s="102">
        <v>0.29758092368991307</v>
      </c>
      <c r="L25" s="102">
        <v>0.25302917686459198</v>
      </c>
    </row>
    <row r="26" spans="1:12">
      <c r="A26" s="34"/>
      <c r="B26" s="34" t="s">
        <v>63</v>
      </c>
      <c r="C26" s="102">
        <v>0.86450585832695614</v>
      </c>
      <c r="D26" s="102">
        <v>0.79675589284463899</v>
      </c>
      <c r="E26" s="102">
        <v>0.74010727637439377</v>
      </c>
      <c r="F26" s="102">
        <v>0.6540614950588739</v>
      </c>
      <c r="G26" s="102">
        <v>0.53466299797704708</v>
      </c>
      <c r="H26" s="102">
        <v>0.44521806518255846</v>
      </c>
      <c r="I26" s="102">
        <v>0.3587372244843981</v>
      </c>
      <c r="J26" s="102">
        <v>0.29481810463415831</v>
      </c>
      <c r="K26" s="102">
        <v>0.22526298054712424</v>
      </c>
      <c r="L26" s="102">
        <v>0.16810445323232712</v>
      </c>
    </row>
    <row r="27" spans="1:12">
      <c r="A27" s="34"/>
      <c r="B27" s="34" t="s">
        <v>64</v>
      </c>
      <c r="C27" s="102">
        <v>0.89497984596178592</v>
      </c>
      <c r="D27" s="102">
        <v>0.82145408127886377</v>
      </c>
      <c r="E27" s="102">
        <v>0.75940028645513202</v>
      </c>
      <c r="F27" s="102">
        <v>0.65903208947268277</v>
      </c>
      <c r="G27" s="102">
        <v>0.54168655570541047</v>
      </c>
      <c r="H27" s="102">
        <v>0.45055091068923114</v>
      </c>
      <c r="I27" s="102">
        <v>0.36389535037108078</v>
      </c>
      <c r="J27" s="102">
        <v>0.28365722494599116</v>
      </c>
      <c r="K27" s="102">
        <v>0.20643509476317184</v>
      </c>
      <c r="L27" s="102">
        <v>0.15454479374504751</v>
      </c>
    </row>
    <row r="28" spans="1:12">
      <c r="A28" s="34"/>
      <c r="B28" s="34" t="s">
        <v>65</v>
      </c>
      <c r="C28" s="102">
        <v>0.88836191491839389</v>
      </c>
      <c r="D28" s="102">
        <v>0.82032907035978098</v>
      </c>
      <c r="E28" s="102">
        <v>0.76280142325427591</v>
      </c>
      <c r="F28" s="102">
        <v>0.6630329135882469</v>
      </c>
      <c r="G28" s="102">
        <v>0.53805107899502291</v>
      </c>
      <c r="H28" s="102">
        <v>0.44485784158454261</v>
      </c>
      <c r="I28" s="102">
        <v>0.36004239844809283</v>
      </c>
      <c r="J28" s="102">
        <v>0.28575257583321351</v>
      </c>
      <c r="K28" s="102">
        <v>0.20298786631451926</v>
      </c>
      <c r="L28" s="102">
        <v>0.15319226248321649</v>
      </c>
    </row>
    <row r="29" spans="1:12">
      <c r="A29" s="34"/>
      <c r="B29" s="34" t="s">
        <v>66</v>
      </c>
      <c r="C29" s="102">
        <v>0.89046778633955959</v>
      </c>
      <c r="D29" s="102">
        <v>0.83271082693470444</v>
      </c>
      <c r="E29" s="102">
        <v>0.78308534336033586</v>
      </c>
      <c r="F29" s="102">
        <v>0.70494666207231516</v>
      </c>
      <c r="G29" s="102">
        <v>0.59609042793475109</v>
      </c>
      <c r="H29" s="102">
        <v>0.501460724454592</v>
      </c>
      <c r="I29" s="102">
        <v>0.41297006127808067</v>
      </c>
      <c r="J29" s="102">
        <v>0.33861907741584202</v>
      </c>
      <c r="K29" s="102">
        <v>0.25517206988203406</v>
      </c>
      <c r="L29" s="102">
        <v>0.19136586348282114</v>
      </c>
    </row>
    <row r="30" spans="1:12">
      <c r="A30" s="34"/>
      <c r="B30" s="34" t="s">
        <v>67</v>
      </c>
      <c r="C30" s="102">
        <v>0.85790761092388745</v>
      </c>
      <c r="D30" s="102">
        <v>0.82241014868140683</v>
      </c>
      <c r="E30" s="102">
        <v>0.78326919909209358</v>
      </c>
      <c r="F30" s="102">
        <v>0.70602674651933517</v>
      </c>
      <c r="G30" s="102">
        <v>0.61733809998227385</v>
      </c>
      <c r="H30" s="102">
        <v>0.53134409984595732</v>
      </c>
      <c r="I30" s="102">
        <v>0.4497388014599889</v>
      </c>
      <c r="J30" s="102">
        <v>0.37221364715430055</v>
      </c>
      <c r="K30" s="102">
        <v>0.2866116481066095</v>
      </c>
      <c r="L30" s="102">
        <v>0.21979809211360779</v>
      </c>
    </row>
    <row r="31" spans="1:12">
      <c r="A31" s="34"/>
      <c r="B31" s="34" t="s">
        <v>68</v>
      </c>
      <c r="C31" s="102">
        <v>0.78447139367299901</v>
      </c>
      <c r="D31" s="102">
        <v>0.74880903735390525</v>
      </c>
      <c r="E31" s="102">
        <v>0.72231769011430558</v>
      </c>
      <c r="F31" s="102">
        <v>0.65309512149125415</v>
      </c>
      <c r="G31" s="102">
        <v>0.5662873373069901</v>
      </c>
      <c r="H31" s="102">
        <v>0.48887013660967399</v>
      </c>
      <c r="I31" s="102">
        <v>0.39289449694438855</v>
      </c>
      <c r="J31" s="102">
        <v>0.33024514195987092</v>
      </c>
      <c r="K31" s="102">
        <v>0.24930900509067644</v>
      </c>
      <c r="L31" s="102">
        <v>0.17965484422181954</v>
      </c>
    </row>
    <row r="32" spans="1:12">
      <c r="A32" s="34"/>
      <c r="B32" s="34"/>
    </row>
    <row r="33" spans="1:12">
      <c r="A33" s="35" t="s">
        <v>59</v>
      </c>
      <c r="B33" s="35" t="s">
        <v>57</v>
      </c>
      <c r="C33" s="28">
        <v>0.85324878371030044</v>
      </c>
      <c r="D33" s="28">
        <v>0.80055617357446207</v>
      </c>
      <c r="E33" s="28">
        <v>0.75812561118487876</v>
      </c>
      <c r="F33" s="28">
        <v>0.68397656546775576</v>
      </c>
      <c r="G33" s="28">
        <v>0.59267287452674522</v>
      </c>
      <c r="H33" s="28">
        <v>0.50306993631009245</v>
      </c>
      <c r="I33" s="28">
        <v>0.41233059568131647</v>
      </c>
      <c r="J33" s="28">
        <v>0.33703863944545553</v>
      </c>
      <c r="K33" s="28">
        <v>0.25895054392296657</v>
      </c>
      <c r="L33" s="28">
        <v>0.19805810021360779</v>
      </c>
    </row>
    <row r="34" spans="1:12">
      <c r="A34" s="34" t="s">
        <v>61</v>
      </c>
      <c r="B34" s="34" t="s">
        <v>62</v>
      </c>
      <c r="C34" s="102">
        <v>0.89341390187015013</v>
      </c>
      <c r="D34" s="102">
        <v>0.82771364712026496</v>
      </c>
      <c r="E34" s="102">
        <v>0.76567512031809604</v>
      </c>
      <c r="F34" s="102">
        <v>0.70167175752119515</v>
      </c>
      <c r="G34" s="102">
        <v>0.58559936397672674</v>
      </c>
      <c r="H34" s="102">
        <v>0.49061988144862995</v>
      </c>
      <c r="I34" s="102">
        <v>0.39391350965686373</v>
      </c>
      <c r="J34" s="102">
        <v>0.34059132110207085</v>
      </c>
      <c r="K34" s="102">
        <v>0.27286374818803916</v>
      </c>
      <c r="L34" s="102">
        <v>0.2105285220399189</v>
      </c>
    </row>
    <row r="35" spans="1:12">
      <c r="A35" s="34"/>
      <c r="B35" s="34" t="s">
        <v>63</v>
      </c>
      <c r="C35" s="102">
        <v>0.89380137859136022</v>
      </c>
      <c r="D35" s="102">
        <v>0.83330706426421619</v>
      </c>
      <c r="E35" s="102">
        <v>0.77947358881284967</v>
      </c>
      <c r="F35" s="102">
        <v>0.6997439020809223</v>
      </c>
      <c r="G35" s="102">
        <v>0.59481259585227597</v>
      </c>
      <c r="H35" s="102">
        <v>0.49668551022134522</v>
      </c>
      <c r="I35" s="102">
        <v>0.39761247478912753</v>
      </c>
      <c r="J35" s="102">
        <v>0.32893841088020326</v>
      </c>
      <c r="K35" s="102">
        <v>0.25822375543488252</v>
      </c>
      <c r="L35" s="102">
        <v>0.2003043196512885</v>
      </c>
    </row>
    <row r="36" spans="1:12">
      <c r="A36" s="34"/>
      <c r="B36" s="34" t="s">
        <v>64</v>
      </c>
      <c r="C36" s="102">
        <v>0.90348263650557159</v>
      </c>
      <c r="D36" s="102">
        <v>0.84726246849077547</v>
      </c>
      <c r="E36" s="102">
        <v>0.80495229214873565</v>
      </c>
      <c r="F36" s="102">
        <v>0.72569420496407633</v>
      </c>
      <c r="G36" s="102">
        <v>0.63280744984998794</v>
      </c>
      <c r="H36" s="102">
        <v>0.53524859541990655</v>
      </c>
      <c r="I36" s="102">
        <v>0.43906023460575766</v>
      </c>
      <c r="J36" s="102">
        <v>0.35711657718000139</v>
      </c>
      <c r="K36" s="102">
        <v>0.28010726084002735</v>
      </c>
      <c r="L36" s="102">
        <v>0.21901048609817972</v>
      </c>
    </row>
    <row r="37" spans="1:12">
      <c r="A37" s="34"/>
      <c r="B37" s="34" t="s">
        <v>65</v>
      </c>
      <c r="C37" s="102">
        <v>0.88920071090119068</v>
      </c>
      <c r="D37" s="102">
        <v>0.83262894782086638</v>
      </c>
      <c r="E37" s="102">
        <v>0.77813968608004969</v>
      </c>
      <c r="F37" s="102">
        <v>0.69684906115243428</v>
      </c>
      <c r="G37" s="102">
        <v>0.59109521437085843</v>
      </c>
      <c r="H37" s="102">
        <v>0.49462557586782907</v>
      </c>
      <c r="I37" s="102">
        <v>0.3921079611289639</v>
      </c>
      <c r="J37" s="102">
        <v>0.31500340102900282</v>
      </c>
      <c r="K37" s="102">
        <v>0.23957685915806023</v>
      </c>
      <c r="L37" s="102">
        <v>0.1833989979511825</v>
      </c>
    </row>
    <row r="38" spans="1:12">
      <c r="A38" s="34"/>
      <c r="B38" s="34" t="s">
        <v>66</v>
      </c>
      <c r="C38" s="102">
        <v>0.87449684105044789</v>
      </c>
      <c r="D38" s="102">
        <v>0.82392182990735974</v>
      </c>
      <c r="E38" s="102">
        <v>0.7826736877486018</v>
      </c>
      <c r="F38" s="102">
        <v>0.70945895646761392</v>
      </c>
      <c r="G38" s="102">
        <v>0.61176686571083283</v>
      </c>
      <c r="H38" s="102">
        <v>0.52959872861269008</v>
      </c>
      <c r="I38" s="102">
        <v>0.43826580550431787</v>
      </c>
      <c r="J38" s="102">
        <v>0.36250986502132426</v>
      </c>
      <c r="K38" s="102">
        <v>0.27777037582246655</v>
      </c>
      <c r="L38" s="102">
        <v>0.20529264935838057</v>
      </c>
    </row>
    <row r="39" spans="1:12">
      <c r="A39" s="34"/>
      <c r="B39" s="34" t="s">
        <v>67</v>
      </c>
      <c r="C39" s="102">
        <v>0.86348228910469593</v>
      </c>
      <c r="D39" s="102">
        <v>0.81534192725484955</v>
      </c>
      <c r="E39" s="102">
        <v>0.77931978707651084</v>
      </c>
      <c r="F39" s="102">
        <v>0.71673573429436999</v>
      </c>
      <c r="G39" s="102">
        <v>0.63952364534931427</v>
      </c>
      <c r="H39" s="102">
        <v>0.56554729672174797</v>
      </c>
      <c r="I39" s="102">
        <v>0.47582210780249595</v>
      </c>
      <c r="J39" s="102">
        <v>0.38934968531548886</v>
      </c>
      <c r="K39" s="102">
        <v>0.30237853273927778</v>
      </c>
      <c r="L39" s="102">
        <v>0.23275073840341831</v>
      </c>
    </row>
    <row r="40" spans="1:12">
      <c r="A40" s="118"/>
      <c r="B40" s="118" t="s">
        <v>68</v>
      </c>
      <c r="C40" s="124">
        <v>0.73822201163474011</v>
      </c>
      <c r="D40" s="124">
        <v>0.69316341567438766</v>
      </c>
      <c r="E40" s="124">
        <v>0.66416174110114912</v>
      </c>
      <c r="F40" s="124">
        <v>0.59232494361583676</v>
      </c>
      <c r="G40" s="124">
        <v>0.51995833171076433</v>
      </c>
      <c r="H40" s="124">
        <v>0.43214109509220439</v>
      </c>
      <c r="I40" s="124">
        <v>0.35958972743573397</v>
      </c>
      <c r="J40" s="124">
        <v>0.29102815161718476</v>
      </c>
      <c r="K40" s="124">
        <v>0.21468263931160914</v>
      </c>
      <c r="L40" s="124">
        <v>0.16252706048489274</v>
      </c>
    </row>
    <row r="41" spans="1:12">
      <c r="A41" s="67"/>
      <c r="B41" s="67"/>
      <c r="C41" s="187" t="s">
        <v>147</v>
      </c>
      <c r="D41" s="187"/>
      <c r="E41" s="187"/>
      <c r="F41" s="187"/>
      <c r="G41" s="187"/>
      <c r="H41" s="187"/>
      <c r="I41" s="187"/>
      <c r="J41" s="187"/>
      <c r="K41" s="187"/>
      <c r="L41" s="187"/>
    </row>
    <row r="42" spans="1:12" ht="17.25">
      <c r="A42" s="35" t="s">
        <v>184</v>
      </c>
      <c r="B42" s="35" t="s">
        <v>57</v>
      </c>
      <c r="C42" s="46">
        <v>19187077.863524459</v>
      </c>
      <c r="D42" s="46">
        <v>17976230.59319669</v>
      </c>
      <c r="E42" s="46">
        <v>16974206.309874818</v>
      </c>
      <c r="F42" s="46">
        <v>15193167.924872816</v>
      </c>
      <c r="G42" s="46">
        <v>12973746.794495657</v>
      </c>
      <c r="H42" s="46">
        <v>10993901.650954839</v>
      </c>
      <c r="I42" s="46">
        <v>9002174.5088180937</v>
      </c>
      <c r="J42" s="46">
        <v>7348980.8674510485</v>
      </c>
      <c r="K42" s="46">
        <v>5580353.0111249331</v>
      </c>
      <c r="L42" s="46">
        <v>4235046.3067395659</v>
      </c>
    </row>
    <row r="43" spans="1:12">
      <c r="A43" s="34" t="s">
        <v>61</v>
      </c>
      <c r="B43" s="34" t="s">
        <v>62</v>
      </c>
      <c r="C43" s="104">
        <v>847603.32237604249</v>
      </c>
      <c r="D43" s="104">
        <v>793195.41997250775</v>
      </c>
      <c r="E43" s="104">
        <v>749663.09359454806</v>
      </c>
      <c r="F43" s="104">
        <v>680486.93903876201</v>
      </c>
      <c r="G43" s="104">
        <v>570135.71005100862</v>
      </c>
      <c r="H43" s="104">
        <v>494288.00725789124</v>
      </c>
      <c r="I43" s="104">
        <v>412270.64817081043</v>
      </c>
      <c r="J43" s="104">
        <v>351431.24399119127</v>
      </c>
      <c r="K43" s="104">
        <v>282430.90519139159</v>
      </c>
      <c r="L43" s="104">
        <v>230097.93108954732</v>
      </c>
    </row>
    <row r="44" spans="1:12">
      <c r="A44" s="34"/>
      <c r="B44" s="34" t="s">
        <v>63</v>
      </c>
      <c r="C44" s="104">
        <v>2148288.6440141364</v>
      </c>
      <c r="D44" s="104">
        <v>1992407.5566638373</v>
      </c>
      <c r="E44" s="104">
        <v>1859050.2162712249</v>
      </c>
      <c r="F44" s="104">
        <v>1656162.4578577243</v>
      </c>
      <c r="G44" s="104">
        <v>1382254.6204766596</v>
      </c>
      <c r="H44" s="104">
        <v>1151838.0404814212</v>
      </c>
      <c r="I44" s="104">
        <v>925683.77039425075</v>
      </c>
      <c r="J44" s="104">
        <v>761772.17682849581</v>
      </c>
      <c r="K44" s="104">
        <v>590023.64607330144</v>
      </c>
      <c r="L44" s="104">
        <v>449632.86223330628</v>
      </c>
    </row>
    <row r="45" spans="1:12">
      <c r="A45" s="34"/>
      <c r="B45" s="34" t="s">
        <v>64</v>
      </c>
      <c r="C45" s="104">
        <v>3624033.8094432289</v>
      </c>
      <c r="D45" s="104">
        <v>3361816.2479519686</v>
      </c>
      <c r="E45" s="104">
        <v>3149766.0495382277</v>
      </c>
      <c r="F45" s="104">
        <v>2786974.3515112321</v>
      </c>
      <c r="G45" s="104">
        <v>2364190.7889877819</v>
      </c>
      <c r="H45" s="104">
        <v>1983967.2724151404</v>
      </c>
      <c r="I45" s="104">
        <v>1615855.9789165487</v>
      </c>
      <c r="J45" s="104">
        <v>1289482.6963794371</v>
      </c>
      <c r="K45" s="104">
        <v>979395.85199415172</v>
      </c>
      <c r="L45" s="104">
        <v>751153.31262567337</v>
      </c>
    </row>
    <row r="46" spans="1:12">
      <c r="A46" s="34"/>
      <c r="B46" s="34" t="s">
        <v>65</v>
      </c>
      <c r="C46" s="104">
        <v>3404434.8230936108</v>
      </c>
      <c r="D46" s="104">
        <v>3166792.2170493798</v>
      </c>
      <c r="E46" s="104">
        <v>2952402.8906050352</v>
      </c>
      <c r="F46" s="104">
        <v>2606199.9908200735</v>
      </c>
      <c r="G46" s="104">
        <v>2164969.8977446062</v>
      </c>
      <c r="H46" s="104">
        <v>1802215.008032697</v>
      </c>
      <c r="I46" s="104">
        <v>1443374.6352706519</v>
      </c>
      <c r="J46" s="104">
        <v>1153451.3344576482</v>
      </c>
      <c r="K46" s="104">
        <v>850037.06603213109</v>
      </c>
      <c r="L46" s="104">
        <v>646030.13065074314</v>
      </c>
    </row>
    <row r="47" spans="1:12">
      <c r="A47" s="34"/>
      <c r="B47" s="34" t="s">
        <v>66</v>
      </c>
      <c r="C47" s="104">
        <v>2944816.0797376274</v>
      </c>
      <c r="D47" s="104">
        <v>2763851.4871731312</v>
      </c>
      <c r="E47" s="104">
        <v>2612436.7728456268</v>
      </c>
      <c r="F47" s="104">
        <v>2358829.872263378</v>
      </c>
      <c r="G47" s="104">
        <v>2014656.425975265</v>
      </c>
      <c r="H47" s="104">
        <v>1719416.2942484752</v>
      </c>
      <c r="I47" s="104">
        <v>1418553.8691746253</v>
      </c>
      <c r="J47" s="104">
        <v>1167877.1121683279</v>
      </c>
      <c r="K47" s="104">
        <v>887767.48354170297</v>
      </c>
      <c r="L47" s="104">
        <v>660406.14837574435</v>
      </c>
    </row>
    <row r="48" spans="1:12">
      <c r="A48" s="34"/>
      <c r="B48" s="34" t="s">
        <v>67</v>
      </c>
      <c r="C48" s="104">
        <v>2653284.8040557234</v>
      </c>
      <c r="D48" s="104">
        <v>2524231.4219431295</v>
      </c>
      <c r="E48" s="104">
        <v>2408230.9636581521</v>
      </c>
      <c r="F48" s="104">
        <v>2192889.01353822</v>
      </c>
      <c r="G48" s="104">
        <v>1937140.3873192742</v>
      </c>
      <c r="H48" s="104">
        <v>1690701.3241422914</v>
      </c>
      <c r="I48" s="104">
        <v>1426255.9939536932</v>
      </c>
      <c r="J48" s="104">
        <v>1173255.8352289402</v>
      </c>
      <c r="K48" s="104">
        <v>907285.47601572587</v>
      </c>
      <c r="L48" s="104">
        <v>697348.21423444524</v>
      </c>
    </row>
    <row r="49" spans="1:12">
      <c r="A49" s="34"/>
      <c r="B49" s="34" t="s">
        <v>68</v>
      </c>
      <c r="C49" s="104">
        <v>3564616.3808041634</v>
      </c>
      <c r="D49" s="104">
        <v>3373936.2424428053</v>
      </c>
      <c r="E49" s="104">
        <v>3242656.3233620692</v>
      </c>
      <c r="F49" s="104">
        <v>2911625.2998434794</v>
      </c>
      <c r="G49" s="104">
        <v>2540398.9639410959</v>
      </c>
      <c r="H49" s="104">
        <v>2151475.7043769471</v>
      </c>
      <c r="I49" s="104">
        <v>1760179.61293753</v>
      </c>
      <c r="J49" s="104">
        <v>1451710.4683970131</v>
      </c>
      <c r="K49" s="104">
        <v>1083412.5822765213</v>
      </c>
      <c r="L49" s="104">
        <v>800377.70753009443</v>
      </c>
    </row>
    <row r="50" spans="1:12">
      <c r="A50" s="34"/>
      <c r="B50" s="34"/>
    </row>
    <row r="51" spans="1:12">
      <c r="A51" s="35" t="s">
        <v>58</v>
      </c>
      <c r="B51" s="35" t="s">
        <v>57</v>
      </c>
      <c r="C51" s="46">
        <v>9431927.7987963129</v>
      </c>
      <c r="D51" s="46">
        <v>8823966.7724925</v>
      </c>
      <c r="E51" s="46">
        <v>8308047.9767296985</v>
      </c>
      <c r="F51" s="46">
        <v>7378064.1181050465</v>
      </c>
      <c r="G51" s="46">
        <v>6200923.7898208834</v>
      </c>
      <c r="H51" s="46">
        <v>5247763.0752926413</v>
      </c>
      <c r="I51" s="46">
        <v>4292339.8243396059</v>
      </c>
      <c r="J51" s="46">
        <v>3500344.038541513</v>
      </c>
      <c r="K51" s="46">
        <v>2623075.9845404197</v>
      </c>
      <c r="L51" s="46">
        <v>1973683.8578890157</v>
      </c>
    </row>
    <row r="52" spans="1:12">
      <c r="A52" s="34" t="s">
        <v>61</v>
      </c>
      <c r="B52" s="34" t="s">
        <v>62</v>
      </c>
      <c r="C52" s="104">
        <v>410547.95167589496</v>
      </c>
      <c r="D52" s="104">
        <v>389500.75521760131</v>
      </c>
      <c r="E52" s="104">
        <v>375839.77111930028</v>
      </c>
      <c r="F52" s="104">
        <v>339101.14436516218</v>
      </c>
      <c r="G52" s="104">
        <v>284638.38300402614</v>
      </c>
      <c r="H52" s="104">
        <v>256085.25644319979</v>
      </c>
      <c r="I52" s="104">
        <v>220631.69055558569</v>
      </c>
      <c r="J52" s="104">
        <v>185466.74106603229</v>
      </c>
      <c r="K52" s="104">
        <v>149077.00114033167</v>
      </c>
      <c r="L52" s="104">
        <v>126758.22905666503</v>
      </c>
    </row>
    <row r="53" spans="1:12">
      <c r="A53" s="34"/>
      <c r="B53" s="34" t="s">
        <v>63</v>
      </c>
      <c r="C53" s="104">
        <v>1080931.5955208617</v>
      </c>
      <c r="D53" s="104">
        <v>996220.6851436788</v>
      </c>
      <c r="E53" s="104">
        <v>925390.30407057202</v>
      </c>
      <c r="F53" s="104">
        <v>817803.29029923468</v>
      </c>
      <c r="G53" s="104">
        <v>668513.83585502789</v>
      </c>
      <c r="H53" s="104">
        <v>556676.70602468611</v>
      </c>
      <c r="I53" s="104">
        <v>448545.71741721057</v>
      </c>
      <c r="J53" s="104">
        <v>368624.6902332881</v>
      </c>
      <c r="K53" s="104">
        <v>281656.70669463347</v>
      </c>
      <c r="L53" s="104">
        <v>210188.76054609558</v>
      </c>
    </row>
    <row r="54" spans="1:12">
      <c r="A54" s="34"/>
      <c r="B54" s="34" t="s">
        <v>64</v>
      </c>
      <c r="C54" s="104">
        <v>1796020.4717734994</v>
      </c>
      <c r="D54" s="104">
        <v>1648471.0278735443</v>
      </c>
      <c r="E54" s="104">
        <v>1523943.2115684904</v>
      </c>
      <c r="F54" s="104">
        <v>1322527.1268277722</v>
      </c>
      <c r="G54" s="104">
        <v>1087041.3984416511</v>
      </c>
      <c r="H54" s="104">
        <v>904152.94023124198</v>
      </c>
      <c r="I54" s="104">
        <v>730254.99043199397</v>
      </c>
      <c r="J54" s="104">
        <v>569235.36911825999</v>
      </c>
      <c r="K54" s="104">
        <v>414268.16252909211</v>
      </c>
      <c r="L54" s="104">
        <v>310136.16074654041</v>
      </c>
    </row>
    <row r="55" spans="1:12">
      <c r="A55" s="34"/>
      <c r="B55" s="34" t="s">
        <v>65</v>
      </c>
      <c r="C55" s="104">
        <v>1680862.6390511857</v>
      </c>
      <c r="D55" s="104">
        <v>1552138.2253560603</v>
      </c>
      <c r="E55" s="104">
        <v>1443290.6136920154</v>
      </c>
      <c r="F55" s="104">
        <v>1254519.3959762603</v>
      </c>
      <c r="G55" s="104">
        <v>1018042.2431402754</v>
      </c>
      <c r="H55" s="104">
        <v>841712.04669112526</v>
      </c>
      <c r="I55" s="104">
        <v>681233.40933787404</v>
      </c>
      <c r="J55" s="104">
        <v>540670.21634399006</v>
      </c>
      <c r="K55" s="104">
        <v>384071.75604791066</v>
      </c>
      <c r="L55" s="104">
        <v>289853.88305780204</v>
      </c>
    </row>
    <row r="56" spans="1:12">
      <c r="A56" s="34"/>
      <c r="B56" s="34" t="s">
        <v>66</v>
      </c>
      <c r="C56" s="104">
        <v>1457931.6929437499</v>
      </c>
      <c r="D56" s="104">
        <v>1363368.2478689454</v>
      </c>
      <c r="E56" s="104">
        <v>1282118.1831382015</v>
      </c>
      <c r="F56" s="104">
        <v>1154184.4592660218</v>
      </c>
      <c r="G56" s="104">
        <v>975957.96285782778</v>
      </c>
      <c r="H56" s="104">
        <v>821024.0664114221</v>
      </c>
      <c r="I56" s="104">
        <v>676141.40546196699</v>
      </c>
      <c r="J56" s="104">
        <v>554409.14581459586</v>
      </c>
      <c r="K56" s="104">
        <v>417784.28545332258</v>
      </c>
      <c r="L56" s="104">
        <v>313316.62031933665</v>
      </c>
    </row>
    <row r="57" spans="1:12">
      <c r="A57" s="34"/>
      <c r="B57" s="34" t="s">
        <v>67</v>
      </c>
      <c r="C57" s="104">
        <v>1290921.9280840021</v>
      </c>
      <c r="D57" s="104">
        <v>1237507.7237843066</v>
      </c>
      <c r="E57" s="104">
        <v>1178611.04369021</v>
      </c>
      <c r="F57" s="104">
        <v>1062381.773153981</v>
      </c>
      <c r="G57" s="104">
        <v>928929.03636861965</v>
      </c>
      <c r="H57" s="104">
        <v>799531.02305564703</v>
      </c>
      <c r="I57" s="104">
        <v>676736.83427250211</v>
      </c>
      <c r="J57" s="104">
        <v>560082.17309805099</v>
      </c>
      <c r="K57" s="104">
        <v>431274.01677515043</v>
      </c>
      <c r="L57" s="104">
        <v>330737.45150123973</v>
      </c>
    </row>
    <row r="58" spans="1:12">
      <c r="A58" s="34"/>
      <c r="B58" s="34" t="s">
        <v>68</v>
      </c>
      <c r="C58" s="104">
        <v>1714711.5197471261</v>
      </c>
      <c r="D58" s="104">
        <v>1636760.1072483717</v>
      </c>
      <c r="E58" s="104">
        <v>1578854.8494509179</v>
      </c>
      <c r="F58" s="104">
        <v>1427546.9282166224</v>
      </c>
      <c r="G58" s="104">
        <v>1237800.9301534642</v>
      </c>
      <c r="H58" s="104">
        <v>1068581.0364353277</v>
      </c>
      <c r="I58" s="104">
        <v>858795.7768624794</v>
      </c>
      <c r="J58" s="104">
        <v>721855.70286730328</v>
      </c>
      <c r="K58" s="104">
        <v>544944.0558999849</v>
      </c>
      <c r="L58" s="104">
        <v>392692.75266134221</v>
      </c>
    </row>
    <row r="59" spans="1:12">
      <c r="A59" s="34"/>
      <c r="B59" s="34"/>
    </row>
    <row r="60" spans="1:12">
      <c r="A60" s="35" t="s">
        <v>59</v>
      </c>
      <c r="B60" s="35" t="s">
        <v>57</v>
      </c>
      <c r="C60" s="46">
        <v>9661932.2049445342</v>
      </c>
      <c r="D60" s="46">
        <v>9065256.9602167308</v>
      </c>
      <c r="E60" s="46">
        <v>8584786.052959023</v>
      </c>
      <c r="F60" s="46">
        <v>7745144.5949719958</v>
      </c>
      <c r="G60" s="46">
        <v>6711249.1019163951</v>
      </c>
      <c r="H60" s="46">
        <v>5696612.4203983434</v>
      </c>
      <c r="I60" s="46">
        <v>4669107.4602807909</v>
      </c>
      <c r="J60" s="46">
        <v>3816524.0278553753</v>
      </c>
      <c r="K60" s="46">
        <v>2932277.9564215522</v>
      </c>
      <c r="L60" s="46">
        <v>2242750.266320582</v>
      </c>
    </row>
    <row r="61" spans="1:12">
      <c r="A61" s="34" t="s">
        <v>61</v>
      </c>
      <c r="B61" s="34" t="s">
        <v>62</v>
      </c>
      <c r="C61" s="104">
        <v>430175.79294348368</v>
      </c>
      <c r="D61" s="104">
        <v>398541.3409560459</v>
      </c>
      <c r="E61" s="104">
        <v>368669.9986763873</v>
      </c>
      <c r="F61" s="104">
        <v>337852.59446477483</v>
      </c>
      <c r="G61" s="104">
        <v>281964.12683815742</v>
      </c>
      <c r="H61" s="104">
        <v>236231.82501885563</v>
      </c>
      <c r="I61" s="104">
        <v>189668.03181938885</v>
      </c>
      <c r="J61" s="104">
        <v>163993.57712932315</v>
      </c>
      <c r="K61" s="104">
        <v>131382.97825522404</v>
      </c>
      <c r="L61" s="104">
        <v>101368.77623704642</v>
      </c>
    </row>
    <row r="62" spans="1:12">
      <c r="A62" s="34"/>
      <c r="B62" s="34" t="s">
        <v>63</v>
      </c>
      <c r="C62" s="104">
        <v>1038139.9671917644</v>
      </c>
      <c r="D62" s="104">
        <v>967876.52052999544</v>
      </c>
      <c r="E62" s="104">
        <v>905349.56121048948</v>
      </c>
      <c r="F62" s="104">
        <v>812744.45189801569</v>
      </c>
      <c r="G62" s="104">
        <v>690867.95291870553</v>
      </c>
      <c r="H62" s="104">
        <v>576894.47749392444</v>
      </c>
      <c r="I62" s="104">
        <v>461822.29231192544</v>
      </c>
      <c r="J62" s="104">
        <v>382058.16108436487</v>
      </c>
      <c r="K62" s="104">
        <v>299923.906380395</v>
      </c>
      <c r="L62" s="104">
        <v>232651.15137647136</v>
      </c>
    </row>
    <row r="63" spans="1:12">
      <c r="A63" s="34"/>
      <c r="B63" s="34" t="s">
        <v>64</v>
      </c>
      <c r="C63" s="104">
        <v>1801475.9158407419</v>
      </c>
      <c r="D63" s="104">
        <v>1689377.1608996438</v>
      </c>
      <c r="E63" s="104">
        <v>1605013.8753251021</v>
      </c>
      <c r="F63" s="104">
        <v>1446979.2552564638</v>
      </c>
      <c r="G63" s="104">
        <v>1261770.1040481715</v>
      </c>
      <c r="H63" s="104">
        <v>1067245.1408318798</v>
      </c>
      <c r="I63" s="104">
        <v>875452.83803667279</v>
      </c>
      <c r="J63" s="104">
        <v>712063.39440623729</v>
      </c>
      <c r="K63" s="104">
        <v>558512.6530014039</v>
      </c>
      <c r="L63" s="104">
        <v>436690.31377119478</v>
      </c>
    </row>
    <row r="64" spans="1:12">
      <c r="A64" s="34"/>
      <c r="B64" s="34" t="s">
        <v>65</v>
      </c>
      <c r="C64" s="104">
        <v>1711987.1963223573</v>
      </c>
      <c r="D64" s="104">
        <v>1603069.0039732519</v>
      </c>
      <c r="E64" s="104">
        <v>1498160.2726894082</v>
      </c>
      <c r="F64" s="104">
        <v>1341650.6035551184</v>
      </c>
      <c r="G64" s="104">
        <v>1138041.6439216924</v>
      </c>
      <c r="H64" s="104">
        <v>952307.66516266647</v>
      </c>
      <c r="I64" s="104">
        <v>754929.45608254778</v>
      </c>
      <c r="J64" s="104">
        <v>606479.26024833717</v>
      </c>
      <c r="K64" s="104">
        <v>461259.77002204687</v>
      </c>
      <c r="L64" s="104">
        <v>353099.96096670261</v>
      </c>
    </row>
    <row r="65" spans="1:23">
      <c r="A65" s="34"/>
      <c r="B65" s="34" t="s">
        <v>66</v>
      </c>
      <c r="C65" s="104">
        <v>1476528.9327246007</v>
      </c>
      <c r="D65" s="104">
        <v>1391136.4376117098</v>
      </c>
      <c r="E65" s="104">
        <v>1321491.731696723</v>
      </c>
      <c r="F65" s="104">
        <v>1197873.596143276</v>
      </c>
      <c r="G65" s="104">
        <v>1032927.090073023</v>
      </c>
      <c r="H65" s="104">
        <v>894191.73268996482</v>
      </c>
      <c r="I65" s="104">
        <v>739982.25227853889</v>
      </c>
      <c r="J65" s="104">
        <v>612073.45638793125</v>
      </c>
      <c r="K65" s="104">
        <v>468996.54441633122</v>
      </c>
      <c r="L65" s="104">
        <v>346622.79178644734</v>
      </c>
    </row>
    <row r="66" spans="1:23">
      <c r="A66" s="34"/>
      <c r="B66" s="34" t="s">
        <v>67</v>
      </c>
      <c r="C66" s="104">
        <v>1356722.0497343931</v>
      </c>
      <c r="D66" s="104">
        <v>1281082.8719214944</v>
      </c>
      <c r="E66" s="104">
        <v>1224484.1061155987</v>
      </c>
      <c r="F66" s="104">
        <v>1126150.688693326</v>
      </c>
      <c r="G66" s="104">
        <v>1004833.3844479476</v>
      </c>
      <c r="H66" s="104">
        <v>888600.14537836355</v>
      </c>
      <c r="I66" s="104">
        <v>747621.98779559298</v>
      </c>
      <c r="J66" s="104">
        <v>611754.64718839503</v>
      </c>
      <c r="K66" s="104">
        <v>475103.69107752456</v>
      </c>
      <c r="L66" s="104">
        <v>365702.99457015452</v>
      </c>
    </row>
    <row r="67" spans="1:23">
      <c r="A67" s="34"/>
      <c r="B67" s="34" t="s">
        <v>68</v>
      </c>
      <c r="C67" s="104">
        <v>1846902.3501872383</v>
      </c>
      <c r="D67" s="104">
        <v>1734173.6243246349</v>
      </c>
      <c r="E67" s="104">
        <v>1661616.5072453599</v>
      </c>
      <c r="F67" s="104">
        <v>1481893.4049610654</v>
      </c>
      <c r="G67" s="104">
        <v>1300844.7996687379</v>
      </c>
      <c r="H67" s="104">
        <v>1081141.4338227247</v>
      </c>
      <c r="I67" s="104">
        <v>899630.60195615585</v>
      </c>
      <c r="J67" s="104">
        <v>728101.5314108145</v>
      </c>
      <c r="K67" s="104">
        <v>537098.41326865042</v>
      </c>
      <c r="L67" s="104">
        <v>406614.2776125886</v>
      </c>
    </row>
    <row r="68" spans="1:23">
      <c r="A68" s="118"/>
      <c r="B68" s="118"/>
      <c r="C68" s="170"/>
      <c r="D68" s="170"/>
      <c r="E68" s="170"/>
      <c r="F68" s="170"/>
      <c r="G68" s="170"/>
      <c r="H68" s="170"/>
      <c r="I68" s="170"/>
      <c r="J68" s="170"/>
      <c r="K68" s="170"/>
      <c r="L68" s="170"/>
    </row>
    <row r="69" spans="1:23">
      <c r="A69" s="24" t="s">
        <v>117</v>
      </c>
    </row>
    <row r="70" spans="1:23">
      <c r="A70" s="16" t="s">
        <v>121</v>
      </c>
    </row>
    <row r="71" spans="1:23" ht="15" customHeight="1">
      <c r="A71" s="16" t="s">
        <v>122</v>
      </c>
      <c r="B71" s="24"/>
      <c r="C71" s="2"/>
      <c r="G71" s="2"/>
      <c r="K71" s="2"/>
      <c r="O71" s="2"/>
      <c r="S71" s="2"/>
      <c r="W71" s="2"/>
    </row>
    <row r="72" spans="1:23">
      <c r="A72" s="24" t="s">
        <v>120</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C42&lt;'38'!$C$104</xm:f>
            <x14:dxf>
              <font>
                <color rgb="FFFF0000"/>
              </font>
              <numFmt numFmtId="172" formatCode="\*\*0.0%"/>
            </x14:dxf>
          </x14:cfRule>
          <x14:cfRule type="expression" priority="4" id="{8D6C7A71-338B-4991-AD3D-51157481F7DA}">
            <xm:f>C42&lt;'38'!$C$103</xm:f>
            <x14:dxf>
              <font>
                <color rgb="FF00B050"/>
              </font>
              <numFmt numFmtId="171" formatCode="\*0.0%"/>
            </x14:dxf>
          </x14:cfRule>
          <xm:sqref>C15:L40</xm:sqref>
        </x14:conditionalFormatting>
        <x14:conditionalFormatting xmlns:xm="http://schemas.microsoft.com/office/excel/2006/main">
          <x14:cfRule type="expression" priority="1" id="{E4ABB5B4-BD3A-4925-87D1-01BFBEACEFBF}">
            <xm:f>C42&lt;'38'!$C$104</xm:f>
            <x14:dxf>
              <font>
                <color rgb="FFFF0000"/>
              </font>
              <numFmt numFmtId="174" formatCode="\*\*#,###,###,##0"/>
            </x14:dxf>
          </x14:cfRule>
          <x14:cfRule type="expression" priority="2" id="{C2B14B71-CAA6-48DB-97F4-356CF8C8DAA8}">
            <xm:f>C42&lt;'38'!$C$103</xm:f>
            <x14:dxf>
              <font>
                <color rgb="FF00B050"/>
              </font>
              <numFmt numFmtId="173"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W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9"/>
      <c r="B1" s="29"/>
      <c r="C1" s="29"/>
      <c r="D1" s="29"/>
      <c r="E1" s="29"/>
      <c r="F1" s="29"/>
      <c r="G1" s="29"/>
      <c r="H1" s="29"/>
      <c r="I1" s="29"/>
      <c r="J1" s="29"/>
      <c r="K1" s="29"/>
      <c r="L1" s="29"/>
    </row>
    <row r="2" spans="1:12">
      <c r="A2" s="29"/>
      <c r="B2" s="29"/>
      <c r="C2" s="29"/>
      <c r="D2" s="29"/>
      <c r="E2" s="29"/>
      <c r="F2" s="29"/>
      <c r="G2" s="29"/>
      <c r="H2" s="29"/>
      <c r="I2" s="29"/>
      <c r="J2" s="29"/>
      <c r="K2" s="29"/>
      <c r="L2" s="29"/>
    </row>
    <row r="3" spans="1:12">
      <c r="A3" s="29"/>
      <c r="B3" s="29"/>
      <c r="C3" s="29"/>
      <c r="D3" s="29"/>
      <c r="E3" s="29"/>
      <c r="F3" s="29"/>
      <c r="G3" s="29"/>
      <c r="H3" s="29"/>
      <c r="I3" s="29"/>
      <c r="J3" s="29"/>
      <c r="K3" s="29"/>
      <c r="L3" s="29"/>
    </row>
    <row r="4" spans="1:12">
      <c r="A4" s="29"/>
      <c r="B4" s="29"/>
      <c r="C4" s="29"/>
      <c r="D4" s="29"/>
      <c r="E4" s="29"/>
      <c r="F4" s="29"/>
      <c r="G4" s="29"/>
      <c r="H4" s="29"/>
      <c r="I4" s="29"/>
      <c r="J4" s="29"/>
      <c r="K4" s="29"/>
      <c r="L4" s="29"/>
    </row>
    <row r="5" spans="1:12">
      <c r="A5" s="29"/>
      <c r="B5" s="29"/>
      <c r="C5" s="29"/>
      <c r="D5" s="29"/>
      <c r="E5" s="29"/>
      <c r="F5" s="29"/>
      <c r="G5" s="29"/>
      <c r="H5" s="29"/>
      <c r="I5" s="29"/>
      <c r="J5" s="29"/>
      <c r="K5" s="29"/>
      <c r="L5" s="29"/>
    </row>
    <row r="6" spans="1:12">
      <c r="A6" s="29"/>
      <c r="B6" s="29"/>
      <c r="C6" s="29"/>
      <c r="D6" s="29"/>
      <c r="E6" s="29"/>
      <c r="F6" s="29"/>
      <c r="G6" s="29"/>
      <c r="H6" s="29"/>
      <c r="I6" s="29"/>
      <c r="J6" s="29"/>
      <c r="K6" s="29"/>
      <c r="L6" s="29"/>
    </row>
    <row r="7" spans="1:12">
      <c r="A7" s="29"/>
      <c r="B7" s="29"/>
      <c r="C7" s="29"/>
      <c r="D7" s="29"/>
      <c r="E7" s="29"/>
      <c r="F7" s="29"/>
      <c r="G7" s="29"/>
      <c r="H7" s="29"/>
      <c r="I7" s="29"/>
      <c r="J7" s="29"/>
      <c r="K7" s="29"/>
      <c r="L7" s="29"/>
    </row>
    <row r="8" spans="1:12">
      <c r="A8" s="30" t="str">
        <f>Index!A8</f>
        <v>AusPlay survey results July 2024 - June 2025</v>
      </c>
      <c r="B8" s="29"/>
      <c r="C8" s="29"/>
      <c r="D8" s="29"/>
      <c r="E8" s="29"/>
      <c r="F8" s="29"/>
      <c r="G8" s="29"/>
      <c r="H8" s="29"/>
      <c r="I8" s="29"/>
      <c r="J8" s="29"/>
      <c r="K8" s="29"/>
      <c r="L8" s="29"/>
    </row>
    <row r="9" spans="1:12">
      <c r="A9" s="29" t="s">
        <v>1</v>
      </c>
      <c r="B9" s="29"/>
      <c r="C9" s="90" t="s">
        <v>2</v>
      </c>
      <c r="D9" s="29"/>
      <c r="E9" s="29"/>
      <c r="F9" s="29"/>
      <c r="G9" s="29"/>
      <c r="H9" s="29"/>
      <c r="I9" s="29"/>
      <c r="J9" s="29"/>
      <c r="K9" s="29"/>
      <c r="L9" s="29"/>
    </row>
    <row r="10" spans="1:12">
      <c r="A10" s="29" t="s">
        <v>49</v>
      </c>
      <c r="B10" s="29"/>
      <c r="C10" s="31">
        <v>10</v>
      </c>
      <c r="D10" s="29"/>
      <c r="E10" s="29"/>
      <c r="F10" s="29"/>
      <c r="G10" s="29"/>
      <c r="H10" s="29"/>
      <c r="I10" s="29"/>
      <c r="J10" s="29"/>
      <c r="K10" s="29"/>
      <c r="L10" s="29"/>
    </row>
    <row r="11" spans="1:12">
      <c r="A11" s="29" t="s">
        <v>3</v>
      </c>
      <c r="B11" s="29"/>
      <c r="C11" s="30" t="s">
        <v>18</v>
      </c>
      <c r="D11" s="29"/>
      <c r="E11" s="29"/>
      <c r="F11" s="29"/>
      <c r="G11" s="29"/>
      <c r="H11" s="29"/>
      <c r="I11" s="29"/>
      <c r="J11" s="29"/>
      <c r="K11" s="29"/>
      <c r="L11" s="29"/>
    </row>
    <row r="12" spans="1:12">
      <c r="A12" s="116" t="s">
        <v>50</v>
      </c>
      <c r="B12" s="116"/>
      <c r="C12" s="117" t="s">
        <v>123</v>
      </c>
      <c r="D12" s="116"/>
      <c r="E12" s="116"/>
      <c r="F12" s="116"/>
      <c r="G12" s="116"/>
      <c r="H12" s="116"/>
      <c r="I12" s="116"/>
      <c r="J12" s="116"/>
      <c r="K12" s="116"/>
      <c r="L12" s="116"/>
    </row>
    <row r="13" spans="1:12" s="2" customFormat="1" ht="50.1" customHeight="1">
      <c r="A13" s="37"/>
      <c r="B13" s="37"/>
      <c r="C13" s="55" t="s">
        <v>174</v>
      </c>
      <c r="D13" s="55" t="s">
        <v>175</v>
      </c>
      <c r="E13" s="55" t="s">
        <v>176</v>
      </c>
      <c r="F13" s="55" t="s">
        <v>177</v>
      </c>
      <c r="G13" s="55" t="s">
        <v>178</v>
      </c>
      <c r="H13" s="55" t="s">
        <v>179</v>
      </c>
      <c r="I13" s="55" t="s">
        <v>180</v>
      </c>
      <c r="J13" s="55" t="s">
        <v>181</v>
      </c>
      <c r="K13" s="55" t="s">
        <v>182</v>
      </c>
      <c r="L13" s="55" t="s">
        <v>183</v>
      </c>
    </row>
    <row r="14" spans="1:12">
      <c r="A14" s="67"/>
      <c r="B14" s="67"/>
      <c r="C14" s="187" t="s">
        <v>144</v>
      </c>
      <c r="D14" s="187"/>
      <c r="E14" s="187"/>
      <c r="F14" s="187"/>
      <c r="G14" s="187"/>
      <c r="H14" s="187"/>
      <c r="I14" s="187"/>
      <c r="J14" s="187"/>
      <c r="K14" s="187"/>
      <c r="L14" s="187"/>
    </row>
    <row r="15" spans="1:12">
      <c r="A15" s="35" t="s">
        <v>145</v>
      </c>
      <c r="B15" s="35" t="s">
        <v>57</v>
      </c>
      <c r="C15" s="28">
        <v>0.71724338763040441</v>
      </c>
      <c r="D15" s="28">
        <v>0.61227689629848059</v>
      </c>
      <c r="E15" s="28">
        <v>0.53552652071498485</v>
      </c>
      <c r="F15" s="28">
        <v>0.41380755413260406</v>
      </c>
      <c r="G15" s="28">
        <v>0.2359217042408053</v>
      </c>
      <c r="H15" s="28">
        <v>0.13720954362365925</v>
      </c>
      <c r="I15" s="28">
        <v>8.2461548063405277E-2</v>
      </c>
      <c r="J15" s="28">
        <v>5.08380599903277E-2</v>
      </c>
      <c r="K15" s="28">
        <v>3.1554236828966027E-2</v>
      </c>
      <c r="L15" s="28">
        <v>2.1029732177842347E-2</v>
      </c>
    </row>
    <row r="16" spans="1:12">
      <c r="A16" s="34" t="s">
        <v>61</v>
      </c>
      <c r="B16" s="34" t="s">
        <v>124</v>
      </c>
      <c r="C16" s="102">
        <v>0.47391435704657087</v>
      </c>
      <c r="D16" s="102">
        <v>0.34777126354661642</v>
      </c>
      <c r="E16" s="102">
        <v>0.29622716817366956</v>
      </c>
      <c r="F16" s="102">
        <v>0.21738998220828329</v>
      </c>
      <c r="G16" s="102">
        <v>8.4733292031633614E-2</v>
      </c>
      <c r="H16" s="102">
        <v>4.4363717314558869E-2</v>
      </c>
      <c r="I16" s="102">
        <v>2.9018278090965157E-2</v>
      </c>
      <c r="J16" s="102">
        <v>1.7981730377409785E-2</v>
      </c>
      <c r="K16" s="102">
        <v>1.2062339844756909E-2</v>
      </c>
      <c r="L16" s="102">
        <v>9.8981288013017549E-3</v>
      </c>
    </row>
    <row r="17" spans="1:12">
      <c r="A17" s="34"/>
      <c r="B17" s="34" t="s">
        <v>125</v>
      </c>
      <c r="C17" s="102">
        <v>0.82254079047571149</v>
      </c>
      <c r="D17" s="102">
        <v>0.71084333192977056</v>
      </c>
      <c r="E17" s="102">
        <v>0.60707327751148699</v>
      </c>
      <c r="F17" s="102">
        <v>0.46152462133547639</v>
      </c>
      <c r="G17" s="102">
        <v>0.2521233466672087</v>
      </c>
      <c r="H17" s="102">
        <v>0.1317768377204819</v>
      </c>
      <c r="I17" s="102">
        <v>7.1876786658766192E-2</v>
      </c>
      <c r="J17" s="102">
        <v>4.017692452192767E-2</v>
      </c>
      <c r="K17" s="102">
        <v>2.8075272174459379E-2</v>
      </c>
      <c r="L17" s="102">
        <v>1.8901613844811923E-2</v>
      </c>
    </row>
    <row r="18" spans="1:12">
      <c r="A18" s="34"/>
      <c r="B18" s="34" t="s">
        <v>126</v>
      </c>
      <c r="C18" s="102">
        <v>0.84213335620047625</v>
      </c>
      <c r="D18" s="102">
        <v>0.76434312884127309</v>
      </c>
      <c r="E18" s="102">
        <v>0.68509769233931661</v>
      </c>
      <c r="F18" s="102">
        <v>0.54557367664769829</v>
      </c>
      <c r="G18" s="102">
        <v>0.33211452007225045</v>
      </c>
      <c r="H18" s="102">
        <v>0.19445569734947071</v>
      </c>
      <c r="I18" s="102">
        <v>0.11386341744233962</v>
      </c>
      <c r="J18" s="102">
        <v>7.3479698414709832E-2</v>
      </c>
      <c r="K18" s="102">
        <v>4.2610809014745496E-2</v>
      </c>
      <c r="L18" s="102">
        <v>2.6343183103644734E-2</v>
      </c>
    </row>
    <row r="19" spans="1:12">
      <c r="A19" s="34"/>
      <c r="B19" s="34" t="s">
        <v>127</v>
      </c>
      <c r="C19" s="102">
        <v>0.82487396554094117</v>
      </c>
      <c r="D19" s="102">
        <v>0.73337722203650191</v>
      </c>
      <c r="E19" s="102">
        <v>0.65568974423451565</v>
      </c>
      <c r="F19" s="102">
        <v>0.51756310777684822</v>
      </c>
      <c r="G19" s="102">
        <v>0.34722711561838598</v>
      </c>
      <c r="H19" s="102">
        <v>0.227041781436533</v>
      </c>
      <c r="I19" s="102">
        <v>0.14524401599301268</v>
      </c>
      <c r="J19" s="102">
        <v>9.1428358740551871E-2</v>
      </c>
      <c r="K19" s="102">
        <v>5.4358766534573E-2</v>
      </c>
      <c r="L19" s="102">
        <v>3.522896656503529E-2</v>
      </c>
    </row>
    <row r="20" spans="1:12">
      <c r="A20" s="34"/>
      <c r="B20" s="34"/>
    </row>
    <row r="21" spans="1:12">
      <c r="A21" s="35" t="s">
        <v>58</v>
      </c>
      <c r="B21" s="35" t="s">
        <v>57</v>
      </c>
      <c r="C21" s="28">
        <v>0.71894772588404998</v>
      </c>
      <c r="D21" s="28">
        <v>0.60730235140049993</v>
      </c>
      <c r="E21" s="28">
        <v>0.52190451740986266</v>
      </c>
      <c r="F21" s="28">
        <v>0.40053825109190855</v>
      </c>
      <c r="G21" s="28">
        <v>0.23078136364754206</v>
      </c>
      <c r="H21" s="28">
        <v>0.13199246997832714</v>
      </c>
      <c r="I21" s="28">
        <v>7.7214030501974978E-2</v>
      </c>
      <c r="J21" s="28">
        <v>4.9566166114091564E-2</v>
      </c>
      <c r="K21" s="28">
        <v>2.911385691292049E-2</v>
      </c>
      <c r="L21" s="28">
        <v>1.8733828604679446E-2</v>
      </c>
    </row>
    <row r="22" spans="1:12">
      <c r="A22" s="34" t="s">
        <v>61</v>
      </c>
      <c r="B22" s="34" t="s">
        <v>124</v>
      </c>
      <c r="C22" s="102">
        <v>0.4807212306305011</v>
      </c>
      <c r="D22" s="102">
        <v>0.34360596393198922</v>
      </c>
      <c r="E22" s="102">
        <v>0.28500234376236405</v>
      </c>
      <c r="F22" s="102">
        <v>0.20388718273478515</v>
      </c>
      <c r="G22" s="102">
        <v>7.6126333001955995E-2</v>
      </c>
      <c r="H22" s="102">
        <v>3.5020515293146683E-2</v>
      </c>
      <c r="I22" s="102">
        <v>2.0895866669323974E-2</v>
      </c>
      <c r="J22" s="102">
        <v>1.2877561124790885E-2</v>
      </c>
      <c r="K22" s="102">
        <v>7.7032167424124004E-3</v>
      </c>
      <c r="L22" s="102">
        <v>6.1453570540732014E-3</v>
      </c>
    </row>
    <row r="23" spans="1:12">
      <c r="A23" s="34"/>
      <c r="B23" s="34" t="s">
        <v>125</v>
      </c>
      <c r="C23" s="102">
        <v>0.81600317829500202</v>
      </c>
      <c r="D23" s="102">
        <v>0.69880279320597138</v>
      </c>
      <c r="E23" s="102">
        <v>0.57558114534994598</v>
      </c>
      <c r="F23" s="102">
        <v>0.42359805083169766</v>
      </c>
      <c r="G23" s="102">
        <v>0.2364935340315488</v>
      </c>
      <c r="H23" s="102">
        <v>0.11996384739225821</v>
      </c>
      <c r="I23" s="102">
        <v>6.5462976505996348E-2</v>
      </c>
      <c r="J23" s="102">
        <v>3.8040017519648785E-2</v>
      </c>
      <c r="K23" s="102">
        <v>2.477768457897242E-2</v>
      </c>
      <c r="L23" s="102">
        <v>1.67786006556799E-2</v>
      </c>
    </row>
    <row r="24" spans="1:12">
      <c r="A24" s="34"/>
      <c r="B24" s="34" t="s">
        <v>126</v>
      </c>
      <c r="C24" s="102">
        <v>0.84750642076142324</v>
      </c>
      <c r="D24" s="102">
        <v>0.7672434085777855</v>
      </c>
      <c r="E24" s="102">
        <v>0.68831679219881858</v>
      </c>
      <c r="F24" s="102">
        <v>0.54926591725119045</v>
      </c>
      <c r="G24" s="102">
        <v>0.33685410270883742</v>
      </c>
      <c r="H24" s="102">
        <v>0.18717538389420302</v>
      </c>
      <c r="I24" s="102">
        <v>0.10938175628282253</v>
      </c>
      <c r="J24" s="102">
        <v>6.9348780255938464E-2</v>
      </c>
      <c r="K24" s="102">
        <v>3.8936386827897358E-2</v>
      </c>
      <c r="L24" s="102">
        <v>2.1287199612979958E-2</v>
      </c>
    </row>
    <row r="25" spans="1:12">
      <c r="A25" s="34"/>
      <c r="B25" s="34" t="s">
        <v>127</v>
      </c>
      <c r="C25" s="102">
        <v>0.82498720411454485</v>
      </c>
      <c r="D25" s="102">
        <v>0.72755605195011486</v>
      </c>
      <c r="E25" s="102">
        <v>0.64389524741265358</v>
      </c>
      <c r="F25" s="102">
        <v>0.51881295853109199</v>
      </c>
      <c r="G25" s="102">
        <v>0.35053859908596746</v>
      </c>
      <c r="H25" s="102">
        <v>0.23833735833174499</v>
      </c>
      <c r="I25" s="102">
        <v>0.14496120882189015</v>
      </c>
      <c r="J25" s="102">
        <v>9.9824740300627393E-2</v>
      </c>
      <c r="K25" s="102">
        <v>5.7093563337390532E-2</v>
      </c>
      <c r="L25" s="102">
        <v>3.7625734901658228E-2</v>
      </c>
    </row>
    <row r="26" spans="1:12">
      <c r="A26" s="34"/>
      <c r="B26" s="34"/>
    </row>
    <row r="27" spans="1:12">
      <c r="A27" s="35" t="s">
        <v>59</v>
      </c>
      <c r="B27" s="35" t="s">
        <v>57</v>
      </c>
      <c r="C27" s="28">
        <v>0.71730053673530725</v>
      </c>
      <c r="D27" s="28">
        <v>0.61958806445438197</v>
      </c>
      <c r="E27" s="28">
        <v>0.5516301019901636</v>
      </c>
      <c r="F27" s="28">
        <v>0.42931763910527493</v>
      </c>
      <c r="G27" s="28">
        <v>0.2421176431432564</v>
      </c>
      <c r="H27" s="28">
        <v>0.14284950224420553</v>
      </c>
      <c r="I27" s="28">
        <v>8.8276316128266849E-2</v>
      </c>
      <c r="J27" s="28">
        <v>5.2245038037117289E-2</v>
      </c>
      <c r="K27" s="28">
        <v>3.4338267586012883E-2</v>
      </c>
      <c r="L27" s="28">
        <v>2.3593070764767861E-2</v>
      </c>
    </row>
    <row r="28" spans="1:12">
      <c r="A28" s="34" t="s">
        <v>61</v>
      </c>
      <c r="B28" s="34" t="s">
        <v>124</v>
      </c>
      <c r="C28" s="102">
        <v>0.46827823658025985</v>
      </c>
      <c r="D28" s="102">
        <v>0.35447106496064079</v>
      </c>
      <c r="E28" s="102">
        <v>0.30992025579964683</v>
      </c>
      <c r="F28" s="102">
        <v>0.23277739623848634</v>
      </c>
      <c r="G28" s="102">
        <v>9.3748595320831032E-2</v>
      </c>
      <c r="H28" s="102">
        <v>5.3792042031609831E-2</v>
      </c>
      <c r="I28" s="102">
        <v>3.7017988978360027E-2</v>
      </c>
      <c r="J28" s="102">
        <v>2.2692562192102823E-2</v>
      </c>
      <c r="K28" s="102">
        <v>1.6777285558247305E-2</v>
      </c>
      <c r="L28" s="102">
        <v>1.3952832324675349E-2</v>
      </c>
    </row>
    <row r="29" spans="1:12">
      <c r="A29" s="34"/>
      <c r="B29" s="34" t="s">
        <v>125</v>
      </c>
      <c r="C29" s="102">
        <v>0.83056185318236775</v>
      </c>
      <c r="D29" s="102">
        <v>0.72440530648694268</v>
      </c>
      <c r="E29" s="102">
        <v>0.64095177260052005</v>
      </c>
      <c r="F29" s="102">
        <v>0.50280414520182348</v>
      </c>
      <c r="G29" s="102">
        <v>0.26929039238883734</v>
      </c>
      <c r="H29" s="102">
        <v>0.14460411267698214</v>
      </c>
      <c r="I29" s="102">
        <v>7.8842124377791478E-2</v>
      </c>
      <c r="J29" s="102">
        <v>4.2538327739422108E-2</v>
      </c>
      <c r="K29" s="102">
        <v>3.1634130863852875E-2</v>
      </c>
      <c r="L29" s="102">
        <v>2.1194910348196282E-2</v>
      </c>
    </row>
    <row r="30" spans="1:12">
      <c r="A30" s="34"/>
      <c r="B30" s="34" t="s">
        <v>126</v>
      </c>
      <c r="C30" s="102">
        <v>0.83870051882700813</v>
      </c>
      <c r="D30" s="102">
        <v>0.76418504979951829</v>
      </c>
      <c r="E30" s="102">
        <v>0.68391356017557514</v>
      </c>
      <c r="F30" s="102">
        <v>0.54415871295158413</v>
      </c>
      <c r="G30" s="102">
        <v>0.32884512582338205</v>
      </c>
      <c r="H30" s="102">
        <v>0.20271835329429394</v>
      </c>
      <c r="I30" s="102">
        <v>0.11959828617840908</v>
      </c>
      <c r="J30" s="102">
        <v>7.8492325202243779E-2</v>
      </c>
      <c r="K30" s="102">
        <v>4.6871872024896587E-2</v>
      </c>
      <c r="L30" s="102">
        <v>3.1925867056621794E-2</v>
      </c>
    </row>
    <row r="31" spans="1:12">
      <c r="A31" s="118"/>
      <c r="B31" s="118" t="s">
        <v>127</v>
      </c>
      <c r="C31" s="124">
        <v>0.82632894926305855</v>
      </c>
      <c r="D31" s="124">
        <v>0.74060684303102731</v>
      </c>
      <c r="E31" s="124">
        <v>0.66949834450871237</v>
      </c>
      <c r="F31" s="124">
        <v>0.51684674314004397</v>
      </c>
      <c r="G31" s="124">
        <v>0.34436266464884535</v>
      </c>
      <c r="H31" s="124">
        <v>0.21509453736351483</v>
      </c>
      <c r="I31" s="124">
        <v>0.14632702353185698</v>
      </c>
      <c r="J31" s="124">
        <v>8.3052698132785957E-2</v>
      </c>
      <c r="K31" s="124">
        <v>5.1763440083337234E-2</v>
      </c>
      <c r="L31" s="124">
        <v>3.288741483815677E-2</v>
      </c>
    </row>
    <row r="32" spans="1:12">
      <c r="A32" s="67"/>
      <c r="B32" s="67"/>
      <c r="C32" s="187" t="s">
        <v>147</v>
      </c>
      <c r="D32" s="187"/>
      <c r="E32" s="187"/>
      <c r="F32" s="187"/>
      <c r="G32" s="187"/>
      <c r="H32" s="187"/>
      <c r="I32" s="187"/>
      <c r="J32" s="187"/>
      <c r="K32" s="187"/>
      <c r="L32" s="187"/>
    </row>
    <row r="33" spans="1:12" ht="17.25">
      <c r="A33" s="35" t="s">
        <v>184</v>
      </c>
      <c r="B33" s="35" t="s">
        <v>57</v>
      </c>
      <c r="C33" s="46">
        <v>3460623.7551048202</v>
      </c>
      <c r="D33" s="46">
        <v>2954171.4968367489</v>
      </c>
      <c r="E33" s="46">
        <v>2583859.0233611092</v>
      </c>
      <c r="F33" s="46">
        <v>1996577.8375513442</v>
      </c>
      <c r="G33" s="46">
        <v>1138297.3591960866</v>
      </c>
      <c r="H33" s="46">
        <v>662021.58748350374</v>
      </c>
      <c r="I33" s="46">
        <v>397868.27879128326</v>
      </c>
      <c r="J33" s="46">
        <v>245288.28163506114</v>
      </c>
      <c r="K33" s="46">
        <v>152245.86720176585</v>
      </c>
      <c r="L33" s="46">
        <v>101466.2414366306</v>
      </c>
    </row>
    <row r="34" spans="1:12">
      <c r="A34" s="34" t="s">
        <v>61</v>
      </c>
      <c r="B34" s="34" t="s">
        <v>124</v>
      </c>
      <c r="C34" s="104">
        <v>720572.40802780795</v>
      </c>
      <c r="D34" s="104">
        <v>528775.65975920262</v>
      </c>
      <c r="E34" s="104">
        <v>450404.42586377222</v>
      </c>
      <c r="F34" s="104">
        <v>330534.87540904299</v>
      </c>
      <c r="G34" s="104">
        <v>128834.40092395803</v>
      </c>
      <c r="H34" s="104">
        <v>67453.686808807237</v>
      </c>
      <c r="I34" s="104">
        <v>44121.411833008831</v>
      </c>
      <c r="J34" s="104">
        <v>27340.675727373404</v>
      </c>
      <c r="K34" s="104">
        <v>18340.421933096513</v>
      </c>
      <c r="L34" s="104">
        <v>15049.804673088905</v>
      </c>
    </row>
    <row r="35" spans="1:12">
      <c r="A35" s="34"/>
      <c r="B35" s="34" t="s">
        <v>125</v>
      </c>
      <c r="C35" s="104">
        <v>1061647.3366712769</v>
      </c>
      <c r="D35" s="104">
        <v>917480.25006434217</v>
      </c>
      <c r="E35" s="104">
        <v>783545.00554511324</v>
      </c>
      <c r="F35" s="104">
        <v>595686.4276185662</v>
      </c>
      <c r="G35" s="104">
        <v>325413.74555672571</v>
      </c>
      <c r="H35" s="104">
        <v>170083.39333542602</v>
      </c>
      <c r="I35" s="104">
        <v>92770.838854856731</v>
      </c>
      <c r="J35" s="104">
        <v>51856.06040240133</v>
      </c>
      <c r="K35" s="104">
        <v>36236.54689890561</v>
      </c>
      <c r="L35" s="104">
        <v>24396.173696781618</v>
      </c>
    </row>
    <row r="36" spans="1:12">
      <c r="A36" s="34"/>
      <c r="B36" s="34" t="s">
        <v>126</v>
      </c>
      <c r="C36" s="104">
        <v>845513.11008261668</v>
      </c>
      <c r="D36" s="104">
        <v>767410.68534876488</v>
      </c>
      <c r="E36" s="104">
        <v>687847.21124660247</v>
      </c>
      <c r="F36" s="104">
        <v>547763.24049535661</v>
      </c>
      <c r="G36" s="104">
        <v>333447.40319612256</v>
      </c>
      <c r="H36" s="104">
        <v>195236.11103713937</v>
      </c>
      <c r="I36" s="104">
        <v>114320.38821104399</v>
      </c>
      <c r="J36" s="104">
        <v>73774.596240745479</v>
      </c>
      <c r="K36" s="104">
        <v>42781.819990772492</v>
      </c>
      <c r="L36" s="104">
        <v>26448.906828642615</v>
      </c>
    </row>
    <row r="37" spans="1:12">
      <c r="A37" s="34"/>
      <c r="B37" s="34" t="s">
        <v>127</v>
      </c>
      <c r="C37" s="104">
        <v>832890.90032312286</v>
      </c>
      <c r="D37" s="104">
        <v>740504.90166444192</v>
      </c>
      <c r="E37" s="104">
        <v>662062.38070562342</v>
      </c>
      <c r="F37" s="104">
        <v>522593.29402837966</v>
      </c>
      <c r="G37" s="104">
        <v>350601.8095192805</v>
      </c>
      <c r="H37" s="104">
        <v>229248.39630213054</v>
      </c>
      <c r="I37" s="104">
        <v>146655.63989237353</v>
      </c>
      <c r="J37" s="104">
        <v>92316.949264540875</v>
      </c>
      <c r="K37" s="104">
        <v>54887.078378991231</v>
      </c>
      <c r="L37" s="104">
        <v>35571.356238117449</v>
      </c>
    </row>
    <row r="38" spans="1:12">
      <c r="A38" s="34"/>
      <c r="B38" s="34"/>
    </row>
    <row r="39" spans="1:12">
      <c r="A39" s="35" t="s">
        <v>58</v>
      </c>
      <c r="B39" s="35" t="s">
        <v>57</v>
      </c>
      <c r="C39" s="46">
        <v>1777208.2365711876</v>
      </c>
      <c r="D39" s="46">
        <v>1501225.6136854175</v>
      </c>
      <c r="E39" s="46">
        <v>1290125.79586921</v>
      </c>
      <c r="F39" s="46">
        <v>990113.54132464714</v>
      </c>
      <c r="G39" s="46">
        <v>570481.72705075028</v>
      </c>
      <c r="H39" s="46">
        <v>326279.77857835294</v>
      </c>
      <c r="I39" s="46">
        <v>190869.80325061938</v>
      </c>
      <c r="J39" s="46">
        <v>122525.45700022989</v>
      </c>
      <c r="K39" s="46">
        <v>71968.217495053352</v>
      </c>
      <c r="L39" s="46">
        <v>46309.228473891562</v>
      </c>
    </row>
    <row r="40" spans="1:12">
      <c r="A40" s="34" t="s">
        <v>61</v>
      </c>
      <c r="B40" s="34" t="s">
        <v>124</v>
      </c>
      <c r="C40" s="104">
        <v>373878.22360420722</v>
      </c>
      <c r="D40" s="104">
        <v>267237.59890157095</v>
      </c>
      <c r="E40" s="104">
        <v>221658.96411346772</v>
      </c>
      <c r="F40" s="104">
        <v>158572.10549358925</v>
      </c>
      <c r="G40" s="104">
        <v>59206.825783299966</v>
      </c>
      <c r="H40" s="104">
        <v>27237.008089558869</v>
      </c>
      <c r="I40" s="104">
        <v>16251.642351536111</v>
      </c>
      <c r="J40" s="104">
        <v>10015.450475063604</v>
      </c>
      <c r="K40" s="104">
        <v>5991.133339199353</v>
      </c>
      <c r="L40" s="104">
        <v>4779.5167602166894</v>
      </c>
    </row>
    <row r="41" spans="1:12">
      <c r="A41" s="34"/>
      <c r="B41" s="34" t="s">
        <v>125</v>
      </c>
      <c r="C41" s="104">
        <v>540750.79477773677</v>
      </c>
      <c r="D41" s="104">
        <v>463084.1838246134</v>
      </c>
      <c r="E41" s="104">
        <v>381427.38911556231</v>
      </c>
      <c r="F41" s="104">
        <v>280710.89518566849</v>
      </c>
      <c r="G41" s="104">
        <v>156720.05929506689</v>
      </c>
      <c r="H41" s="104">
        <v>79497.908277149763</v>
      </c>
      <c r="I41" s="104">
        <v>43381.15036279468</v>
      </c>
      <c r="J41" s="104">
        <v>25208.443121618053</v>
      </c>
      <c r="K41" s="104">
        <v>16419.730933924813</v>
      </c>
      <c r="L41" s="104">
        <v>11118.880270509277</v>
      </c>
    </row>
    <row r="42" spans="1:12">
      <c r="A42" s="34"/>
      <c r="B42" s="34" t="s">
        <v>126</v>
      </c>
      <c r="C42" s="104">
        <v>435787.99175049027</v>
      </c>
      <c r="D42" s="104">
        <v>394516.73287326819</v>
      </c>
      <c r="E42" s="104">
        <v>353932.64901871793</v>
      </c>
      <c r="F42" s="104">
        <v>282432.65791524795</v>
      </c>
      <c r="G42" s="104">
        <v>173210.45520871828</v>
      </c>
      <c r="H42" s="104">
        <v>96245.624403763388</v>
      </c>
      <c r="I42" s="104">
        <v>56244.123627768175</v>
      </c>
      <c r="J42" s="104">
        <v>35659.158370658435</v>
      </c>
      <c r="K42" s="104">
        <v>20021.098844897366</v>
      </c>
      <c r="L42" s="104">
        <v>10945.882818206734</v>
      </c>
    </row>
    <row r="43" spans="1:12">
      <c r="A43" s="34"/>
      <c r="B43" s="34" t="s">
        <v>127</v>
      </c>
      <c r="C43" s="104">
        <v>426791.22643875232</v>
      </c>
      <c r="D43" s="104">
        <v>376387.09808596369</v>
      </c>
      <c r="E43" s="104">
        <v>333106.79362146161</v>
      </c>
      <c r="F43" s="104">
        <v>268397.88273014076</v>
      </c>
      <c r="G43" s="104">
        <v>181344.3867636644</v>
      </c>
      <c r="H43" s="104">
        <v>123299.23780788065</v>
      </c>
      <c r="I43" s="104">
        <v>74992.886908520508</v>
      </c>
      <c r="J43" s="104">
        <v>51642.405032889867</v>
      </c>
      <c r="K43" s="104">
        <v>29536.254377031848</v>
      </c>
      <c r="L43" s="104">
        <v>19464.948624958884</v>
      </c>
    </row>
    <row r="44" spans="1:12">
      <c r="A44" s="34"/>
      <c r="B44" s="34"/>
    </row>
    <row r="45" spans="1:12">
      <c r="A45" s="35" t="s">
        <v>59</v>
      </c>
      <c r="B45" s="35" t="s">
        <v>57</v>
      </c>
      <c r="C45" s="46">
        <v>1676939.6149131698</v>
      </c>
      <c r="D45" s="46">
        <v>1448502.7084182089</v>
      </c>
      <c r="E45" s="46">
        <v>1289627.3227622756</v>
      </c>
      <c r="F45" s="46">
        <v>1003679.3777868001</v>
      </c>
      <c r="G45" s="46">
        <v>566034.24431308045</v>
      </c>
      <c r="H45" s="46">
        <v>333960.42107289389</v>
      </c>
      <c r="I45" s="46">
        <v>206376.60784117808</v>
      </c>
      <c r="J45" s="46">
        <v>122140.9569353455</v>
      </c>
      <c r="K45" s="46">
        <v>80277.649706712458</v>
      </c>
      <c r="L45" s="46">
        <v>55157.012962738998</v>
      </c>
    </row>
    <row r="46" spans="1:12">
      <c r="A46" s="34" t="s">
        <v>61</v>
      </c>
      <c r="B46" s="34" t="s">
        <v>124</v>
      </c>
      <c r="C46" s="104">
        <v>344686.45512969443</v>
      </c>
      <c r="D46" s="104">
        <v>260916.19315814567</v>
      </c>
      <c r="E46" s="104">
        <v>228123.59405081859</v>
      </c>
      <c r="F46" s="104">
        <v>171340.90221596777</v>
      </c>
      <c r="G46" s="104">
        <v>69005.707441172359</v>
      </c>
      <c r="H46" s="104">
        <v>39594.811019762703</v>
      </c>
      <c r="I46" s="104">
        <v>27247.90178198705</v>
      </c>
      <c r="J46" s="104">
        <v>16703.357552824134</v>
      </c>
      <c r="K46" s="104">
        <v>12349.288593897163</v>
      </c>
      <c r="L46" s="104">
        <v>10270.287912872218</v>
      </c>
    </row>
    <row r="47" spans="1:12">
      <c r="A47" s="34"/>
      <c r="B47" s="34" t="s">
        <v>125</v>
      </c>
      <c r="C47" s="104">
        <v>520295.35639480955</v>
      </c>
      <c r="D47" s="104">
        <v>453794.88074099825</v>
      </c>
      <c r="E47" s="104">
        <v>401516.43093082058</v>
      </c>
      <c r="F47" s="104">
        <v>314975.53243289748</v>
      </c>
      <c r="G47" s="104">
        <v>168693.68626165876</v>
      </c>
      <c r="H47" s="104">
        <v>90585.485058276274</v>
      </c>
      <c r="I47" s="104">
        <v>49389.68849206205</v>
      </c>
      <c r="J47" s="104">
        <v>26647.61728078327</v>
      </c>
      <c r="K47" s="104">
        <v>19816.815964980789</v>
      </c>
      <c r="L47" s="104">
        <v>13277.293426272337</v>
      </c>
    </row>
    <row r="48" spans="1:12">
      <c r="A48" s="34"/>
      <c r="B48" s="34" t="s">
        <v>126</v>
      </c>
      <c r="C48" s="104">
        <v>407268.32126062154</v>
      </c>
      <c r="D48" s="104">
        <v>371084.0226969131</v>
      </c>
      <c r="E48" s="104">
        <v>332104.63244930096</v>
      </c>
      <c r="F48" s="104">
        <v>264240.45359252195</v>
      </c>
      <c r="G48" s="104">
        <v>159685.36961934436</v>
      </c>
      <c r="H48" s="104">
        <v>98438.908265315869</v>
      </c>
      <c r="I48" s="104">
        <v>58076.264583275857</v>
      </c>
      <c r="J48" s="104">
        <v>38115.437870087044</v>
      </c>
      <c r="K48" s="104">
        <v>22760.721145875126</v>
      </c>
      <c r="L48" s="104">
        <v>15503.024010435884</v>
      </c>
    </row>
    <row r="49" spans="1:23">
      <c r="A49" s="34"/>
      <c r="B49" s="34" t="s">
        <v>127</v>
      </c>
      <c r="C49" s="104">
        <v>404689.48212804465</v>
      </c>
      <c r="D49" s="104">
        <v>362707.61182215239</v>
      </c>
      <c r="E49" s="104">
        <v>327882.66533133609</v>
      </c>
      <c r="F49" s="104">
        <v>253122.48954541332</v>
      </c>
      <c r="G49" s="104">
        <v>168649.48099090505</v>
      </c>
      <c r="H49" s="104">
        <v>105341.2167295391</v>
      </c>
      <c r="I49" s="104">
        <v>71662.752983853046</v>
      </c>
      <c r="J49" s="104">
        <v>40674.544231651002</v>
      </c>
      <c r="K49" s="104">
        <v>25350.824001959372</v>
      </c>
      <c r="L49" s="104">
        <v>16106.407613158553</v>
      </c>
    </row>
    <row r="50" spans="1:23">
      <c r="A50" s="118"/>
      <c r="B50" s="118"/>
      <c r="C50" s="123"/>
      <c r="D50" s="123"/>
      <c r="E50" s="123"/>
      <c r="F50" s="123"/>
      <c r="G50" s="123"/>
      <c r="H50" s="123"/>
      <c r="I50" s="123"/>
      <c r="J50" s="123"/>
      <c r="K50" s="123"/>
      <c r="L50" s="123"/>
    </row>
    <row r="51" spans="1:23">
      <c r="A51" s="16" t="s">
        <v>130</v>
      </c>
    </row>
    <row r="52" spans="1:23">
      <c r="A52" s="24" t="s">
        <v>117</v>
      </c>
    </row>
    <row r="53" spans="1:23">
      <c r="A53" s="16" t="s">
        <v>121</v>
      </c>
    </row>
    <row r="54" spans="1:23" ht="15" customHeight="1">
      <c r="A54" s="16" t="s">
        <v>122</v>
      </c>
      <c r="B54" s="24"/>
      <c r="C54" s="2"/>
      <c r="G54" s="2"/>
      <c r="K54" s="2"/>
      <c r="O54" s="2"/>
      <c r="S54" s="2"/>
      <c r="W54" s="2"/>
    </row>
    <row r="55" spans="1:23">
      <c r="A55" s="24" t="s">
        <v>120</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C33&lt;'38'!$D$104</xm:f>
            <x14:dxf>
              <font>
                <color rgb="FFFF0000"/>
              </font>
              <numFmt numFmtId="172" formatCode="\*\*0.0%"/>
            </x14:dxf>
          </x14:cfRule>
          <x14:cfRule type="expression" priority="4" id="{1E21C768-CB14-416E-AAAC-77710CCF2246}">
            <xm:f>C33&lt;'38'!$D$103</xm:f>
            <x14:dxf>
              <font>
                <color rgb="FF00B050"/>
              </font>
              <numFmt numFmtId="171" formatCode="\*0.0%"/>
            </x14:dxf>
          </x14:cfRule>
          <xm:sqref>C15:L31</xm:sqref>
        </x14:conditionalFormatting>
        <x14:conditionalFormatting xmlns:xm="http://schemas.microsoft.com/office/excel/2006/main">
          <x14:cfRule type="expression" priority="1" id="{1428CC07-2F63-462B-92AE-F3296505485A}">
            <xm:f>C33&lt;'38'!$D$104</xm:f>
            <x14:dxf>
              <font>
                <color rgb="FFFF0000"/>
              </font>
              <numFmt numFmtId="174" formatCode="\*\*#,###,###,##0"/>
            </x14:dxf>
          </x14:cfRule>
          <x14:cfRule type="expression" priority="2" id="{7C976751-4B44-40B9-A498-16EAA96732F5}">
            <xm:f>C33&lt;'38'!$D$103</xm:f>
            <x14:dxf>
              <font>
                <color rgb="FF00B050"/>
              </font>
              <numFmt numFmtId="173"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17" width="22.5703125" style="1" customWidth="1"/>
    <col min="18" max="19" width="8.85546875" style="1" customWidth="1"/>
    <col min="20" max="16384" width="8.85546875" style="1"/>
  </cols>
  <sheetData>
    <row r="1" spans="1:19">
      <c r="A1" s="29"/>
      <c r="B1" s="29"/>
      <c r="C1" s="29"/>
      <c r="D1" s="29"/>
      <c r="E1" s="29"/>
      <c r="F1" s="29"/>
      <c r="G1" s="29"/>
      <c r="H1" s="29"/>
      <c r="I1" s="29"/>
      <c r="J1" s="29"/>
      <c r="K1" s="29"/>
      <c r="L1" s="29"/>
      <c r="M1" s="29"/>
      <c r="N1" s="29"/>
      <c r="O1" s="29"/>
      <c r="P1" s="29"/>
      <c r="Q1" s="29"/>
      <c r="R1" s="72"/>
    </row>
    <row r="2" spans="1:19">
      <c r="A2" s="29"/>
      <c r="B2" s="29"/>
      <c r="C2" s="29"/>
      <c r="D2" s="29"/>
      <c r="E2" s="29"/>
      <c r="F2" s="29"/>
      <c r="G2" s="29"/>
      <c r="H2" s="29"/>
      <c r="I2" s="29"/>
      <c r="J2" s="29"/>
      <c r="K2" s="29"/>
      <c r="L2" s="29"/>
      <c r="M2" s="29"/>
      <c r="N2" s="29"/>
      <c r="O2" s="29"/>
      <c r="P2" s="29"/>
      <c r="Q2" s="29"/>
      <c r="R2" s="72"/>
    </row>
    <row r="3" spans="1:19">
      <c r="A3" s="29"/>
      <c r="B3" s="29"/>
      <c r="C3" s="29"/>
      <c r="D3" s="29"/>
      <c r="E3" s="29"/>
      <c r="F3" s="29"/>
      <c r="G3" s="29"/>
      <c r="H3" s="29"/>
      <c r="I3" s="29"/>
      <c r="J3" s="29"/>
      <c r="K3" s="29"/>
      <c r="L3" s="29"/>
      <c r="M3" s="29"/>
      <c r="N3" s="29"/>
      <c r="O3" s="29"/>
      <c r="P3" s="29"/>
      <c r="Q3" s="29"/>
      <c r="R3" s="72"/>
    </row>
    <row r="4" spans="1:19">
      <c r="A4" s="29"/>
      <c r="B4" s="29"/>
      <c r="C4" s="29"/>
      <c r="D4" s="29"/>
      <c r="E4" s="29"/>
      <c r="F4" s="29"/>
      <c r="G4" s="29"/>
      <c r="H4" s="29"/>
      <c r="I4" s="29"/>
      <c r="J4" s="29"/>
      <c r="K4" s="29"/>
      <c r="L4" s="29"/>
      <c r="M4" s="29"/>
      <c r="N4" s="29"/>
      <c r="O4" s="29"/>
      <c r="P4" s="29"/>
      <c r="Q4" s="29"/>
      <c r="R4" s="72"/>
    </row>
    <row r="5" spans="1:19">
      <c r="A5" s="29"/>
      <c r="B5" s="29"/>
      <c r="C5" s="29"/>
      <c r="D5" s="29"/>
      <c r="E5" s="29"/>
      <c r="F5" s="29"/>
      <c r="G5" s="29"/>
      <c r="H5" s="29"/>
      <c r="I5" s="29"/>
      <c r="J5" s="29"/>
      <c r="K5" s="29"/>
      <c r="L5" s="29"/>
      <c r="M5" s="29"/>
      <c r="N5" s="29"/>
      <c r="O5" s="29"/>
      <c r="P5" s="29"/>
      <c r="Q5" s="29"/>
      <c r="R5" s="72"/>
    </row>
    <row r="6" spans="1:19">
      <c r="A6" s="29"/>
      <c r="B6" s="29"/>
      <c r="C6" s="29"/>
      <c r="D6" s="29"/>
      <c r="E6" s="29"/>
      <c r="F6" s="29"/>
      <c r="G6" s="29"/>
      <c r="H6" s="29"/>
      <c r="I6" s="29"/>
      <c r="J6" s="29"/>
      <c r="K6" s="29"/>
      <c r="L6" s="29"/>
      <c r="M6" s="29"/>
      <c r="N6" s="29"/>
      <c r="O6" s="29"/>
      <c r="P6" s="29"/>
      <c r="Q6" s="29"/>
      <c r="R6" s="72"/>
    </row>
    <row r="7" spans="1:19">
      <c r="A7" s="29"/>
      <c r="B7" s="29"/>
      <c r="C7" s="29"/>
      <c r="D7" s="29"/>
      <c r="E7" s="29"/>
      <c r="F7" s="29"/>
      <c r="G7" s="29"/>
      <c r="H7" s="29"/>
      <c r="I7" s="29"/>
      <c r="J7" s="29"/>
      <c r="K7" s="29"/>
      <c r="L7" s="29"/>
      <c r="M7" s="29"/>
      <c r="N7" s="29"/>
      <c r="O7" s="29"/>
      <c r="P7" s="29"/>
      <c r="Q7" s="29"/>
      <c r="R7" s="72"/>
    </row>
    <row r="8" spans="1:19">
      <c r="A8" s="30" t="s">
        <v>0</v>
      </c>
      <c r="B8" s="29"/>
      <c r="C8" s="29"/>
      <c r="D8" s="29"/>
      <c r="E8" s="29"/>
      <c r="F8" s="29"/>
      <c r="G8" s="29"/>
      <c r="H8" s="29"/>
      <c r="I8" s="29"/>
      <c r="J8" s="29"/>
      <c r="K8" s="29"/>
      <c r="L8" s="29"/>
      <c r="M8" s="29"/>
      <c r="N8" s="29"/>
      <c r="O8" s="29"/>
      <c r="P8" s="29"/>
      <c r="Q8" s="29"/>
      <c r="R8" s="72"/>
    </row>
    <row r="9" spans="1:19">
      <c r="A9" s="29" t="s">
        <v>1</v>
      </c>
      <c r="B9" s="29"/>
      <c r="C9" s="90" t="s">
        <v>2</v>
      </c>
      <c r="D9" s="29"/>
      <c r="E9" s="29"/>
      <c r="F9" s="29"/>
      <c r="G9" s="29"/>
      <c r="H9" s="29"/>
      <c r="I9" s="29"/>
      <c r="J9" s="29"/>
      <c r="K9" s="29"/>
      <c r="L9" s="29"/>
      <c r="M9" s="29"/>
      <c r="N9" s="29"/>
      <c r="O9" s="29"/>
      <c r="P9" s="29"/>
      <c r="Q9" s="29"/>
      <c r="R9" s="72"/>
    </row>
    <row r="10" spans="1:19">
      <c r="A10" s="29" t="s">
        <v>49</v>
      </c>
      <c r="B10" s="29"/>
      <c r="C10" s="31">
        <v>11</v>
      </c>
      <c r="D10" s="29"/>
      <c r="E10" s="29"/>
      <c r="F10" s="29"/>
      <c r="G10" s="29"/>
      <c r="H10" s="29"/>
      <c r="I10" s="29"/>
      <c r="J10" s="29"/>
      <c r="K10" s="29"/>
      <c r="L10" s="29"/>
      <c r="M10" s="29"/>
      <c r="N10" s="29"/>
      <c r="O10" s="29"/>
      <c r="P10" s="29"/>
      <c r="Q10" s="29"/>
      <c r="R10" s="72"/>
    </row>
    <row r="11" spans="1:19">
      <c r="A11" s="29" t="s">
        <v>3</v>
      </c>
      <c r="B11" s="29"/>
      <c r="C11" s="31" t="s">
        <v>19</v>
      </c>
      <c r="D11" s="29"/>
      <c r="E11" s="29"/>
      <c r="F11" s="29"/>
      <c r="G11" s="29"/>
      <c r="H11" s="29"/>
      <c r="I11" s="29"/>
      <c r="J11" s="29"/>
      <c r="K11" s="29"/>
      <c r="L11" s="29"/>
      <c r="M11" s="29"/>
      <c r="N11" s="29"/>
      <c r="O11" s="29"/>
      <c r="P11" s="29"/>
      <c r="Q11" s="29"/>
      <c r="R11" s="72"/>
    </row>
    <row r="12" spans="1:19">
      <c r="A12" s="116" t="s">
        <v>50</v>
      </c>
      <c r="B12" s="116"/>
      <c r="C12" s="175" t="s">
        <v>185</v>
      </c>
      <c r="D12" s="29"/>
      <c r="E12" s="116"/>
      <c r="F12" s="116"/>
      <c r="G12" s="116"/>
      <c r="H12" s="116"/>
      <c r="I12" s="116"/>
      <c r="J12" s="116"/>
      <c r="K12" s="116"/>
      <c r="L12" s="116"/>
      <c r="M12" s="116"/>
      <c r="N12" s="116"/>
      <c r="O12" s="116"/>
      <c r="P12" s="116"/>
      <c r="Q12" s="116"/>
      <c r="R12" s="72"/>
    </row>
    <row r="13" spans="1:19" s="2" customFormat="1" ht="24.95" customHeight="1">
      <c r="A13" s="33"/>
      <c r="B13" s="33"/>
      <c r="C13" s="182" t="s">
        <v>186</v>
      </c>
      <c r="D13" s="182"/>
      <c r="E13" s="182"/>
      <c r="F13" s="182"/>
      <c r="G13" s="182"/>
      <c r="H13" s="182"/>
      <c r="I13" s="182"/>
      <c r="J13" s="182"/>
      <c r="K13" s="182"/>
      <c r="L13" s="182"/>
      <c r="M13" s="182"/>
      <c r="N13" s="182"/>
      <c r="O13" s="182"/>
      <c r="P13" s="182"/>
      <c r="Q13" s="182"/>
    </row>
    <row r="14" spans="1:19" s="61" customFormat="1" ht="60">
      <c r="A14" s="60"/>
      <c r="B14" s="60"/>
      <c r="C14" s="64" t="s">
        <v>187</v>
      </c>
      <c r="D14" s="64" t="s">
        <v>188</v>
      </c>
      <c r="E14" s="64" t="s">
        <v>189</v>
      </c>
      <c r="F14" s="64" t="s">
        <v>190</v>
      </c>
      <c r="G14" s="64" t="s">
        <v>191</v>
      </c>
      <c r="H14" s="64" t="s">
        <v>192</v>
      </c>
      <c r="I14" s="64" t="s">
        <v>193</v>
      </c>
      <c r="J14" s="64" t="s">
        <v>194</v>
      </c>
      <c r="K14" s="64" t="s">
        <v>195</v>
      </c>
      <c r="L14" s="64" t="s">
        <v>196</v>
      </c>
      <c r="M14" s="64" t="s">
        <v>197</v>
      </c>
      <c r="N14" s="64" t="s">
        <v>198</v>
      </c>
      <c r="O14" s="64" t="s">
        <v>199</v>
      </c>
      <c r="P14" s="64" t="s">
        <v>200</v>
      </c>
      <c r="Q14" s="64" t="s">
        <v>201</v>
      </c>
    </row>
    <row r="15" spans="1:19">
      <c r="A15" s="67"/>
      <c r="B15" s="67"/>
      <c r="C15" s="187" t="s">
        <v>202</v>
      </c>
      <c r="D15" s="187"/>
      <c r="E15" s="187"/>
      <c r="F15" s="187"/>
      <c r="G15" s="187"/>
      <c r="H15" s="187"/>
      <c r="I15" s="187"/>
      <c r="J15" s="187"/>
      <c r="K15" s="187"/>
      <c r="L15" s="187"/>
      <c r="M15" s="187"/>
      <c r="N15" s="187"/>
      <c r="O15" s="187"/>
      <c r="P15" s="187"/>
      <c r="Q15" s="187"/>
      <c r="R15" s="7"/>
      <c r="S15" s="7"/>
    </row>
    <row r="16" spans="1:19">
      <c r="A16" s="35" t="s">
        <v>145</v>
      </c>
      <c r="B16" s="35" t="s">
        <v>57</v>
      </c>
      <c r="C16" s="28">
        <v>0.39848949835389724</v>
      </c>
      <c r="D16" s="28">
        <v>0.37025890144327711</v>
      </c>
      <c r="E16" s="28">
        <v>0.34778844155379141</v>
      </c>
      <c r="F16" s="28">
        <v>0.31462375167304402</v>
      </c>
      <c r="G16" s="28">
        <v>0.20673050067721996</v>
      </c>
      <c r="H16" s="28">
        <v>0.13462190895728912</v>
      </c>
      <c r="I16" s="28">
        <v>0.11404765592483902</v>
      </c>
      <c r="J16" s="28">
        <v>0.10127508928440951</v>
      </c>
      <c r="K16" s="28">
        <v>9.0088949744748126E-2</v>
      </c>
      <c r="L16" s="28">
        <v>7.7472695351413046E-2</v>
      </c>
      <c r="M16" s="28">
        <v>7.6473199309549128E-2</v>
      </c>
      <c r="N16" s="28">
        <v>5.2942219687674319E-2</v>
      </c>
      <c r="O16" s="28">
        <v>4.1420994297497488E-2</v>
      </c>
      <c r="P16" s="28">
        <v>3.7143571117984171E-2</v>
      </c>
      <c r="Q16" s="28">
        <v>3.4473837443735722E-2</v>
      </c>
    </row>
    <row r="17" spans="1:17">
      <c r="A17" s="34" t="s">
        <v>61</v>
      </c>
      <c r="B17" s="34" t="s">
        <v>62</v>
      </c>
      <c r="C17" s="102">
        <v>0.64608094335388133</v>
      </c>
      <c r="D17" s="102">
        <v>0.53683052853452429</v>
      </c>
      <c r="E17" s="102">
        <v>0.32467263256089329</v>
      </c>
      <c r="F17" s="102">
        <v>0.25007090696507189</v>
      </c>
      <c r="G17" s="102">
        <v>0.22705411442749263</v>
      </c>
      <c r="H17" s="102">
        <v>0.17429720258260584</v>
      </c>
      <c r="I17" s="102">
        <v>0.11488475745161392</v>
      </c>
      <c r="J17" s="102">
        <v>0.1227900147680791</v>
      </c>
      <c r="K17" s="102">
        <v>0.10719265894053288</v>
      </c>
      <c r="L17" s="102">
        <v>5.9737470866939514E-2</v>
      </c>
      <c r="M17" s="102">
        <v>8.6162454566884192E-2</v>
      </c>
      <c r="N17" s="102">
        <v>0.11744912446197117</v>
      </c>
      <c r="O17" s="102">
        <v>4.1473467268147365E-2</v>
      </c>
      <c r="P17" s="102">
        <v>4.207481367698556E-2</v>
      </c>
      <c r="Q17" s="102">
        <v>2.2313871415955009E-2</v>
      </c>
    </row>
    <row r="18" spans="1:17">
      <c r="A18" s="34"/>
      <c r="B18" s="34" t="s">
        <v>63</v>
      </c>
      <c r="C18" s="102">
        <v>0.61628501019548843</v>
      </c>
      <c r="D18" s="102">
        <v>0.5660929326242693</v>
      </c>
      <c r="E18" s="102">
        <v>0.36451307935542476</v>
      </c>
      <c r="F18" s="102">
        <v>0.30956421324666045</v>
      </c>
      <c r="G18" s="102">
        <v>0.25710945613145397</v>
      </c>
      <c r="H18" s="102">
        <v>0.19490235289252539</v>
      </c>
      <c r="I18" s="102">
        <v>0.16780975151107022</v>
      </c>
      <c r="J18" s="102">
        <v>0.14111716660461709</v>
      </c>
      <c r="K18" s="102">
        <v>0.11392892812121573</v>
      </c>
      <c r="L18" s="102">
        <v>8.5267160953194268E-2</v>
      </c>
      <c r="M18" s="102">
        <v>0.11526801531639994</v>
      </c>
      <c r="N18" s="102">
        <v>0.12287225136221462</v>
      </c>
      <c r="O18" s="102">
        <v>6.2563262091909669E-2</v>
      </c>
      <c r="P18" s="102">
        <v>6.1409766218839396E-2</v>
      </c>
      <c r="Q18" s="102">
        <v>5.1825653041242564E-2</v>
      </c>
    </row>
    <row r="19" spans="1:17">
      <c r="A19" s="34"/>
      <c r="B19" s="34" t="s">
        <v>64</v>
      </c>
      <c r="C19" s="102">
        <v>0.56600399226311449</v>
      </c>
      <c r="D19" s="102">
        <v>0.5184560987825666</v>
      </c>
      <c r="E19" s="102">
        <v>0.42243306621608961</v>
      </c>
      <c r="F19" s="102">
        <v>0.36896227688065397</v>
      </c>
      <c r="G19" s="102">
        <v>0.25761194018984068</v>
      </c>
      <c r="H19" s="102">
        <v>0.19797896519928282</v>
      </c>
      <c r="I19" s="102">
        <v>0.15514881044718418</v>
      </c>
      <c r="J19" s="102">
        <v>0.13265696529813847</v>
      </c>
      <c r="K19" s="102">
        <v>0.10645235815497449</v>
      </c>
      <c r="L19" s="102">
        <v>8.4559451857589674E-2</v>
      </c>
      <c r="M19" s="102">
        <v>0.12333270920296899</v>
      </c>
      <c r="N19" s="102">
        <v>9.3402338278417527E-2</v>
      </c>
      <c r="O19" s="102">
        <v>6.3990502308014008E-2</v>
      </c>
      <c r="P19" s="102">
        <v>6.1010388012737532E-2</v>
      </c>
      <c r="Q19" s="102">
        <v>6.0717622778122905E-2</v>
      </c>
    </row>
    <row r="20" spans="1:17">
      <c r="A20" s="34"/>
      <c r="B20" s="34" t="s">
        <v>65</v>
      </c>
      <c r="C20" s="102">
        <v>0.46096376278669055</v>
      </c>
      <c r="D20" s="102">
        <v>0.4290276557728423</v>
      </c>
      <c r="E20" s="102">
        <v>0.39913552511920836</v>
      </c>
      <c r="F20" s="102">
        <v>0.34918751789214414</v>
      </c>
      <c r="G20" s="102">
        <v>0.23509536886874169</v>
      </c>
      <c r="H20" s="102">
        <v>0.15075219695800704</v>
      </c>
      <c r="I20" s="102">
        <v>0.11546167511342104</v>
      </c>
      <c r="J20" s="102">
        <v>0.10921403280992724</v>
      </c>
      <c r="K20" s="102">
        <v>9.9838746022571812E-2</v>
      </c>
      <c r="L20" s="102">
        <v>7.0897133108904969E-2</v>
      </c>
      <c r="M20" s="102">
        <v>9.4371259254192152E-2</v>
      </c>
      <c r="N20" s="102">
        <v>5.4851965963140216E-2</v>
      </c>
      <c r="O20" s="102">
        <v>4.0312114970495201E-2</v>
      </c>
      <c r="P20" s="102">
        <v>4.7130317950786788E-2</v>
      </c>
      <c r="Q20" s="102">
        <v>4.6522817886742798E-2</v>
      </c>
    </row>
    <row r="21" spans="1:17">
      <c r="A21" s="34"/>
      <c r="B21" s="34" t="s">
        <v>66</v>
      </c>
      <c r="C21" s="102">
        <v>0.37096733535088527</v>
      </c>
      <c r="D21" s="102">
        <v>0.35804465182069456</v>
      </c>
      <c r="E21" s="102">
        <v>0.38205048447201267</v>
      </c>
      <c r="F21" s="102">
        <v>0.33927199465371111</v>
      </c>
      <c r="G21" s="102">
        <v>0.21221973302790284</v>
      </c>
      <c r="H21" s="102">
        <v>0.11366066966326001</v>
      </c>
      <c r="I21" s="102">
        <v>0.11111952272948135</v>
      </c>
      <c r="J21" s="102">
        <v>9.3300318936495916E-2</v>
      </c>
      <c r="K21" s="102">
        <v>8.6110150013971862E-2</v>
      </c>
      <c r="L21" s="102">
        <v>8.2972855345770757E-2</v>
      </c>
      <c r="M21" s="102">
        <v>6.0275190066395659E-2</v>
      </c>
      <c r="N21" s="102">
        <v>2.7733312797858335E-2</v>
      </c>
      <c r="O21" s="102">
        <v>3.4822306583629933E-2</v>
      </c>
      <c r="P21" s="102">
        <v>3.0764357065391171E-2</v>
      </c>
      <c r="Q21" s="102">
        <v>2.7417170670536523E-2</v>
      </c>
    </row>
    <row r="22" spans="1:17">
      <c r="A22" s="34"/>
      <c r="B22" s="34" t="s">
        <v>67</v>
      </c>
      <c r="C22" s="102">
        <v>0.25744661150261527</v>
      </c>
      <c r="D22" s="102">
        <v>0.25354752630448235</v>
      </c>
      <c r="E22" s="102">
        <v>0.33744723153363904</v>
      </c>
      <c r="F22" s="102">
        <v>0.31483179078263107</v>
      </c>
      <c r="G22" s="102">
        <v>0.19009018419280227</v>
      </c>
      <c r="H22" s="102">
        <v>9.0484406206203752E-2</v>
      </c>
      <c r="I22" s="102">
        <v>8.5301608996286693E-2</v>
      </c>
      <c r="J22" s="102">
        <v>8.2764724891435021E-2</v>
      </c>
      <c r="K22" s="102">
        <v>8.3609623673776209E-2</v>
      </c>
      <c r="L22" s="102">
        <v>8.6059411992730594E-2</v>
      </c>
      <c r="M22" s="102">
        <v>4.3524542786435041E-2</v>
      </c>
      <c r="N22" s="102">
        <v>1.1762001388795832E-2</v>
      </c>
      <c r="O22" s="102">
        <v>3.5111142484401218E-2</v>
      </c>
      <c r="P22" s="102">
        <v>1.7122229333037562E-2</v>
      </c>
      <c r="Q22" s="102">
        <v>2.0946602566273113E-2</v>
      </c>
    </row>
    <row r="23" spans="1:17">
      <c r="A23" s="34"/>
      <c r="B23" s="34" t="s">
        <v>68</v>
      </c>
      <c r="C23" s="102">
        <v>0.1061045853205998</v>
      </c>
      <c r="D23" s="102">
        <v>0.10279575855554401</v>
      </c>
      <c r="E23" s="102">
        <v>0.19766962423122877</v>
      </c>
      <c r="F23" s="102">
        <v>0.22425029149863268</v>
      </c>
      <c r="G23" s="102">
        <v>0.10056744049646903</v>
      </c>
      <c r="H23" s="102">
        <v>5.9209874858994739E-2</v>
      </c>
      <c r="I23" s="102">
        <v>6.2126872243597524E-2</v>
      </c>
      <c r="J23" s="102">
        <v>5.3026559521725192E-2</v>
      </c>
      <c r="K23" s="102">
        <v>5.381630152708456E-2</v>
      </c>
      <c r="L23" s="102">
        <v>6.5132275369403553E-2</v>
      </c>
      <c r="M23" s="102">
        <v>2.3960954914084044E-2</v>
      </c>
      <c r="N23" s="102">
        <v>3.9781394872554828E-3</v>
      </c>
      <c r="O23" s="102">
        <v>1.6928045315235209E-2</v>
      </c>
      <c r="P23" s="102">
        <v>7.7165686740857499E-3</v>
      </c>
      <c r="Q23" s="102">
        <v>4.6176030429297462E-3</v>
      </c>
    </row>
    <row r="24" spans="1:17">
      <c r="A24" s="34"/>
      <c r="B24" s="34"/>
    </row>
    <row r="25" spans="1:17">
      <c r="A25" s="35" t="s">
        <v>58</v>
      </c>
      <c r="B25" s="35" t="s">
        <v>57</v>
      </c>
      <c r="C25" s="28">
        <v>0.37480029533667264</v>
      </c>
      <c r="D25" s="28">
        <v>0.35120616924145676</v>
      </c>
      <c r="E25" s="28">
        <v>0.3312053236697986</v>
      </c>
      <c r="F25" s="28">
        <v>0.28525822696036124</v>
      </c>
      <c r="G25" s="28">
        <v>0.23137365717439995</v>
      </c>
      <c r="H25" s="28">
        <v>0.10631674253601216</v>
      </c>
      <c r="I25" s="28">
        <v>0.1054994821715495</v>
      </c>
      <c r="J25" s="28">
        <v>0.12021796669686331</v>
      </c>
      <c r="K25" s="28">
        <v>9.9520972401857394E-2</v>
      </c>
      <c r="L25" s="28">
        <v>9.5289748676341976E-2</v>
      </c>
      <c r="M25" s="28">
        <v>7.6465533402678754E-2</v>
      </c>
      <c r="N25" s="28">
        <v>6.316522223528033E-2</v>
      </c>
      <c r="O25" s="28">
        <v>5.4147486327641499E-2</v>
      </c>
      <c r="P25" s="28">
        <v>4.4207890802092926E-2</v>
      </c>
      <c r="Q25" s="28">
        <v>2.9656779441767558E-2</v>
      </c>
    </row>
    <row r="26" spans="1:17">
      <c r="A26" s="34" t="s">
        <v>61</v>
      </c>
      <c r="B26" s="34" t="s">
        <v>62</v>
      </c>
      <c r="C26" s="102">
        <v>0.53994861334045496</v>
      </c>
      <c r="D26" s="102">
        <v>0.45904307295934055</v>
      </c>
      <c r="E26" s="102">
        <v>0.29200820570642877</v>
      </c>
      <c r="F26" s="102">
        <v>0.23202636394063914</v>
      </c>
      <c r="G26" s="102">
        <v>0.22869309333693874</v>
      </c>
      <c r="H26" s="102">
        <v>0.11639542770649511</v>
      </c>
      <c r="I26" s="102">
        <v>7.4783683519853206E-2</v>
      </c>
      <c r="J26" s="102">
        <v>0.11226088444010797</v>
      </c>
      <c r="K26" s="102">
        <v>0.1363284927502858</v>
      </c>
      <c r="L26" s="102">
        <v>7.3032712668133021E-2</v>
      </c>
      <c r="M26" s="102">
        <v>8.356159037776302E-2</v>
      </c>
      <c r="N26" s="102">
        <v>0.14637041659219047</v>
      </c>
      <c r="O26" s="102">
        <v>5.5150184340087623E-2</v>
      </c>
      <c r="P26" s="102">
        <v>4.5676291746647196E-2</v>
      </c>
      <c r="Q26" s="102">
        <v>3.370461854378394E-2</v>
      </c>
    </row>
    <row r="27" spans="1:17">
      <c r="A27" s="34"/>
      <c r="B27" s="34" t="s">
        <v>63</v>
      </c>
      <c r="C27" s="102">
        <v>0.54339532871792573</v>
      </c>
      <c r="D27" s="102">
        <v>0.50722285574215886</v>
      </c>
      <c r="E27" s="102">
        <v>0.30709141124833722</v>
      </c>
      <c r="F27" s="102">
        <v>0.25401151784422688</v>
      </c>
      <c r="G27" s="102">
        <v>0.26111934773970902</v>
      </c>
      <c r="H27" s="102">
        <v>0.16624173720535088</v>
      </c>
      <c r="I27" s="102">
        <v>0.13872621027478721</v>
      </c>
      <c r="J27" s="102">
        <v>0.15787414840626085</v>
      </c>
      <c r="K27" s="102">
        <v>0.13121639256340506</v>
      </c>
      <c r="L27" s="102">
        <v>0.10243164868248054</v>
      </c>
      <c r="M27" s="102">
        <v>0.12653674640884779</v>
      </c>
      <c r="N27" s="102">
        <v>0.14879977840259762</v>
      </c>
      <c r="O27" s="102">
        <v>8.2451072744998147E-2</v>
      </c>
      <c r="P27" s="102">
        <v>7.2240923174611463E-2</v>
      </c>
      <c r="Q27" s="102">
        <v>6.1038841779673593E-2</v>
      </c>
    </row>
    <row r="28" spans="1:17">
      <c r="A28" s="34"/>
      <c r="B28" s="34" t="s">
        <v>64</v>
      </c>
      <c r="C28" s="102">
        <v>0.51417675491896997</v>
      </c>
      <c r="D28" s="102">
        <v>0.45759112719365841</v>
      </c>
      <c r="E28" s="102">
        <v>0.36400607292277665</v>
      </c>
      <c r="F28" s="102">
        <v>0.29808551762039009</v>
      </c>
      <c r="G28" s="102">
        <v>0.26000262623861486</v>
      </c>
      <c r="H28" s="102">
        <v>0.16863182398172488</v>
      </c>
      <c r="I28" s="102">
        <v>0.13390410986884968</v>
      </c>
      <c r="J28" s="102">
        <v>0.14241354862706404</v>
      </c>
      <c r="K28" s="102">
        <v>0.11893691143308079</v>
      </c>
      <c r="L28" s="102">
        <v>0.10044586117450575</v>
      </c>
      <c r="M28" s="102">
        <v>0.12499808273060845</v>
      </c>
      <c r="N28" s="102">
        <v>0.11345032335581212</v>
      </c>
      <c r="O28" s="102">
        <v>7.9204199933131728E-2</v>
      </c>
      <c r="P28" s="102">
        <v>7.2853833092830639E-2</v>
      </c>
      <c r="Q28" s="102">
        <v>5.3263365983884099E-2</v>
      </c>
    </row>
    <row r="29" spans="1:17">
      <c r="A29" s="34"/>
      <c r="B29" s="34" t="s">
        <v>65</v>
      </c>
      <c r="C29" s="102">
        <v>0.4309061639039411</v>
      </c>
      <c r="D29" s="102">
        <v>0.40429881737155432</v>
      </c>
      <c r="E29" s="102">
        <v>0.37246050539599235</v>
      </c>
      <c r="F29" s="102">
        <v>0.31814596427809255</v>
      </c>
      <c r="G29" s="102">
        <v>0.25509342949662656</v>
      </c>
      <c r="H29" s="102">
        <v>0.12338326633654441</v>
      </c>
      <c r="I29" s="102">
        <v>0.10719816304568448</v>
      </c>
      <c r="J29" s="102">
        <v>0.13098482727924482</v>
      </c>
      <c r="K29" s="102">
        <v>0.10329601853105042</v>
      </c>
      <c r="L29" s="102">
        <v>8.6291003098658586E-2</v>
      </c>
      <c r="M29" s="102">
        <v>9.2478529545801977E-2</v>
      </c>
      <c r="N29" s="102">
        <v>5.9218307188343942E-2</v>
      </c>
      <c r="O29" s="102">
        <v>5.1193491716405456E-2</v>
      </c>
      <c r="P29" s="102">
        <v>5.7093115838908304E-2</v>
      </c>
      <c r="Q29" s="102">
        <v>3.5905335882539885E-2</v>
      </c>
    </row>
    <row r="30" spans="1:17">
      <c r="A30" s="34"/>
      <c r="B30" s="34" t="s">
        <v>66</v>
      </c>
      <c r="C30" s="102">
        <v>0.36523052141549739</v>
      </c>
      <c r="D30" s="102">
        <v>0.35703964002581434</v>
      </c>
      <c r="E30" s="102">
        <v>0.39099799481150593</v>
      </c>
      <c r="F30" s="102">
        <v>0.32800912312542707</v>
      </c>
      <c r="G30" s="102">
        <v>0.2458887831852111</v>
      </c>
      <c r="H30" s="102">
        <v>8.3748980647801174E-2</v>
      </c>
      <c r="I30" s="102">
        <v>0.10613085485915161</v>
      </c>
      <c r="J30" s="102">
        <v>0.114422214319519</v>
      </c>
      <c r="K30" s="102">
        <v>9.2679380821518262E-2</v>
      </c>
      <c r="L30" s="102">
        <v>9.6654964564652099E-2</v>
      </c>
      <c r="M30" s="102">
        <v>5.473452313758527E-2</v>
      </c>
      <c r="N30" s="102">
        <v>3.492200883003177E-2</v>
      </c>
      <c r="O30" s="102">
        <v>4.5248166033390692E-2</v>
      </c>
      <c r="P30" s="102">
        <v>3.5920855762332463E-2</v>
      </c>
      <c r="Q30" s="102">
        <v>1.6123536907814165E-2</v>
      </c>
    </row>
    <row r="31" spans="1:17">
      <c r="A31" s="34"/>
      <c r="B31" s="34" t="s">
        <v>67</v>
      </c>
      <c r="C31" s="102">
        <v>0.26115040045428239</v>
      </c>
      <c r="D31" s="102">
        <v>0.2672202956440391</v>
      </c>
      <c r="E31" s="102">
        <v>0.34572570900281768</v>
      </c>
      <c r="F31" s="102">
        <v>0.30538065054337432</v>
      </c>
      <c r="G31" s="102">
        <v>0.24105655520112915</v>
      </c>
      <c r="H31" s="102">
        <v>6.0734022844932872E-2</v>
      </c>
      <c r="I31" s="102">
        <v>8.6930028552593991E-2</v>
      </c>
      <c r="J31" s="102">
        <v>0.11009297855818079</v>
      </c>
      <c r="K31" s="102">
        <v>8.6313340276875761E-2</v>
      </c>
      <c r="L31" s="102">
        <v>0.10943294486835087</v>
      </c>
      <c r="M31" s="102">
        <v>4.2865431023731707E-2</v>
      </c>
      <c r="N31" s="102">
        <v>1.2148526783772279E-2</v>
      </c>
      <c r="O31" s="102">
        <v>4.9287830628971643E-2</v>
      </c>
      <c r="P31" s="102">
        <v>2.0006770953279806E-2</v>
      </c>
      <c r="Q31" s="102">
        <v>1.2179288698721851E-2</v>
      </c>
    </row>
    <row r="32" spans="1:17">
      <c r="A32" s="34"/>
      <c r="B32" s="34" t="s">
        <v>68</v>
      </c>
      <c r="C32" s="102">
        <v>0.1216935703931144</v>
      </c>
      <c r="D32" s="102">
        <v>0.1218310304175982</v>
      </c>
      <c r="E32" s="102">
        <v>0.2192240158277021</v>
      </c>
      <c r="F32" s="102">
        <v>0.22052872518182959</v>
      </c>
      <c r="G32" s="102">
        <v>0.14039486789703032</v>
      </c>
      <c r="H32" s="102">
        <v>3.7633317469734216E-2</v>
      </c>
      <c r="I32" s="102">
        <v>7.3934500648266607E-2</v>
      </c>
      <c r="J32" s="102">
        <v>7.7133200051903189E-2</v>
      </c>
      <c r="K32" s="102">
        <v>6.2451182356171184E-2</v>
      </c>
      <c r="L32" s="102">
        <v>8.7728531150129005E-2</v>
      </c>
      <c r="M32" s="102">
        <v>2.0444162881265607E-2</v>
      </c>
      <c r="N32" s="102">
        <v>2.8819497686120954E-3</v>
      </c>
      <c r="O32" s="102">
        <v>2.3941256271094179E-2</v>
      </c>
      <c r="P32" s="102">
        <v>8.8153810204848401E-3</v>
      </c>
      <c r="Q32" s="102">
        <v>2.7181645466406823E-3</v>
      </c>
    </row>
    <row r="33" spans="1:17">
      <c r="A33" s="34"/>
      <c r="B33" s="34"/>
    </row>
    <row r="34" spans="1:17">
      <c r="A34" s="35" t="s">
        <v>59</v>
      </c>
      <c r="B34" s="35" t="s">
        <v>57</v>
      </c>
      <c r="C34" s="28">
        <v>0.42036120459394827</v>
      </c>
      <c r="D34" s="28">
        <v>0.38789920530820649</v>
      </c>
      <c r="E34" s="28">
        <v>0.36437275353955118</v>
      </c>
      <c r="F34" s="28">
        <v>0.34414267366757006</v>
      </c>
      <c r="G34" s="28">
        <v>0.18212792845462922</v>
      </c>
      <c r="H34" s="28">
        <v>0.16198712882656935</v>
      </c>
      <c r="I34" s="28">
        <v>0.12238491313706761</v>
      </c>
      <c r="J34" s="28">
        <v>8.3148226867132066E-2</v>
      </c>
      <c r="K34" s="28">
        <v>8.1052095106635566E-2</v>
      </c>
      <c r="L34" s="28">
        <v>6.0049623361798928E-2</v>
      </c>
      <c r="M34" s="28">
        <v>7.6632548994173794E-2</v>
      </c>
      <c r="N34" s="28">
        <v>4.2531448739182839E-2</v>
      </c>
      <c r="O34" s="28">
        <v>2.899072984465019E-2</v>
      </c>
      <c r="P34" s="28">
        <v>3.0022736122953819E-2</v>
      </c>
      <c r="Q34" s="28">
        <v>3.9460245447346387E-2</v>
      </c>
    </row>
    <row r="35" spans="1:17">
      <c r="A35" s="34" t="s">
        <v>61</v>
      </c>
      <c r="B35" s="34" t="s">
        <v>62</v>
      </c>
      <c r="C35" s="102">
        <v>0.75030525702503803</v>
      </c>
      <c r="D35" s="102">
        <v>0.61225608814269727</v>
      </c>
      <c r="E35" s="102">
        <v>0.35325989110221195</v>
      </c>
      <c r="F35" s="102">
        <v>0.27129137677415177</v>
      </c>
      <c r="G35" s="102">
        <v>0.22535488680714583</v>
      </c>
      <c r="H35" s="102">
        <v>0.23234450938446224</v>
      </c>
      <c r="I35" s="102">
        <v>0.15098050872711311</v>
      </c>
      <c r="J35" s="102">
        <v>0.13480244417062093</v>
      </c>
      <c r="K35" s="102">
        <v>8.1100496520057019E-2</v>
      </c>
      <c r="L35" s="102">
        <v>4.8004207871912584E-2</v>
      </c>
      <c r="M35" s="102">
        <v>9.0022599183499127E-2</v>
      </c>
      <c r="N35" s="102">
        <v>9.1725741042422954E-2</v>
      </c>
      <c r="O35" s="102">
        <v>2.908404804918557E-2</v>
      </c>
      <c r="P35" s="102">
        <v>3.5297639094306089E-2</v>
      </c>
      <c r="Q35" s="102">
        <v>1.1799709619491011E-2</v>
      </c>
    </row>
    <row r="36" spans="1:17">
      <c r="A36" s="34"/>
      <c r="B36" s="34" t="s">
        <v>63</v>
      </c>
      <c r="C36" s="102">
        <v>0.69060826220702631</v>
      </c>
      <c r="D36" s="102">
        <v>0.62624472242513518</v>
      </c>
      <c r="E36" s="102">
        <v>0.42540758598194889</v>
      </c>
      <c r="F36" s="102">
        <v>0.36971676599884518</v>
      </c>
      <c r="G36" s="102">
        <v>0.25123120310192748</v>
      </c>
      <c r="H36" s="102">
        <v>0.22340564580832495</v>
      </c>
      <c r="I36" s="102">
        <v>0.19925100039344446</v>
      </c>
      <c r="J36" s="102">
        <v>0.12596211107646407</v>
      </c>
      <c r="K36" s="102">
        <v>9.7241362907740908E-2</v>
      </c>
      <c r="L36" s="102">
        <v>6.7692764634961072E-2</v>
      </c>
      <c r="M36" s="102">
        <v>0.10221366015582833</v>
      </c>
      <c r="N36" s="102">
        <v>9.4174303125632519E-2</v>
      </c>
      <c r="O36" s="102">
        <v>4.3139636356327012E-2</v>
      </c>
      <c r="P36" s="102">
        <v>5.0453576586564769E-2</v>
      </c>
      <c r="Q36" s="102">
        <v>4.3691265818583014E-2</v>
      </c>
    </row>
    <row r="37" spans="1:17">
      <c r="A37" s="34"/>
      <c r="B37" s="34" t="s">
        <v>64</v>
      </c>
      <c r="C37" s="102">
        <v>0.61677478312771694</v>
      </c>
      <c r="D37" s="102">
        <v>0.57844029681926323</v>
      </c>
      <c r="E37" s="102">
        <v>0.48218456245373947</v>
      </c>
      <c r="F37" s="102">
        <v>0.44198038033341364</v>
      </c>
      <c r="G37" s="102">
        <v>0.25541553669556188</v>
      </c>
      <c r="H37" s="102">
        <v>0.22725354112262675</v>
      </c>
      <c r="I37" s="102">
        <v>0.17703232339917455</v>
      </c>
      <c r="J37" s="102">
        <v>0.12398220983983504</v>
      </c>
      <c r="K37" s="102">
        <v>9.4256518448201557E-2</v>
      </c>
      <c r="L37" s="102">
        <v>6.8524802533537543E-2</v>
      </c>
      <c r="M37" s="102">
        <v>0.12297736507610818</v>
      </c>
      <c r="N37" s="102">
        <v>7.3602733129563017E-2</v>
      </c>
      <c r="O37" s="102">
        <v>4.8567809170191045E-2</v>
      </c>
      <c r="P37" s="102">
        <v>4.8959737747225771E-2</v>
      </c>
      <c r="Q37" s="102">
        <v>6.8783177415593172E-2</v>
      </c>
    </row>
    <row r="38" spans="1:17">
      <c r="A38" s="34"/>
      <c r="B38" s="34" t="s">
        <v>65</v>
      </c>
      <c r="C38" s="102">
        <v>0.49114883850341767</v>
      </c>
      <c r="D38" s="102">
        <v>0.45378172642031439</v>
      </c>
      <c r="E38" s="102">
        <v>0.42591082151630333</v>
      </c>
      <c r="F38" s="102">
        <v>0.37938091688630521</v>
      </c>
      <c r="G38" s="102">
        <v>0.21526610261999107</v>
      </c>
      <c r="H38" s="102">
        <v>0.17802979297360147</v>
      </c>
      <c r="I38" s="102">
        <v>0.12375917402666972</v>
      </c>
      <c r="J38" s="102">
        <v>8.8303816682700362E-2</v>
      </c>
      <c r="K38" s="102">
        <v>9.6238336200246105E-2</v>
      </c>
      <c r="L38" s="102">
        <v>5.572242402743717E-2</v>
      </c>
      <c r="M38" s="102">
        <v>9.6868187117570503E-2</v>
      </c>
      <c r="N38" s="102">
        <v>5.0310235806133134E-2</v>
      </c>
      <c r="O38" s="102">
        <v>2.9901357042500992E-2</v>
      </c>
      <c r="P38" s="102">
        <v>3.7667577440426071E-2</v>
      </c>
      <c r="Q38" s="102">
        <v>5.726208926393541E-2</v>
      </c>
    </row>
    <row r="39" spans="1:17">
      <c r="A39" s="34"/>
      <c r="B39" s="34" t="s">
        <v>66</v>
      </c>
      <c r="C39" s="102">
        <v>0.37684623053446464</v>
      </c>
      <c r="D39" s="102">
        <v>0.36052136282754799</v>
      </c>
      <c r="E39" s="102">
        <v>0.3742494868836922</v>
      </c>
      <c r="F39" s="102">
        <v>0.35148595474739475</v>
      </c>
      <c r="G39" s="102">
        <v>0.17915396922447693</v>
      </c>
      <c r="H39" s="102">
        <v>0.14336614752083113</v>
      </c>
      <c r="I39" s="102">
        <v>0.11613284165485002</v>
      </c>
      <c r="J39" s="102">
        <v>7.1985140068698383E-2</v>
      </c>
      <c r="K39" s="102">
        <v>7.9963731629023982E-2</v>
      </c>
      <c r="L39" s="102">
        <v>6.9079700551133369E-2</v>
      </c>
      <c r="M39" s="102">
        <v>6.6168803584522526E-2</v>
      </c>
      <c r="N39" s="102">
        <v>2.0469408367745037E-2</v>
      </c>
      <c r="O39" s="102">
        <v>2.4108379087575377E-2</v>
      </c>
      <c r="P39" s="102">
        <v>2.5624716175915416E-2</v>
      </c>
      <c r="Q39" s="102">
        <v>3.8760845333149337E-2</v>
      </c>
    </row>
    <row r="40" spans="1:17">
      <c r="A40" s="34"/>
      <c r="B40" s="34" t="s">
        <v>67</v>
      </c>
      <c r="C40" s="102">
        <v>0.25373681805428094</v>
      </c>
      <c r="D40" s="102">
        <v>0.23998359479509571</v>
      </c>
      <c r="E40" s="102">
        <v>0.33037912425865612</v>
      </c>
      <c r="F40" s="102">
        <v>0.32380885509100721</v>
      </c>
      <c r="G40" s="102">
        <v>0.14129029452223307</v>
      </c>
      <c r="H40" s="102">
        <v>0.11883422725115531</v>
      </c>
      <c r="I40" s="102">
        <v>8.4106824139973335E-2</v>
      </c>
      <c r="J40" s="102">
        <v>5.7105983301902578E-2</v>
      </c>
      <c r="K40" s="102">
        <v>8.1007833224883696E-2</v>
      </c>
      <c r="L40" s="102">
        <v>6.4177288132055393E-2</v>
      </c>
      <c r="M40" s="102">
        <v>4.4332649510035446E-2</v>
      </c>
      <c r="N40" s="102">
        <v>1.1443124945249966E-2</v>
      </c>
      <c r="O40" s="102">
        <v>2.15514993468441E-2</v>
      </c>
      <c r="P40" s="102">
        <v>1.4448774950624292E-2</v>
      </c>
      <c r="Q40" s="102">
        <v>2.937579693927948E-2</v>
      </c>
    </row>
    <row r="41" spans="1:17">
      <c r="A41" s="118"/>
      <c r="B41" s="118" t="s">
        <v>68</v>
      </c>
      <c r="C41" s="124">
        <v>9.1596680264714486E-2</v>
      </c>
      <c r="D41" s="124">
        <v>8.529003901511048E-2</v>
      </c>
      <c r="E41" s="124">
        <v>0.1777721400993445</v>
      </c>
      <c r="F41" s="124">
        <v>0.2277068787095097</v>
      </c>
      <c r="G41" s="124">
        <v>6.3390953469556796E-2</v>
      </c>
      <c r="H41" s="124">
        <v>7.9131176042687004E-2</v>
      </c>
      <c r="I41" s="124">
        <v>5.1058181110656645E-2</v>
      </c>
      <c r="J41" s="124">
        <v>3.0497781029010514E-2</v>
      </c>
      <c r="K41" s="124">
        <v>4.5886945869767909E-2</v>
      </c>
      <c r="L41" s="124">
        <v>4.4052031710929945E-2</v>
      </c>
      <c r="M41" s="124">
        <v>2.7264988198892681E-2</v>
      </c>
      <c r="N41" s="124">
        <v>5.002337407219482E-3</v>
      </c>
      <c r="O41" s="124">
        <v>1.0444320295799312E-2</v>
      </c>
      <c r="P41" s="124">
        <v>6.7089479371797572E-3</v>
      </c>
      <c r="Q41" s="124">
        <v>6.388597309971206E-3</v>
      </c>
    </row>
    <row r="42" spans="1:17">
      <c r="A42" s="67"/>
      <c r="B42" s="67"/>
      <c r="C42" s="190" t="s">
        <v>203</v>
      </c>
      <c r="D42" s="190"/>
      <c r="E42" s="190"/>
      <c r="F42" s="190"/>
      <c r="G42" s="190"/>
      <c r="H42" s="190"/>
      <c r="I42" s="190"/>
      <c r="J42" s="190"/>
      <c r="K42" s="190"/>
      <c r="L42" s="190"/>
      <c r="M42" s="190"/>
      <c r="N42" s="190"/>
      <c r="O42" s="190"/>
      <c r="P42" s="190"/>
      <c r="Q42" s="190"/>
    </row>
    <row r="43" spans="1:17" ht="17.25">
      <c r="A43" s="35" t="s">
        <v>184</v>
      </c>
      <c r="B43" s="35" t="s">
        <v>57</v>
      </c>
      <c r="C43" s="46">
        <v>7645849.0327129187</v>
      </c>
      <c r="D43" s="46">
        <v>7104186.3716550842</v>
      </c>
      <c r="E43" s="46">
        <v>6673043.9081263253</v>
      </c>
      <c r="F43" s="46">
        <v>6036710.4210647931</v>
      </c>
      <c r="G43" s="46">
        <v>3966554.2132591582</v>
      </c>
      <c r="H43" s="46">
        <v>2583001.04929977</v>
      </c>
      <c r="I43" s="46">
        <v>2188241.2543823016</v>
      </c>
      <c r="J43" s="46">
        <v>1943173.0237353288</v>
      </c>
      <c r="K43" s="46">
        <v>1728543.6933955995</v>
      </c>
      <c r="L43" s="46">
        <v>1486474.6380046501</v>
      </c>
      <c r="M43" s="46">
        <v>1467297.2296251229</v>
      </c>
      <c r="N43" s="46">
        <v>1015806.4914152102</v>
      </c>
      <c r="O43" s="46">
        <v>794747.84277067543</v>
      </c>
      <c r="P43" s="46">
        <v>712676.59117011027</v>
      </c>
      <c r="Q43" s="46">
        <v>661452.20328743279</v>
      </c>
    </row>
    <row r="44" spans="1:17">
      <c r="A44" s="34" t="s">
        <v>61</v>
      </c>
      <c r="B44" s="34" t="s">
        <v>62</v>
      </c>
      <c r="C44" s="104">
        <v>547620.35411059787</v>
      </c>
      <c r="D44" s="104">
        <v>455019.33953874989</v>
      </c>
      <c r="E44" s="104">
        <v>275193.6020431894</v>
      </c>
      <c r="F44" s="104">
        <v>211960.93157318528</v>
      </c>
      <c r="G44" s="104">
        <v>192451.82174789297</v>
      </c>
      <c r="H44" s="104">
        <v>147734.88798986693</v>
      </c>
      <c r="I44" s="104">
        <v>97376.702106353812</v>
      </c>
      <c r="J44" s="104">
        <v>104077.22447202723</v>
      </c>
      <c r="K44" s="104">
        <v>90856.853852317712</v>
      </c>
      <c r="L44" s="104">
        <v>50633.678777160007</v>
      </c>
      <c r="M44" s="104">
        <v>73031.582754965901</v>
      </c>
      <c r="N44" s="104">
        <v>99550.268104124145</v>
      </c>
      <c r="O44" s="104">
        <v>35153.048646935778</v>
      </c>
      <c r="P44" s="104">
        <v>35662.751860965931</v>
      </c>
      <c r="Q44" s="104">
        <v>18913.311547235284</v>
      </c>
    </row>
    <row r="45" spans="1:17">
      <c r="A45" s="34"/>
      <c r="B45" s="34" t="s">
        <v>63</v>
      </c>
      <c r="C45" s="104">
        <v>1323958.0888790993</v>
      </c>
      <c r="D45" s="104">
        <v>1216131.0186133732</v>
      </c>
      <c r="E45" s="104">
        <v>783079.30897388002</v>
      </c>
      <c r="F45" s="104">
        <v>665033.28391096881</v>
      </c>
      <c r="G45" s="104">
        <v>552345.32487585139</v>
      </c>
      <c r="H45" s="104">
        <v>418706.51141064661</v>
      </c>
      <c r="I45" s="104">
        <v>360503.78352606494</v>
      </c>
      <c r="J45" s="104">
        <v>303160.40649214876</v>
      </c>
      <c r="K45" s="104">
        <v>244752.22250750969</v>
      </c>
      <c r="L45" s="104">
        <v>183178.47358307219</v>
      </c>
      <c r="M45" s="104">
        <v>247628.96832226866</v>
      </c>
      <c r="N45" s="104">
        <v>263965.06226589525</v>
      </c>
      <c r="O45" s="104">
        <v>134403.94548452919</v>
      </c>
      <c r="P45" s="104">
        <v>131925.90339949515</v>
      </c>
      <c r="Q45" s="104">
        <v>111336.46189711771</v>
      </c>
    </row>
    <row r="46" spans="1:17">
      <c r="A46" s="34"/>
      <c r="B46" s="34" t="s">
        <v>64</v>
      </c>
      <c r="C46" s="104">
        <v>2051217.6042413795</v>
      </c>
      <c r="D46" s="104">
        <v>1878902.4307000679</v>
      </c>
      <c r="E46" s="104">
        <v>1530911.7141938857</v>
      </c>
      <c r="F46" s="104">
        <v>1337131.7658246497</v>
      </c>
      <c r="G46" s="104">
        <v>933594.38096425368</v>
      </c>
      <c r="H46" s="104">
        <v>717482.46344078844</v>
      </c>
      <c r="I46" s="104">
        <v>562264.53455549676</v>
      </c>
      <c r="J46" s="104">
        <v>480753.32729859313</v>
      </c>
      <c r="K46" s="104">
        <v>385786.94504858885</v>
      </c>
      <c r="L46" s="104">
        <v>306446.31243989337</v>
      </c>
      <c r="M46" s="104">
        <v>446961.90796179161</v>
      </c>
      <c r="N46" s="104">
        <v>338493.23180204007</v>
      </c>
      <c r="O46" s="104">
        <v>231903.74384749873</v>
      </c>
      <c r="P46" s="104">
        <v>221103.70888541167</v>
      </c>
      <c r="Q46" s="104">
        <v>220042.71777693869</v>
      </c>
    </row>
    <row r="47" spans="1:17">
      <c r="A47" s="34"/>
      <c r="B47" s="34" t="s">
        <v>65</v>
      </c>
      <c r="C47" s="104">
        <v>1569321.0862152767</v>
      </c>
      <c r="D47" s="104">
        <v>1460596.6913832873</v>
      </c>
      <c r="E47" s="104">
        <v>1358830.8808495917</v>
      </c>
      <c r="F47" s="104">
        <v>1188786.1457016424</v>
      </c>
      <c r="G47" s="104">
        <v>800366.86052478419</v>
      </c>
      <c r="H47" s="104">
        <v>513226.02898170741</v>
      </c>
      <c r="I47" s="104">
        <v>393081.74748885271</v>
      </c>
      <c r="J47" s="104">
        <v>371812.05646860559</v>
      </c>
      <c r="K47" s="104">
        <v>339894.50365324324</v>
      </c>
      <c r="L47" s="104">
        <v>241364.66881345981</v>
      </c>
      <c r="M47" s="104">
        <v>321280.80130416789</v>
      </c>
      <c r="N47" s="104">
        <v>186739.94304006058</v>
      </c>
      <c r="O47" s="104">
        <v>137239.96799810755</v>
      </c>
      <c r="P47" s="104">
        <v>160452.09565513293</v>
      </c>
      <c r="Q47" s="104">
        <v>158383.90128206997</v>
      </c>
    </row>
    <row r="48" spans="1:17">
      <c r="A48" s="34"/>
      <c r="B48" s="34" t="s">
        <v>66</v>
      </c>
      <c r="C48" s="104">
        <v>1092430.574198707</v>
      </c>
      <c r="D48" s="104">
        <v>1054375.6479456408</v>
      </c>
      <c r="E48" s="104">
        <v>1125068.4099447329</v>
      </c>
      <c r="F48" s="104">
        <v>999093.62526090618</v>
      </c>
      <c r="G48" s="104">
        <v>624948.08225819434</v>
      </c>
      <c r="H48" s="104">
        <v>334709.76765811461</v>
      </c>
      <c r="I48" s="104">
        <v>327226.55730654724</v>
      </c>
      <c r="J48" s="104">
        <v>274752.27944884205</v>
      </c>
      <c r="K48" s="104">
        <v>253578.55438976345</v>
      </c>
      <c r="L48" s="104">
        <v>244339.79860396971</v>
      </c>
      <c r="M48" s="104">
        <v>177499.34891676353</v>
      </c>
      <c r="N48" s="104">
        <v>81669.5054715265</v>
      </c>
      <c r="O48" s="104">
        <v>102545.28836102682</v>
      </c>
      <c r="P48" s="104">
        <v>90595.373368953748</v>
      </c>
      <c r="Q48" s="104">
        <v>80738.525051506775</v>
      </c>
    </row>
    <row r="49" spans="1:17">
      <c r="A49" s="34"/>
      <c r="B49" s="34" t="s">
        <v>67</v>
      </c>
      <c r="C49" s="104">
        <v>683079.18215551006</v>
      </c>
      <c r="D49" s="104">
        <v>672733.79864958569</v>
      </c>
      <c r="E49" s="104">
        <v>895343.61159885617</v>
      </c>
      <c r="F49" s="104">
        <v>835338.40631718573</v>
      </c>
      <c r="G49" s="104">
        <v>504363.39711890364</v>
      </c>
      <c r="H49" s="104">
        <v>240080.89999092004</v>
      </c>
      <c r="I49" s="104">
        <v>226329.46291134504</v>
      </c>
      <c r="J49" s="104">
        <v>219598.38686629172</v>
      </c>
      <c r="K49" s="104">
        <v>221840.14396644273</v>
      </c>
      <c r="L49" s="104">
        <v>228340.13008627747</v>
      </c>
      <c r="M49" s="104">
        <v>115483.00797871847</v>
      </c>
      <c r="N49" s="104">
        <v>31207.939550173545</v>
      </c>
      <c r="O49" s="104">
        <v>93159.860806894823</v>
      </c>
      <c r="P49" s="104">
        <v>45430.150900904635</v>
      </c>
      <c r="Q49" s="104">
        <v>55577.302285685735</v>
      </c>
    </row>
    <row r="50" spans="1:17">
      <c r="A50" s="34"/>
      <c r="B50" s="34" t="s">
        <v>68</v>
      </c>
      <c r="C50" s="104">
        <v>378222.14291224501</v>
      </c>
      <c r="D50" s="104">
        <v>366427.44482428383</v>
      </c>
      <c r="E50" s="104">
        <v>704616.38052204531</v>
      </c>
      <c r="F50" s="104">
        <v>799366.26247613889</v>
      </c>
      <c r="G50" s="104">
        <v>358484.34576926334</v>
      </c>
      <c r="H50" s="104">
        <v>211060.48982773835</v>
      </c>
      <c r="I50" s="104">
        <v>221458.46648765641</v>
      </c>
      <c r="J50" s="104">
        <v>189019.34268882958</v>
      </c>
      <c r="K50" s="104">
        <v>191834.46997774273</v>
      </c>
      <c r="L50" s="104">
        <v>232171.57570082467</v>
      </c>
      <c r="M50" s="104">
        <v>85411.61238645445</v>
      </c>
      <c r="N50" s="104">
        <v>14180.541181394845</v>
      </c>
      <c r="O50" s="104">
        <v>60341.987625682923</v>
      </c>
      <c r="P50" s="104">
        <v>27506.60709924647</v>
      </c>
      <c r="Q50" s="104">
        <v>16459.98344687861</v>
      </c>
    </row>
    <row r="51" spans="1:17">
      <c r="A51" s="34"/>
      <c r="B51" s="34"/>
    </row>
    <row r="52" spans="1:17">
      <c r="A52" s="35" t="s">
        <v>58</v>
      </c>
      <c r="B52" s="35" t="s">
        <v>57</v>
      </c>
      <c r="C52" s="46">
        <v>3535089.3245829432</v>
      </c>
      <c r="D52" s="46">
        <v>3312551.2307771766</v>
      </c>
      <c r="E52" s="46">
        <v>3123904.6994304266</v>
      </c>
      <c r="F52" s="46">
        <v>2690535.0007027127</v>
      </c>
      <c r="G52" s="46">
        <v>2182299.629012337</v>
      </c>
      <c r="H52" s="46">
        <v>1002771.8394028587</v>
      </c>
      <c r="I52" s="46">
        <v>995063.4986524292</v>
      </c>
      <c r="J52" s="46">
        <v>1133887.1820028864</v>
      </c>
      <c r="K52" s="46">
        <v>938674.62616029626</v>
      </c>
      <c r="L52" s="46">
        <v>898766.02948068187</v>
      </c>
      <c r="M52" s="46">
        <v>721217.39015049592</v>
      </c>
      <c r="N52" s="46">
        <v>595769.81551807281</v>
      </c>
      <c r="O52" s="46">
        <v>510715.18152861251</v>
      </c>
      <c r="P52" s="46">
        <v>416965.63418240182</v>
      </c>
      <c r="Q52" s="46">
        <v>279720.60243957152</v>
      </c>
    </row>
    <row r="53" spans="1:17">
      <c r="A53" s="34" t="s">
        <v>61</v>
      </c>
      <c r="B53" s="34" t="s">
        <v>62</v>
      </c>
      <c r="C53" s="104">
        <v>221674.79721716366</v>
      </c>
      <c r="D53" s="104">
        <v>188459.19333446573</v>
      </c>
      <c r="E53" s="104">
        <v>119883.37072532775</v>
      </c>
      <c r="F53" s="104">
        <v>95257.948450635158</v>
      </c>
      <c r="G53" s="104">
        <v>93889.481031904492</v>
      </c>
      <c r="H53" s="104">
        <v>47785.904429341295</v>
      </c>
      <c r="I53" s="104">
        <v>30702.288087854125</v>
      </c>
      <c r="J53" s="104">
        <v>46088.476160210688</v>
      </c>
      <c r="K53" s="104">
        <v>55969.383453691953</v>
      </c>
      <c r="L53" s="104">
        <v>29983.430591236203</v>
      </c>
      <c r="M53" s="104">
        <v>34306.039768370792</v>
      </c>
      <c r="N53" s="104">
        <v>60092.074717871241</v>
      </c>
      <c r="O53" s="104">
        <v>22641.795215370999</v>
      </c>
      <c r="P53" s="104">
        <v>18752.308016736599</v>
      </c>
      <c r="Q53" s="104">
        <v>13837.362105167887</v>
      </c>
    </row>
    <row r="54" spans="1:17">
      <c r="A54" s="34"/>
      <c r="B54" s="34" t="s">
        <v>63</v>
      </c>
      <c r="C54" s="104">
        <v>587373.17966964701</v>
      </c>
      <c r="D54" s="104">
        <v>548273.21074201632</v>
      </c>
      <c r="E54" s="104">
        <v>331944.80913141626</v>
      </c>
      <c r="F54" s="104">
        <v>274569.07526403433</v>
      </c>
      <c r="G54" s="104">
        <v>282252.15317364869</v>
      </c>
      <c r="H54" s="104">
        <v>179695.94623953864</v>
      </c>
      <c r="I54" s="104">
        <v>149953.54381288739</v>
      </c>
      <c r="J54" s="104">
        <v>170651.1551282758</v>
      </c>
      <c r="K54" s="104">
        <v>141835.94457205231</v>
      </c>
      <c r="L54" s="104">
        <v>110721.60544218539</v>
      </c>
      <c r="M54" s="104">
        <v>136777.56718773369</v>
      </c>
      <c r="N54" s="104">
        <v>160842.38188186951</v>
      </c>
      <c r="O54" s="104">
        <v>89123.969614656948</v>
      </c>
      <c r="P54" s="104">
        <v>78087.496349032284</v>
      </c>
      <c r="Q54" s="104">
        <v>65978.812633647613</v>
      </c>
    </row>
    <row r="55" spans="1:17">
      <c r="A55" s="34"/>
      <c r="B55" s="34" t="s">
        <v>64</v>
      </c>
      <c r="C55" s="104">
        <v>923471.97794454184</v>
      </c>
      <c r="D55" s="104">
        <v>821843.0321417274</v>
      </c>
      <c r="E55" s="104">
        <v>653762.35881918867</v>
      </c>
      <c r="F55" s="104">
        <v>535367.69198542449</v>
      </c>
      <c r="G55" s="104">
        <v>466970.03943942906</v>
      </c>
      <c r="H55" s="104">
        <v>302866.20806368534</v>
      </c>
      <c r="I55" s="104">
        <v>240494.52257906354</v>
      </c>
      <c r="J55" s="104">
        <v>255777.64879211952</v>
      </c>
      <c r="K55" s="104">
        <v>213613.12778332614</v>
      </c>
      <c r="L55" s="104">
        <v>180402.82297433249</v>
      </c>
      <c r="M55" s="104">
        <v>224499.11551661184</v>
      </c>
      <c r="N55" s="104">
        <v>203759.10327636314</v>
      </c>
      <c r="O55" s="104">
        <v>142252.36453034679</v>
      </c>
      <c r="P55" s="104">
        <v>130846.97568189436</v>
      </c>
      <c r="Q55" s="104">
        <v>95662.095702620732</v>
      </c>
    </row>
    <row r="56" spans="1:17">
      <c r="A56" s="34"/>
      <c r="B56" s="34" t="s">
        <v>65</v>
      </c>
      <c r="C56" s="104">
        <v>724294.07184300991</v>
      </c>
      <c r="D56" s="104">
        <v>679570.77713243233</v>
      </c>
      <c r="E56" s="104">
        <v>626054.94804225361</v>
      </c>
      <c r="F56" s="104">
        <v>534759.66511996533</v>
      </c>
      <c r="G56" s="104">
        <v>428777.01510832243</v>
      </c>
      <c r="H56" s="104">
        <v>207390.32266920185</v>
      </c>
      <c r="I56" s="104">
        <v>180185.38723841068</v>
      </c>
      <c r="J56" s="104">
        <v>220167.50245625785</v>
      </c>
      <c r="K56" s="104">
        <v>173626.41831158366</v>
      </c>
      <c r="L56" s="104">
        <v>145043.32319478705</v>
      </c>
      <c r="M56" s="104">
        <v>155443.70522793164</v>
      </c>
      <c r="N56" s="104">
        <v>99537.840100744797</v>
      </c>
      <c r="O56" s="104">
        <v>86049.227588683323</v>
      </c>
      <c r="P56" s="104">
        <v>95965.68536064362</v>
      </c>
      <c r="Q56" s="104">
        <v>60351.937627545951</v>
      </c>
    </row>
    <row r="57" spans="1:17">
      <c r="A57" s="34"/>
      <c r="B57" s="34" t="s">
        <v>66</v>
      </c>
      <c r="C57" s="104">
        <v>532481.15240202134</v>
      </c>
      <c r="D57" s="104">
        <v>520539.40683085931</v>
      </c>
      <c r="E57" s="104">
        <v>570048.36851314688</v>
      </c>
      <c r="F57" s="104">
        <v>478214.89617924584</v>
      </c>
      <c r="G57" s="104">
        <v>358489.04994509125</v>
      </c>
      <c r="H57" s="104">
        <v>122100.29313816136</v>
      </c>
      <c r="I57" s="104">
        <v>154731.53689836935</v>
      </c>
      <c r="J57" s="104">
        <v>166819.7726332279</v>
      </c>
      <c r="K57" s="104">
        <v>135120.20658209379</v>
      </c>
      <c r="L57" s="104">
        <v>140916.33611916052</v>
      </c>
      <c r="M57" s="104">
        <v>79799.195980448043</v>
      </c>
      <c r="N57" s="104">
        <v>50913.90345456449</v>
      </c>
      <c r="O57" s="104">
        <v>65968.735307660769</v>
      </c>
      <c r="P57" s="104">
        <v>52370.154053565297</v>
      </c>
      <c r="Q57" s="104">
        <v>23507.015460250394</v>
      </c>
    </row>
    <row r="58" spans="1:17">
      <c r="A58" s="34"/>
      <c r="B58" s="34" t="s">
        <v>67</v>
      </c>
      <c r="C58" s="104">
        <v>337124.77847435186</v>
      </c>
      <c r="D58" s="104">
        <v>344960.53927598038</v>
      </c>
      <c r="E58" s="104">
        <v>446304.89885412651</v>
      </c>
      <c r="F58" s="104">
        <v>394222.5781990001</v>
      </c>
      <c r="G58" s="104">
        <v>311185.19301752967</v>
      </c>
      <c r="H58" s="104">
        <v>78402.88187127866</v>
      </c>
      <c r="I58" s="104">
        <v>112219.88006751212</v>
      </c>
      <c r="J58" s="104">
        <v>142121.4401488376</v>
      </c>
      <c r="K58" s="104">
        <v>111423.78364959513</v>
      </c>
      <c r="L58" s="104">
        <v>141269.38818536195</v>
      </c>
      <c r="M58" s="104">
        <v>55335.924865307592</v>
      </c>
      <c r="N58" s="104">
        <v>15682.799619087469</v>
      </c>
      <c r="O58" s="104">
        <v>63626.741346629875</v>
      </c>
      <c r="P58" s="104">
        <v>25827.179333743003</v>
      </c>
      <c r="Q58" s="104">
        <v>15722.510849645725</v>
      </c>
    </row>
    <row r="59" spans="1:17">
      <c r="A59" s="34"/>
      <c r="B59" s="34" t="s">
        <v>68</v>
      </c>
      <c r="C59" s="104">
        <v>208669.36703222923</v>
      </c>
      <c r="D59" s="104">
        <v>208905.07131971631</v>
      </c>
      <c r="E59" s="104">
        <v>375905.94534498377</v>
      </c>
      <c r="F59" s="104">
        <v>378143.14550442802</v>
      </c>
      <c r="G59" s="104">
        <v>240736.69729641176</v>
      </c>
      <c r="H59" s="104">
        <v>64530.282991653461</v>
      </c>
      <c r="I59" s="104">
        <v>126776.33996833301</v>
      </c>
      <c r="J59" s="104">
        <v>132261.18668395685</v>
      </c>
      <c r="K59" s="104">
        <v>107085.76180795426</v>
      </c>
      <c r="L59" s="104">
        <v>150429.12297361947</v>
      </c>
      <c r="M59" s="104">
        <v>35055.841604092428</v>
      </c>
      <c r="N59" s="104">
        <v>4941.7124675716814</v>
      </c>
      <c r="O59" s="104">
        <v>41052.347925262955</v>
      </c>
      <c r="P59" s="104">
        <v>15115.835386785398</v>
      </c>
      <c r="Q59" s="104">
        <v>4660.8680606929611</v>
      </c>
    </row>
    <row r="60" spans="1:17">
      <c r="A60" s="34"/>
      <c r="B60" s="34"/>
    </row>
    <row r="61" spans="1:17">
      <c r="A61" s="35" t="s">
        <v>59</v>
      </c>
      <c r="B61" s="35" t="s">
        <v>57</v>
      </c>
      <c r="C61" s="46">
        <v>4061501.4603755791</v>
      </c>
      <c r="D61" s="46">
        <v>3747855.8240397815</v>
      </c>
      <c r="E61" s="46">
        <v>3520544.842028135</v>
      </c>
      <c r="F61" s="46">
        <v>3325083.1818044391</v>
      </c>
      <c r="G61" s="46">
        <v>1759707.6973556299</v>
      </c>
      <c r="H61" s="46">
        <v>1565108.656795942</v>
      </c>
      <c r="I61" s="46">
        <v>1182474.7336383823</v>
      </c>
      <c r="J61" s="46">
        <v>803372.53095158399</v>
      </c>
      <c r="K61" s="46">
        <v>783119.84798903565</v>
      </c>
      <c r="L61" s="46">
        <v>580195.38985415932</v>
      </c>
      <c r="M61" s="46">
        <v>740418.49307380349</v>
      </c>
      <c r="N61" s="46">
        <v>410935.9742960615</v>
      </c>
      <c r="O61" s="46">
        <v>280106.46633087454</v>
      </c>
      <c r="P61" s="46">
        <v>290077.6410269214</v>
      </c>
      <c r="Q61" s="46">
        <v>381262.21630273503</v>
      </c>
    </row>
    <row r="62" spans="1:17">
      <c r="A62" s="34" t="s">
        <v>61</v>
      </c>
      <c r="B62" s="34" t="s">
        <v>62</v>
      </c>
      <c r="C62" s="104">
        <v>322763.15889040986</v>
      </c>
      <c r="D62" s="104">
        <v>263377.74820126005</v>
      </c>
      <c r="E62" s="104">
        <v>151963.85377002263</v>
      </c>
      <c r="F62" s="104">
        <v>116702.98312255005</v>
      </c>
      <c r="G62" s="104">
        <v>96942.217125952899</v>
      </c>
      <c r="H62" s="104">
        <v>99948.983560525667</v>
      </c>
      <c r="I62" s="104">
        <v>64948.160060696391</v>
      </c>
      <c r="J62" s="104">
        <v>57988.748311816511</v>
      </c>
      <c r="K62" s="104">
        <v>34887.470398625745</v>
      </c>
      <c r="L62" s="104">
        <v>20650.248185923803</v>
      </c>
      <c r="M62" s="104">
        <v>38725.542986595116</v>
      </c>
      <c r="N62" s="104">
        <v>39458.193386252911</v>
      </c>
      <c r="O62" s="104">
        <v>12511.253431564774</v>
      </c>
      <c r="P62" s="104">
        <v>15184.18988642602</v>
      </c>
      <c r="Q62" s="104">
        <v>5075.9494420673946</v>
      </c>
    </row>
    <row r="63" spans="1:17">
      <c r="A63" s="34"/>
      <c r="B63" s="34" t="s">
        <v>63</v>
      </c>
      <c r="C63" s="104">
        <v>716948.03866995871</v>
      </c>
      <c r="D63" s="104">
        <v>650129.67559244088</v>
      </c>
      <c r="E63" s="104">
        <v>441632.61735442502</v>
      </c>
      <c r="F63" s="104">
        <v>383817.75132428372</v>
      </c>
      <c r="G63" s="104">
        <v>260813.15294578069</v>
      </c>
      <c r="H63" s="104">
        <v>231926.32980990779</v>
      </c>
      <c r="I63" s="104">
        <v>206850.42701137523</v>
      </c>
      <c r="J63" s="104">
        <v>130766.30186032488</v>
      </c>
      <c r="K63" s="104">
        <v>100950.1452987239</v>
      </c>
      <c r="L63" s="104">
        <v>70274.564457257831</v>
      </c>
      <c r="M63" s="104">
        <v>106112.08580072105</v>
      </c>
      <c r="N63" s="104">
        <v>97766.107957150743</v>
      </c>
      <c r="O63" s="104">
        <v>44784.980671621655</v>
      </c>
      <c r="P63" s="104">
        <v>52377.874342283154</v>
      </c>
      <c r="Q63" s="104">
        <v>45357.649263470114</v>
      </c>
    </row>
    <row r="64" spans="1:17">
      <c r="A64" s="34"/>
      <c r="B64" s="34" t="s">
        <v>64</v>
      </c>
      <c r="C64" s="104">
        <v>1111104.9173024751</v>
      </c>
      <c r="D64" s="104">
        <v>1042046.2634716693</v>
      </c>
      <c r="E64" s="104">
        <v>868643.87625061488</v>
      </c>
      <c r="F64" s="104">
        <v>796217.01044477313</v>
      </c>
      <c r="G64" s="104">
        <v>460124.93788859039</v>
      </c>
      <c r="H64" s="104">
        <v>409391.78112193436</v>
      </c>
      <c r="I64" s="104">
        <v>318919.46692894131</v>
      </c>
      <c r="J64" s="104">
        <v>223350.96501917514</v>
      </c>
      <c r="K64" s="104">
        <v>169800.84789543311</v>
      </c>
      <c r="L64" s="104">
        <v>123445.78140191012</v>
      </c>
      <c r="M64" s="104">
        <v>221540.76137816251</v>
      </c>
      <c r="N64" s="104">
        <v>132593.55107296081</v>
      </c>
      <c r="O64" s="104">
        <v>87493.738505248009</v>
      </c>
      <c r="P64" s="104">
        <v>88199.788397505792</v>
      </c>
      <c r="Q64" s="104">
        <v>123911.23752919152</v>
      </c>
    </row>
    <row r="65" spans="1:23">
      <c r="A65" s="34"/>
      <c r="B65" s="34" t="s">
        <v>65</v>
      </c>
      <c r="C65" s="104">
        <v>840840.52300643572</v>
      </c>
      <c r="D65" s="104">
        <v>776868.50555662136</v>
      </c>
      <c r="E65" s="104">
        <v>729153.87321103713</v>
      </c>
      <c r="F65" s="104">
        <v>649495.27223838121</v>
      </c>
      <c r="G65" s="104">
        <v>368532.81148763385</v>
      </c>
      <c r="H65" s="104">
        <v>304784.72613472113</v>
      </c>
      <c r="I65" s="104">
        <v>211874.12136108582</v>
      </c>
      <c r="J65" s="104">
        <v>151175.00354717733</v>
      </c>
      <c r="K65" s="104">
        <v>164758.7993701853</v>
      </c>
      <c r="L65" s="104">
        <v>95396.076483016295</v>
      </c>
      <c r="M65" s="104">
        <v>165837.09607623654</v>
      </c>
      <c r="N65" s="104">
        <v>86130.479544057249</v>
      </c>
      <c r="O65" s="104">
        <v>51190.740409424281</v>
      </c>
      <c r="P65" s="104">
        <v>64486.410294489338</v>
      </c>
      <c r="Q65" s="104">
        <v>98031.963654523875</v>
      </c>
    </row>
    <row r="66" spans="1:23">
      <c r="A66" s="34"/>
      <c r="B66" s="34" t="s">
        <v>66</v>
      </c>
      <c r="C66" s="104">
        <v>556424.36257232365</v>
      </c>
      <c r="D66" s="104">
        <v>532320.22308016045</v>
      </c>
      <c r="E66" s="104">
        <v>552590.19544108934</v>
      </c>
      <c r="F66" s="104">
        <v>518979.18163084099</v>
      </c>
      <c r="G66" s="104">
        <v>264526.01897238422</v>
      </c>
      <c r="H66" s="104">
        <v>211684.2647877635</v>
      </c>
      <c r="I66" s="104">
        <v>171473.50074290513</v>
      </c>
      <c r="J66" s="104">
        <v>106288.14203766263</v>
      </c>
      <c r="K66" s="104">
        <v>118068.7633188753</v>
      </c>
      <c r="L66" s="104">
        <v>101998.17652769662</v>
      </c>
      <c r="M66" s="104">
        <v>97700.152936315571</v>
      </c>
      <c r="N66" s="104">
        <v>30223.673690729596</v>
      </c>
      <c r="O66" s="104">
        <v>35596.719243896587</v>
      </c>
      <c r="P66" s="104">
        <v>37835.63482659396</v>
      </c>
      <c r="Q66" s="104">
        <v>57231.509591256436</v>
      </c>
    </row>
    <row r="67" spans="1:23">
      <c r="A67" s="34"/>
      <c r="B67" s="34" t="s">
        <v>67</v>
      </c>
      <c r="C67" s="104">
        <v>344250.33588368172</v>
      </c>
      <c r="D67" s="104">
        <v>325591.03463302547</v>
      </c>
      <c r="E67" s="104">
        <v>448232.64265365107</v>
      </c>
      <c r="F67" s="104">
        <v>439318.61360121192</v>
      </c>
      <c r="G67" s="104">
        <v>191691.65799177732</v>
      </c>
      <c r="H67" s="104">
        <v>161225.01637478772</v>
      </c>
      <c r="I67" s="104">
        <v>114109.58284383308</v>
      </c>
      <c r="J67" s="104">
        <v>77476.94671745415</v>
      </c>
      <c r="K67" s="104">
        <v>109905.11353740447</v>
      </c>
      <c r="L67" s="104">
        <v>87070.741900915658</v>
      </c>
      <c r="M67" s="104">
        <v>60147.083113410845</v>
      </c>
      <c r="N67" s="104">
        <v>15525.139931086069</v>
      </c>
      <c r="O67" s="104">
        <v>29239.39436869933</v>
      </c>
      <c r="P67" s="104">
        <v>19602.971567161654</v>
      </c>
      <c r="Q67" s="104">
        <v>39854.791436039981</v>
      </c>
    </row>
    <row r="68" spans="1:23">
      <c r="A68" s="34"/>
      <c r="B68" s="34" t="s">
        <v>68</v>
      </c>
      <c r="C68" s="104">
        <v>169170.12405024961</v>
      </c>
      <c r="D68" s="104">
        <v>157522.37350456821</v>
      </c>
      <c r="E68" s="104">
        <v>328327.78334729315</v>
      </c>
      <c r="F68" s="104">
        <v>420552.36944239237</v>
      </c>
      <c r="G68" s="104">
        <v>117076.90094353388</v>
      </c>
      <c r="H68" s="104">
        <v>146147.55500631817</v>
      </c>
      <c r="I68" s="104">
        <v>94299.474689557072</v>
      </c>
      <c r="J68" s="104">
        <v>56326.423457975085</v>
      </c>
      <c r="K68" s="104">
        <v>84748.708169788631</v>
      </c>
      <c r="L68" s="104">
        <v>81359.800897438967</v>
      </c>
      <c r="M68" s="104">
        <v>50355.770782362022</v>
      </c>
      <c r="N68" s="104">
        <v>9238.8287138231644</v>
      </c>
      <c r="O68" s="104">
        <v>19289.63970041995</v>
      </c>
      <c r="P68" s="104">
        <v>12390.771712461074</v>
      </c>
      <c r="Q68" s="104">
        <v>11799.115386185646</v>
      </c>
    </row>
    <row r="69" spans="1:23">
      <c r="A69" s="34"/>
      <c r="B69" s="35"/>
      <c r="C69" s="119"/>
      <c r="D69" s="119"/>
      <c r="E69" s="119"/>
      <c r="F69" s="119"/>
      <c r="G69" s="119"/>
      <c r="H69" s="119"/>
      <c r="I69" s="119"/>
      <c r="J69" s="119"/>
      <c r="K69" s="119"/>
      <c r="L69" s="119"/>
      <c r="M69" s="119"/>
      <c r="N69" s="119"/>
      <c r="O69" s="119"/>
      <c r="P69" s="119"/>
      <c r="Q69" s="119"/>
    </row>
    <row r="70" spans="1:23" ht="14.45" customHeight="1">
      <c r="A70" s="23" t="s">
        <v>204</v>
      </c>
      <c r="B70" s="23"/>
    </row>
    <row r="71" spans="1:23" ht="14.45" customHeight="1">
      <c r="A71" s="24" t="s">
        <v>117</v>
      </c>
      <c r="B71" s="24"/>
    </row>
    <row r="72" spans="1:23" ht="14.45" customHeight="1">
      <c r="A72" s="24" t="s">
        <v>121</v>
      </c>
      <c r="B72" s="24"/>
    </row>
    <row r="73" spans="1:23" ht="15" customHeight="1">
      <c r="A73" s="24" t="s">
        <v>122</v>
      </c>
      <c r="B73" s="24"/>
      <c r="C73" s="2"/>
      <c r="G73" s="2"/>
      <c r="K73" s="2"/>
      <c r="O73" s="2"/>
      <c r="S73" s="2"/>
      <c r="W73" s="2"/>
    </row>
    <row r="74" spans="1:23">
      <c r="A74" s="24" t="s">
        <v>120</v>
      </c>
    </row>
  </sheetData>
  <mergeCells count="3">
    <mergeCell ref="C13:Q13"/>
    <mergeCell ref="C15:Q15"/>
    <mergeCell ref="C42:Q42"/>
  </mergeCells>
  <pageMargins left="0.70866141732283472" right="0.70866141732283472" top="0.74803149606299213" bottom="0.74803149606299213" header="0.31496062992125984" footer="0.31496062992125984"/>
  <pageSetup paperSize="9" scale="61" fitToWidth="0" orientation="portrait" r:id="rId1"/>
  <headerFooter>
    <oddHeader>&amp;C&amp;"Calibri"&amp;12&amp;KFF0000 OFFICIAL&amp;1#_x000D_</oddHeader>
    <oddFooter>Page &amp;P of &amp;N</oddFooter>
  </headerFooter>
  <colBreaks count="1" manualBreakCount="1">
    <brk id="8"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279" id="{DEBA50FD-DF0E-4D61-B5ED-66CE1F56AC1B}">
            <xm:f>C43&lt;'38'!$C$104</xm:f>
            <x14:dxf>
              <font>
                <color rgb="FFFF0000"/>
              </font>
              <numFmt numFmtId="172" formatCode="\*\*0.0%"/>
            </x14:dxf>
          </x14:cfRule>
          <x14:cfRule type="expression" priority="280" id="{CBC031B5-1ABC-4AF9-9C0D-FBB4E96A90F6}">
            <xm:f>C43&lt;'38'!$C$103</xm:f>
            <x14:dxf>
              <font>
                <color rgb="FF00B050"/>
              </font>
              <numFmt numFmtId="171" formatCode="\*0.0%"/>
            </x14:dxf>
          </x14:cfRule>
          <xm:sqref>C16:Q41</xm:sqref>
        </x14:conditionalFormatting>
        <x14:conditionalFormatting xmlns:xm="http://schemas.microsoft.com/office/excel/2006/main">
          <x14:cfRule type="expression" priority="1" id="{DA956E0B-E7ED-4CF8-B61D-32BE39CDE1E7}">
            <xm:f>C43&lt;'38'!$C$104</xm:f>
            <x14:dxf>
              <font>
                <color rgb="FFFF0000"/>
              </font>
              <numFmt numFmtId="174" formatCode="\*\*#,###,###,##0"/>
            </x14:dxf>
          </x14:cfRule>
          <x14:cfRule type="expression" priority="2" id="{8F54B8E3-557A-49C1-8A97-FF60407E07B2}">
            <xm:f>C43&lt;'38'!$C$103</xm:f>
            <x14:dxf>
              <font>
                <color rgb="FF00B050"/>
              </font>
              <numFmt numFmtId="173" formatCode="\*#,###,###,##0"/>
            </x14:dxf>
          </x14:cfRule>
          <xm:sqref>C43:Q68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74"/>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8" width="19" style="1" customWidth="1"/>
    <col min="19" max="16384" width="8.85546875" style="1"/>
  </cols>
  <sheetData>
    <row r="1" spans="1:18">
      <c r="A1" s="29"/>
      <c r="B1" s="29"/>
      <c r="C1" s="29"/>
      <c r="D1" s="29"/>
      <c r="E1" s="29"/>
      <c r="F1" s="29"/>
      <c r="G1" s="29"/>
      <c r="H1" s="29"/>
      <c r="I1" s="29"/>
      <c r="J1" s="29"/>
      <c r="K1" s="29"/>
      <c r="L1" s="29"/>
      <c r="M1" s="29"/>
      <c r="N1" s="29"/>
      <c r="O1" s="29"/>
      <c r="P1" s="29"/>
      <c r="Q1" s="29"/>
      <c r="R1" s="29"/>
    </row>
    <row r="2" spans="1:18">
      <c r="A2" s="29"/>
      <c r="B2" s="29"/>
      <c r="C2" s="29"/>
      <c r="D2" s="29"/>
      <c r="E2" s="29"/>
      <c r="F2" s="29"/>
      <c r="G2" s="29"/>
      <c r="H2" s="29"/>
      <c r="I2" s="29"/>
      <c r="J2" s="29"/>
      <c r="K2" s="29"/>
      <c r="L2" s="29"/>
      <c r="M2" s="29"/>
      <c r="N2" s="29"/>
      <c r="O2" s="29"/>
      <c r="P2" s="29"/>
      <c r="Q2" s="29"/>
      <c r="R2" s="29"/>
    </row>
    <row r="3" spans="1:18">
      <c r="A3" s="29"/>
      <c r="B3" s="29"/>
      <c r="C3" s="29"/>
      <c r="D3" s="29"/>
      <c r="E3" s="29"/>
      <c r="F3" s="29"/>
      <c r="G3" s="29"/>
      <c r="H3" s="29"/>
      <c r="I3" s="29"/>
      <c r="J3" s="29"/>
      <c r="K3" s="29"/>
      <c r="L3" s="29"/>
      <c r="M3" s="29"/>
      <c r="N3" s="29"/>
      <c r="O3" s="29"/>
      <c r="P3" s="29"/>
      <c r="Q3" s="29"/>
      <c r="R3" s="29"/>
    </row>
    <row r="4" spans="1:18">
      <c r="A4" s="29"/>
      <c r="B4" s="29"/>
      <c r="C4" s="29"/>
      <c r="D4" s="29"/>
      <c r="E4" s="29"/>
      <c r="F4" s="29"/>
      <c r="G4" s="29"/>
      <c r="H4" s="29"/>
      <c r="I4" s="29"/>
      <c r="J4" s="29"/>
      <c r="K4" s="29"/>
      <c r="L4" s="29"/>
      <c r="M4" s="29"/>
      <c r="N4" s="29"/>
      <c r="O4" s="29"/>
      <c r="P4" s="29"/>
      <c r="Q4" s="29"/>
      <c r="R4" s="29"/>
    </row>
    <row r="5" spans="1:18">
      <c r="A5" s="29"/>
      <c r="B5" s="29"/>
      <c r="C5" s="29"/>
      <c r="D5" s="29"/>
      <c r="E5" s="29"/>
      <c r="F5" s="29"/>
      <c r="G5" s="29"/>
      <c r="H5" s="29"/>
      <c r="I5" s="29"/>
      <c r="J5" s="29"/>
      <c r="K5" s="29"/>
      <c r="L5" s="29"/>
      <c r="M5" s="29"/>
      <c r="N5" s="29"/>
      <c r="O5" s="29"/>
      <c r="P5" s="29"/>
      <c r="Q5" s="29"/>
      <c r="R5" s="29"/>
    </row>
    <row r="6" spans="1:18">
      <c r="A6" s="29"/>
      <c r="B6" s="29"/>
      <c r="C6" s="29"/>
      <c r="D6" s="29"/>
      <c r="E6" s="29"/>
      <c r="F6" s="29"/>
      <c r="G6" s="29"/>
      <c r="H6" s="29"/>
      <c r="I6" s="29"/>
      <c r="J6" s="29"/>
      <c r="K6" s="29"/>
      <c r="L6" s="29"/>
      <c r="M6" s="29"/>
      <c r="N6" s="29"/>
      <c r="O6" s="29"/>
      <c r="P6" s="29"/>
      <c r="Q6" s="29"/>
      <c r="R6" s="29"/>
    </row>
    <row r="7" spans="1:18">
      <c r="A7" s="29"/>
      <c r="B7" s="29"/>
      <c r="C7" s="29"/>
      <c r="D7" s="29"/>
      <c r="E7" s="29"/>
      <c r="F7" s="29"/>
      <c r="G7" s="29"/>
      <c r="H7" s="29"/>
      <c r="I7" s="29"/>
      <c r="J7" s="29"/>
      <c r="K7" s="29"/>
      <c r="L7" s="29"/>
      <c r="M7" s="29"/>
      <c r="N7" s="29"/>
      <c r="O7" s="29"/>
      <c r="P7" s="29"/>
      <c r="Q7" s="29"/>
      <c r="R7" s="29"/>
    </row>
    <row r="8" spans="1:18">
      <c r="A8" s="30" t="s">
        <v>0</v>
      </c>
      <c r="B8" s="29"/>
      <c r="C8" s="29"/>
      <c r="D8" s="29"/>
      <c r="E8" s="29"/>
      <c r="F8" s="29"/>
      <c r="G8" s="29"/>
      <c r="H8" s="29"/>
      <c r="I8" s="29"/>
      <c r="J8" s="29"/>
      <c r="K8" s="29"/>
      <c r="L8" s="29"/>
      <c r="M8" s="29"/>
      <c r="N8" s="29"/>
      <c r="O8" s="29"/>
      <c r="P8" s="29"/>
      <c r="Q8" s="29"/>
      <c r="R8" s="29"/>
    </row>
    <row r="9" spans="1:18">
      <c r="A9" s="29" t="s">
        <v>1</v>
      </c>
      <c r="B9" s="29"/>
      <c r="C9" s="90" t="s">
        <v>2</v>
      </c>
      <c r="D9" s="29"/>
      <c r="E9" s="29"/>
      <c r="F9" s="29"/>
      <c r="G9" s="29"/>
      <c r="H9" s="29"/>
      <c r="I9" s="29"/>
      <c r="J9" s="29"/>
      <c r="K9" s="29"/>
      <c r="L9" s="29"/>
      <c r="M9" s="29"/>
      <c r="N9" s="29"/>
      <c r="O9" s="29"/>
      <c r="P9" s="29"/>
      <c r="Q9" s="29"/>
      <c r="R9" s="29"/>
    </row>
    <row r="10" spans="1:18">
      <c r="A10" s="29" t="s">
        <v>49</v>
      </c>
      <c r="B10" s="29"/>
      <c r="C10" s="31">
        <v>12</v>
      </c>
      <c r="D10" s="29"/>
      <c r="E10" s="29"/>
      <c r="F10" s="29"/>
      <c r="G10" s="29"/>
      <c r="H10" s="29"/>
      <c r="I10" s="29"/>
      <c r="J10" s="29"/>
      <c r="K10" s="29"/>
      <c r="L10" s="29"/>
      <c r="M10" s="29"/>
      <c r="N10" s="29"/>
      <c r="O10" s="29"/>
      <c r="P10" s="29"/>
      <c r="Q10" s="29"/>
      <c r="R10" s="29"/>
    </row>
    <row r="11" spans="1:18">
      <c r="A11" s="29" t="s">
        <v>3</v>
      </c>
      <c r="B11" s="29"/>
      <c r="C11" s="30" t="s">
        <v>20</v>
      </c>
      <c r="D11" s="29"/>
      <c r="E11" s="29"/>
      <c r="F11" s="29"/>
      <c r="G11" s="29"/>
      <c r="H11" s="29"/>
      <c r="I11" s="29"/>
      <c r="J11" s="29"/>
      <c r="K11" s="29"/>
      <c r="L11" s="29"/>
      <c r="M11" s="29"/>
      <c r="N11" s="29"/>
      <c r="O11" s="29"/>
      <c r="P11" s="29"/>
      <c r="Q11" s="29"/>
      <c r="R11" s="29"/>
    </row>
    <row r="12" spans="1:18">
      <c r="A12" s="116" t="s">
        <v>50</v>
      </c>
      <c r="B12" s="116"/>
      <c r="C12" s="117" t="s">
        <v>185</v>
      </c>
      <c r="D12" s="116"/>
      <c r="E12" s="116"/>
      <c r="F12" s="116"/>
      <c r="G12" s="116"/>
      <c r="H12" s="116"/>
      <c r="I12" s="116"/>
      <c r="J12" s="116"/>
      <c r="K12" s="116"/>
      <c r="L12" s="116"/>
      <c r="M12" s="116"/>
      <c r="N12" s="116"/>
      <c r="O12" s="116"/>
      <c r="P12" s="116"/>
      <c r="Q12" s="116"/>
      <c r="R12" s="116"/>
    </row>
    <row r="13" spans="1:18" s="99" customFormat="1" ht="50.1" customHeight="1">
      <c r="A13" s="64"/>
      <c r="B13" s="64"/>
      <c r="C13" s="64" t="s">
        <v>205</v>
      </c>
      <c r="D13" s="64" t="s">
        <v>206</v>
      </c>
      <c r="E13" s="64" t="s">
        <v>207</v>
      </c>
      <c r="F13" s="64" t="s">
        <v>208</v>
      </c>
      <c r="G13" s="64" t="s">
        <v>209</v>
      </c>
      <c r="H13" s="64" t="s">
        <v>210</v>
      </c>
      <c r="I13" s="64" t="s">
        <v>211</v>
      </c>
      <c r="J13" s="64" t="s">
        <v>212</v>
      </c>
      <c r="K13" s="64" t="s">
        <v>213</v>
      </c>
      <c r="L13" s="64" t="s">
        <v>214</v>
      </c>
      <c r="M13" s="64" t="s">
        <v>215</v>
      </c>
      <c r="N13" s="64" t="s">
        <v>216</v>
      </c>
      <c r="O13" s="64" t="s">
        <v>217</v>
      </c>
      <c r="P13" s="64" t="s">
        <v>218</v>
      </c>
      <c r="Q13" s="64" t="s">
        <v>219</v>
      </c>
      <c r="R13" s="64" t="s">
        <v>220</v>
      </c>
    </row>
    <row r="14" spans="1:18">
      <c r="A14" s="67"/>
      <c r="B14" s="67"/>
      <c r="C14" s="187" t="s">
        <v>202</v>
      </c>
      <c r="D14" s="187"/>
      <c r="E14" s="187"/>
      <c r="F14" s="187"/>
      <c r="G14" s="187"/>
      <c r="H14" s="187"/>
      <c r="I14" s="187"/>
      <c r="J14" s="187"/>
      <c r="K14" s="187"/>
      <c r="L14" s="187"/>
      <c r="M14" s="187"/>
      <c r="N14" s="187"/>
      <c r="O14" s="187"/>
      <c r="P14" s="187"/>
      <c r="Q14" s="187"/>
      <c r="R14" s="187"/>
    </row>
    <row r="15" spans="1:18">
      <c r="A15" s="35" t="s">
        <v>145</v>
      </c>
      <c r="B15" s="35" t="s">
        <v>57</v>
      </c>
      <c r="C15" s="28">
        <v>0.65335794805057223</v>
      </c>
      <c r="D15" s="28">
        <v>0.58532202375732589</v>
      </c>
      <c r="E15" s="28">
        <v>0.5278566384851211</v>
      </c>
      <c r="F15" s="28">
        <v>0.50998862077852203</v>
      </c>
      <c r="G15" s="28">
        <v>0.43614697417981618</v>
      </c>
      <c r="H15" s="28">
        <v>0.37028843793973493</v>
      </c>
      <c r="I15" s="28">
        <v>0.30365486268803099</v>
      </c>
      <c r="J15" s="28">
        <v>0.28514888664748017</v>
      </c>
      <c r="K15" s="28">
        <v>0.20429297029559718</v>
      </c>
      <c r="L15" s="28">
        <v>0.19945563176323716</v>
      </c>
      <c r="M15" s="28">
        <v>0.14563010123827039</v>
      </c>
      <c r="N15" s="28">
        <v>0.1415420492084371</v>
      </c>
      <c r="O15" s="28">
        <v>0.12113369511095491</v>
      </c>
      <c r="P15" s="28">
        <v>0.12140128718411301</v>
      </c>
      <c r="Q15" s="28">
        <v>9.3249452855811751E-2</v>
      </c>
      <c r="R15" s="28">
        <v>4.3067866701920476E-2</v>
      </c>
    </row>
    <row r="16" spans="1:18">
      <c r="A16" s="34" t="s">
        <v>61</v>
      </c>
      <c r="B16" s="34" t="s">
        <v>62</v>
      </c>
      <c r="C16" s="102">
        <v>0.60562607500229348</v>
      </c>
      <c r="D16" s="102">
        <v>0.72131552645237251</v>
      </c>
      <c r="E16" s="102">
        <v>0.3929401657368875</v>
      </c>
      <c r="F16" s="102">
        <v>0.47091223154052242</v>
      </c>
      <c r="G16" s="102">
        <v>0.54219068911560853</v>
      </c>
      <c r="H16" s="102">
        <v>0.263181137062105</v>
      </c>
      <c r="I16" s="102">
        <v>0.37406011673868539</v>
      </c>
      <c r="J16" s="102">
        <v>0.51363574757517982</v>
      </c>
      <c r="K16" s="102">
        <v>0.14913348560745354</v>
      </c>
      <c r="L16" s="102">
        <v>0.33207238126056082</v>
      </c>
      <c r="M16" s="102">
        <v>0.31363861855418751</v>
      </c>
      <c r="N16" s="102">
        <v>0.34509881027019224</v>
      </c>
      <c r="O16" s="102">
        <v>0.19298481213705931</v>
      </c>
      <c r="P16" s="102">
        <v>7.543959494808207E-2</v>
      </c>
      <c r="Q16" s="102">
        <v>0.10742353322888634</v>
      </c>
      <c r="R16" s="102">
        <v>6.2263243043048776E-2</v>
      </c>
    </row>
    <row r="17" spans="1:18">
      <c r="A17" s="34"/>
      <c r="B17" s="34" t="s">
        <v>63</v>
      </c>
      <c r="C17" s="102">
        <v>0.59743829921963953</v>
      </c>
      <c r="D17" s="102">
        <v>0.64517982850643851</v>
      </c>
      <c r="E17" s="102">
        <v>0.49316705975607444</v>
      </c>
      <c r="F17" s="102">
        <v>0.47084044601648428</v>
      </c>
      <c r="G17" s="102">
        <v>0.53057313979573961</v>
      </c>
      <c r="H17" s="102">
        <v>0.36611724250185257</v>
      </c>
      <c r="I17" s="102">
        <v>0.35540821048075133</v>
      </c>
      <c r="J17" s="102">
        <v>0.46447806982711887</v>
      </c>
      <c r="K17" s="102">
        <v>0.16173890288585047</v>
      </c>
      <c r="L17" s="102">
        <v>0.30611525008768914</v>
      </c>
      <c r="M17" s="102">
        <v>0.26760813202493355</v>
      </c>
      <c r="N17" s="102">
        <v>0.23436150817522775</v>
      </c>
      <c r="O17" s="102">
        <v>0.15440981559128555</v>
      </c>
      <c r="P17" s="102">
        <v>0.1061843013941756</v>
      </c>
      <c r="Q17" s="102">
        <v>9.465734111705229E-2</v>
      </c>
      <c r="R17" s="102">
        <v>8.3529518482165374E-2</v>
      </c>
    </row>
    <row r="18" spans="1:18">
      <c r="A18" s="34"/>
      <c r="B18" s="34" t="s">
        <v>64</v>
      </c>
      <c r="C18" s="102">
        <v>0.61341259688379557</v>
      </c>
      <c r="D18" s="102">
        <v>0.61344283317065529</v>
      </c>
      <c r="E18" s="102">
        <v>0.54846476213908324</v>
      </c>
      <c r="F18" s="102">
        <v>0.48797970791133427</v>
      </c>
      <c r="G18" s="102">
        <v>0.49139622004150141</v>
      </c>
      <c r="H18" s="102">
        <v>0.41660849706670022</v>
      </c>
      <c r="I18" s="102">
        <v>0.3316903315167764</v>
      </c>
      <c r="J18" s="102">
        <v>0.41443242209687958</v>
      </c>
      <c r="K18" s="102">
        <v>0.20233596042145441</v>
      </c>
      <c r="L18" s="102">
        <v>0.26822930241222687</v>
      </c>
      <c r="M18" s="102">
        <v>0.21751969985996561</v>
      </c>
      <c r="N18" s="102">
        <v>0.16809370253347022</v>
      </c>
      <c r="O18" s="102">
        <v>0.13819534163970926</v>
      </c>
      <c r="P18" s="102">
        <v>0.1178227907587</v>
      </c>
      <c r="Q18" s="102">
        <v>0.1053320069433057</v>
      </c>
      <c r="R18" s="102">
        <v>6.8822029315761576E-2</v>
      </c>
    </row>
    <row r="19" spans="1:18">
      <c r="A19" s="34"/>
      <c r="B19" s="34" t="s">
        <v>65</v>
      </c>
      <c r="C19" s="102">
        <v>0.62551508399317179</v>
      </c>
      <c r="D19" s="102">
        <v>0.58821595626712964</v>
      </c>
      <c r="E19" s="102">
        <v>0.5415331724385517</v>
      </c>
      <c r="F19" s="102">
        <v>0.48497790038945682</v>
      </c>
      <c r="G19" s="102">
        <v>0.41263780044550258</v>
      </c>
      <c r="H19" s="102">
        <v>0.39936942675737169</v>
      </c>
      <c r="I19" s="102">
        <v>0.27967885331607317</v>
      </c>
      <c r="J19" s="102">
        <v>0.30042592893970305</v>
      </c>
      <c r="K19" s="102">
        <v>0.1945296511284976</v>
      </c>
      <c r="L19" s="102">
        <v>0.21343590058509884</v>
      </c>
      <c r="M19" s="102">
        <v>0.1385208967292508</v>
      </c>
      <c r="N19" s="102">
        <v>0.12766452841681941</v>
      </c>
      <c r="O19" s="102">
        <v>0.1235431152968704</v>
      </c>
      <c r="P19" s="102">
        <v>0.10744385876815185</v>
      </c>
      <c r="Q19" s="102">
        <v>0.13471025590778007</v>
      </c>
      <c r="R19" s="102">
        <v>4.2757471416872174E-2</v>
      </c>
    </row>
    <row r="20" spans="1:18">
      <c r="A20" s="34"/>
      <c r="B20" s="34" t="s">
        <v>66</v>
      </c>
      <c r="C20" s="102">
        <v>0.66312920844934298</v>
      </c>
      <c r="D20" s="102">
        <v>0.56540068991951353</v>
      </c>
      <c r="E20" s="102">
        <v>0.57949530958445894</v>
      </c>
      <c r="F20" s="102">
        <v>0.52321536001907076</v>
      </c>
      <c r="G20" s="102">
        <v>0.37692158382671248</v>
      </c>
      <c r="H20" s="102">
        <v>0.40217129502916066</v>
      </c>
      <c r="I20" s="102">
        <v>0.2708979286823136</v>
      </c>
      <c r="J20" s="102">
        <v>0.20936930950810739</v>
      </c>
      <c r="K20" s="102">
        <v>0.24319370940046348</v>
      </c>
      <c r="L20" s="102">
        <v>0.18020030144350696</v>
      </c>
      <c r="M20" s="102">
        <v>8.9456056399506392E-2</v>
      </c>
      <c r="N20" s="102">
        <v>9.8150115132245197E-2</v>
      </c>
      <c r="O20" s="102">
        <v>0.13156138275694618</v>
      </c>
      <c r="P20" s="102">
        <v>0.1162090429165711</v>
      </c>
      <c r="Q20" s="102">
        <v>0.1142578624612875</v>
      </c>
      <c r="R20" s="102">
        <v>3.589645575207609E-2</v>
      </c>
    </row>
    <row r="21" spans="1:18">
      <c r="A21" s="34"/>
      <c r="B21" s="34" t="s">
        <v>67</v>
      </c>
      <c r="C21" s="102">
        <v>0.69222118586757786</v>
      </c>
      <c r="D21" s="102">
        <v>0.57114172744860081</v>
      </c>
      <c r="E21" s="102">
        <v>0.59666894961289396</v>
      </c>
      <c r="F21" s="102">
        <v>0.56676549292765055</v>
      </c>
      <c r="G21" s="102">
        <v>0.39338184914747309</v>
      </c>
      <c r="H21" s="102">
        <v>0.38533693437760602</v>
      </c>
      <c r="I21" s="102">
        <v>0.28396383649176465</v>
      </c>
      <c r="J21" s="102">
        <v>0.17463977633221159</v>
      </c>
      <c r="K21" s="102">
        <v>0.25934678198855859</v>
      </c>
      <c r="L21" s="102">
        <v>0.14373213508880553</v>
      </c>
      <c r="M21" s="102">
        <v>8.0080852272088346E-2</v>
      </c>
      <c r="N21" s="102">
        <v>9.3626430340114669E-2</v>
      </c>
      <c r="O21" s="102">
        <v>0.11846184425640185</v>
      </c>
      <c r="P21" s="102">
        <v>0.13370770324995068</v>
      </c>
      <c r="Q21" s="102">
        <v>6.4859632903501871E-2</v>
      </c>
      <c r="R21" s="102">
        <v>2.3870089073092814E-2</v>
      </c>
    </row>
    <row r="22" spans="1:18">
      <c r="A22" s="34"/>
      <c r="B22" s="34" t="s">
        <v>68</v>
      </c>
      <c r="C22" s="102">
        <v>0.72861203660734852</v>
      </c>
      <c r="D22" s="102">
        <v>0.51256964343190825</v>
      </c>
      <c r="E22" s="102">
        <v>0.45295052050776818</v>
      </c>
      <c r="F22" s="102">
        <v>0.53594814405505287</v>
      </c>
      <c r="G22" s="102">
        <v>0.40106566443380975</v>
      </c>
      <c r="H22" s="102">
        <v>0.28586379851575783</v>
      </c>
      <c r="I22" s="102">
        <v>0.29183745200271483</v>
      </c>
      <c r="J22" s="102">
        <v>0.12157290938147874</v>
      </c>
      <c r="K22" s="102">
        <v>0.18125365294398027</v>
      </c>
      <c r="L22" s="102">
        <v>7.7753516781756363E-2</v>
      </c>
      <c r="M22" s="102">
        <v>6.106755102980433E-2</v>
      </c>
      <c r="N22" s="102">
        <v>9.4972577331878416E-2</v>
      </c>
      <c r="O22" s="102">
        <v>5.7721234431467976E-2</v>
      </c>
      <c r="P22" s="102">
        <v>0.15359866092392807</v>
      </c>
      <c r="Q22" s="102">
        <v>4.0925068175439554E-2</v>
      </c>
      <c r="R22" s="102">
        <v>8.4456419771033239E-3</v>
      </c>
    </row>
    <row r="23" spans="1:18">
      <c r="A23" s="34"/>
      <c r="B23" s="34"/>
    </row>
    <row r="24" spans="1:18">
      <c r="A24" s="35" t="s">
        <v>58</v>
      </c>
      <c r="B24" s="35" t="s">
        <v>57</v>
      </c>
      <c r="C24" s="110">
        <v>0.62565017512501853</v>
      </c>
      <c r="D24" s="110">
        <v>0.59338109279420503</v>
      </c>
      <c r="E24" s="110">
        <v>0.49765526265763471</v>
      </c>
      <c r="F24" s="110">
        <v>0.47535696376656883</v>
      </c>
      <c r="G24" s="110">
        <v>0.42553202908202453</v>
      </c>
      <c r="H24" s="110">
        <v>0.32518076907207238</v>
      </c>
      <c r="I24" s="110">
        <v>0.2989733898324769</v>
      </c>
      <c r="J24" s="110">
        <v>0.31729595008934536</v>
      </c>
      <c r="K24" s="110">
        <v>0.16240106052077843</v>
      </c>
      <c r="L24" s="110">
        <v>0.24516831635684261</v>
      </c>
      <c r="M24" s="110">
        <v>0.13701955480847133</v>
      </c>
      <c r="N24" s="110">
        <v>0.18878307376352149</v>
      </c>
      <c r="O24" s="110">
        <v>0.11478683294403333</v>
      </c>
      <c r="P24" s="110">
        <v>0.11101558333930842</v>
      </c>
      <c r="Q24" s="110">
        <v>9.9440202057699004E-2</v>
      </c>
      <c r="R24" s="110">
        <v>4.9450475766355646E-2</v>
      </c>
    </row>
    <row r="25" spans="1:18">
      <c r="A25" s="34" t="s">
        <v>61</v>
      </c>
      <c r="B25" s="34" t="s">
        <v>62</v>
      </c>
      <c r="C25" s="10">
        <v>0.59473711155447806</v>
      </c>
      <c r="D25" s="10">
        <v>0.71421655895795799</v>
      </c>
      <c r="E25" s="10">
        <v>0.34637562110154752</v>
      </c>
      <c r="F25" s="10">
        <v>0.3971173332130814</v>
      </c>
      <c r="G25" s="10">
        <v>0.52695413481350462</v>
      </c>
      <c r="H25" s="10">
        <v>0.23382278091978467</v>
      </c>
      <c r="I25" s="10">
        <v>0.38195295357066117</v>
      </c>
      <c r="J25" s="10">
        <v>0.49974816486478485</v>
      </c>
      <c r="K25" s="10">
        <v>9.9175914479707972E-2</v>
      </c>
      <c r="L25" s="10">
        <v>0.38786478967356358</v>
      </c>
      <c r="M25" s="10">
        <v>0.27516837502234487</v>
      </c>
      <c r="N25" s="10">
        <v>0.38361865174264581</v>
      </c>
      <c r="O25" s="10">
        <v>0.13675197452432322</v>
      </c>
      <c r="P25" s="10">
        <v>6.9816028092750226E-2</v>
      </c>
      <c r="Q25" s="10">
        <v>0.12192884530501913</v>
      </c>
      <c r="R25" s="10">
        <v>6.8282268521605891E-2</v>
      </c>
    </row>
    <row r="26" spans="1:18">
      <c r="A26" s="34"/>
      <c r="B26" s="34" t="s">
        <v>63</v>
      </c>
      <c r="C26" s="10">
        <v>0.54410625539064095</v>
      </c>
      <c r="D26" s="10">
        <v>0.63313106351484805</v>
      </c>
      <c r="E26" s="10">
        <v>0.42859985849650517</v>
      </c>
      <c r="F26" s="10">
        <v>0.41170427536682874</v>
      </c>
      <c r="G26" s="10">
        <v>0.51735860754262086</v>
      </c>
      <c r="H26" s="10">
        <v>0.29505542929028095</v>
      </c>
      <c r="I26" s="10">
        <v>0.33473224692596548</v>
      </c>
      <c r="J26" s="10">
        <v>0.49163953891889306</v>
      </c>
      <c r="K26" s="10">
        <v>0.11639781583281304</v>
      </c>
      <c r="L26" s="10">
        <v>0.36735591158754738</v>
      </c>
      <c r="M26" s="10">
        <v>0.26779330484107128</v>
      </c>
      <c r="N26" s="10">
        <v>0.28882289090241076</v>
      </c>
      <c r="O26" s="10">
        <v>0.13723751836729209</v>
      </c>
      <c r="P26" s="10">
        <v>0.11309474018777373</v>
      </c>
      <c r="Q26" s="10">
        <v>0.11359900217052073</v>
      </c>
      <c r="R26" s="10">
        <v>9.4398637893657086E-2</v>
      </c>
    </row>
    <row r="27" spans="1:18">
      <c r="A27" s="34"/>
      <c r="B27" s="34" t="s">
        <v>64</v>
      </c>
      <c r="C27" s="10">
        <v>0.56631020342541638</v>
      </c>
      <c r="D27" s="10">
        <v>0.59768638115992212</v>
      </c>
      <c r="E27" s="10">
        <v>0.47183125940009973</v>
      </c>
      <c r="F27" s="10">
        <v>0.42122312058111033</v>
      </c>
      <c r="G27" s="10">
        <v>0.47227009638982392</v>
      </c>
      <c r="H27" s="10">
        <v>0.35171693979311108</v>
      </c>
      <c r="I27" s="10">
        <v>0.31682408025147618</v>
      </c>
      <c r="J27" s="10">
        <v>0.44515086295122203</v>
      </c>
      <c r="K27" s="10">
        <v>0.1369726188815778</v>
      </c>
      <c r="L27" s="10">
        <v>0.30659550509154415</v>
      </c>
      <c r="M27" s="10">
        <v>0.21157040283278267</v>
      </c>
      <c r="N27" s="10">
        <v>0.21373465913402406</v>
      </c>
      <c r="O27" s="10">
        <v>0.13207689381149396</v>
      </c>
      <c r="P27" s="10">
        <v>0.10447657090054099</v>
      </c>
      <c r="Q27" s="10">
        <v>0.11113290805386361</v>
      </c>
      <c r="R27" s="10">
        <v>8.041226912823686E-2</v>
      </c>
    </row>
    <row r="28" spans="1:18">
      <c r="A28" s="34"/>
      <c r="B28" s="34" t="s">
        <v>65</v>
      </c>
      <c r="C28" s="10">
        <v>0.58856852502441903</v>
      </c>
      <c r="D28" s="10">
        <v>0.59982881977032387</v>
      </c>
      <c r="E28" s="10">
        <v>0.49747901244998677</v>
      </c>
      <c r="F28" s="10">
        <v>0.43605367204924977</v>
      </c>
      <c r="G28" s="10">
        <v>0.40844976195186017</v>
      </c>
      <c r="H28" s="10">
        <v>0.34637715657091472</v>
      </c>
      <c r="I28" s="10">
        <v>0.28317847231834831</v>
      </c>
      <c r="J28" s="10">
        <v>0.34333970161825089</v>
      </c>
      <c r="K28" s="10">
        <v>0.1381074111187941</v>
      </c>
      <c r="L28" s="10">
        <v>0.26280107631363359</v>
      </c>
      <c r="M28" s="10">
        <v>0.130512850347137</v>
      </c>
      <c r="N28" s="10">
        <v>0.16743118985541319</v>
      </c>
      <c r="O28" s="10">
        <v>0.1162267696277979</v>
      </c>
      <c r="P28" s="10">
        <v>9.4493139090698217E-2</v>
      </c>
      <c r="Q28" s="10">
        <v>0.13016767359133893</v>
      </c>
      <c r="R28" s="10">
        <v>4.7774257470925029E-2</v>
      </c>
    </row>
    <row r="29" spans="1:18">
      <c r="A29" s="34"/>
      <c r="B29" s="34" t="s">
        <v>66</v>
      </c>
      <c r="C29" s="10">
        <v>0.62948340768353694</v>
      </c>
      <c r="D29" s="10">
        <v>0.56849307151829953</v>
      </c>
      <c r="E29" s="10">
        <v>0.54897418734791581</v>
      </c>
      <c r="F29" s="10">
        <v>0.48797547223541854</v>
      </c>
      <c r="G29" s="10">
        <v>0.36529238101533579</v>
      </c>
      <c r="H29" s="10">
        <v>0.35615950118705125</v>
      </c>
      <c r="I29" s="10">
        <v>0.26821662670616619</v>
      </c>
      <c r="J29" s="10">
        <v>0.24605086901856627</v>
      </c>
      <c r="K29" s="10">
        <v>0.19633683754570497</v>
      </c>
      <c r="L29" s="10">
        <v>0.225437747190049</v>
      </c>
      <c r="M29" s="10">
        <v>8.2273860197479176E-2</v>
      </c>
      <c r="N29" s="10">
        <v>0.14358448959474554</v>
      </c>
      <c r="O29" s="10">
        <v>0.12682044309252105</v>
      </c>
      <c r="P29" s="10">
        <v>0.10061567790482452</v>
      </c>
      <c r="Q29" s="10">
        <v>0.1236298146225305</v>
      </c>
      <c r="R29" s="10">
        <v>4.1311036501350575E-2</v>
      </c>
    </row>
    <row r="30" spans="1:18">
      <c r="A30" s="34"/>
      <c r="B30" s="34" t="s">
        <v>67</v>
      </c>
      <c r="C30" s="10">
        <v>0.68341300402556571</v>
      </c>
      <c r="D30" s="10">
        <v>0.59806635483461057</v>
      </c>
      <c r="E30" s="10">
        <v>0.59774342086083987</v>
      </c>
      <c r="F30" s="10">
        <v>0.55247226182603615</v>
      </c>
      <c r="G30" s="10">
        <v>0.38726059430537374</v>
      </c>
      <c r="H30" s="10">
        <v>0.3575637636602248</v>
      </c>
      <c r="I30" s="10">
        <v>0.27143791873447359</v>
      </c>
      <c r="J30" s="10">
        <v>0.20865248395022473</v>
      </c>
      <c r="K30" s="10">
        <v>0.23094632081995042</v>
      </c>
      <c r="L30" s="10">
        <v>0.19184612640895585</v>
      </c>
      <c r="M30" s="10">
        <v>6.4898045269105809E-2</v>
      </c>
      <c r="N30" s="10">
        <v>0.14007860588640711</v>
      </c>
      <c r="O30" s="10">
        <v>0.12759444246329318</v>
      </c>
      <c r="P30" s="10">
        <v>0.11390299160107414</v>
      </c>
      <c r="Q30" s="10">
        <v>7.2559068407631211E-2</v>
      </c>
      <c r="R30" s="10">
        <v>2.8240759232696849E-2</v>
      </c>
    </row>
    <row r="31" spans="1:18">
      <c r="A31" s="34"/>
      <c r="B31" s="34" t="s">
        <v>68</v>
      </c>
      <c r="C31" s="10">
        <v>0.73621324216865069</v>
      </c>
      <c r="D31" s="10">
        <v>0.54619580628894437</v>
      </c>
      <c r="E31" s="10">
        <v>0.4856432836106836</v>
      </c>
      <c r="F31" s="10">
        <v>0.56065848122666373</v>
      </c>
      <c r="G31" s="10">
        <v>0.39118471078555106</v>
      </c>
      <c r="H31" s="10">
        <v>0.26675330346003367</v>
      </c>
      <c r="I31" s="10">
        <v>0.30023092853954442</v>
      </c>
      <c r="J31" s="10">
        <v>0.14662922934479189</v>
      </c>
      <c r="K31" s="10">
        <v>0.17652878962378671</v>
      </c>
      <c r="L31" s="10">
        <v>0.10927239218877574</v>
      </c>
      <c r="M31" s="10">
        <v>5.0641500444568534E-2</v>
      </c>
      <c r="N31" s="10">
        <v>0.14896331043759195</v>
      </c>
      <c r="O31" s="10">
        <v>5.5979947599655459E-2</v>
      </c>
      <c r="P31" s="10">
        <v>0.14928327937785019</v>
      </c>
      <c r="Q31" s="10">
        <v>4.2432527097409016E-2</v>
      </c>
      <c r="R31" s="10">
        <v>8.7083864261896134E-3</v>
      </c>
    </row>
    <row r="32" spans="1:18">
      <c r="A32" s="34"/>
      <c r="B32" s="34"/>
    </row>
    <row r="33" spans="1:18">
      <c r="A33" s="35" t="s">
        <v>59</v>
      </c>
      <c r="B33" s="35" t="s">
        <v>57</v>
      </c>
      <c r="C33" s="110">
        <v>0.681345884349146</v>
      </c>
      <c r="D33" s="110">
        <v>0.57778610502313243</v>
      </c>
      <c r="E33" s="110">
        <v>0.55837025139707364</v>
      </c>
      <c r="F33" s="110">
        <v>0.54399273037511497</v>
      </c>
      <c r="G33" s="110">
        <v>0.44700758389248163</v>
      </c>
      <c r="H33" s="110">
        <v>0.41376218887840732</v>
      </c>
      <c r="I33" s="110">
        <v>0.30803230124884562</v>
      </c>
      <c r="J33" s="110">
        <v>0.25255646682170102</v>
      </c>
      <c r="K33" s="110">
        <v>0.24560436798019691</v>
      </c>
      <c r="L33" s="110">
        <v>0.15517923092433175</v>
      </c>
      <c r="M33" s="110">
        <v>0.15358446001636067</v>
      </c>
      <c r="N33" s="110">
        <v>9.5353578891752819E-2</v>
      </c>
      <c r="O33" s="110">
        <v>0.12624638814467709</v>
      </c>
      <c r="P33" s="110">
        <v>0.13124389932277378</v>
      </c>
      <c r="Q33" s="110">
        <v>8.7340850446247911E-2</v>
      </c>
      <c r="R33" s="110">
        <v>3.6725583524964626E-2</v>
      </c>
    </row>
    <row r="34" spans="1:18">
      <c r="A34" s="34" t="s">
        <v>61</v>
      </c>
      <c r="B34" s="34" t="s">
        <v>62</v>
      </c>
      <c r="C34" s="10">
        <v>0.62570366527002674</v>
      </c>
      <c r="D34" s="10">
        <v>0.72764663355086523</v>
      </c>
      <c r="E34" s="10">
        <v>0.44366417485734</v>
      </c>
      <c r="F34" s="10">
        <v>0.54428943311220757</v>
      </c>
      <c r="G34" s="10">
        <v>0.55718962457653698</v>
      </c>
      <c r="H34" s="10">
        <v>0.29540886419766826</v>
      </c>
      <c r="I34" s="10">
        <v>0.3688778475709002</v>
      </c>
      <c r="J34" s="10">
        <v>0.52650940536051505</v>
      </c>
      <c r="K34" s="10">
        <v>0.19919663249026076</v>
      </c>
      <c r="L34" s="10">
        <v>0.28413630125893707</v>
      </c>
      <c r="M34" s="10">
        <v>0.35078774552184744</v>
      </c>
      <c r="N34" s="10">
        <v>0.3092738429776451</v>
      </c>
      <c r="O34" s="10">
        <v>0.2459720027313553</v>
      </c>
      <c r="P34" s="10">
        <v>8.2013038780420253E-2</v>
      </c>
      <c r="Q34" s="10">
        <v>9.5298030824762237E-2</v>
      </c>
      <c r="R34" s="10">
        <v>5.75145942512785E-2</v>
      </c>
    </row>
    <row r="35" spans="1:18">
      <c r="A35" s="34"/>
      <c r="B35" s="34" t="s">
        <v>63</v>
      </c>
      <c r="C35" s="10">
        <v>0.65133864072139991</v>
      </c>
      <c r="D35" s="10">
        <v>0.65763570240128078</v>
      </c>
      <c r="E35" s="10">
        <v>0.55996146847282446</v>
      </c>
      <c r="F35" s="10">
        <v>0.53007296080504951</v>
      </c>
      <c r="G35" s="10">
        <v>0.54526637566255498</v>
      </c>
      <c r="H35" s="10">
        <v>0.43660341651048867</v>
      </c>
      <c r="I35" s="10">
        <v>0.37627284928992366</v>
      </c>
      <c r="J35" s="10">
        <v>0.43555517252038156</v>
      </c>
      <c r="K35" s="10">
        <v>0.20715929970116953</v>
      </c>
      <c r="L35" s="10">
        <v>0.24638155049034405</v>
      </c>
      <c r="M35" s="10">
        <v>0.26771148401448047</v>
      </c>
      <c r="N35" s="10">
        <v>0.1786903684372167</v>
      </c>
      <c r="O35" s="10">
        <v>0.16663845649396447</v>
      </c>
      <c r="P35" s="10">
        <v>9.8534071904264428E-2</v>
      </c>
      <c r="Q35" s="10">
        <v>7.6096333896044754E-2</v>
      </c>
      <c r="R35" s="10">
        <v>7.3056693018880098E-2</v>
      </c>
    </row>
    <row r="36" spans="1:18">
      <c r="A36" s="34"/>
      <c r="B36" s="34" t="s">
        <v>64</v>
      </c>
      <c r="C36" s="10">
        <v>0.65968395348018716</v>
      </c>
      <c r="D36" s="10">
        <v>0.63064939822539268</v>
      </c>
      <c r="E36" s="10">
        <v>0.62601264627256226</v>
      </c>
      <c r="F36" s="10">
        <v>0.55410656962866378</v>
      </c>
      <c r="G36" s="10">
        <v>0.51345231478874942</v>
      </c>
      <c r="H36" s="10">
        <v>0.47934208267687195</v>
      </c>
      <c r="I36" s="10">
        <v>0.34535555282027702</v>
      </c>
      <c r="J36" s="10">
        <v>0.38305385011043552</v>
      </c>
      <c r="K36" s="10">
        <v>0.26892329146080801</v>
      </c>
      <c r="L36" s="10">
        <v>0.23045419573735446</v>
      </c>
      <c r="M36" s="10">
        <v>0.22333688696042486</v>
      </c>
      <c r="N36" s="10">
        <v>0.12316830973738573</v>
      </c>
      <c r="O36" s="10">
        <v>0.14312198732206741</v>
      </c>
      <c r="P36" s="10">
        <v>0.13002544610831943</v>
      </c>
      <c r="Q36" s="10">
        <v>9.9420802029635963E-2</v>
      </c>
      <c r="R36" s="10">
        <v>5.7192785713313078E-2</v>
      </c>
    </row>
    <row r="37" spans="1:18">
      <c r="A37" s="34"/>
      <c r="B37" s="34" t="s">
        <v>65</v>
      </c>
      <c r="C37" s="10">
        <v>0.66279006819334929</v>
      </c>
      <c r="D37" s="10">
        <v>0.57723305741956521</v>
      </c>
      <c r="E37" s="10">
        <v>0.585936382539616</v>
      </c>
      <c r="F37" s="10">
        <v>0.53299979678058418</v>
      </c>
      <c r="G37" s="10">
        <v>0.41766016072634288</v>
      </c>
      <c r="H37" s="10">
        <v>0.45131898711707519</v>
      </c>
      <c r="I37" s="10">
        <v>0.27660856143387846</v>
      </c>
      <c r="J37" s="10">
        <v>0.25742033522729552</v>
      </c>
      <c r="K37" s="10">
        <v>0.24963478623905172</v>
      </c>
      <c r="L37" s="10">
        <v>0.16535664402622763</v>
      </c>
      <c r="M37" s="10">
        <v>0.14668872771947003</v>
      </c>
      <c r="N37" s="10">
        <v>8.8647736369279265E-2</v>
      </c>
      <c r="O37" s="10">
        <v>0.13029950324179568</v>
      </c>
      <c r="P37" s="10">
        <v>0.11985074790546091</v>
      </c>
      <c r="Q37" s="10">
        <v>0.13912979545852669</v>
      </c>
      <c r="R37" s="10">
        <v>3.7477223149765128E-2</v>
      </c>
    </row>
    <row r="38" spans="1:18">
      <c r="A38" s="34"/>
      <c r="B38" s="34" t="s">
        <v>66</v>
      </c>
      <c r="C38" s="10">
        <v>0.69727565930746693</v>
      </c>
      <c r="D38" s="10">
        <v>0.56352840446197383</v>
      </c>
      <c r="E38" s="10">
        <v>0.61035238602462316</v>
      </c>
      <c r="F38" s="10">
        <v>0.55879943583076397</v>
      </c>
      <c r="G38" s="10">
        <v>0.38827153770067568</v>
      </c>
      <c r="H38" s="10">
        <v>0.44794049834619026</v>
      </c>
      <c r="I38" s="10">
        <v>0.27412661823104173</v>
      </c>
      <c r="J38" s="10">
        <v>0.1730111541736476</v>
      </c>
      <c r="K38" s="10">
        <v>0.29084991305988256</v>
      </c>
      <c r="L38" s="10">
        <v>0.13542970519788786</v>
      </c>
      <c r="M38" s="10">
        <v>9.6538697788634942E-2</v>
      </c>
      <c r="N38" s="10">
        <v>5.3339879028915071E-2</v>
      </c>
      <c r="O38" s="10">
        <v>0.1362225836943956</v>
      </c>
      <c r="P38" s="10">
        <v>0.13085115033689759</v>
      </c>
      <c r="Q38" s="10">
        <v>0.10500952648931824</v>
      </c>
      <c r="R38" s="10">
        <v>3.0485724629594743E-2</v>
      </c>
    </row>
    <row r="39" spans="1:18">
      <c r="A39" s="34"/>
      <c r="B39" s="34" t="s">
        <v>67</v>
      </c>
      <c r="C39" s="10">
        <v>0.70164811105155744</v>
      </c>
      <c r="D39" s="10">
        <v>0.54587334599402326</v>
      </c>
      <c r="E39" s="10">
        <v>0.59688848552614382</v>
      </c>
      <c r="F39" s="10">
        <v>0.58036764748832104</v>
      </c>
      <c r="G39" s="10">
        <v>0.39906185915625803</v>
      </c>
      <c r="H39" s="10">
        <v>0.41174918895598495</v>
      </c>
      <c r="I39" s="10">
        <v>0.29615462284961658</v>
      </c>
      <c r="J39" s="10">
        <v>0.14274124079706704</v>
      </c>
      <c r="K39" s="10">
        <v>0.28614195079055971</v>
      </c>
      <c r="L39" s="10">
        <v>9.8549233803995134E-2</v>
      </c>
      <c r="M39" s="10">
        <v>9.4526360046950031E-2</v>
      </c>
      <c r="N39" s="10">
        <v>4.9556187689394682E-2</v>
      </c>
      <c r="O39" s="10">
        <v>0.10995304678419138</v>
      </c>
      <c r="P39" s="10">
        <v>0.15239709504409413</v>
      </c>
      <c r="Q39" s="10">
        <v>5.7803281008136885E-2</v>
      </c>
      <c r="R39" s="10">
        <v>1.9810637893830453E-2</v>
      </c>
    </row>
    <row r="40" spans="1:18">
      <c r="A40" s="118"/>
      <c r="B40" s="118" t="s">
        <v>68</v>
      </c>
      <c r="C40" s="126">
        <v>0.72185326082437939</v>
      </c>
      <c r="D40" s="126">
        <v>0.48178865396180121</v>
      </c>
      <c r="E40" s="126">
        <v>0.42280877965232988</v>
      </c>
      <c r="F40" s="126">
        <v>0.51351455020429415</v>
      </c>
      <c r="G40" s="126">
        <v>0.41068422235712154</v>
      </c>
      <c r="H40" s="126">
        <v>0.30386401566276877</v>
      </c>
      <c r="I40" s="126">
        <v>0.28405702725795101</v>
      </c>
      <c r="J40" s="126">
        <v>9.8351631766627395E-2</v>
      </c>
      <c r="K40" s="126">
        <v>0.18559131641243035</v>
      </c>
      <c r="L40" s="126">
        <v>4.8409802537818666E-2</v>
      </c>
      <c r="M40" s="126">
        <v>7.084664142291619E-2</v>
      </c>
      <c r="N40" s="126">
        <v>4.5000592721632385E-2</v>
      </c>
      <c r="O40" s="126">
        <v>5.9431727259187987E-2</v>
      </c>
      <c r="P40" s="126">
        <v>0.15762111698422257</v>
      </c>
      <c r="Q40" s="126">
        <v>3.9592036563480607E-2</v>
      </c>
      <c r="R40" s="126">
        <v>8.215433378518917E-3</v>
      </c>
    </row>
    <row r="41" spans="1:18">
      <c r="A41" s="67"/>
      <c r="B41" s="67"/>
      <c r="C41" s="187" t="s">
        <v>221</v>
      </c>
      <c r="D41" s="187"/>
      <c r="E41" s="187"/>
      <c r="F41" s="187"/>
      <c r="G41" s="187"/>
      <c r="H41" s="187"/>
      <c r="I41" s="187"/>
      <c r="J41" s="187"/>
      <c r="K41" s="187"/>
      <c r="L41" s="187"/>
      <c r="M41" s="187"/>
      <c r="N41" s="187"/>
      <c r="O41" s="187"/>
      <c r="P41" s="187"/>
      <c r="Q41" s="187"/>
      <c r="R41" s="187"/>
    </row>
    <row r="42" spans="1:18" ht="17.25">
      <c r="A42" s="35" t="s">
        <v>184</v>
      </c>
      <c r="B42" s="35" t="s">
        <v>57</v>
      </c>
      <c r="C42" s="46">
        <v>12536029.821998717</v>
      </c>
      <c r="D42" s="46">
        <v>11230619.245067364</v>
      </c>
      <c r="E42" s="46">
        <v>10128026.423392154</v>
      </c>
      <c r="F42" s="46">
        <v>9785191.3763888106</v>
      </c>
      <c r="G42" s="46">
        <v>8368385.9535286045</v>
      </c>
      <c r="H42" s="46">
        <v>7104753.0907124365</v>
      </c>
      <c r="I42" s="46">
        <v>5826249.4940329948</v>
      </c>
      <c r="J42" s="46">
        <v>5471173.8908024337</v>
      </c>
      <c r="K42" s="46">
        <v>3919785.1280322564</v>
      </c>
      <c r="L42" s="46">
        <v>3826970.7369596385</v>
      </c>
      <c r="M42" s="46">
        <v>2794216.0917316037</v>
      </c>
      <c r="N42" s="46">
        <v>2715778.3191250544</v>
      </c>
      <c r="O42" s="46">
        <v>2324201.6399902906</v>
      </c>
      <c r="P42" s="46">
        <v>2329335.9499336369</v>
      </c>
      <c r="Q42" s="46">
        <v>1789184.5126754877</v>
      </c>
      <c r="R42" s="46">
        <v>826346.5118256287</v>
      </c>
    </row>
    <row r="43" spans="1:18">
      <c r="A43" s="34" t="s">
        <v>61</v>
      </c>
      <c r="B43" s="34" t="s">
        <v>62</v>
      </c>
      <c r="C43" s="104">
        <v>513330.67328950652</v>
      </c>
      <c r="D43" s="104">
        <v>611389.43670245539</v>
      </c>
      <c r="E43" s="104">
        <v>333057.3899735788</v>
      </c>
      <c r="F43" s="104">
        <v>399146.77200126322</v>
      </c>
      <c r="G43" s="104">
        <v>459562.62945574598</v>
      </c>
      <c r="H43" s="104">
        <v>223073.20616054494</v>
      </c>
      <c r="I43" s="104">
        <v>317054.5977160802</v>
      </c>
      <c r="J43" s="104">
        <v>435359.366135825</v>
      </c>
      <c r="K43" s="104">
        <v>126406.03787839742</v>
      </c>
      <c r="L43" s="104">
        <v>281465.65362577536</v>
      </c>
      <c r="M43" s="104">
        <v>265841.13511196175</v>
      </c>
      <c r="N43" s="104">
        <v>292506.89813303464</v>
      </c>
      <c r="O43" s="104">
        <v>163574.56793548798</v>
      </c>
      <c r="P43" s="104">
        <v>63942.851316697313</v>
      </c>
      <c r="Q43" s="104">
        <v>91052.543666177313</v>
      </c>
      <c r="R43" s="104">
        <v>52774.531665195187</v>
      </c>
    </row>
    <row r="44" spans="1:18">
      <c r="A44" s="34"/>
      <c r="B44" s="34" t="s">
        <v>63</v>
      </c>
      <c r="C44" s="104">
        <v>1283469.9137126668</v>
      </c>
      <c r="D44" s="104">
        <v>1386032.4989273651</v>
      </c>
      <c r="E44" s="104">
        <v>1059465.1940758121</v>
      </c>
      <c r="F44" s="104">
        <v>1011501.1833197607</v>
      </c>
      <c r="G44" s="104">
        <v>1139824.2510421083</v>
      </c>
      <c r="H44" s="104">
        <v>786525.51444449683</v>
      </c>
      <c r="I44" s="104">
        <v>763519.42256518139</v>
      </c>
      <c r="J44" s="104">
        <v>997832.96280320105</v>
      </c>
      <c r="K44" s="104">
        <v>347461.84836497658</v>
      </c>
      <c r="L44" s="104">
        <v>657623.91552292765</v>
      </c>
      <c r="M44" s="104">
        <v>574899.51107499853</v>
      </c>
      <c r="N44" s="104">
        <v>503476.16660686623</v>
      </c>
      <c r="O44" s="104">
        <v>331716.85335907456</v>
      </c>
      <c r="P44" s="104">
        <v>228114.52885768109</v>
      </c>
      <c r="Q44" s="104">
        <v>203351.29099433511</v>
      </c>
      <c r="R44" s="104">
        <v>179445.51599520419</v>
      </c>
    </row>
    <row r="45" spans="1:18">
      <c r="A45" s="34"/>
      <c r="B45" s="34" t="s">
        <v>64</v>
      </c>
      <c r="C45" s="104">
        <v>2223027.9902452552</v>
      </c>
      <c r="D45" s="104">
        <v>2223137.5675711068</v>
      </c>
      <c r="E45" s="104">
        <v>1987654.841280285</v>
      </c>
      <c r="F45" s="104">
        <v>1768454.9597929146</v>
      </c>
      <c r="G45" s="104">
        <v>1780836.5152630133</v>
      </c>
      <c r="H45" s="104">
        <v>1509803.2786710584</v>
      </c>
      <c r="I45" s="104">
        <v>1202056.975682236</v>
      </c>
      <c r="J45" s="104">
        <v>1501917.1094085453</v>
      </c>
      <c r="K45" s="104">
        <v>733272.36143352103</v>
      </c>
      <c r="L45" s="104">
        <v>972072.06062528654</v>
      </c>
      <c r="M45" s="104">
        <v>788298.74651246238</v>
      </c>
      <c r="N45" s="104">
        <v>609177.26113579166</v>
      </c>
      <c r="O45" s="104">
        <v>500824.59040986624</v>
      </c>
      <c r="P45" s="104">
        <v>426993.77723248588</v>
      </c>
      <c r="Q45" s="104">
        <v>381726.75437905046</v>
      </c>
      <c r="R45" s="104">
        <v>249413.36107481411</v>
      </c>
    </row>
    <row r="46" spans="1:18">
      <c r="A46" s="34"/>
      <c r="B46" s="34" t="s">
        <v>65</v>
      </c>
      <c r="C46" s="104">
        <v>2129525.3343166853</v>
      </c>
      <c r="D46" s="104">
        <v>2002542.8850151305</v>
      </c>
      <c r="E46" s="104">
        <v>1843614.3901101681</v>
      </c>
      <c r="F46" s="104">
        <v>1651075.6525166961</v>
      </c>
      <c r="G46" s="104">
        <v>1404798.4971614254</v>
      </c>
      <c r="H46" s="104">
        <v>1359627.1837317336</v>
      </c>
      <c r="I46" s="104">
        <v>952148.42751213233</v>
      </c>
      <c r="J46" s="104">
        <v>1022780.4942425748</v>
      </c>
      <c r="K46" s="104">
        <v>662263.5184261105</v>
      </c>
      <c r="L46" s="104">
        <v>726628.61245025869</v>
      </c>
      <c r="M46" s="104">
        <v>471585.36455121671</v>
      </c>
      <c r="N46" s="104">
        <v>434625.56621604512</v>
      </c>
      <c r="O46" s="104">
        <v>420594.48387013579</v>
      </c>
      <c r="P46" s="104">
        <v>365785.61431784905</v>
      </c>
      <c r="Q46" s="104">
        <v>458612.2862402997</v>
      </c>
      <c r="R46" s="104">
        <v>145565.02463902978</v>
      </c>
    </row>
    <row r="47" spans="1:18">
      <c r="A47" s="34"/>
      <c r="B47" s="34" t="s">
        <v>66</v>
      </c>
      <c r="C47" s="104">
        <v>1952793.555985309</v>
      </c>
      <c r="D47" s="104">
        <v>1665001.0431697308</v>
      </c>
      <c r="E47" s="104">
        <v>1706507.105796848</v>
      </c>
      <c r="F47" s="104">
        <v>1540773.0053498703</v>
      </c>
      <c r="G47" s="104">
        <v>1109964.7408530763</v>
      </c>
      <c r="H47" s="104">
        <v>1184320.4964107769</v>
      </c>
      <c r="I47" s="104">
        <v>797744.5763512936</v>
      </c>
      <c r="J47" s="104">
        <v>616554.10924303834</v>
      </c>
      <c r="K47" s="104">
        <v>716160.74593352422</v>
      </c>
      <c r="L47" s="104">
        <v>530656.74526440655</v>
      </c>
      <c r="M47" s="104">
        <v>263431.63331518235</v>
      </c>
      <c r="N47" s="104">
        <v>289034.03726953489</v>
      </c>
      <c r="O47" s="104">
        <v>387424.07541517145</v>
      </c>
      <c r="P47" s="104">
        <v>342214.25819163839</v>
      </c>
      <c r="Q47" s="104">
        <v>336468.39061244944</v>
      </c>
      <c r="R47" s="104">
        <v>105708.46010430386</v>
      </c>
    </row>
    <row r="48" spans="1:18">
      <c r="A48" s="34"/>
      <c r="B48" s="34" t="s">
        <v>67</v>
      </c>
      <c r="C48" s="104">
        <v>1836659.9535078327</v>
      </c>
      <c r="D48" s="104">
        <v>1515401.6664014717</v>
      </c>
      <c r="E48" s="104">
        <v>1583132.6570597435</v>
      </c>
      <c r="F48" s="104">
        <v>1503790.2698480505</v>
      </c>
      <c r="G48" s="104">
        <v>1043754.0825343062</v>
      </c>
      <c r="H48" s="104">
        <v>1022408.632425495</v>
      </c>
      <c r="I48" s="104">
        <v>753436.93226494512</v>
      </c>
      <c r="J48" s="104">
        <v>463369.06472593622</v>
      </c>
      <c r="K48" s="104">
        <v>688120.87563097849</v>
      </c>
      <c r="L48" s="104">
        <v>381362.28988560295</v>
      </c>
      <c r="M48" s="104">
        <v>212477.30842935815</v>
      </c>
      <c r="N48" s="104">
        <v>248417.58487940201</v>
      </c>
      <c r="O48" s="104">
        <v>314313.01122591924</v>
      </c>
      <c r="P48" s="104">
        <v>354764.61721827771</v>
      </c>
      <c r="Q48" s="104">
        <v>172091.07837948998</v>
      </c>
      <c r="R48" s="104">
        <v>63334.144609092204</v>
      </c>
    </row>
    <row r="49" spans="1:18">
      <c r="A49" s="34"/>
      <c r="B49" s="34" t="s">
        <v>68</v>
      </c>
      <c r="C49" s="104">
        <v>2597222.4009416508</v>
      </c>
      <c r="D49" s="104">
        <v>1827114.1472803387</v>
      </c>
      <c r="E49" s="104">
        <v>1614594.8450957711</v>
      </c>
      <c r="F49" s="104">
        <v>1910449.5335602409</v>
      </c>
      <c r="G49" s="104">
        <v>1429645.2372188715</v>
      </c>
      <c r="H49" s="104">
        <v>1018994.7788681766</v>
      </c>
      <c r="I49" s="104">
        <v>1040288.5619410316</v>
      </c>
      <c r="J49" s="104">
        <v>433360.78424324153</v>
      </c>
      <c r="K49" s="104">
        <v>646099.74036470824</v>
      </c>
      <c r="L49" s="104">
        <v>277161.45958538161</v>
      </c>
      <c r="M49" s="104">
        <v>217682.39273643581</v>
      </c>
      <c r="N49" s="104">
        <v>338540.80488440575</v>
      </c>
      <c r="O49" s="104">
        <v>205754.05777464912</v>
      </c>
      <c r="P49" s="104">
        <v>547520.30279902124</v>
      </c>
      <c r="Q49" s="104">
        <v>145882.16840369976</v>
      </c>
      <c r="R49" s="104">
        <v>30105.473737989927</v>
      </c>
    </row>
    <row r="50" spans="1:18">
      <c r="A50" s="34"/>
      <c r="B50" s="34"/>
    </row>
    <row r="51" spans="1:18">
      <c r="A51" s="35" t="s">
        <v>58</v>
      </c>
      <c r="B51" s="35" t="s">
        <v>57</v>
      </c>
      <c r="C51" s="46">
        <v>5901087.2790832976</v>
      </c>
      <c r="D51" s="46">
        <v>5596727.6244056588</v>
      </c>
      <c r="E51" s="46">
        <v>4693848.5060777096</v>
      </c>
      <c r="F51" s="46">
        <v>4483532.5609012013</v>
      </c>
      <c r="G51" s="46">
        <v>4013587.3743768493</v>
      </c>
      <c r="H51" s="46">
        <v>3067081.5354447681</v>
      </c>
      <c r="I51" s="46">
        <v>2819895.4266612362</v>
      </c>
      <c r="J51" s="46">
        <v>2992712.49209311</v>
      </c>
      <c r="K51" s="46">
        <v>1531755.0772798946</v>
      </c>
      <c r="L51" s="46">
        <v>2312409.8584301355</v>
      </c>
      <c r="M51" s="46">
        <v>1292358.5479766838</v>
      </c>
      <c r="N51" s="46">
        <v>1780588.3213723293</v>
      </c>
      <c r="O51" s="46">
        <v>1082661.1205805896</v>
      </c>
      <c r="P51" s="46">
        <v>1047090.9665975861</v>
      </c>
      <c r="Q51" s="46">
        <v>937912.80610591045</v>
      </c>
      <c r="R51" s="46">
        <v>466413.31704438169</v>
      </c>
    </row>
    <row r="52" spans="1:18">
      <c r="A52" s="34" t="s">
        <v>61</v>
      </c>
      <c r="B52" s="34" t="s">
        <v>62</v>
      </c>
      <c r="C52" s="104">
        <v>244168.10293432928</v>
      </c>
      <c r="D52" s="104">
        <v>293220.1453331958</v>
      </c>
      <c r="E52" s="104">
        <v>142203.80175370627</v>
      </c>
      <c r="F52" s="104">
        <v>163035.70772562447</v>
      </c>
      <c r="G52" s="104">
        <v>216339.94067482778</v>
      </c>
      <c r="H52" s="104">
        <v>95995.46376177916</v>
      </c>
      <c r="I52" s="104">
        <v>156810.00272499319</v>
      </c>
      <c r="J52" s="104">
        <v>205170.58543902493</v>
      </c>
      <c r="K52" s="104">
        <v>40716.46854522785</v>
      </c>
      <c r="L52" s="104">
        <v>159237.09492768339</v>
      </c>
      <c r="M52" s="104">
        <v>112969.81273140822</v>
      </c>
      <c r="N52" s="104">
        <v>157493.85169761177</v>
      </c>
      <c r="O52" s="104">
        <v>56143.24302859509</v>
      </c>
      <c r="P52" s="104">
        <v>28662.827327625353</v>
      </c>
      <c r="Q52" s="104">
        <v>50057.637690182681</v>
      </c>
      <c r="R52" s="104">
        <v>28033.145477328748</v>
      </c>
    </row>
    <row r="53" spans="1:18">
      <c r="A53" s="34"/>
      <c r="B53" s="34" t="s">
        <v>63</v>
      </c>
      <c r="C53" s="104">
        <v>588141.64277228341</v>
      </c>
      <c r="D53" s="104">
        <v>684371.37065892061</v>
      </c>
      <c r="E53" s="104">
        <v>463287.12888464006</v>
      </c>
      <c r="F53" s="104">
        <v>445024.1592550237</v>
      </c>
      <c r="G53" s="104">
        <v>559229.26510749315</v>
      </c>
      <c r="H53" s="104">
        <v>318934.73594983423</v>
      </c>
      <c r="I53" s="104">
        <v>361822.66174196475</v>
      </c>
      <c r="J53" s="104">
        <v>531428.71122473665</v>
      </c>
      <c r="K53" s="104">
        <v>125818.07678330525</v>
      </c>
      <c r="L53" s="104">
        <v>397086.6116363458</v>
      </c>
      <c r="M53" s="104">
        <v>289466.24427166191</v>
      </c>
      <c r="N53" s="104">
        <v>312197.78828608873</v>
      </c>
      <c r="O53" s="104">
        <v>148344.36969407971</v>
      </c>
      <c r="P53" s="104">
        <v>122247.67795618683</v>
      </c>
      <c r="Q53" s="104">
        <v>122792.75066575805</v>
      </c>
      <c r="R53" s="104">
        <v>102038.47027338621</v>
      </c>
    </row>
    <row r="54" spans="1:18">
      <c r="A54" s="34"/>
      <c r="B54" s="34" t="s">
        <v>64</v>
      </c>
      <c r="C54" s="104">
        <v>1017104.7187262697</v>
      </c>
      <c r="D54" s="104">
        <v>1073456.9762634463</v>
      </c>
      <c r="E54" s="104">
        <v>847418.60110525729</v>
      </c>
      <c r="F54" s="104">
        <v>756525.34774799657</v>
      </c>
      <c r="G54" s="104">
        <v>848206.76132257341</v>
      </c>
      <c r="H54" s="104">
        <v>631690.82413795916</v>
      </c>
      <c r="I54" s="104">
        <v>569022.53408246522</v>
      </c>
      <c r="J54" s="104">
        <v>799500.06288803963</v>
      </c>
      <c r="K54" s="104">
        <v>246005.62758374479</v>
      </c>
      <c r="L54" s="104">
        <v>550651.80369815324</v>
      </c>
      <c r="M54" s="104">
        <v>379984.77470904624</v>
      </c>
      <c r="N54" s="104">
        <v>383871.82333224063</v>
      </c>
      <c r="O54" s="104">
        <v>237212.80513369941</v>
      </c>
      <c r="P54" s="104">
        <v>187642.06015806837</v>
      </c>
      <c r="Q54" s="104">
        <v>199596.97795246242</v>
      </c>
      <c r="R54" s="104">
        <v>144422.08153607455</v>
      </c>
    </row>
    <row r="55" spans="1:18">
      <c r="A55" s="34"/>
      <c r="B55" s="34" t="s">
        <v>65</v>
      </c>
      <c r="C55" s="104">
        <v>989302.84423502081</v>
      </c>
      <c r="D55" s="104">
        <v>1008229.8529781168</v>
      </c>
      <c r="E55" s="104">
        <v>836193.88573927246</v>
      </c>
      <c r="F55" s="104">
        <v>732946.32596867101</v>
      </c>
      <c r="G55" s="104">
        <v>686547.94479424052</v>
      </c>
      <c r="H55" s="104">
        <v>582212.42150084046</v>
      </c>
      <c r="I55" s="104">
        <v>475984.11430350784</v>
      </c>
      <c r="J55" s="104">
        <v>577106.87695310684</v>
      </c>
      <c r="K55" s="104">
        <v>232139.58752566611</v>
      </c>
      <c r="L55" s="104">
        <v>441732.51067803148</v>
      </c>
      <c r="M55" s="104">
        <v>219374.17406458379</v>
      </c>
      <c r="N55" s="104">
        <v>281428.83163985331</v>
      </c>
      <c r="O55" s="104">
        <v>195361.23472497694</v>
      </c>
      <c r="P55" s="104">
        <v>158829.98714422368</v>
      </c>
      <c r="Q55" s="104">
        <v>218793.97935189394</v>
      </c>
      <c r="R55" s="104">
        <v>80301.964491290841</v>
      </c>
    </row>
    <row r="56" spans="1:18">
      <c r="A56" s="34"/>
      <c r="B56" s="34" t="s">
        <v>66</v>
      </c>
      <c r="C56" s="104">
        <v>917743.81024405407</v>
      </c>
      <c r="D56" s="104">
        <v>828824.06618546159</v>
      </c>
      <c r="E56" s="104">
        <v>800366.8663425612</v>
      </c>
      <c r="F56" s="104">
        <v>711434.90635120519</v>
      </c>
      <c r="G56" s="104">
        <v>532571.33947313856</v>
      </c>
      <c r="H56" s="104">
        <v>519256.22452363593</v>
      </c>
      <c r="I56" s="104">
        <v>391041.52064938028</v>
      </c>
      <c r="J56" s="104">
        <v>358725.36001851695</v>
      </c>
      <c r="K56" s="104">
        <v>286245.69795022986</v>
      </c>
      <c r="L56" s="104">
        <v>328672.8364142112</v>
      </c>
      <c r="M56" s="104">
        <v>119949.66828272748</v>
      </c>
      <c r="N56" s="104">
        <v>209336.37799533032</v>
      </c>
      <c r="O56" s="104">
        <v>184895.54329775457</v>
      </c>
      <c r="P56" s="104">
        <v>146690.78562446297</v>
      </c>
      <c r="Q56" s="104">
        <v>180243.82493094675</v>
      </c>
      <c r="R56" s="104">
        <v>60228.669383674722</v>
      </c>
    </row>
    <row r="57" spans="1:18">
      <c r="A57" s="34"/>
      <c r="B57" s="34" t="s">
        <v>67</v>
      </c>
      <c r="C57" s="104">
        <v>882232.83283436415</v>
      </c>
      <c r="D57" s="104">
        <v>772056.97190526733</v>
      </c>
      <c r="E57" s="104">
        <v>771640.08935720334</v>
      </c>
      <c r="F57" s="104">
        <v>713198.55744939705</v>
      </c>
      <c r="G57" s="104">
        <v>499923.19307165017</v>
      </c>
      <c r="H57" s="104">
        <v>461586.90319723036</v>
      </c>
      <c r="I57" s="104">
        <v>350405.1614078157</v>
      </c>
      <c r="J57" s="104">
        <v>269354.06688054069</v>
      </c>
      <c r="K57" s="104">
        <v>298133.66975679726</v>
      </c>
      <c r="L57" s="104">
        <v>247658.37139929674</v>
      </c>
      <c r="M57" s="104">
        <v>83778.309727677013</v>
      </c>
      <c r="N57" s="104">
        <v>180830.54399419992</v>
      </c>
      <c r="O57" s="104">
        <v>164714.4636775179</v>
      </c>
      <c r="P57" s="104">
        <v>147039.86953219469</v>
      </c>
      <c r="Q57" s="104">
        <v>93668.092488758382</v>
      </c>
      <c r="R57" s="104">
        <v>36456.615359229138</v>
      </c>
    </row>
    <row r="58" spans="1:18">
      <c r="A58" s="34"/>
      <c r="B58" s="34" t="s">
        <v>68</v>
      </c>
      <c r="C58" s="104">
        <v>1262393.3273369549</v>
      </c>
      <c r="D58" s="104">
        <v>936568.24108121439</v>
      </c>
      <c r="E58" s="104">
        <v>832738.13289505255</v>
      </c>
      <c r="F58" s="104">
        <v>961367.55640327965</v>
      </c>
      <c r="G58" s="104">
        <v>670768.92993292632</v>
      </c>
      <c r="H58" s="104">
        <v>457404.96237351664</v>
      </c>
      <c r="I58" s="104">
        <v>514809.43175112852</v>
      </c>
      <c r="J58" s="104">
        <v>251426.82868915581</v>
      </c>
      <c r="K58" s="104">
        <v>302695.94913492136</v>
      </c>
      <c r="L58" s="104">
        <v>187370.629676418</v>
      </c>
      <c r="M58" s="104">
        <v>86835.564189580109</v>
      </c>
      <c r="N58" s="104">
        <v>255429.10442700397</v>
      </c>
      <c r="O58" s="104">
        <v>95989.461023968848</v>
      </c>
      <c r="P58" s="104">
        <v>255977.75885482607</v>
      </c>
      <c r="Q58" s="104">
        <v>72759.543025908686</v>
      </c>
      <c r="R58" s="104">
        <v>14932.370523396705</v>
      </c>
    </row>
    <row r="59" spans="1:18">
      <c r="A59" s="34"/>
      <c r="B59" s="34"/>
    </row>
    <row r="60" spans="1:18">
      <c r="A60" s="35" t="s">
        <v>59</v>
      </c>
      <c r="B60" s="35" t="s">
        <v>57</v>
      </c>
      <c r="C60" s="46">
        <v>6583117.7426994797</v>
      </c>
      <c r="D60" s="46">
        <v>5582530.1756925127</v>
      </c>
      <c r="E60" s="46">
        <v>5394935.5142564047</v>
      </c>
      <c r="F60" s="46">
        <v>5256020.8808670733</v>
      </c>
      <c r="G60" s="46">
        <v>4318956.9706652481</v>
      </c>
      <c r="H60" s="46">
        <v>3997742.2179126586</v>
      </c>
      <c r="I60" s="46">
        <v>2976187.2115994217</v>
      </c>
      <c r="J60" s="46">
        <v>2440183.460351618</v>
      </c>
      <c r="K60" s="46">
        <v>2373012.7526629316</v>
      </c>
      <c r="L60" s="46">
        <v>1499331.2088063376</v>
      </c>
      <c r="M60" s="46">
        <v>1483922.6404111029</v>
      </c>
      <c r="N60" s="46">
        <v>921299.81475095323</v>
      </c>
      <c r="O60" s="46">
        <v>1219784.0433729931</v>
      </c>
      <c r="P60" s="46">
        <v>1268069.6575692161</v>
      </c>
      <c r="Q60" s="46">
        <v>843881.37573385355</v>
      </c>
      <c r="R60" s="46">
        <v>354840.09820523893</v>
      </c>
    </row>
    <row r="61" spans="1:18">
      <c r="A61" s="34" t="s">
        <v>61</v>
      </c>
      <c r="B61" s="34" t="s">
        <v>62</v>
      </c>
      <c r="C61" s="104">
        <v>269162.57035517768</v>
      </c>
      <c r="D61" s="104">
        <v>313015.96757039975</v>
      </c>
      <c r="E61" s="104">
        <v>190853.5882198725</v>
      </c>
      <c r="F61" s="104">
        <v>234140.13847980296</v>
      </c>
      <c r="G61" s="104">
        <v>239689.48857209363</v>
      </c>
      <c r="H61" s="104">
        <v>127077.74239876574</v>
      </c>
      <c r="I61" s="104">
        <v>158682.32057809739</v>
      </c>
      <c r="J61" s="104">
        <v>226491.60094316147</v>
      </c>
      <c r="K61" s="104">
        <v>85689.569333169566</v>
      </c>
      <c r="L61" s="104">
        <v>122228.55869809173</v>
      </c>
      <c r="M61" s="104">
        <v>150900.39658471759</v>
      </c>
      <c r="N61" s="104">
        <v>133042.12063958685</v>
      </c>
      <c r="O61" s="104">
        <v>105811.20131685743</v>
      </c>
      <c r="P61" s="104">
        <v>35280.023989071939</v>
      </c>
      <c r="Q61" s="104">
        <v>40994.905975994618</v>
      </c>
      <c r="R61" s="104">
        <v>24741.386187866439</v>
      </c>
    </row>
    <row r="62" spans="1:18">
      <c r="A62" s="34"/>
      <c r="B62" s="34" t="s">
        <v>63</v>
      </c>
      <c r="C62" s="104">
        <v>676180.67510923778</v>
      </c>
      <c r="D62" s="104">
        <v>682717.90651499375</v>
      </c>
      <c r="E62" s="104">
        <v>581318.38050902612</v>
      </c>
      <c r="F62" s="104">
        <v>550289.92613939173</v>
      </c>
      <c r="G62" s="104">
        <v>566062.81734109321</v>
      </c>
      <c r="H62" s="104">
        <v>453255.45649200783</v>
      </c>
      <c r="I62" s="104">
        <v>390623.88341699034</v>
      </c>
      <c r="J62" s="104">
        <v>452167.23251050903</v>
      </c>
      <c r="K62" s="104">
        <v>215060.34859523951</v>
      </c>
      <c r="L62" s="104">
        <v>255778.53474270002</v>
      </c>
      <c r="M62" s="104">
        <v>277921.99123164936</v>
      </c>
      <c r="N62" s="104">
        <v>185505.61322689513</v>
      </c>
      <c r="O62" s="104">
        <v>172994.04175752934</v>
      </c>
      <c r="P62" s="104">
        <v>102292.15817396331</v>
      </c>
      <c r="Q62" s="104">
        <v>78998.645574252907</v>
      </c>
      <c r="R62" s="104">
        <v>75843.072893758464</v>
      </c>
    </row>
    <row r="63" spans="1:18">
      <c r="A63" s="34"/>
      <c r="B63" s="34" t="s">
        <v>64</v>
      </c>
      <c r="C63" s="104">
        <v>1188404.7542611575</v>
      </c>
      <c r="D63" s="104">
        <v>1136099.7022424983</v>
      </c>
      <c r="E63" s="104">
        <v>1127746.7052717467</v>
      </c>
      <c r="F63" s="104">
        <v>998209.63999516563</v>
      </c>
      <c r="G63" s="104">
        <v>924971.97902460815</v>
      </c>
      <c r="H63" s="104">
        <v>863523.21739132365</v>
      </c>
      <c r="I63" s="104">
        <v>622149.71080759214</v>
      </c>
      <c r="J63" s="104">
        <v>690062.2854440168</v>
      </c>
      <c r="K63" s="104">
        <v>484458.83277526428</v>
      </c>
      <c r="L63" s="104">
        <v>415157.68332529085</v>
      </c>
      <c r="M63" s="104">
        <v>402336.02297805029</v>
      </c>
      <c r="N63" s="104">
        <v>221884.74358671237</v>
      </c>
      <c r="O63" s="104">
        <v>257830.81318796755</v>
      </c>
      <c r="P63" s="104">
        <v>234237.70961058501</v>
      </c>
      <c r="Q63" s="104">
        <v>179104.18038995893</v>
      </c>
      <c r="R63" s="104">
        <v>103031.42602237363</v>
      </c>
    </row>
    <row r="64" spans="1:18">
      <c r="A64" s="34"/>
      <c r="B64" s="34" t="s">
        <v>65</v>
      </c>
      <c r="C64" s="104">
        <v>1134688.1105966191</v>
      </c>
      <c r="D64" s="104">
        <v>988215.60359628894</v>
      </c>
      <c r="E64" s="104">
        <v>1003115.5847672464</v>
      </c>
      <c r="F64" s="104">
        <v>912488.82773076487</v>
      </c>
      <c r="G64" s="104">
        <v>715028.84757742612</v>
      </c>
      <c r="H64" s="104">
        <v>772652.32740159612</v>
      </c>
      <c r="I64" s="104">
        <v>473550.31556793902</v>
      </c>
      <c r="J64" s="104">
        <v>440700.31798213243</v>
      </c>
      <c r="K64" s="104">
        <v>427371.55779791874</v>
      </c>
      <c r="L64" s="104">
        <v>283088.45739973127</v>
      </c>
      <c r="M64" s="104">
        <v>251129.22370054541</v>
      </c>
      <c r="N64" s="104">
        <v>151763.78964716359</v>
      </c>
      <c r="O64" s="104">
        <v>223071.08123711435</v>
      </c>
      <c r="P64" s="104">
        <v>205182.94588380458</v>
      </c>
      <c r="Q64" s="104">
        <v>238188.42845194257</v>
      </c>
      <c r="R64" s="104">
        <v>64160.52618611278</v>
      </c>
    </row>
    <row r="65" spans="1:23">
      <c r="A65" s="34"/>
      <c r="B65" s="34" t="s">
        <v>66</v>
      </c>
      <c r="C65" s="104">
        <v>1029547.6850520626</v>
      </c>
      <c r="D65" s="104">
        <v>832065.99360020808</v>
      </c>
      <c r="E65" s="104">
        <v>901202.95712282066</v>
      </c>
      <c r="F65" s="104">
        <v>825083.53459427983</v>
      </c>
      <c r="G65" s="104">
        <v>573294.15916849941</v>
      </c>
      <c r="H65" s="104">
        <v>661397.1059472044</v>
      </c>
      <c r="I65" s="104">
        <v>404755.88304807083</v>
      </c>
      <c r="J65" s="104">
        <v>255455.97482145883</v>
      </c>
      <c r="K65" s="104">
        <v>429448.3117133372</v>
      </c>
      <c r="L65" s="104">
        <v>199965.87807503811</v>
      </c>
      <c r="M65" s="104">
        <v>142542.18041247124</v>
      </c>
      <c r="N65" s="104">
        <v>78757.874654220694</v>
      </c>
      <c r="O65" s="104">
        <v>201136.58611526692</v>
      </c>
      <c r="P65" s="104">
        <v>193205.50935271935</v>
      </c>
      <c r="Q65" s="104">
        <v>155049.60407318367</v>
      </c>
      <c r="R65" s="104">
        <v>45013.054450670119</v>
      </c>
    </row>
    <row r="66" spans="1:23">
      <c r="A66" s="34"/>
      <c r="B66" s="34" t="s">
        <v>67</v>
      </c>
      <c r="C66" s="104">
        <v>951941.46341812005</v>
      </c>
      <c r="D66" s="104">
        <v>740598.40487237193</v>
      </c>
      <c r="E66" s="104">
        <v>809811.76954587561</v>
      </c>
      <c r="F66" s="104">
        <v>787397.584299871</v>
      </c>
      <c r="G66" s="104">
        <v>541416.0235252881</v>
      </c>
      <c r="H66" s="104">
        <v>558629.20361682959</v>
      </c>
      <c r="I66" s="104">
        <v>401799.50695084198</v>
      </c>
      <c r="J66" s="104">
        <v>193660.18879582451</v>
      </c>
      <c r="K66" s="104">
        <v>388215.09399156028</v>
      </c>
      <c r="L66" s="104">
        <v>133703.91848630825</v>
      </c>
      <c r="M66" s="104">
        <v>128245.9969568274</v>
      </c>
      <c r="N66" s="104">
        <v>67233.972538976857</v>
      </c>
      <c r="O66" s="104">
        <v>149175.72300758754</v>
      </c>
      <c r="P66" s="104">
        <v>206760.49916178748</v>
      </c>
      <c r="Q66" s="104">
        <v>78422.985890731434</v>
      </c>
      <c r="R66" s="104">
        <v>26877.529249863095</v>
      </c>
    </row>
    <row r="67" spans="1:23">
      <c r="A67" s="34"/>
      <c r="B67" s="34" t="s">
        <v>68</v>
      </c>
      <c r="C67" s="104">
        <v>1333192.483906863</v>
      </c>
      <c r="D67" s="104">
        <v>889816.59729559347</v>
      </c>
      <c r="E67" s="104">
        <v>780886.52881968336</v>
      </c>
      <c r="F67" s="104">
        <v>948411.22962764988</v>
      </c>
      <c r="G67" s="104">
        <v>758493.65545618336</v>
      </c>
      <c r="H67" s="104">
        <v>561207.16466489737</v>
      </c>
      <c r="I67" s="104">
        <v>524625.59122990817</v>
      </c>
      <c r="J67" s="104">
        <v>181645.85985453331</v>
      </c>
      <c r="K67" s="104">
        <v>342769.0384564597</v>
      </c>
      <c r="L67" s="104">
        <v>89408.178079197096</v>
      </c>
      <c r="M67" s="104">
        <v>130846.82854685598</v>
      </c>
      <c r="N67" s="104">
        <v>83111.700457401283</v>
      </c>
      <c r="O67" s="104">
        <v>109764.59675068085</v>
      </c>
      <c r="P67" s="104">
        <v>291110.81139729725</v>
      </c>
      <c r="Q67" s="104">
        <v>73122.625377791133</v>
      </c>
      <c r="R67" s="104">
        <v>15173.103214593217</v>
      </c>
    </row>
    <row r="68" spans="1:23">
      <c r="A68" s="118"/>
      <c r="B68" s="118"/>
      <c r="C68" s="119"/>
      <c r="D68" s="119"/>
      <c r="E68" s="119"/>
      <c r="F68" s="119"/>
      <c r="G68" s="119"/>
      <c r="H68" s="119"/>
      <c r="I68" s="119"/>
      <c r="J68" s="119"/>
      <c r="K68" s="119"/>
      <c r="L68" s="119"/>
      <c r="M68" s="119"/>
      <c r="N68" s="119"/>
      <c r="O68" s="119"/>
      <c r="P68" s="119"/>
      <c r="Q68" s="119"/>
      <c r="R68" s="119"/>
    </row>
    <row r="69" spans="1:23">
      <c r="A69" s="16" t="s">
        <v>222</v>
      </c>
      <c r="B69" s="16"/>
    </row>
    <row r="70" spans="1:23">
      <c r="A70" s="16" t="s">
        <v>223</v>
      </c>
      <c r="B70" s="16"/>
    </row>
    <row r="71" spans="1:23" ht="14.45" customHeight="1">
      <c r="A71" s="24" t="s">
        <v>117</v>
      </c>
      <c r="B71" s="16"/>
    </row>
    <row r="72" spans="1:23" ht="14.45" customHeight="1">
      <c r="A72" s="16" t="s">
        <v>121</v>
      </c>
      <c r="B72" s="16"/>
    </row>
    <row r="73" spans="1:23" ht="15" customHeight="1">
      <c r="A73" s="16" t="s">
        <v>122</v>
      </c>
      <c r="B73" s="24"/>
      <c r="C73" s="2"/>
      <c r="G73" s="2"/>
      <c r="K73" s="2"/>
      <c r="O73" s="2"/>
      <c r="S73" s="2"/>
      <c r="W73" s="2"/>
    </row>
    <row r="74" spans="1:23">
      <c r="A74" s="24" t="s">
        <v>120</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C42&lt;'38'!$C$104</xm:f>
            <x14:dxf>
              <font>
                <color rgb="FFFF0000"/>
              </font>
              <numFmt numFmtId="172" formatCode="\*\*0.0%"/>
            </x14:dxf>
          </x14:cfRule>
          <x14:cfRule type="expression" priority="4" id="{58838599-BD83-47F3-9078-68047C58AA52}">
            <xm:f>C42&lt;'38'!$C$103</xm:f>
            <x14:dxf>
              <font>
                <color rgb="FF00B050"/>
              </font>
              <numFmt numFmtId="171" formatCode="\*0.0%"/>
            </x14:dxf>
          </x14:cfRule>
          <xm:sqref>C15:R40</xm:sqref>
        </x14:conditionalFormatting>
        <x14:conditionalFormatting xmlns:xm="http://schemas.microsoft.com/office/excel/2006/main">
          <x14:cfRule type="expression" priority="1" id="{1C3BF29D-E950-404F-BBBF-B3672B22ABD3}">
            <xm:f>C42&lt;'38'!$C$104</xm:f>
            <x14:dxf>
              <font>
                <color rgb="FFFF0000"/>
              </font>
              <numFmt numFmtId="174" formatCode="\*\*#,###,###,##0"/>
            </x14:dxf>
          </x14:cfRule>
          <x14:cfRule type="expression" priority="2" id="{133792BD-1E1F-4C9A-ADD0-1C8213E6DD07}">
            <xm:f>C42&lt;'38'!$C$103</xm:f>
            <x14:dxf>
              <font>
                <color rgb="FF00B050"/>
              </font>
              <numFmt numFmtId="173" formatCode="\*#,###,###,##0"/>
            </x14:dxf>
          </x14:cfRule>
          <xm:sqref>C42:R67</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48"/>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6" width="19" style="1" customWidth="1"/>
    <col min="27" max="16384" width="8.85546875" style="1"/>
  </cols>
  <sheetData>
    <row r="1" spans="1:26">
      <c r="A1" s="29"/>
      <c r="B1" s="29"/>
      <c r="C1" s="29"/>
      <c r="D1" s="29"/>
      <c r="E1" s="29"/>
      <c r="F1" s="29"/>
      <c r="G1" s="29"/>
      <c r="H1" s="29"/>
      <c r="I1" s="29"/>
      <c r="J1" s="29"/>
      <c r="K1" s="29"/>
      <c r="L1" s="29"/>
      <c r="M1" s="29"/>
      <c r="N1" s="29"/>
      <c r="O1" s="29"/>
      <c r="P1" s="29"/>
      <c r="Q1" s="29"/>
      <c r="R1" s="29"/>
      <c r="S1" s="29"/>
      <c r="T1" s="29"/>
      <c r="U1" s="29"/>
      <c r="V1" s="29"/>
      <c r="W1" s="29"/>
      <c r="X1" s="29"/>
      <c r="Y1" s="29"/>
      <c r="Z1" s="29"/>
    </row>
    <row r="2" spans="1:26">
      <c r="A2" s="29"/>
      <c r="B2" s="29"/>
      <c r="C2" s="29"/>
      <c r="D2" s="29"/>
      <c r="E2" s="29"/>
      <c r="F2" s="29"/>
      <c r="G2" s="29"/>
      <c r="H2" s="29"/>
      <c r="I2" s="29"/>
      <c r="J2" s="29"/>
      <c r="K2" s="29"/>
      <c r="L2" s="29"/>
      <c r="M2" s="29"/>
      <c r="N2" s="29"/>
      <c r="O2" s="29"/>
      <c r="P2" s="29"/>
      <c r="Q2" s="29"/>
      <c r="R2" s="29"/>
      <c r="S2" s="29"/>
      <c r="T2" s="29"/>
      <c r="U2" s="29"/>
      <c r="V2" s="29"/>
      <c r="W2" s="29"/>
      <c r="X2" s="29"/>
      <c r="Y2" s="29"/>
      <c r="Z2" s="29"/>
    </row>
    <row r="3" spans="1:26">
      <c r="A3" s="29"/>
      <c r="B3" s="29"/>
      <c r="C3" s="29"/>
      <c r="D3" s="29"/>
      <c r="E3" s="29"/>
      <c r="F3" s="29"/>
      <c r="G3" s="29"/>
      <c r="H3" s="29"/>
      <c r="I3" s="29"/>
      <c r="J3" s="29"/>
      <c r="K3" s="29"/>
      <c r="L3" s="29"/>
      <c r="M3" s="29"/>
      <c r="N3" s="29"/>
      <c r="O3" s="29"/>
      <c r="P3" s="29"/>
      <c r="Q3" s="29"/>
      <c r="R3" s="29"/>
      <c r="S3" s="29"/>
      <c r="T3" s="29"/>
      <c r="U3" s="29"/>
      <c r="V3" s="29"/>
      <c r="W3" s="29"/>
      <c r="X3" s="29"/>
      <c r="Y3" s="29"/>
      <c r="Z3" s="29"/>
    </row>
    <row r="4" spans="1:26">
      <c r="A4" s="29"/>
      <c r="B4" s="29"/>
      <c r="C4" s="29"/>
      <c r="D4" s="29"/>
      <c r="E4" s="29"/>
      <c r="F4" s="29"/>
      <c r="G4" s="29"/>
      <c r="H4" s="29"/>
      <c r="I4" s="29"/>
      <c r="J4" s="29"/>
      <c r="K4" s="29"/>
      <c r="L4" s="29"/>
      <c r="M4" s="29"/>
      <c r="N4" s="29"/>
      <c r="O4" s="29"/>
      <c r="P4" s="29"/>
      <c r="Q4" s="29"/>
      <c r="R4" s="29"/>
      <c r="S4" s="29"/>
      <c r="T4" s="29"/>
      <c r="U4" s="29"/>
      <c r="V4" s="29"/>
      <c r="W4" s="29"/>
      <c r="X4" s="29"/>
      <c r="Y4" s="29"/>
      <c r="Z4" s="29"/>
    </row>
    <row r="5" spans="1:26">
      <c r="A5" s="29"/>
      <c r="B5" s="29"/>
      <c r="C5" s="29"/>
      <c r="D5" s="29"/>
      <c r="E5" s="29"/>
      <c r="F5" s="29"/>
      <c r="G5" s="29"/>
      <c r="H5" s="29"/>
      <c r="I5" s="29"/>
      <c r="J5" s="29"/>
      <c r="K5" s="29"/>
      <c r="L5" s="29"/>
      <c r="M5" s="29"/>
      <c r="N5" s="29"/>
      <c r="O5" s="29"/>
      <c r="P5" s="29"/>
      <c r="Q5" s="29"/>
      <c r="R5" s="29"/>
      <c r="S5" s="29"/>
      <c r="T5" s="29"/>
      <c r="U5" s="29"/>
      <c r="V5" s="29"/>
      <c r="W5" s="29"/>
      <c r="X5" s="29"/>
      <c r="Y5" s="29"/>
      <c r="Z5" s="29"/>
    </row>
    <row r="6" spans="1:26">
      <c r="A6" s="29"/>
      <c r="B6" s="29"/>
      <c r="C6" s="29"/>
      <c r="D6" s="29"/>
      <c r="E6" s="29"/>
      <c r="F6" s="29"/>
      <c r="G6" s="29"/>
      <c r="H6" s="29"/>
      <c r="I6" s="29"/>
      <c r="J6" s="29"/>
      <c r="K6" s="29"/>
      <c r="L6" s="29"/>
      <c r="M6" s="29"/>
      <c r="N6" s="29"/>
      <c r="O6" s="29"/>
      <c r="P6" s="29"/>
      <c r="Q6" s="29"/>
      <c r="R6" s="29"/>
      <c r="S6" s="29"/>
      <c r="T6" s="29"/>
      <c r="U6" s="29"/>
      <c r="V6" s="29"/>
      <c r="W6" s="29"/>
      <c r="X6" s="29"/>
      <c r="Y6" s="29"/>
      <c r="Z6" s="29"/>
    </row>
    <row r="7" spans="1:26">
      <c r="A7" s="29"/>
      <c r="B7" s="29"/>
      <c r="C7" s="29"/>
      <c r="D7" s="29"/>
      <c r="E7" s="29"/>
      <c r="F7" s="29"/>
      <c r="G7" s="29"/>
      <c r="H7" s="29"/>
      <c r="I7" s="29"/>
      <c r="J7" s="29"/>
      <c r="K7" s="29"/>
      <c r="L7" s="29"/>
      <c r="M7" s="29"/>
      <c r="N7" s="29"/>
      <c r="O7" s="29"/>
      <c r="P7" s="29"/>
      <c r="Q7" s="29"/>
      <c r="R7" s="29"/>
      <c r="S7" s="29"/>
      <c r="T7" s="29"/>
      <c r="U7" s="29"/>
      <c r="V7" s="29"/>
      <c r="W7" s="29"/>
      <c r="X7" s="29"/>
      <c r="Y7" s="29"/>
      <c r="Z7" s="29"/>
    </row>
    <row r="8" spans="1:26">
      <c r="A8" s="30" t="s">
        <v>0</v>
      </c>
      <c r="B8" s="29"/>
      <c r="C8" s="29"/>
      <c r="D8" s="29"/>
      <c r="E8" s="29"/>
      <c r="F8" s="29"/>
      <c r="G8" s="29"/>
      <c r="H8" s="29"/>
      <c r="I8" s="29"/>
      <c r="J8" s="29"/>
      <c r="K8" s="29"/>
      <c r="L8" s="29"/>
      <c r="M8" s="29"/>
      <c r="N8" s="29"/>
      <c r="O8" s="29"/>
      <c r="P8" s="29"/>
      <c r="Q8" s="29"/>
      <c r="R8" s="29"/>
      <c r="S8" s="29"/>
      <c r="T8" s="29"/>
      <c r="U8" s="29"/>
      <c r="V8" s="29"/>
      <c r="W8" s="29"/>
      <c r="X8" s="29"/>
      <c r="Y8" s="29"/>
      <c r="Z8" s="29"/>
    </row>
    <row r="9" spans="1:26">
      <c r="A9" s="29" t="s">
        <v>1</v>
      </c>
      <c r="B9" s="29"/>
      <c r="C9" s="90" t="s">
        <v>2</v>
      </c>
      <c r="D9" s="29"/>
      <c r="E9" s="29"/>
      <c r="F9" s="29"/>
      <c r="G9" s="29"/>
      <c r="H9" s="29"/>
      <c r="I9" s="29"/>
      <c r="J9" s="29"/>
      <c r="K9" s="29"/>
      <c r="L9" s="29"/>
      <c r="M9" s="29"/>
      <c r="N9" s="29"/>
      <c r="O9" s="29"/>
      <c r="P9" s="29"/>
      <c r="Q9" s="29"/>
      <c r="R9" s="29"/>
      <c r="S9" s="29"/>
      <c r="T9" s="29"/>
      <c r="U9" s="29"/>
      <c r="V9" s="29"/>
      <c r="W9" s="29"/>
      <c r="X9" s="29"/>
      <c r="Y9" s="29"/>
      <c r="Z9" s="29"/>
    </row>
    <row r="10" spans="1:26">
      <c r="A10" s="29" t="s">
        <v>49</v>
      </c>
      <c r="B10" s="29"/>
      <c r="C10" s="31">
        <v>13</v>
      </c>
      <c r="D10" s="29"/>
      <c r="E10" s="29"/>
      <c r="F10" s="29"/>
      <c r="G10" s="29"/>
      <c r="H10" s="29"/>
      <c r="I10" s="29"/>
      <c r="J10" s="29"/>
      <c r="K10" s="29"/>
      <c r="L10" s="29"/>
      <c r="M10" s="29"/>
      <c r="N10" s="29"/>
      <c r="O10" s="29"/>
      <c r="P10" s="29"/>
      <c r="Q10" s="29"/>
      <c r="R10" s="29"/>
      <c r="S10" s="29"/>
      <c r="T10" s="29"/>
      <c r="U10" s="29"/>
      <c r="V10" s="29"/>
      <c r="W10" s="29"/>
      <c r="X10" s="29"/>
      <c r="Y10" s="29"/>
      <c r="Z10" s="29"/>
    </row>
    <row r="11" spans="1:26">
      <c r="A11" s="29" t="s">
        <v>3</v>
      </c>
      <c r="B11" s="29"/>
      <c r="C11" s="30" t="s">
        <v>21</v>
      </c>
      <c r="D11" s="29"/>
      <c r="E11" s="29"/>
      <c r="F11" s="29"/>
      <c r="G11" s="29"/>
      <c r="H11" s="29"/>
      <c r="I11" s="29"/>
      <c r="J11" s="29"/>
      <c r="K11" s="29"/>
      <c r="L11" s="29"/>
      <c r="M11" s="29"/>
      <c r="N11" s="29"/>
      <c r="O11" s="29"/>
      <c r="P11" s="29"/>
      <c r="Q11" s="29"/>
      <c r="R11" s="29"/>
      <c r="S11" s="29"/>
      <c r="T11" s="29"/>
      <c r="U11" s="29"/>
      <c r="V11" s="29"/>
      <c r="W11" s="29"/>
      <c r="X11" s="29"/>
      <c r="Y11" s="29"/>
      <c r="Z11" s="29"/>
    </row>
    <row r="12" spans="1:26">
      <c r="A12" s="116" t="s">
        <v>50</v>
      </c>
      <c r="B12" s="116"/>
      <c r="C12" s="117" t="s">
        <v>224</v>
      </c>
      <c r="D12" s="116"/>
      <c r="E12" s="174" t="s">
        <v>146</v>
      </c>
      <c r="F12" s="116"/>
      <c r="G12" s="116"/>
      <c r="H12" s="116"/>
      <c r="I12" s="116"/>
      <c r="J12" s="116"/>
      <c r="K12" s="116"/>
      <c r="L12" s="116"/>
      <c r="M12" s="116"/>
      <c r="N12" s="116"/>
      <c r="O12" s="116"/>
      <c r="P12" s="116"/>
      <c r="Q12" s="116"/>
      <c r="R12" s="116"/>
      <c r="S12" s="116"/>
      <c r="T12" s="116"/>
      <c r="U12" s="116"/>
      <c r="V12" s="116"/>
      <c r="W12" s="116"/>
      <c r="X12" s="116"/>
      <c r="Y12" s="116"/>
      <c r="Z12" s="116"/>
    </row>
    <row r="13" spans="1:26" s="99" customFormat="1" ht="50.1" customHeight="1">
      <c r="A13" s="64"/>
      <c r="B13" s="64"/>
      <c r="C13" s="64" t="s">
        <v>225</v>
      </c>
      <c r="D13" s="64" t="s">
        <v>226</v>
      </c>
      <c r="E13" s="64" t="s">
        <v>227</v>
      </c>
      <c r="F13" s="64" t="s">
        <v>228</v>
      </c>
      <c r="G13" s="64" t="s">
        <v>229</v>
      </c>
      <c r="H13" s="64" t="s">
        <v>230</v>
      </c>
      <c r="I13" s="64" t="s">
        <v>231</v>
      </c>
      <c r="J13" s="64" t="s">
        <v>232</v>
      </c>
      <c r="K13" s="64" t="s">
        <v>233</v>
      </c>
      <c r="L13" s="64" t="s">
        <v>234</v>
      </c>
      <c r="M13" s="64" t="s">
        <v>235</v>
      </c>
      <c r="N13" s="64" t="s">
        <v>236</v>
      </c>
      <c r="O13" s="64" t="s">
        <v>237</v>
      </c>
      <c r="P13" s="64" t="s">
        <v>238</v>
      </c>
      <c r="Q13" s="64" t="s">
        <v>239</v>
      </c>
      <c r="R13" s="64" t="s">
        <v>240</v>
      </c>
      <c r="S13" s="64" t="s">
        <v>241</v>
      </c>
      <c r="T13" s="64" t="s">
        <v>242</v>
      </c>
      <c r="U13" s="64" t="s">
        <v>243</v>
      </c>
      <c r="V13" s="64" t="s">
        <v>244</v>
      </c>
      <c r="W13" s="64" t="s">
        <v>245</v>
      </c>
      <c r="X13" s="64" t="s">
        <v>246</v>
      </c>
      <c r="Y13" s="64" t="s">
        <v>247</v>
      </c>
      <c r="Z13" s="64" t="s">
        <v>248</v>
      </c>
    </row>
    <row r="14" spans="1:26">
      <c r="A14" s="67"/>
      <c r="B14" s="67"/>
      <c r="C14" s="187" t="s">
        <v>249</v>
      </c>
      <c r="D14" s="187"/>
      <c r="E14" s="187"/>
      <c r="F14" s="187"/>
      <c r="G14" s="187"/>
      <c r="H14" s="187"/>
      <c r="I14" s="187"/>
      <c r="J14" s="187"/>
      <c r="K14" s="187"/>
      <c r="L14" s="187"/>
      <c r="M14" s="187"/>
      <c r="N14" s="187"/>
      <c r="O14" s="187"/>
      <c r="P14" s="187"/>
      <c r="Q14" s="187"/>
      <c r="R14" s="187"/>
      <c r="S14" s="187"/>
      <c r="T14" s="187"/>
      <c r="U14" s="187"/>
      <c r="V14" s="187"/>
      <c r="W14" s="187"/>
      <c r="X14" s="187"/>
      <c r="Y14" s="187"/>
      <c r="Z14" s="187"/>
    </row>
    <row r="15" spans="1:26">
      <c r="A15" s="35" t="s">
        <v>145</v>
      </c>
      <c r="B15" s="35" t="s">
        <v>57</v>
      </c>
      <c r="C15" s="28">
        <v>0.28618304391372246</v>
      </c>
      <c r="D15" s="28">
        <v>0.22150597287350049</v>
      </c>
      <c r="E15" s="28">
        <v>0.15781570133494263</v>
      </c>
      <c r="F15" s="28">
        <v>0.1505411548576181</v>
      </c>
      <c r="G15" s="28">
        <v>0.12948482948409648</v>
      </c>
      <c r="H15" s="28">
        <v>0.12975146833987736</v>
      </c>
      <c r="I15" s="28">
        <v>0.1195967493147768</v>
      </c>
      <c r="J15" s="28">
        <v>7.2739109117181025E-2</v>
      </c>
      <c r="K15" s="28">
        <v>6.2511756575787114E-2</v>
      </c>
      <c r="L15" s="28">
        <v>6.1800414888434664E-2</v>
      </c>
      <c r="M15" s="28">
        <v>5.7758902267300086E-2</v>
      </c>
      <c r="N15" s="28">
        <v>4.734510099472547E-2</v>
      </c>
      <c r="O15" s="28">
        <v>4.6215602768927215E-2</v>
      </c>
      <c r="P15" s="28">
        <v>3.213772981268781E-2</v>
      </c>
      <c r="Q15" s="28">
        <v>3.4206057592274547E-2</v>
      </c>
      <c r="R15" s="28">
        <v>3.3798643831870846E-2</v>
      </c>
      <c r="S15" s="28">
        <v>2.4492083597152398E-2</v>
      </c>
      <c r="T15" s="28">
        <v>2.1611845603490155E-2</v>
      </c>
      <c r="U15" s="28">
        <v>2.4206901036528457E-2</v>
      </c>
      <c r="V15" s="28">
        <v>2.550876943838206E-2</v>
      </c>
      <c r="W15" s="28">
        <v>1.4964337932679582E-2</v>
      </c>
      <c r="X15" s="28">
        <v>1.3123719587417593E-2</v>
      </c>
      <c r="Y15" s="28">
        <v>8.6418612489541566E-3</v>
      </c>
      <c r="Z15" s="28">
        <v>5.9110688704482623E-3</v>
      </c>
    </row>
    <row r="16" spans="1:26">
      <c r="A16" s="35"/>
      <c r="B16" s="34"/>
    </row>
    <row r="17" spans="1:26">
      <c r="A17" s="35" t="s">
        <v>250</v>
      </c>
      <c r="B17" s="35" t="s">
        <v>57</v>
      </c>
      <c r="C17" s="28">
        <v>0.24104996726450048</v>
      </c>
      <c r="D17" s="28">
        <v>0.1970902779624448</v>
      </c>
      <c r="E17" s="28">
        <v>0.12509144357214144</v>
      </c>
      <c r="F17" s="28">
        <v>0.143534295358656</v>
      </c>
      <c r="G17" s="28">
        <v>0.1263911051654753</v>
      </c>
      <c r="H17" s="28">
        <v>0.10017175125638078</v>
      </c>
      <c r="I17" s="28">
        <v>0.12908115972777393</v>
      </c>
      <c r="J17" s="28">
        <v>6.6584736621091836E-2</v>
      </c>
      <c r="K17" s="28">
        <v>4.9112299640715167E-2</v>
      </c>
      <c r="L17" s="28">
        <v>6.2982479538614883E-2</v>
      </c>
      <c r="M17" s="28">
        <v>7.9101882342703544E-2</v>
      </c>
      <c r="N17" s="28">
        <v>4.0192863745686168E-2</v>
      </c>
      <c r="O17" s="28">
        <v>4.9270935684375614E-2</v>
      </c>
      <c r="P17" s="28">
        <v>2.6098866717837215E-2</v>
      </c>
      <c r="Q17" s="28">
        <v>2.4774661316664465E-2</v>
      </c>
      <c r="R17" s="28">
        <v>3.7107962143551401E-2</v>
      </c>
      <c r="S17" s="28">
        <v>1.7447893371061143E-2</v>
      </c>
      <c r="T17" s="28">
        <v>2.3973486256240503E-2</v>
      </c>
      <c r="U17" s="28">
        <v>2.9213312840994678E-2</v>
      </c>
      <c r="V17" s="28">
        <v>2.6568429702412657E-2</v>
      </c>
      <c r="W17" s="28">
        <v>1.8248077655016549E-2</v>
      </c>
      <c r="X17" s="28">
        <v>6.0848479408456592E-3</v>
      </c>
      <c r="Y17" s="28">
        <v>7.9082155931054637E-3</v>
      </c>
      <c r="Z17" s="28">
        <v>7.5178627723412553E-3</v>
      </c>
    </row>
    <row r="18" spans="1:26">
      <c r="A18" s="35"/>
      <c r="B18" s="34"/>
    </row>
    <row r="19" spans="1:26">
      <c r="A19" s="35" t="s">
        <v>251</v>
      </c>
      <c r="B19" s="35" t="s">
        <v>57</v>
      </c>
      <c r="C19" s="28">
        <v>0.32850485258267254</v>
      </c>
      <c r="D19" s="28">
        <v>0.24880301938961344</v>
      </c>
      <c r="E19" s="28">
        <v>0.18706183000667423</v>
      </c>
      <c r="F19" s="28">
        <v>0.15668499688985577</v>
      </c>
      <c r="G19" s="28">
        <v>0.13365587301570458</v>
      </c>
      <c r="H19" s="28">
        <v>0.15868360412209417</v>
      </c>
      <c r="I19" s="28">
        <v>0.1121376324841683</v>
      </c>
      <c r="J19" s="28">
        <v>7.766632772716503E-2</v>
      </c>
      <c r="K19" s="28">
        <v>7.264309806577432E-2</v>
      </c>
      <c r="L19" s="28">
        <v>6.1701843952577148E-2</v>
      </c>
      <c r="M19" s="28">
        <v>3.6834385760299009E-2</v>
      </c>
      <c r="N19" s="28">
        <v>5.3561381134112324E-2</v>
      </c>
      <c r="O19" s="28">
        <v>4.2687123214343363E-2</v>
      </c>
      <c r="P19" s="28">
        <v>3.753455962373041E-2</v>
      </c>
      <c r="Q19" s="28">
        <v>4.3688242654208856E-2</v>
      </c>
      <c r="R19" s="28">
        <v>2.9835038434561912E-2</v>
      </c>
      <c r="S19" s="28">
        <v>2.8861686336257675E-2</v>
      </c>
      <c r="T19" s="28">
        <v>1.8327999628278711E-2</v>
      </c>
      <c r="U19" s="28">
        <v>1.943089635053993E-2</v>
      </c>
      <c r="V19" s="28">
        <v>2.2945744303817173E-2</v>
      </c>
      <c r="W19" s="28">
        <v>1.1023976189917696E-2</v>
      </c>
      <c r="X19" s="28">
        <v>1.9943924571072559E-2</v>
      </c>
      <c r="Y19" s="28">
        <v>9.5031626486162275E-3</v>
      </c>
      <c r="Z19" s="28">
        <v>4.5384102134532391E-3</v>
      </c>
    </row>
    <row r="20" spans="1:26">
      <c r="A20" s="35"/>
      <c r="B20" s="34"/>
      <c r="C20" s="4"/>
      <c r="D20" s="4"/>
      <c r="E20" s="4"/>
      <c r="F20" s="4"/>
      <c r="G20" s="4"/>
      <c r="H20" s="4"/>
      <c r="I20" s="4"/>
      <c r="J20" s="4"/>
      <c r="K20" s="4"/>
      <c r="L20" s="4"/>
      <c r="M20" s="4"/>
      <c r="N20" s="4"/>
      <c r="O20" s="4"/>
      <c r="P20" s="4"/>
      <c r="Q20" s="4"/>
      <c r="R20" s="4"/>
      <c r="S20" s="4"/>
      <c r="T20" s="4"/>
      <c r="U20" s="4"/>
      <c r="V20" s="4"/>
      <c r="W20" s="4"/>
      <c r="X20" s="4"/>
      <c r="Y20" s="4"/>
      <c r="Z20" s="4"/>
    </row>
    <row r="21" spans="1:26">
      <c r="A21" s="35" t="s">
        <v>61</v>
      </c>
      <c r="B21" s="34" t="s">
        <v>62</v>
      </c>
      <c r="C21" s="4">
        <v>0.22240590867397667</v>
      </c>
      <c r="D21" s="4">
        <v>1.1110146863595658E-2</v>
      </c>
      <c r="E21" s="4">
        <v>9.6916913701179233E-2</v>
      </c>
      <c r="F21" s="4">
        <v>0.20765676895461746</v>
      </c>
      <c r="G21" s="4">
        <v>0.12296070297850485</v>
      </c>
      <c r="H21" s="4">
        <v>0.1889806745421089</v>
      </c>
      <c r="I21" s="4">
        <v>8.6906813498925484E-2</v>
      </c>
      <c r="J21" s="4">
        <v>0.1068983027290253</v>
      </c>
      <c r="K21" s="4">
        <v>7.8143395313288067E-2</v>
      </c>
      <c r="L21" s="4">
        <v>5.5748941259118237E-2</v>
      </c>
      <c r="M21" s="4">
        <v>6.1930352653645541E-2</v>
      </c>
      <c r="N21" s="4">
        <v>6.1498628852094513E-2</v>
      </c>
      <c r="O21" s="4">
        <v>9.0053796437362929E-2</v>
      </c>
      <c r="P21" s="4">
        <v>2.5063572075902613E-2</v>
      </c>
      <c r="Q21" s="4">
        <v>2.5006789343923228E-2</v>
      </c>
      <c r="R21" s="4">
        <v>1.9708387353122137E-2</v>
      </c>
      <c r="S21" s="4">
        <v>4.422343497108927E-2</v>
      </c>
      <c r="T21" s="4">
        <v>2.3088512682633917E-2</v>
      </c>
      <c r="U21" s="4">
        <v>4.9423857819380544E-2</v>
      </c>
      <c r="V21" s="4">
        <v>6.7380514588138762E-2</v>
      </c>
      <c r="W21" s="4">
        <v>3.9724533865271798E-2</v>
      </c>
      <c r="X21" s="4">
        <v>2.5358605978149398E-2</v>
      </c>
      <c r="Y21" s="4">
        <v>3.5550877996602399E-2</v>
      </c>
      <c r="Z21" s="4">
        <v>1.1110146863595658E-2</v>
      </c>
    </row>
    <row r="22" spans="1:26">
      <c r="A22" s="34"/>
      <c r="B22" s="34" t="s">
        <v>63</v>
      </c>
      <c r="C22" s="4">
        <v>0.19808490385627847</v>
      </c>
      <c r="D22" s="4">
        <v>2.6045333765108581E-2</v>
      </c>
      <c r="E22" s="4">
        <v>3.6362550698912782E-2</v>
      </c>
      <c r="F22" s="4">
        <v>0.1518164082898171</v>
      </c>
      <c r="G22" s="4">
        <v>0.14170860901062848</v>
      </c>
      <c r="H22" s="4">
        <v>8.9722232044882944E-2</v>
      </c>
      <c r="I22" s="4">
        <v>0.11423596683925488</v>
      </c>
      <c r="J22" s="4">
        <v>8.6635184161993034E-2</v>
      </c>
      <c r="K22" s="4">
        <v>8.4997535968292307E-2</v>
      </c>
      <c r="L22" s="4">
        <v>6.2022615808648845E-2</v>
      </c>
      <c r="M22" s="4">
        <v>7.8198788864713986E-2</v>
      </c>
      <c r="N22" s="4">
        <v>6.7302382638772876E-2</v>
      </c>
      <c r="O22" s="4">
        <v>6.3714107595765235E-2</v>
      </c>
      <c r="P22" s="4">
        <v>1.8888104497205526E-2</v>
      </c>
      <c r="Q22" s="4">
        <v>3.5848669846198951E-2</v>
      </c>
      <c r="R22" s="4">
        <v>6.5906953141712965E-2</v>
      </c>
      <c r="S22" s="4">
        <v>3.5285612659606988E-2</v>
      </c>
      <c r="T22" s="4">
        <v>3.8935223965356827E-2</v>
      </c>
      <c r="U22" s="4">
        <v>5.3126510385677013E-2</v>
      </c>
      <c r="V22" s="4">
        <v>6.2817421102832005E-2</v>
      </c>
      <c r="W22" s="4">
        <v>2.2883942467874469E-2</v>
      </c>
      <c r="X22" s="4">
        <v>1.9832696727251329E-2</v>
      </c>
      <c r="Y22" s="4">
        <v>3.0424772914247441E-2</v>
      </c>
      <c r="Z22" s="4">
        <v>1.3534904133144232E-2</v>
      </c>
    </row>
    <row r="23" spans="1:26">
      <c r="A23" s="34"/>
      <c r="B23" s="34" t="s">
        <v>64</v>
      </c>
      <c r="C23" s="4">
        <v>0.18260977032418957</v>
      </c>
      <c r="D23" s="4">
        <v>2.7406275926521846E-2</v>
      </c>
      <c r="E23" s="4">
        <v>4.9681138478054519E-2</v>
      </c>
      <c r="F23" s="4">
        <v>0.19776669171864142</v>
      </c>
      <c r="G23" s="4">
        <v>0.17876899586418091</v>
      </c>
      <c r="H23" s="4">
        <v>0.10424811945287508</v>
      </c>
      <c r="I23" s="4">
        <v>0.14165914480583461</v>
      </c>
      <c r="J23" s="4">
        <v>0.1156935979668014</v>
      </c>
      <c r="K23" s="4">
        <v>9.0289797746184702E-2</v>
      </c>
      <c r="L23" s="4">
        <v>6.6636412128468867E-2</v>
      </c>
      <c r="M23" s="4">
        <v>0.11289792677883766</v>
      </c>
      <c r="N23" s="4">
        <v>5.5397872333173226E-2</v>
      </c>
      <c r="O23" s="4">
        <v>7.7219229175774756E-2</v>
      </c>
      <c r="P23" s="4">
        <v>7.1187994853726511E-2</v>
      </c>
      <c r="Q23" s="4">
        <v>0.10394845366235875</v>
      </c>
      <c r="R23" s="4">
        <v>5.5734461871315193E-2</v>
      </c>
      <c r="S23" s="4">
        <v>3.6293071066695749E-2</v>
      </c>
      <c r="T23" s="4">
        <v>3.2338845005919277E-2</v>
      </c>
      <c r="U23" s="4">
        <v>3.3939058471582101E-2</v>
      </c>
      <c r="V23" s="4">
        <v>4.3792617735922419E-2</v>
      </c>
      <c r="W23" s="4">
        <v>3.1782130416142258E-2</v>
      </c>
      <c r="X23" s="4">
        <v>4.9382473895045596E-2</v>
      </c>
      <c r="Y23" s="4">
        <v>1.0111205305196838E-2</v>
      </c>
      <c r="Z23" s="4">
        <v>1.7423054341016302E-2</v>
      </c>
    </row>
    <row r="24" spans="1:26">
      <c r="A24" s="34"/>
      <c r="B24" s="34" t="s">
        <v>65</v>
      </c>
      <c r="C24" s="4">
        <v>0.17420454208517167</v>
      </c>
      <c r="D24" s="4">
        <v>5.8027297848931597E-2</v>
      </c>
      <c r="E24" s="4">
        <v>6.7911438894693921E-2</v>
      </c>
      <c r="F24" s="4">
        <v>0.24235304326498991</v>
      </c>
      <c r="G24" s="4">
        <v>0.17949059501120851</v>
      </c>
      <c r="H24" s="4">
        <v>0.14152336330684934</v>
      </c>
      <c r="I24" s="4">
        <v>0.13322132652525853</v>
      </c>
      <c r="J24" s="4">
        <v>8.4221965615001254E-2</v>
      </c>
      <c r="K24" s="4">
        <v>8.1559745091653077E-2</v>
      </c>
      <c r="L24" s="4">
        <v>4.5338770219605133E-2</v>
      </c>
      <c r="M24" s="4">
        <v>6.8730615973307402E-2</v>
      </c>
      <c r="N24" s="4">
        <v>5.0461398275588043E-2</v>
      </c>
      <c r="O24" s="4">
        <v>5.7052112564320676E-2</v>
      </c>
      <c r="P24" s="4">
        <v>8.2128565658249553E-2</v>
      </c>
      <c r="Q24" s="4">
        <v>9.2098304711507248E-2</v>
      </c>
      <c r="R24" s="4">
        <v>5.5020148307785711E-2</v>
      </c>
      <c r="S24" s="4">
        <v>2.4498705828893345E-2</v>
      </c>
      <c r="T24" s="4">
        <v>2.6795623549223043E-2</v>
      </c>
      <c r="U24" s="4">
        <v>3.6472492557428939E-2</v>
      </c>
      <c r="V24" s="4">
        <v>3.8186692416980923E-2</v>
      </c>
      <c r="W24" s="4">
        <v>2.1820025142145941E-2</v>
      </c>
      <c r="X24" s="4">
        <v>2.9488483798885429E-2</v>
      </c>
      <c r="Y24" s="4">
        <v>3.9914743697464488E-3</v>
      </c>
      <c r="Z24" s="4">
        <v>9.4383305032882305E-3</v>
      </c>
    </row>
    <row r="25" spans="1:26">
      <c r="A25" s="34"/>
      <c r="B25" s="34" t="s">
        <v>66</v>
      </c>
      <c r="C25" s="4">
        <v>0.25168254746995194</v>
      </c>
      <c r="D25" s="4">
        <v>0.11629636550995832</v>
      </c>
      <c r="E25" s="4">
        <v>0.10817606701623782</v>
      </c>
      <c r="F25" s="4">
        <v>0.19963431639387835</v>
      </c>
      <c r="G25" s="4">
        <v>0.20768091450641901</v>
      </c>
      <c r="H25" s="4">
        <v>0.1509894243962048</v>
      </c>
      <c r="I25" s="4">
        <v>0.13711932551504885</v>
      </c>
      <c r="J25" s="4">
        <v>7.6257854342188749E-2</v>
      </c>
      <c r="K25" s="4">
        <v>8.5450850573435072E-2</v>
      </c>
      <c r="L25" s="4">
        <v>6.8206577711777808E-2</v>
      </c>
      <c r="M25" s="4">
        <v>9.4445487813242038E-2</v>
      </c>
      <c r="N25" s="4">
        <v>6.0998109063608905E-2</v>
      </c>
      <c r="O25" s="4">
        <v>5.6392667035473416E-2</v>
      </c>
      <c r="P25" s="4">
        <v>4.4343923529896891E-2</v>
      </c>
      <c r="Q25" s="4">
        <v>2.362077477633235E-2</v>
      </c>
      <c r="R25" s="4">
        <v>3.1359341167171421E-2</v>
      </c>
      <c r="S25" s="4">
        <v>1.5440014602656349E-2</v>
      </c>
      <c r="T25" s="4">
        <v>2.2316290204465856E-2</v>
      </c>
      <c r="U25" s="4">
        <v>2.694367214667694E-2</v>
      </c>
      <c r="V25" s="4">
        <v>2.663741126704158E-2</v>
      </c>
      <c r="W25" s="4">
        <v>1.6799571700798332E-2</v>
      </c>
      <c r="X25" s="4">
        <v>0</v>
      </c>
      <c r="Y25" s="4">
        <v>5.0588604450278931E-3</v>
      </c>
      <c r="Z25" s="4">
        <v>2.3279102395772143E-3</v>
      </c>
    </row>
    <row r="26" spans="1:26">
      <c r="A26" s="34"/>
      <c r="B26" s="34" t="s">
        <v>67</v>
      </c>
      <c r="C26" s="4">
        <v>0.32357205479180379</v>
      </c>
      <c r="D26" s="4">
        <v>0.20245965362517462</v>
      </c>
      <c r="E26" s="4">
        <v>0.19941106240644196</v>
      </c>
      <c r="F26" s="4">
        <v>0.16387849683736055</v>
      </c>
      <c r="G26" s="4">
        <v>0.15613119992205687</v>
      </c>
      <c r="H26" s="4">
        <v>0.12761443167687361</v>
      </c>
      <c r="I26" s="4">
        <v>0.13927639020648738</v>
      </c>
      <c r="J26" s="4">
        <v>7.5946501063426097E-2</v>
      </c>
      <c r="K26" s="4">
        <v>6.2665871663526107E-2</v>
      </c>
      <c r="L26" s="4">
        <v>6.9382982963927198E-2</v>
      </c>
      <c r="M26" s="4">
        <v>6.517958610871015E-2</v>
      </c>
      <c r="N26" s="4">
        <v>3.6386356818987255E-2</v>
      </c>
      <c r="O26" s="4">
        <v>3.4647867790512744E-2</v>
      </c>
      <c r="P26" s="4">
        <v>7.8544278190407369E-3</v>
      </c>
      <c r="Q26" s="4">
        <v>4.4244350182485086E-3</v>
      </c>
      <c r="R26" s="4">
        <v>2.7110430845140105E-2</v>
      </c>
      <c r="S26" s="4">
        <v>1.0865404807199393E-2</v>
      </c>
      <c r="T26" s="4">
        <v>1.962038231971636E-2</v>
      </c>
      <c r="U26" s="4">
        <v>1.5705789172419406E-2</v>
      </c>
      <c r="V26" s="4">
        <v>1.3287300111718296E-2</v>
      </c>
      <c r="W26" s="4">
        <v>6.9536850074158199E-3</v>
      </c>
      <c r="X26" s="4">
        <v>0</v>
      </c>
      <c r="Y26" s="4">
        <v>0</v>
      </c>
      <c r="Z26" s="4">
        <v>1.2063918445225129E-3</v>
      </c>
    </row>
    <row r="27" spans="1:26">
      <c r="A27" s="118"/>
      <c r="B27" s="118" t="s">
        <v>68</v>
      </c>
      <c r="C27" s="123">
        <v>0.39541615550791442</v>
      </c>
      <c r="D27" s="123">
        <v>0.47661711282930774</v>
      </c>
      <c r="E27" s="123">
        <v>0.272367425987112</v>
      </c>
      <c r="F27" s="123">
        <v>6.8721691144087493E-2</v>
      </c>
      <c r="G27" s="123">
        <v>5.3318940054264304E-2</v>
      </c>
      <c r="H27" s="123">
        <v>0.13053921040707328</v>
      </c>
      <c r="I27" s="123">
        <v>9.8778615106207376E-2</v>
      </c>
      <c r="J27" s="123">
        <v>4.2282894309685258E-2</v>
      </c>
      <c r="K27" s="123">
        <v>2.9290370645997293E-2</v>
      </c>
      <c r="L27" s="123">
        <v>6.1973673020545655E-2</v>
      </c>
      <c r="M27" s="123">
        <v>1.2346663629925257E-2</v>
      </c>
      <c r="N27" s="123">
        <v>3.5542018108769113E-2</v>
      </c>
      <c r="O27" s="123">
        <v>2.1348214230776184E-2</v>
      </c>
      <c r="P27" s="123">
        <v>8.5792398398003653E-3</v>
      </c>
      <c r="Q27" s="123">
        <v>2.9488415177940657E-3</v>
      </c>
      <c r="R27" s="123">
        <v>1.4660539544829975E-2</v>
      </c>
      <c r="S27" s="123">
        <v>2.305754687357468E-2</v>
      </c>
      <c r="T27" s="123">
        <v>1.1534100959308626E-2</v>
      </c>
      <c r="U27" s="123">
        <v>7.3227656170715477E-3</v>
      </c>
      <c r="V27" s="123">
        <v>2.919144449929717E-3</v>
      </c>
      <c r="W27" s="123">
        <v>3.3203278181471612E-3</v>
      </c>
      <c r="X27" s="123">
        <v>0</v>
      </c>
      <c r="Y27" s="123">
        <v>5.0399966855255475E-3</v>
      </c>
      <c r="Z27" s="123">
        <v>7.5343255393242126E-4</v>
      </c>
    </row>
    <row r="28" spans="1:26">
      <c r="A28" s="67"/>
      <c r="B28" s="67"/>
      <c r="C28" s="187" t="s">
        <v>252</v>
      </c>
      <c r="D28" s="187"/>
      <c r="E28" s="187"/>
      <c r="F28" s="187"/>
      <c r="G28" s="187"/>
      <c r="H28" s="187"/>
      <c r="I28" s="187"/>
      <c r="J28" s="187"/>
      <c r="K28" s="187"/>
      <c r="L28" s="187"/>
      <c r="M28" s="187"/>
      <c r="N28" s="187"/>
      <c r="O28" s="187"/>
      <c r="P28" s="187"/>
      <c r="Q28" s="187"/>
      <c r="R28" s="187"/>
      <c r="S28" s="187"/>
      <c r="T28" s="187"/>
      <c r="U28" s="187"/>
      <c r="V28" s="187"/>
      <c r="W28" s="187"/>
      <c r="X28" s="187"/>
      <c r="Y28" s="187"/>
      <c r="Z28" s="187"/>
    </row>
    <row r="29" spans="1:26" ht="17.25">
      <c r="A29" s="35" t="s">
        <v>184</v>
      </c>
      <c r="B29" s="35" t="s">
        <v>57</v>
      </c>
      <c r="C29" s="46">
        <v>927862.02738991496</v>
      </c>
      <c r="D29" s="46">
        <v>718166.17175734323</v>
      </c>
      <c r="E29" s="46">
        <v>511669.71527057624</v>
      </c>
      <c r="F29" s="46">
        <v>488084.19688875554</v>
      </c>
      <c r="G29" s="46">
        <v>419815.42567410757</v>
      </c>
      <c r="H29" s="46">
        <v>420679.92157827568</v>
      </c>
      <c r="I29" s="46">
        <v>387756.31417879148</v>
      </c>
      <c r="J29" s="46">
        <v>235834.57752427523</v>
      </c>
      <c r="K29" s="46">
        <v>202675.47790008492</v>
      </c>
      <c r="L29" s="46">
        <v>200369.16746614882</v>
      </c>
      <c r="M29" s="46">
        <v>187265.78424999159</v>
      </c>
      <c r="N29" s="46">
        <v>153502.18096495629</v>
      </c>
      <c r="O29" s="46">
        <v>149840.12433368209</v>
      </c>
      <c r="P29" s="46">
        <v>104196.87599905352</v>
      </c>
      <c r="Q29" s="46">
        <v>110902.80371800251</v>
      </c>
      <c r="R29" s="46">
        <v>109581.88773169869</v>
      </c>
      <c r="S29" s="46">
        <v>79408.178872778532</v>
      </c>
      <c r="T29" s="46">
        <v>70069.877666608561</v>
      </c>
      <c r="U29" s="46">
        <v>78483.560610081768</v>
      </c>
      <c r="V29" s="46">
        <v>82704.475442139126</v>
      </c>
      <c r="W29" s="46">
        <v>48517.34310628775</v>
      </c>
      <c r="X29" s="46">
        <v>42549.694407992632</v>
      </c>
      <c r="Y29" s="46">
        <v>28018.623288157927</v>
      </c>
      <c r="Z29" s="46">
        <v>19164.854322498002</v>
      </c>
    </row>
    <row r="30" spans="1:26">
      <c r="A30" s="35"/>
      <c r="B30" s="34"/>
    </row>
    <row r="31" spans="1:26">
      <c r="A31" s="35" t="s">
        <v>250</v>
      </c>
      <c r="B31" s="35" t="s">
        <v>57</v>
      </c>
      <c r="C31" s="46">
        <v>372678.00227691251</v>
      </c>
      <c r="D31" s="46">
        <v>304713.63216842269</v>
      </c>
      <c r="E31" s="46">
        <v>193399.0276847732</v>
      </c>
      <c r="F31" s="46">
        <v>221912.80529730249</v>
      </c>
      <c r="G31" s="46">
        <v>195408.38405074284</v>
      </c>
      <c r="H31" s="46">
        <v>154871.65821451519</v>
      </c>
      <c r="I31" s="46">
        <v>199567.37304240398</v>
      </c>
      <c r="J31" s="46">
        <v>102944.07797555985</v>
      </c>
      <c r="K31" s="46">
        <v>75930.621045234046</v>
      </c>
      <c r="L31" s="46">
        <v>97374.768058532209</v>
      </c>
      <c r="M31" s="46">
        <v>122296.35134310015</v>
      </c>
      <c r="N31" s="46">
        <v>62140.627258804976</v>
      </c>
      <c r="O31" s="46">
        <v>76175.882077672257</v>
      </c>
      <c r="P31" s="46">
        <v>40350.445264413836</v>
      </c>
      <c r="Q31" s="46">
        <v>38303.142669380315</v>
      </c>
      <c r="R31" s="46">
        <v>57371.180577889594</v>
      </c>
      <c r="S31" s="46">
        <v>26975.511008191159</v>
      </c>
      <c r="T31" s="46">
        <v>37064.4769919639</v>
      </c>
      <c r="U31" s="46">
        <v>45165.56958303196</v>
      </c>
      <c r="V31" s="46">
        <v>41076.418377045462</v>
      </c>
      <c r="W31" s="46">
        <v>28212.644884549085</v>
      </c>
      <c r="X31" s="46">
        <v>9407.5473250939885</v>
      </c>
      <c r="Y31" s="46">
        <v>12226.585310338314</v>
      </c>
      <c r="Z31" s="46">
        <v>11623.075958827247</v>
      </c>
    </row>
    <row r="32" spans="1:26">
      <c r="A32" s="35"/>
      <c r="B32" s="34"/>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1:26">
      <c r="A33" s="35" t="s">
        <v>251</v>
      </c>
      <c r="B33" s="35" t="s">
        <v>57</v>
      </c>
      <c r="C33" s="46">
        <v>545898.3813813813</v>
      </c>
      <c r="D33" s="46">
        <v>413452.53958892199</v>
      </c>
      <c r="E33" s="46">
        <v>310853.09521625272</v>
      </c>
      <c r="F33" s="46">
        <v>260373.88950713677</v>
      </c>
      <c r="G33" s="46">
        <v>222104.86136738758</v>
      </c>
      <c r="H33" s="46">
        <v>263695.10818783037</v>
      </c>
      <c r="I33" s="46">
        <v>186346.56865423909</v>
      </c>
      <c r="J33" s="46">
        <v>129063.30686066592</v>
      </c>
      <c r="K33" s="46">
        <v>120715.87174699426</v>
      </c>
      <c r="L33" s="46">
        <v>102534.06145189799</v>
      </c>
      <c r="M33" s="46">
        <v>61210.15080184921</v>
      </c>
      <c r="N33" s="46">
        <v>89006.512493768343</v>
      </c>
      <c r="O33" s="46">
        <v>70936.03423308082</v>
      </c>
      <c r="P33" s="46">
        <v>62373.676319745653</v>
      </c>
      <c r="Q33" s="46">
        <v>72599.66104862222</v>
      </c>
      <c r="R33" s="46">
        <v>49578.86941953114</v>
      </c>
      <c r="S33" s="46">
        <v>47961.385443872874</v>
      </c>
      <c r="T33" s="46">
        <v>30456.85703689251</v>
      </c>
      <c r="U33" s="46">
        <v>32289.613937680486</v>
      </c>
      <c r="V33" s="46">
        <v>38130.470757330753</v>
      </c>
      <c r="W33" s="46">
        <v>18319.275076609276</v>
      </c>
      <c r="X33" s="46">
        <v>33142.147082898642</v>
      </c>
      <c r="Y33" s="46">
        <v>15792.037977819615</v>
      </c>
      <c r="Z33" s="46">
        <v>7541.77836367076</v>
      </c>
    </row>
    <row r="34" spans="1:26">
      <c r="A34" s="35"/>
      <c r="B34" s="34"/>
      <c r="C34" s="45"/>
      <c r="D34" s="45"/>
      <c r="E34" s="45"/>
      <c r="F34" s="45"/>
      <c r="G34" s="45"/>
      <c r="H34" s="45"/>
      <c r="I34" s="45"/>
      <c r="J34" s="45"/>
      <c r="K34" s="45"/>
      <c r="L34" s="45"/>
      <c r="M34" s="45"/>
      <c r="N34" s="45"/>
      <c r="O34" s="45"/>
      <c r="P34" s="45"/>
      <c r="Q34" s="45"/>
      <c r="R34" s="45"/>
      <c r="S34" s="45"/>
      <c r="T34" s="45"/>
      <c r="U34" s="45"/>
      <c r="V34" s="45"/>
      <c r="W34" s="45"/>
      <c r="X34" s="45"/>
      <c r="Y34" s="45"/>
      <c r="Z34" s="45"/>
    </row>
    <row r="35" spans="1:26">
      <c r="A35" s="35" t="s">
        <v>61</v>
      </c>
      <c r="B35" s="34" t="s">
        <v>62</v>
      </c>
      <c r="C35" s="45">
        <v>33759.222056048173</v>
      </c>
      <c r="D35" s="45">
        <v>1686.4206408888419</v>
      </c>
      <c r="E35" s="45">
        <v>14711.118198847564</v>
      </c>
      <c r="F35" s="45">
        <v>31520.434939778592</v>
      </c>
      <c r="G35" s="45">
        <v>18664.331810105534</v>
      </c>
      <c r="H35" s="45">
        <v>28685.571324100878</v>
      </c>
      <c r="I35" s="45">
        <v>13191.67477422816</v>
      </c>
      <c r="J35" s="45">
        <v>16226.203524718159</v>
      </c>
      <c r="K35" s="45">
        <v>11861.466497555875</v>
      </c>
      <c r="L35" s="45">
        <v>8462.1892402824124</v>
      </c>
      <c r="M35" s="45">
        <v>9400.4720455002171</v>
      </c>
      <c r="N35" s="45">
        <v>9334.9402447924967</v>
      </c>
      <c r="O35" s="45">
        <v>13669.358557265781</v>
      </c>
      <c r="P35" s="45">
        <v>3804.4254321880271</v>
      </c>
      <c r="Q35" s="45">
        <v>3795.8063227890443</v>
      </c>
      <c r="R35" s="45">
        <v>2991.5564248609007</v>
      </c>
      <c r="S35" s="45">
        <v>6712.7207643512411</v>
      </c>
      <c r="T35" s="45">
        <v>3504.6291316815405</v>
      </c>
      <c r="U35" s="45">
        <v>7502.0983072750987</v>
      </c>
      <c r="V35" s="45">
        <v>10227.757741662597</v>
      </c>
      <c r="W35" s="45">
        <v>6029.8279296013707</v>
      </c>
      <c r="X35" s="45">
        <v>3849.2089322280917</v>
      </c>
      <c r="Y35" s="45">
        <v>5396.3044045475363</v>
      </c>
      <c r="Z35" s="45">
        <v>1686.4206408888419</v>
      </c>
    </row>
    <row r="36" spans="1:26">
      <c r="A36" s="34"/>
      <c r="B36" s="34" t="s">
        <v>63</v>
      </c>
      <c r="C36" s="45">
        <v>59249.837742287797</v>
      </c>
      <c r="D36" s="45">
        <v>7790.506845721452</v>
      </c>
      <c r="E36" s="45">
        <v>10876.524090747907</v>
      </c>
      <c r="F36" s="45">
        <v>45410.313369034011</v>
      </c>
      <c r="G36" s="45">
        <v>42386.935738712098</v>
      </c>
      <c r="H36" s="45">
        <v>26837.116746626387</v>
      </c>
      <c r="I36" s="45">
        <v>34169.501904446559</v>
      </c>
      <c r="J36" s="45">
        <v>25913.739535122128</v>
      </c>
      <c r="K36" s="45">
        <v>25423.897109643203</v>
      </c>
      <c r="L36" s="45">
        <v>18551.791941101124</v>
      </c>
      <c r="M36" s="45">
        <v>23390.301136927705</v>
      </c>
      <c r="N36" s="45">
        <v>20131.040646640715</v>
      </c>
      <c r="O36" s="45">
        <v>19057.739703792693</v>
      </c>
      <c r="P36" s="45">
        <v>5649.6840745157697</v>
      </c>
      <c r="Q36" s="45">
        <v>10722.815471113499</v>
      </c>
      <c r="R36" s="45">
        <v>19713.649065192436</v>
      </c>
      <c r="S36" s="45">
        <v>10554.397553868235</v>
      </c>
      <c r="T36" s="45">
        <v>11646.04499129734</v>
      </c>
      <c r="U36" s="45">
        <v>15890.848110511175</v>
      </c>
      <c r="V36" s="45">
        <v>18789.528809485761</v>
      </c>
      <c r="W36" s="45">
        <v>6844.8925270406762</v>
      </c>
      <c r="X36" s="45">
        <v>5932.2242139877135</v>
      </c>
      <c r="Y36" s="45">
        <v>9100.4555290242861</v>
      </c>
      <c r="Z36" s="45">
        <v>4048.4704191696937</v>
      </c>
    </row>
    <row r="37" spans="1:26">
      <c r="A37" s="34"/>
      <c r="B37" s="34" t="s">
        <v>64</v>
      </c>
      <c r="C37" s="45">
        <v>74279.985109480986</v>
      </c>
      <c r="D37" s="45">
        <v>11148.022168333586</v>
      </c>
      <c r="E37" s="45">
        <v>20208.744689949988</v>
      </c>
      <c r="F37" s="45">
        <v>80445.350158058121</v>
      </c>
      <c r="G37" s="45">
        <v>72717.677303103294</v>
      </c>
      <c r="H37" s="45">
        <v>42404.89841755855</v>
      </c>
      <c r="I37" s="45">
        <v>57622.542036598468</v>
      </c>
      <c r="J37" s="45">
        <v>47060.563730953407</v>
      </c>
      <c r="K37" s="45">
        <v>36727.086509216409</v>
      </c>
      <c r="L37" s="45">
        <v>27105.623603077456</v>
      </c>
      <c r="M37" s="45">
        <v>45923.371488477635</v>
      </c>
      <c r="N37" s="45">
        <v>22534.134535625912</v>
      </c>
      <c r="O37" s="45">
        <v>31410.38501477347</v>
      </c>
      <c r="P37" s="45">
        <v>28957.066143399861</v>
      </c>
      <c r="Q37" s="45">
        <v>42283.003677655768</v>
      </c>
      <c r="R37" s="45">
        <v>22671.048709696697</v>
      </c>
      <c r="S37" s="45">
        <v>14762.894524348392</v>
      </c>
      <c r="T37" s="45">
        <v>13154.438129093345</v>
      </c>
      <c r="U37" s="45">
        <v>13805.355285335341</v>
      </c>
      <c r="V37" s="45">
        <v>17813.477272078962</v>
      </c>
      <c r="W37" s="45">
        <v>12927.983918207181</v>
      </c>
      <c r="X37" s="45">
        <v>20087.257210176878</v>
      </c>
      <c r="Y37" s="45">
        <v>4112.9243970657162</v>
      </c>
      <c r="Z37" s="45">
        <v>7087.1575749467647</v>
      </c>
    </row>
    <row r="38" spans="1:26">
      <c r="A38" s="34"/>
      <c r="B38" s="34" t="s">
        <v>65</v>
      </c>
      <c r="C38" s="45">
        <v>74913.600816352351</v>
      </c>
      <c r="D38" s="45">
        <v>24953.619322859569</v>
      </c>
      <c r="E38" s="45">
        <v>29204.120416870886</v>
      </c>
      <c r="F38" s="45">
        <v>104219.66570139751</v>
      </c>
      <c r="G38" s="45">
        <v>77186.774948641192</v>
      </c>
      <c r="H38" s="45">
        <v>60859.634416267989</v>
      </c>
      <c r="I38" s="45">
        <v>57289.489447747634</v>
      </c>
      <c r="J38" s="45">
        <v>36218.175694672733</v>
      </c>
      <c r="K38" s="45">
        <v>35073.334560314142</v>
      </c>
      <c r="L38" s="45">
        <v>19497.14107956622</v>
      </c>
      <c r="M38" s="45">
        <v>29556.393118435419</v>
      </c>
      <c r="N38" s="45">
        <v>21700.037219489634</v>
      </c>
      <c r="O38" s="45">
        <v>24534.25803492251</v>
      </c>
      <c r="P38" s="45">
        <v>35317.945845141068</v>
      </c>
      <c r="Q38" s="45">
        <v>39605.256857466957</v>
      </c>
      <c r="R38" s="45">
        <v>23660.447528232435</v>
      </c>
      <c r="S38" s="45">
        <v>10535.237755658844</v>
      </c>
      <c r="T38" s="45">
        <v>11522.98684158484</v>
      </c>
      <c r="U38" s="45">
        <v>15684.35423967735</v>
      </c>
      <c r="V38" s="45">
        <v>16421.515753727537</v>
      </c>
      <c r="W38" s="45">
        <v>9383.3182173992918</v>
      </c>
      <c r="X38" s="45">
        <v>12681.004051599954</v>
      </c>
      <c r="Y38" s="45">
        <v>1716.4633827842044</v>
      </c>
      <c r="Z38" s="45">
        <v>4058.7881075479809</v>
      </c>
    </row>
    <row r="39" spans="1:26">
      <c r="A39" s="34"/>
      <c r="B39" s="34" t="s">
        <v>66</v>
      </c>
      <c r="C39" s="45">
        <v>98598.858783417571</v>
      </c>
      <c r="D39" s="45">
        <v>45560.127371605253</v>
      </c>
      <c r="E39" s="45">
        <v>42378.928784297023</v>
      </c>
      <c r="F39" s="45">
        <v>78208.504992957969</v>
      </c>
      <c r="G39" s="45">
        <v>81360.830805616992</v>
      </c>
      <c r="H39" s="45">
        <v>59151.439317055891</v>
      </c>
      <c r="I39" s="45">
        <v>53717.705692524753</v>
      </c>
      <c r="J39" s="45">
        <v>29874.687327334734</v>
      </c>
      <c r="K39" s="45">
        <v>33476.12471865549</v>
      </c>
      <c r="L39" s="45">
        <v>26720.528664017424</v>
      </c>
      <c r="M39" s="45">
        <v>36999.853224787512</v>
      </c>
      <c r="N39" s="45">
        <v>23896.547464564752</v>
      </c>
      <c r="O39" s="45">
        <v>22092.32491225782</v>
      </c>
      <c r="P39" s="45">
        <v>17372.123327498382</v>
      </c>
      <c r="Q39" s="45">
        <v>9253.6469450848963</v>
      </c>
      <c r="R39" s="45">
        <v>12285.298612737928</v>
      </c>
      <c r="S39" s="45">
        <v>6048.7619611485861</v>
      </c>
      <c r="T39" s="45">
        <v>8742.6036034643694</v>
      </c>
      <c r="U39" s="45">
        <v>10555.421310705189</v>
      </c>
      <c r="V39" s="45">
        <v>10435.440908704302</v>
      </c>
      <c r="W39" s="45">
        <v>6581.3804508899084</v>
      </c>
      <c r="X39" s="45">
        <v>0</v>
      </c>
      <c r="Y39" s="45">
        <v>1981.8532180260654</v>
      </c>
      <c r="Z39" s="45">
        <v>911.97937751305039</v>
      </c>
    </row>
    <row r="40" spans="1:26">
      <c r="A40" s="34"/>
      <c r="B40" s="34" t="s">
        <v>67</v>
      </c>
      <c r="C40" s="45">
        <v>139030.00247884367</v>
      </c>
      <c r="D40" s="45">
        <v>86991.338493322997</v>
      </c>
      <c r="E40" s="45">
        <v>85681.442788732267</v>
      </c>
      <c r="F40" s="45">
        <v>70414.077742861191</v>
      </c>
      <c r="G40" s="45">
        <v>67085.277577988949</v>
      </c>
      <c r="H40" s="45">
        <v>54832.407464197931</v>
      </c>
      <c r="I40" s="45">
        <v>59843.229935636671</v>
      </c>
      <c r="J40" s="45">
        <v>32632.120341484737</v>
      </c>
      <c r="K40" s="45">
        <v>26925.799566729533</v>
      </c>
      <c r="L40" s="45">
        <v>29811.957338748256</v>
      </c>
      <c r="M40" s="45">
        <v>28005.873449407409</v>
      </c>
      <c r="N40" s="45">
        <v>15634.215637054545</v>
      </c>
      <c r="O40" s="45">
        <v>14887.234770323726</v>
      </c>
      <c r="P40" s="45">
        <v>3374.8313643888669</v>
      </c>
      <c r="Q40" s="45">
        <v>1901.0579017720365</v>
      </c>
      <c r="R40" s="45">
        <v>11648.60565609581</v>
      </c>
      <c r="S40" s="45">
        <v>4668.5652697991773</v>
      </c>
      <c r="T40" s="45">
        <v>8430.3380410931677</v>
      </c>
      <c r="U40" s="45">
        <v>6748.3451529170106</v>
      </c>
      <c r="V40" s="45">
        <v>5709.1869959473652</v>
      </c>
      <c r="W40" s="45">
        <v>2987.8069799327068</v>
      </c>
      <c r="X40" s="45">
        <v>0</v>
      </c>
      <c r="Y40" s="45">
        <v>0</v>
      </c>
      <c r="Z40" s="45">
        <v>518.35335793241165</v>
      </c>
    </row>
    <row r="41" spans="1:26">
      <c r="A41" s="34"/>
      <c r="B41" s="34" t="s">
        <v>68</v>
      </c>
      <c r="C41" s="45">
        <v>448030.52040348714</v>
      </c>
      <c r="D41" s="45">
        <v>540036.13691461377</v>
      </c>
      <c r="E41" s="45">
        <v>308608.83630112984</v>
      </c>
      <c r="F41" s="45">
        <v>77865.84998466754</v>
      </c>
      <c r="G41" s="45">
        <v>60413.59748993926</v>
      </c>
      <c r="H41" s="45">
        <v>147908.85389246757</v>
      </c>
      <c r="I41" s="45">
        <v>111922.17038760838</v>
      </c>
      <c r="J41" s="45">
        <v>47909.087369989255</v>
      </c>
      <c r="K41" s="45">
        <v>33187.768937970286</v>
      </c>
      <c r="L41" s="45">
        <v>70219.935599355827</v>
      </c>
      <c r="M41" s="45">
        <v>13989.519786455719</v>
      </c>
      <c r="N41" s="45">
        <v>40271.265216788204</v>
      </c>
      <c r="O41" s="45">
        <v>24188.823340346149</v>
      </c>
      <c r="P41" s="45">
        <v>9720.7998119215754</v>
      </c>
      <c r="Q41" s="45">
        <v>3341.2165421203695</v>
      </c>
      <c r="R41" s="45">
        <v>16611.281734882497</v>
      </c>
      <c r="S41" s="45">
        <v>26125.601043604027</v>
      </c>
      <c r="T41" s="45">
        <v>13068.836928393968</v>
      </c>
      <c r="U41" s="45">
        <v>8297.1382036606265</v>
      </c>
      <c r="V41" s="45">
        <v>3307.5679605326213</v>
      </c>
      <c r="W41" s="45">
        <v>3762.1330832166077</v>
      </c>
      <c r="X41" s="45">
        <v>0</v>
      </c>
      <c r="Y41" s="45">
        <v>5710.6223567101197</v>
      </c>
      <c r="Z41" s="45">
        <v>853.68484449926495</v>
      </c>
    </row>
    <row r="42" spans="1:26">
      <c r="A42" s="118"/>
      <c r="B42" s="118"/>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row>
    <row r="43" spans="1:26" ht="14.45" customHeight="1">
      <c r="A43" s="19" t="s">
        <v>253</v>
      </c>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 customHeight="1">
      <c r="A44" s="24" t="s">
        <v>117</v>
      </c>
    </row>
    <row r="45" spans="1:26">
      <c r="A45" s="16" t="s">
        <v>254</v>
      </c>
    </row>
    <row r="46" spans="1:26">
      <c r="A46" s="16" t="s">
        <v>121</v>
      </c>
    </row>
    <row r="47" spans="1:26" ht="15" customHeight="1">
      <c r="A47" s="16" t="s">
        <v>122</v>
      </c>
      <c r="B47" s="24"/>
      <c r="C47" s="2"/>
      <c r="G47" s="2"/>
      <c r="K47" s="2"/>
      <c r="O47" s="2"/>
      <c r="S47" s="2"/>
      <c r="W47" s="2"/>
    </row>
    <row r="48" spans="1:26">
      <c r="A48" s="24" t="s">
        <v>120</v>
      </c>
    </row>
  </sheetData>
  <mergeCells count="2">
    <mergeCell ref="C14:Z14"/>
    <mergeCell ref="C28:Z28"/>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C29&lt;'38'!$C$104</xm:f>
            <x14:dxf>
              <font>
                <color rgb="FFFF0000"/>
              </font>
              <numFmt numFmtId="172" formatCode="\*\*0.0%"/>
            </x14:dxf>
          </x14:cfRule>
          <x14:cfRule type="expression" priority="4" id="{E524F568-C616-457D-8467-0472D862CDFD}">
            <xm:f>C29&lt;'38'!$C$103</xm:f>
            <x14:dxf>
              <font>
                <color rgb="FF00B050"/>
              </font>
              <numFmt numFmtId="171" formatCode="\*0.0%"/>
            </x14:dxf>
          </x14:cfRule>
          <xm:sqref>C15:Z27</xm:sqref>
        </x14:conditionalFormatting>
        <x14:conditionalFormatting xmlns:xm="http://schemas.microsoft.com/office/excel/2006/main">
          <x14:cfRule type="expression" priority="1" id="{EE4FE939-663E-429C-AED8-5A504682CAE1}">
            <xm:f>C29&lt;'38'!$C$104</xm:f>
            <x14:dxf>
              <font>
                <color rgb="FFFF0000"/>
              </font>
              <numFmt numFmtId="174" formatCode="\*\*#,###,###,##0"/>
            </x14:dxf>
          </x14:cfRule>
          <x14:cfRule type="expression" priority="2" id="{8A57AEED-2150-4E39-AF42-BCEE9D9CEAF5}">
            <xm:f>C29&lt;'38'!$C$103</xm:f>
            <x14:dxf>
              <font>
                <color rgb="FF00B050"/>
              </font>
              <numFmt numFmtId="173" formatCode="\*#,###,###,##0"/>
            </x14:dxf>
          </x14:cfRule>
          <xm:sqref>C29:Z41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43"/>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5" width="19" style="1" customWidth="1"/>
    <col min="26" max="16384" width="8.85546875" style="1"/>
  </cols>
  <sheetData>
    <row r="1" spans="1:25">
      <c r="A1" s="29"/>
      <c r="B1" s="29"/>
      <c r="C1" s="29"/>
      <c r="D1" s="29"/>
      <c r="E1" s="29"/>
      <c r="F1" s="29"/>
      <c r="G1" s="29"/>
      <c r="H1" s="29"/>
      <c r="I1" s="29"/>
      <c r="J1" s="29"/>
      <c r="K1" s="29"/>
      <c r="L1" s="29"/>
      <c r="M1" s="29"/>
      <c r="N1" s="29"/>
      <c r="O1" s="29"/>
      <c r="P1" s="29"/>
      <c r="Q1" s="29"/>
      <c r="R1" s="29"/>
      <c r="S1" s="29"/>
      <c r="T1" s="29"/>
      <c r="U1" s="29"/>
      <c r="V1" s="29"/>
      <c r="W1" s="29"/>
      <c r="X1" s="29"/>
      <c r="Y1" s="29"/>
    </row>
    <row r="2" spans="1:25">
      <c r="A2" s="29"/>
      <c r="B2" s="29"/>
      <c r="C2" s="29"/>
      <c r="D2" s="29"/>
      <c r="E2" s="29"/>
      <c r="F2" s="29"/>
      <c r="G2" s="29"/>
      <c r="H2" s="29"/>
      <c r="I2" s="29"/>
      <c r="J2" s="29"/>
      <c r="K2" s="29"/>
      <c r="L2" s="29"/>
      <c r="M2" s="29"/>
      <c r="N2" s="29"/>
      <c r="O2" s="29"/>
      <c r="P2" s="29"/>
      <c r="Q2" s="29"/>
      <c r="R2" s="29"/>
      <c r="S2" s="29"/>
      <c r="T2" s="29"/>
      <c r="U2" s="29"/>
      <c r="V2" s="29"/>
      <c r="W2" s="29"/>
      <c r="X2" s="29"/>
      <c r="Y2" s="29"/>
    </row>
    <row r="3" spans="1:25">
      <c r="A3" s="29"/>
      <c r="B3" s="29"/>
      <c r="C3" s="29"/>
      <c r="D3" s="29"/>
      <c r="E3" s="29"/>
      <c r="F3" s="29"/>
      <c r="G3" s="29"/>
      <c r="H3" s="29"/>
      <c r="I3" s="29"/>
      <c r="J3" s="29"/>
      <c r="K3" s="29"/>
      <c r="L3" s="29"/>
      <c r="M3" s="29"/>
      <c r="N3" s="29"/>
      <c r="O3" s="29"/>
      <c r="P3" s="29"/>
      <c r="Q3" s="29"/>
      <c r="R3" s="29"/>
      <c r="S3" s="29"/>
      <c r="T3" s="29"/>
      <c r="U3" s="29"/>
      <c r="V3" s="29"/>
      <c r="W3" s="29"/>
      <c r="X3" s="29"/>
      <c r="Y3" s="29"/>
    </row>
    <row r="4" spans="1:25">
      <c r="A4" s="29"/>
      <c r="B4" s="29"/>
      <c r="C4" s="29"/>
      <c r="D4" s="29"/>
      <c r="E4" s="29"/>
      <c r="F4" s="29"/>
      <c r="G4" s="29"/>
      <c r="H4" s="29"/>
      <c r="I4" s="29"/>
      <c r="J4" s="29"/>
      <c r="K4" s="29"/>
      <c r="L4" s="29"/>
      <c r="M4" s="29"/>
      <c r="N4" s="29"/>
      <c r="O4" s="29"/>
      <c r="P4" s="29"/>
      <c r="Q4" s="29"/>
      <c r="R4" s="29"/>
      <c r="S4" s="29"/>
      <c r="T4" s="29"/>
      <c r="U4" s="29"/>
      <c r="V4" s="29"/>
      <c r="W4" s="29"/>
      <c r="X4" s="29"/>
      <c r="Y4" s="29"/>
    </row>
    <row r="5" spans="1:25">
      <c r="A5" s="29"/>
      <c r="B5" s="29"/>
      <c r="C5" s="29"/>
      <c r="D5" s="29"/>
      <c r="E5" s="29"/>
      <c r="F5" s="29"/>
      <c r="G5" s="29"/>
      <c r="H5" s="29"/>
      <c r="I5" s="29"/>
      <c r="J5" s="29"/>
      <c r="K5" s="29"/>
      <c r="L5" s="29"/>
      <c r="M5" s="29"/>
      <c r="N5" s="29"/>
      <c r="O5" s="29"/>
      <c r="P5" s="29"/>
      <c r="Q5" s="29"/>
      <c r="R5" s="29"/>
      <c r="S5" s="29"/>
      <c r="T5" s="29"/>
      <c r="U5" s="29"/>
      <c r="V5" s="29"/>
      <c r="W5" s="29"/>
      <c r="X5" s="29"/>
      <c r="Y5" s="29"/>
    </row>
    <row r="6" spans="1:25">
      <c r="A6" s="29"/>
      <c r="B6" s="29"/>
      <c r="C6" s="29"/>
      <c r="D6" s="29"/>
      <c r="E6" s="29"/>
      <c r="F6" s="29"/>
      <c r="G6" s="29"/>
      <c r="H6" s="29"/>
      <c r="I6" s="29"/>
      <c r="J6" s="29"/>
      <c r="K6" s="29"/>
      <c r="L6" s="29"/>
      <c r="M6" s="29"/>
      <c r="N6" s="29"/>
      <c r="O6" s="29"/>
      <c r="P6" s="29"/>
      <c r="Q6" s="29"/>
      <c r="R6" s="29"/>
      <c r="S6" s="29"/>
      <c r="T6" s="29"/>
      <c r="U6" s="29"/>
      <c r="V6" s="29"/>
      <c r="W6" s="29"/>
      <c r="X6" s="29"/>
      <c r="Y6" s="29"/>
    </row>
    <row r="7" spans="1:25">
      <c r="A7" s="29"/>
      <c r="B7" s="29"/>
      <c r="C7" s="29"/>
      <c r="D7" s="29"/>
      <c r="E7" s="29"/>
      <c r="F7" s="29"/>
      <c r="G7" s="29"/>
      <c r="H7" s="29"/>
      <c r="I7" s="29"/>
      <c r="J7" s="29"/>
      <c r="K7" s="29"/>
      <c r="L7" s="29"/>
      <c r="M7" s="29"/>
      <c r="N7" s="29"/>
      <c r="O7" s="29"/>
      <c r="P7" s="29"/>
      <c r="Q7" s="29"/>
      <c r="R7" s="29"/>
      <c r="S7" s="29"/>
      <c r="T7" s="29"/>
      <c r="U7" s="29"/>
      <c r="V7" s="29"/>
      <c r="W7" s="29"/>
      <c r="X7" s="29"/>
      <c r="Y7" s="29"/>
    </row>
    <row r="8" spans="1:25">
      <c r="A8" s="30" t="str">
        <f>Index!A8</f>
        <v>AusPlay survey results July 2024 - June 2025</v>
      </c>
      <c r="B8" s="29"/>
      <c r="C8" s="29"/>
      <c r="D8" s="29"/>
      <c r="E8" s="29"/>
      <c r="F8" s="29"/>
      <c r="G8" s="29"/>
      <c r="H8" s="29"/>
      <c r="I8" s="29"/>
      <c r="J8" s="29"/>
      <c r="K8" s="29"/>
      <c r="L8" s="29"/>
      <c r="M8" s="29"/>
      <c r="N8" s="29"/>
      <c r="O8" s="29"/>
      <c r="P8" s="29"/>
      <c r="Q8" s="29"/>
      <c r="R8" s="29"/>
      <c r="S8" s="29"/>
      <c r="T8" s="29"/>
      <c r="U8" s="29"/>
      <c r="V8" s="29"/>
      <c r="W8" s="29"/>
      <c r="X8" s="29"/>
      <c r="Y8" s="29"/>
    </row>
    <row r="9" spans="1:25">
      <c r="A9" s="29" t="s">
        <v>1</v>
      </c>
      <c r="B9" s="29"/>
      <c r="C9" s="90" t="s">
        <v>2</v>
      </c>
      <c r="D9" s="29"/>
      <c r="E9" s="29"/>
      <c r="F9" s="29"/>
      <c r="G9" s="29"/>
      <c r="H9" s="29"/>
      <c r="I9" s="29"/>
      <c r="J9" s="29"/>
      <c r="K9" s="29"/>
      <c r="L9" s="29"/>
      <c r="M9" s="29"/>
      <c r="N9" s="29"/>
      <c r="O9" s="29"/>
      <c r="P9" s="29"/>
      <c r="Q9" s="29"/>
      <c r="R9" s="29"/>
      <c r="S9" s="29"/>
      <c r="T9" s="29"/>
      <c r="U9" s="29"/>
      <c r="V9" s="29"/>
      <c r="W9" s="29"/>
      <c r="X9" s="29"/>
      <c r="Y9" s="29"/>
    </row>
    <row r="10" spans="1:25">
      <c r="A10" s="29" t="s">
        <v>49</v>
      </c>
      <c r="B10" s="29"/>
      <c r="C10" s="31">
        <v>14</v>
      </c>
      <c r="D10" s="29"/>
      <c r="E10" s="29"/>
      <c r="F10" s="29"/>
      <c r="G10" s="29"/>
      <c r="H10" s="29"/>
      <c r="I10" s="29"/>
      <c r="J10" s="29"/>
      <c r="K10" s="29"/>
      <c r="L10" s="29"/>
      <c r="M10" s="29"/>
      <c r="N10" s="29"/>
      <c r="O10" s="29"/>
      <c r="P10" s="29"/>
      <c r="Q10" s="29"/>
      <c r="R10" s="29"/>
      <c r="S10" s="29"/>
      <c r="T10" s="29"/>
      <c r="U10" s="29"/>
      <c r="V10" s="29"/>
      <c r="W10" s="29"/>
      <c r="X10" s="29"/>
      <c r="Y10" s="29"/>
    </row>
    <row r="11" spans="1:25">
      <c r="A11" s="29" t="s">
        <v>3</v>
      </c>
      <c r="B11" s="29"/>
      <c r="C11" s="30" t="s">
        <v>22</v>
      </c>
      <c r="D11" s="29"/>
      <c r="E11" s="107" t="s">
        <v>146</v>
      </c>
      <c r="F11" s="29"/>
      <c r="G11" s="29"/>
      <c r="H11" s="29"/>
      <c r="I11" s="29"/>
      <c r="J11" s="29"/>
      <c r="K11" s="29"/>
      <c r="L11" s="29"/>
      <c r="M11" s="29"/>
      <c r="N11" s="29"/>
      <c r="O11" s="29"/>
      <c r="P11" s="29"/>
      <c r="Q11" s="29"/>
      <c r="R11" s="29"/>
      <c r="S11" s="29"/>
      <c r="T11" s="29"/>
      <c r="U11" s="29"/>
      <c r="V11" s="29"/>
      <c r="W11" s="29"/>
      <c r="X11" s="29"/>
      <c r="Y11" s="29"/>
    </row>
    <row r="12" spans="1:25">
      <c r="A12" s="116" t="s">
        <v>50</v>
      </c>
      <c r="B12" s="116"/>
      <c r="C12" s="117" t="s">
        <v>255</v>
      </c>
      <c r="D12" s="116"/>
      <c r="E12" s="174" t="s">
        <v>146</v>
      </c>
      <c r="F12" s="174" t="s">
        <v>146</v>
      </c>
      <c r="G12" s="116"/>
      <c r="H12" s="116"/>
      <c r="I12" s="116"/>
      <c r="J12" s="116"/>
      <c r="K12" s="116"/>
      <c r="L12" s="116"/>
      <c r="M12" s="116"/>
      <c r="N12" s="116"/>
      <c r="O12" s="116"/>
      <c r="P12" s="116"/>
      <c r="Q12" s="116"/>
      <c r="R12" s="116"/>
      <c r="S12" s="116"/>
      <c r="T12" s="116"/>
      <c r="U12" s="116"/>
      <c r="V12" s="116"/>
      <c r="W12" s="116"/>
      <c r="X12" s="116"/>
      <c r="Y12" s="116"/>
    </row>
    <row r="13" spans="1:25" s="99" customFormat="1" ht="50.1" customHeight="1">
      <c r="A13" s="64"/>
      <c r="B13" s="64"/>
      <c r="C13" s="64" t="s">
        <v>256</v>
      </c>
      <c r="D13" s="64" t="s">
        <v>257</v>
      </c>
      <c r="E13" s="64" t="s">
        <v>258</v>
      </c>
      <c r="F13" s="64" t="s">
        <v>259</v>
      </c>
      <c r="G13" s="64" t="s">
        <v>231</v>
      </c>
      <c r="H13" s="64" t="s">
        <v>229</v>
      </c>
      <c r="I13" s="64" t="s">
        <v>228</v>
      </c>
      <c r="J13" s="64" t="s">
        <v>227</v>
      </c>
      <c r="K13" s="64" t="s">
        <v>260</v>
      </c>
      <c r="L13" s="64" t="s">
        <v>240</v>
      </c>
      <c r="M13" s="64" t="s">
        <v>242</v>
      </c>
      <c r="N13" s="64" t="s">
        <v>261</v>
      </c>
      <c r="O13" s="64" t="s">
        <v>234</v>
      </c>
      <c r="P13" s="64" t="s">
        <v>262</v>
      </c>
      <c r="Q13" s="64" t="s">
        <v>236</v>
      </c>
      <c r="R13" s="64" t="s">
        <v>263</v>
      </c>
      <c r="S13" s="64" t="s">
        <v>245</v>
      </c>
      <c r="T13" s="64" t="s">
        <v>241</v>
      </c>
      <c r="U13" s="64" t="s">
        <v>264</v>
      </c>
      <c r="V13" s="64" t="s">
        <v>237</v>
      </c>
      <c r="W13" s="64" t="s">
        <v>244</v>
      </c>
      <c r="X13" s="64" t="s">
        <v>248</v>
      </c>
      <c r="Y13" s="64" t="s">
        <v>265</v>
      </c>
    </row>
    <row r="14" spans="1:25">
      <c r="A14" s="67"/>
      <c r="B14" s="67"/>
      <c r="C14" s="187" t="s">
        <v>249</v>
      </c>
      <c r="D14" s="187"/>
      <c r="E14" s="187"/>
      <c r="F14" s="187"/>
      <c r="G14" s="187"/>
      <c r="H14" s="187"/>
      <c r="I14" s="187"/>
      <c r="J14" s="187"/>
      <c r="K14" s="187"/>
      <c r="L14" s="187"/>
      <c r="M14" s="187"/>
      <c r="N14" s="187"/>
      <c r="O14" s="187"/>
      <c r="P14" s="187"/>
      <c r="Q14" s="187"/>
      <c r="R14" s="187"/>
      <c r="S14" s="187"/>
      <c r="T14" s="187"/>
      <c r="U14" s="187"/>
      <c r="V14" s="187"/>
      <c r="W14" s="187"/>
      <c r="X14" s="187"/>
      <c r="Y14" s="187"/>
    </row>
    <row r="15" spans="1:25">
      <c r="A15" s="35" t="s">
        <v>145</v>
      </c>
      <c r="B15" s="35" t="s">
        <v>57</v>
      </c>
      <c r="C15" s="28">
        <v>0.45319606635474885</v>
      </c>
      <c r="D15" s="28">
        <v>8.9935813812762694E-2</v>
      </c>
      <c r="E15" s="28">
        <v>8.8071790374479833E-2</v>
      </c>
      <c r="F15" s="28">
        <v>7.7174773436902003E-2</v>
      </c>
      <c r="G15" s="28">
        <v>6.4360852184946471E-2</v>
      </c>
      <c r="H15" s="28">
        <v>6.2215268899691083E-2</v>
      </c>
      <c r="I15" s="28">
        <v>4.2982061763125474E-2</v>
      </c>
      <c r="J15" s="28">
        <v>3.9062504863015553E-2</v>
      </c>
      <c r="K15" s="28">
        <v>3.4772832066804281E-2</v>
      </c>
      <c r="L15" s="28">
        <v>3.2975530898376029E-2</v>
      </c>
      <c r="M15" s="28">
        <v>2.7801823050346692E-2</v>
      </c>
      <c r="N15" s="28">
        <v>1.9790690722403359E-2</v>
      </c>
      <c r="O15" s="28">
        <v>2.9307559169705982E-2</v>
      </c>
      <c r="P15" s="28">
        <v>1.8462647288898838E-2</v>
      </c>
      <c r="Q15" s="28">
        <v>2.5482485530069057E-2</v>
      </c>
      <c r="R15" s="28">
        <v>2.3499412351015856E-2</v>
      </c>
      <c r="S15" s="28">
        <v>2.6032412529847861E-2</v>
      </c>
      <c r="T15" s="28">
        <v>2.5957993160562388E-2</v>
      </c>
      <c r="U15" s="28">
        <v>2.2723930683812767E-2</v>
      </c>
      <c r="V15" s="28">
        <v>1.8466580848374312E-2</v>
      </c>
      <c r="W15" s="28">
        <v>1.4087973199451565E-2</v>
      </c>
      <c r="X15" s="28">
        <v>1.1816648598571351E-2</v>
      </c>
      <c r="Y15" s="28">
        <v>6.8122357252488348E-3</v>
      </c>
    </row>
    <row r="16" spans="1:25">
      <c r="A16" s="35"/>
      <c r="B16" s="34"/>
    </row>
    <row r="17" spans="1:25">
      <c r="A17" s="35" t="s">
        <v>250</v>
      </c>
      <c r="B17" s="35" t="s">
        <v>57</v>
      </c>
      <c r="C17" s="28">
        <v>0.48099763252479533</v>
      </c>
      <c r="D17" s="28">
        <v>8.8495071853520707E-2</v>
      </c>
      <c r="E17" s="28">
        <v>7.4571866103352979E-2</v>
      </c>
      <c r="F17" s="28">
        <v>7.7957726973543362E-2</v>
      </c>
      <c r="G17" s="28">
        <v>6.1968943669956554E-2</v>
      </c>
      <c r="H17" s="28">
        <v>5.5961140477600646E-2</v>
      </c>
      <c r="I17" s="28">
        <v>4.3237820738599199E-2</v>
      </c>
      <c r="J17" s="28">
        <v>4.901682216852634E-2</v>
      </c>
      <c r="K17" s="28">
        <v>3.8404173123071678E-2</v>
      </c>
      <c r="L17" s="28">
        <v>3.0068927018625909E-2</v>
      </c>
      <c r="M17" s="28">
        <v>2.7067781302242397E-2</v>
      </c>
      <c r="N17" s="28">
        <v>1.506213105864521E-2</v>
      </c>
      <c r="O17" s="28">
        <v>2.918194550425968E-2</v>
      </c>
      <c r="P17" s="28">
        <v>1.7628104886345763E-2</v>
      </c>
      <c r="Q17" s="28">
        <v>2.666657432084658E-2</v>
      </c>
      <c r="R17" s="28">
        <v>2.5114102298196984E-2</v>
      </c>
      <c r="S17" s="28">
        <v>2.9356757998884001E-2</v>
      </c>
      <c r="T17" s="28">
        <v>1.8953064093542416E-2</v>
      </c>
      <c r="U17" s="28">
        <v>2.3465884079994146E-2</v>
      </c>
      <c r="V17" s="28">
        <v>2.1541892974983556E-2</v>
      </c>
      <c r="W17" s="28">
        <v>1.7329096428146212E-2</v>
      </c>
      <c r="X17" s="28">
        <v>1.0543798876779985E-2</v>
      </c>
      <c r="Y17" s="28">
        <v>7.6824162311631096E-3</v>
      </c>
    </row>
    <row r="18" spans="1:25">
      <c r="A18" s="35"/>
      <c r="B18" s="34"/>
      <c r="K18" s="28"/>
      <c r="L18" s="28"/>
      <c r="M18" s="28"/>
      <c r="N18" s="28"/>
      <c r="O18" s="28"/>
      <c r="P18" s="28"/>
      <c r="Q18" s="28"/>
      <c r="R18" s="28"/>
      <c r="S18" s="28"/>
      <c r="T18" s="28"/>
      <c r="U18" s="28"/>
      <c r="V18" s="28"/>
      <c r="W18" s="28"/>
      <c r="X18" s="28"/>
      <c r="Y18" s="28"/>
    </row>
    <row r="19" spans="1:25">
      <c r="A19" s="35" t="s">
        <v>251</v>
      </c>
      <c r="B19" s="35" t="s">
        <v>57</v>
      </c>
      <c r="C19" s="28">
        <v>0.42768423308074011</v>
      </c>
      <c r="D19" s="28">
        <v>9.0402326332487362E-2</v>
      </c>
      <c r="E19" s="28">
        <v>0.10265758636512931</v>
      </c>
      <c r="F19" s="28">
        <v>7.7357499996529938E-2</v>
      </c>
      <c r="G19" s="28">
        <v>6.6169741966900716E-2</v>
      </c>
      <c r="H19" s="28">
        <v>6.960044380801815E-2</v>
      </c>
      <c r="I19" s="28">
        <v>4.1180812799275192E-2</v>
      </c>
      <c r="J19" s="28">
        <v>2.6843089546429517E-2</v>
      </c>
      <c r="K19" s="28">
        <v>2.8661007713632031E-2</v>
      </c>
      <c r="L19" s="28">
        <v>3.4779756548053598E-2</v>
      </c>
      <c r="M19" s="28">
        <v>2.8935774035583978E-2</v>
      </c>
      <c r="N19" s="28">
        <v>2.501928942662443E-2</v>
      </c>
      <c r="O19" s="28">
        <v>2.9821551651901503E-2</v>
      </c>
      <c r="P19" s="28">
        <v>1.9580533338083073E-2</v>
      </c>
      <c r="Q19" s="28">
        <v>2.4569864255596548E-2</v>
      </c>
      <c r="R19" s="28">
        <v>2.2108297432988536E-2</v>
      </c>
      <c r="S19" s="28">
        <v>2.2877112505811134E-2</v>
      </c>
      <c r="T19" s="28">
        <v>3.3659894221815589E-2</v>
      </c>
      <c r="U19" s="28">
        <v>2.1528963858726533E-2</v>
      </c>
      <c r="V19" s="28">
        <v>1.5474464865210914E-2</v>
      </c>
      <c r="W19" s="28">
        <v>1.0864492350145282E-2</v>
      </c>
      <c r="X19" s="28">
        <v>1.2282517765822452E-2</v>
      </c>
      <c r="Y19" s="28">
        <v>5.9862783868800794E-3</v>
      </c>
    </row>
    <row r="20" spans="1:25">
      <c r="A20" s="35"/>
      <c r="B20" s="35"/>
      <c r="C20" s="4"/>
      <c r="D20" s="4"/>
      <c r="E20" s="4"/>
      <c r="F20" s="4"/>
      <c r="G20" s="4"/>
      <c r="H20" s="4"/>
      <c r="I20" s="4"/>
      <c r="J20" s="4"/>
      <c r="K20" s="4"/>
      <c r="L20" s="4"/>
      <c r="M20" s="4"/>
      <c r="N20" s="4"/>
      <c r="O20" s="4"/>
      <c r="P20" s="4"/>
      <c r="Q20" s="4"/>
      <c r="R20" s="4"/>
      <c r="S20" s="4"/>
      <c r="T20" s="4"/>
      <c r="U20" s="4"/>
      <c r="V20" s="4"/>
      <c r="W20" s="4"/>
      <c r="X20" s="4"/>
      <c r="Y20" s="4"/>
    </row>
    <row r="21" spans="1:25">
      <c r="A21" s="35" t="s">
        <v>61</v>
      </c>
      <c r="B21" s="34" t="s">
        <v>124</v>
      </c>
      <c r="C21" s="4">
        <v>0.7241006551953566</v>
      </c>
      <c r="D21" s="4">
        <v>2.0304163306188006E-2</v>
      </c>
      <c r="E21" s="4">
        <v>5.1956158873999118E-2</v>
      </c>
      <c r="F21" s="4">
        <v>5.7743230964004848E-2</v>
      </c>
      <c r="G21" s="4">
        <v>3.7353478767434695E-2</v>
      </c>
      <c r="H21" s="4">
        <v>3.8013646589140249E-2</v>
      </c>
      <c r="I21" s="4">
        <v>1.1591659630123458E-2</v>
      </c>
      <c r="J21" s="4">
        <v>9.0239025800889633E-3</v>
      </c>
      <c r="K21" s="4">
        <v>1.3251763582819962E-2</v>
      </c>
      <c r="L21" s="4">
        <v>2.4100470446888799E-2</v>
      </c>
      <c r="M21" s="4">
        <v>2.4432221504250732E-2</v>
      </c>
      <c r="N21" s="4">
        <v>4.9754533253230857E-3</v>
      </c>
      <c r="O21" s="4">
        <v>1.8145586407081599E-2</v>
      </c>
      <c r="P21" s="4">
        <v>1.6623151945502512E-2</v>
      </c>
      <c r="Q21" s="4">
        <v>1.9349722480557427E-2</v>
      </c>
      <c r="R21" s="4">
        <v>1.5547511034901505E-2</v>
      </c>
      <c r="S21" s="4">
        <v>1.780537751324154E-2</v>
      </c>
      <c r="T21" s="4">
        <v>1.4450941260898376E-2</v>
      </c>
      <c r="U21" s="4">
        <v>8.7238553836111055E-3</v>
      </c>
      <c r="V21" s="4">
        <v>1.2449076082753582E-2</v>
      </c>
      <c r="W21" s="4">
        <v>4.4590273011837524E-3</v>
      </c>
      <c r="X21" s="4">
        <v>9.0788554180349455E-3</v>
      </c>
      <c r="Y21" s="4">
        <v>2.287226020286014E-3</v>
      </c>
    </row>
    <row r="22" spans="1:25">
      <c r="A22" s="34"/>
      <c r="B22" s="34" t="s">
        <v>125</v>
      </c>
      <c r="C22" s="4">
        <v>0.14119654760365269</v>
      </c>
      <c r="D22" s="4">
        <v>9.911338354508703E-2</v>
      </c>
      <c r="E22" s="4">
        <v>0.14028599769484681</v>
      </c>
      <c r="F22" s="4">
        <v>9.6856676730265157E-2</v>
      </c>
      <c r="G22" s="4">
        <v>8.5728858262461877E-2</v>
      </c>
      <c r="H22" s="4">
        <v>8.5802495858586791E-2</v>
      </c>
      <c r="I22" s="4">
        <v>5.3550327558423511E-2</v>
      </c>
      <c r="J22" s="4">
        <v>7.2343664165204435E-2</v>
      </c>
      <c r="K22" s="4">
        <v>7.132475834263903E-2</v>
      </c>
      <c r="L22" s="4">
        <v>4.8474893556924324E-2</v>
      </c>
      <c r="M22" s="4">
        <v>2.5282734802048575E-2</v>
      </c>
      <c r="N22" s="4">
        <v>3.2146267241384294E-2</v>
      </c>
      <c r="O22" s="4">
        <v>5.5967812177022111E-2</v>
      </c>
      <c r="P22" s="4">
        <v>2.4745830566627641E-2</v>
      </c>
      <c r="Q22" s="4">
        <v>5.4675524376156234E-2</v>
      </c>
      <c r="R22" s="4">
        <v>3.7151678061501714E-2</v>
      </c>
      <c r="S22" s="4">
        <v>5.2637607401580369E-2</v>
      </c>
      <c r="T22" s="4">
        <v>4.7841073336468691E-2</v>
      </c>
      <c r="U22" s="4">
        <v>4.5421039506899408E-2</v>
      </c>
      <c r="V22" s="4">
        <v>2.3763557552283678E-2</v>
      </c>
      <c r="W22" s="4">
        <v>2.6821812694016404E-2</v>
      </c>
      <c r="X22" s="4">
        <v>2.751676573223634E-2</v>
      </c>
      <c r="Y22" s="4">
        <v>1.4316024994671637E-2</v>
      </c>
    </row>
    <row r="23" spans="1:25">
      <c r="A23" s="34"/>
      <c r="B23" s="34" t="s">
        <v>126</v>
      </c>
      <c r="C23" s="4">
        <v>2.5315890735265054E-2</v>
      </c>
      <c r="D23" s="4">
        <v>0.21446717350562045</v>
      </c>
      <c r="E23" s="4">
        <v>0.18324315659846635</v>
      </c>
      <c r="F23" s="4">
        <v>0.10374220761475679</v>
      </c>
      <c r="G23" s="4">
        <v>0.10237553601161475</v>
      </c>
      <c r="H23" s="4">
        <v>0.10861914271315179</v>
      </c>
      <c r="I23" s="4">
        <v>0.10097000774204656</v>
      </c>
      <c r="J23" s="4">
        <v>0.11260371909105735</v>
      </c>
      <c r="K23" s="4">
        <v>5.8784197757131923E-2</v>
      </c>
      <c r="L23" s="4">
        <v>3.7700718399004927E-2</v>
      </c>
      <c r="M23" s="4">
        <v>4.3991417180799006E-2</v>
      </c>
      <c r="N23" s="4">
        <v>5.9891461155089795E-2</v>
      </c>
      <c r="O23" s="4">
        <v>3.4938129279893905E-2</v>
      </c>
      <c r="P23" s="4">
        <v>1.6280551212759752E-2</v>
      </c>
      <c r="Q23" s="4">
        <v>1.3810587139444009E-2</v>
      </c>
      <c r="R23" s="4">
        <v>2.6914470136961834E-2</v>
      </c>
      <c r="S23" s="4">
        <v>3.0730036988764569E-2</v>
      </c>
      <c r="T23" s="4">
        <v>2.4483021444393488E-2</v>
      </c>
      <c r="U23" s="4">
        <v>5.2945321555701731E-2</v>
      </c>
      <c r="V23" s="4">
        <v>3.1772797017738774E-2</v>
      </c>
      <c r="W23" s="4">
        <v>2.2925816353561397E-2</v>
      </c>
      <c r="X23" s="4">
        <v>7.7232023927707172E-3</v>
      </c>
      <c r="Y23" s="4">
        <v>1.5865719336261734E-2</v>
      </c>
    </row>
    <row r="24" spans="1:25">
      <c r="A24" s="118"/>
      <c r="B24" s="118" t="s">
        <v>127</v>
      </c>
      <c r="C24" s="123">
        <v>1.5399542767639241E-2</v>
      </c>
      <c r="D24" s="123">
        <v>0.28140902534726148</v>
      </c>
      <c r="E24" s="123">
        <v>9.8503926113291992E-2</v>
      </c>
      <c r="F24" s="123">
        <v>0.11576732239245374</v>
      </c>
      <c r="G24" s="123">
        <v>0.12477856042486699</v>
      </c>
      <c r="H24" s="123">
        <v>9.9546694017188159E-2</v>
      </c>
      <c r="I24" s="123">
        <v>0.11931260486312595</v>
      </c>
      <c r="J24" s="123">
        <v>6.5916863748339966E-2</v>
      </c>
      <c r="K24" s="123">
        <v>6.3256942269875854E-2</v>
      </c>
      <c r="L24" s="123">
        <v>4.8810896345797765E-2</v>
      </c>
      <c r="M24" s="123">
        <v>3.1795907236266609E-2</v>
      </c>
      <c r="N24" s="123">
        <v>3.4860132927100849E-2</v>
      </c>
      <c r="O24" s="123">
        <v>4.0219736869150348E-2</v>
      </c>
      <c r="P24" s="123">
        <v>2.0601088351851673E-2</v>
      </c>
      <c r="Q24" s="123">
        <v>2.5872981327237858E-2</v>
      </c>
      <c r="R24" s="123">
        <v>3.8725667726272284E-2</v>
      </c>
      <c r="S24" s="123">
        <v>2.4575707565926856E-2</v>
      </c>
      <c r="T24" s="123">
        <v>5.0988102220891639E-2</v>
      </c>
      <c r="U24" s="123">
        <v>2.9565938321575672E-2</v>
      </c>
      <c r="V24" s="123">
        <v>2.6899064578435078E-2</v>
      </c>
      <c r="W24" s="123">
        <v>3.3229398238343408E-2</v>
      </c>
      <c r="X24" s="123">
        <v>7.5341129263247581E-3</v>
      </c>
      <c r="Y24" s="123">
        <v>9.4467504602024823E-3</v>
      </c>
    </row>
    <row r="25" spans="1:25">
      <c r="A25" s="67"/>
      <c r="B25" s="67"/>
      <c r="C25" s="187" t="s">
        <v>147</v>
      </c>
      <c r="D25" s="187"/>
      <c r="E25" s="187"/>
      <c r="F25" s="187"/>
      <c r="G25" s="187"/>
      <c r="H25" s="187"/>
      <c r="I25" s="187"/>
      <c r="J25" s="187"/>
      <c r="K25" s="187"/>
      <c r="L25" s="187"/>
      <c r="M25" s="187"/>
      <c r="N25" s="187"/>
      <c r="O25" s="187"/>
      <c r="P25" s="187"/>
      <c r="Q25" s="187"/>
      <c r="R25" s="187"/>
      <c r="S25" s="187"/>
      <c r="T25" s="187"/>
      <c r="U25" s="187"/>
      <c r="V25" s="187"/>
      <c r="W25" s="187"/>
      <c r="X25" s="187"/>
      <c r="Y25" s="187"/>
    </row>
    <row r="26" spans="1:25" ht="17.25">
      <c r="A26" s="35" t="s">
        <v>184</v>
      </c>
      <c r="B26" s="35" t="s">
        <v>57</v>
      </c>
      <c r="C26" s="46">
        <v>618282.18492431729</v>
      </c>
      <c r="D26" s="46">
        <v>122696.80960464242</v>
      </c>
      <c r="E26" s="46">
        <v>120153.77675477313</v>
      </c>
      <c r="F26" s="46">
        <v>105287.29414049324</v>
      </c>
      <c r="G26" s="46">
        <v>87805.63483830147</v>
      </c>
      <c r="H26" s="46">
        <v>84878.478095271872</v>
      </c>
      <c r="I26" s="46">
        <v>58639.174150851948</v>
      </c>
      <c r="J26" s="46">
        <v>53291.836907553399</v>
      </c>
      <c r="K26" s="46">
        <v>47439.561334234932</v>
      </c>
      <c r="L26" s="46">
        <v>44987.555732507135</v>
      </c>
      <c r="M26" s="46">
        <v>37929.216903202891</v>
      </c>
      <c r="N26" s="46">
        <v>26999.862552714203</v>
      </c>
      <c r="O26" s="46">
        <v>39983.448806151908</v>
      </c>
      <c r="P26" s="46">
        <v>25188.051602221902</v>
      </c>
      <c r="Q26" s="46">
        <v>34765.012321401191</v>
      </c>
      <c r="R26" s="46">
        <v>32059.56337990471</v>
      </c>
      <c r="S26" s="46">
        <v>35515.261699572016</v>
      </c>
      <c r="T26" s="46">
        <v>35413.733523009039</v>
      </c>
      <c r="U26" s="46">
        <v>31001.59634275976</v>
      </c>
      <c r="V26" s="46">
        <v>25193.418042770667</v>
      </c>
      <c r="W26" s="46">
        <v>19219.811241905027</v>
      </c>
      <c r="X26" s="46">
        <v>16121.109286700255</v>
      </c>
      <c r="Y26" s="46">
        <v>9293.7346572849528</v>
      </c>
    </row>
    <row r="27" spans="1:25">
      <c r="A27" s="35"/>
      <c r="B27" s="34"/>
    </row>
    <row r="28" spans="1:25">
      <c r="A28" s="35" t="s">
        <v>250</v>
      </c>
      <c r="B28" s="35" t="s">
        <v>57</v>
      </c>
      <c r="C28" s="46">
        <v>334172.75991555437</v>
      </c>
      <c r="D28" s="46">
        <v>61481.887644617134</v>
      </c>
      <c r="E28" s="46">
        <v>51808.75044437153</v>
      </c>
      <c r="F28" s="46">
        <v>54161.074853417915</v>
      </c>
      <c r="G28" s="46">
        <v>43052.879130695917</v>
      </c>
      <c r="H28" s="46">
        <v>38878.962175469409</v>
      </c>
      <c r="I28" s="46">
        <v>30039.444920151142</v>
      </c>
      <c r="J28" s="46">
        <v>34054.402015174128</v>
      </c>
      <c r="K28" s="46">
        <v>26681.27170906615</v>
      </c>
      <c r="L28" s="46">
        <v>20890.36546140509</v>
      </c>
      <c r="M28" s="46">
        <v>18805.321629300735</v>
      </c>
      <c r="N28" s="46">
        <v>10464.404740740158</v>
      </c>
      <c r="O28" s="46">
        <v>20274.135691013111</v>
      </c>
      <c r="P28" s="46">
        <v>12247.11321556736</v>
      </c>
      <c r="Q28" s="46">
        <v>18526.583366979834</v>
      </c>
      <c r="R28" s="46">
        <v>17448.004543676052</v>
      </c>
      <c r="S28" s="46">
        <v>20395.586546165334</v>
      </c>
      <c r="T28" s="46">
        <v>13167.627673653815</v>
      </c>
      <c r="U28" s="46">
        <v>16302.906119742445</v>
      </c>
      <c r="V28" s="46">
        <v>14966.214680660938</v>
      </c>
      <c r="W28" s="46">
        <v>12039.377303874515</v>
      </c>
      <c r="X28" s="46">
        <v>7325.2967008448977</v>
      </c>
      <c r="Y28" s="46">
        <v>5337.3531618276447</v>
      </c>
    </row>
    <row r="29" spans="1:25">
      <c r="A29" s="35"/>
      <c r="B29" s="34"/>
      <c r="C29" s="46"/>
      <c r="D29" s="46"/>
      <c r="E29" s="46"/>
      <c r="F29" s="46"/>
      <c r="G29" s="46"/>
      <c r="H29" s="46"/>
      <c r="I29" s="46"/>
      <c r="J29" s="46"/>
      <c r="K29" s="46"/>
      <c r="L29" s="46"/>
      <c r="M29" s="46"/>
      <c r="N29" s="46"/>
      <c r="O29" s="46"/>
      <c r="P29" s="46"/>
      <c r="Q29" s="46"/>
      <c r="R29" s="46"/>
      <c r="S29" s="46"/>
      <c r="T29" s="46"/>
      <c r="U29" s="46"/>
      <c r="V29" s="46"/>
      <c r="W29" s="46"/>
      <c r="X29" s="46"/>
      <c r="Y29" s="46"/>
    </row>
    <row r="30" spans="1:25">
      <c r="A30" s="35" t="s">
        <v>251</v>
      </c>
      <c r="B30" s="35" t="s">
        <v>57</v>
      </c>
      <c r="C30" s="46">
        <v>282660.08967574406</v>
      </c>
      <c r="D30" s="46">
        <v>59747.654207333675</v>
      </c>
      <c r="E30" s="46">
        <v>67847.258148478199</v>
      </c>
      <c r="F30" s="46">
        <v>51126.219287075255</v>
      </c>
      <c r="G30" s="46">
        <v>43732.136355501476</v>
      </c>
      <c r="H30" s="46">
        <v>45999.515919802427</v>
      </c>
      <c r="I30" s="46">
        <v>27216.743892837574</v>
      </c>
      <c r="J30" s="46">
        <v>17740.822577706294</v>
      </c>
      <c r="K30" s="46">
        <v>18942.299911727208</v>
      </c>
      <c r="L30" s="46">
        <v>22986.232234840103</v>
      </c>
      <c r="M30" s="46">
        <v>19123.895273902155</v>
      </c>
      <c r="N30" s="46">
        <v>16535.457811974054</v>
      </c>
      <c r="O30" s="46">
        <v>19709.313115138804</v>
      </c>
      <c r="P30" s="46">
        <v>12940.938386654541</v>
      </c>
      <c r="Q30" s="46">
        <v>16238.428954421348</v>
      </c>
      <c r="R30" s="46">
        <v>14611.558836228651</v>
      </c>
      <c r="S30" s="46">
        <v>15119.675153406688</v>
      </c>
      <c r="T30" s="46">
        <v>22246.105849355219</v>
      </c>
      <c r="U30" s="46">
        <v>14228.6724275493</v>
      </c>
      <c r="V30" s="46">
        <v>10227.203362109733</v>
      </c>
      <c r="W30" s="46">
        <v>7180.4339380305182</v>
      </c>
      <c r="X30" s="46">
        <v>8117.6188051708614</v>
      </c>
      <c r="Y30" s="46">
        <v>3956.3814954573113</v>
      </c>
    </row>
    <row r="31" spans="1:25">
      <c r="A31" s="35"/>
      <c r="B31" s="35"/>
      <c r="C31" s="45"/>
      <c r="D31" s="45"/>
      <c r="E31" s="45"/>
      <c r="F31" s="45"/>
      <c r="G31" s="45"/>
      <c r="H31" s="45"/>
      <c r="I31" s="45"/>
      <c r="J31" s="45"/>
      <c r="K31" s="45"/>
      <c r="L31" s="45"/>
      <c r="M31" s="45"/>
      <c r="N31" s="45"/>
      <c r="O31" s="45"/>
      <c r="P31" s="45"/>
      <c r="Q31" s="45"/>
      <c r="R31" s="45"/>
      <c r="S31" s="45"/>
      <c r="T31" s="45"/>
      <c r="U31" s="45"/>
      <c r="V31" s="45"/>
      <c r="W31" s="45"/>
      <c r="X31" s="45"/>
      <c r="Y31" s="45"/>
    </row>
    <row r="32" spans="1:25">
      <c r="A32" s="35" t="s">
        <v>61</v>
      </c>
      <c r="B32" s="34" t="s">
        <v>124</v>
      </c>
      <c r="C32" s="45">
        <v>579206.13447918929</v>
      </c>
      <c r="D32" s="45">
        <v>16241.244719269749</v>
      </c>
      <c r="E32" s="45">
        <v>41559.589440886113</v>
      </c>
      <c r="F32" s="45">
        <v>46188.652584462892</v>
      </c>
      <c r="G32" s="45">
        <v>29878.945545767077</v>
      </c>
      <c r="H32" s="45">
        <v>30407.011981523112</v>
      </c>
      <c r="I32" s="45">
        <v>9272.1368478128279</v>
      </c>
      <c r="J32" s="45">
        <v>7218.1950034556858</v>
      </c>
      <c r="K32" s="45">
        <v>10600.049461033084</v>
      </c>
      <c r="L32" s="45">
        <v>19277.900422429997</v>
      </c>
      <c r="M32" s="45">
        <v>19543.267186242891</v>
      </c>
      <c r="N32" s="45">
        <v>3979.8515125835961</v>
      </c>
      <c r="O32" s="45">
        <v>14514.604958986443</v>
      </c>
      <c r="P32" s="45">
        <v>13296.813795337755</v>
      </c>
      <c r="Q32" s="45">
        <v>15477.790112184128</v>
      </c>
      <c r="R32" s="45">
        <v>12436.411571631994</v>
      </c>
      <c r="S32" s="45">
        <v>14242.472794897489</v>
      </c>
      <c r="T32" s="45">
        <v>11559.268407308085</v>
      </c>
      <c r="U32" s="45">
        <v>6978.1880712890925</v>
      </c>
      <c r="V32" s="45">
        <v>9957.9819241893565</v>
      </c>
      <c r="W32" s="45">
        <v>3566.7637477265121</v>
      </c>
      <c r="X32" s="45">
        <v>7262.15162829366</v>
      </c>
      <c r="Y32" s="45">
        <v>1829.5458406023236</v>
      </c>
    </row>
    <row r="33" spans="1:25">
      <c r="A33" s="34"/>
      <c r="B33" s="34" t="s">
        <v>125</v>
      </c>
      <c r="C33" s="45">
        <v>32340.404753845251</v>
      </c>
      <c r="D33" s="45">
        <v>22701.454070738902</v>
      </c>
      <c r="E33" s="45">
        <v>32131.847582305763</v>
      </c>
      <c r="F33" s="45">
        <v>22184.565994927249</v>
      </c>
      <c r="G33" s="45">
        <v>19635.791542691546</v>
      </c>
      <c r="H33" s="45">
        <v>19652.657887543439</v>
      </c>
      <c r="I33" s="45">
        <v>12265.450517967256</v>
      </c>
      <c r="J33" s="45">
        <v>16569.975825800127</v>
      </c>
      <c r="K33" s="45">
        <v>16336.600242139875</v>
      </c>
      <c r="L33" s="45">
        <v>11102.946245053532</v>
      </c>
      <c r="M33" s="45">
        <v>5790.8914251755277</v>
      </c>
      <c r="N33" s="45">
        <v>7362.9512304361042</v>
      </c>
      <c r="O33" s="45">
        <v>12819.163993109274</v>
      </c>
      <c r="P33" s="45">
        <v>5667.9160367382137</v>
      </c>
      <c r="Q33" s="45">
        <v>12523.171553862283</v>
      </c>
      <c r="R33" s="45">
        <v>8509.4170231853186</v>
      </c>
      <c r="S33" s="45">
        <v>12056.396261328075</v>
      </c>
      <c r="T33" s="45">
        <v>10957.772706333268</v>
      </c>
      <c r="U33" s="45">
        <v>10403.475346415071</v>
      </c>
      <c r="V33" s="45">
        <v>5442.9310254060983</v>
      </c>
      <c r="W33" s="45">
        <v>6143.4099733885778</v>
      </c>
      <c r="X33" s="45">
        <v>6302.5856963250626</v>
      </c>
      <c r="Y33" s="45">
        <v>3279.0181534287658</v>
      </c>
    </row>
    <row r="34" spans="1:25">
      <c r="A34" s="34"/>
      <c r="B34" s="34" t="s">
        <v>126</v>
      </c>
      <c r="C34" s="45">
        <v>4012.5740932159074</v>
      </c>
      <c r="D34" s="45">
        <v>33993.092846428088</v>
      </c>
      <c r="E34" s="45">
        <v>29044.079492011337</v>
      </c>
      <c r="F34" s="45">
        <v>16443.162083494462</v>
      </c>
      <c r="G34" s="45">
        <v>16226.544342248544</v>
      </c>
      <c r="H34" s="45">
        <v>17216.15733911292</v>
      </c>
      <c r="I34" s="45">
        <v>16003.767811067848</v>
      </c>
      <c r="J34" s="45">
        <v>17847.713546777857</v>
      </c>
      <c r="K34" s="45">
        <v>9317.3079105675242</v>
      </c>
      <c r="L34" s="45">
        <v>5975.5719253735997</v>
      </c>
      <c r="M34" s="45">
        <v>6972.6490270254017</v>
      </c>
      <c r="N34" s="45">
        <v>9492.8093958391019</v>
      </c>
      <c r="O34" s="45">
        <v>5537.70095944691</v>
      </c>
      <c r="P34" s="45">
        <v>2580.4708474505364</v>
      </c>
      <c r="Q34" s="45">
        <v>2188.9810138356806</v>
      </c>
      <c r="R34" s="45">
        <v>4265.949270106752</v>
      </c>
      <c r="S34" s="45">
        <v>4870.7174317559038</v>
      </c>
      <c r="T34" s="45">
        <v>3880.5641325736369</v>
      </c>
      <c r="U34" s="45">
        <v>8391.8447844876991</v>
      </c>
      <c r="V34" s="45">
        <v>5035.9951192549424</v>
      </c>
      <c r="W34" s="45">
        <v>3633.7467927992657</v>
      </c>
      <c r="X34" s="45">
        <v>1224.129230212149</v>
      </c>
      <c r="Y34" s="45">
        <v>2514.7199063486546</v>
      </c>
    </row>
    <row r="35" spans="1:25">
      <c r="A35" s="34"/>
      <c r="B35" s="34" t="s">
        <v>127</v>
      </c>
      <c r="C35" s="45">
        <v>2723.0715980663017</v>
      </c>
      <c r="D35" s="45">
        <v>49761.017968205662</v>
      </c>
      <c r="E35" s="45">
        <v>17418.26023956991</v>
      </c>
      <c r="F35" s="45">
        <v>20470.913477608574</v>
      </c>
      <c r="G35" s="45">
        <v>22064.353407594306</v>
      </c>
      <c r="H35" s="45">
        <v>17602.650887092368</v>
      </c>
      <c r="I35" s="45">
        <v>21097.818974004022</v>
      </c>
      <c r="J35" s="45">
        <v>11655.952531519719</v>
      </c>
      <c r="K35" s="45">
        <v>11185.603720494433</v>
      </c>
      <c r="L35" s="45">
        <v>8631.1371396500344</v>
      </c>
      <c r="M35" s="45">
        <v>5622.4092647590705</v>
      </c>
      <c r="N35" s="45">
        <v>6164.2504138554068</v>
      </c>
      <c r="O35" s="45">
        <v>7111.9788946092885</v>
      </c>
      <c r="P35" s="45">
        <v>3642.8509226953956</v>
      </c>
      <c r="Q35" s="45">
        <v>4575.0696415190914</v>
      </c>
      <c r="R35" s="45">
        <v>6847.7855149806401</v>
      </c>
      <c r="S35" s="45">
        <v>4345.675211590561</v>
      </c>
      <c r="T35" s="45">
        <v>9016.1282767940429</v>
      </c>
      <c r="U35" s="45">
        <v>5228.0881405678929</v>
      </c>
      <c r="V35" s="45">
        <v>4756.5099739202733</v>
      </c>
      <c r="W35" s="45">
        <v>5875.8907279906798</v>
      </c>
      <c r="X35" s="45">
        <v>1332.2427318693856</v>
      </c>
      <c r="Y35" s="45">
        <v>1670.4507569052116</v>
      </c>
    </row>
    <row r="36" spans="1:25">
      <c r="A36" s="118"/>
      <c r="B36" s="118"/>
      <c r="C36" s="119"/>
      <c r="D36" s="119"/>
      <c r="E36" s="119"/>
      <c r="F36" s="119"/>
      <c r="G36" s="119"/>
      <c r="H36" s="119"/>
      <c r="I36" s="119"/>
      <c r="J36" s="119"/>
      <c r="K36" s="119"/>
      <c r="L36" s="119"/>
      <c r="M36" s="119"/>
      <c r="N36" s="119"/>
      <c r="O36" s="119"/>
      <c r="P36" s="119"/>
      <c r="Q36" s="119"/>
      <c r="R36" s="119"/>
      <c r="S36" s="119"/>
      <c r="T36" s="119"/>
      <c r="U36" s="119"/>
      <c r="V36" s="119"/>
      <c r="W36" s="119"/>
      <c r="X36" s="119"/>
      <c r="Y36" s="119"/>
    </row>
    <row r="37" spans="1:25" ht="14.45" customHeight="1">
      <c r="A37" s="19" t="s">
        <v>130</v>
      </c>
      <c r="B37" s="19"/>
      <c r="C37" s="19"/>
      <c r="D37" s="19"/>
      <c r="E37" s="19"/>
      <c r="F37" s="19"/>
      <c r="G37" s="19"/>
      <c r="H37" s="19"/>
      <c r="I37" s="19"/>
      <c r="J37" s="19"/>
      <c r="K37" s="19"/>
      <c r="L37" s="19"/>
      <c r="M37" s="19"/>
      <c r="N37" s="19"/>
      <c r="O37" s="19"/>
      <c r="P37" s="19"/>
      <c r="Q37" s="19"/>
      <c r="R37" s="19"/>
      <c r="S37" s="19"/>
      <c r="T37" s="19"/>
      <c r="U37" s="19"/>
      <c r="V37" s="19"/>
      <c r="W37" s="19"/>
      <c r="X37" s="19"/>
      <c r="Y37" s="19"/>
    </row>
    <row r="38" spans="1:25" ht="14.45" customHeight="1">
      <c r="A38" s="16" t="s">
        <v>266</v>
      </c>
      <c r="B38" s="16"/>
      <c r="C38" s="16"/>
      <c r="D38" s="16"/>
      <c r="E38" s="16"/>
      <c r="F38" s="16"/>
      <c r="G38" s="16"/>
      <c r="H38" s="16"/>
      <c r="I38" s="16"/>
      <c r="J38" s="16"/>
      <c r="K38" s="16"/>
      <c r="L38" s="16"/>
      <c r="M38" s="16"/>
      <c r="N38" s="16"/>
      <c r="O38" s="16"/>
      <c r="P38" s="16"/>
      <c r="Q38" s="16"/>
      <c r="R38" s="16"/>
      <c r="S38" s="16"/>
      <c r="T38" s="16"/>
      <c r="U38" s="16"/>
      <c r="V38" s="16"/>
      <c r="W38" s="16"/>
      <c r="X38" s="16"/>
      <c r="Y38" s="16"/>
    </row>
    <row r="39" spans="1:25">
      <c r="A39" s="24" t="s">
        <v>117</v>
      </c>
      <c r="B39" s="16"/>
      <c r="C39" s="16"/>
      <c r="D39" s="16"/>
      <c r="E39" s="16"/>
      <c r="F39" s="16"/>
      <c r="G39" s="16"/>
      <c r="H39" s="16"/>
      <c r="I39" s="16"/>
      <c r="J39" s="16"/>
      <c r="K39" s="16"/>
      <c r="L39" s="16"/>
      <c r="M39" s="16"/>
      <c r="N39" s="16"/>
      <c r="O39" s="16"/>
      <c r="P39" s="16"/>
      <c r="Q39" s="16"/>
      <c r="R39" s="16"/>
      <c r="S39" s="16"/>
      <c r="T39" s="16"/>
      <c r="U39" s="16"/>
      <c r="V39" s="16"/>
      <c r="W39" s="16"/>
      <c r="X39" s="16"/>
      <c r="Y39" s="16"/>
    </row>
    <row r="40" spans="1:25">
      <c r="A40" s="16" t="s">
        <v>254</v>
      </c>
    </row>
    <row r="41" spans="1:25">
      <c r="A41" s="16" t="s">
        <v>121</v>
      </c>
    </row>
    <row r="42" spans="1:25" ht="15" customHeight="1">
      <c r="A42" s="16" t="s">
        <v>122</v>
      </c>
      <c r="B42" s="24"/>
      <c r="C42" s="2"/>
      <c r="G42" s="2"/>
      <c r="K42" s="2"/>
      <c r="O42" s="2"/>
      <c r="S42" s="2"/>
      <c r="W42" s="2"/>
    </row>
    <row r="43" spans="1:25">
      <c r="A43" s="24" t="s">
        <v>120</v>
      </c>
    </row>
  </sheetData>
  <mergeCells count="2">
    <mergeCell ref="C25:Y25"/>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ignoredErrors>
    <ignoredError sqref="B24 B35"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C26&lt;'38'!$D$104</xm:f>
            <x14:dxf>
              <font>
                <color rgb="FFFF0000"/>
              </font>
              <numFmt numFmtId="172" formatCode="\*\*0.0%"/>
            </x14:dxf>
          </x14:cfRule>
          <x14:cfRule type="expression" priority="4" id="{C6BCFDF9-0F6D-4D42-B343-0CCBD0C52185}">
            <xm:f>C26&lt;'38'!$D$103</xm:f>
            <x14:dxf>
              <font>
                <color rgb="FF00B050"/>
              </font>
              <numFmt numFmtId="171" formatCode="\*0.0%"/>
            </x14:dxf>
          </x14:cfRule>
          <xm:sqref>C15:Y24</xm:sqref>
        </x14:conditionalFormatting>
        <x14:conditionalFormatting xmlns:xm="http://schemas.microsoft.com/office/excel/2006/main">
          <x14:cfRule type="expression" priority="1" id="{64D2DAE4-3FF1-4A3A-A2CF-FF86C2E7D9B3}">
            <xm:f>C26&lt;'38'!$D$104</xm:f>
            <x14:dxf>
              <font>
                <color rgb="FFFF0000"/>
              </font>
              <numFmt numFmtId="174" formatCode="\*\*#,###,###,##0"/>
            </x14:dxf>
          </x14:cfRule>
          <x14:cfRule type="expression" priority="2" id="{5087DADF-6456-4762-B112-1FF1D634844B}">
            <xm:f>C26&lt;'38'!$D$103</xm:f>
            <x14:dxf>
              <font>
                <color rgb="FF00B050"/>
              </font>
              <numFmt numFmtId="173" formatCode="\*#,###,###,##0"/>
            </x14:dxf>
          </x14:cfRule>
          <xm:sqref>C26:Y35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9"/>
      <c r="B1" s="29"/>
      <c r="C1" s="29"/>
      <c r="D1" s="29"/>
      <c r="E1" s="29"/>
      <c r="F1" s="29"/>
    </row>
    <row r="2" spans="1:6">
      <c r="A2" s="29"/>
      <c r="B2" s="29"/>
      <c r="C2" s="29"/>
      <c r="D2" s="29"/>
      <c r="E2" s="29"/>
      <c r="F2" s="29"/>
    </row>
    <row r="3" spans="1:6">
      <c r="A3" s="29"/>
      <c r="B3" s="29"/>
      <c r="C3" s="29"/>
      <c r="D3" s="29"/>
      <c r="E3" s="29"/>
      <c r="F3" s="29"/>
    </row>
    <row r="4" spans="1:6">
      <c r="A4" s="29"/>
      <c r="B4" s="29"/>
      <c r="C4" s="29"/>
      <c r="D4" s="29"/>
      <c r="E4" s="29"/>
      <c r="F4" s="29"/>
    </row>
    <row r="5" spans="1:6">
      <c r="A5" s="29"/>
      <c r="B5" s="29"/>
      <c r="C5" s="29"/>
      <c r="D5" s="29"/>
      <c r="E5" s="29"/>
      <c r="F5" s="29"/>
    </row>
    <row r="6" spans="1:6">
      <c r="A6" s="29"/>
      <c r="B6" s="29"/>
      <c r="C6" s="29"/>
      <c r="D6" s="29"/>
      <c r="E6" s="29"/>
      <c r="F6" s="29"/>
    </row>
    <row r="7" spans="1:6">
      <c r="A7" s="29"/>
      <c r="B7" s="29"/>
      <c r="C7" s="29"/>
      <c r="D7" s="29"/>
      <c r="E7" s="29"/>
      <c r="F7" s="29"/>
    </row>
    <row r="8" spans="1:6">
      <c r="A8" s="30" t="s">
        <v>0</v>
      </c>
      <c r="B8" s="29"/>
      <c r="C8" s="29"/>
      <c r="D8" s="29"/>
      <c r="E8" s="29"/>
      <c r="F8" s="29"/>
    </row>
    <row r="9" spans="1:6">
      <c r="A9" s="29" t="s">
        <v>1</v>
      </c>
      <c r="B9" s="29"/>
      <c r="C9" s="90" t="s">
        <v>2</v>
      </c>
      <c r="D9" s="29"/>
      <c r="E9" s="29"/>
      <c r="F9" s="29"/>
    </row>
    <row r="10" spans="1:6">
      <c r="A10" s="29" t="s">
        <v>49</v>
      </c>
      <c r="B10" s="29"/>
      <c r="C10" s="31">
        <v>15</v>
      </c>
      <c r="D10" s="29"/>
      <c r="E10" s="29"/>
      <c r="F10" s="29"/>
    </row>
    <row r="11" spans="1:6">
      <c r="A11" s="29" t="s">
        <v>3</v>
      </c>
      <c r="B11" s="29"/>
      <c r="C11" s="30" t="s">
        <v>23</v>
      </c>
      <c r="D11" s="29"/>
      <c r="E11" s="29"/>
      <c r="F11" s="29"/>
    </row>
    <row r="12" spans="1:6">
      <c r="A12" s="116" t="s">
        <v>50</v>
      </c>
      <c r="B12" s="116"/>
      <c r="C12" s="117" t="s">
        <v>51</v>
      </c>
      <c r="D12" s="116"/>
      <c r="E12" s="116"/>
      <c r="F12" s="116"/>
    </row>
    <row r="13" spans="1:6" s="62" customFormat="1" ht="50.1" customHeight="1">
      <c r="A13" s="51"/>
      <c r="B13" s="51"/>
      <c r="C13" s="37" t="s">
        <v>60</v>
      </c>
      <c r="D13" s="64" t="s">
        <v>267</v>
      </c>
      <c r="E13" s="64" t="s">
        <v>268</v>
      </c>
      <c r="F13" s="64" t="s">
        <v>269</v>
      </c>
    </row>
    <row r="14" spans="1:6">
      <c r="A14" s="67"/>
      <c r="B14" s="67"/>
      <c r="C14" s="187" t="s">
        <v>144</v>
      </c>
      <c r="D14" s="187"/>
      <c r="E14" s="187"/>
      <c r="F14" s="187"/>
    </row>
    <row r="15" spans="1:6">
      <c r="A15" s="35" t="s">
        <v>145</v>
      </c>
      <c r="B15" s="35" t="s">
        <v>57</v>
      </c>
      <c r="C15" s="28">
        <v>0.8554479500465817</v>
      </c>
      <c r="D15" s="28">
        <v>0.13958930390854415</v>
      </c>
      <c r="E15" s="28">
        <v>0.34527041863477514</v>
      </c>
      <c r="F15" s="28">
        <v>0.37058822750326254</v>
      </c>
    </row>
    <row r="16" spans="1:6">
      <c r="A16" s="34" t="s">
        <v>61</v>
      </c>
      <c r="B16" s="34" t="s">
        <v>62</v>
      </c>
      <c r="C16" s="102">
        <v>0.84811698202841346</v>
      </c>
      <c r="D16" s="102">
        <v>0.22474919798361995</v>
      </c>
      <c r="E16" s="102">
        <v>0.13306886960478398</v>
      </c>
      <c r="F16" s="102">
        <v>0.49029891444000956</v>
      </c>
    </row>
    <row r="17" spans="1:6">
      <c r="A17" s="34"/>
      <c r="B17" s="34" t="s">
        <v>63</v>
      </c>
      <c r="C17" s="102">
        <v>0.87778332109952806</v>
      </c>
      <c r="D17" s="102">
        <v>0.22695862023027752</v>
      </c>
      <c r="E17" s="102">
        <v>0.19927265082457701</v>
      </c>
      <c r="F17" s="102">
        <v>0.45155205004467358</v>
      </c>
    </row>
    <row r="18" spans="1:6">
      <c r="A18" s="34"/>
      <c r="B18" s="34" t="s">
        <v>64</v>
      </c>
      <c r="C18" s="102">
        <v>0.89908487785021152</v>
      </c>
      <c r="D18" s="102">
        <v>0.20070004592530646</v>
      </c>
      <c r="E18" s="102">
        <v>0.24661499144694671</v>
      </c>
      <c r="F18" s="102">
        <v>0.45176984047795837</v>
      </c>
    </row>
    <row r="19" spans="1:6">
      <c r="A19" s="34"/>
      <c r="B19" s="34" t="s">
        <v>65</v>
      </c>
      <c r="C19" s="102">
        <v>0.8878508035718008</v>
      </c>
      <c r="D19" s="102">
        <v>0.16728032922167968</v>
      </c>
      <c r="E19" s="102">
        <v>0.3146507661467014</v>
      </c>
      <c r="F19" s="102">
        <v>0.40591970820341966</v>
      </c>
    </row>
    <row r="20" spans="1:6">
      <c r="A20" s="34"/>
      <c r="B20" s="34" t="s">
        <v>66</v>
      </c>
      <c r="C20" s="102">
        <v>0.88258653404141951</v>
      </c>
      <c r="D20" s="102">
        <v>0.11502874707583011</v>
      </c>
      <c r="E20" s="102">
        <v>0.39594985548549988</v>
      </c>
      <c r="F20" s="102">
        <v>0.37160793148008953</v>
      </c>
    </row>
    <row r="21" spans="1:6">
      <c r="A21" s="34"/>
      <c r="B21" s="34" t="s">
        <v>67</v>
      </c>
      <c r="C21" s="102">
        <v>0.86062976948930958</v>
      </c>
      <c r="D21" s="102">
        <v>7.3976693417752162E-2</v>
      </c>
      <c r="E21" s="102">
        <v>0.43514623352054527</v>
      </c>
      <c r="F21" s="102">
        <v>0.35150684255101217</v>
      </c>
    </row>
    <row r="22" spans="1:6">
      <c r="A22" s="34"/>
      <c r="B22" s="34" t="s">
        <v>68</v>
      </c>
      <c r="C22" s="102">
        <v>0.75880404117939448</v>
      </c>
      <c r="D22" s="102">
        <v>6.1420283003230575E-2</v>
      </c>
      <c r="E22" s="102">
        <v>0.48114179288426262</v>
      </c>
      <c r="F22" s="102">
        <v>0.21624196529190123</v>
      </c>
    </row>
    <row r="23" spans="1:6">
      <c r="A23" s="34"/>
      <c r="B23" s="34"/>
    </row>
    <row r="24" spans="1:6">
      <c r="A24" s="35" t="s">
        <v>58</v>
      </c>
      <c r="B24" s="35" t="s">
        <v>57</v>
      </c>
      <c r="C24" s="28">
        <v>0.85916717511671636</v>
      </c>
      <c r="D24" s="28">
        <v>0.20240533122966903</v>
      </c>
      <c r="E24" s="28">
        <v>0.27146722847493926</v>
      </c>
      <c r="F24" s="28">
        <v>0.38529461541210802</v>
      </c>
    </row>
    <row r="25" spans="1:6">
      <c r="A25" s="34" t="s">
        <v>61</v>
      </c>
      <c r="B25" s="34" t="s">
        <v>62</v>
      </c>
      <c r="C25" s="102">
        <v>0.81951768377544898</v>
      </c>
      <c r="D25" s="102">
        <v>0.30938347043692738</v>
      </c>
      <c r="E25" s="102">
        <v>7.6014162832190368E-2</v>
      </c>
      <c r="F25" s="102">
        <v>0.43412005050633123</v>
      </c>
    </row>
    <row r="26" spans="1:6">
      <c r="A26" s="34"/>
      <c r="B26" s="34" t="s">
        <v>63</v>
      </c>
      <c r="C26" s="102">
        <v>0.86450585832695992</v>
      </c>
      <c r="D26" s="102">
        <v>0.31728655295701619</v>
      </c>
      <c r="E26" s="102">
        <v>0.14459051023445471</v>
      </c>
      <c r="F26" s="102">
        <v>0.40262879513548899</v>
      </c>
    </row>
    <row r="27" spans="1:6">
      <c r="A27" s="34"/>
      <c r="B27" s="34" t="s">
        <v>64</v>
      </c>
      <c r="C27" s="102">
        <v>0.89497984596178259</v>
      </c>
      <c r="D27" s="102">
        <v>0.29701477674665411</v>
      </c>
      <c r="E27" s="102">
        <v>0.17124708594818971</v>
      </c>
      <c r="F27" s="102">
        <v>0.42671798326693883</v>
      </c>
    </row>
    <row r="28" spans="1:6">
      <c r="A28" s="34"/>
      <c r="B28" s="34" t="s">
        <v>65</v>
      </c>
      <c r="C28" s="102">
        <v>0.88836191491839323</v>
      </c>
      <c r="D28" s="102">
        <v>0.24159137745657563</v>
      </c>
      <c r="E28" s="102">
        <v>0.23140455304023355</v>
      </c>
      <c r="F28" s="102">
        <v>0.41536598442158401</v>
      </c>
    </row>
    <row r="29" spans="1:6">
      <c r="A29" s="34"/>
      <c r="B29" s="34" t="s">
        <v>66</v>
      </c>
      <c r="C29" s="102">
        <v>0.89046778633956269</v>
      </c>
      <c r="D29" s="102">
        <v>0.16234338321408576</v>
      </c>
      <c r="E29" s="102">
        <v>0.32317104215856873</v>
      </c>
      <c r="F29" s="102">
        <v>0.40495336096690809</v>
      </c>
    </row>
    <row r="30" spans="1:6">
      <c r="A30" s="34"/>
      <c r="B30" s="34" t="s">
        <v>67</v>
      </c>
      <c r="C30" s="102">
        <v>0.85790761092388812</v>
      </c>
      <c r="D30" s="102">
        <v>0.10831728018526467</v>
      </c>
      <c r="E30" s="102">
        <v>0.34137730002241579</v>
      </c>
      <c r="F30" s="102">
        <v>0.40821303071620768</v>
      </c>
    </row>
    <row r="31" spans="1:6">
      <c r="A31" s="34"/>
      <c r="B31" s="34" t="s">
        <v>68</v>
      </c>
      <c r="C31" s="102">
        <v>0.78447139367299978</v>
      </c>
      <c r="D31" s="102">
        <v>8.617096324588841E-2</v>
      </c>
      <c r="E31" s="102">
        <v>0.42867473621077412</v>
      </c>
      <c r="F31" s="102">
        <v>0.26962569421633725</v>
      </c>
    </row>
    <row r="32" spans="1:6">
      <c r="A32" s="34"/>
      <c r="B32" s="34"/>
    </row>
    <row r="33" spans="1:6">
      <c r="A33" s="35" t="s">
        <v>59</v>
      </c>
      <c r="B33" s="35" t="s">
        <v>57</v>
      </c>
      <c r="C33" s="28">
        <v>0.85324878371031443</v>
      </c>
      <c r="D33" s="28">
        <v>7.9010144299079821E-2</v>
      </c>
      <c r="E33" s="28">
        <v>0.41770870673066829</v>
      </c>
      <c r="F33" s="28">
        <v>0.35652993268056637</v>
      </c>
    </row>
    <row r="34" spans="1:6">
      <c r="A34" s="34" t="s">
        <v>61</v>
      </c>
      <c r="B34" s="34" t="s">
        <v>62</v>
      </c>
      <c r="C34" s="102">
        <v>0.8934139018701508</v>
      </c>
      <c r="D34" s="102">
        <v>0.1410127929658036</v>
      </c>
      <c r="E34" s="102">
        <v>0.19711041282333239</v>
      </c>
      <c r="F34" s="102">
        <v>0.55529069608101489</v>
      </c>
    </row>
    <row r="35" spans="1:6">
      <c r="A35" s="34"/>
      <c r="B35" s="34" t="s">
        <v>63</v>
      </c>
      <c r="C35" s="102">
        <v>0.89380137859136388</v>
      </c>
      <c r="D35" s="102">
        <v>0.13453662849156556</v>
      </c>
      <c r="E35" s="102">
        <v>0.25541705198110287</v>
      </c>
      <c r="F35" s="102">
        <v>0.50384769811869534</v>
      </c>
    </row>
    <row r="36" spans="1:6">
      <c r="A36" s="34"/>
      <c r="B36" s="34" t="s">
        <v>64</v>
      </c>
      <c r="C36" s="102">
        <v>0.90348263650557203</v>
      </c>
      <c r="D36" s="102">
        <v>0.1044679371434185</v>
      </c>
      <c r="E36" s="102">
        <v>0.32193579175473058</v>
      </c>
      <c r="F36" s="102">
        <v>0.477078907607423</v>
      </c>
    </row>
    <row r="37" spans="1:6">
      <c r="A37" s="34"/>
      <c r="B37" s="34" t="s">
        <v>65</v>
      </c>
      <c r="C37" s="102">
        <v>0.88920071090119046</v>
      </c>
      <c r="D37" s="102">
        <v>9.5141583020862411E-2</v>
      </c>
      <c r="E37" s="102">
        <v>0.3961660384428371</v>
      </c>
      <c r="F37" s="102">
        <v>0.39789308943749091</v>
      </c>
    </row>
    <row r="38" spans="1:6">
      <c r="A38" s="34"/>
      <c r="B38" s="34" t="s">
        <v>66</v>
      </c>
      <c r="C38" s="102">
        <v>0.87449684105044656</v>
      </c>
      <c r="D38" s="102">
        <v>6.8420456255771311E-2</v>
      </c>
      <c r="E38" s="102">
        <v>0.46614728716029302</v>
      </c>
      <c r="F38" s="102">
        <v>0.33992909763438217</v>
      </c>
    </row>
    <row r="39" spans="1:6">
      <c r="A39" s="34"/>
      <c r="B39" s="34" t="s">
        <v>67</v>
      </c>
      <c r="C39" s="102">
        <v>0.86348228910469038</v>
      </c>
      <c r="D39" s="102">
        <v>4.0591798173690262E-2</v>
      </c>
      <c r="E39" s="102">
        <v>0.52549141005605549</v>
      </c>
      <c r="F39" s="102">
        <v>0.2973990808749446</v>
      </c>
    </row>
    <row r="40" spans="1:6">
      <c r="A40" s="118"/>
      <c r="B40" s="118" t="s">
        <v>68</v>
      </c>
      <c r="C40" s="124">
        <v>0.73822201163473766</v>
      </c>
      <c r="D40" s="124">
        <v>3.9869654497960635E-2</v>
      </c>
      <c r="E40" s="124">
        <v>0.52803683590206507</v>
      </c>
      <c r="F40" s="124">
        <v>0.17031552123471205</v>
      </c>
    </row>
    <row r="41" spans="1:6">
      <c r="A41" s="67"/>
      <c r="B41" s="67"/>
      <c r="C41" s="187" t="s">
        <v>147</v>
      </c>
      <c r="D41" s="187"/>
      <c r="E41" s="187"/>
      <c r="F41" s="187"/>
    </row>
    <row r="42" spans="1:6">
      <c r="A42" s="35" t="s">
        <v>145</v>
      </c>
      <c r="B42" s="35" t="s">
        <v>57</v>
      </c>
      <c r="C42" s="46">
        <v>19187077.863524728</v>
      </c>
      <c r="D42" s="46">
        <v>3130886.9731496945</v>
      </c>
      <c r="E42" s="46">
        <v>7744165.3883868363</v>
      </c>
      <c r="F42" s="46">
        <v>8312025.5019881986</v>
      </c>
    </row>
    <row r="43" spans="1:6">
      <c r="A43" s="34" t="s">
        <v>61</v>
      </c>
      <c r="B43" s="34" t="s">
        <v>62</v>
      </c>
      <c r="C43" s="104">
        <v>847603.32237604237</v>
      </c>
      <c r="D43" s="104">
        <v>224613.07926727159</v>
      </c>
      <c r="E43" s="104">
        <v>132988.27682011985</v>
      </c>
      <c r="F43" s="104">
        <v>490001.96628865093</v>
      </c>
    </row>
    <row r="44" spans="1:6">
      <c r="A44" s="34"/>
      <c r="B44" s="34" t="s">
        <v>63</v>
      </c>
      <c r="C44" s="104">
        <v>2148288.6440141294</v>
      </c>
      <c r="D44" s="104">
        <v>555458.97806656652</v>
      </c>
      <c r="E44" s="104">
        <v>487700.28153735196</v>
      </c>
      <c r="F44" s="104">
        <v>1105129.3844102111</v>
      </c>
    </row>
    <row r="45" spans="1:6">
      <c r="A45" s="34"/>
      <c r="B45" s="34" t="s">
        <v>64</v>
      </c>
      <c r="C45" s="104">
        <v>3624033.8094432168</v>
      </c>
      <c r="D45" s="104">
        <v>808982.29956804274</v>
      </c>
      <c r="E45" s="104">
        <v>994056.38882092596</v>
      </c>
      <c r="F45" s="104">
        <v>1820995.1210542482</v>
      </c>
    </row>
    <row r="46" spans="1:6">
      <c r="A46" s="34"/>
      <c r="B46" s="34" t="s">
        <v>65</v>
      </c>
      <c r="C46" s="104">
        <v>3404434.8230936066</v>
      </c>
      <c r="D46" s="104">
        <v>641430.94282258442</v>
      </c>
      <c r="E46" s="104">
        <v>1206518.0558191433</v>
      </c>
      <c r="F46" s="104">
        <v>1556485.8244518789</v>
      </c>
    </row>
    <row r="47" spans="1:6">
      <c r="A47" s="34"/>
      <c r="B47" s="34" t="s">
        <v>66</v>
      </c>
      <c r="C47" s="104">
        <v>2944816.0797375813</v>
      </c>
      <c r="D47" s="104">
        <v>383802.03068572411</v>
      </c>
      <c r="E47" s="104">
        <v>1321116.3508968195</v>
      </c>
      <c r="F47" s="104">
        <v>1239897.6981550378</v>
      </c>
    </row>
    <row r="48" spans="1:6">
      <c r="A48" s="34"/>
      <c r="B48" s="34" t="s">
        <v>67</v>
      </c>
      <c r="C48" s="104">
        <v>2653284.8040557071</v>
      </c>
      <c r="D48" s="104">
        <v>228066.98473384356</v>
      </c>
      <c r="E48" s="104">
        <v>1341537.2438571921</v>
      </c>
      <c r="F48" s="104">
        <v>1083680.5754646715</v>
      </c>
    </row>
    <row r="49" spans="1:6">
      <c r="A49" s="34"/>
      <c r="B49" s="34" t="s">
        <v>68</v>
      </c>
      <c r="C49" s="104">
        <v>3564616.3808041434</v>
      </c>
      <c r="D49" s="104">
        <v>288532.65800567984</v>
      </c>
      <c r="E49" s="104">
        <v>2260248.7906350526</v>
      </c>
      <c r="F49" s="104">
        <v>1015834.9321634108</v>
      </c>
    </row>
    <row r="50" spans="1:6">
      <c r="A50" s="34"/>
      <c r="B50" s="34"/>
    </row>
    <row r="51" spans="1:6">
      <c r="A51" s="35" t="s">
        <v>58</v>
      </c>
      <c r="B51" s="35" t="s">
        <v>57</v>
      </c>
      <c r="C51" s="46">
        <v>9431927.798796298</v>
      </c>
      <c r="D51" s="46">
        <v>2222003.5000642845</v>
      </c>
      <c r="E51" s="46">
        <v>2980164.2484387648</v>
      </c>
      <c r="F51" s="46">
        <v>4229760.0502932481</v>
      </c>
    </row>
    <row r="52" spans="1:6">
      <c r="A52" s="34" t="s">
        <v>61</v>
      </c>
      <c r="B52" s="34" t="s">
        <v>62</v>
      </c>
      <c r="C52" s="104">
        <v>410547.95167589484</v>
      </c>
      <c r="D52" s="104">
        <v>154989.6391315253</v>
      </c>
      <c r="E52" s="104">
        <v>38080.275101988715</v>
      </c>
      <c r="F52" s="104">
        <v>217478.03744238082</v>
      </c>
    </row>
    <row r="53" spans="1:6">
      <c r="A53" s="34"/>
      <c r="B53" s="34" t="s">
        <v>63</v>
      </c>
      <c r="C53" s="104">
        <v>1080931.5955208663</v>
      </c>
      <c r="D53" s="104">
        <v>396718.02871164872</v>
      </c>
      <c r="E53" s="104">
        <v>180788.19179707029</v>
      </c>
      <c r="F53" s="104">
        <v>503425.37501214741</v>
      </c>
    </row>
    <row r="54" spans="1:6">
      <c r="A54" s="34"/>
      <c r="B54" s="34" t="s">
        <v>64</v>
      </c>
      <c r="C54" s="104">
        <v>1796020.4717734929</v>
      </c>
      <c r="D54" s="104">
        <v>596040.92970715172</v>
      </c>
      <c r="E54" s="104">
        <v>343653.85263394762</v>
      </c>
      <c r="F54" s="104">
        <v>856325.68943239353</v>
      </c>
    </row>
    <row r="55" spans="1:6">
      <c r="A55" s="34"/>
      <c r="B55" s="34" t="s">
        <v>65</v>
      </c>
      <c r="C55" s="104">
        <v>1680862.6390511845</v>
      </c>
      <c r="D55" s="104">
        <v>457113.15789688495</v>
      </c>
      <c r="E55" s="104">
        <v>437838.74700143735</v>
      </c>
      <c r="F55" s="104">
        <v>785910.73415286222</v>
      </c>
    </row>
    <row r="56" spans="1:6">
      <c r="A56" s="34"/>
      <c r="B56" s="34" t="s">
        <v>66</v>
      </c>
      <c r="C56" s="104">
        <v>1457931.6929437551</v>
      </c>
      <c r="D56" s="104">
        <v>265799.1307023805</v>
      </c>
      <c r="E56" s="104">
        <v>529116.61918892991</v>
      </c>
      <c r="F56" s="104">
        <v>663015.94305244461</v>
      </c>
    </row>
    <row r="57" spans="1:6">
      <c r="A57" s="34"/>
      <c r="B57" s="34" t="s">
        <v>67</v>
      </c>
      <c r="C57" s="104">
        <v>1290921.928084003</v>
      </c>
      <c r="D57" s="104">
        <v>162988.59038095467</v>
      </c>
      <c r="E57" s="104">
        <v>513681.70271209476</v>
      </c>
      <c r="F57" s="104">
        <v>614251.63499095361</v>
      </c>
    </row>
    <row r="58" spans="1:6">
      <c r="A58" s="34"/>
      <c r="B58" s="34" t="s">
        <v>68</v>
      </c>
      <c r="C58" s="104">
        <v>1714711.519747128</v>
      </c>
      <c r="D58" s="104">
        <v>188354.02353374154</v>
      </c>
      <c r="E58" s="104">
        <v>937004.86000331643</v>
      </c>
      <c r="F58" s="104">
        <v>589352.63621006999</v>
      </c>
    </row>
    <row r="59" spans="1:6">
      <c r="A59" s="34"/>
      <c r="B59" s="34"/>
    </row>
    <row r="60" spans="1:6">
      <c r="A60" s="35" t="s">
        <v>59</v>
      </c>
      <c r="B60" s="35" t="s">
        <v>57</v>
      </c>
      <c r="C60" s="46">
        <v>9661932.2049446926</v>
      </c>
      <c r="D60" s="46">
        <v>894687.07403371402</v>
      </c>
      <c r="E60" s="46">
        <v>4730007.5697700102</v>
      </c>
      <c r="F60" s="46">
        <v>4037237.5611409685</v>
      </c>
    </row>
    <row r="61" spans="1:6">
      <c r="A61" s="34" t="s">
        <v>61</v>
      </c>
      <c r="B61" s="34" t="s">
        <v>62</v>
      </c>
      <c r="C61" s="104">
        <v>430175.79294348403</v>
      </c>
      <c r="D61" s="104">
        <v>67897.186177942756</v>
      </c>
      <c r="E61" s="104">
        <v>94908.001718131112</v>
      </c>
      <c r="F61" s="104">
        <v>267370.60504741018</v>
      </c>
    </row>
    <row r="62" spans="1:6">
      <c r="A62" s="34"/>
      <c r="B62" s="34" t="s">
        <v>63</v>
      </c>
      <c r="C62" s="104">
        <v>1038139.9671917686</v>
      </c>
      <c r="D62" s="104">
        <v>156262.73849391725</v>
      </c>
      <c r="E62" s="104">
        <v>296663.95276965445</v>
      </c>
      <c r="F62" s="104">
        <v>585213.27592819685</v>
      </c>
    </row>
    <row r="63" spans="1:6">
      <c r="A63" s="34"/>
      <c r="B63" s="34" t="s">
        <v>64</v>
      </c>
      <c r="C63" s="104">
        <v>1801475.9158407426</v>
      </c>
      <c r="D63" s="104">
        <v>208301.1506112905</v>
      </c>
      <c r="E63" s="104">
        <v>641915.57409049454</v>
      </c>
      <c r="F63" s="104">
        <v>951259.19113895774</v>
      </c>
    </row>
    <row r="64" spans="1:6">
      <c r="A64" s="34"/>
      <c r="B64" s="34" t="s">
        <v>65</v>
      </c>
      <c r="C64" s="104">
        <v>1711987.1963223568</v>
      </c>
      <c r="D64" s="104">
        <v>183177.05999636411</v>
      </c>
      <c r="E64" s="104">
        <v>762742.51371719153</v>
      </c>
      <c r="F64" s="104">
        <v>766067.62260880112</v>
      </c>
    </row>
    <row r="65" spans="1:6">
      <c r="A65" s="34"/>
      <c r="B65" s="34" t="s">
        <v>66</v>
      </c>
      <c r="C65" s="104">
        <v>1476528.9327245983</v>
      </c>
      <c r="D65" s="104">
        <v>115523.32553941877</v>
      </c>
      <c r="E65" s="104">
        <v>787058.25349407969</v>
      </c>
      <c r="F65" s="104">
        <v>573947.35369109979</v>
      </c>
    </row>
    <row r="66" spans="1:6">
      <c r="A66" s="34"/>
      <c r="B66" s="34" t="s">
        <v>67</v>
      </c>
      <c r="C66" s="104">
        <v>1356722.0497343843</v>
      </c>
      <c r="D66" s="104">
        <v>63778.711289741899</v>
      </c>
      <c r="E66" s="104">
        <v>825663.46984173567</v>
      </c>
      <c r="F66" s="104">
        <v>467279.86860290664</v>
      </c>
    </row>
    <row r="67" spans="1:6">
      <c r="A67" s="34"/>
      <c r="B67" s="34" t="s">
        <v>68</v>
      </c>
      <c r="C67" s="104">
        <v>1846902.3501872323</v>
      </c>
      <c r="D67" s="104">
        <v>99746.901925040729</v>
      </c>
      <c r="E67" s="104">
        <v>1321055.8041386143</v>
      </c>
      <c r="F67" s="104">
        <v>426099.6441235774</v>
      </c>
    </row>
    <row r="68" spans="1:6">
      <c r="A68" s="118"/>
      <c r="B68" s="118"/>
      <c r="C68" s="123"/>
      <c r="D68" s="123"/>
      <c r="E68" s="123"/>
      <c r="F68" s="123"/>
    </row>
    <row r="69" spans="1:6">
      <c r="A69" s="24" t="s">
        <v>117</v>
      </c>
    </row>
    <row r="70" spans="1:6">
      <c r="A70" s="16" t="s">
        <v>121</v>
      </c>
    </row>
    <row r="71" spans="1:6">
      <c r="A71" s="16" t="s">
        <v>122</v>
      </c>
    </row>
    <row r="72" spans="1:6">
      <c r="A72" s="24" t="s">
        <v>120</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C42&lt;'38'!$C$104</xm:f>
            <x14:dxf>
              <font>
                <color rgb="FFFF0000"/>
              </font>
              <numFmt numFmtId="172" formatCode="\*\*0.0%"/>
            </x14:dxf>
          </x14:cfRule>
          <x14:cfRule type="expression" priority="4" id="{63009E4E-FE50-4B59-9065-881163C02C17}">
            <xm:f>C42&lt;'38'!$C$103</xm:f>
            <x14:dxf>
              <font>
                <color rgb="FF00B050"/>
              </font>
              <numFmt numFmtId="171" formatCode="\*0.0%"/>
            </x14:dxf>
          </x14:cfRule>
          <xm:sqref>C15:F40</xm:sqref>
        </x14:conditionalFormatting>
        <x14:conditionalFormatting xmlns:xm="http://schemas.microsoft.com/office/excel/2006/main">
          <x14:cfRule type="expression" priority="1" id="{E287BCB5-DAB8-411C-993E-694EB7EC49FF}">
            <xm:f>C42&lt;'38'!$C$104</xm:f>
            <x14:dxf>
              <font>
                <color rgb="FFFF0000"/>
              </font>
              <numFmt numFmtId="174" formatCode="\*\*#,###,###,##0"/>
            </x14:dxf>
          </x14:cfRule>
          <x14:cfRule type="expression" priority="2" id="{1EADCA83-390F-41E2-AAFF-44497EFBC9C4}">
            <xm:f>C42&lt;'38'!$C$103</xm:f>
            <x14:dxf>
              <font>
                <color rgb="FF00B050"/>
              </font>
              <numFmt numFmtId="173" formatCode="\*#,###,###,##0"/>
            </x14:dxf>
          </x14:cfRule>
          <xm:sqref>C42:F67</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9"/>
      <c r="B1" s="29"/>
      <c r="C1" s="29"/>
      <c r="D1" s="29"/>
      <c r="E1" s="29"/>
      <c r="F1" s="29"/>
    </row>
    <row r="2" spans="1:6">
      <c r="A2" s="29"/>
      <c r="B2" s="29"/>
      <c r="C2" s="29"/>
      <c r="D2" s="29"/>
      <c r="E2" s="29"/>
      <c r="F2" s="29"/>
    </row>
    <row r="3" spans="1:6">
      <c r="A3" s="29"/>
      <c r="B3" s="29"/>
      <c r="C3" s="29"/>
      <c r="D3" s="29"/>
      <c r="E3" s="29"/>
      <c r="F3" s="29"/>
    </row>
    <row r="4" spans="1:6">
      <c r="A4" s="29"/>
      <c r="B4" s="29"/>
      <c r="C4" s="29"/>
      <c r="D4" s="29"/>
      <c r="E4" s="29"/>
      <c r="F4" s="29"/>
    </row>
    <row r="5" spans="1:6">
      <c r="A5" s="29"/>
      <c r="B5" s="29"/>
      <c r="C5" s="29"/>
      <c r="D5" s="29"/>
      <c r="E5" s="29"/>
      <c r="F5" s="29"/>
    </row>
    <row r="6" spans="1:6">
      <c r="A6" s="29"/>
      <c r="B6" s="29"/>
      <c r="C6" s="29"/>
      <c r="D6" s="29"/>
      <c r="E6" s="29"/>
      <c r="F6" s="29"/>
    </row>
    <row r="7" spans="1:6">
      <c r="A7" s="29"/>
      <c r="B7" s="29"/>
      <c r="C7" s="29"/>
      <c r="D7" s="29"/>
      <c r="E7" s="29"/>
      <c r="F7" s="29"/>
    </row>
    <row r="8" spans="1:6">
      <c r="A8" s="30" t="str">
        <f>Index!A8</f>
        <v>AusPlay survey results July 2024 - June 2025</v>
      </c>
      <c r="B8" s="29"/>
      <c r="C8" s="29"/>
      <c r="D8" s="29"/>
      <c r="E8" s="29"/>
      <c r="F8" s="29"/>
    </row>
    <row r="9" spans="1:6">
      <c r="A9" s="29" t="s">
        <v>1</v>
      </c>
      <c r="B9" s="30"/>
      <c r="C9" s="90" t="s">
        <v>2</v>
      </c>
      <c r="D9" s="29"/>
      <c r="E9" s="29"/>
      <c r="F9" s="29"/>
    </row>
    <row r="10" spans="1:6">
      <c r="A10" s="29" t="s">
        <v>49</v>
      </c>
      <c r="B10" s="30"/>
      <c r="C10" s="31">
        <v>16</v>
      </c>
      <c r="D10" s="29"/>
      <c r="E10" s="29"/>
      <c r="F10" s="29"/>
    </row>
    <row r="11" spans="1:6">
      <c r="A11" s="29" t="s">
        <v>3</v>
      </c>
      <c r="B11" s="30"/>
      <c r="C11" s="30" t="s">
        <v>24</v>
      </c>
      <c r="D11" s="29"/>
      <c r="E11" s="29"/>
      <c r="F11" s="29"/>
    </row>
    <row r="12" spans="1:6">
      <c r="A12" s="116" t="s">
        <v>50</v>
      </c>
      <c r="B12" s="117"/>
      <c r="C12" s="117" t="s">
        <v>123</v>
      </c>
      <c r="D12" s="116"/>
      <c r="E12" s="116"/>
      <c r="F12" s="116"/>
    </row>
    <row r="13" spans="1:6" ht="50.1" customHeight="1">
      <c r="A13" s="42"/>
      <c r="B13" s="42"/>
      <c r="C13" s="37" t="s">
        <v>60</v>
      </c>
      <c r="D13" s="64" t="s">
        <v>267</v>
      </c>
      <c r="E13" s="64" t="s">
        <v>268</v>
      </c>
      <c r="F13" s="64" t="s">
        <v>269</v>
      </c>
    </row>
    <row r="14" spans="1:6">
      <c r="A14" s="67"/>
      <c r="B14" s="67"/>
      <c r="C14" s="187" t="s">
        <v>144</v>
      </c>
      <c r="D14" s="187"/>
      <c r="E14" s="187"/>
      <c r="F14" s="187"/>
    </row>
    <row r="15" spans="1:6">
      <c r="A15" s="35" t="s">
        <v>145</v>
      </c>
      <c r="B15" s="35" t="s">
        <v>57</v>
      </c>
      <c r="C15" s="28">
        <v>0.71724338763040096</v>
      </c>
      <c r="D15" s="28">
        <v>0.58161259597496295</v>
      </c>
      <c r="E15" s="28">
        <v>6.2252403593363211E-2</v>
      </c>
      <c r="F15" s="28">
        <v>7.3378388062074723E-2</v>
      </c>
    </row>
    <row r="16" spans="1:6">
      <c r="A16" s="34" t="s">
        <v>61</v>
      </c>
      <c r="B16" s="34" t="s">
        <v>124</v>
      </c>
      <c r="C16" s="4">
        <v>0.47391435704656926</v>
      </c>
      <c r="D16" s="4">
        <v>0.35315456826221053</v>
      </c>
      <c r="E16" s="4">
        <v>7.306364642144407E-2</v>
      </c>
      <c r="F16" s="4">
        <v>4.769614236291464E-2</v>
      </c>
    </row>
    <row r="17" spans="1:6">
      <c r="A17" s="34"/>
      <c r="B17" s="34" t="s">
        <v>125</v>
      </c>
      <c r="C17" s="4">
        <v>0.82254079047571593</v>
      </c>
      <c r="D17" s="4">
        <v>0.67634347093378999</v>
      </c>
      <c r="E17" s="4">
        <v>5.5806590298526651E-2</v>
      </c>
      <c r="F17" s="4">
        <v>9.0390729243399373E-2</v>
      </c>
    </row>
    <row r="18" spans="1:6">
      <c r="A18" s="34"/>
      <c r="B18" s="34" t="s">
        <v>126</v>
      </c>
      <c r="C18" s="4">
        <v>0.8421333562004758</v>
      </c>
      <c r="D18" s="4">
        <v>0.70316356431769256</v>
      </c>
      <c r="E18" s="4">
        <v>5.0332953971356544E-2</v>
      </c>
      <c r="F18" s="4">
        <v>8.8636837911426639E-2</v>
      </c>
    </row>
    <row r="19" spans="1:6">
      <c r="A19" s="34"/>
      <c r="B19" s="34" t="s">
        <v>127</v>
      </c>
      <c r="C19" s="4">
        <v>0.82487396554094272</v>
      </c>
      <c r="D19" s="4">
        <v>0.68367690386236057</v>
      </c>
      <c r="E19" s="4">
        <v>6.6064041447467872E-2</v>
      </c>
      <c r="F19" s="4">
        <v>7.5133020231114331E-2</v>
      </c>
    </row>
    <row r="20" spans="1:6">
      <c r="A20" s="34"/>
      <c r="B20" s="34"/>
    </row>
    <row r="21" spans="1:6">
      <c r="A21" s="35" t="s">
        <v>58</v>
      </c>
      <c r="B21" s="35" t="s">
        <v>57</v>
      </c>
      <c r="C21" s="28">
        <v>0.71894772588404254</v>
      </c>
      <c r="D21" s="28">
        <v>0.62825782101750416</v>
      </c>
      <c r="E21" s="28">
        <v>4.5818948014328752E-2</v>
      </c>
      <c r="F21" s="28">
        <v>4.4870956852209591E-2</v>
      </c>
    </row>
    <row r="22" spans="1:6">
      <c r="A22" s="34" t="s">
        <v>61</v>
      </c>
      <c r="B22" s="34" t="s">
        <v>124</v>
      </c>
      <c r="C22" s="4">
        <v>0.48072123063049937</v>
      </c>
      <c r="D22" s="4">
        <v>0.39148647299915079</v>
      </c>
      <c r="E22" s="4">
        <v>5.9902694274742159E-2</v>
      </c>
      <c r="F22" s="4">
        <v>2.933206335660642E-2</v>
      </c>
    </row>
    <row r="23" spans="1:6">
      <c r="A23" s="34"/>
      <c r="B23" s="34" t="s">
        <v>125</v>
      </c>
      <c r="C23" s="4">
        <v>0.81600317829500246</v>
      </c>
      <c r="D23" s="4">
        <v>0.73008024293235685</v>
      </c>
      <c r="E23" s="4">
        <v>4.4258496480068403E-2</v>
      </c>
      <c r="F23" s="4">
        <v>4.1664438882577287E-2</v>
      </c>
    </row>
    <row r="24" spans="1:6">
      <c r="A24" s="34"/>
      <c r="B24" s="34" t="s">
        <v>126</v>
      </c>
      <c r="C24" s="4">
        <v>0.84750642076142191</v>
      </c>
      <c r="D24" s="4">
        <v>0.75732795007130216</v>
      </c>
      <c r="E24" s="4">
        <v>2.3964804446036752E-2</v>
      </c>
      <c r="F24" s="4">
        <v>6.6213666244083008E-2</v>
      </c>
    </row>
    <row r="25" spans="1:6">
      <c r="A25" s="34"/>
      <c r="B25" s="34" t="s">
        <v>127</v>
      </c>
      <c r="C25" s="4">
        <v>0.82498720411454718</v>
      </c>
      <c r="D25" s="4">
        <v>0.7254950034746841</v>
      </c>
      <c r="E25" s="4">
        <v>4.8366515354187574E-2</v>
      </c>
      <c r="F25" s="4">
        <v>5.1125685285675397E-2</v>
      </c>
    </row>
    <row r="26" spans="1:6">
      <c r="A26" s="34"/>
      <c r="B26" s="34"/>
    </row>
    <row r="27" spans="1:6">
      <c r="A27" s="35" t="s">
        <v>59</v>
      </c>
      <c r="B27" s="35" t="s">
        <v>57</v>
      </c>
      <c r="C27" s="28">
        <v>0.71730053673530225</v>
      </c>
      <c r="D27" s="28">
        <v>0.53374034019553962</v>
      </c>
      <c r="E27" s="28">
        <v>7.9831458108607062E-2</v>
      </c>
      <c r="F27" s="28">
        <v>0.10372873843115556</v>
      </c>
    </row>
    <row r="28" spans="1:6">
      <c r="A28" s="34" t="s">
        <v>61</v>
      </c>
      <c r="B28" s="34" t="s">
        <v>124</v>
      </c>
      <c r="C28" s="4">
        <v>0.4682782365802608</v>
      </c>
      <c r="D28" s="4">
        <v>0.31396192766562853</v>
      </c>
      <c r="E28" s="4">
        <v>8.7630129086390021E-2</v>
      </c>
      <c r="F28" s="4">
        <v>6.6686179828242279E-2</v>
      </c>
    </row>
    <row r="29" spans="1:6">
      <c r="A29" s="34"/>
      <c r="B29" s="34" t="s">
        <v>125</v>
      </c>
      <c r="C29" s="4">
        <v>0.83056185318236975</v>
      </c>
      <c r="D29" s="4">
        <v>0.6202357879707473</v>
      </c>
      <c r="E29" s="4">
        <v>6.8162928479645515E-2</v>
      </c>
      <c r="F29" s="4">
        <v>0.14216313673197689</v>
      </c>
    </row>
    <row r="30" spans="1:6">
      <c r="A30" s="34"/>
      <c r="B30" s="34" t="s">
        <v>126</v>
      </c>
      <c r="C30" s="4">
        <v>0.83870051882700547</v>
      </c>
      <c r="D30" s="4">
        <v>0.64685785699859089</v>
      </c>
      <c r="E30" s="4">
        <v>7.8691690579200196E-2</v>
      </c>
      <c r="F30" s="4">
        <v>0.11315097124921433</v>
      </c>
    </row>
    <row r="31" spans="1:6">
      <c r="A31" s="118"/>
      <c r="B31" s="118" t="s">
        <v>127</v>
      </c>
      <c r="C31" s="123">
        <v>0.82632894926306055</v>
      </c>
      <c r="D31" s="123">
        <v>0.64126483877571916</v>
      </c>
      <c r="E31" s="123">
        <v>8.4165745568994282E-2</v>
      </c>
      <c r="F31" s="123">
        <v>0.10089836491834715</v>
      </c>
    </row>
    <row r="32" spans="1:6">
      <c r="A32" s="67"/>
      <c r="B32" s="67"/>
      <c r="C32" s="187" t="s">
        <v>147</v>
      </c>
      <c r="D32" s="187"/>
      <c r="E32" s="187"/>
      <c r="F32" s="187"/>
    </row>
    <row r="33" spans="1:6">
      <c r="A33" s="35" t="s">
        <v>145</v>
      </c>
      <c r="B33" s="35" t="s">
        <v>57</v>
      </c>
      <c r="C33" s="46">
        <v>3460623.7551048035</v>
      </c>
      <c r="D33" s="46">
        <v>2806219.4794834489</v>
      </c>
      <c r="E33" s="46">
        <v>300361.28656312911</v>
      </c>
      <c r="F33" s="46">
        <v>354042.9890582253</v>
      </c>
    </row>
    <row r="34" spans="1:6">
      <c r="A34" s="34" t="s">
        <v>61</v>
      </c>
      <c r="B34" s="34" t="s">
        <v>124</v>
      </c>
      <c r="C34" s="104">
        <v>720572.4080278055</v>
      </c>
      <c r="D34" s="104">
        <v>536960.81132590631</v>
      </c>
      <c r="E34" s="104">
        <v>111091.05866572994</v>
      </c>
      <c r="F34" s="104">
        <v>72520.538036169266</v>
      </c>
    </row>
    <row r="35" spans="1:6">
      <c r="A35" s="34"/>
      <c r="B35" s="34" t="s">
        <v>125</v>
      </c>
      <c r="C35" s="104">
        <v>1061647.3366712828</v>
      </c>
      <c r="D35" s="104">
        <v>872951.5337185798</v>
      </c>
      <c r="E35" s="104">
        <v>72029.154839689887</v>
      </c>
      <c r="F35" s="104">
        <v>116666.64811301309</v>
      </c>
    </row>
    <row r="36" spans="1:6">
      <c r="A36" s="34"/>
      <c r="B36" s="34" t="s">
        <v>126</v>
      </c>
      <c r="C36" s="104">
        <v>845513.11008261621</v>
      </c>
      <c r="D36" s="104">
        <v>705985.58741983492</v>
      </c>
      <c r="E36" s="104">
        <v>50534.956415900248</v>
      </c>
      <c r="F36" s="104">
        <v>88992.566246881004</v>
      </c>
    </row>
    <row r="37" spans="1:6">
      <c r="A37" s="34"/>
      <c r="B37" s="34" t="s">
        <v>127</v>
      </c>
      <c r="C37" s="104">
        <v>832890.90032312449</v>
      </c>
      <c r="D37" s="104">
        <v>690321.54701915372</v>
      </c>
      <c r="E37" s="104">
        <v>66706.116641809072</v>
      </c>
      <c r="F37" s="104">
        <v>75863.236662161682</v>
      </c>
    </row>
    <row r="38" spans="1:6">
      <c r="A38" s="34"/>
      <c r="B38" s="34"/>
    </row>
    <row r="39" spans="1:6">
      <c r="A39" s="35" t="s">
        <v>58</v>
      </c>
      <c r="B39" s="35" t="s">
        <v>57</v>
      </c>
      <c r="C39" s="46">
        <v>1777208.2365711692</v>
      </c>
      <c r="D39" s="46">
        <v>1553026.6443636389</v>
      </c>
      <c r="E39" s="46">
        <v>113262.49304420904</v>
      </c>
      <c r="F39" s="46">
        <v>110919.09916332127</v>
      </c>
    </row>
    <row r="40" spans="1:6">
      <c r="A40" s="34" t="s">
        <v>61</v>
      </c>
      <c r="B40" s="34" t="s">
        <v>124</v>
      </c>
      <c r="C40" s="104">
        <v>373878.22360420588</v>
      </c>
      <c r="D40" s="104">
        <v>304476.3945582895</v>
      </c>
      <c r="E40" s="104">
        <v>46588.982340497234</v>
      </c>
      <c r="F40" s="104">
        <v>22812.846705419153</v>
      </c>
    </row>
    <row r="41" spans="1:6">
      <c r="A41" s="34"/>
      <c r="B41" s="34" t="s">
        <v>125</v>
      </c>
      <c r="C41" s="104">
        <v>540750.79477773712</v>
      </c>
      <c r="D41" s="104">
        <v>483811.19353247155</v>
      </c>
      <c r="E41" s="104">
        <v>29329.318541713386</v>
      </c>
      <c r="F41" s="104">
        <v>27610.282703552188</v>
      </c>
    </row>
    <row r="42" spans="1:6">
      <c r="A42" s="34"/>
      <c r="B42" s="34" t="s">
        <v>126</v>
      </c>
      <c r="C42" s="104">
        <v>435787.99175048957</v>
      </c>
      <c r="D42" s="104">
        <v>389418.2018840356</v>
      </c>
      <c r="E42" s="104">
        <v>12322.707824264955</v>
      </c>
      <c r="F42" s="104">
        <v>34047.082042189038</v>
      </c>
    </row>
    <row r="43" spans="1:6">
      <c r="A43" s="34"/>
      <c r="B43" s="34" t="s">
        <v>127</v>
      </c>
      <c r="C43" s="104">
        <v>426791.22643875354</v>
      </c>
      <c r="D43" s="104">
        <v>375320.85438885941</v>
      </c>
      <c r="E43" s="104">
        <v>25021.484337733291</v>
      </c>
      <c r="F43" s="104">
        <v>26448.887712160798</v>
      </c>
    </row>
    <row r="44" spans="1:6">
      <c r="A44" s="34"/>
      <c r="B44" s="34"/>
    </row>
    <row r="45" spans="1:6">
      <c r="A45" s="35" t="s">
        <v>59</v>
      </c>
      <c r="B45" s="35" t="s">
        <v>57</v>
      </c>
      <c r="C45" s="46">
        <v>1676939.6149131581</v>
      </c>
      <c r="D45" s="46">
        <v>1247803.7791869338</v>
      </c>
      <c r="E45" s="46">
        <v>186633.81353080596</v>
      </c>
      <c r="F45" s="46">
        <v>242502.02219541828</v>
      </c>
    </row>
    <row r="46" spans="1:6">
      <c r="A46" s="34" t="s">
        <v>61</v>
      </c>
      <c r="B46" s="34" t="s">
        <v>124</v>
      </c>
      <c r="C46" s="104">
        <v>344686.45512969512</v>
      </c>
      <c r="D46" s="104">
        <v>231098.55517319796</v>
      </c>
      <c r="E46" s="104">
        <v>64502.076325232723</v>
      </c>
      <c r="F46" s="104">
        <v>49085.823631264459</v>
      </c>
    </row>
    <row r="47" spans="1:6">
      <c r="A47" s="34"/>
      <c r="B47" s="34" t="s">
        <v>125</v>
      </c>
      <c r="C47" s="104">
        <v>520295.35639481078</v>
      </c>
      <c r="D47" s="104">
        <v>388539.15468737338</v>
      </c>
      <c r="E47" s="104">
        <v>42699.836297976479</v>
      </c>
      <c r="F47" s="104">
        <v>89056.365409460894</v>
      </c>
    </row>
    <row r="48" spans="1:6">
      <c r="A48" s="34"/>
      <c r="B48" s="34" t="s">
        <v>126</v>
      </c>
      <c r="C48" s="104">
        <v>407268.32126062026</v>
      </c>
      <c r="D48" s="104">
        <v>314110.58846429293</v>
      </c>
      <c r="E48" s="104">
        <v>38212.248591635296</v>
      </c>
      <c r="F48" s="104">
        <v>54945.484204692017</v>
      </c>
    </row>
    <row r="49" spans="1:6">
      <c r="A49" s="34"/>
      <c r="B49" s="34" t="s">
        <v>127</v>
      </c>
      <c r="C49" s="104">
        <v>404689.48212804564</v>
      </c>
      <c r="D49" s="104">
        <v>314055.48086208326</v>
      </c>
      <c r="E49" s="104">
        <v>41219.652315961503</v>
      </c>
      <c r="F49" s="104">
        <v>49414.348950000916</v>
      </c>
    </row>
    <row r="50" spans="1:6">
      <c r="A50" s="34"/>
      <c r="B50" s="34"/>
      <c r="C50" s="4"/>
      <c r="D50" s="4"/>
      <c r="E50" s="4"/>
      <c r="F50" s="4"/>
    </row>
    <row r="51" spans="1:6" ht="14.45" customHeight="1">
      <c r="A51" s="19" t="s">
        <v>130</v>
      </c>
      <c r="B51" s="18"/>
      <c r="C51" s="18"/>
      <c r="D51" s="18"/>
      <c r="E51" s="18"/>
      <c r="F51" s="18"/>
    </row>
    <row r="52" spans="1:6">
      <c r="A52" s="24" t="s">
        <v>117</v>
      </c>
    </row>
    <row r="53" spans="1:6" ht="14.45" customHeight="1">
      <c r="A53" s="16" t="s">
        <v>121</v>
      </c>
    </row>
    <row r="54" spans="1:6">
      <c r="A54" s="16" t="s">
        <v>122</v>
      </c>
    </row>
    <row r="55" spans="1:6">
      <c r="A55" s="24" t="s">
        <v>120</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C33&lt;'38'!$D$104</xm:f>
            <x14:dxf>
              <font>
                <color rgb="FFFF0000"/>
              </font>
              <numFmt numFmtId="172" formatCode="\*\*0.0%"/>
            </x14:dxf>
          </x14:cfRule>
          <x14:cfRule type="expression" priority="4" id="{CBD53215-54F7-4FB8-AB65-18379144F32B}">
            <xm:f>C33&lt;'38'!$D$103</xm:f>
            <x14:dxf>
              <font>
                <color rgb="FF00B050"/>
              </font>
              <numFmt numFmtId="171" formatCode="\*0.0%"/>
            </x14:dxf>
          </x14:cfRule>
          <xm:sqref>C15:F31</xm:sqref>
        </x14:conditionalFormatting>
        <x14:conditionalFormatting xmlns:xm="http://schemas.microsoft.com/office/excel/2006/main">
          <x14:cfRule type="expression" priority="1" id="{1202510F-4428-4BD6-8D86-3D8A744FDC6B}">
            <xm:f>C33&lt;'38'!$D$104</xm:f>
            <x14:dxf>
              <font>
                <color rgb="FFFF0000"/>
              </font>
              <numFmt numFmtId="174" formatCode="\*\*#,###,###,##0"/>
            </x14:dxf>
          </x14:cfRule>
          <x14:cfRule type="expression" priority="2" id="{E26BB99C-8890-40ED-A476-25384435F848}">
            <xm:f>C33&lt;'38'!$D$103</xm:f>
            <x14:dxf>
              <font>
                <color rgb="FF00B050"/>
              </font>
              <numFmt numFmtId="173" formatCode="\*#,###,###,##0"/>
            </x14:dxf>
          </x14:cfRule>
          <xm:sqref>C33:F49</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9"/>
      <c r="B1" s="29"/>
      <c r="C1" s="29"/>
      <c r="D1" s="29"/>
      <c r="E1" s="29"/>
      <c r="F1" s="29"/>
      <c r="G1" s="29"/>
      <c r="H1" s="29"/>
      <c r="I1" s="29"/>
      <c r="J1" s="29"/>
      <c r="K1" s="29"/>
      <c r="L1" s="29"/>
      <c r="M1" s="29"/>
    </row>
    <row r="2" spans="1:13">
      <c r="A2" s="29"/>
      <c r="B2" s="29"/>
      <c r="C2" s="29"/>
      <c r="D2" s="29"/>
      <c r="E2" s="29"/>
      <c r="F2" s="29"/>
      <c r="G2" s="29"/>
      <c r="H2" s="29"/>
      <c r="I2" s="29"/>
      <c r="J2" s="29"/>
      <c r="K2" s="29"/>
      <c r="L2" s="29"/>
      <c r="M2" s="29"/>
    </row>
    <row r="3" spans="1:13">
      <c r="A3" s="29"/>
      <c r="B3" s="29"/>
      <c r="C3" s="29"/>
      <c r="D3" s="29"/>
      <c r="E3" s="29"/>
      <c r="F3" s="29"/>
      <c r="G3" s="29"/>
      <c r="H3" s="29"/>
      <c r="I3" s="29"/>
      <c r="J3" s="29"/>
      <c r="K3" s="29"/>
      <c r="L3" s="29"/>
      <c r="M3" s="29"/>
    </row>
    <row r="4" spans="1:13">
      <c r="A4" s="29"/>
      <c r="B4" s="29"/>
      <c r="C4" s="29"/>
      <c r="D4" s="29"/>
      <c r="E4" s="29"/>
      <c r="F4" s="29"/>
      <c r="G4" s="29"/>
      <c r="H4" s="29"/>
      <c r="I4" s="29"/>
      <c r="J4" s="29"/>
      <c r="K4" s="29"/>
      <c r="L4" s="29"/>
      <c r="M4" s="29"/>
    </row>
    <row r="5" spans="1:13">
      <c r="A5" s="29"/>
      <c r="B5" s="29"/>
      <c r="C5" s="29"/>
      <c r="D5" s="29"/>
      <c r="E5" s="29"/>
      <c r="F5" s="29"/>
      <c r="G5" s="29"/>
      <c r="H5" s="29"/>
      <c r="I5" s="29"/>
      <c r="J5" s="29"/>
      <c r="K5" s="29"/>
      <c r="L5" s="29"/>
      <c r="M5" s="29"/>
    </row>
    <row r="6" spans="1:13">
      <c r="A6" s="29"/>
      <c r="B6" s="29"/>
      <c r="C6" s="29"/>
      <c r="D6" s="29"/>
      <c r="E6" s="29"/>
      <c r="F6" s="29"/>
      <c r="G6" s="29"/>
      <c r="H6" s="29"/>
      <c r="I6" s="29"/>
      <c r="J6" s="29"/>
      <c r="K6" s="29"/>
      <c r="L6" s="29"/>
      <c r="M6" s="29"/>
    </row>
    <row r="7" spans="1:13">
      <c r="A7" s="29"/>
      <c r="B7" s="29"/>
      <c r="C7" s="29"/>
      <c r="D7" s="29"/>
      <c r="E7" s="29"/>
      <c r="F7" s="29"/>
      <c r="G7" s="29"/>
      <c r="H7" s="29"/>
      <c r="I7" s="29"/>
      <c r="J7" s="29"/>
      <c r="K7" s="29"/>
      <c r="L7" s="29"/>
      <c r="M7" s="29"/>
    </row>
    <row r="8" spans="1:13">
      <c r="A8" s="30" t="s">
        <v>0</v>
      </c>
      <c r="B8" s="29"/>
      <c r="C8" s="29"/>
      <c r="D8" s="29"/>
      <c r="E8" s="29"/>
      <c r="F8" s="29"/>
      <c r="G8" s="29"/>
      <c r="H8" s="29"/>
      <c r="I8" s="29"/>
      <c r="J8" s="29"/>
      <c r="K8" s="30"/>
      <c r="L8" s="29"/>
      <c r="M8" s="29"/>
    </row>
    <row r="9" spans="1:13">
      <c r="A9" s="29" t="s">
        <v>1</v>
      </c>
      <c r="B9" s="90" t="s">
        <v>2</v>
      </c>
      <c r="C9" s="29"/>
      <c r="D9" s="29"/>
      <c r="E9" s="29"/>
      <c r="F9" s="29"/>
      <c r="G9" s="30"/>
      <c r="H9" s="29"/>
      <c r="I9" s="29"/>
      <c r="J9" s="29"/>
      <c r="K9" s="29"/>
      <c r="L9" s="29"/>
      <c r="M9" s="30"/>
    </row>
    <row r="10" spans="1:13">
      <c r="A10" s="29" t="s">
        <v>49</v>
      </c>
      <c r="B10" s="31">
        <v>17</v>
      </c>
      <c r="C10" s="29"/>
      <c r="D10" s="29"/>
      <c r="E10" s="29"/>
      <c r="F10" s="29"/>
      <c r="G10" s="31"/>
      <c r="H10" s="29"/>
      <c r="I10" s="29"/>
      <c r="J10" s="29"/>
      <c r="K10" s="29"/>
      <c r="L10" s="29"/>
      <c r="M10" s="31"/>
    </row>
    <row r="11" spans="1:13">
      <c r="A11" s="29" t="s">
        <v>3</v>
      </c>
      <c r="B11" s="30" t="s">
        <v>25</v>
      </c>
      <c r="C11" s="29"/>
      <c r="D11" s="29"/>
      <c r="E11" s="29"/>
      <c r="F11" s="29"/>
      <c r="G11" s="30"/>
      <c r="H11" s="29"/>
      <c r="I11" s="29"/>
      <c r="J11" s="29"/>
      <c r="K11" s="29"/>
      <c r="L11" s="29"/>
      <c r="M11" s="30"/>
    </row>
    <row r="12" spans="1:13">
      <c r="A12" s="116" t="s">
        <v>50</v>
      </c>
      <c r="B12" s="30" t="s">
        <v>51</v>
      </c>
      <c r="C12" s="29"/>
      <c r="D12" s="29"/>
      <c r="E12" s="107" t="s">
        <v>146</v>
      </c>
      <c r="F12" s="29"/>
      <c r="G12" s="30"/>
      <c r="H12" s="29"/>
      <c r="I12" s="29"/>
      <c r="J12" s="29"/>
      <c r="K12" s="29"/>
      <c r="L12" s="29"/>
      <c r="M12" s="30"/>
    </row>
    <row r="13" spans="1:13" s="2" customFormat="1" ht="24.95" customHeight="1">
      <c r="A13" s="51"/>
      <c r="B13" s="51"/>
      <c r="C13" s="51"/>
      <c r="D13" s="51"/>
      <c r="E13" s="51"/>
      <c r="F13" s="51"/>
      <c r="G13" s="191" t="s">
        <v>61</v>
      </c>
      <c r="H13" s="191"/>
      <c r="I13" s="191"/>
      <c r="J13" s="191"/>
      <c r="K13" s="191"/>
      <c r="L13" s="191"/>
      <c r="M13" s="191"/>
    </row>
    <row r="14" spans="1:13" s="63" customFormat="1" ht="24.95" customHeight="1">
      <c r="A14" s="55"/>
      <c r="B14" s="37" t="s">
        <v>60</v>
      </c>
      <c r="C14" s="37"/>
      <c r="D14" s="37" t="s">
        <v>58</v>
      </c>
      <c r="E14" s="37" t="s">
        <v>59</v>
      </c>
      <c r="F14" s="37"/>
      <c r="G14" s="37" t="s">
        <v>62</v>
      </c>
      <c r="H14" s="37" t="s">
        <v>63</v>
      </c>
      <c r="I14" s="37" t="s">
        <v>64</v>
      </c>
      <c r="J14" s="37" t="s">
        <v>65</v>
      </c>
      <c r="K14" s="37" t="s">
        <v>66</v>
      </c>
      <c r="L14" s="37" t="s">
        <v>67</v>
      </c>
      <c r="M14" s="37" t="s">
        <v>68</v>
      </c>
    </row>
    <row r="15" spans="1:13">
      <c r="A15" s="67"/>
      <c r="B15" s="187" t="s">
        <v>144</v>
      </c>
      <c r="C15" s="187"/>
      <c r="D15" s="187"/>
      <c r="E15" s="187"/>
      <c r="F15" s="187"/>
      <c r="G15" s="187"/>
      <c r="H15" s="187"/>
      <c r="I15" s="187"/>
      <c r="J15" s="187"/>
      <c r="K15" s="187"/>
      <c r="L15" s="187"/>
      <c r="M15" s="187"/>
    </row>
    <row r="16" spans="1:13">
      <c r="A16" s="34" t="s">
        <v>270</v>
      </c>
      <c r="B16" s="4">
        <v>1.8907570170040649E-3</v>
      </c>
      <c r="D16" s="4">
        <v>2.8664247721057884E-3</v>
      </c>
      <c r="E16" s="4">
        <v>6.9968250856908059E-4</v>
      </c>
      <c r="F16" s="4"/>
      <c r="G16" s="4">
        <v>3.8000537447280122E-3</v>
      </c>
      <c r="H16" s="4">
        <v>7.2444631071812019E-3</v>
      </c>
      <c r="I16" s="4">
        <v>2.8002159716304402E-3</v>
      </c>
      <c r="J16" s="4">
        <v>1.533653744628575E-3</v>
      </c>
      <c r="K16" s="4">
        <v>1.012782916141524E-3</v>
      </c>
      <c r="L16" s="4">
        <v>1.0812840708647825E-4</v>
      </c>
      <c r="M16" s="4">
        <v>0</v>
      </c>
    </row>
    <row r="17" spans="1:13">
      <c r="A17" s="34" t="s">
        <v>271</v>
      </c>
      <c r="B17" s="4">
        <v>3.2097869752525099E-3</v>
      </c>
      <c r="D17" s="4">
        <v>4.1657962300022293E-3</v>
      </c>
      <c r="E17" s="4">
        <v>2.1450770014446118E-3</v>
      </c>
      <c r="F17" s="4"/>
      <c r="G17" s="4">
        <v>7.3878171153080414E-3</v>
      </c>
      <c r="H17" s="4">
        <v>6.5182538549485155E-3</v>
      </c>
      <c r="I17" s="4">
        <v>5.2966858394443766E-3</v>
      </c>
      <c r="J17" s="4">
        <v>3.8848024857734906E-3</v>
      </c>
      <c r="K17" s="4">
        <v>1.002209937341462E-3</v>
      </c>
      <c r="L17" s="4">
        <v>1.7078818311155269E-3</v>
      </c>
      <c r="M17" s="4">
        <v>8.0928244779096526E-4</v>
      </c>
    </row>
    <row r="18" spans="1:13">
      <c r="A18" s="34" t="s">
        <v>272</v>
      </c>
      <c r="B18" s="4">
        <v>2.1993382943269572E-3</v>
      </c>
      <c r="D18" s="4">
        <v>2.8874104236256948E-3</v>
      </c>
      <c r="E18" s="4">
        <v>1.3830003309705169E-3</v>
      </c>
      <c r="F18" s="4"/>
      <c r="G18" s="4">
        <v>7.0353064444073242E-3</v>
      </c>
      <c r="H18" s="4">
        <v>2.5984064623241509E-3</v>
      </c>
      <c r="I18" s="4">
        <v>3.3671489812501921E-3</v>
      </c>
      <c r="J18" s="4">
        <v>2.897939290306897E-3</v>
      </c>
      <c r="K18" s="4">
        <v>1.5497079922869037E-3</v>
      </c>
      <c r="L18" s="4">
        <v>1.2245660706305468E-3</v>
      </c>
      <c r="M18" s="4">
        <v>4.9147817768200111E-4</v>
      </c>
    </row>
    <row r="19" spans="1:13">
      <c r="A19" s="34" t="s">
        <v>273</v>
      </c>
      <c r="B19" s="4">
        <v>1.3089072579900921E-2</v>
      </c>
      <c r="D19" s="4">
        <v>1.7676018426443944E-2</v>
      </c>
      <c r="E19" s="4">
        <v>8.6155908062678609E-3</v>
      </c>
      <c r="F19" s="4"/>
      <c r="G19" s="4">
        <v>4.9090183804075378E-2</v>
      </c>
      <c r="H19" s="4">
        <v>3.4308175973485518E-2</v>
      </c>
      <c r="I19" s="4">
        <v>1.8239938924403492E-2</v>
      </c>
      <c r="J19" s="4">
        <v>1.2055123697001577E-2</v>
      </c>
      <c r="K19" s="4">
        <v>6.6820541366025589E-3</v>
      </c>
      <c r="L19" s="4">
        <v>4.3784444443125403E-3</v>
      </c>
      <c r="M19" s="4">
        <v>1.0668595716954959E-3</v>
      </c>
    </row>
    <row r="20" spans="1:13">
      <c r="A20" s="34" t="s">
        <v>274</v>
      </c>
      <c r="B20" s="4">
        <v>2.6266897297184615E-2</v>
      </c>
      <c r="D20" s="4">
        <v>4.0412773128369772E-2</v>
      </c>
      <c r="E20" s="4">
        <v>1.2576565592582271E-2</v>
      </c>
      <c r="F20" s="4"/>
      <c r="G20" s="4">
        <v>6.2851916597244151E-2</v>
      </c>
      <c r="H20" s="4">
        <v>6.5538711214875187E-2</v>
      </c>
      <c r="I20" s="4">
        <v>4.7378180485594341E-2</v>
      </c>
      <c r="J20" s="4">
        <v>2.7401789301821782E-2</v>
      </c>
      <c r="K20" s="4">
        <v>1.4454416546477005E-2</v>
      </c>
      <c r="L20" s="4">
        <v>6.3331232309455886E-3</v>
      </c>
      <c r="M20" s="4">
        <v>4.5505489235445068E-4</v>
      </c>
    </row>
    <row r="21" spans="1:13">
      <c r="A21" s="34" t="s">
        <v>275</v>
      </c>
      <c r="B21" s="4">
        <v>1.7441689021081574E-2</v>
      </c>
      <c r="D21" s="4">
        <v>2.0665389108916164E-2</v>
      </c>
      <c r="E21" s="4">
        <v>1.4512928995683606E-2</v>
      </c>
      <c r="F21" s="4"/>
      <c r="G21" s="4">
        <v>7.3870426855214902E-2</v>
      </c>
      <c r="H21" s="4">
        <v>4.0227151836338806E-2</v>
      </c>
      <c r="I21" s="4">
        <v>2.8811291360201961E-2</v>
      </c>
      <c r="J21" s="4">
        <v>1.7187691348590873E-2</v>
      </c>
      <c r="K21" s="4">
        <v>5.679675876696144E-3</v>
      </c>
      <c r="L21" s="4">
        <v>2.7111209819044267E-3</v>
      </c>
      <c r="M21" s="4">
        <v>2.0392089960584326E-3</v>
      </c>
    </row>
    <row r="22" spans="1:13">
      <c r="A22" s="34" t="s">
        <v>276</v>
      </c>
      <c r="B22" s="4">
        <v>3.4973206590641474E-3</v>
      </c>
      <c r="D22" s="4">
        <v>4.9695083481331725E-3</v>
      </c>
      <c r="E22" s="4">
        <v>1.9354307902515841E-3</v>
      </c>
      <c r="F22" s="4"/>
      <c r="G22" s="4">
        <v>1.5621238856582927E-2</v>
      </c>
      <c r="H22" s="4">
        <v>5.8504531795330527E-3</v>
      </c>
      <c r="I22" s="4">
        <v>4.9327535017015421E-3</v>
      </c>
      <c r="J22" s="4">
        <v>4.2896014105506409E-3</v>
      </c>
      <c r="K22" s="4">
        <v>2.6242809790319771E-3</v>
      </c>
      <c r="L22" s="4">
        <v>6.4476406787328223E-4</v>
      </c>
      <c r="M22" s="4">
        <v>3.0589538583664669E-4</v>
      </c>
    </row>
    <row r="23" spans="1:13">
      <c r="A23" s="34" t="s">
        <v>277</v>
      </c>
      <c r="B23" s="4">
        <v>4.6328025819195644E-2</v>
      </c>
      <c r="D23" s="4">
        <v>6.8186004896037114E-2</v>
      </c>
      <c r="E23" s="4">
        <v>2.5373505263061199E-2</v>
      </c>
      <c r="F23" s="4"/>
      <c r="G23" s="4">
        <v>0.16022887209147274</v>
      </c>
      <c r="H23" s="4">
        <v>0.11326080671634933</v>
      </c>
      <c r="I23" s="4">
        <v>6.8603741795334336E-2</v>
      </c>
      <c r="J23" s="4">
        <v>5.1295376090058069E-2</v>
      </c>
      <c r="K23" s="4">
        <v>2.9003327572341003E-2</v>
      </c>
      <c r="L23" s="4">
        <v>6.5643439101327949E-3</v>
      </c>
      <c r="M23" s="4">
        <v>2.4585660499424089E-3</v>
      </c>
    </row>
    <row r="24" spans="1:13">
      <c r="A24" s="34" t="s">
        <v>278</v>
      </c>
      <c r="B24" s="4">
        <v>2.5517078226289014E-4</v>
      </c>
      <c r="D24" s="4">
        <v>3.1893694295116515E-4</v>
      </c>
      <c r="E24" s="4">
        <v>1.9622648061095202E-4</v>
      </c>
      <c r="F24" s="4"/>
      <c r="G24" s="4">
        <v>1.4736469249878694E-3</v>
      </c>
      <c r="H24" s="4">
        <v>2.097864109414847E-4</v>
      </c>
      <c r="I24" s="4">
        <v>5.7972921923073238E-4</v>
      </c>
      <c r="J24" s="4">
        <v>0</v>
      </c>
      <c r="K24" s="4">
        <v>3.1715638101870294E-4</v>
      </c>
      <c r="L24" s="4">
        <v>0</v>
      </c>
      <c r="M24" s="4">
        <v>7.2827388367014925E-5</v>
      </c>
    </row>
    <row r="25" spans="1:13">
      <c r="A25" s="34" t="s">
        <v>279</v>
      </c>
      <c r="B25" s="4">
        <v>9.2404671473104094E-5</v>
      </c>
      <c r="D25" s="4">
        <v>1.3082678703793887E-4</v>
      </c>
      <c r="E25" s="4">
        <v>5.6196727771511792E-5</v>
      </c>
      <c r="F25" s="4"/>
      <c r="G25" s="4">
        <v>0</v>
      </c>
      <c r="H25" s="4">
        <v>0</v>
      </c>
      <c r="I25" s="4">
        <v>1.3307340245298694E-4</v>
      </c>
      <c r="J25" s="4">
        <v>3.1486718538704391E-4</v>
      </c>
      <c r="K25" s="4">
        <v>0</v>
      </c>
      <c r="L25" s="4">
        <v>0</v>
      </c>
      <c r="M25" s="4">
        <v>6.9998276112423957E-5</v>
      </c>
    </row>
    <row r="26" spans="1:13">
      <c r="A26" s="34" t="s">
        <v>280</v>
      </c>
      <c r="B26" s="4">
        <v>3.0822906295668948E-3</v>
      </c>
      <c r="D26" s="4">
        <v>4.5564813711964618E-3</v>
      </c>
      <c r="E26" s="4">
        <v>1.6878357615428489E-3</v>
      </c>
      <c r="F26" s="4"/>
      <c r="G26" s="4">
        <v>0</v>
      </c>
      <c r="H26" s="4">
        <v>4.5523488878495416E-3</v>
      </c>
      <c r="I26" s="4">
        <v>4.7053590488341261E-3</v>
      </c>
      <c r="J26" s="4">
        <v>2.8718359469087776E-3</v>
      </c>
      <c r="K26" s="4">
        <v>2.1819152797952052E-3</v>
      </c>
      <c r="L26" s="4">
        <v>3.2789080362345337E-3</v>
      </c>
      <c r="M26" s="4">
        <v>2.2617404075163986E-3</v>
      </c>
    </row>
    <row r="27" spans="1:13">
      <c r="A27" s="34" t="s">
        <v>281</v>
      </c>
      <c r="B27" s="4">
        <v>2.9281180384435954E-4</v>
      </c>
      <c r="D27" s="4">
        <v>2.9645509921142509E-4</v>
      </c>
      <c r="E27" s="4">
        <v>2.9257894489494239E-4</v>
      </c>
      <c r="F27" s="4"/>
      <c r="G27" s="4">
        <v>0</v>
      </c>
      <c r="H27" s="4">
        <v>6.4182352207824177E-4</v>
      </c>
      <c r="I27" s="4">
        <v>3.8410877743937468E-4</v>
      </c>
      <c r="J27" s="4">
        <v>2.8349918777479408E-4</v>
      </c>
      <c r="K27" s="4">
        <v>0</v>
      </c>
      <c r="L27" s="4">
        <v>0</v>
      </c>
      <c r="M27" s="4">
        <v>5.0267852930049894E-4</v>
      </c>
    </row>
    <row r="28" spans="1:13">
      <c r="A28" s="34" t="s">
        <v>282</v>
      </c>
      <c r="B28" s="4">
        <v>0</v>
      </c>
      <c r="D28" s="4">
        <v>0</v>
      </c>
      <c r="E28" s="4">
        <v>0</v>
      </c>
      <c r="F28" s="4"/>
      <c r="G28" s="4">
        <v>0</v>
      </c>
      <c r="H28" s="4">
        <v>0</v>
      </c>
      <c r="I28" s="4">
        <v>0</v>
      </c>
      <c r="J28" s="4">
        <v>0</v>
      </c>
      <c r="K28" s="4">
        <v>0</v>
      </c>
      <c r="L28" s="4">
        <v>0</v>
      </c>
      <c r="M28" s="4">
        <v>0</v>
      </c>
    </row>
    <row r="29" spans="1:13">
      <c r="A29" s="34" t="s">
        <v>283</v>
      </c>
      <c r="B29" s="4">
        <v>1.0814402626746594E-4</v>
      </c>
      <c r="D29" s="4">
        <v>1.228997879440284E-4</v>
      </c>
      <c r="E29" s="4">
        <v>9.505724894114318E-5</v>
      </c>
      <c r="F29" s="4"/>
      <c r="G29" s="4">
        <v>0</v>
      </c>
      <c r="H29" s="4">
        <v>0</v>
      </c>
      <c r="I29" s="4">
        <v>0</v>
      </c>
      <c r="J29" s="4">
        <v>0</v>
      </c>
      <c r="K29" s="4">
        <v>1.6404601027078961E-4</v>
      </c>
      <c r="L29" s="4">
        <v>1.2671115897176614E-4</v>
      </c>
      <c r="M29" s="4">
        <v>3.1666614089767846E-4</v>
      </c>
    </row>
    <row r="30" spans="1:13">
      <c r="A30" s="34" t="s">
        <v>284</v>
      </c>
      <c r="B30" s="4">
        <v>0</v>
      </c>
      <c r="D30" s="4">
        <v>0</v>
      </c>
      <c r="E30" s="4">
        <v>0</v>
      </c>
      <c r="F30" s="4"/>
      <c r="G30" s="4">
        <v>0</v>
      </c>
      <c r="H30" s="4">
        <v>0</v>
      </c>
      <c r="I30" s="4">
        <v>0</v>
      </c>
      <c r="J30" s="4">
        <v>0</v>
      </c>
      <c r="K30" s="4">
        <v>0</v>
      </c>
      <c r="L30" s="4">
        <v>0</v>
      </c>
      <c r="M30" s="4">
        <v>0</v>
      </c>
    </row>
    <row r="31" spans="1:13">
      <c r="A31" s="34" t="s">
        <v>285</v>
      </c>
      <c r="B31" s="4">
        <v>3.2135508447049213E-4</v>
      </c>
      <c r="D31" s="4">
        <v>5.6795622018235813E-4</v>
      </c>
      <c r="E31" s="4">
        <v>8.5903435580625206E-5</v>
      </c>
      <c r="F31" s="4"/>
      <c r="G31" s="4">
        <v>0</v>
      </c>
      <c r="H31" s="4">
        <v>4.3020864674783705E-4</v>
      </c>
      <c r="I31" s="4">
        <v>9.329915840663479E-4</v>
      </c>
      <c r="J31" s="4">
        <v>2.9127250288228928E-4</v>
      </c>
      <c r="K31" s="4">
        <v>1.5261879562470718E-4</v>
      </c>
      <c r="L31" s="4">
        <v>0</v>
      </c>
      <c r="M31" s="4">
        <v>1.634987423730859E-4</v>
      </c>
    </row>
    <row r="32" spans="1:13">
      <c r="A32" s="34" t="s">
        <v>286</v>
      </c>
      <c r="B32" s="4">
        <v>1.8442933089865096E-4</v>
      </c>
      <c r="D32" s="4">
        <v>3.7681002390252307E-4</v>
      </c>
      <c r="E32" s="4">
        <v>0</v>
      </c>
      <c r="F32" s="4"/>
      <c r="G32" s="4">
        <v>2.123895450758289E-3</v>
      </c>
      <c r="H32" s="4">
        <v>2.005553637202125E-4</v>
      </c>
      <c r="I32" s="4">
        <v>1.233176882258243E-4</v>
      </c>
      <c r="J32" s="4">
        <v>1.2346842115670362E-4</v>
      </c>
      <c r="K32" s="4">
        <v>1.6563772851274503E-4</v>
      </c>
      <c r="L32" s="4">
        <v>0</v>
      </c>
      <c r="M32" s="4">
        <v>0</v>
      </c>
    </row>
    <row r="33" spans="1:13">
      <c r="A33" s="34" t="s">
        <v>287</v>
      </c>
      <c r="B33" s="4">
        <v>9.3435358223139323E-3</v>
      </c>
      <c r="D33" s="4">
        <v>1.2213118592579569E-2</v>
      </c>
      <c r="E33" s="4">
        <v>6.666837426794075E-3</v>
      </c>
      <c r="F33" s="4"/>
      <c r="G33" s="4">
        <v>1.405927022377065E-3</v>
      </c>
      <c r="H33" s="4">
        <v>1.4070815091189715E-3</v>
      </c>
      <c r="I33" s="4">
        <v>3.5389805114039441E-3</v>
      </c>
      <c r="J33" s="4">
        <v>2.9639889001101694E-3</v>
      </c>
      <c r="K33" s="4">
        <v>3.4868049044619888E-3</v>
      </c>
      <c r="L33" s="4">
        <v>1.1360070196692388E-2</v>
      </c>
      <c r="M33" s="4">
        <v>2.8191193211953694E-2</v>
      </c>
    </row>
    <row r="34" spans="1:13">
      <c r="A34" s="34" t="s">
        <v>288</v>
      </c>
      <c r="B34" s="4">
        <v>9.0150685430005883E-3</v>
      </c>
      <c r="D34" s="4">
        <v>9.9918931103473267E-3</v>
      </c>
      <c r="E34" s="4">
        <v>7.9515848647199062E-3</v>
      </c>
      <c r="F34" s="4"/>
      <c r="G34" s="4">
        <v>1.3541003956914075E-2</v>
      </c>
      <c r="H34" s="4">
        <v>1.8428374575757866E-2</v>
      </c>
      <c r="I34" s="4">
        <v>1.7700357997359448E-2</v>
      </c>
      <c r="J34" s="4">
        <v>9.4217983946156842E-3</v>
      </c>
      <c r="K34" s="4">
        <v>7.4525011799767473E-3</v>
      </c>
      <c r="L34" s="4">
        <v>2.7032401679692683E-3</v>
      </c>
      <c r="M34" s="4">
        <v>6.1583249633215796E-4</v>
      </c>
    </row>
    <row r="35" spans="1:13">
      <c r="A35" s="34" t="s">
        <v>289</v>
      </c>
      <c r="B35" s="4">
        <v>5.0809546604851003E-5</v>
      </c>
      <c r="D35" s="4">
        <v>1.0380966182201938E-4</v>
      </c>
      <c r="E35" s="4">
        <v>0</v>
      </c>
      <c r="F35" s="4"/>
      <c r="G35" s="4">
        <v>0</v>
      </c>
      <c r="H35" s="4">
        <v>0</v>
      </c>
      <c r="I35" s="4">
        <v>1.4834793911645402E-4</v>
      </c>
      <c r="J35" s="4">
        <v>1.4126083457216307E-4</v>
      </c>
      <c r="K35" s="4">
        <v>0</v>
      </c>
      <c r="L35" s="4">
        <v>0</v>
      </c>
      <c r="M35" s="4">
        <v>0</v>
      </c>
    </row>
    <row r="36" spans="1:13">
      <c r="A36" s="34" t="s">
        <v>290</v>
      </c>
      <c r="B36" s="4">
        <v>0.1719334710778401</v>
      </c>
      <c r="D36" s="4">
        <v>0.1590656556259932</v>
      </c>
      <c r="E36" s="4">
        <v>0.18484467867387244</v>
      </c>
      <c r="F36" s="4"/>
      <c r="G36" s="4">
        <v>0.14784407720918372</v>
      </c>
      <c r="H36" s="4">
        <v>0.1676561419467302</v>
      </c>
      <c r="I36" s="4">
        <v>0.1987847163812273</v>
      </c>
      <c r="J36" s="4">
        <v>0.20087067813535936</v>
      </c>
      <c r="K36" s="4">
        <v>0.20474660349437909</v>
      </c>
      <c r="L36" s="4">
        <v>0.18502813336910065</v>
      </c>
      <c r="M36" s="4">
        <v>0.10072775634208257</v>
      </c>
    </row>
    <row r="37" spans="1:13">
      <c r="A37" s="34" t="s">
        <v>291</v>
      </c>
      <c r="B37" s="4">
        <v>2.5825134973425251E-3</v>
      </c>
      <c r="D37" s="4">
        <v>3.9286024315623516E-3</v>
      </c>
      <c r="E37" s="4">
        <v>1.3066183653402457E-3</v>
      </c>
      <c r="F37" s="4"/>
      <c r="G37" s="4">
        <v>3.6121109093102729E-3</v>
      </c>
      <c r="H37" s="4">
        <v>4.9616048386667841E-3</v>
      </c>
      <c r="I37" s="4">
        <v>4.5894970679192038E-3</v>
      </c>
      <c r="J37" s="4">
        <v>2.4814245243431209E-3</v>
      </c>
      <c r="K37" s="4">
        <v>2.3669512159773813E-3</v>
      </c>
      <c r="L37" s="4">
        <v>1.573009850642824E-3</v>
      </c>
      <c r="M37" s="4">
        <v>3.000656602973156E-4</v>
      </c>
    </row>
    <row r="38" spans="1:13">
      <c r="A38" s="34" t="s">
        <v>292</v>
      </c>
      <c r="B38" s="4">
        <v>2.1421579830661915E-4</v>
      </c>
      <c r="D38" s="4">
        <v>1.731527804777386E-4</v>
      </c>
      <c r="E38" s="4">
        <v>2.5643881247244728E-4</v>
      </c>
      <c r="F38" s="4"/>
      <c r="G38" s="4">
        <v>0</v>
      </c>
      <c r="H38" s="4">
        <v>0</v>
      </c>
      <c r="I38" s="4">
        <v>6.0385326295456221E-4</v>
      </c>
      <c r="J38" s="4">
        <v>3.0264642022034984E-4</v>
      </c>
      <c r="K38" s="4">
        <v>1.4649728255065894E-4</v>
      </c>
      <c r="L38" s="4">
        <v>0</v>
      </c>
      <c r="M38" s="4">
        <v>1.5356628950697414E-4</v>
      </c>
    </row>
    <row r="39" spans="1:13">
      <c r="A39" s="34" t="s">
        <v>293</v>
      </c>
      <c r="B39" s="4">
        <v>1.0000800710205468E-2</v>
      </c>
      <c r="D39" s="4">
        <v>9.7100230299988471E-3</v>
      </c>
      <c r="E39" s="4">
        <v>1.039538334972471E-2</v>
      </c>
      <c r="F39" s="4"/>
      <c r="G39" s="4">
        <v>1.2644843321784907E-2</v>
      </c>
      <c r="H39" s="4">
        <v>4.8696484520283903E-3</v>
      </c>
      <c r="I39" s="4">
        <v>8.4526599439530767E-3</v>
      </c>
      <c r="J39" s="4">
        <v>1.026811517355334E-2</v>
      </c>
      <c r="K39" s="4">
        <v>1.6610831278776887E-2</v>
      </c>
      <c r="L39" s="4">
        <v>1.4835917787329678E-2</v>
      </c>
      <c r="M39" s="4">
        <v>5.3537105841327173E-3</v>
      </c>
    </row>
    <row r="40" spans="1:13">
      <c r="A40" s="34" t="s">
        <v>294</v>
      </c>
      <c r="B40" s="4">
        <v>4.1432910357883508E-4</v>
      </c>
      <c r="D40" s="4">
        <v>2.0877679329025912E-4</v>
      </c>
      <c r="E40" s="4">
        <v>6.1827433491917923E-4</v>
      </c>
      <c r="F40" s="4"/>
      <c r="G40" s="4">
        <v>2.0754541949613513E-3</v>
      </c>
      <c r="H40" s="4">
        <v>2.1174479286950075E-4</v>
      </c>
      <c r="I40" s="4">
        <v>8.5794507294949945E-4</v>
      </c>
      <c r="J40" s="4">
        <v>8.4561224897139746E-4</v>
      </c>
      <c r="K40" s="4">
        <v>0</v>
      </c>
      <c r="L40" s="4">
        <v>0</v>
      </c>
      <c r="M40" s="4">
        <v>0</v>
      </c>
    </row>
    <row r="41" spans="1:13">
      <c r="A41" s="34" t="s">
        <v>295</v>
      </c>
      <c r="B41" s="4">
        <v>2.4314379494276169E-2</v>
      </c>
      <c r="D41" s="4">
        <v>4.2240030519089977E-2</v>
      </c>
      <c r="E41" s="4">
        <v>7.170397700889234E-3</v>
      </c>
      <c r="F41" s="4"/>
      <c r="G41" s="4">
        <v>6.6708370502855593E-2</v>
      </c>
      <c r="H41" s="4">
        <v>4.5090455042770865E-2</v>
      </c>
      <c r="I41" s="4">
        <v>3.7828334822862068E-2</v>
      </c>
      <c r="J41" s="4">
        <v>2.9879425666896872E-2</v>
      </c>
      <c r="K41" s="4">
        <v>1.9668843820777337E-2</v>
      </c>
      <c r="L41" s="4">
        <v>7.9549921366035836E-3</v>
      </c>
      <c r="M41" s="4">
        <v>2.3692080794660477E-3</v>
      </c>
    </row>
    <row r="42" spans="1:13">
      <c r="A42" s="34" t="s">
        <v>296</v>
      </c>
      <c r="B42" s="4">
        <v>6.8058875763556332E-4</v>
      </c>
      <c r="D42" s="4">
        <v>7.160422389501102E-4</v>
      </c>
      <c r="E42" s="4">
        <v>6.5388608125159801E-4</v>
      </c>
      <c r="F42" s="4"/>
      <c r="G42" s="4">
        <v>1.8279335398657507E-3</v>
      </c>
      <c r="H42" s="4">
        <v>0</v>
      </c>
      <c r="I42" s="4">
        <v>1.2405641350450919E-4</v>
      </c>
      <c r="J42" s="4">
        <v>2.8237769681381417E-4</v>
      </c>
      <c r="K42" s="4">
        <v>0</v>
      </c>
      <c r="L42" s="4">
        <v>1.0887929630954154E-3</v>
      </c>
      <c r="M42" s="4">
        <v>1.8091429076207703E-3</v>
      </c>
    </row>
    <row r="43" spans="1:13">
      <c r="A43" s="34" t="s">
        <v>297</v>
      </c>
      <c r="B43" s="4">
        <v>6.342763170218214E-3</v>
      </c>
      <c r="D43" s="4">
        <v>4.9278784582641949E-3</v>
      </c>
      <c r="E43" s="4">
        <v>7.7859178074807488E-3</v>
      </c>
      <c r="F43" s="4"/>
      <c r="G43" s="4">
        <v>1.6211054079425882E-3</v>
      </c>
      <c r="H43" s="4">
        <v>4.0668262507907969E-3</v>
      </c>
      <c r="I43" s="4">
        <v>1.0811621177345108E-2</v>
      </c>
      <c r="J43" s="4">
        <v>1.1648967761449159E-2</v>
      </c>
      <c r="K43" s="4">
        <v>7.035347910454467E-3</v>
      </c>
      <c r="L43" s="4">
        <v>4.8283775769105688E-3</v>
      </c>
      <c r="M43" s="4">
        <v>8.6927140048730285E-4</v>
      </c>
    </row>
    <row r="44" spans="1:13">
      <c r="A44" s="34" t="s">
        <v>298</v>
      </c>
      <c r="B44" s="4">
        <v>4.5856674620841967E-5</v>
      </c>
      <c r="D44" s="4">
        <v>9.3690383063120875E-5</v>
      </c>
      <c r="E44" s="4">
        <v>0</v>
      </c>
      <c r="F44" s="4"/>
      <c r="G44" s="4">
        <v>0</v>
      </c>
      <c r="H44" s="4">
        <v>2.174591526356571E-4</v>
      </c>
      <c r="I44" s="4">
        <v>0</v>
      </c>
      <c r="J44" s="4">
        <v>1.29437025049422E-4</v>
      </c>
      <c r="K44" s="4">
        <v>0</v>
      </c>
      <c r="L44" s="4">
        <v>0</v>
      </c>
      <c r="M44" s="4">
        <v>0</v>
      </c>
    </row>
    <row r="45" spans="1:13">
      <c r="A45" s="34" t="s">
        <v>299</v>
      </c>
      <c r="B45" s="4">
        <v>8.4522695163541453E-2</v>
      </c>
      <c r="D45" s="4">
        <v>0.10448679484320153</v>
      </c>
      <c r="E45" s="4">
        <v>6.516797771026997E-2</v>
      </c>
      <c r="F45" s="4"/>
      <c r="G45" s="4">
        <v>5.9222785779933576E-2</v>
      </c>
      <c r="H45" s="4">
        <v>5.7157123446492687E-2</v>
      </c>
      <c r="I45" s="4">
        <v>7.3189732010040254E-2</v>
      </c>
      <c r="J45" s="4">
        <v>9.781903068920686E-2</v>
      </c>
      <c r="K45" s="4">
        <v>0.11834893995378905</v>
      </c>
      <c r="L45" s="4">
        <v>0.11998039355084091</v>
      </c>
      <c r="M45" s="4">
        <v>5.5737691904636441E-2</v>
      </c>
    </row>
    <row r="46" spans="1:13">
      <c r="A46" s="34" t="s">
        <v>300</v>
      </c>
      <c r="B46" s="4">
        <v>1.1023381442172577E-2</v>
      </c>
      <c r="D46" s="4">
        <v>2.6119824127353052E-3</v>
      </c>
      <c r="E46" s="4">
        <v>1.9052037441724907E-2</v>
      </c>
      <c r="F46" s="4"/>
      <c r="G46" s="4">
        <v>4.0644447441794879E-2</v>
      </c>
      <c r="H46" s="4">
        <v>2.4673068663717018E-2</v>
      </c>
      <c r="I46" s="4">
        <v>1.3362602909651584E-2</v>
      </c>
      <c r="J46" s="4">
        <v>1.1971357818985354E-2</v>
      </c>
      <c r="K46" s="4">
        <v>5.6224031619264208E-3</v>
      </c>
      <c r="L46" s="4">
        <v>4.8938997342973254E-3</v>
      </c>
      <c r="M46" s="4">
        <v>2.6882782250556522E-3</v>
      </c>
    </row>
    <row r="47" spans="1:13">
      <c r="A47" s="34" t="s">
        <v>301</v>
      </c>
      <c r="B47" s="4">
        <v>1.6609634705723495E-2</v>
      </c>
      <c r="D47" s="4">
        <v>4.8753397229661681E-3</v>
      </c>
      <c r="E47" s="4">
        <v>2.7558598250405728E-2</v>
      </c>
      <c r="F47" s="4"/>
      <c r="G47" s="4">
        <v>2.9727780828811088E-2</v>
      </c>
      <c r="H47" s="4">
        <v>2.396429034880521E-2</v>
      </c>
      <c r="I47" s="4">
        <v>1.6654117938689244E-2</v>
      </c>
      <c r="J47" s="4">
        <v>1.8407988491635736E-2</v>
      </c>
      <c r="K47" s="4">
        <v>1.1624314957297434E-2</v>
      </c>
      <c r="L47" s="4">
        <v>1.3100279183848013E-2</v>
      </c>
      <c r="M47" s="4">
        <v>1.4325112873784917E-2</v>
      </c>
    </row>
    <row r="48" spans="1:13">
      <c r="A48" s="34" t="s">
        <v>302</v>
      </c>
      <c r="B48" s="4">
        <v>1.6098503202586114E-3</v>
      </c>
      <c r="D48" s="4">
        <v>2.2854486519291745E-3</v>
      </c>
      <c r="E48" s="4">
        <v>9.256336015391833E-4</v>
      </c>
      <c r="F48" s="4"/>
      <c r="G48" s="4">
        <v>1.5613665489006344E-3</v>
      </c>
      <c r="H48" s="4">
        <v>2.0132433433496617E-3</v>
      </c>
      <c r="I48" s="4">
        <v>1.479078121380183E-3</v>
      </c>
      <c r="J48" s="4">
        <v>2.461827976049651E-3</v>
      </c>
      <c r="K48" s="4">
        <v>7.9289048402014274E-4</v>
      </c>
      <c r="L48" s="4">
        <v>2.0678734044888882E-3</v>
      </c>
      <c r="M48" s="4">
        <v>1.1064543220856001E-3</v>
      </c>
    </row>
    <row r="49" spans="1:13">
      <c r="A49" s="34" t="s">
        <v>303</v>
      </c>
      <c r="B49" s="4">
        <v>5.0505617262903892E-4</v>
      </c>
      <c r="D49" s="4">
        <v>6.4692422423333015E-4</v>
      </c>
      <c r="E49" s="4">
        <v>3.7320995319739748E-4</v>
      </c>
      <c r="F49" s="4"/>
      <c r="G49" s="4">
        <v>0</v>
      </c>
      <c r="H49" s="4">
        <v>1.3133005085104136E-3</v>
      </c>
      <c r="I49" s="4">
        <v>7.7338063365883683E-4</v>
      </c>
      <c r="J49" s="4">
        <v>3.9656518441507434E-4</v>
      </c>
      <c r="K49" s="4">
        <v>5.6970320519450772E-4</v>
      </c>
      <c r="L49" s="4">
        <v>3.7308300698089391E-4</v>
      </c>
      <c r="M49" s="4">
        <v>9.043883466493663E-5</v>
      </c>
    </row>
    <row r="50" spans="1:13">
      <c r="A50" s="34" t="s">
        <v>304</v>
      </c>
      <c r="B50" s="4">
        <v>6.9062471494950772E-4</v>
      </c>
      <c r="D50" s="4">
        <v>6.0724671880656568E-4</v>
      </c>
      <c r="E50" s="4">
        <v>7.7923869835018738E-4</v>
      </c>
      <c r="F50" s="4"/>
      <c r="G50" s="4">
        <v>5.7148647824775845E-3</v>
      </c>
      <c r="H50" s="4">
        <v>6.7724720639507981E-4</v>
      </c>
      <c r="I50" s="4">
        <v>1.0046696685156028E-3</v>
      </c>
      <c r="J50" s="4">
        <v>9.4031853310890033E-4</v>
      </c>
      <c r="K50" s="4">
        <v>0</v>
      </c>
      <c r="L50" s="4">
        <v>1.5117512626455759E-4</v>
      </c>
      <c r="M50" s="4">
        <v>0</v>
      </c>
    </row>
    <row r="51" spans="1:13">
      <c r="A51" s="34" t="s">
        <v>305</v>
      </c>
      <c r="B51" s="4">
        <v>6.8501390316971051E-4</v>
      </c>
      <c r="D51" s="4">
        <v>5.7310783851697233E-4</v>
      </c>
      <c r="E51" s="4">
        <v>8.0122178120910453E-4</v>
      </c>
      <c r="F51" s="4"/>
      <c r="G51" s="4">
        <v>0</v>
      </c>
      <c r="H51" s="4">
        <v>0</v>
      </c>
      <c r="I51" s="4">
        <v>7.1007359614763004E-4</v>
      </c>
      <c r="J51" s="4">
        <v>4.0861659596049172E-4</v>
      </c>
      <c r="K51" s="4">
        <v>7.6403405063380121E-4</v>
      </c>
      <c r="L51" s="4">
        <v>1.5713929590401999E-3</v>
      </c>
      <c r="M51" s="4">
        <v>7.5389981257658375E-4</v>
      </c>
    </row>
    <row r="52" spans="1:13">
      <c r="A52" s="34" t="s">
        <v>306</v>
      </c>
      <c r="B52" s="4">
        <v>2.7974885828985316E-4</v>
      </c>
      <c r="D52" s="4">
        <v>3.3708937703162467E-4</v>
      </c>
      <c r="E52" s="4">
        <v>2.2731095461386551E-4</v>
      </c>
      <c r="F52" s="4"/>
      <c r="G52" s="4">
        <v>0</v>
      </c>
      <c r="H52" s="4">
        <v>4.4728961736660957E-4</v>
      </c>
      <c r="I52" s="4">
        <v>6.39089982679718E-4</v>
      </c>
      <c r="J52" s="4">
        <v>0</v>
      </c>
      <c r="K52" s="4">
        <v>1.5613664201341533E-4</v>
      </c>
      <c r="L52" s="4">
        <v>2.6505642572349742E-4</v>
      </c>
      <c r="M52" s="4">
        <v>2.6943142707270515E-4</v>
      </c>
    </row>
    <row r="53" spans="1:13">
      <c r="A53" s="34" t="s">
        <v>307</v>
      </c>
      <c r="B53" s="4">
        <v>4.7474362486147736E-3</v>
      </c>
      <c r="D53" s="4">
        <v>1.4246105605152642E-3</v>
      </c>
      <c r="E53" s="4">
        <v>7.9281152853346512E-3</v>
      </c>
      <c r="F53" s="4"/>
      <c r="G53" s="4">
        <v>3.6088120052660236E-3</v>
      </c>
      <c r="H53" s="4">
        <v>6.7039775123381475E-3</v>
      </c>
      <c r="I53" s="4">
        <v>6.7860722713354582E-3</v>
      </c>
      <c r="J53" s="4">
        <v>5.8797478454010628E-3</v>
      </c>
      <c r="K53" s="4">
        <v>4.493142699535181E-3</v>
      </c>
      <c r="L53" s="4">
        <v>5.2798886869768417E-3</v>
      </c>
      <c r="M53" s="4">
        <v>1.128047773604325E-3</v>
      </c>
    </row>
    <row r="54" spans="1:13">
      <c r="A54" s="34" t="s">
        <v>308</v>
      </c>
      <c r="B54" s="4">
        <v>2.5852667161670975E-3</v>
      </c>
      <c r="D54" s="4">
        <v>3.826180955644303E-3</v>
      </c>
      <c r="E54" s="4">
        <v>1.2764462510818037E-3</v>
      </c>
      <c r="F54" s="4"/>
      <c r="G54" s="4">
        <v>5.3890729283052928E-3</v>
      </c>
      <c r="H54" s="4">
        <v>6.3285189284037376E-3</v>
      </c>
      <c r="I54" s="4">
        <v>4.4033015662556093E-3</v>
      </c>
      <c r="J54" s="4">
        <v>3.6133494406051562E-3</v>
      </c>
      <c r="K54" s="4">
        <v>8.9300877188213561E-4</v>
      </c>
      <c r="L54" s="4">
        <v>5.9519840251322719E-4</v>
      </c>
      <c r="M54" s="4">
        <v>1.4746625119043435E-4</v>
      </c>
    </row>
    <row r="55" spans="1:13">
      <c r="A55" s="34" t="s">
        <v>309</v>
      </c>
      <c r="B55" s="4">
        <v>6.1647263399720908E-4</v>
      </c>
      <c r="D55" s="4">
        <v>7.6182780018356217E-4</v>
      </c>
      <c r="E55" s="4">
        <v>4.8250112688600326E-4</v>
      </c>
      <c r="F55" s="4"/>
      <c r="G55" s="4">
        <v>3.6463690856535732E-3</v>
      </c>
      <c r="H55" s="4">
        <v>1.3620996090096947E-3</v>
      </c>
      <c r="I55" s="4">
        <v>4.8036828067362622E-4</v>
      </c>
      <c r="J55" s="4">
        <v>4.4136778922900747E-4</v>
      </c>
      <c r="K55" s="4">
        <v>4.9974581498904035E-4</v>
      </c>
      <c r="L55" s="4">
        <v>1.7086867597800089E-4</v>
      </c>
      <c r="M55" s="4">
        <v>2.1848423132288475E-4</v>
      </c>
    </row>
    <row r="56" spans="1:13">
      <c r="A56" s="34" t="s">
        <v>310</v>
      </c>
      <c r="B56" s="4">
        <v>1.2635034505763792E-2</v>
      </c>
      <c r="D56" s="4">
        <v>1.9675603992657015E-2</v>
      </c>
      <c r="E56" s="4">
        <v>5.8346687503048906E-3</v>
      </c>
      <c r="F56" s="4"/>
      <c r="G56" s="4">
        <v>1.0954306331019285E-2</v>
      </c>
      <c r="H56" s="4">
        <v>7.5421950507205526E-3</v>
      </c>
      <c r="I56" s="4">
        <v>1.0938662097587828E-2</v>
      </c>
      <c r="J56" s="4">
        <v>1.0900436562778143E-2</v>
      </c>
      <c r="K56" s="4">
        <v>1.7793187525443666E-2</v>
      </c>
      <c r="L56" s="4">
        <v>1.7755416637803594E-2</v>
      </c>
      <c r="M56" s="4">
        <v>1.1493290220781213E-2</v>
      </c>
    </row>
    <row r="57" spans="1:13">
      <c r="A57" s="34" t="s">
        <v>311</v>
      </c>
      <c r="B57" s="4">
        <v>0.31364014629212383</v>
      </c>
      <c r="D57" s="4">
        <v>0.30021027181914983</v>
      </c>
      <c r="E57" s="4">
        <v>0.32757740998312274</v>
      </c>
      <c r="F57" s="4"/>
      <c r="G57" s="4">
        <v>0.31490187385663881</v>
      </c>
      <c r="H57" s="4">
        <v>0.38926680043010847</v>
      </c>
      <c r="I57" s="4">
        <v>0.39209285374115316</v>
      </c>
      <c r="J57" s="4">
        <v>0.3334809959163868</v>
      </c>
      <c r="K57" s="4">
        <v>0.30225056191309319</v>
      </c>
      <c r="L57" s="4">
        <v>0.26723306321223073</v>
      </c>
      <c r="M57" s="4">
        <v>0.22900618797436459</v>
      </c>
    </row>
    <row r="58" spans="1:13">
      <c r="A58" s="34" t="s">
        <v>312</v>
      </c>
      <c r="B58" s="4">
        <v>9.3113181791261936E-5</v>
      </c>
      <c r="D58" s="4">
        <v>1.387831058205872E-4</v>
      </c>
      <c r="E58" s="4">
        <v>4.9886686476267822E-5</v>
      </c>
      <c r="F58" s="4"/>
      <c r="G58" s="4">
        <v>0</v>
      </c>
      <c r="H58" s="4">
        <v>2.2594020693162529E-4</v>
      </c>
      <c r="I58" s="4">
        <v>2.5656461680592646E-4</v>
      </c>
      <c r="J58" s="4">
        <v>1.307439366086875E-4</v>
      </c>
      <c r="K58" s="4">
        <v>0</v>
      </c>
      <c r="L58" s="4">
        <v>0</v>
      </c>
      <c r="M58" s="4">
        <v>0</v>
      </c>
    </row>
    <row r="59" spans="1:13">
      <c r="A59" s="34" t="s">
        <v>313</v>
      </c>
      <c r="B59" s="4">
        <v>2.4702819286316325E-3</v>
      </c>
      <c r="D59" s="4">
        <v>3.1295778464755296E-3</v>
      </c>
      <c r="E59" s="4">
        <v>1.8161361554860419E-3</v>
      </c>
      <c r="F59" s="4"/>
      <c r="G59" s="4">
        <v>4.8893760075277718E-3</v>
      </c>
      <c r="H59" s="4">
        <v>5.3766431739311511E-3</v>
      </c>
      <c r="I59" s="4">
        <v>4.0543772024686613E-3</v>
      </c>
      <c r="J59" s="4">
        <v>2.7755883964905763E-3</v>
      </c>
      <c r="K59" s="4">
        <v>1.5197584461620888E-3</v>
      </c>
      <c r="L59" s="4">
        <v>1.2683243828738844E-3</v>
      </c>
      <c r="M59" s="4">
        <v>2.9698442467795364E-4</v>
      </c>
    </row>
    <row r="60" spans="1:13">
      <c r="A60" s="34" t="s">
        <v>314</v>
      </c>
      <c r="B60" s="4">
        <v>5.5016729341142524E-2</v>
      </c>
      <c r="D60" s="4">
        <v>8.7166286294028464E-2</v>
      </c>
      <c r="E60" s="4">
        <v>2.4149281805135498E-2</v>
      </c>
      <c r="F60" s="4"/>
      <c r="G60" s="4">
        <v>0.18131198552965161</v>
      </c>
      <c r="H60" s="4">
        <v>0.12263268048680893</v>
      </c>
      <c r="I60" s="4">
        <v>8.6155133115442928E-2</v>
      </c>
      <c r="J60" s="4">
        <v>6.5222181987728778E-2</v>
      </c>
      <c r="K60" s="4">
        <v>3.462519572183638E-2</v>
      </c>
      <c r="L60" s="4">
        <v>1.1114932261241148E-2</v>
      </c>
      <c r="M60" s="4">
        <v>1.1683769018247265E-3</v>
      </c>
    </row>
    <row r="61" spans="1:13">
      <c r="A61" s="34" t="s">
        <v>315</v>
      </c>
      <c r="B61" s="4">
        <v>4.8301065919110467E-4</v>
      </c>
      <c r="D61" s="4">
        <v>7.9118471168260868E-4</v>
      </c>
      <c r="E61" s="4">
        <v>1.8968732656363514E-4</v>
      </c>
      <c r="F61" s="4"/>
      <c r="G61" s="4">
        <v>0</v>
      </c>
      <c r="H61" s="4">
        <v>6.5472699779348424E-4</v>
      </c>
      <c r="I61" s="4">
        <v>1.8474881123806475E-3</v>
      </c>
      <c r="J61" s="4">
        <v>0</v>
      </c>
      <c r="K61" s="4">
        <v>5.3478160061219736E-4</v>
      </c>
      <c r="L61" s="4">
        <v>0</v>
      </c>
      <c r="M61" s="4">
        <v>0</v>
      </c>
    </row>
    <row r="62" spans="1:13">
      <c r="A62" s="34" t="s">
        <v>316</v>
      </c>
      <c r="B62" s="4">
        <v>2.295767226971992E-4</v>
      </c>
      <c r="D62" s="4">
        <v>2.444842504341335E-4</v>
      </c>
      <c r="E62" s="4">
        <v>2.1771103506844263E-4</v>
      </c>
      <c r="F62" s="4"/>
      <c r="G62" s="4">
        <v>0</v>
      </c>
      <c r="H62" s="4">
        <v>4.803292894273755E-4</v>
      </c>
      <c r="I62" s="4">
        <v>0</v>
      </c>
      <c r="J62" s="4">
        <v>3.979477012180456E-4</v>
      </c>
      <c r="K62" s="4">
        <v>1.5033448301781895E-4</v>
      </c>
      <c r="L62" s="4">
        <v>6.3126436004098821E-4</v>
      </c>
      <c r="M62" s="4">
        <v>0</v>
      </c>
    </row>
    <row r="63" spans="1:13">
      <c r="A63" s="34" t="s">
        <v>317</v>
      </c>
      <c r="B63" s="4">
        <v>1.7064917706070384E-4</v>
      </c>
      <c r="D63" s="4">
        <v>3.145722815237255E-4</v>
      </c>
      <c r="E63" s="4">
        <v>3.3042770748592844E-5</v>
      </c>
      <c r="F63" s="4"/>
      <c r="G63" s="4">
        <v>1.6874426357504503E-3</v>
      </c>
      <c r="H63" s="4">
        <v>1.5288309178313503E-4</v>
      </c>
      <c r="I63" s="4">
        <v>2.813253280195433E-4</v>
      </c>
      <c r="J63" s="4">
        <v>1.6507729922276158E-4</v>
      </c>
      <c r="K63" s="4">
        <v>0</v>
      </c>
      <c r="L63" s="4">
        <v>0</v>
      </c>
      <c r="M63" s="4">
        <v>0</v>
      </c>
    </row>
    <row r="64" spans="1:13">
      <c r="A64" s="34" t="s">
        <v>318</v>
      </c>
      <c r="B64" s="4">
        <v>4.7495973235172816E-2</v>
      </c>
      <c r="D64" s="4">
        <v>7.768283058895574E-2</v>
      </c>
      <c r="E64" s="4">
        <v>1.8374255483001478E-2</v>
      </c>
      <c r="F64" s="4"/>
      <c r="G64" s="4">
        <v>2.1584353107083069E-2</v>
      </c>
      <c r="H64" s="4">
        <v>3.0105762701193164E-2</v>
      </c>
      <c r="I64" s="4">
        <v>3.7935799345407653E-2</v>
      </c>
      <c r="J64" s="4">
        <v>3.1406870551503353E-2</v>
      </c>
      <c r="K64" s="4">
        <v>4.9499181218405075E-2</v>
      </c>
      <c r="L64" s="4">
        <v>7.1473075535572167E-2</v>
      </c>
      <c r="M64" s="4">
        <v>6.6245844215887112E-2</v>
      </c>
    </row>
    <row r="65" spans="1:13">
      <c r="A65" s="34" t="s">
        <v>319</v>
      </c>
      <c r="B65" s="4">
        <v>5.1974654992565728E-4</v>
      </c>
      <c r="D65" s="4">
        <v>8.0793085247278377E-4</v>
      </c>
      <c r="E65" s="4">
        <v>2.4621660047330845E-4</v>
      </c>
      <c r="F65" s="4"/>
      <c r="G65" s="4">
        <v>0</v>
      </c>
      <c r="H65" s="4">
        <v>1.9405161759255953E-3</v>
      </c>
      <c r="I65" s="4">
        <v>9.5494040206043978E-4</v>
      </c>
      <c r="J65" s="4">
        <v>4.400427049166451E-4</v>
      </c>
      <c r="K65" s="4">
        <v>2.7420037226858342E-4</v>
      </c>
      <c r="L65" s="4">
        <v>1.4820823505316111E-4</v>
      </c>
      <c r="M65" s="4">
        <v>0</v>
      </c>
    </row>
    <row r="66" spans="1:13">
      <c r="A66" s="34" t="s">
        <v>320</v>
      </c>
      <c r="B66" s="4">
        <v>6.6091734065253571E-5</v>
      </c>
      <c r="D66" s="4">
        <v>5.2901306369948752E-5</v>
      </c>
      <c r="E66" s="4">
        <v>7.9624138648694002E-5</v>
      </c>
      <c r="F66" s="4"/>
      <c r="G66" s="4">
        <v>0</v>
      </c>
      <c r="H66" s="4">
        <v>2.37292427900283E-4</v>
      </c>
      <c r="I66" s="4">
        <v>8.6428403071181121E-5</v>
      </c>
      <c r="J66" s="4">
        <v>0</v>
      </c>
      <c r="K66" s="4">
        <v>1.658179214362328E-4</v>
      </c>
      <c r="L66" s="4">
        <v>0</v>
      </c>
      <c r="M66" s="4">
        <v>0</v>
      </c>
    </row>
    <row r="67" spans="1:13">
      <c r="A67" s="34" t="s">
        <v>321</v>
      </c>
      <c r="B67" s="4">
        <v>5.5583308972854736E-3</v>
      </c>
      <c r="D67" s="4">
        <v>4.0322796248835283E-3</v>
      </c>
      <c r="E67" s="4">
        <v>6.9718284316206448E-3</v>
      </c>
      <c r="F67" s="4"/>
      <c r="G67" s="4">
        <v>2.2217379535504119E-2</v>
      </c>
      <c r="H67" s="4">
        <v>1.1735289483987664E-2</v>
      </c>
      <c r="I67" s="4">
        <v>7.3465088453515256E-3</v>
      </c>
      <c r="J67" s="4">
        <v>7.2552717651022626E-3</v>
      </c>
      <c r="K67" s="4">
        <v>2.3867861670654736E-3</v>
      </c>
      <c r="L67" s="4">
        <v>1.1964072295088685E-3</v>
      </c>
      <c r="M67" s="4">
        <v>9.9194728559235355E-4</v>
      </c>
    </row>
    <row r="68" spans="1:13">
      <c r="A68" s="34" t="s">
        <v>322</v>
      </c>
      <c r="B68" s="4">
        <v>1.4164295062257667E-3</v>
      </c>
      <c r="D68" s="4">
        <v>1.787570459408768E-3</v>
      </c>
      <c r="E68" s="4">
        <v>1.0725787761314879E-3</v>
      </c>
      <c r="F68" s="4"/>
      <c r="G68" s="4">
        <v>1.0793157096351353E-2</v>
      </c>
      <c r="H68" s="4">
        <v>3.4488927778459997E-3</v>
      </c>
      <c r="I68" s="4">
        <v>1.604542663925362E-3</v>
      </c>
      <c r="J68" s="4">
        <v>9.2301525030774178E-4</v>
      </c>
      <c r="K68" s="4">
        <v>6.320645961020849E-4</v>
      </c>
      <c r="L68" s="4">
        <v>0</v>
      </c>
      <c r="M68" s="4">
        <v>9.0734825214014271E-5</v>
      </c>
    </row>
    <row r="69" spans="1:13">
      <c r="A69" s="34" t="s">
        <v>323</v>
      </c>
      <c r="B69" s="4">
        <v>1.227562775213321E-4</v>
      </c>
      <c r="D69" s="4">
        <v>1.995676887072829E-4</v>
      </c>
      <c r="E69" s="4">
        <v>4.9673035653289013E-5</v>
      </c>
      <c r="F69" s="4"/>
      <c r="G69" s="4">
        <v>0</v>
      </c>
      <c r="H69" s="4">
        <v>2.2914159173689468E-4</v>
      </c>
      <c r="I69" s="4">
        <v>0</v>
      </c>
      <c r="J69" s="4">
        <v>2.8641391757238516E-4</v>
      </c>
      <c r="K69" s="4">
        <v>3.2796746494985799E-4</v>
      </c>
      <c r="L69" s="4">
        <v>0</v>
      </c>
      <c r="M69" s="4">
        <v>0</v>
      </c>
    </row>
    <row r="70" spans="1:13">
      <c r="A70" s="34" t="s">
        <v>324</v>
      </c>
      <c r="B70" s="4">
        <v>4.8167920003406488E-3</v>
      </c>
      <c r="D70" s="4">
        <v>5.050571323435912E-3</v>
      </c>
      <c r="E70" s="4">
        <v>4.6000521429030395E-3</v>
      </c>
      <c r="F70" s="4"/>
      <c r="G70" s="4">
        <v>1.1286266030795319E-2</v>
      </c>
      <c r="H70" s="4">
        <v>9.9036660556218545E-3</v>
      </c>
      <c r="I70" s="4">
        <v>5.1212021449658258E-3</v>
      </c>
      <c r="J70" s="4">
        <v>6.1418579396740267E-3</v>
      </c>
      <c r="K70" s="4">
        <v>4.3209888427255556E-3</v>
      </c>
      <c r="L70" s="4">
        <v>3.817130489875331E-3</v>
      </c>
      <c r="M70" s="4">
        <v>4.5571692700838981E-4</v>
      </c>
    </row>
    <row r="71" spans="1:13">
      <c r="A71" s="34" t="s">
        <v>325</v>
      </c>
      <c r="B71" s="4">
        <v>3.7124197853708591E-4</v>
      </c>
      <c r="D71" s="4">
        <v>2.9096328596371705E-4</v>
      </c>
      <c r="E71" s="4">
        <v>4.5325268836681577E-4</v>
      </c>
      <c r="F71" s="4"/>
      <c r="G71" s="4">
        <v>1.7944836260339813E-3</v>
      </c>
      <c r="H71" s="4">
        <v>0</v>
      </c>
      <c r="I71" s="4">
        <v>5.3518732488169404E-4</v>
      </c>
      <c r="J71" s="4">
        <v>7.9031560953578641E-4</v>
      </c>
      <c r="K71" s="4">
        <v>2.9899374127170705E-4</v>
      </c>
      <c r="L71" s="4">
        <v>0</v>
      </c>
      <c r="M71" s="4">
        <v>7.4079800659621848E-5</v>
      </c>
    </row>
    <row r="72" spans="1:13">
      <c r="A72" s="34" t="s">
        <v>326</v>
      </c>
      <c r="B72" s="4">
        <v>6.5004029438992341E-4</v>
      </c>
      <c r="D72" s="4">
        <v>8.9572778000427376E-4</v>
      </c>
      <c r="E72" s="4">
        <v>4.1917780711575136E-4</v>
      </c>
      <c r="F72" s="4"/>
      <c r="G72" s="4">
        <v>3.5724048983040075E-3</v>
      </c>
      <c r="H72" s="4">
        <v>1.4544084427254174E-3</v>
      </c>
      <c r="I72" s="4">
        <v>2.5659590604764173E-4</v>
      </c>
      <c r="J72" s="4">
        <v>1.046375351426061E-3</v>
      </c>
      <c r="K72" s="4">
        <v>2.9185001152334794E-4</v>
      </c>
      <c r="L72" s="4">
        <v>4.6377892991512692E-4</v>
      </c>
      <c r="M72" s="4">
        <v>0</v>
      </c>
    </row>
    <row r="73" spans="1:13">
      <c r="A73" s="34" t="s">
        <v>327</v>
      </c>
      <c r="B73" s="4">
        <v>1.165512487153468E-4</v>
      </c>
      <c r="D73" s="4">
        <v>1.4938489803455716E-4</v>
      </c>
      <c r="E73" s="4">
        <v>8.6033224219895059E-5</v>
      </c>
      <c r="F73" s="4"/>
      <c r="G73" s="4">
        <v>0</v>
      </c>
      <c r="H73" s="4">
        <v>4.4088638460639543E-4</v>
      </c>
      <c r="I73" s="4">
        <v>0</v>
      </c>
      <c r="J73" s="4">
        <v>0</v>
      </c>
      <c r="K73" s="4">
        <v>4.6009273396807317E-4</v>
      </c>
      <c r="L73" s="4">
        <v>0</v>
      </c>
      <c r="M73" s="4">
        <v>0</v>
      </c>
    </row>
    <row r="74" spans="1:13">
      <c r="A74" s="34" t="s">
        <v>328</v>
      </c>
      <c r="B74" s="4">
        <v>2.2739525606512417E-3</v>
      </c>
      <c r="D74" s="4">
        <v>1.637140146537283E-3</v>
      </c>
      <c r="E74" s="4">
        <v>2.885270917787953E-3</v>
      </c>
      <c r="F74" s="4"/>
      <c r="G74" s="4">
        <v>1.4753720557179589E-2</v>
      </c>
      <c r="H74" s="4">
        <v>5.106504355220135E-3</v>
      </c>
      <c r="I74" s="4">
        <v>1.5081541661442236E-3</v>
      </c>
      <c r="J74" s="4">
        <v>2.6294966354789601E-3</v>
      </c>
      <c r="K74" s="4">
        <v>1.3155837547372848E-3</v>
      </c>
      <c r="L74" s="4">
        <v>1.0409876422855539E-3</v>
      </c>
      <c r="M74" s="4">
        <v>0</v>
      </c>
    </row>
    <row r="75" spans="1:13">
      <c r="A75" s="34" t="s">
        <v>329</v>
      </c>
      <c r="B75" s="4">
        <v>7.6537644432293414E-4</v>
      </c>
      <c r="D75" s="4">
        <v>1.0471604050433451E-3</v>
      </c>
      <c r="E75" s="4">
        <v>4.5201318404374744E-4</v>
      </c>
      <c r="F75" s="4"/>
      <c r="G75" s="4">
        <v>0</v>
      </c>
      <c r="H75" s="4">
        <v>6.4521436118342439E-4</v>
      </c>
      <c r="I75" s="4">
        <v>1.1864300686393575E-3</v>
      </c>
      <c r="J75" s="4">
        <v>1.0158323264302623E-3</v>
      </c>
      <c r="K75" s="4">
        <v>9.6282375249416943E-4</v>
      </c>
      <c r="L75" s="4">
        <v>7.889714237362919E-4</v>
      </c>
      <c r="M75" s="4">
        <v>2.6936721274859398E-4</v>
      </c>
    </row>
    <row r="76" spans="1:13">
      <c r="A76" s="34" t="s">
        <v>330</v>
      </c>
      <c r="B76" s="4">
        <v>5.2591951773815846E-4</v>
      </c>
      <c r="D76" s="4">
        <v>5.8722626712160754E-4</v>
      </c>
      <c r="E76" s="4">
        <v>4.7241015776449042E-4</v>
      </c>
      <c r="F76" s="4"/>
      <c r="G76" s="4">
        <v>1.942082157552033E-3</v>
      </c>
      <c r="H76" s="4">
        <v>1.5863192712350165E-3</v>
      </c>
      <c r="I76" s="4">
        <v>4.0564098495253454E-4</v>
      </c>
      <c r="J76" s="4">
        <v>4.6977504329258042E-4</v>
      </c>
      <c r="K76" s="4">
        <v>3.3295068613934189E-4</v>
      </c>
      <c r="L76" s="4">
        <v>3.3808292653768823E-4</v>
      </c>
      <c r="M76" s="4">
        <v>8.15554158871647E-5</v>
      </c>
    </row>
    <row r="77" spans="1:13">
      <c r="A77" s="34" t="s">
        <v>331</v>
      </c>
      <c r="B77" s="4">
        <v>1.826988412154066E-3</v>
      </c>
      <c r="D77" s="4">
        <v>3.0287697936469201E-3</v>
      </c>
      <c r="E77" s="4">
        <v>6.8248240720301457E-4</v>
      </c>
      <c r="F77" s="4"/>
      <c r="G77" s="4">
        <v>1.4736469249878694E-3</v>
      </c>
      <c r="H77" s="4">
        <v>2.0600410796184684E-3</v>
      </c>
      <c r="I77" s="4">
        <v>3.8261548753596038E-3</v>
      </c>
      <c r="J77" s="4">
        <v>3.8442547674957493E-3</v>
      </c>
      <c r="K77" s="4">
        <v>1.0265880505250298E-3</v>
      </c>
      <c r="L77" s="4">
        <v>1.5852679015068781E-4</v>
      </c>
      <c r="M77" s="4">
        <v>8.2244853339888437E-5</v>
      </c>
    </row>
    <row r="78" spans="1:13">
      <c r="A78" s="34" t="s">
        <v>332</v>
      </c>
      <c r="B78" s="4">
        <v>1.8306350574056089E-3</v>
      </c>
      <c r="D78" s="4">
        <v>1.8613438500658371E-3</v>
      </c>
      <c r="E78" s="4">
        <v>1.7297201707142014E-3</v>
      </c>
      <c r="F78" s="4"/>
      <c r="G78" s="4">
        <v>1.4736469249878694E-3</v>
      </c>
      <c r="H78" s="4">
        <v>4.2020183674576503E-3</v>
      </c>
      <c r="I78" s="4">
        <v>8.5950452772249903E-4</v>
      </c>
      <c r="J78" s="4">
        <v>2.6898891275839998E-3</v>
      </c>
      <c r="K78" s="4">
        <v>2.2856644019204233E-3</v>
      </c>
      <c r="L78" s="4">
        <v>1.8410010899932757E-3</v>
      </c>
      <c r="M78" s="4">
        <v>4.7304924805387818E-4</v>
      </c>
    </row>
    <row r="79" spans="1:13">
      <c r="A79" s="34" t="s">
        <v>333</v>
      </c>
      <c r="B79" s="4">
        <v>1.5260858465720455E-4</v>
      </c>
      <c r="D79" s="4">
        <v>2.5974656449105187E-4</v>
      </c>
      <c r="E79" s="4">
        <v>5.0460992734977998E-5</v>
      </c>
      <c r="F79" s="4"/>
      <c r="G79" s="4">
        <v>0</v>
      </c>
      <c r="H79" s="4">
        <v>2.174591526356571E-4</v>
      </c>
      <c r="I79" s="4">
        <v>2.6507731159599007E-4</v>
      </c>
      <c r="J79" s="4">
        <v>3.231653842714147E-4</v>
      </c>
      <c r="K79" s="4">
        <v>1.7474464811803757E-4</v>
      </c>
      <c r="L79" s="4">
        <v>0</v>
      </c>
      <c r="M79" s="4">
        <v>0</v>
      </c>
    </row>
    <row r="80" spans="1:13">
      <c r="A80" s="34" t="s">
        <v>334</v>
      </c>
      <c r="B80" s="4">
        <v>1.7832214195844239E-4</v>
      </c>
      <c r="D80" s="4">
        <v>2.605816049941814E-4</v>
      </c>
      <c r="E80" s="4">
        <v>1.00583254922754E-4</v>
      </c>
      <c r="F80" s="4"/>
      <c r="G80" s="4">
        <v>0</v>
      </c>
      <c r="H80" s="4">
        <v>0</v>
      </c>
      <c r="I80" s="4">
        <v>0</v>
      </c>
      <c r="J80" s="4">
        <v>2.8218981382320833E-4</v>
      </c>
      <c r="K80" s="4">
        <v>1.5842803417055732E-4</v>
      </c>
      <c r="L80" s="4">
        <v>7.7489944391615883E-4</v>
      </c>
      <c r="M80" s="4">
        <v>0</v>
      </c>
    </row>
    <row r="81" spans="1:13">
      <c r="A81" s="34" t="s">
        <v>335</v>
      </c>
      <c r="B81" s="4">
        <v>2.5475859799809311E-5</v>
      </c>
      <c r="D81" s="4">
        <v>0</v>
      </c>
      <c r="E81" s="4">
        <v>5.0460992734977998E-5</v>
      </c>
      <c r="F81" s="4"/>
      <c r="G81" s="4">
        <v>0</v>
      </c>
      <c r="H81" s="4">
        <v>0</v>
      </c>
      <c r="I81" s="4">
        <v>1.4175962337016577E-4</v>
      </c>
      <c r="J81" s="4">
        <v>0</v>
      </c>
      <c r="K81" s="4">
        <v>0</v>
      </c>
      <c r="L81" s="4">
        <v>0</v>
      </c>
      <c r="M81" s="4">
        <v>0</v>
      </c>
    </row>
    <row r="82" spans="1:13">
      <c r="A82" s="34" t="s">
        <v>336</v>
      </c>
      <c r="B82" s="4">
        <v>9.0352136054929846E-5</v>
      </c>
      <c r="D82" s="4">
        <v>1.4043998598595845E-4</v>
      </c>
      <c r="E82" s="4">
        <v>4.2811483426210142E-5</v>
      </c>
      <c r="F82" s="4"/>
      <c r="G82" s="4">
        <v>0</v>
      </c>
      <c r="H82" s="4">
        <v>1.9808120813537345E-4</v>
      </c>
      <c r="I82" s="4">
        <v>0</v>
      </c>
      <c r="J82" s="4">
        <v>1.4798544576446351E-4</v>
      </c>
      <c r="K82" s="4">
        <v>1.5643316535870005E-4</v>
      </c>
      <c r="L82" s="4">
        <v>1.4672675101196211E-4</v>
      </c>
      <c r="M82" s="4">
        <v>0</v>
      </c>
    </row>
    <row r="83" spans="1:13">
      <c r="A83" s="34" t="s">
        <v>337</v>
      </c>
      <c r="B83" s="4">
        <v>3.4437566651231871E-4</v>
      </c>
      <c r="D83" s="4">
        <v>2.7782164492814386E-4</v>
      </c>
      <c r="E83" s="4">
        <v>4.1277800459382975E-4</v>
      </c>
      <c r="F83" s="4"/>
      <c r="G83" s="4">
        <v>3.7342106503760963E-3</v>
      </c>
      <c r="H83" s="4">
        <v>4.2494863854397277E-4</v>
      </c>
      <c r="I83" s="4">
        <v>0</v>
      </c>
      <c r="J83" s="4">
        <v>1.4569931307605171E-4</v>
      </c>
      <c r="K83" s="4">
        <v>5.6706503304146567E-4</v>
      </c>
      <c r="L83" s="4">
        <v>1.6263390076740758E-4</v>
      </c>
      <c r="M83" s="4">
        <v>0</v>
      </c>
    </row>
    <row r="84" spans="1:13">
      <c r="A84" s="34" t="s">
        <v>338</v>
      </c>
      <c r="B84" s="4">
        <v>0</v>
      </c>
      <c r="D84" s="4">
        <v>0</v>
      </c>
      <c r="E84" s="4">
        <v>0</v>
      </c>
      <c r="F84" s="4"/>
      <c r="G84" s="4">
        <v>0</v>
      </c>
      <c r="H84" s="4">
        <v>0</v>
      </c>
      <c r="I84" s="4">
        <v>0</v>
      </c>
      <c r="J84" s="4">
        <v>0</v>
      </c>
      <c r="K84" s="4">
        <v>0</v>
      </c>
      <c r="L84" s="4">
        <v>0</v>
      </c>
      <c r="M84" s="4">
        <v>0</v>
      </c>
    </row>
    <row r="85" spans="1:13">
      <c r="A85" s="34" t="s">
        <v>339</v>
      </c>
      <c r="B85" s="4">
        <v>1.3433327740641557E-3</v>
      </c>
      <c r="D85" s="4">
        <v>2.3132384586445837E-3</v>
      </c>
      <c r="E85" s="4">
        <v>3.7380369945263348E-4</v>
      </c>
      <c r="F85" s="4"/>
      <c r="G85" s="4">
        <v>4.0052262665880517E-3</v>
      </c>
      <c r="H85" s="4">
        <v>2.240345471221818E-3</v>
      </c>
      <c r="I85" s="4">
        <v>1.1430822268875269E-3</v>
      </c>
      <c r="J85" s="4">
        <v>1.1737742705505889E-3</v>
      </c>
      <c r="K85" s="4">
        <v>1.4432639628641499E-3</v>
      </c>
      <c r="L85" s="4">
        <v>1.274972577120808E-3</v>
      </c>
      <c r="M85" s="4">
        <v>5.9381950660687948E-4</v>
      </c>
    </row>
    <row r="86" spans="1:13">
      <c r="A86" s="34" t="s">
        <v>340</v>
      </c>
      <c r="B86" s="4">
        <v>2.1391535484584208E-5</v>
      </c>
      <c r="D86" s="4">
        <v>0</v>
      </c>
      <c r="E86" s="4">
        <v>4.2371018099483634E-5</v>
      </c>
      <c r="F86" s="4"/>
      <c r="G86" s="4">
        <v>0</v>
      </c>
      <c r="H86" s="4">
        <v>0</v>
      </c>
      <c r="I86" s="4">
        <v>1.1903252873243133E-4</v>
      </c>
      <c r="J86" s="4">
        <v>0</v>
      </c>
      <c r="K86" s="4">
        <v>0</v>
      </c>
      <c r="L86" s="4">
        <v>0</v>
      </c>
      <c r="M86" s="4">
        <v>0</v>
      </c>
    </row>
    <row r="87" spans="1:13">
      <c r="A87" s="34" t="s">
        <v>341</v>
      </c>
      <c r="B87" s="4">
        <v>7.8006058495266056E-5</v>
      </c>
      <c r="D87" s="4">
        <v>4.7837406458140524E-5</v>
      </c>
      <c r="E87" s="4">
        <v>1.0813258899409665E-4</v>
      </c>
      <c r="F87" s="4"/>
      <c r="G87" s="4">
        <v>0</v>
      </c>
      <c r="H87" s="4">
        <v>2.1457795850110005E-4</v>
      </c>
      <c r="I87" s="4">
        <v>0</v>
      </c>
      <c r="J87" s="4">
        <v>1.5136627655932083E-4</v>
      </c>
      <c r="K87" s="4">
        <v>1.9302783684190214E-4</v>
      </c>
      <c r="L87" s="4">
        <v>0</v>
      </c>
      <c r="M87" s="4">
        <v>0</v>
      </c>
    </row>
    <row r="88" spans="1:13">
      <c r="A88" s="34" t="s">
        <v>342</v>
      </c>
      <c r="B88" s="4">
        <v>5.6529337183937956E-3</v>
      </c>
      <c r="D88" s="4">
        <v>4.5017243918787607E-3</v>
      </c>
      <c r="E88" s="4">
        <v>6.7959590505763902E-3</v>
      </c>
      <c r="F88" s="4"/>
      <c r="G88" s="4">
        <v>6.6142719265254446E-3</v>
      </c>
      <c r="H88" s="4">
        <v>5.7044500151411911E-3</v>
      </c>
      <c r="I88" s="4">
        <v>3.9964299321671309E-3</v>
      </c>
      <c r="J88" s="4">
        <v>3.0598821979961484E-3</v>
      </c>
      <c r="K88" s="4">
        <v>5.39028219314949E-3</v>
      </c>
      <c r="L88" s="4">
        <v>4.5012107060456233E-3</v>
      </c>
      <c r="M88" s="4">
        <v>9.9018939834798481E-3</v>
      </c>
    </row>
    <row r="89" spans="1:13">
      <c r="A89" s="34" t="s">
        <v>343</v>
      </c>
      <c r="B89" s="4">
        <v>6.5089345294839054E-4</v>
      </c>
      <c r="D89" s="4">
        <v>8.7319840025373971E-4</v>
      </c>
      <c r="E89" s="4">
        <v>4.4270925359151872E-4</v>
      </c>
      <c r="F89" s="4"/>
      <c r="G89" s="4">
        <v>0</v>
      </c>
      <c r="H89" s="4">
        <v>2.0153386989732965E-3</v>
      </c>
      <c r="I89" s="4">
        <v>1.39578826972961E-3</v>
      </c>
      <c r="J89" s="4">
        <v>5.3006040090869638E-4</v>
      </c>
      <c r="K89" s="4">
        <v>6.0183821132275904E-4</v>
      </c>
      <c r="L89" s="4">
        <v>0</v>
      </c>
      <c r="M89" s="4">
        <v>0</v>
      </c>
    </row>
    <row r="90" spans="1:13">
      <c r="A90" s="34" t="s">
        <v>344</v>
      </c>
      <c r="B90" s="4">
        <v>2.418287119147631E-5</v>
      </c>
      <c r="D90" s="4">
        <v>4.9408346423483553E-5</v>
      </c>
      <c r="E90" s="4">
        <v>0</v>
      </c>
      <c r="F90" s="4"/>
      <c r="G90" s="4">
        <v>0</v>
      </c>
      <c r="H90" s="4">
        <v>0</v>
      </c>
      <c r="I90" s="4">
        <v>1.3456482878503571E-4</v>
      </c>
      <c r="J90" s="4">
        <v>0</v>
      </c>
      <c r="K90" s="4">
        <v>0</v>
      </c>
      <c r="L90" s="4">
        <v>0</v>
      </c>
      <c r="M90" s="4">
        <v>0</v>
      </c>
    </row>
    <row r="91" spans="1:13">
      <c r="A91" s="34" t="s">
        <v>345</v>
      </c>
      <c r="B91" s="4">
        <v>1.0537070577035212E-2</v>
      </c>
      <c r="D91" s="4">
        <v>1.5391904515954931E-2</v>
      </c>
      <c r="E91" s="4">
        <v>5.8540167921428124E-3</v>
      </c>
      <c r="F91" s="4"/>
      <c r="G91" s="4">
        <v>1.6294589566434509E-2</v>
      </c>
      <c r="H91" s="4">
        <v>1.2597623035655699E-2</v>
      </c>
      <c r="I91" s="4">
        <v>1.3984017883904539E-2</v>
      </c>
      <c r="J91" s="4">
        <v>1.0079697465131099E-2</v>
      </c>
      <c r="K91" s="4">
        <v>1.0965376693120006E-2</v>
      </c>
      <c r="L91" s="4">
        <v>1.2396204152213881E-2</v>
      </c>
      <c r="M91" s="4">
        <v>4.1300914013075521E-3</v>
      </c>
    </row>
    <row r="92" spans="1:13">
      <c r="A92" s="34" t="s">
        <v>346</v>
      </c>
      <c r="B92" s="4">
        <v>2.5326728333017437E-3</v>
      </c>
      <c r="D92" s="4">
        <v>4.0588404504266718E-3</v>
      </c>
      <c r="E92" s="4">
        <v>1.0504556101548627E-3</v>
      </c>
      <c r="F92" s="4"/>
      <c r="G92" s="4">
        <v>4.9586790215937178E-3</v>
      </c>
      <c r="H92" s="4">
        <v>4.2232589750440964E-3</v>
      </c>
      <c r="I92" s="4">
        <v>4.0234503655526173E-3</v>
      </c>
      <c r="J92" s="4">
        <v>2.6024080383586462E-3</v>
      </c>
      <c r="K92" s="4">
        <v>2.381793710873084E-3</v>
      </c>
      <c r="L92" s="4">
        <v>1.7982268879996094E-3</v>
      </c>
      <c r="M92" s="4">
        <v>3.8888493333671768E-4</v>
      </c>
    </row>
    <row r="93" spans="1:13">
      <c r="A93" s="34" t="s">
        <v>347</v>
      </c>
      <c r="B93" s="4">
        <v>7.4700349202616277E-3</v>
      </c>
      <c r="D93" s="4">
        <v>1.1420635955341643E-2</v>
      </c>
      <c r="E93" s="4">
        <v>3.6220961033395262E-3</v>
      </c>
      <c r="F93" s="4"/>
      <c r="G93" s="4">
        <v>1.7883348118228864E-2</v>
      </c>
      <c r="H93" s="4">
        <v>4.7816983263066336E-3</v>
      </c>
      <c r="I93" s="4">
        <v>6.7077629467493932E-3</v>
      </c>
      <c r="J93" s="4">
        <v>9.1423956089980666E-3</v>
      </c>
      <c r="K93" s="4">
        <v>1.1555314034133296E-2</v>
      </c>
      <c r="L93" s="4">
        <v>9.3401499058774068E-3</v>
      </c>
      <c r="M93" s="4">
        <v>1.8153391892741374E-3</v>
      </c>
    </row>
    <row r="94" spans="1:13">
      <c r="A94" s="34" t="s">
        <v>348</v>
      </c>
      <c r="B94" s="4">
        <v>1.4044329907881795E-3</v>
      </c>
      <c r="D94" s="4">
        <v>1.5934180162469913E-3</v>
      </c>
      <c r="E94" s="4">
        <v>1.2370418435076098E-3</v>
      </c>
      <c r="F94" s="4"/>
      <c r="G94" s="4">
        <v>1.8388157465351351E-3</v>
      </c>
      <c r="H94" s="4">
        <v>1.867293669435946E-3</v>
      </c>
      <c r="I94" s="4">
        <v>1.8735418733184348E-3</v>
      </c>
      <c r="J94" s="4">
        <v>1.8157353055776632E-3</v>
      </c>
      <c r="K94" s="4">
        <v>1.8179263902143796E-3</v>
      </c>
      <c r="L94" s="4">
        <v>8.8653388935450834E-4</v>
      </c>
      <c r="M94" s="4">
        <v>3.7883518366955239E-4</v>
      </c>
    </row>
    <row r="95" spans="1:13">
      <c r="A95" s="34" t="s">
        <v>349</v>
      </c>
      <c r="B95" s="4">
        <v>1.3547884863989313E-3</v>
      </c>
      <c r="D95" s="4">
        <v>1.5152023867489957E-3</v>
      </c>
      <c r="E95" s="4">
        <v>1.214536833661607E-3</v>
      </c>
      <c r="F95" s="4"/>
      <c r="G95" s="4">
        <v>2.1100324001511604E-3</v>
      </c>
      <c r="H95" s="4">
        <v>3.9918900287798905E-3</v>
      </c>
      <c r="I95" s="4">
        <v>2.9337574615928906E-3</v>
      </c>
      <c r="J95" s="4">
        <v>1.2178106230274796E-3</v>
      </c>
      <c r="K95" s="4">
        <v>4.784633881732907E-4</v>
      </c>
      <c r="L95" s="4">
        <v>0</v>
      </c>
      <c r="M95" s="4">
        <v>8.8752115143265955E-5</v>
      </c>
    </row>
    <row r="96" spans="1:13">
      <c r="A96" s="34" t="s">
        <v>350</v>
      </c>
      <c r="B96" s="4">
        <v>2.1609744250635065E-2</v>
      </c>
      <c r="D96" s="4">
        <v>6.406014013574564E-3</v>
      </c>
      <c r="E96" s="4">
        <v>3.655957486589094E-2</v>
      </c>
      <c r="F96" s="4"/>
      <c r="G96" s="4">
        <v>8.6834304712354302E-2</v>
      </c>
      <c r="H96" s="4">
        <v>5.5883240351555938E-2</v>
      </c>
      <c r="I96" s="4">
        <v>3.5491828127913197E-2</v>
      </c>
      <c r="J96" s="4">
        <v>1.9435774439855204E-2</v>
      </c>
      <c r="K96" s="4">
        <v>1.0581873613028484E-2</v>
      </c>
      <c r="L96" s="4">
        <v>2.1248643313635353E-3</v>
      </c>
      <c r="M96" s="4">
        <v>3.6102179363277235E-4</v>
      </c>
    </row>
    <row r="97" spans="1:13">
      <c r="A97" s="34" t="s">
        <v>351</v>
      </c>
      <c r="B97" s="4">
        <v>4.9868756409267062E-4</v>
      </c>
      <c r="D97" s="4">
        <v>3.7435246997213109E-4</v>
      </c>
      <c r="E97" s="4">
        <v>6.2484561582676736E-4</v>
      </c>
      <c r="F97" s="4"/>
      <c r="G97" s="4">
        <v>4.3919465121646951E-3</v>
      </c>
      <c r="H97" s="4">
        <v>4.3455930805318653E-4</v>
      </c>
      <c r="I97" s="4">
        <v>4.6225323692761558E-4</v>
      </c>
      <c r="J97" s="4">
        <v>7.5742012176358269E-4</v>
      </c>
      <c r="K97" s="4">
        <v>2.8916440729431358E-4</v>
      </c>
      <c r="L97" s="4">
        <v>0</v>
      </c>
      <c r="M97" s="4">
        <v>0</v>
      </c>
    </row>
    <row r="98" spans="1:13">
      <c r="A98" s="34" t="s">
        <v>352</v>
      </c>
      <c r="B98" s="4">
        <v>6.1600982339615393E-4</v>
      </c>
      <c r="D98" s="4">
        <v>5.3584497300521194E-4</v>
      </c>
      <c r="E98" s="4">
        <v>6.6465010774241398E-4</v>
      </c>
      <c r="F98" s="4"/>
      <c r="G98" s="4">
        <v>2.0754541949613513E-3</v>
      </c>
      <c r="H98" s="4">
        <v>4.4902570577620455E-4</v>
      </c>
      <c r="I98" s="4">
        <v>2.1945879018947024E-4</v>
      </c>
      <c r="J98" s="4">
        <v>2.9074921487691658E-4</v>
      </c>
      <c r="K98" s="4">
        <v>1.1003299100450219E-3</v>
      </c>
      <c r="L98" s="4">
        <v>3.7220435382655047E-4</v>
      </c>
      <c r="M98" s="4">
        <v>8.1427984537695182E-4</v>
      </c>
    </row>
    <row r="99" spans="1:13">
      <c r="A99" s="34" t="s">
        <v>353</v>
      </c>
      <c r="B99" s="4">
        <v>3.4844433886203164E-4</v>
      </c>
      <c r="D99" s="4">
        <v>4.9482367430672756E-4</v>
      </c>
      <c r="E99" s="4">
        <v>2.10459966629792E-4</v>
      </c>
      <c r="F99" s="4"/>
      <c r="G99" s="4">
        <v>0</v>
      </c>
      <c r="H99" s="4">
        <v>0</v>
      </c>
      <c r="I99" s="4">
        <v>0</v>
      </c>
      <c r="J99" s="4">
        <v>6.6727284454965905E-4</v>
      </c>
      <c r="K99" s="4">
        <v>6.4892803897388315E-4</v>
      </c>
      <c r="L99" s="4">
        <v>6.7007802101574346E-4</v>
      </c>
      <c r="M99" s="4">
        <v>2.1834181335279187E-4</v>
      </c>
    </row>
    <row r="100" spans="1:13">
      <c r="A100" s="34" t="s">
        <v>354</v>
      </c>
      <c r="B100" s="4">
        <v>2.8612599606227815E-3</v>
      </c>
      <c r="D100" s="4">
        <v>3.3603047280863804E-3</v>
      </c>
      <c r="E100" s="4">
        <v>2.4096896714858908E-3</v>
      </c>
      <c r="F100" s="4"/>
      <c r="G100" s="4">
        <v>1.4397223348643412E-2</v>
      </c>
      <c r="H100" s="4">
        <v>7.9176420460593394E-3</v>
      </c>
      <c r="I100" s="4">
        <v>4.8827955823833123E-3</v>
      </c>
      <c r="J100" s="4">
        <v>2.2801386599160243E-3</v>
      </c>
      <c r="K100" s="4">
        <v>3.1618429232998054E-4</v>
      </c>
      <c r="L100" s="4">
        <v>1.7384643166943752E-4</v>
      </c>
      <c r="M100" s="4">
        <v>8.3912773943502268E-5</v>
      </c>
    </row>
    <row r="101" spans="1:13">
      <c r="A101" s="34" t="s">
        <v>355</v>
      </c>
      <c r="B101" s="4">
        <v>2.2455796212114592E-3</v>
      </c>
      <c r="D101" s="4">
        <v>2.1469938319509732E-3</v>
      </c>
      <c r="E101" s="4">
        <v>2.3664572990198395E-3</v>
      </c>
      <c r="F101" s="4"/>
      <c r="G101" s="4">
        <v>0</v>
      </c>
      <c r="H101" s="4">
        <v>1.648424754980746E-3</v>
      </c>
      <c r="I101" s="4">
        <v>1.6514875078985341E-3</v>
      </c>
      <c r="J101" s="4">
        <v>2.9815131168319715E-3</v>
      </c>
      <c r="K101" s="4">
        <v>2.8299944226579813E-3</v>
      </c>
      <c r="L101" s="4">
        <v>3.1886024575987991E-3</v>
      </c>
      <c r="M101" s="4">
        <v>1.9095007504893961E-3</v>
      </c>
    </row>
    <row r="102" spans="1:13">
      <c r="A102" s="34" t="s">
        <v>356</v>
      </c>
      <c r="B102" s="4">
        <v>3.3300897482837523E-4</v>
      </c>
      <c r="D102" s="4">
        <v>4.8492310020502679E-4</v>
      </c>
      <c r="E102" s="4">
        <v>1.8948487310091941E-4</v>
      </c>
      <c r="F102" s="4"/>
      <c r="G102" s="4">
        <v>0</v>
      </c>
      <c r="H102" s="4">
        <v>2.5980400880784652E-4</v>
      </c>
      <c r="I102" s="4">
        <v>6.4608966289947584E-4</v>
      </c>
      <c r="J102" s="4">
        <v>1.4020012908125569E-4</v>
      </c>
      <c r="K102" s="4">
        <v>6.4965283096141721E-4</v>
      </c>
      <c r="L102" s="4">
        <v>4.9427772515966007E-4</v>
      </c>
      <c r="M102" s="4">
        <v>0</v>
      </c>
    </row>
    <row r="103" spans="1:13">
      <c r="A103" s="34" t="s">
        <v>357</v>
      </c>
      <c r="B103" s="4">
        <v>3.0104018497850981E-4</v>
      </c>
      <c r="D103" s="4">
        <v>2.7511088320855822E-4</v>
      </c>
      <c r="E103" s="4">
        <v>3.2956979085634362E-4</v>
      </c>
      <c r="F103" s="4"/>
      <c r="G103" s="4">
        <v>5.2418249742815087E-3</v>
      </c>
      <c r="H103" s="4">
        <v>2.1365657608706613E-4</v>
      </c>
      <c r="I103" s="4">
        <v>1.2137188702194547E-4</v>
      </c>
      <c r="J103" s="4">
        <v>1.307439366086875E-4</v>
      </c>
      <c r="K103" s="4">
        <v>0</v>
      </c>
      <c r="L103" s="4">
        <v>0</v>
      </c>
      <c r="M103" s="4">
        <v>0</v>
      </c>
    </row>
    <row r="104" spans="1:13">
      <c r="A104" s="34" t="s">
        <v>358</v>
      </c>
      <c r="B104" s="4">
        <v>5.5142671027544953E-5</v>
      </c>
      <c r="D104" s="4">
        <v>8.1709906172076503E-5</v>
      </c>
      <c r="E104" s="4">
        <v>3.000783783799686E-5</v>
      </c>
      <c r="F104" s="4"/>
      <c r="G104" s="4">
        <v>0</v>
      </c>
      <c r="H104" s="4">
        <v>0</v>
      </c>
      <c r="I104" s="4">
        <v>1.3307340245298694E-4</v>
      </c>
      <c r="J104" s="4">
        <v>0</v>
      </c>
      <c r="K104" s="4">
        <v>0</v>
      </c>
      <c r="L104" s="4">
        <v>0</v>
      </c>
      <c r="M104" s="4">
        <v>1.4909869538264341E-4</v>
      </c>
    </row>
    <row r="105" spans="1:13">
      <c r="A105" s="34" t="s">
        <v>359</v>
      </c>
      <c r="B105" s="4">
        <v>4.1374352107549661E-4</v>
      </c>
      <c r="D105" s="4">
        <v>2.0547481638029025E-4</v>
      </c>
      <c r="E105" s="4">
        <v>6.2031561800959313E-4</v>
      </c>
      <c r="F105" s="4"/>
      <c r="G105" s="4">
        <v>0</v>
      </c>
      <c r="H105" s="4">
        <v>8.2724646878187737E-4</v>
      </c>
      <c r="I105" s="4">
        <v>2.3626875491440403E-4</v>
      </c>
      <c r="J105" s="4">
        <v>5.3689624158391848E-4</v>
      </c>
      <c r="K105" s="4">
        <v>4.5614403372430218E-4</v>
      </c>
      <c r="L105" s="4">
        <v>2.7656665088048916E-4</v>
      </c>
      <c r="M105" s="4">
        <v>3.9800460423726095E-4</v>
      </c>
    </row>
    <row r="106" spans="1:13">
      <c r="A106" s="34" t="s">
        <v>360</v>
      </c>
      <c r="B106" s="4">
        <v>1.0471393053744595E-2</v>
      </c>
      <c r="D106" s="4">
        <v>1.073795260517919E-2</v>
      </c>
      <c r="E106" s="4">
        <v>1.0290951400952656E-2</v>
      </c>
      <c r="F106" s="4"/>
      <c r="G106" s="4">
        <v>9.8236144220674136E-3</v>
      </c>
      <c r="H106" s="4">
        <v>1.0419881169023379E-2</v>
      </c>
      <c r="I106" s="4">
        <v>1.0913726577152632E-2</v>
      </c>
      <c r="J106" s="4">
        <v>1.1201433095265972E-2</v>
      </c>
      <c r="K106" s="4">
        <v>1.0505095581863955E-2</v>
      </c>
      <c r="L106" s="4">
        <v>1.3922780369697973E-2</v>
      </c>
      <c r="M106" s="4">
        <v>7.3716168284086274E-3</v>
      </c>
    </row>
    <row r="107" spans="1:13">
      <c r="A107" s="34" t="s">
        <v>361</v>
      </c>
      <c r="B107" s="4">
        <v>6.4474285833148029E-2</v>
      </c>
      <c r="D107" s="4">
        <v>1.0920164122500875E-2</v>
      </c>
      <c r="E107" s="4">
        <v>0.11682928291917639</v>
      </c>
      <c r="F107" s="4"/>
      <c r="G107" s="4">
        <v>4.2133373045666361E-2</v>
      </c>
      <c r="H107" s="4">
        <v>8.1379076387683366E-2</v>
      </c>
      <c r="I107" s="4">
        <v>0.10018440065768623</v>
      </c>
      <c r="J107" s="4">
        <v>7.6157161206540189E-2</v>
      </c>
      <c r="K107" s="4">
        <v>5.9534570219123728E-2</v>
      </c>
      <c r="L107" s="4">
        <v>5.5033498754417431E-2</v>
      </c>
      <c r="M107" s="4">
        <v>2.9947393079275762E-2</v>
      </c>
    </row>
    <row r="108" spans="1:13">
      <c r="A108" s="34" t="s">
        <v>362</v>
      </c>
      <c r="B108" s="4">
        <v>0</v>
      </c>
      <c r="D108" s="4">
        <v>0</v>
      </c>
      <c r="E108" s="4">
        <v>0</v>
      </c>
      <c r="F108" s="4"/>
      <c r="G108" s="4">
        <v>0</v>
      </c>
      <c r="H108" s="4">
        <v>0</v>
      </c>
      <c r="I108" s="4">
        <v>0</v>
      </c>
      <c r="J108" s="4">
        <v>0</v>
      </c>
      <c r="K108" s="4">
        <v>0</v>
      </c>
      <c r="L108" s="4">
        <v>0</v>
      </c>
      <c r="M108" s="4">
        <v>0</v>
      </c>
    </row>
    <row r="109" spans="1:13">
      <c r="A109" s="34" t="s">
        <v>363</v>
      </c>
      <c r="B109" s="4">
        <v>4.4938854114202564E-5</v>
      </c>
      <c r="D109" s="4">
        <v>4.9102732014535798E-5</v>
      </c>
      <c r="E109" s="4">
        <v>4.1408439335292336E-5</v>
      </c>
      <c r="F109" s="4"/>
      <c r="G109" s="4">
        <v>0</v>
      </c>
      <c r="H109" s="4">
        <v>0</v>
      </c>
      <c r="I109" s="4">
        <v>0</v>
      </c>
      <c r="J109" s="4">
        <v>2.6286466457086684E-4</v>
      </c>
      <c r="K109" s="4">
        <v>0</v>
      </c>
      <c r="L109" s="4">
        <v>0</v>
      </c>
      <c r="M109" s="4">
        <v>0</v>
      </c>
    </row>
    <row r="110" spans="1:13">
      <c r="A110" s="34" t="s">
        <v>364</v>
      </c>
      <c r="B110" s="4">
        <v>4.1057291114146425E-4</v>
      </c>
      <c r="D110" s="4">
        <v>4.6007620416935066E-4</v>
      </c>
      <c r="E110" s="4">
        <v>3.6720700248086532E-4</v>
      </c>
      <c r="F110" s="4"/>
      <c r="G110" s="4">
        <v>1.9877065973234352E-3</v>
      </c>
      <c r="H110" s="4">
        <v>6.4427525145832544E-4</v>
      </c>
      <c r="I110" s="4">
        <v>4.0249859010097253E-4</v>
      </c>
      <c r="J110" s="4">
        <v>2.5469982259117583E-4</v>
      </c>
      <c r="K110" s="4">
        <v>3.3131719576282042E-4</v>
      </c>
      <c r="L110" s="4">
        <v>3.4830129427606339E-4</v>
      </c>
      <c r="M110" s="4">
        <v>1.8461390360774224E-4</v>
      </c>
    </row>
    <row r="111" spans="1:13">
      <c r="A111" s="34" t="s">
        <v>365</v>
      </c>
      <c r="B111" s="4">
        <v>5.2624278232807028E-4</v>
      </c>
      <c r="D111" s="4">
        <v>5.6299314137505459E-4</v>
      </c>
      <c r="E111" s="4">
        <v>4.4809982993522995E-4</v>
      </c>
      <c r="F111" s="4"/>
      <c r="G111" s="4">
        <v>0</v>
      </c>
      <c r="H111" s="4">
        <v>1.0951066716014788E-3</v>
      </c>
      <c r="I111" s="4">
        <v>1.1203374296388394E-3</v>
      </c>
      <c r="J111" s="4">
        <v>7.0410981063983181E-4</v>
      </c>
      <c r="K111" s="4">
        <v>5.7164398117817272E-4</v>
      </c>
      <c r="L111" s="4">
        <v>0</v>
      </c>
      <c r="M111" s="4">
        <v>0</v>
      </c>
    </row>
    <row r="112" spans="1:13">
      <c r="A112" s="34" t="s">
        <v>366</v>
      </c>
      <c r="B112" s="4">
        <v>1.0218307561829539E-4</v>
      </c>
      <c r="D112" s="4">
        <v>1.1443692975859198E-4</v>
      </c>
      <c r="E112" s="4">
        <v>9.1454659195585943E-5</v>
      </c>
      <c r="F112" s="4"/>
      <c r="G112" s="4">
        <v>0</v>
      </c>
      <c r="H112" s="4">
        <v>2.1033429962373143E-4</v>
      </c>
      <c r="I112" s="4">
        <v>1.7001433848246524E-4</v>
      </c>
      <c r="J112" s="4">
        <v>2.8473982201062059E-4</v>
      </c>
      <c r="K112" s="4">
        <v>0</v>
      </c>
      <c r="L112" s="4">
        <v>0</v>
      </c>
      <c r="M112" s="4">
        <v>0</v>
      </c>
    </row>
    <row r="113" spans="1:13">
      <c r="A113" s="34" t="s">
        <v>367</v>
      </c>
      <c r="B113" s="4">
        <v>4.6775035079396707E-3</v>
      </c>
      <c r="D113" s="4">
        <v>5.3409485812053303E-3</v>
      </c>
      <c r="E113" s="4">
        <v>3.95695666909092E-3</v>
      </c>
      <c r="F113" s="4"/>
      <c r="G113" s="4">
        <v>2.2847071809872947E-2</v>
      </c>
      <c r="H113" s="4">
        <v>6.5521730666186929E-3</v>
      </c>
      <c r="I113" s="4">
        <v>7.4878348054693705E-3</v>
      </c>
      <c r="J113" s="4">
        <v>4.9909722154583168E-3</v>
      </c>
      <c r="K113" s="4">
        <v>2.8379008638515593E-3</v>
      </c>
      <c r="L113" s="4">
        <v>1.2496316396949775E-3</v>
      </c>
      <c r="M113" s="4">
        <v>7.2436760013160886E-4</v>
      </c>
    </row>
    <row r="114" spans="1:13">
      <c r="A114" s="34" t="s">
        <v>368</v>
      </c>
      <c r="B114" s="4">
        <v>0</v>
      </c>
      <c r="D114" s="4">
        <v>0</v>
      </c>
      <c r="E114" s="4">
        <v>0</v>
      </c>
      <c r="F114" s="4"/>
      <c r="G114" s="4">
        <v>0</v>
      </c>
      <c r="H114" s="4">
        <v>0</v>
      </c>
      <c r="I114" s="4">
        <v>0</v>
      </c>
      <c r="J114" s="4">
        <v>0</v>
      </c>
      <c r="K114" s="4">
        <v>0</v>
      </c>
      <c r="L114" s="4">
        <v>0</v>
      </c>
      <c r="M114" s="4">
        <v>0</v>
      </c>
    </row>
    <row r="115" spans="1:13">
      <c r="A115" s="34" t="s">
        <v>369</v>
      </c>
      <c r="B115" s="4">
        <v>1.6882981904521184E-4</v>
      </c>
      <c r="D115" s="4">
        <v>1.7138093131102009E-4</v>
      </c>
      <c r="E115" s="4">
        <v>1.6825885305971433E-4</v>
      </c>
      <c r="F115" s="4"/>
      <c r="G115" s="4">
        <v>0</v>
      </c>
      <c r="H115" s="4">
        <v>2.4389455873322422E-4</v>
      </c>
      <c r="I115" s="4">
        <v>8.6046443648715918E-5</v>
      </c>
      <c r="J115" s="4">
        <v>1.673430538292252E-4</v>
      </c>
      <c r="K115" s="4">
        <v>3.0074113491833972E-4</v>
      </c>
      <c r="L115" s="4">
        <v>2.6459517765484489E-4</v>
      </c>
      <c r="M115" s="4">
        <v>8.1345281731283784E-5</v>
      </c>
    </row>
    <row r="116" spans="1:13">
      <c r="A116" s="34" t="s">
        <v>370</v>
      </c>
      <c r="B116" s="4">
        <v>1.1474042441335342E-4</v>
      </c>
      <c r="D116" s="4">
        <v>1.3928466345940738E-4</v>
      </c>
      <c r="E116" s="4">
        <v>4.7498507722542521E-5</v>
      </c>
      <c r="F116" s="4"/>
      <c r="G116" s="4">
        <v>0</v>
      </c>
      <c r="H116" s="4">
        <v>0</v>
      </c>
      <c r="I116" s="4">
        <v>1.2568719891016525E-4</v>
      </c>
      <c r="J116" s="4">
        <v>4.4696064465440304E-4</v>
      </c>
      <c r="K116" s="4">
        <v>0</v>
      </c>
      <c r="L116" s="4">
        <v>1.1452262077601756E-4</v>
      </c>
      <c r="M116" s="4">
        <v>0</v>
      </c>
    </row>
    <row r="117" spans="1:13">
      <c r="A117" s="34" t="s">
        <v>371</v>
      </c>
      <c r="B117" s="4">
        <v>2.5936598635605077E-3</v>
      </c>
      <c r="D117" s="4">
        <v>1.9951443458810906E-3</v>
      </c>
      <c r="E117" s="4">
        <v>3.158588984792909E-3</v>
      </c>
      <c r="F117" s="4"/>
      <c r="G117" s="4">
        <v>1.0785356394764356E-2</v>
      </c>
      <c r="H117" s="4">
        <v>3.7755664647020205E-3</v>
      </c>
      <c r="I117" s="4">
        <v>2.8416969802550914E-3</v>
      </c>
      <c r="J117" s="4">
        <v>3.7776296867952567E-3</v>
      </c>
      <c r="K117" s="4">
        <v>2.3081597478807427E-3</v>
      </c>
      <c r="L117" s="4">
        <v>1.2640936688827693E-3</v>
      </c>
      <c r="M117" s="4">
        <v>1.3128762264998868E-4</v>
      </c>
    </row>
    <row r="118" spans="1:13">
      <c r="A118" s="34" t="s">
        <v>372</v>
      </c>
      <c r="B118" s="4">
        <v>5.6822802841605732E-3</v>
      </c>
      <c r="D118" s="4">
        <v>7.0071132815481369E-3</v>
      </c>
      <c r="E118" s="4">
        <v>4.4619182486136111E-3</v>
      </c>
      <c r="F118" s="4"/>
      <c r="G118" s="4">
        <v>7.1489410512461746E-3</v>
      </c>
      <c r="H118" s="4">
        <v>2.6976164958472234E-3</v>
      </c>
      <c r="I118" s="4">
        <v>5.2392808960275835E-3</v>
      </c>
      <c r="J118" s="4">
        <v>5.8979345978106001E-3</v>
      </c>
      <c r="K118" s="4">
        <v>7.9595981627986426E-3</v>
      </c>
      <c r="L118" s="4">
        <v>9.260404552636204E-3</v>
      </c>
      <c r="M118" s="4">
        <v>3.163583861079363E-3</v>
      </c>
    </row>
    <row r="119" spans="1:13">
      <c r="A119" s="34" t="s">
        <v>373</v>
      </c>
      <c r="B119" s="4">
        <v>7.4365918072922402E-3</v>
      </c>
      <c r="D119" s="4">
        <v>1.2262280063773385E-2</v>
      </c>
      <c r="E119" s="4">
        <v>2.8420211813338287E-3</v>
      </c>
      <c r="F119" s="4"/>
      <c r="G119" s="4">
        <v>2.5211991002865763E-2</v>
      </c>
      <c r="H119" s="4">
        <v>1.7342435434483574E-2</v>
      </c>
      <c r="I119" s="4">
        <v>1.4094335579385527E-2</v>
      </c>
      <c r="J119" s="4">
        <v>6.5598731503654006E-3</v>
      </c>
      <c r="K119" s="4">
        <v>4.0170646066950543E-3</v>
      </c>
      <c r="L119" s="4">
        <v>9.79521108421477E-4</v>
      </c>
      <c r="M119" s="4">
        <v>1.6360657991818271E-4</v>
      </c>
    </row>
    <row r="120" spans="1:13">
      <c r="A120" s="34" t="s">
        <v>374</v>
      </c>
      <c r="B120" s="4">
        <v>3.595575953571122E-3</v>
      </c>
      <c r="D120" s="4">
        <v>6.0927458483024631E-3</v>
      </c>
      <c r="E120" s="4">
        <v>1.2151565929671671E-3</v>
      </c>
      <c r="F120" s="4"/>
      <c r="G120" s="4">
        <v>1.3619897365446519E-2</v>
      </c>
      <c r="H120" s="4">
        <v>9.8570496465108445E-3</v>
      </c>
      <c r="I120" s="4">
        <v>5.4836495212081723E-3</v>
      </c>
      <c r="J120" s="4">
        <v>2.8330890329754236E-3</v>
      </c>
      <c r="K120" s="4">
        <v>1.5870263451156648E-3</v>
      </c>
      <c r="L120" s="4">
        <v>1.242652511582114E-3</v>
      </c>
      <c r="M120" s="4">
        <v>1.7395387295356636E-4</v>
      </c>
    </row>
    <row r="121" spans="1:13">
      <c r="A121" s="34" t="s">
        <v>375</v>
      </c>
      <c r="B121" s="4">
        <v>0.16283011705461856</v>
      </c>
      <c r="D121" s="4">
        <v>0.18617081776528296</v>
      </c>
      <c r="E121" s="4">
        <v>0.14059715360417266</v>
      </c>
      <c r="F121" s="4"/>
      <c r="G121" s="4">
        <v>0.25229574478364614</v>
      </c>
      <c r="H121" s="4">
        <v>0.25713527093265059</v>
      </c>
      <c r="I121" s="4">
        <v>0.27619745555700831</v>
      </c>
      <c r="J121" s="4">
        <v>0.21223987023781243</v>
      </c>
      <c r="K121" s="4">
        <v>0.1510446364472475</v>
      </c>
      <c r="L121" s="4">
        <v>8.0721144430812533E-2</v>
      </c>
      <c r="M121" s="4">
        <v>1.9317926733163588E-2</v>
      </c>
    </row>
    <row r="122" spans="1:13">
      <c r="A122" s="34" t="s">
        <v>376</v>
      </c>
      <c r="B122" s="4">
        <v>3.5969007648780182E-3</v>
      </c>
      <c r="D122" s="4">
        <v>5.0341486656918805E-3</v>
      </c>
      <c r="E122" s="4">
        <v>2.2108415916359063E-3</v>
      </c>
      <c r="F122" s="4"/>
      <c r="G122" s="4">
        <v>2.9511150856518522E-3</v>
      </c>
      <c r="H122" s="4">
        <v>1.9626452452240809E-3</v>
      </c>
      <c r="I122" s="4">
        <v>1.6186071798085326E-3</v>
      </c>
      <c r="J122" s="4">
        <v>2.4330683177183126E-3</v>
      </c>
      <c r="K122" s="4">
        <v>4.3633629893161672E-3</v>
      </c>
      <c r="L122" s="4">
        <v>6.8888414599134213E-3</v>
      </c>
      <c r="M122" s="4">
        <v>4.5283381927365774E-3</v>
      </c>
    </row>
    <row r="123" spans="1:13">
      <c r="A123" s="34" t="s">
        <v>377</v>
      </c>
      <c r="B123" s="4">
        <v>1.4664373156769372E-3</v>
      </c>
      <c r="D123" s="4">
        <v>1.2029377050242122E-3</v>
      </c>
      <c r="E123" s="4">
        <v>1.6900289025920949E-3</v>
      </c>
      <c r="F123" s="4"/>
      <c r="G123" s="4">
        <v>1.7325264166628063E-3</v>
      </c>
      <c r="H123" s="4">
        <v>1.2321752726634381E-3</v>
      </c>
      <c r="I123" s="4">
        <v>1.4784568679477473E-3</v>
      </c>
      <c r="J123" s="4">
        <v>3.8263162618133346E-3</v>
      </c>
      <c r="K123" s="4">
        <v>1.7740880622370918E-3</v>
      </c>
      <c r="L123" s="4">
        <v>5.1683860281420409E-4</v>
      </c>
      <c r="M123" s="4">
        <v>0</v>
      </c>
    </row>
    <row r="124" spans="1:13">
      <c r="A124" s="34" t="s">
        <v>378</v>
      </c>
      <c r="B124" s="4">
        <v>2.832844626803197E-4</v>
      </c>
      <c r="D124" s="4">
        <v>4.8720209284643497E-4</v>
      </c>
      <c r="E124" s="4">
        <v>8.8784247991376968E-5</v>
      </c>
      <c r="F124" s="4"/>
      <c r="G124" s="4">
        <v>4.7372066474711157E-3</v>
      </c>
      <c r="H124" s="4">
        <v>6.6173343563588085E-4</v>
      </c>
      <c r="I124" s="4">
        <v>0</v>
      </c>
      <c r="J124" s="4">
        <v>0</v>
      </c>
      <c r="K124" s="4">
        <v>0</v>
      </c>
      <c r="L124" s="4">
        <v>0</v>
      </c>
      <c r="M124" s="4">
        <v>0</v>
      </c>
    </row>
    <row r="125" spans="1:13">
      <c r="A125" s="34" t="s">
        <v>379</v>
      </c>
      <c r="B125" s="4">
        <v>4.9272422941234971E-5</v>
      </c>
      <c r="D125" s="4">
        <v>5.4373166845979946E-5</v>
      </c>
      <c r="E125" s="4">
        <v>4.4882572203428955E-5</v>
      </c>
      <c r="F125" s="4"/>
      <c r="G125" s="4">
        <v>0</v>
      </c>
      <c r="H125" s="4">
        <v>4.5155833057149326E-4</v>
      </c>
      <c r="I125" s="4">
        <v>0</v>
      </c>
      <c r="J125" s="4">
        <v>0</v>
      </c>
      <c r="K125" s="4">
        <v>0</v>
      </c>
      <c r="L125" s="4">
        <v>0</v>
      </c>
      <c r="M125" s="4">
        <v>0</v>
      </c>
    </row>
    <row r="126" spans="1:13">
      <c r="A126" s="34" t="s">
        <v>380</v>
      </c>
      <c r="B126" s="4">
        <v>1.962633955359813E-3</v>
      </c>
      <c r="D126" s="4">
        <v>3.7303791183489806E-3</v>
      </c>
      <c r="E126" s="4">
        <v>2.7097126883091706E-4</v>
      </c>
      <c r="F126" s="4"/>
      <c r="G126" s="4">
        <v>3.385649355627417E-3</v>
      </c>
      <c r="H126" s="4">
        <v>1.8035077209929726E-3</v>
      </c>
      <c r="I126" s="4">
        <v>1.6801264357765447E-3</v>
      </c>
      <c r="J126" s="4">
        <v>2.3810601973640088E-3</v>
      </c>
      <c r="K126" s="4">
        <v>2.0960688465083222E-3</v>
      </c>
      <c r="L126" s="4">
        <v>1.8483650278656816E-3</v>
      </c>
      <c r="M126" s="4">
        <v>1.6238821489322416E-3</v>
      </c>
    </row>
    <row r="127" spans="1:13">
      <c r="A127" s="34" t="s">
        <v>381</v>
      </c>
      <c r="B127" s="4">
        <v>1.3823322266400665E-3</v>
      </c>
      <c r="D127" s="4">
        <v>2.424754755338892E-3</v>
      </c>
      <c r="E127" s="4">
        <v>3.8730979904445063E-4</v>
      </c>
      <c r="F127" s="4"/>
      <c r="G127" s="4">
        <v>0</v>
      </c>
      <c r="H127" s="4">
        <v>1.631359641223654E-3</v>
      </c>
      <c r="I127" s="4">
        <v>1.4426077870870503E-3</v>
      </c>
      <c r="J127" s="4">
        <v>2.0181161394266268E-3</v>
      </c>
      <c r="K127" s="4">
        <v>1.5590861325458563E-3</v>
      </c>
      <c r="L127" s="4">
        <v>6.4558764520330082E-4</v>
      </c>
      <c r="M127" s="4">
        <v>1.3339621005251405E-3</v>
      </c>
    </row>
    <row r="128" spans="1:13">
      <c r="A128" s="34" t="s">
        <v>382</v>
      </c>
      <c r="B128" s="4">
        <v>4.1248203241821928E-3</v>
      </c>
      <c r="D128" s="4">
        <v>3.8531251187975562E-3</v>
      </c>
      <c r="E128" s="4">
        <v>4.1916010954857422E-3</v>
      </c>
      <c r="F128" s="4"/>
      <c r="G128" s="4">
        <v>8.7962175348311744E-3</v>
      </c>
      <c r="H128" s="4">
        <v>8.3167017501087868E-3</v>
      </c>
      <c r="I128" s="4">
        <v>6.7658569545493933E-3</v>
      </c>
      <c r="J128" s="4">
        <v>5.2919070094212695E-3</v>
      </c>
      <c r="K128" s="4">
        <v>3.364898944423482E-3</v>
      </c>
      <c r="L128" s="4">
        <v>1.3702935306272948E-3</v>
      </c>
      <c r="M128" s="4">
        <v>7.5836783773714343E-5</v>
      </c>
    </row>
    <row r="129" spans="1:13">
      <c r="A129" s="34" t="s">
        <v>383</v>
      </c>
      <c r="B129" s="4">
        <v>0</v>
      </c>
      <c r="D129" s="4">
        <v>0</v>
      </c>
      <c r="E129" s="4">
        <v>0</v>
      </c>
      <c r="F129" s="4"/>
      <c r="G129" s="4">
        <v>0</v>
      </c>
      <c r="H129" s="4">
        <v>0</v>
      </c>
      <c r="I129" s="4">
        <v>0</v>
      </c>
      <c r="J129" s="4">
        <v>0</v>
      </c>
      <c r="K129" s="4">
        <v>0</v>
      </c>
      <c r="L129" s="4">
        <v>0</v>
      </c>
      <c r="M129" s="4">
        <v>0</v>
      </c>
    </row>
    <row r="130" spans="1:13">
      <c r="A130" s="34" t="s">
        <v>384</v>
      </c>
      <c r="B130" s="4">
        <v>8.6143154365114702E-3</v>
      </c>
      <c r="D130" s="4">
        <v>1.001818881907177E-2</v>
      </c>
      <c r="E130" s="4">
        <v>7.3503623099150928E-3</v>
      </c>
      <c r="F130" s="4"/>
      <c r="G130" s="4">
        <v>6.8784111849106147E-3</v>
      </c>
      <c r="H130" s="4">
        <v>8.5041060945439412E-3</v>
      </c>
      <c r="I130" s="4">
        <v>9.4306215245240251E-3</v>
      </c>
      <c r="J130" s="4">
        <v>8.0274400715820999E-3</v>
      </c>
      <c r="K130" s="4">
        <v>1.0018986653625836E-2</v>
      </c>
      <c r="L130" s="4">
        <v>1.3437686314772415E-2</v>
      </c>
      <c r="M130" s="4">
        <v>4.6565142548465801E-3</v>
      </c>
    </row>
    <row r="131" spans="1:13">
      <c r="A131" s="34" t="s">
        <v>385</v>
      </c>
      <c r="B131" s="4">
        <v>3.3484172465549417E-5</v>
      </c>
      <c r="D131" s="4">
        <v>6.8411959017697509E-5</v>
      </c>
      <c r="E131" s="4">
        <v>0</v>
      </c>
      <c r="F131" s="4"/>
      <c r="G131" s="4">
        <v>0</v>
      </c>
      <c r="H131" s="4">
        <v>0</v>
      </c>
      <c r="I131" s="4">
        <v>0</v>
      </c>
      <c r="J131" s="4">
        <v>1.9586182017952177E-4</v>
      </c>
      <c r="K131" s="4">
        <v>0</v>
      </c>
      <c r="L131" s="4">
        <v>0</v>
      </c>
      <c r="M131" s="4">
        <v>0</v>
      </c>
    </row>
    <row r="132" spans="1:13">
      <c r="A132" s="34" t="s">
        <v>386</v>
      </c>
      <c r="B132" s="4">
        <v>1.4883095660742976E-3</v>
      </c>
      <c r="D132" s="4">
        <v>1.1355508053288326E-3</v>
      </c>
      <c r="E132" s="4">
        <v>1.8470679640058022E-3</v>
      </c>
      <c r="F132" s="4"/>
      <c r="G132" s="4">
        <v>3.5058781815382727E-3</v>
      </c>
      <c r="H132" s="4">
        <v>2.9240750252569987E-3</v>
      </c>
      <c r="I132" s="4">
        <v>1.5146486429402299E-3</v>
      </c>
      <c r="J132" s="4">
        <v>2.066451251029066E-3</v>
      </c>
      <c r="K132" s="4">
        <v>1.8577935876202835E-3</v>
      </c>
      <c r="L132" s="4">
        <v>8.0893322925507279E-4</v>
      </c>
      <c r="M132" s="4">
        <v>0</v>
      </c>
    </row>
    <row r="133" spans="1:13">
      <c r="A133" s="34" t="s">
        <v>387</v>
      </c>
      <c r="B133" s="4">
        <v>5.0905793801629658E-3</v>
      </c>
      <c r="D133" s="4">
        <v>6.0532620744857719E-3</v>
      </c>
      <c r="E133" s="4">
        <v>4.0551844459235315E-3</v>
      </c>
      <c r="F133" s="4"/>
      <c r="G133" s="4">
        <v>1.6046979406180342E-2</v>
      </c>
      <c r="H133" s="4">
        <v>1.1601007180557192E-2</v>
      </c>
      <c r="I133" s="4">
        <v>1.1877962742252321E-2</v>
      </c>
      <c r="J133" s="4">
        <v>4.1785647417060291E-3</v>
      </c>
      <c r="K133" s="4">
        <v>5.7049332112863718E-4</v>
      </c>
      <c r="L133" s="4">
        <v>1.0569818908031815E-3</v>
      </c>
      <c r="M133" s="4">
        <v>1.4602984884438665E-4</v>
      </c>
    </row>
    <row r="134" spans="1:13">
      <c r="A134" s="34" t="s">
        <v>388</v>
      </c>
      <c r="B134" s="4">
        <v>4.4768436455188314E-3</v>
      </c>
      <c r="D134" s="4">
        <v>6.8368422490061075E-3</v>
      </c>
      <c r="E134" s="4">
        <v>2.1945875748969777E-3</v>
      </c>
      <c r="F134" s="4"/>
      <c r="G134" s="4">
        <v>6.8589371751972637E-3</v>
      </c>
      <c r="H134" s="4">
        <v>4.7735034529662809E-3</v>
      </c>
      <c r="I134" s="4">
        <v>6.7430605123142643E-3</v>
      </c>
      <c r="J134" s="4">
        <v>4.9673172012285344E-3</v>
      </c>
      <c r="K134" s="4">
        <v>4.9158693582141248E-3</v>
      </c>
      <c r="L134" s="4">
        <v>3.8879991388295256E-3</v>
      </c>
      <c r="M134" s="4">
        <v>1.5452810897080566E-3</v>
      </c>
    </row>
    <row r="135" spans="1:13">
      <c r="A135" s="34" t="s">
        <v>389</v>
      </c>
      <c r="B135" s="4">
        <v>1.3726076262535143E-2</v>
      </c>
      <c r="D135" s="4">
        <v>1.7126174954050843E-2</v>
      </c>
      <c r="E135" s="4">
        <v>1.0464552923027327E-2</v>
      </c>
      <c r="F135" s="4"/>
      <c r="G135" s="4">
        <v>2.1091921762939635E-2</v>
      </c>
      <c r="H135" s="4">
        <v>1.1965521859228809E-2</v>
      </c>
      <c r="I135" s="4">
        <v>1.5412753360217418E-2</v>
      </c>
      <c r="J135" s="4">
        <v>1.7196108982065493E-2</v>
      </c>
      <c r="K135" s="4">
        <v>1.7335157129191349E-2</v>
      </c>
      <c r="L135" s="4">
        <v>1.6058901502711938E-2</v>
      </c>
      <c r="M135" s="4">
        <v>4.7022634990976685E-3</v>
      </c>
    </row>
    <row r="136" spans="1:13">
      <c r="A136" s="34" t="s">
        <v>390</v>
      </c>
      <c r="B136" s="4">
        <v>0.15305879882463469</v>
      </c>
      <c r="D136" s="4">
        <v>0.14188493539633351</v>
      </c>
      <c r="E136" s="4">
        <v>0.16386921664782189</v>
      </c>
      <c r="F136" s="4"/>
      <c r="G136" s="4">
        <v>0.18641519077044821</v>
      </c>
      <c r="H136" s="4">
        <v>0.15980200862975583</v>
      </c>
      <c r="I136" s="4">
        <v>0.16467094352035083</v>
      </c>
      <c r="J136" s="4">
        <v>0.1776671476941567</v>
      </c>
      <c r="K136" s="4">
        <v>0.16372841725483428</v>
      </c>
      <c r="L136" s="4">
        <v>0.16322604519482933</v>
      </c>
      <c r="M136" s="4">
        <v>9.8148495683291051E-2</v>
      </c>
    </row>
    <row r="137" spans="1:13">
      <c r="A137" s="34" t="s">
        <v>391</v>
      </c>
      <c r="B137" s="4">
        <v>1.0814466011680189E-4</v>
      </c>
      <c r="D137" s="4">
        <v>4.5979642719060924E-5</v>
      </c>
      <c r="E137" s="4">
        <v>1.696302963167946E-4</v>
      </c>
      <c r="F137" s="4"/>
      <c r="G137" s="4">
        <v>0</v>
      </c>
      <c r="H137" s="4">
        <v>4.6308422155121813E-4</v>
      </c>
      <c r="I137" s="4">
        <v>2.2790034525335017E-4</v>
      </c>
      <c r="J137" s="4">
        <v>0</v>
      </c>
      <c r="K137" s="4">
        <v>0</v>
      </c>
      <c r="L137" s="4">
        <v>0</v>
      </c>
      <c r="M137" s="4">
        <v>7.9535437586899174E-5</v>
      </c>
    </row>
    <row r="138" spans="1:13">
      <c r="A138" s="34" t="s">
        <v>392</v>
      </c>
      <c r="B138" s="4">
        <v>6.1061257946777722E-4</v>
      </c>
      <c r="D138" s="4">
        <v>6.6284584704457219E-4</v>
      </c>
      <c r="E138" s="4">
        <v>5.6685395486089291E-4</v>
      </c>
      <c r="F138" s="4"/>
      <c r="G138" s="4">
        <v>0</v>
      </c>
      <c r="H138" s="4">
        <v>1.480858679186777E-3</v>
      </c>
      <c r="I138" s="4">
        <v>1.0629237436004537E-3</v>
      </c>
      <c r="J138" s="4">
        <v>9.3033660686513077E-4</v>
      </c>
      <c r="K138" s="4">
        <v>5.364844599747852E-4</v>
      </c>
      <c r="L138" s="4">
        <v>1.3932712937405478E-4</v>
      </c>
      <c r="M138" s="4">
        <v>0</v>
      </c>
    </row>
    <row r="139" spans="1:13">
      <c r="A139" s="34" t="s">
        <v>393</v>
      </c>
      <c r="B139" s="4">
        <v>1.6969960687376311E-2</v>
      </c>
      <c r="D139" s="4">
        <v>2.3620729439558119E-2</v>
      </c>
      <c r="E139" s="4">
        <v>1.0713444451767827E-2</v>
      </c>
      <c r="F139" s="4"/>
      <c r="G139" s="4">
        <v>5.1744576626202063E-2</v>
      </c>
      <c r="H139" s="4">
        <v>3.3439303913139352E-2</v>
      </c>
      <c r="I139" s="4">
        <v>2.0505284806125759E-2</v>
      </c>
      <c r="J139" s="4">
        <v>1.6109939833211719E-2</v>
      </c>
      <c r="K139" s="4">
        <v>1.2065514527544868E-2</v>
      </c>
      <c r="L139" s="4">
        <v>9.6470380612012005E-3</v>
      </c>
      <c r="M139" s="4">
        <v>6.9495144410069726E-3</v>
      </c>
    </row>
    <row r="140" spans="1:13">
      <c r="A140" s="34" t="s">
        <v>394</v>
      </c>
      <c r="B140" s="4">
        <v>1.169267096397344E-3</v>
      </c>
      <c r="D140" s="4">
        <v>1.5143583072200755E-3</v>
      </c>
      <c r="E140" s="4">
        <v>8.4788595569416187E-4</v>
      </c>
      <c r="F140" s="4"/>
      <c r="G140" s="4">
        <v>7.3018329859865635E-3</v>
      </c>
      <c r="H140" s="4">
        <v>2.5681252119524631E-3</v>
      </c>
      <c r="I140" s="4">
        <v>4.6917367592465455E-4</v>
      </c>
      <c r="J140" s="4">
        <v>1.3108686642184615E-3</v>
      </c>
      <c r="K140" s="4">
        <v>9.6414784764744458E-4</v>
      </c>
      <c r="L140" s="4">
        <v>6.9741042812485705E-4</v>
      </c>
      <c r="M140" s="4">
        <v>7.631453319023868E-5</v>
      </c>
    </row>
    <row r="141" spans="1:13">
      <c r="A141" s="34" t="s">
        <v>395</v>
      </c>
      <c r="B141" s="4">
        <v>2.2864652773788772E-4</v>
      </c>
      <c r="D141" s="4">
        <v>4.2085479092703764E-4</v>
      </c>
      <c r="E141" s="4">
        <v>4.4882572203428955E-5</v>
      </c>
      <c r="F141" s="4"/>
      <c r="G141" s="4">
        <v>0</v>
      </c>
      <c r="H141" s="4">
        <v>6.799352055215825E-4</v>
      </c>
      <c r="I141" s="4">
        <v>6.616144248884863E-4</v>
      </c>
      <c r="J141" s="4">
        <v>1.2525209511157802E-4</v>
      </c>
      <c r="K141" s="4">
        <v>9.5064226820836063E-5</v>
      </c>
      <c r="L141" s="4">
        <v>0</v>
      </c>
      <c r="M141" s="4">
        <v>0</v>
      </c>
    </row>
    <row r="142" spans="1:13">
      <c r="A142" s="34" t="s">
        <v>396</v>
      </c>
      <c r="B142" s="4">
        <v>5.1445209810150896E-2</v>
      </c>
      <c r="D142" s="4">
        <v>5.9823974658809682E-2</v>
      </c>
      <c r="E142" s="4">
        <v>4.3719126971466814E-2</v>
      </c>
      <c r="F142" s="4"/>
      <c r="G142" s="4">
        <v>8.9281556177288557E-2</v>
      </c>
      <c r="H142" s="4">
        <v>7.639526862935031E-2</v>
      </c>
      <c r="I142" s="4">
        <v>6.6141752725031117E-2</v>
      </c>
      <c r="J142" s="4">
        <v>5.6012350751568532E-2</v>
      </c>
      <c r="K142" s="4">
        <v>5.3022646929287445E-2</v>
      </c>
      <c r="L142" s="4">
        <v>3.3537082638572427E-2</v>
      </c>
      <c r="M142" s="4">
        <v>2.469136622919646E-2</v>
      </c>
    </row>
    <row r="143" spans="1:13">
      <c r="A143" s="34" t="s">
        <v>397</v>
      </c>
      <c r="B143" s="4">
        <v>6.1960578209956122E-3</v>
      </c>
      <c r="D143" s="4">
        <v>6.9269886027160301E-3</v>
      </c>
      <c r="E143" s="4">
        <v>5.5572552123520679E-3</v>
      </c>
      <c r="F143" s="4"/>
      <c r="G143" s="4">
        <v>9.144152058799853E-3</v>
      </c>
      <c r="H143" s="4">
        <v>7.3460177225378159E-3</v>
      </c>
      <c r="I143" s="4">
        <v>7.4727525799087096E-3</v>
      </c>
      <c r="J143" s="4">
        <v>7.250698767347301E-3</v>
      </c>
      <c r="K143" s="4">
        <v>5.3629809247856975E-3</v>
      </c>
      <c r="L143" s="4">
        <v>5.2761142863421264E-3</v>
      </c>
      <c r="M143" s="4">
        <v>4.2088961880271366E-3</v>
      </c>
    </row>
    <row r="144" spans="1:13">
      <c r="A144" s="34" t="s">
        <v>398</v>
      </c>
      <c r="B144" s="4">
        <v>0</v>
      </c>
      <c r="D144" s="4">
        <v>0</v>
      </c>
      <c r="E144" s="4">
        <v>0</v>
      </c>
      <c r="F144" s="4"/>
      <c r="G144" s="4">
        <v>0</v>
      </c>
      <c r="H144" s="4">
        <v>0</v>
      </c>
      <c r="I144" s="4">
        <v>0</v>
      </c>
      <c r="J144" s="4">
        <v>0</v>
      </c>
      <c r="K144" s="4">
        <v>0</v>
      </c>
      <c r="L144" s="4">
        <v>0</v>
      </c>
      <c r="M144" s="4">
        <v>0</v>
      </c>
    </row>
    <row r="145" spans="1:13">
      <c r="A145" s="34" t="s">
        <v>399</v>
      </c>
      <c r="B145" s="4">
        <v>7.4074556761752923E-3</v>
      </c>
      <c r="D145" s="4">
        <v>9.8467688343009431E-3</v>
      </c>
      <c r="E145" s="4">
        <v>5.1260764103892888E-3</v>
      </c>
      <c r="F145" s="4"/>
      <c r="G145" s="4">
        <v>2.1048249523957795E-2</v>
      </c>
      <c r="H145" s="4">
        <v>1.6710980318053622E-2</v>
      </c>
      <c r="I145" s="4">
        <v>1.4477267131734166E-2</v>
      </c>
      <c r="J145" s="4">
        <v>5.6848964114648553E-3</v>
      </c>
      <c r="K145" s="4">
        <v>4.7216319054507608E-3</v>
      </c>
      <c r="L145" s="4">
        <v>2.3070071558600439E-3</v>
      </c>
      <c r="M145" s="4">
        <v>2.5328189364742554E-4</v>
      </c>
    </row>
    <row r="146" spans="1:13">
      <c r="A146" s="34" t="s">
        <v>400</v>
      </c>
      <c r="B146" s="4">
        <v>9.9390481868257452E-4</v>
      </c>
      <c r="D146" s="4">
        <v>1.3312613869938274E-3</v>
      </c>
      <c r="E146" s="4">
        <v>6.7804631891835079E-4</v>
      </c>
      <c r="F146" s="4"/>
      <c r="G146" s="4">
        <v>0</v>
      </c>
      <c r="H146" s="4">
        <v>1.1280605156024264E-3</v>
      </c>
      <c r="I146" s="4">
        <v>1.5021324958345266E-3</v>
      </c>
      <c r="J146" s="4">
        <v>1.4121122885089831E-3</v>
      </c>
      <c r="K146" s="4">
        <v>1.6609743969861015E-3</v>
      </c>
      <c r="L146" s="4">
        <v>8.1748910222272661E-4</v>
      </c>
      <c r="M146" s="4">
        <v>0</v>
      </c>
    </row>
    <row r="147" spans="1:13">
      <c r="A147" s="34" t="s">
        <v>401</v>
      </c>
      <c r="B147" s="4">
        <v>8.4926004257150269E-3</v>
      </c>
      <c r="D147" s="4">
        <v>8.7432025058584942E-3</v>
      </c>
      <c r="E147" s="4">
        <v>8.2936124657833187E-3</v>
      </c>
      <c r="F147" s="4"/>
      <c r="G147" s="4">
        <v>3.8515416075136128E-3</v>
      </c>
      <c r="H147" s="4">
        <v>5.545326199579443E-3</v>
      </c>
      <c r="I147" s="4">
        <v>1.0979490389203648E-2</v>
      </c>
      <c r="J147" s="4">
        <v>1.052931972274918E-2</v>
      </c>
      <c r="K147" s="4">
        <v>9.4496850626615038E-3</v>
      </c>
      <c r="L147" s="4">
        <v>1.1464013045914214E-2</v>
      </c>
      <c r="M147" s="4">
        <v>4.5892656812824284E-3</v>
      </c>
    </row>
    <row r="148" spans="1:13">
      <c r="A148" s="34" t="s">
        <v>402</v>
      </c>
      <c r="B148" s="4">
        <v>9.137416395220142E-3</v>
      </c>
      <c r="D148" s="4">
        <v>9.6204422188638453E-3</v>
      </c>
      <c r="E148" s="4">
        <v>8.6074084658816809E-3</v>
      </c>
      <c r="F148" s="4"/>
      <c r="G148" s="4">
        <v>3.2895452405005091E-2</v>
      </c>
      <c r="H148" s="4">
        <v>1.9704265064555131E-2</v>
      </c>
      <c r="I148" s="4">
        <v>1.3171253826918824E-2</v>
      </c>
      <c r="J148" s="4">
        <v>8.2603635127676163E-3</v>
      </c>
      <c r="K148" s="4">
        <v>6.7039378153656856E-3</v>
      </c>
      <c r="L148" s="4">
        <v>3.7222733164794923E-3</v>
      </c>
      <c r="M148" s="4">
        <v>1.1148540210114812E-3</v>
      </c>
    </row>
    <row r="149" spans="1:13">
      <c r="A149" s="34" t="s">
        <v>403</v>
      </c>
      <c r="B149" s="4">
        <v>1.3008585259562087E-2</v>
      </c>
      <c r="D149" s="4">
        <v>1.4725718469798676E-2</v>
      </c>
      <c r="E149" s="4">
        <v>1.1404682054154968E-2</v>
      </c>
      <c r="F149" s="4"/>
      <c r="G149" s="4">
        <v>9.4957306380069634E-2</v>
      </c>
      <c r="H149" s="4">
        <v>3.4408946421577796E-2</v>
      </c>
      <c r="I149" s="4">
        <v>1.6313429433089388E-2</v>
      </c>
      <c r="J149" s="4">
        <v>7.6301505993135142E-3</v>
      </c>
      <c r="K149" s="4">
        <v>3.2102794314519591E-3</v>
      </c>
      <c r="L149" s="4">
        <v>1.5414564964893035E-3</v>
      </c>
      <c r="M149" s="4">
        <v>4.6479643355167992E-4</v>
      </c>
    </row>
    <row r="150" spans="1:13">
      <c r="A150" s="34" t="s">
        <v>404</v>
      </c>
      <c r="B150" s="4">
        <v>0.50145978228696553</v>
      </c>
      <c r="D150" s="4">
        <v>0.42147356266142327</v>
      </c>
      <c r="E150" s="4">
        <v>0.57983552974671304</v>
      </c>
      <c r="F150" s="4"/>
      <c r="G150" s="4">
        <v>0.31456215503141277</v>
      </c>
      <c r="H150" s="4">
        <v>0.33758338459234993</v>
      </c>
      <c r="I150" s="4">
        <v>0.41412497704383538</v>
      </c>
      <c r="J150" s="4">
        <v>0.47608353653700353</v>
      </c>
      <c r="K150" s="4">
        <v>0.58217521624387547</v>
      </c>
      <c r="L150" s="4">
        <v>0.64952920652022172</v>
      </c>
      <c r="M150" s="4">
        <v>0.56774463009709297</v>
      </c>
    </row>
    <row r="151" spans="1:13">
      <c r="A151" s="34" t="s">
        <v>405</v>
      </c>
      <c r="B151" s="4">
        <v>9.5286709498393362E-4</v>
      </c>
      <c r="D151" s="4">
        <v>1.3904984913715307E-3</v>
      </c>
      <c r="E151" s="4">
        <v>5.3933274765931543E-4</v>
      </c>
      <c r="F151" s="4"/>
      <c r="G151" s="4">
        <v>1.9877065973234352E-3</v>
      </c>
      <c r="H151" s="4">
        <v>2.5322849983055429E-3</v>
      </c>
      <c r="I151" s="4">
        <v>1.1547947269443545E-3</v>
      </c>
      <c r="J151" s="4">
        <v>6.0349451374956914E-4</v>
      </c>
      <c r="K151" s="4">
        <v>8.2710853450326935E-4</v>
      </c>
      <c r="L151" s="4">
        <v>6.2696014641407366E-4</v>
      </c>
      <c r="M151" s="4">
        <v>3.2498316833486427E-4</v>
      </c>
    </row>
    <row r="152" spans="1:13">
      <c r="A152" s="34" t="s">
        <v>406</v>
      </c>
      <c r="B152" s="4">
        <v>1.8673652339598102E-3</v>
      </c>
      <c r="D152" s="4">
        <v>2.166926272962502E-3</v>
      </c>
      <c r="E152" s="4">
        <v>1.5979899427379827E-3</v>
      </c>
      <c r="F152" s="4"/>
      <c r="G152" s="4">
        <v>0</v>
      </c>
      <c r="H152" s="4">
        <v>3.2369084795515189E-3</v>
      </c>
      <c r="I152" s="4">
        <v>2.518697938032752E-3</v>
      </c>
      <c r="J152" s="4">
        <v>1.7684700769427185E-3</v>
      </c>
      <c r="K152" s="4">
        <v>2.5413083936919301E-3</v>
      </c>
      <c r="L152" s="4">
        <v>1.9522575601324179E-3</v>
      </c>
      <c r="M152" s="4">
        <v>5.3859079821954984E-4</v>
      </c>
    </row>
    <row r="153" spans="1:13">
      <c r="A153" s="34" t="s">
        <v>407</v>
      </c>
      <c r="B153" s="4">
        <v>1.4556778287484294E-2</v>
      </c>
      <c r="D153" s="4">
        <v>1.6335536044559874E-2</v>
      </c>
      <c r="E153" s="4">
        <v>1.2611657544683354E-2</v>
      </c>
      <c r="F153" s="4"/>
      <c r="G153" s="4">
        <v>1.4203014278265836E-2</v>
      </c>
      <c r="H153" s="4">
        <v>2.0307165409170574E-2</v>
      </c>
      <c r="I153" s="4">
        <v>2.3580513379126988E-2</v>
      </c>
      <c r="J153" s="4">
        <v>1.6232220542486263E-2</v>
      </c>
      <c r="K153" s="4">
        <v>1.2356605676156159E-2</v>
      </c>
      <c r="L153" s="4">
        <v>1.1812545300089497E-2</v>
      </c>
      <c r="M153" s="4">
        <v>5.8895393263498691E-3</v>
      </c>
    </row>
    <row r="154" spans="1:13">
      <c r="A154" s="34" t="s">
        <v>408</v>
      </c>
      <c r="B154" s="4">
        <v>8.8515379289901789E-5</v>
      </c>
      <c r="D154" s="4">
        <v>4.9163386073445962E-5</v>
      </c>
      <c r="E154" s="4">
        <v>1.276632977891358E-4</v>
      </c>
      <c r="F154" s="4"/>
      <c r="G154" s="4">
        <v>0</v>
      </c>
      <c r="H154" s="4">
        <v>2.2116172994514599E-4</v>
      </c>
      <c r="I154" s="4">
        <v>2.5451367283906994E-4</v>
      </c>
      <c r="J154" s="4">
        <v>0</v>
      </c>
      <c r="K154" s="4">
        <v>0</v>
      </c>
      <c r="L154" s="4">
        <v>1.3563917066943017E-4</v>
      </c>
      <c r="M154" s="4">
        <v>0</v>
      </c>
    </row>
    <row r="155" spans="1:13">
      <c r="A155" s="34" t="s">
        <v>409</v>
      </c>
      <c r="B155" s="4">
        <v>3.5725338136541156E-4</v>
      </c>
      <c r="D155" s="4">
        <v>6.6788206388819255E-4</v>
      </c>
      <c r="E155" s="4">
        <v>6.0133409098184692E-5</v>
      </c>
      <c r="F155" s="4"/>
      <c r="G155" s="4">
        <v>0</v>
      </c>
      <c r="H155" s="4">
        <v>1.9936085899309978E-4</v>
      </c>
      <c r="I155" s="4">
        <v>0</v>
      </c>
      <c r="J155" s="4">
        <v>6.0689154490772119E-4</v>
      </c>
      <c r="K155" s="4">
        <v>2.0408132006008065E-4</v>
      </c>
      <c r="L155" s="4">
        <v>6.4993279930885401E-4</v>
      </c>
      <c r="M155" s="4">
        <v>5.3500164637328184E-4</v>
      </c>
    </row>
    <row r="156" spans="1:13">
      <c r="A156" s="34" t="s">
        <v>410</v>
      </c>
      <c r="B156" s="4">
        <v>5.4019997188436324E-4</v>
      </c>
      <c r="D156" s="4">
        <v>9.2449550351011327E-4</v>
      </c>
      <c r="E156" s="4">
        <v>1.2668619637194064E-4</v>
      </c>
      <c r="F156" s="4"/>
      <c r="G156" s="4">
        <v>1.4736469249878694E-3</v>
      </c>
      <c r="H156" s="4">
        <v>1.100882344842707E-3</v>
      </c>
      <c r="I156" s="4">
        <v>1.0950631104137333E-3</v>
      </c>
      <c r="J156" s="4">
        <v>4.0706568549931125E-4</v>
      </c>
      <c r="K156" s="4">
        <v>5.917369231646472E-4</v>
      </c>
      <c r="L156" s="4">
        <v>0</v>
      </c>
      <c r="M156" s="4">
        <v>0</v>
      </c>
    </row>
    <row r="157" spans="1:13">
      <c r="A157" s="118" t="s">
        <v>411</v>
      </c>
      <c r="B157" s="123">
        <v>4.9755426322118816E-2</v>
      </c>
      <c r="C157" s="119"/>
      <c r="D157" s="123">
        <v>1.4242610942762472E-2</v>
      </c>
      <c r="E157" s="123">
        <v>8.431617531606081E-2</v>
      </c>
      <c r="F157" s="123"/>
      <c r="G157" s="123">
        <v>3.1239630364911571E-2</v>
      </c>
      <c r="H157" s="123">
        <v>3.3427630016675959E-2</v>
      </c>
      <c r="I157" s="123">
        <v>6.4295984505098949E-2</v>
      </c>
      <c r="J157" s="123">
        <v>6.4078554354368669E-2</v>
      </c>
      <c r="K157" s="123">
        <v>6.0106573606813457E-2</v>
      </c>
      <c r="L157" s="123">
        <v>5.0842045330922785E-2</v>
      </c>
      <c r="M157" s="123">
        <v>2.9968242098732681E-2</v>
      </c>
    </row>
    <row r="158" spans="1:13">
      <c r="A158" s="67"/>
      <c r="B158" s="187" t="s">
        <v>147</v>
      </c>
      <c r="C158" s="187"/>
      <c r="D158" s="187"/>
      <c r="E158" s="187"/>
      <c r="F158" s="187"/>
      <c r="G158" s="187"/>
      <c r="H158" s="187"/>
      <c r="I158" s="187"/>
      <c r="J158" s="187"/>
      <c r="K158" s="187"/>
      <c r="L158" s="187"/>
      <c r="M158" s="187"/>
    </row>
    <row r="159" spans="1:13">
      <c r="A159" s="34" t="s">
        <v>270</v>
      </c>
      <c r="B159" s="45">
        <v>42408.310294375347</v>
      </c>
      <c r="D159" s="45">
        <v>31467.579621521443</v>
      </c>
      <c r="E159" s="45">
        <v>7922.9939635932342</v>
      </c>
      <c r="F159" s="45"/>
      <c r="G159" s="45">
        <v>3797.752252921021</v>
      </c>
      <c r="H159" s="45">
        <v>17730.113401610244</v>
      </c>
      <c r="I159" s="45">
        <v>11287.118274301887</v>
      </c>
      <c r="J159" s="45">
        <v>5880.745046100742</v>
      </c>
      <c r="K159" s="45">
        <v>3379.2260607922581</v>
      </c>
      <c r="L159" s="45">
        <v>333.35525864919072</v>
      </c>
      <c r="M159" s="45">
        <v>0</v>
      </c>
    </row>
    <row r="160" spans="1:13">
      <c r="A160" s="34" t="s">
        <v>271</v>
      </c>
      <c r="B160" s="45">
        <v>71993.196799576006</v>
      </c>
      <c r="D160" s="45">
        <v>45732.065195043288</v>
      </c>
      <c r="E160" s="45">
        <v>24290.205808696948</v>
      </c>
      <c r="F160" s="45"/>
      <c r="G160" s="45">
        <v>7383.3427047589748</v>
      </c>
      <c r="H160" s="45">
        <v>15952.787434883909</v>
      </c>
      <c r="I160" s="45">
        <v>21349.895914213692</v>
      </c>
      <c r="J160" s="45">
        <v>14896.147877776091</v>
      </c>
      <c r="K160" s="45">
        <v>3343.9485250716807</v>
      </c>
      <c r="L160" s="45">
        <v>5265.3267064078145</v>
      </c>
      <c r="M160" s="45">
        <v>3801.7476364638078</v>
      </c>
    </row>
    <row r="161" spans="1:13">
      <c r="A161" s="34" t="s">
        <v>272</v>
      </c>
      <c r="B161" s="45">
        <v>49329.564819443585</v>
      </c>
      <c r="D161" s="45">
        <v>31697.959873094216</v>
      </c>
      <c r="E161" s="45">
        <v>15660.679150513595</v>
      </c>
      <c r="F161" s="45"/>
      <c r="G161" s="45">
        <v>7031.0455309494719</v>
      </c>
      <c r="H161" s="45">
        <v>6359.3451383327983</v>
      </c>
      <c r="I161" s="45">
        <v>13572.313415681712</v>
      </c>
      <c r="J161" s="45">
        <v>11112.053281296736</v>
      </c>
      <c r="K161" s="45">
        <v>5170.7167949722525</v>
      </c>
      <c r="L161" s="45">
        <v>3775.2848692350481</v>
      </c>
      <c r="M161" s="45">
        <v>2308.8057889755537</v>
      </c>
    </row>
    <row r="162" spans="1:13">
      <c r="A162" s="34" t="s">
        <v>273</v>
      </c>
      <c r="B162" s="45">
        <v>293578.41670929256</v>
      </c>
      <c r="D162" s="45">
        <v>194047.13587406755</v>
      </c>
      <c r="E162" s="45">
        <v>97560.355039388698</v>
      </c>
      <c r="F162" s="45"/>
      <c r="G162" s="45">
        <v>49060.452473042096</v>
      </c>
      <c r="H162" s="45">
        <v>83965.898040024811</v>
      </c>
      <c r="I162" s="45">
        <v>73521.596205992784</v>
      </c>
      <c r="J162" s="45">
        <v>46224.976928180615</v>
      </c>
      <c r="K162" s="45">
        <v>22295.174136682195</v>
      </c>
      <c r="L162" s="45">
        <v>13498.557127985687</v>
      </c>
      <c r="M162" s="45">
        <v>5011.7617973839642</v>
      </c>
    </row>
    <row r="163" spans="1:13">
      <c r="A163" s="34" t="s">
        <v>274</v>
      </c>
      <c r="B163" s="45">
        <v>589147.47957119416</v>
      </c>
      <c r="D163" s="45">
        <v>443650.97891936754</v>
      </c>
      <c r="E163" s="45">
        <v>142413.24036604198</v>
      </c>
      <c r="F163" s="45"/>
      <c r="G163" s="45">
        <v>62813.850511651821</v>
      </c>
      <c r="H163" s="45">
        <v>160399.57203774844</v>
      </c>
      <c r="I163" s="45">
        <v>190972.10078791043</v>
      </c>
      <c r="J163" s="45">
        <v>105071.26348132174</v>
      </c>
      <c r="K163" s="45">
        <v>48228.243495150418</v>
      </c>
      <c r="L163" s="45">
        <v>19524.748302456715</v>
      </c>
      <c r="M163" s="45">
        <v>2137.7009549534664</v>
      </c>
    </row>
    <row r="164" spans="1:13">
      <c r="A164" s="34" t="s">
        <v>275</v>
      </c>
      <c r="B164" s="45">
        <v>391204.45060468448</v>
      </c>
      <c r="D164" s="45">
        <v>226864.41434735892</v>
      </c>
      <c r="E164" s="45">
        <v>164340.03625732445</v>
      </c>
      <c r="F164" s="45"/>
      <c r="G164" s="45">
        <v>73825.687440036345</v>
      </c>
      <c r="H164" s="45">
        <v>98452.011326426247</v>
      </c>
      <c r="I164" s="45">
        <v>116132.63280854166</v>
      </c>
      <c r="J164" s="45">
        <v>65905.639461411381</v>
      </c>
      <c r="K164" s="45">
        <v>18950.663990764584</v>
      </c>
      <c r="L164" s="45">
        <v>8358.2701392168801</v>
      </c>
      <c r="M164" s="45">
        <v>9579.5454382860135</v>
      </c>
    </row>
    <row r="165" spans="1:13">
      <c r="A165" s="34" t="s">
        <v>276</v>
      </c>
      <c r="B165" s="45">
        <v>78442.369048313732</v>
      </c>
      <c r="D165" s="45">
        <v>54555.207988177688</v>
      </c>
      <c r="E165" s="45">
        <v>21916.235264300303</v>
      </c>
      <c r="F165" s="45"/>
      <c r="G165" s="45">
        <v>15611.777897433769</v>
      </c>
      <c r="H165" s="45">
        <v>14318.410735104559</v>
      </c>
      <c r="I165" s="45">
        <v>19882.956441843351</v>
      </c>
      <c r="J165" s="45">
        <v>16448.336094893282</v>
      </c>
      <c r="K165" s="45">
        <v>8756.1100546319631</v>
      </c>
      <c r="L165" s="45">
        <v>1987.7800700578396</v>
      </c>
      <c r="M165" s="45">
        <v>1436.9977543489717</v>
      </c>
    </row>
    <row r="166" spans="1:13">
      <c r="A166" s="34" t="s">
        <v>277</v>
      </c>
      <c r="B166" s="45">
        <v>1039104.0607530681</v>
      </c>
      <c r="D166" s="45">
        <v>748545.21179818758</v>
      </c>
      <c r="E166" s="45">
        <v>287321.93040750665</v>
      </c>
      <c r="F166" s="45"/>
      <c r="G166" s="45">
        <v>160131.82992808925</v>
      </c>
      <c r="H166" s="45">
        <v>277194.7233809696</v>
      </c>
      <c r="I166" s="45">
        <v>276528.15195277374</v>
      </c>
      <c r="J166" s="45">
        <v>196690.43934199057</v>
      </c>
      <c r="K166" s="45">
        <v>96771.774898752192</v>
      </c>
      <c r="L166" s="45">
        <v>20237.591776178171</v>
      </c>
      <c r="M166" s="45">
        <v>11549.549474317735</v>
      </c>
    </row>
    <row r="167" spans="1:13">
      <c r="A167" s="34" t="s">
        <v>278</v>
      </c>
      <c r="B167" s="45">
        <v>5723.2958095322883</v>
      </c>
      <c r="D167" s="45">
        <v>3501.2862518584307</v>
      </c>
      <c r="E167" s="45">
        <v>2222.0095576738572</v>
      </c>
      <c r="F167" s="45"/>
      <c r="G167" s="45">
        <v>1472.7544148940417</v>
      </c>
      <c r="H167" s="45">
        <v>513.43167893591385</v>
      </c>
      <c r="I167" s="45">
        <v>2336.7741384304704</v>
      </c>
      <c r="J167" s="45">
        <v>0</v>
      </c>
      <c r="K167" s="45">
        <v>1058.2160214234864</v>
      </c>
      <c r="L167" s="45">
        <v>0</v>
      </c>
      <c r="M167" s="45">
        <v>342.11955584837506</v>
      </c>
    </row>
    <row r="168" spans="1:13">
      <c r="A168" s="34" t="s">
        <v>279</v>
      </c>
      <c r="B168" s="45">
        <v>2072.5698464895809</v>
      </c>
      <c r="D168" s="45">
        <v>1436.2150291911571</v>
      </c>
      <c r="E168" s="45">
        <v>636.35481729842388</v>
      </c>
      <c r="F168" s="45"/>
      <c r="G168" s="45">
        <v>0</v>
      </c>
      <c r="H168" s="45">
        <v>0</v>
      </c>
      <c r="I168" s="45">
        <v>536.39263823500096</v>
      </c>
      <c r="J168" s="45">
        <v>1207.3479083070224</v>
      </c>
      <c r="K168" s="45">
        <v>0</v>
      </c>
      <c r="L168" s="45">
        <v>0</v>
      </c>
      <c r="M168" s="45">
        <v>328.82929994755739</v>
      </c>
    </row>
    <row r="169" spans="1:13">
      <c r="A169" s="34" t="s">
        <v>280</v>
      </c>
      <c r="B169" s="45">
        <v>69133.54611965848</v>
      </c>
      <c r="D169" s="45">
        <v>50021.002378084471</v>
      </c>
      <c r="E169" s="45">
        <v>19112.543741574005</v>
      </c>
      <c r="F169" s="45"/>
      <c r="G169" s="45">
        <v>0</v>
      </c>
      <c r="H169" s="45">
        <v>11141.42771260134</v>
      </c>
      <c r="I169" s="45">
        <v>18966.374253027301</v>
      </c>
      <c r="J169" s="45">
        <v>11011.960866100153</v>
      </c>
      <c r="K169" s="45">
        <v>7280.1237643452478</v>
      </c>
      <c r="L169" s="45">
        <v>10108.733365799862</v>
      </c>
      <c r="M169" s="45">
        <v>10624.926157784575</v>
      </c>
    </row>
    <row r="170" spans="1:13">
      <c r="A170" s="34" t="s">
        <v>281</v>
      </c>
      <c r="B170" s="45">
        <v>6567.556657789557</v>
      </c>
      <c r="D170" s="45">
        <v>3254.4808185523425</v>
      </c>
      <c r="E170" s="45">
        <v>3313.0758392372145</v>
      </c>
      <c r="F170" s="45"/>
      <c r="G170" s="45">
        <v>0</v>
      </c>
      <c r="H170" s="45">
        <v>1570.8001630911599</v>
      </c>
      <c r="I170" s="45">
        <v>1548.2667212384215</v>
      </c>
      <c r="J170" s="45">
        <v>1087.0683489798857</v>
      </c>
      <c r="K170" s="45">
        <v>0</v>
      </c>
      <c r="L170" s="45">
        <v>0</v>
      </c>
      <c r="M170" s="45">
        <v>2361.4214244800896</v>
      </c>
    </row>
    <row r="171" spans="1:13">
      <c r="A171" s="34" t="s">
        <v>282</v>
      </c>
      <c r="B171" s="45">
        <v>0</v>
      </c>
      <c r="D171" s="45">
        <v>0</v>
      </c>
      <c r="E171" s="45">
        <v>0</v>
      </c>
      <c r="F171" s="45"/>
      <c r="G171" s="45">
        <v>0</v>
      </c>
      <c r="H171" s="45">
        <v>0</v>
      </c>
      <c r="I171" s="45">
        <v>0</v>
      </c>
      <c r="J171" s="45">
        <v>0</v>
      </c>
      <c r="K171" s="45">
        <v>0</v>
      </c>
      <c r="L171" s="45">
        <v>0</v>
      </c>
      <c r="M171" s="45">
        <v>0</v>
      </c>
    </row>
    <row r="172" spans="1:13">
      <c r="A172" s="34" t="s">
        <v>283</v>
      </c>
      <c r="B172" s="45">
        <v>2425.5921734992107</v>
      </c>
      <c r="D172" s="45">
        <v>1349.1925203240903</v>
      </c>
      <c r="E172" s="45">
        <v>1076.3996531751206</v>
      </c>
      <c r="F172" s="45"/>
      <c r="G172" s="45">
        <v>0</v>
      </c>
      <c r="H172" s="45">
        <v>0</v>
      </c>
      <c r="I172" s="45">
        <v>0</v>
      </c>
      <c r="J172" s="45">
        <v>0</v>
      </c>
      <c r="K172" s="45">
        <v>547.35180090516383</v>
      </c>
      <c r="L172" s="45">
        <v>390.64508865824246</v>
      </c>
      <c r="M172" s="45">
        <v>1487.5952839358049</v>
      </c>
    </row>
    <row r="173" spans="1:13">
      <c r="A173" s="34" t="s">
        <v>284</v>
      </c>
      <c r="B173" s="45">
        <v>0</v>
      </c>
      <c r="D173" s="45">
        <v>0</v>
      </c>
      <c r="E173" s="45">
        <v>0</v>
      </c>
      <c r="F173" s="45"/>
      <c r="G173" s="45">
        <v>0</v>
      </c>
      <c r="H173" s="45">
        <v>0</v>
      </c>
      <c r="I173" s="45">
        <v>0</v>
      </c>
      <c r="J173" s="45">
        <v>0</v>
      </c>
      <c r="K173" s="45">
        <v>0</v>
      </c>
      <c r="L173" s="45">
        <v>0</v>
      </c>
      <c r="M173" s="45">
        <v>0</v>
      </c>
    </row>
    <row r="174" spans="1:13">
      <c r="A174" s="34" t="s">
        <v>285</v>
      </c>
      <c r="B174" s="45">
        <v>7207.7617664980653</v>
      </c>
      <c r="D174" s="45">
        <v>6235.017138439357</v>
      </c>
      <c r="E174" s="45">
        <v>972.74462805870758</v>
      </c>
      <c r="F174" s="45"/>
      <c r="G174" s="45">
        <v>0</v>
      </c>
      <c r="H174" s="45">
        <v>1052.8934967770617</v>
      </c>
      <c r="I174" s="45">
        <v>3760.7050545296106</v>
      </c>
      <c r="J174" s="45">
        <v>1116.8748711301989</v>
      </c>
      <c r="K174" s="45">
        <v>509.22404329899911</v>
      </c>
      <c r="L174" s="45">
        <v>0</v>
      </c>
      <c r="M174" s="45">
        <v>768.06430076219374</v>
      </c>
    </row>
    <row r="175" spans="1:13">
      <c r="A175" s="34" t="s">
        <v>286</v>
      </c>
      <c r="B175" s="45">
        <v>4136.6162980196423</v>
      </c>
      <c r="D175" s="45">
        <v>4136.6162980196423</v>
      </c>
      <c r="E175" s="45">
        <v>0</v>
      </c>
      <c r="F175" s="45"/>
      <c r="G175" s="45">
        <v>2122.6091194832097</v>
      </c>
      <c r="H175" s="45">
        <v>490.83959562658805</v>
      </c>
      <c r="I175" s="45">
        <v>497.06927837709685</v>
      </c>
      <c r="J175" s="45">
        <v>473.43561648787335</v>
      </c>
      <c r="K175" s="45">
        <v>552.66268804487402</v>
      </c>
      <c r="L175" s="45">
        <v>0</v>
      </c>
      <c r="M175" s="45">
        <v>0</v>
      </c>
    </row>
    <row r="176" spans="1:13">
      <c r="A176" s="34" t="s">
        <v>287</v>
      </c>
      <c r="B176" s="45">
        <v>209568.7403700107</v>
      </c>
      <c r="D176" s="45">
        <v>134075.48158214768</v>
      </c>
      <c r="E176" s="45">
        <v>75493.258787863189</v>
      </c>
      <c r="F176" s="45"/>
      <c r="G176" s="45">
        <v>1405.0755266507961</v>
      </c>
      <c r="H176" s="45">
        <v>3443.6940809676266</v>
      </c>
      <c r="I176" s="45">
        <v>14264.932422125847</v>
      </c>
      <c r="J176" s="45">
        <v>11365.318346509712</v>
      </c>
      <c r="K176" s="45">
        <v>11633.98573797598</v>
      </c>
      <c r="L176" s="45">
        <v>35022.61099308214</v>
      </c>
      <c r="M176" s="45">
        <v>132433.12326269879</v>
      </c>
    </row>
    <row r="177" spans="1:13">
      <c r="A177" s="34" t="s">
        <v>288</v>
      </c>
      <c r="B177" s="45">
        <v>202201.45722500802</v>
      </c>
      <c r="D177" s="45">
        <v>109690.89266856993</v>
      </c>
      <c r="E177" s="45">
        <v>90041.351773988252</v>
      </c>
      <c r="F177" s="45"/>
      <c r="G177" s="45">
        <v>13532.802886150666</v>
      </c>
      <c r="H177" s="45">
        <v>45101.640549684635</v>
      </c>
      <c r="I177" s="45">
        <v>71346.651914621762</v>
      </c>
      <c r="J177" s="45">
        <v>36127.577315644208</v>
      </c>
      <c r="K177" s="45">
        <v>24865.828406157048</v>
      </c>
      <c r="L177" s="45">
        <v>8333.9739266071829</v>
      </c>
      <c r="M177" s="45">
        <v>2892.982226142537</v>
      </c>
    </row>
    <row r="178" spans="1:13">
      <c r="A178" s="34" t="s">
        <v>289</v>
      </c>
      <c r="B178" s="45">
        <v>1139.6213257213126</v>
      </c>
      <c r="D178" s="45">
        <v>1139.6213257213126</v>
      </c>
      <c r="E178" s="45">
        <v>0</v>
      </c>
      <c r="F178" s="45"/>
      <c r="G178" s="45">
        <v>0</v>
      </c>
      <c r="H178" s="45">
        <v>0</v>
      </c>
      <c r="I178" s="45">
        <v>597.96128281541507</v>
      </c>
      <c r="J178" s="45">
        <v>541.66004290589751</v>
      </c>
      <c r="K178" s="45">
        <v>0</v>
      </c>
      <c r="L178" s="45">
        <v>0</v>
      </c>
      <c r="M178" s="45">
        <v>0</v>
      </c>
    </row>
    <row r="179" spans="1:13">
      <c r="A179" s="34" t="s">
        <v>290</v>
      </c>
      <c r="B179" s="45">
        <v>3856343.2137945504</v>
      </c>
      <c r="D179" s="45">
        <v>1746221.0179628329</v>
      </c>
      <c r="E179" s="45">
        <v>2093125.4610473488</v>
      </c>
      <c r="F179" s="45"/>
      <c r="G179" s="45">
        <v>147754.53586180642</v>
      </c>
      <c r="H179" s="45">
        <v>410321.97489492159</v>
      </c>
      <c r="I179" s="45">
        <v>801261.98395049456</v>
      </c>
      <c r="J179" s="45">
        <v>770232.03541780845</v>
      </c>
      <c r="K179" s="45">
        <v>683152.37881660974</v>
      </c>
      <c r="L179" s="45">
        <v>570433.82880229969</v>
      </c>
      <c r="M179" s="45">
        <v>473186.47605060518</v>
      </c>
    </row>
    <row r="180" spans="1:13">
      <c r="A180" s="34" t="s">
        <v>291</v>
      </c>
      <c r="B180" s="45">
        <v>57923.907064616134</v>
      </c>
      <c r="D180" s="45">
        <v>43128.154284569719</v>
      </c>
      <c r="E180" s="45">
        <v>14795.752780046418</v>
      </c>
      <c r="F180" s="45"/>
      <c r="G180" s="45">
        <v>3609.9232445502012</v>
      </c>
      <c r="H180" s="45">
        <v>12143.041539729638</v>
      </c>
      <c r="I180" s="45">
        <v>18499.357460276064</v>
      </c>
      <c r="J180" s="45">
        <v>9514.9410549235708</v>
      </c>
      <c r="K180" s="45">
        <v>7897.5100252747598</v>
      </c>
      <c r="L180" s="45">
        <v>4849.5221537794896</v>
      </c>
      <c r="M180" s="45">
        <v>1409.6115860824023</v>
      </c>
    </row>
    <row r="181" spans="1:13">
      <c r="A181" s="34" t="s">
        <v>292</v>
      </c>
      <c r="B181" s="45">
        <v>4804.7051857245069</v>
      </c>
      <c r="D181" s="45">
        <v>1900.8693196466602</v>
      </c>
      <c r="E181" s="45">
        <v>2903.8358660778476</v>
      </c>
      <c r="F181" s="45"/>
      <c r="G181" s="45">
        <v>0</v>
      </c>
      <c r="H181" s="45">
        <v>0</v>
      </c>
      <c r="I181" s="45">
        <v>2434.0134005173709</v>
      </c>
      <c r="J181" s="45">
        <v>1160.4877845891999</v>
      </c>
      <c r="K181" s="45">
        <v>488.79915640407273</v>
      </c>
      <c r="L181" s="45">
        <v>0</v>
      </c>
      <c r="M181" s="45">
        <v>721.40484421386395</v>
      </c>
    </row>
    <row r="182" spans="1:13">
      <c r="A182" s="34" t="s">
        <v>293</v>
      </c>
      <c r="B182" s="45">
        <v>224310.71570614781</v>
      </c>
      <c r="D182" s="45">
        <v>106596.52602668022</v>
      </c>
      <c r="E182" s="45">
        <v>117714.18967946763</v>
      </c>
      <c r="F182" s="45"/>
      <c r="G182" s="45">
        <v>12637.185008176541</v>
      </c>
      <c r="H182" s="45">
        <v>11917.987296374478</v>
      </c>
      <c r="I182" s="45">
        <v>34071.005053335801</v>
      </c>
      <c r="J182" s="45">
        <v>39372.751281802324</v>
      </c>
      <c r="K182" s="45">
        <v>55423.282772694722</v>
      </c>
      <c r="L182" s="45">
        <v>45738.500589748153</v>
      </c>
      <c r="M182" s="45">
        <v>25150.0037040159</v>
      </c>
    </row>
    <row r="183" spans="1:13">
      <c r="A183" s="34" t="s">
        <v>294</v>
      </c>
      <c r="B183" s="45">
        <v>9293.1016680309094</v>
      </c>
      <c r="D183" s="45">
        <v>2291.9493404882878</v>
      </c>
      <c r="E183" s="45">
        <v>7001.1523275426216</v>
      </c>
      <c r="F183" s="45"/>
      <c r="G183" s="45">
        <v>2074.1972019958926</v>
      </c>
      <c r="H183" s="45">
        <v>518.22462675739837</v>
      </c>
      <c r="I183" s="45">
        <v>3458.2073701969352</v>
      </c>
      <c r="J183" s="45">
        <v>3242.4724690806843</v>
      </c>
      <c r="K183" s="45">
        <v>0</v>
      </c>
      <c r="L183" s="45">
        <v>0</v>
      </c>
      <c r="M183" s="45">
        <v>0</v>
      </c>
    </row>
    <row r="184" spans="1:13">
      <c r="A184" s="34" t="s">
        <v>295</v>
      </c>
      <c r="B184" s="45">
        <v>545353.91958629666</v>
      </c>
      <c r="D184" s="45">
        <v>463710.59045742312</v>
      </c>
      <c r="E184" s="45">
        <v>81195.423645636518</v>
      </c>
      <c r="F184" s="45"/>
      <c r="G184" s="45">
        <v>66667.968766858292</v>
      </c>
      <c r="H184" s="45">
        <v>110354.46925612172</v>
      </c>
      <c r="I184" s="45">
        <v>152478.55650824308</v>
      </c>
      <c r="J184" s="45">
        <v>114571.67896362024</v>
      </c>
      <c r="K184" s="45">
        <v>65626.570675226336</v>
      </c>
      <c r="L184" s="45">
        <v>24524.900835068209</v>
      </c>
      <c r="M184" s="45">
        <v>11129.774581157744</v>
      </c>
    </row>
    <row r="185" spans="1:13">
      <c r="A185" s="34" t="s">
        <v>296</v>
      </c>
      <c r="B185" s="45">
        <v>15265.112839515295</v>
      </c>
      <c r="D185" s="45">
        <v>7860.7038237330389</v>
      </c>
      <c r="E185" s="45">
        <v>7404.4090157822566</v>
      </c>
      <c r="F185" s="45"/>
      <c r="G185" s="45">
        <v>1826.8264570852607</v>
      </c>
      <c r="H185" s="45">
        <v>0</v>
      </c>
      <c r="I185" s="45">
        <v>500.04693427121646</v>
      </c>
      <c r="J185" s="45">
        <v>1082.7680286265281</v>
      </c>
      <c r="K185" s="45">
        <v>0</v>
      </c>
      <c r="L185" s="45">
        <v>3356.7021803790121</v>
      </c>
      <c r="M185" s="45">
        <v>8498.7692391532782</v>
      </c>
    </row>
    <row r="186" spans="1:13">
      <c r="A186" s="34" t="s">
        <v>297</v>
      </c>
      <c r="B186" s="45">
        <v>142263.58343631186</v>
      </c>
      <c r="D186" s="45">
        <v>54098.195515066509</v>
      </c>
      <c r="E186" s="45">
        <v>88165.387921245318</v>
      </c>
      <c r="F186" s="45"/>
      <c r="G186" s="45">
        <v>1620.1235900354534</v>
      </c>
      <c r="H186" s="45">
        <v>9953.1586460410872</v>
      </c>
      <c r="I186" s="45">
        <v>43579.51250973955</v>
      </c>
      <c r="J186" s="45">
        <v>44667.585297697064</v>
      </c>
      <c r="K186" s="45">
        <v>23473.965276114475</v>
      </c>
      <c r="L186" s="45">
        <v>14885.681749844771</v>
      </c>
      <c r="M186" s="45">
        <v>4083.5563668394211</v>
      </c>
    </row>
    <row r="187" spans="1:13">
      <c r="A187" s="34" t="s">
        <v>298</v>
      </c>
      <c r="B187" s="45">
        <v>1028.5319948040114</v>
      </c>
      <c r="D187" s="45">
        <v>1028.5319948040114</v>
      </c>
      <c r="E187" s="45">
        <v>0</v>
      </c>
      <c r="F187" s="45"/>
      <c r="G187" s="45">
        <v>0</v>
      </c>
      <c r="H187" s="45">
        <v>532.20996220221821</v>
      </c>
      <c r="I187" s="45">
        <v>0</v>
      </c>
      <c r="J187" s="45">
        <v>496.32203260179335</v>
      </c>
      <c r="K187" s="45">
        <v>0</v>
      </c>
      <c r="L187" s="45">
        <v>0</v>
      </c>
      <c r="M187" s="45">
        <v>0</v>
      </c>
    </row>
    <row r="188" spans="1:13">
      <c r="A188" s="34" t="s">
        <v>299</v>
      </c>
      <c r="B188" s="45">
        <v>1895782.8272889378</v>
      </c>
      <c r="D188" s="45">
        <v>1147054.8845803358</v>
      </c>
      <c r="E188" s="45">
        <v>737942.54921990784</v>
      </c>
      <c r="F188" s="45"/>
      <c r="G188" s="45">
        <v>59186.917667160487</v>
      </c>
      <c r="H188" s="45">
        <v>139886.45748110695</v>
      </c>
      <c r="I188" s="45">
        <v>295013.37397942971</v>
      </c>
      <c r="J188" s="45">
        <v>375083.86893369153</v>
      </c>
      <c r="K188" s="45">
        <v>394880.10291743214</v>
      </c>
      <c r="L188" s="45">
        <v>369894.42647559248</v>
      </c>
      <c r="M188" s="45">
        <v>261837.67983453494</v>
      </c>
    </row>
    <row r="189" spans="1:13">
      <c r="A189" s="34" t="s">
        <v>300</v>
      </c>
      <c r="B189" s="45">
        <v>247246.46080311676</v>
      </c>
      <c r="D189" s="45">
        <v>28674.314198861692</v>
      </c>
      <c r="E189" s="45">
        <v>215739.53299710838</v>
      </c>
      <c r="F189" s="45"/>
      <c r="G189" s="45">
        <v>40619.831247111644</v>
      </c>
      <c r="H189" s="45">
        <v>60384.917267337943</v>
      </c>
      <c r="I189" s="45">
        <v>53862.016723641915</v>
      </c>
      <c r="J189" s="45">
        <v>45903.779412834352</v>
      </c>
      <c r="K189" s="45">
        <v>18759.569288002906</v>
      </c>
      <c r="L189" s="45">
        <v>15087.683761262979</v>
      </c>
      <c r="M189" s="45">
        <v>12628.663102924822</v>
      </c>
    </row>
    <row r="190" spans="1:13">
      <c r="A190" s="34" t="s">
        <v>301</v>
      </c>
      <c r="B190" s="45">
        <v>372542.07502170722</v>
      </c>
      <c r="D190" s="45">
        <v>53521.425856817237</v>
      </c>
      <c r="E190" s="45">
        <v>312065.26518662856</v>
      </c>
      <c r="F190" s="45"/>
      <c r="G190" s="45">
        <v>29709.776282398434</v>
      </c>
      <c r="H190" s="45">
        <v>58650.251811242022</v>
      </c>
      <c r="I190" s="45">
        <v>67129.464595799611</v>
      </c>
      <c r="J190" s="45">
        <v>70584.828883317008</v>
      </c>
      <c r="K190" s="45">
        <v>38785.397558056429</v>
      </c>
      <c r="L190" s="45">
        <v>40387.600940200791</v>
      </c>
      <c r="M190" s="45">
        <v>67294.754950691844</v>
      </c>
    </row>
    <row r="191" spans="1:13">
      <c r="A191" s="34" t="s">
        <v>302</v>
      </c>
      <c r="B191" s="45">
        <v>36107.776565178785</v>
      </c>
      <c r="D191" s="45">
        <v>25089.630164145801</v>
      </c>
      <c r="E191" s="45">
        <v>10481.596077758659</v>
      </c>
      <c r="F191" s="45"/>
      <c r="G191" s="45">
        <v>1560.4209116645848</v>
      </c>
      <c r="H191" s="45">
        <v>4927.2157583690532</v>
      </c>
      <c r="I191" s="45">
        <v>5961.8721777484516</v>
      </c>
      <c r="J191" s="45">
        <v>9439.7987324136047</v>
      </c>
      <c r="K191" s="45">
        <v>2645.5384902845722</v>
      </c>
      <c r="L191" s="45">
        <v>6375.1653444396225</v>
      </c>
      <c r="M191" s="45">
        <v>5197.7651502588978</v>
      </c>
    </row>
    <row r="192" spans="1:13">
      <c r="A192" s="34" t="s">
        <v>303</v>
      </c>
      <c r="B192" s="45">
        <v>11328.044107370268</v>
      </c>
      <c r="D192" s="45">
        <v>7101.9270183735371</v>
      </c>
      <c r="E192" s="45">
        <v>4226.1170889967316</v>
      </c>
      <c r="F192" s="45"/>
      <c r="G192" s="45">
        <v>0</v>
      </c>
      <c r="H192" s="45">
        <v>3214.1742737567947</v>
      </c>
      <c r="I192" s="45">
        <v>3117.3447946870992</v>
      </c>
      <c r="J192" s="45">
        <v>1520.6162094102735</v>
      </c>
      <c r="K192" s="45">
        <v>1900.8574169522653</v>
      </c>
      <c r="L192" s="45">
        <v>1150.1989684382063</v>
      </c>
      <c r="M192" s="45">
        <v>424.85244412562969</v>
      </c>
    </row>
    <row r="193" spans="1:13">
      <c r="A193" s="34" t="s">
        <v>304</v>
      </c>
      <c r="B193" s="45">
        <v>15490.212092377116</v>
      </c>
      <c r="D193" s="45">
        <v>6666.3478001954791</v>
      </c>
      <c r="E193" s="45">
        <v>8823.864292181639</v>
      </c>
      <c r="F193" s="45"/>
      <c r="G193" s="45">
        <v>5711.4035907791294</v>
      </c>
      <c r="H193" s="45">
        <v>1657.4961584669663</v>
      </c>
      <c r="I193" s="45">
        <v>4049.6252753449612</v>
      </c>
      <c r="J193" s="45">
        <v>3605.6206133256628</v>
      </c>
      <c r="K193" s="45">
        <v>0</v>
      </c>
      <c r="L193" s="45">
        <v>466.06645446039954</v>
      </c>
      <c r="M193" s="45">
        <v>0</v>
      </c>
    </row>
    <row r="194" spans="1:13">
      <c r="A194" s="34" t="s">
        <v>305</v>
      </c>
      <c r="B194" s="45">
        <v>15364.365648428435</v>
      </c>
      <c r="D194" s="45">
        <v>6291.5715478561688</v>
      </c>
      <c r="E194" s="45">
        <v>9072.7941005722605</v>
      </c>
      <c r="F194" s="45"/>
      <c r="G194" s="45">
        <v>0</v>
      </c>
      <c r="H194" s="45">
        <v>0</v>
      </c>
      <c r="I194" s="45">
        <v>2862.1666129954187</v>
      </c>
      <c r="J194" s="45">
        <v>1566.826952214803</v>
      </c>
      <c r="K194" s="45">
        <v>2549.2568388403106</v>
      </c>
      <c r="L194" s="45">
        <v>4844.5373460594483</v>
      </c>
      <c r="M194" s="45">
        <v>3541.5778983184468</v>
      </c>
    </row>
    <row r="195" spans="1:13">
      <c r="A195" s="34" t="s">
        <v>306</v>
      </c>
      <c r="B195" s="45">
        <v>6274.5642513343773</v>
      </c>
      <c r="D195" s="45">
        <v>3700.5634735423764</v>
      </c>
      <c r="E195" s="45">
        <v>2574.0007777920014</v>
      </c>
      <c r="F195" s="45"/>
      <c r="G195" s="45">
        <v>0</v>
      </c>
      <c r="H195" s="45">
        <v>1094.6974982054362</v>
      </c>
      <c r="I195" s="45">
        <v>2576.045667730205</v>
      </c>
      <c r="J195" s="45">
        <v>0</v>
      </c>
      <c r="K195" s="45">
        <v>520.96160127428129</v>
      </c>
      <c r="L195" s="45">
        <v>817.1576344689895</v>
      </c>
      <c r="M195" s="45">
        <v>1265.7018496554656</v>
      </c>
    </row>
    <row r="196" spans="1:13">
      <c r="A196" s="34" t="s">
        <v>307</v>
      </c>
      <c r="B196" s="45">
        <v>106481.55618273596</v>
      </c>
      <c r="D196" s="45">
        <v>15639.359064616647</v>
      </c>
      <c r="E196" s="45">
        <v>89775.589326706657</v>
      </c>
      <c r="F196" s="45"/>
      <c r="G196" s="45">
        <v>3606.6263384778595</v>
      </c>
      <c r="H196" s="45">
        <v>16407.327882969817</v>
      </c>
      <c r="I196" s="45">
        <v>27353.318858447128</v>
      </c>
      <c r="J196" s="45">
        <v>22545.700511126681</v>
      </c>
      <c r="K196" s="45">
        <v>14991.707169560979</v>
      </c>
      <c r="L196" s="45">
        <v>16277.671208810432</v>
      </c>
      <c r="M196" s="45">
        <v>5299.2042133431032</v>
      </c>
    </row>
    <row r="197" spans="1:13">
      <c r="A197" s="34" t="s">
        <v>308</v>
      </c>
      <c r="B197" s="45">
        <v>57985.659768517668</v>
      </c>
      <c r="D197" s="45">
        <v>42003.772448434102</v>
      </c>
      <c r="E197" s="45">
        <v>14454.092846847045</v>
      </c>
      <c r="F197" s="45"/>
      <c r="G197" s="45">
        <v>5385.8090515222393</v>
      </c>
      <c r="H197" s="45">
        <v>15488.429798698218</v>
      </c>
      <c r="I197" s="45">
        <v>17748.840117788266</v>
      </c>
      <c r="J197" s="45">
        <v>13855.270068026895</v>
      </c>
      <c r="K197" s="45">
        <v>2979.5906569562612</v>
      </c>
      <c r="L197" s="45">
        <v>1834.9712417264861</v>
      </c>
      <c r="M197" s="45">
        <v>692.74883379927269</v>
      </c>
    </row>
    <row r="198" spans="1:13">
      <c r="A198" s="34" t="s">
        <v>309</v>
      </c>
      <c r="B198" s="45">
        <v>13827.034629742866</v>
      </c>
      <c r="D198" s="45">
        <v>8363.3372113768582</v>
      </c>
      <c r="E198" s="45">
        <v>5463.6974183660068</v>
      </c>
      <c r="F198" s="45"/>
      <c r="G198" s="45">
        <v>3644.1606725258534</v>
      </c>
      <c r="H198" s="45">
        <v>3333.6052892714119</v>
      </c>
      <c r="I198" s="45">
        <v>1936.2697928007647</v>
      </c>
      <c r="J198" s="45">
        <v>1692.410329976748</v>
      </c>
      <c r="K198" s="45">
        <v>1667.439344471376</v>
      </c>
      <c r="L198" s="45">
        <v>526.7808267085278</v>
      </c>
      <c r="M198" s="45">
        <v>1026.3683739881822</v>
      </c>
    </row>
    <row r="199" spans="1:13">
      <c r="A199" s="34" t="s">
        <v>310</v>
      </c>
      <c r="B199" s="45">
        <v>283394.67159540276</v>
      </c>
      <c r="D199" s="45">
        <v>215998.56422731534</v>
      </c>
      <c r="E199" s="45">
        <v>66070.031367187694</v>
      </c>
      <c r="F199" s="45"/>
      <c r="G199" s="45">
        <v>10947.671886359894</v>
      </c>
      <c r="H199" s="45">
        <v>18458.78315175388</v>
      </c>
      <c r="I199" s="45">
        <v>44091.589402016121</v>
      </c>
      <c r="J199" s="45">
        <v>41797.366935923041</v>
      </c>
      <c r="K199" s="45">
        <v>59368.302952437349</v>
      </c>
      <c r="L199" s="45">
        <v>54739.19079364049</v>
      </c>
      <c r="M199" s="45">
        <v>53991.766473271797</v>
      </c>
    </row>
    <row r="200" spans="1:13">
      <c r="A200" s="34" t="s">
        <v>311</v>
      </c>
      <c r="B200" s="45">
        <v>7034721.2915836405</v>
      </c>
      <c r="D200" s="45">
        <v>3295705.0621383078</v>
      </c>
      <c r="E200" s="45">
        <v>3709387.9154041205</v>
      </c>
      <c r="F200" s="45"/>
      <c r="G200" s="45">
        <v>314711.15442702739</v>
      </c>
      <c r="H200" s="45">
        <v>952692.34075694729</v>
      </c>
      <c r="I200" s="45">
        <v>1580448.9580523747</v>
      </c>
      <c r="J200" s="45">
        <v>1278721.9550518442</v>
      </c>
      <c r="K200" s="45">
        <v>1008481.639478113</v>
      </c>
      <c r="L200" s="45">
        <v>823868.1148375934</v>
      </c>
      <c r="M200" s="45">
        <v>1075797.1289796291</v>
      </c>
    </row>
    <row r="201" spans="1:13">
      <c r="A201" s="34" t="s">
        <v>312</v>
      </c>
      <c r="B201" s="45">
        <v>2088.461219706227</v>
      </c>
      <c r="D201" s="45">
        <v>1523.5594092787128</v>
      </c>
      <c r="E201" s="45">
        <v>564.90181042751396</v>
      </c>
      <c r="F201" s="45"/>
      <c r="G201" s="45">
        <v>0</v>
      </c>
      <c r="H201" s="45">
        <v>552.96651133609021</v>
      </c>
      <c r="I201" s="45">
        <v>1034.1613662046557</v>
      </c>
      <c r="J201" s="45">
        <v>501.33334216548093</v>
      </c>
      <c r="K201" s="45">
        <v>0</v>
      </c>
      <c r="L201" s="45">
        <v>0</v>
      </c>
      <c r="M201" s="45">
        <v>0</v>
      </c>
    </row>
    <row r="202" spans="1:13">
      <c r="A202" s="34" t="s">
        <v>313</v>
      </c>
      <c r="B202" s="45">
        <v>55406.634274980999</v>
      </c>
      <c r="D202" s="45">
        <v>34356.471177637388</v>
      </c>
      <c r="E202" s="45">
        <v>20565.378755010945</v>
      </c>
      <c r="F202" s="45"/>
      <c r="G202" s="45">
        <v>4886.4147707720458</v>
      </c>
      <c r="H202" s="45">
        <v>13158.80718604211</v>
      </c>
      <c r="I202" s="45">
        <v>16342.394828300221</v>
      </c>
      <c r="J202" s="45">
        <v>10642.902786788878</v>
      </c>
      <c r="K202" s="45">
        <v>5070.7878909979954</v>
      </c>
      <c r="L202" s="45">
        <v>3910.1898760596055</v>
      </c>
      <c r="M202" s="45">
        <v>1395.1369360201497</v>
      </c>
    </row>
    <row r="203" spans="1:13">
      <c r="A203" s="34" t="s">
        <v>314</v>
      </c>
      <c r="B203" s="45">
        <v>1233985.3869630361</v>
      </c>
      <c r="D203" s="45">
        <v>956910.53222883749</v>
      </c>
      <c r="E203" s="45">
        <v>273459.19273943052</v>
      </c>
      <c r="F203" s="45"/>
      <c r="G203" s="45">
        <v>181202.17443822042</v>
      </c>
      <c r="H203" s="45">
        <v>300131.46586656693</v>
      </c>
      <c r="I203" s="45">
        <v>347274.3485731986</v>
      </c>
      <c r="J203" s="45">
        <v>250092.3203582094</v>
      </c>
      <c r="K203" s="45">
        <v>115529.55907770456</v>
      </c>
      <c r="L203" s="45">
        <v>34266.86121299224</v>
      </c>
      <c r="M203" s="45">
        <v>5488.6574361469166</v>
      </c>
    </row>
    <row r="204" spans="1:13">
      <c r="A204" s="34" t="s">
        <v>315</v>
      </c>
      <c r="B204" s="45">
        <v>10833.579209941978</v>
      </c>
      <c r="D204" s="45">
        <v>8685.6170629285007</v>
      </c>
      <c r="E204" s="45">
        <v>2147.9621470134798</v>
      </c>
      <c r="F204" s="45"/>
      <c r="G204" s="45">
        <v>0</v>
      </c>
      <c r="H204" s="45">
        <v>1602.3801551929059</v>
      </c>
      <c r="I204" s="45">
        <v>7446.8601872395739</v>
      </c>
      <c r="J204" s="45">
        <v>0</v>
      </c>
      <c r="K204" s="45">
        <v>1784.3388675094984</v>
      </c>
      <c r="L204" s="45">
        <v>0</v>
      </c>
      <c r="M204" s="45">
        <v>0</v>
      </c>
    </row>
    <row r="205" spans="1:13">
      <c r="A205" s="34" t="s">
        <v>316</v>
      </c>
      <c r="B205" s="45">
        <v>5149.2395928988144</v>
      </c>
      <c r="D205" s="45">
        <v>2683.9454122817474</v>
      </c>
      <c r="E205" s="45">
        <v>2465.2941806170675</v>
      </c>
      <c r="F205" s="45"/>
      <c r="G205" s="45">
        <v>0</v>
      </c>
      <c r="H205" s="45">
        <v>1175.5588572492434</v>
      </c>
      <c r="I205" s="45">
        <v>0</v>
      </c>
      <c r="J205" s="45">
        <v>1525.9174248043607</v>
      </c>
      <c r="K205" s="45">
        <v>501.60226318287954</v>
      </c>
      <c r="L205" s="45">
        <v>1946.1610476623305</v>
      </c>
      <c r="M205" s="45">
        <v>0</v>
      </c>
    </row>
    <row r="206" spans="1:13">
      <c r="A206" s="34" t="s">
        <v>317</v>
      </c>
      <c r="B206" s="45">
        <v>3827.5374292870174</v>
      </c>
      <c r="D206" s="45">
        <v>3453.3710467131577</v>
      </c>
      <c r="E206" s="45">
        <v>374.16638257385932</v>
      </c>
      <c r="F206" s="45"/>
      <c r="G206" s="45">
        <v>1686.4206408888419</v>
      </c>
      <c r="H206" s="45">
        <v>374.16638257385932</v>
      </c>
      <c r="I206" s="45">
        <v>1133.9669093682423</v>
      </c>
      <c r="J206" s="45">
        <v>632.98349645607323</v>
      </c>
      <c r="K206" s="45">
        <v>0</v>
      </c>
      <c r="L206" s="45">
        <v>0</v>
      </c>
      <c r="M206" s="45">
        <v>0</v>
      </c>
    </row>
    <row r="207" spans="1:13">
      <c r="A207" s="34" t="s">
        <v>318</v>
      </c>
      <c r="B207" s="45">
        <v>1065300.2752739354</v>
      </c>
      <c r="D207" s="45">
        <v>852801.25980327302</v>
      </c>
      <c r="E207" s="45">
        <v>208064.53426292472</v>
      </c>
      <c r="F207" s="45"/>
      <c r="G207" s="45">
        <v>21571.280604647</v>
      </c>
      <c r="H207" s="45">
        <v>73680.903448180354</v>
      </c>
      <c r="I207" s="45">
        <v>152911.72480260045</v>
      </c>
      <c r="J207" s="45">
        <v>120428.61633934903</v>
      </c>
      <c r="K207" s="45">
        <v>165157.72580206057</v>
      </c>
      <c r="L207" s="45">
        <v>220348.43778433226</v>
      </c>
      <c r="M207" s="45">
        <v>311201.58649276721</v>
      </c>
    </row>
    <row r="208" spans="1:13">
      <c r="A208" s="34" t="s">
        <v>319</v>
      </c>
      <c r="B208" s="45">
        <v>11657.538628947443</v>
      </c>
      <c r="D208" s="45">
        <v>8869.4560123389601</v>
      </c>
      <c r="E208" s="45">
        <v>2788.0826166084835</v>
      </c>
      <c r="F208" s="45"/>
      <c r="G208" s="45">
        <v>0</v>
      </c>
      <c r="H208" s="45">
        <v>4749.2231443231076</v>
      </c>
      <c r="I208" s="45">
        <v>3849.1764107358226</v>
      </c>
      <c r="J208" s="45">
        <v>1687.3293375865928</v>
      </c>
      <c r="K208" s="45">
        <v>914.89008066903148</v>
      </c>
      <c r="L208" s="45">
        <v>456.91965563288994</v>
      </c>
      <c r="M208" s="45">
        <v>0</v>
      </c>
    </row>
    <row r="209" spans="1:13">
      <c r="A209" s="34" t="s">
        <v>320</v>
      </c>
      <c r="B209" s="45">
        <v>1482.3897205859664</v>
      </c>
      <c r="D209" s="45">
        <v>580.74995948905553</v>
      </c>
      <c r="E209" s="45">
        <v>901.63976109691112</v>
      </c>
      <c r="F209" s="45"/>
      <c r="G209" s="45">
        <v>0</v>
      </c>
      <c r="H209" s="45">
        <v>580.74995948905553</v>
      </c>
      <c r="I209" s="45">
        <v>348.37584586572149</v>
      </c>
      <c r="J209" s="45">
        <v>0</v>
      </c>
      <c r="K209" s="45">
        <v>553.26391523118957</v>
      </c>
      <c r="L209" s="45">
        <v>0</v>
      </c>
      <c r="M209" s="45">
        <v>0</v>
      </c>
    </row>
    <row r="210" spans="1:13">
      <c r="A210" s="34" t="s">
        <v>321</v>
      </c>
      <c r="B210" s="45">
        <v>124669.335769224</v>
      </c>
      <c r="D210" s="45">
        <v>44266.321372545754</v>
      </c>
      <c r="E210" s="45">
        <v>78946.885054915387</v>
      </c>
      <c r="F210" s="45"/>
      <c r="G210" s="45">
        <v>22203.923642401365</v>
      </c>
      <c r="H210" s="45">
        <v>28720.97079845356</v>
      </c>
      <c r="I210" s="45">
        <v>29612.32814924862</v>
      </c>
      <c r="J210" s="45">
        <v>27820.101923379581</v>
      </c>
      <c r="K210" s="45">
        <v>7963.6908252894145</v>
      </c>
      <c r="L210" s="45">
        <v>3688.4723653028377</v>
      </c>
      <c r="M210" s="45">
        <v>4659.8480651485597</v>
      </c>
    </row>
    <row r="211" spans="1:13">
      <c r="A211" s="34" t="s">
        <v>322</v>
      </c>
      <c r="B211" s="45">
        <v>31769.487813569245</v>
      </c>
      <c r="D211" s="45">
        <v>19623.928842619243</v>
      </c>
      <c r="E211" s="45">
        <v>12145.55897095</v>
      </c>
      <c r="F211" s="45"/>
      <c r="G211" s="45">
        <v>10786.620251270338</v>
      </c>
      <c r="H211" s="45">
        <v>8440.827036663195</v>
      </c>
      <c r="I211" s="45">
        <v>6467.5950024468857</v>
      </c>
      <c r="J211" s="45">
        <v>3539.2717422257933</v>
      </c>
      <c r="K211" s="45">
        <v>2108.9308688080532</v>
      </c>
      <c r="L211" s="45">
        <v>0</v>
      </c>
      <c r="M211" s="45">
        <v>426.24291215498477</v>
      </c>
    </row>
    <row r="212" spans="1:13">
      <c r="A212" s="34" t="s">
        <v>323</v>
      </c>
      <c r="B212" s="45">
        <v>2753.3343845291747</v>
      </c>
      <c r="D212" s="45">
        <v>2190.8518916636212</v>
      </c>
      <c r="E212" s="45">
        <v>562.48249286555335</v>
      </c>
      <c r="F212" s="45"/>
      <c r="G212" s="45">
        <v>0</v>
      </c>
      <c r="H212" s="45">
        <v>560.80158686892753</v>
      </c>
      <c r="I212" s="45">
        <v>0</v>
      </c>
      <c r="J212" s="45">
        <v>1098.2447849113594</v>
      </c>
      <c r="K212" s="45">
        <v>1094.2880127488877</v>
      </c>
      <c r="L212" s="45">
        <v>0</v>
      </c>
      <c r="M212" s="45">
        <v>0</v>
      </c>
    </row>
    <row r="213" spans="1:13">
      <c r="A213" s="34" t="s">
        <v>324</v>
      </c>
      <c r="B213" s="45">
        <v>108037.15545511156</v>
      </c>
      <c r="D213" s="45">
        <v>55445.116439472018</v>
      </c>
      <c r="E213" s="45">
        <v>52089.604805143594</v>
      </c>
      <c r="F213" s="45"/>
      <c r="G213" s="45">
        <v>11279.430535682273</v>
      </c>
      <c r="H213" s="45">
        <v>24238.251980853314</v>
      </c>
      <c r="I213" s="45">
        <v>20642.55575371972</v>
      </c>
      <c r="J213" s="45">
        <v>23550.75308171329</v>
      </c>
      <c r="K213" s="45">
        <v>14417.3029313721</v>
      </c>
      <c r="L213" s="45">
        <v>11768.050191772663</v>
      </c>
      <c r="M213" s="45">
        <v>2140.8109799981717</v>
      </c>
    </row>
    <row r="214" spans="1:13">
      <c r="A214" s="34" t="s">
        <v>325</v>
      </c>
      <c r="B214" s="45">
        <v>8326.6886641228975</v>
      </c>
      <c r="D214" s="45">
        <v>3194.1917531212539</v>
      </c>
      <c r="E214" s="45">
        <v>5132.4969110016427</v>
      </c>
      <c r="F214" s="45"/>
      <c r="G214" s="45">
        <v>1793.3968020992338</v>
      </c>
      <c r="H214" s="45">
        <v>0</v>
      </c>
      <c r="I214" s="45">
        <v>2157.2345476372911</v>
      </c>
      <c r="J214" s="45">
        <v>3030.439316508985</v>
      </c>
      <c r="K214" s="45">
        <v>997.61501346053888</v>
      </c>
      <c r="L214" s="45">
        <v>0</v>
      </c>
      <c r="M214" s="45">
        <v>348.00298441684737</v>
      </c>
    </row>
    <row r="215" spans="1:13">
      <c r="A215" s="34" t="s">
        <v>326</v>
      </c>
      <c r="B215" s="45">
        <v>14579.932937134092</v>
      </c>
      <c r="D215" s="45">
        <v>9833.2897171364802</v>
      </c>
      <c r="E215" s="45">
        <v>4746.6432199976116</v>
      </c>
      <c r="F215" s="45"/>
      <c r="G215" s="45">
        <v>3570.2412813772448</v>
      </c>
      <c r="H215" s="45">
        <v>3559.5221123038591</v>
      </c>
      <c r="I215" s="45">
        <v>1034.2874869666011</v>
      </c>
      <c r="J215" s="45">
        <v>4012.2920090747057</v>
      </c>
      <c r="K215" s="45">
        <v>973.77942406406567</v>
      </c>
      <c r="L215" s="45">
        <v>1429.810623347614</v>
      </c>
      <c r="M215" s="45">
        <v>0</v>
      </c>
    </row>
    <row r="216" spans="1:13">
      <c r="A216" s="34" t="s">
        <v>327</v>
      </c>
      <c r="B216" s="45">
        <v>2614.1600831127403</v>
      </c>
      <c r="D216" s="45">
        <v>1639.9457675988165</v>
      </c>
      <c r="E216" s="45">
        <v>974.21431551392357</v>
      </c>
      <c r="F216" s="45"/>
      <c r="G216" s="45">
        <v>0</v>
      </c>
      <c r="H216" s="45">
        <v>1079.0262136263259</v>
      </c>
      <c r="I216" s="45">
        <v>0</v>
      </c>
      <c r="J216" s="45">
        <v>0</v>
      </c>
      <c r="K216" s="45">
        <v>1535.1338694864141</v>
      </c>
      <c r="L216" s="45">
        <v>0</v>
      </c>
      <c r="M216" s="45">
        <v>0</v>
      </c>
    </row>
    <row r="217" spans="1:13">
      <c r="A217" s="34" t="s">
        <v>328</v>
      </c>
      <c r="B217" s="45">
        <v>51003.108765180863</v>
      </c>
      <c r="D217" s="45">
        <v>17972.506522438733</v>
      </c>
      <c r="E217" s="45">
        <v>32671.938750785659</v>
      </c>
      <c r="F217" s="45"/>
      <c r="G217" s="45">
        <v>14744.785008035818</v>
      </c>
      <c r="H217" s="45">
        <v>12497.668904424581</v>
      </c>
      <c r="I217" s="45">
        <v>6079.0719793085918</v>
      </c>
      <c r="J217" s="45">
        <v>10082.718714696866</v>
      </c>
      <c r="K217" s="45">
        <v>4389.5437396397956</v>
      </c>
      <c r="L217" s="45">
        <v>3209.3204190752172</v>
      </c>
      <c r="M217" s="45">
        <v>0</v>
      </c>
    </row>
    <row r="218" spans="1:13">
      <c r="A218" s="34" t="s">
        <v>329</v>
      </c>
      <c r="B218" s="45">
        <v>17166.839234733307</v>
      </c>
      <c r="D218" s="45">
        <v>11495.715409268725</v>
      </c>
      <c r="E218" s="45">
        <v>5118.4611374197048</v>
      </c>
      <c r="F218" s="45"/>
      <c r="G218" s="45">
        <v>0</v>
      </c>
      <c r="H218" s="45">
        <v>1579.0989094540073</v>
      </c>
      <c r="I218" s="45">
        <v>4782.2655982935976</v>
      </c>
      <c r="J218" s="45">
        <v>3895.1757802218403</v>
      </c>
      <c r="K218" s="45">
        <v>3212.5335691616679</v>
      </c>
      <c r="L218" s="45">
        <v>2432.3651861077092</v>
      </c>
      <c r="M218" s="45">
        <v>1265.4001914944822</v>
      </c>
    </row>
    <row r="219" spans="1:13">
      <c r="A219" s="34" t="s">
        <v>330</v>
      </c>
      <c r="B219" s="45">
        <v>11795.993825503871</v>
      </c>
      <c r="D219" s="45">
        <v>6446.5635017949226</v>
      </c>
      <c r="E219" s="45">
        <v>5349.4303237089471</v>
      </c>
      <c r="F219" s="45"/>
      <c r="G219" s="45">
        <v>1940.905940983962</v>
      </c>
      <c r="H219" s="45">
        <v>3882.3609360749656</v>
      </c>
      <c r="I219" s="45">
        <v>1635.0588027671679</v>
      </c>
      <c r="J219" s="45">
        <v>1801.3370151511385</v>
      </c>
      <c r="K219" s="45">
        <v>1110.9149035088055</v>
      </c>
      <c r="L219" s="45">
        <v>1042.2952160084124</v>
      </c>
      <c r="M219" s="45">
        <v>383.12101100941817</v>
      </c>
    </row>
    <row r="220" spans="1:13">
      <c r="A220" s="34" t="s">
        <v>331</v>
      </c>
      <c r="B220" s="45">
        <v>40978.026679295501</v>
      </c>
      <c r="D220" s="45">
        <v>33249.801482432238</v>
      </c>
      <c r="E220" s="45">
        <v>7728.2251968632627</v>
      </c>
      <c r="F220" s="45"/>
      <c r="G220" s="45">
        <v>1472.7544148940417</v>
      </c>
      <c r="H220" s="45">
        <v>5041.748631089753</v>
      </c>
      <c r="I220" s="45">
        <v>15422.475641703886</v>
      </c>
      <c r="J220" s="45">
        <v>14740.66898025593</v>
      </c>
      <c r="K220" s="45">
        <v>3425.2879257170844</v>
      </c>
      <c r="L220" s="45">
        <v>488.73132007987397</v>
      </c>
      <c r="M220" s="45">
        <v>386.35976555492527</v>
      </c>
    </row>
    <row r="221" spans="1:13">
      <c r="A221" s="34" t="s">
        <v>332</v>
      </c>
      <c r="B221" s="45">
        <v>41059.818290787698</v>
      </c>
      <c r="D221" s="45">
        <v>20433.812313848626</v>
      </c>
      <c r="E221" s="45">
        <v>19586.830174304701</v>
      </c>
      <c r="F221" s="45"/>
      <c r="G221" s="45">
        <v>1472.7544148940417</v>
      </c>
      <c r="H221" s="45">
        <v>10284.028100967427</v>
      </c>
      <c r="I221" s="45">
        <v>3464.4932248040791</v>
      </c>
      <c r="J221" s="45">
        <v>10314.291747405368</v>
      </c>
      <c r="K221" s="45">
        <v>7626.2904814987432</v>
      </c>
      <c r="L221" s="45">
        <v>5675.7276932538498</v>
      </c>
      <c r="M221" s="45">
        <v>2222.2326279641948</v>
      </c>
    </row>
    <row r="222" spans="1:13">
      <c r="A222" s="34" t="s">
        <v>333</v>
      </c>
      <c r="B222" s="45">
        <v>3422.9000096389782</v>
      </c>
      <c r="D222" s="45">
        <v>2851.4949281345293</v>
      </c>
      <c r="E222" s="45">
        <v>571.40508150444884</v>
      </c>
      <c r="F222" s="45"/>
      <c r="G222" s="45">
        <v>0</v>
      </c>
      <c r="H222" s="45">
        <v>532.20996220221821</v>
      </c>
      <c r="I222" s="45">
        <v>1068.4743598815458</v>
      </c>
      <c r="J222" s="45">
        <v>1239.1670801062219</v>
      </c>
      <c r="K222" s="45">
        <v>583.04860744899258</v>
      </c>
      <c r="L222" s="45">
        <v>0</v>
      </c>
      <c r="M222" s="45">
        <v>0</v>
      </c>
    </row>
    <row r="223" spans="1:13">
      <c r="A223" s="34" t="s">
        <v>334</v>
      </c>
      <c r="B223" s="45">
        <v>3999.6364739208666</v>
      </c>
      <c r="D223" s="45">
        <v>2860.6619935936096</v>
      </c>
      <c r="E223" s="45">
        <v>1138.9744803272561</v>
      </c>
      <c r="F223" s="45"/>
      <c r="G223" s="45">
        <v>0</v>
      </c>
      <c r="H223" s="45">
        <v>0</v>
      </c>
      <c r="I223" s="45">
        <v>0</v>
      </c>
      <c r="J223" s="45">
        <v>1082.0475974535063</v>
      </c>
      <c r="K223" s="45">
        <v>528.60700284010625</v>
      </c>
      <c r="L223" s="45">
        <v>2388.9818736272532</v>
      </c>
      <c r="M223" s="45">
        <v>0</v>
      </c>
    </row>
    <row r="224" spans="1:13">
      <c r="A224" s="34" t="s">
        <v>335</v>
      </c>
      <c r="B224" s="45">
        <v>571.40508150444884</v>
      </c>
      <c r="D224" s="45">
        <v>0</v>
      </c>
      <c r="E224" s="45">
        <v>571.40508150444884</v>
      </c>
      <c r="F224" s="45"/>
      <c r="G224" s="45">
        <v>0</v>
      </c>
      <c r="H224" s="45">
        <v>0</v>
      </c>
      <c r="I224" s="45">
        <v>571.40508150444884</v>
      </c>
      <c r="J224" s="45">
        <v>0</v>
      </c>
      <c r="K224" s="45">
        <v>0</v>
      </c>
      <c r="L224" s="45">
        <v>0</v>
      </c>
      <c r="M224" s="45">
        <v>0</v>
      </c>
    </row>
    <row r="225" spans="1:13">
      <c r="A225" s="34" t="s">
        <v>336</v>
      </c>
      <c r="B225" s="45">
        <v>2026.5329638434689</v>
      </c>
      <c r="D225" s="45">
        <v>1541.7486215107983</v>
      </c>
      <c r="E225" s="45">
        <v>484.78434233267041</v>
      </c>
      <c r="F225" s="45"/>
      <c r="G225" s="45">
        <v>0</v>
      </c>
      <c r="H225" s="45">
        <v>484.78434233267041</v>
      </c>
      <c r="I225" s="45">
        <v>0</v>
      </c>
      <c r="J225" s="45">
        <v>567.44534424564142</v>
      </c>
      <c r="K225" s="45">
        <v>521.95097362648971</v>
      </c>
      <c r="L225" s="45">
        <v>452.35230363866725</v>
      </c>
      <c r="M225" s="45">
        <v>0</v>
      </c>
    </row>
    <row r="226" spans="1:13">
      <c r="A226" s="34" t="s">
        <v>337</v>
      </c>
      <c r="B226" s="45">
        <v>7724.0967464067007</v>
      </c>
      <c r="D226" s="45">
        <v>3049.9229623723681</v>
      </c>
      <c r="E226" s="45">
        <v>4674.1737840343321</v>
      </c>
      <c r="F226" s="45"/>
      <c r="G226" s="45">
        <v>3731.9490362530478</v>
      </c>
      <c r="H226" s="45">
        <v>1040.0201422484884</v>
      </c>
      <c r="I226" s="45">
        <v>0</v>
      </c>
      <c r="J226" s="45">
        <v>558.67924333844962</v>
      </c>
      <c r="K226" s="45">
        <v>1892.0549579550498</v>
      </c>
      <c r="L226" s="45">
        <v>501.39336661166521</v>
      </c>
      <c r="M226" s="45">
        <v>0</v>
      </c>
    </row>
    <row r="227" spans="1:13">
      <c r="A227" s="34" t="s">
        <v>338</v>
      </c>
      <c r="B227" s="45">
        <v>0</v>
      </c>
      <c r="D227" s="45">
        <v>0</v>
      </c>
      <c r="E227" s="45">
        <v>0</v>
      </c>
      <c r="F227" s="45"/>
      <c r="G227" s="45">
        <v>0</v>
      </c>
      <c r="H227" s="45">
        <v>0</v>
      </c>
      <c r="I227" s="45">
        <v>0</v>
      </c>
      <c r="J227" s="45">
        <v>0</v>
      </c>
      <c r="K227" s="45">
        <v>0</v>
      </c>
      <c r="L227" s="45">
        <v>0</v>
      </c>
      <c r="M227" s="45">
        <v>0</v>
      </c>
    </row>
    <row r="228" spans="1:13">
      <c r="A228" s="34" t="s">
        <v>339</v>
      </c>
      <c r="B228" s="45">
        <v>30129.981059853049</v>
      </c>
      <c r="D228" s="45">
        <v>25394.706356618633</v>
      </c>
      <c r="E228" s="45">
        <v>4232.8404927384681</v>
      </c>
      <c r="F228" s="45"/>
      <c r="G228" s="45">
        <v>4002.8005126232592</v>
      </c>
      <c r="H228" s="45">
        <v>5483.0259573234707</v>
      </c>
      <c r="I228" s="45">
        <v>4607.5389980079226</v>
      </c>
      <c r="J228" s="45">
        <v>4500.7989912694384</v>
      </c>
      <c r="K228" s="45">
        <v>4815.5583177622721</v>
      </c>
      <c r="L228" s="45">
        <v>3930.6859748411289</v>
      </c>
      <c r="M228" s="45">
        <v>2789.5723080255484</v>
      </c>
    </row>
    <row r="229" spans="1:13">
      <c r="A229" s="34" t="s">
        <v>340</v>
      </c>
      <c r="B229" s="45">
        <v>479.79664565298168</v>
      </c>
      <c r="D229" s="45">
        <v>0</v>
      </c>
      <c r="E229" s="45">
        <v>479.79664565298168</v>
      </c>
      <c r="F229" s="45"/>
      <c r="G229" s="45">
        <v>0</v>
      </c>
      <c r="H229" s="45">
        <v>0</v>
      </c>
      <c r="I229" s="45">
        <v>479.79664565298168</v>
      </c>
      <c r="J229" s="45">
        <v>0</v>
      </c>
      <c r="K229" s="45">
        <v>0</v>
      </c>
      <c r="L229" s="45">
        <v>0</v>
      </c>
      <c r="M229" s="45">
        <v>0</v>
      </c>
    </row>
    <row r="230" spans="1:13">
      <c r="A230" s="34" t="s">
        <v>341</v>
      </c>
      <c r="B230" s="45">
        <v>1749.6193872389713</v>
      </c>
      <c r="D230" s="45">
        <v>525.15852195302807</v>
      </c>
      <c r="E230" s="45">
        <v>1224.4608652859433</v>
      </c>
      <c r="F230" s="45"/>
      <c r="G230" s="45">
        <v>0</v>
      </c>
      <c r="H230" s="45">
        <v>525.15852195302807</v>
      </c>
      <c r="I230" s="45">
        <v>0</v>
      </c>
      <c r="J230" s="45">
        <v>580.40902918312838</v>
      </c>
      <c r="K230" s="45">
        <v>644.05183610281483</v>
      </c>
      <c r="L230" s="45">
        <v>0</v>
      </c>
      <c r="M230" s="45">
        <v>0</v>
      </c>
    </row>
    <row r="231" spans="1:13">
      <c r="A231" s="34" t="s">
        <v>342</v>
      </c>
      <c r="B231" s="45">
        <v>126791.20851977023</v>
      </c>
      <c r="D231" s="45">
        <v>49419.880861384787</v>
      </c>
      <c r="E231" s="45">
        <v>76955.393160621534</v>
      </c>
      <c r="F231" s="45"/>
      <c r="G231" s="45">
        <v>6610.2660114329992</v>
      </c>
      <c r="H231" s="45">
        <v>13961.082300496946</v>
      </c>
      <c r="I231" s="45">
        <v>16108.820811084155</v>
      </c>
      <c r="J231" s="45">
        <v>11733.018056090383</v>
      </c>
      <c r="K231" s="45">
        <v>17985.080288982565</v>
      </c>
      <c r="L231" s="45">
        <v>13877.040267025139</v>
      </c>
      <c r="M231" s="45">
        <v>46515.900784658006</v>
      </c>
    </row>
    <row r="232" spans="1:13">
      <c r="A232" s="34" t="s">
        <v>343</v>
      </c>
      <c r="B232" s="45">
        <v>14599.068665602845</v>
      </c>
      <c r="D232" s="45">
        <v>9585.9624340267255</v>
      </c>
      <c r="E232" s="45">
        <v>5013.1062315761192</v>
      </c>
      <c r="F232" s="45"/>
      <c r="G232" s="45">
        <v>0</v>
      </c>
      <c r="H232" s="45">
        <v>4932.3439358853302</v>
      </c>
      <c r="I232" s="45">
        <v>5626.1472136194534</v>
      </c>
      <c r="J232" s="45">
        <v>2032.4992441712523</v>
      </c>
      <c r="K232" s="45">
        <v>2008.0782719268088</v>
      </c>
      <c r="L232" s="45">
        <v>0</v>
      </c>
      <c r="M232" s="45">
        <v>0</v>
      </c>
    </row>
    <row r="233" spans="1:13">
      <c r="A233" s="34" t="s">
        <v>344</v>
      </c>
      <c r="B233" s="45">
        <v>542.40428361442548</v>
      </c>
      <c r="D233" s="45">
        <v>542.40428361442548</v>
      </c>
      <c r="E233" s="45">
        <v>0</v>
      </c>
      <c r="F233" s="45"/>
      <c r="G233" s="45">
        <v>0</v>
      </c>
      <c r="H233" s="45">
        <v>0</v>
      </c>
      <c r="I233" s="45">
        <v>542.40428361442548</v>
      </c>
      <c r="J233" s="45">
        <v>0</v>
      </c>
      <c r="K233" s="45">
        <v>0</v>
      </c>
      <c r="L233" s="45">
        <v>0</v>
      </c>
      <c r="M233" s="45">
        <v>0</v>
      </c>
    </row>
    <row r="234" spans="1:13">
      <c r="A234" s="34" t="s">
        <v>345</v>
      </c>
      <c r="B234" s="45">
        <v>236338.86036435177</v>
      </c>
      <c r="D234" s="45">
        <v>168972.15848677154</v>
      </c>
      <c r="E234" s="45">
        <v>66289.122764802742</v>
      </c>
      <c r="F234" s="45"/>
      <c r="G234" s="45">
        <v>16284.720794331624</v>
      </c>
      <c r="H234" s="45">
        <v>30831.447646065892</v>
      </c>
      <c r="I234" s="45">
        <v>56366.817918576693</v>
      </c>
      <c r="J234" s="45">
        <v>38650.269750829313</v>
      </c>
      <c r="K234" s="45">
        <v>36586.800682780522</v>
      </c>
      <c r="L234" s="45">
        <v>38216.967703265007</v>
      </c>
      <c r="M234" s="45">
        <v>19401.835868502785</v>
      </c>
    </row>
    <row r="235" spans="1:13">
      <c r="A235" s="34" t="s">
        <v>346</v>
      </c>
      <c r="B235" s="45">
        <v>56806.017072982897</v>
      </c>
      <c r="D235" s="45">
        <v>44557.905823226516</v>
      </c>
      <c r="E235" s="45">
        <v>11895.042903531306</v>
      </c>
      <c r="F235" s="45"/>
      <c r="G235" s="45">
        <v>4955.6758116634555</v>
      </c>
      <c r="H235" s="45">
        <v>10336.012406174736</v>
      </c>
      <c r="I235" s="45">
        <v>16217.734848620803</v>
      </c>
      <c r="J235" s="45">
        <v>9978.8483763763452</v>
      </c>
      <c r="K235" s="45">
        <v>7947.0331212505662</v>
      </c>
      <c r="L235" s="45">
        <v>5543.8566562773467</v>
      </c>
      <c r="M235" s="45">
        <v>1826.8558526196136</v>
      </c>
    </row>
    <row r="236" spans="1:13">
      <c r="A236" s="34" t="s">
        <v>347</v>
      </c>
      <c r="B236" s="45">
        <v>167547.47223428841</v>
      </c>
      <c r="D236" s="45">
        <v>125375.61590674827</v>
      </c>
      <c r="E236" s="45">
        <v>41015.525200141921</v>
      </c>
      <c r="F236" s="45"/>
      <c r="G236" s="45">
        <v>17872.517119000822</v>
      </c>
      <c r="H236" s="45">
        <v>11702.737983946223</v>
      </c>
      <c r="I236" s="45">
        <v>27037.669416568911</v>
      </c>
      <c r="J236" s="45">
        <v>35056.216486550758</v>
      </c>
      <c r="K236" s="45">
        <v>38555.17080950176</v>
      </c>
      <c r="L236" s="45">
        <v>28795.283049030877</v>
      </c>
      <c r="M236" s="45">
        <v>8527.8773696889803</v>
      </c>
    </row>
    <row r="237" spans="1:13">
      <c r="A237" s="34" t="s">
        <v>348</v>
      </c>
      <c r="B237" s="45">
        <v>31500.414662152576</v>
      </c>
      <c r="D237" s="45">
        <v>17492.525456994077</v>
      </c>
      <c r="E237" s="45">
        <v>14007.889205158493</v>
      </c>
      <c r="F237" s="45"/>
      <c r="G237" s="45">
        <v>1837.7020729769417</v>
      </c>
      <c r="H237" s="45">
        <v>4570.0182364639295</v>
      </c>
      <c r="I237" s="45">
        <v>7551.8777588035155</v>
      </c>
      <c r="J237" s="45">
        <v>6962.3775514544586</v>
      </c>
      <c r="K237" s="45">
        <v>6065.6475701807676</v>
      </c>
      <c r="L237" s="45">
        <v>2733.1460986999232</v>
      </c>
      <c r="M237" s="45">
        <v>1779.6453735730358</v>
      </c>
    </row>
    <row r="238" spans="1:13">
      <c r="A238" s="34" t="s">
        <v>349</v>
      </c>
      <c r="B238" s="45">
        <v>30386.924389412157</v>
      </c>
      <c r="D238" s="45">
        <v>16633.875136627405</v>
      </c>
      <c r="E238" s="45">
        <v>13753.049252784747</v>
      </c>
      <c r="F238" s="45"/>
      <c r="G238" s="45">
        <v>2108.7544649934875</v>
      </c>
      <c r="H238" s="45">
        <v>9769.7595874104209</v>
      </c>
      <c r="I238" s="45">
        <v>11825.397680963168</v>
      </c>
      <c r="J238" s="45">
        <v>4669.6549423495426</v>
      </c>
      <c r="K238" s="45">
        <v>1596.4289332702501</v>
      </c>
      <c r="L238" s="45">
        <v>0</v>
      </c>
      <c r="M238" s="45">
        <v>416.92878042528321</v>
      </c>
    </row>
    <row r="239" spans="1:13">
      <c r="A239" s="34" t="s">
        <v>350</v>
      </c>
      <c r="B239" s="45">
        <v>484690.91021284589</v>
      </c>
      <c r="D239" s="45">
        <v>70325.15138384387</v>
      </c>
      <c r="E239" s="45">
        <v>413989.6130408842</v>
      </c>
      <c r="F239" s="45"/>
      <c r="G239" s="45">
        <v>86781.71376120302</v>
      </c>
      <c r="H239" s="45">
        <v>136768.75346364375</v>
      </c>
      <c r="I239" s="45">
        <v>143060.55886742874</v>
      </c>
      <c r="J239" s="45">
        <v>74525.840434726459</v>
      </c>
      <c r="K239" s="45">
        <v>35307.21393029399</v>
      </c>
      <c r="L239" s="45">
        <v>6550.8659367341234</v>
      </c>
      <c r="M239" s="45">
        <v>1695.9638188147535</v>
      </c>
    </row>
    <row r="240" spans="1:13">
      <c r="A240" s="34" t="s">
        <v>351</v>
      </c>
      <c r="B240" s="45">
        <v>11185.200831092674</v>
      </c>
      <c r="D240" s="45">
        <v>4109.6372980014485</v>
      </c>
      <c r="E240" s="45">
        <v>7075.5635330912246</v>
      </c>
      <c r="F240" s="45"/>
      <c r="G240" s="45">
        <v>4389.2865421765036</v>
      </c>
      <c r="H240" s="45">
        <v>1063.5413138995452</v>
      </c>
      <c r="I240" s="45">
        <v>1863.2516244248723</v>
      </c>
      <c r="J240" s="45">
        <v>2904.3026461992827</v>
      </c>
      <c r="K240" s="45">
        <v>964.81870439246859</v>
      </c>
      <c r="L240" s="45">
        <v>0</v>
      </c>
      <c r="M240" s="45">
        <v>0</v>
      </c>
    </row>
    <row r="241" spans="1:13">
      <c r="A241" s="34" t="s">
        <v>352</v>
      </c>
      <c r="B241" s="45">
        <v>13816.654123204713</v>
      </c>
      <c r="D241" s="45">
        <v>5882.5002201073694</v>
      </c>
      <c r="E241" s="45">
        <v>7526.2976093460784</v>
      </c>
      <c r="F241" s="45"/>
      <c r="G241" s="45">
        <v>2074.1972019958926</v>
      </c>
      <c r="H241" s="45">
        <v>1098.9464044282904</v>
      </c>
      <c r="I241" s="45">
        <v>884.5950977707887</v>
      </c>
      <c r="J241" s="45">
        <v>1114.868340414868</v>
      </c>
      <c r="K241" s="45">
        <v>3671.3331635362592</v>
      </c>
      <c r="L241" s="45">
        <v>1147.4901183087964</v>
      </c>
      <c r="M241" s="45">
        <v>3825.2237967498168</v>
      </c>
    </row>
    <row r="242" spans="1:13">
      <c r="A242" s="34" t="s">
        <v>353</v>
      </c>
      <c r="B242" s="45">
        <v>7815.3541200094569</v>
      </c>
      <c r="D242" s="45">
        <v>5432.1688541722115</v>
      </c>
      <c r="E242" s="45">
        <v>2383.1852658372459</v>
      </c>
      <c r="F242" s="45"/>
      <c r="G242" s="45">
        <v>0</v>
      </c>
      <c r="H242" s="45">
        <v>0</v>
      </c>
      <c r="I242" s="45">
        <v>0</v>
      </c>
      <c r="J242" s="45">
        <v>2558.6358646640274</v>
      </c>
      <c r="K242" s="45">
        <v>2165.1970090823816</v>
      </c>
      <c r="L242" s="45">
        <v>2065.8219059140706</v>
      </c>
      <c r="M242" s="45">
        <v>1025.6993403489769</v>
      </c>
    </row>
    <row r="243" spans="1:13">
      <c r="A243" s="34" t="s">
        <v>354</v>
      </c>
      <c r="B243" s="45">
        <v>64175.988321984492</v>
      </c>
      <c r="D243" s="45">
        <v>36889.388346288921</v>
      </c>
      <c r="E243" s="45">
        <v>27286.59997569555</v>
      </c>
      <c r="F243" s="45"/>
      <c r="G243" s="45">
        <v>14388.503711026104</v>
      </c>
      <c r="H243" s="45">
        <v>19377.652874073527</v>
      </c>
      <c r="I243" s="45">
        <v>19681.585922642087</v>
      </c>
      <c r="J243" s="45">
        <v>8743.1170012702933</v>
      </c>
      <c r="K243" s="45">
        <v>1054.9725747006223</v>
      </c>
      <c r="L243" s="45">
        <v>535.96112026375476</v>
      </c>
      <c r="M243" s="45">
        <v>394.1951180080851</v>
      </c>
    </row>
    <row r="244" spans="1:13">
      <c r="A244" s="34" t="s">
        <v>355</v>
      </c>
      <c r="B244" s="45">
        <v>50366.724285893091</v>
      </c>
      <c r="D244" s="45">
        <v>23569.67467323412</v>
      </c>
      <c r="E244" s="45">
        <v>26797.049612658968</v>
      </c>
      <c r="F244" s="45"/>
      <c r="G244" s="45">
        <v>0</v>
      </c>
      <c r="H244" s="45">
        <v>4034.3580203836873</v>
      </c>
      <c r="I244" s="45">
        <v>6656.8204092233927</v>
      </c>
      <c r="J244" s="45">
        <v>11432.514381491188</v>
      </c>
      <c r="K244" s="45">
        <v>9442.4883679675459</v>
      </c>
      <c r="L244" s="45">
        <v>9830.3251256830554</v>
      </c>
      <c r="M244" s="45">
        <v>8970.2179811442238</v>
      </c>
    </row>
    <row r="245" spans="1:13">
      <c r="A245" s="34" t="s">
        <v>356</v>
      </c>
      <c r="B245" s="45">
        <v>7469.1500855623717</v>
      </c>
      <c r="D245" s="45">
        <v>5323.4804605761828</v>
      </c>
      <c r="E245" s="45">
        <v>2145.669624986188</v>
      </c>
      <c r="F245" s="45"/>
      <c r="G245" s="45">
        <v>0</v>
      </c>
      <c r="H245" s="45">
        <v>635.84484732760052</v>
      </c>
      <c r="I245" s="45">
        <v>2604.2599980972645</v>
      </c>
      <c r="J245" s="45">
        <v>537.59280244639206</v>
      </c>
      <c r="K245" s="45">
        <v>2167.6153318383176</v>
      </c>
      <c r="L245" s="45">
        <v>1523.8371058527971</v>
      </c>
      <c r="M245" s="45">
        <v>0</v>
      </c>
    </row>
    <row r="246" spans="1:13">
      <c r="A246" s="34" t="s">
        <v>357</v>
      </c>
      <c r="B246" s="45">
        <v>6752.1132862823852</v>
      </c>
      <c r="D246" s="45">
        <v>3020.1642500293374</v>
      </c>
      <c r="E246" s="45">
        <v>3731.9490362530478</v>
      </c>
      <c r="F246" s="45"/>
      <c r="G246" s="45">
        <v>5238.650277805511</v>
      </c>
      <c r="H246" s="45">
        <v>522.90352880234479</v>
      </c>
      <c r="I246" s="45">
        <v>489.22613750904748</v>
      </c>
      <c r="J246" s="45">
        <v>501.33334216548093</v>
      </c>
      <c r="K246" s="45">
        <v>0</v>
      </c>
      <c r="L246" s="45">
        <v>0</v>
      </c>
      <c r="M246" s="45">
        <v>0</v>
      </c>
    </row>
    <row r="247" spans="1:13">
      <c r="A247" s="34" t="s">
        <v>358</v>
      </c>
      <c r="B247" s="45">
        <v>1236.8101677613715</v>
      </c>
      <c r="D247" s="45">
        <v>897.01045126258441</v>
      </c>
      <c r="E247" s="45">
        <v>339.79971649878712</v>
      </c>
      <c r="F247" s="45"/>
      <c r="G247" s="45">
        <v>0</v>
      </c>
      <c r="H247" s="45">
        <v>0</v>
      </c>
      <c r="I247" s="45">
        <v>536.39263823500096</v>
      </c>
      <c r="J247" s="45">
        <v>0</v>
      </c>
      <c r="K247" s="45">
        <v>0</v>
      </c>
      <c r="L247" s="45">
        <v>0</v>
      </c>
      <c r="M247" s="45">
        <v>700.41752952637057</v>
      </c>
    </row>
    <row r="248" spans="1:13">
      <c r="A248" s="34" t="s">
        <v>359</v>
      </c>
      <c r="B248" s="45">
        <v>9279.9674766561311</v>
      </c>
      <c r="D248" s="45">
        <v>2255.7002742877689</v>
      </c>
      <c r="E248" s="45">
        <v>7024.2672023683617</v>
      </c>
      <c r="F248" s="45"/>
      <c r="G248" s="45">
        <v>0</v>
      </c>
      <c r="H248" s="45">
        <v>2024.6046512467183</v>
      </c>
      <c r="I248" s="45">
        <v>952.35275002312392</v>
      </c>
      <c r="J248" s="45">
        <v>2058.7110513197308</v>
      </c>
      <c r="K248" s="45">
        <v>1521.9587353512102</v>
      </c>
      <c r="L248" s="45">
        <v>852.64316678845375</v>
      </c>
      <c r="M248" s="45">
        <v>1869.6971219268944</v>
      </c>
    </row>
    <row r="249" spans="1:13">
      <c r="A249" s="34" t="s">
        <v>360</v>
      </c>
      <c r="B249" s="45">
        <v>234865.76109140136</v>
      </c>
      <c r="D249" s="45">
        <v>117881.12559722509</v>
      </c>
      <c r="E249" s="45">
        <v>116531.6337493224</v>
      </c>
      <c r="F249" s="45"/>
      <c r="G249" s="45">
        <v>9817.6647777659891</v>
      </c>
      <c r="H249" s="45">
        <v>25501.63787499383</v>
      </c>
      <c r="I249" s="45">
        <v>43991.079237359263</v>
      </c>
      <c r="J249" s="45">
        <v>42951.52828004703</v>
      </c>
      <c r="K249" s="45">
        <v>35051.038278362634</v>
      </c>
      <c r="L249" s="45">
        <v>42923.336950156008</v>
      </c>
      <c r="M249" s="45">
        <v>34629.475692716485</v>
      </c>
    </row>
    <row r="250" spans="1:13">
      <c r="A250" s="34" t="s">
        <v>361</v>
      </c>
      <c r="B250" s="45">
        <v>1446111.5283617177</v>
      </c>
      <c r="D250" s="45">
        <v>119881.44163031119</v>
      </c>
      <c r="E250" s="45">
        <v>1322939.6076122879</v>
      </c>
      <c r="F250" s="45"/>
      <c r="G250" s="45">
        <v>42107.855087400632</v>
      </c>
      <c r="H250" s="45">
        <v>199167.31323286993</v>
      </c>
      <c r="I250" s="45">
        <v>403823.55893961352</v>
      </c>
      <c r="J250" s="45">
        <v>292022.13997718313</v>
      </c>
      <c r="K250" s="45">
        <v>198641.55288971818</v>
      </c>
      <c r="L250" s="45">
        <v>169665.92504203197</v>
      </c>
      <c r="M250" s="45">
        <v>140683.1831929177</v>
      </c>
    </row>
    <row r="251" spans="1:13">
      <c r="A251" s="34" t="s">
        <v>362</v>
      </c>
      <c r="B251" s="45">
        <v>0</v>
      </c>
      <c r="D251" s="45">
        <v>0</v>
      </c>
      <c r="E251" s="45">
        <v>0</v>
      </c>
      <c r="F251" s="45"/>
      <c r="G251" s="45">
        <v>0</v>
      </c>
      <c r="H251" s="45">
        <v>0</v>
      </c>
      <c r="I251" s="45">
        <v>0</v>
      </c>
      <c r="J251" s="45">
        <v>0</v>
      </c>
      <c r="K251" s="45">
        <v>0</v>
      </c>
      <c r="L251" s="45">
        <v>0</v>
      </c>
      <c r="M251" s="45">
        <v>0</v>
      </c>
    </row>
    <row r="252" spans="1:13">
      <c r="A252" s="34" t="s">
        <v>363</v>
      </c>
      <c r="B252" s="45">
        <v>1007.9459456765678</v>
      </c>
      <c r="D252" s="45">
        <v>539.04925199432728</v>
      </c>
      <c r="E252" s="45">
        <v>468.89669368224054</v>
      </c>
      <c r="F252" s="45"/>
      <c r="G252" s="45">
        <v>0</v>
      </c>
      <c r="H252" s="45">
        <v>0</v>
      </c>
      <c r="I252" s="45">
        <v>0</v>
      </c>
      <c r="J252" s="45">
        <v>1007.9459456765678</v>
      </c>
      <c r="K252" s="45">
        <v>0</v>
      </c>
      <c r="L252" s="45">
        <v>0</v>
      </c>
      <c r="M252" s="45">
        <v>0</v>
      </c>
    </row>
    <row r="253" spans="1:13">
      <c r="A253" s="34" t="s">
        <v>364</v>
      </c>
      <c r="B253" s="45">
        <v>9208.8529925126713</v>
      </c>
      <c r="D253" s="45">
        <v>5050.7115091775695</v>
      </c>
      <c r="E253" s="45">
        <v>4158.1414833351018</v>
      </c>
      <c r="F253" s="45"/>
      <c r="G253" s="45">
        <v>1986.5027484424061</v>
      </c>
      <c r="H253" s="45">
        <v>1576.8005304470034</v>
      </c>
      <c r="I253" s="45">
        <v>1622.3924289183374</v>
      </c>
      <c r="J253" s="45">
        <v>976.63812656000982</v>
      </c>
      <c r="K253" s="45">
        <v>1105.4646405132326</v>
      </c>
      <c r="L253" s="45">
        <v>1073.7980071082045</v>
      </c>
      <c r="M253" s="45">
        <v>867.25651052347791</v>
      </c>
    </row>
    <row r="254" spans="1:13">
      <c r="A254" s="34" t="s">
        <v>365</v>
      </c>
      <c r="B254" s="45">
        <v>11803.244416094238</v>
      </c>
      <c r="D254" s="45">
        <v>6180.5325138796916</v>
      </c>
      <c r="E254" s="45">
        <v>5074.1474943037774</v>
      </c>
      <c r="F254" s="45"/>
      <c r="G254" s="45">
        <v>0</v>
      </c>
      <c r="H254" s="45">
        <v>2680.1662438045068</v>
      </c>
      <c r="I254" s="45">
        <v>4515.8592064233208</v>
      </c>
      <c r="J254" s="45">
        <v>2699.8860044735375</v>
      </c>
      <c r="K254" s="45">
        <v>1907.3329613928706</v>
      </c>
      <c r="L254" s="45">
        <v>0</v>
      </c>
      <c r="M254" s="45">
        <v>0</v>
      </c>
    </row>
    <row r="255" spans="1:13">
      <c r="A255" s="34" t="s">
        <v>366</v>
      </c>
      <c r="B255" s="45">
        <v>2291.8923683386097</v>
      </c>
      <c r="D255" s="45">
        <v>1256.2873562439506</v>
      </c>
      <c r="E255" s="45">
        <v>1035.6050120946588</v>
      </c>
      <c r="F255" s="45"/>
      <c r="G255" s="45">
        <v>0</v>
      </c>
      <c r="H255" s="45">
        <v>514.77258278537431</v>
      </c>
      <c r="I255" s="45">
        <v>685.2942652353521</v>
      </c>
      <c r="J255" s="45">
        <v>1091.8255203178833</v>
      </c>
      <c r="K255" s="45">
        <v>0</v>
      </c>
      <c r="L255" s="45">
        <v>0</v>
      </c>
      <c r="M255" s="45">
        <v>0</v>
      </c>
    </row>
    <row r="256" spans="1:13">
      <c r="A256" s="34" t="s">
        <v>367</v>
      </c>
      <c r="B256" s="45">
        <v>104913.01546617944</v>
      </c>
      <c r="D256" s="45">
        <v>58632.87478152175</v>
      </c>
      <c r="E256" s="45">
        <v>44807.385377580911</v>
      </c>
      <c r="F256" s="45"/>
      <c r="G256" s="45">
        <v>22833.234545424486</v>
      </c>
      <c r="H256" s="45">
        <v>16035.801380915234</v>
      </c>
      <c r="I256" s="45">
        <v>30181.985219717579</v>
      </c>
      <c r="J256" s="45">
        <v>19137.719471608088</v>
      </c>
      <c r="K256" s="45">
        <v>9468.8688012308248</v>
      </c>
      <c r="L256" s="45">
        <v>3852.5609475923266</v>
      </c>
      <c r="M256" s="45">
        <v>3402.8450996908527</v>
      </c>
    </row>
    <row r="257" spans="1:13">
      <c r="A257" s="34" t="s">
        <v>368</v>
      </c>
      <c r="B257" s="45">
        <v>0</v>
      </c>
      <c r="D257" s="45">
        <v>0</v>
      </c>
      <c r="E257" s="45">
        <v>0</v>
      </c>
      <c r="F257" s="45"/>
      <c r="G257" s="45">
        <v>0</v>
      </c>
      <c r="H257" s="45">
        <v>0</v>
      </c>
      <c r="I257" s="45">
        <v>0</v>
      </c>
      <c r="J257" s="45">
        <v>0</v>
      </c>
      <c r="K257" s="45">
        <v>0</v>
      </c>
      <c r="L257" s="45">
        <v>0</v>
      </c>
      <c r="M257" s="45">
        <v>0</v>
      </c>
    </row>
    <row r="258" spans="1:13">
      <c r="A258" s="34" t="s">
        <v>369</v>
      </c>
      <c r="B258" s="45">
        <v>3786.7305468776649</v>
      </c>
      <c r="D258" s="45">
        <v>1881.4179789822824</v>
      </c>
      <c r="E258" s="45">
        <v>1905.312567895382</v>
      </c>
      <c r="F258" s="45"/>
      <c r="G258" s="45">
        <v>0</v>
      </c>
      <c r="H258" s="45">
        <v>596.90802760652321</v>
      </c>
      <c r="I258" s="45">
        <v>346.83624277045078</v>
      </c>
      <c r="J258" s="45">
        <v>641.67145827555669</v>
      </c>
      <c r="K258" s="45">
        <v>1003.4453232486028</v>
      </c>
      <c r="L258" s="45">
        <v>815.73562638276917</v>
      </c>
      <c r="M258" s="45">
        <v>382.13386859376192</v>
      </c>
    </row>
    <row r="259" spans="1:13">
      <c r="A259" s="34" t="s">
        <v>370</v>
      </c>
      <c r="B259" s="45">
        <v>2573.5446057156437</v>
      </c>
      <c r="D259" s="45">
        <v>1529.0655035212494</v>
      </c>
      <c r="E259" s="45">
        <v>537.85879360486456</v>
      </c>
      <c r="F259" s="45"/>
      <c r="G259" s="45">
        <v>0</v>
      </c>
      <c r="H259" s="45">
        <v>0</v>
      </c>
      <c r="I259" s="45">
        <v>506.62030858952943</v>
      </c>
      <c r="J259" s="45">
        <v>1713.8559509010579</v>
      </c>
      <c r="K259" s="45">
        <v>0</v>
      </c>
      <c r="L259" s="45">
        <v>353.06834622505613</v>
      </c>
      <c r="M259" s="45">
        <v>0</v>
      </c>
    </row>
    <row r="260" spans="1:13">
      <c r="A260" s="34" t="s">
        <v>371</v>
      </c>
      <c r="B260" s="45">
        <v>58173.911984854887</v>
      </c>
      <c r="D260" s="45">
        <v>21902.672685290516</v>
      </c>
      <c r="E260" s="45">
        <v>35766.910210698086</v>
      </c>
      <c r="F260" s="45"/>
      <c r="G260" s="45">
        <v>10778.824274156203</v>
      </c>
      <c r="H260" s="45">
        <v>9240.328866900687</v>
      </c>
      <c r="I260" s="45">
        <v>11454.320038461228</v>
      </c>
      <c r="J260" s="45">
        <v>14485.197290738182</v>
      </c>
      <c r="K260" s="45">
        <v>7701.3478882777372</v>
      </c>
      <c r="L260" s="45">
        <v>3897.1467656062068</v>
      </c>
      <c r="M260" s="45">
        <v>616.74686071465158</v>
      </c>
    </row>
    <row r="261" spans="1:13">
      <c r="A261" s="34" t="s">
        <v>372</v>
      </c>
      <c r="B261" s="45">
        <v>127449.43073231225</v>
      </c>
      <c r="D261" s="45">
        <v>76924.012536408103</v>
      </c>
      <c r="E261" s="45">
        <v>50525.418195904218</v>
      </c>
      <c r="F261" s="45"/>
      <c r="G261" s="45">
        <v>7144.6113153099577</v>
      </c>
      <c r="H261" s="45">
        <v>6602.1519714848619</v>
      </c>
      <c r="I261" s="45">
        <v>21118.50790970285</v>
      </c>
      <c r="J261" s="45">
        <v>22615.43701750019</v>
      </c>
      <c r="K261" s="45">
        <v>26557.795472731679</v>
      </c>
      <c r="L261" s="45">
        <v>28549.431532559985</v>
      </c>
      <c r="M261" s="45">
        <v>14861.495513022772</v>
      </c>
    </row>
    <row r="262" spans="1:13">
      <c r="A262" s="34" t="s">
        <v>373</v>
      </c>
      <c r="B262" s="45">
        <v>166797.36743538469</v>
      </c>
      <c r="D262" s="45">
        <v>134615.1756722061</v>
      </c>
      <c r="E262" s="45">
        <v>32182.191763178645</v>
      </c>
      <c r="F262" s="45"/>
      <c r="G262" s="45">
        <v>25196.721431794162</v>
      </c>
      <c r="H262" s="45">
        <v>42443.910937816676</v>
      </c>
      <c r="I262" s="45">
        <v>56811.486790284223</v>
      </c>
      <c r="J262" s="45">
        <v>25153.618714244574</v>
      </c>
      <c r="K262" s="45">
        <v>13403.236952837038</v>
      </c>
      <c r="L262" s="45">
        <v>3019.821721677954</v>
      </c>
      <c r="M262" s="45">
        <v>768.57088673018666</v>
      </c>
    </row>
    <row r="263" spans="1:13">
      <c r="A263" s="34" t="s">
        <v>374</v>
      </c>
      <c r="B263" s="45">
        <v>80646.164131470126</v>
      </c>
      <c r="D263" s="45">
        <v>66886.096910997599</v>
      </c>
      <c r="E263" s="45">
        <v>13760.067220472514</v>
      </c>
      <c r="F263" s="45"/>
      <c r="G263" s="45">
        <v>13611.648513113279</v>
      </c>
      <c r="H263" s="45">
        <v>24124.16288857886</v>
      </c>
      <c r="I263" s="45">
        <v>22103.509639171549</v>
      </c>
      <c r="J263" s="45">
        <v>10863.387093849855</v>
      </c>
      <c r="K263" s="45">
        <v>5295.2322744643734</v>
      </c>
      <c r="L263" s="45">
        <v>3831.0445938431335</v>
      </c>
      <c r="M263" s="45">
        <v>817.17912844906436</v>
      </c>
    </row>
    <row r="264" spans="1:13">
      <c r="A264" s="34" t="s">
        <v>375</v>
      </c>
      <c r="B264" s="45">
        <v>3652161.5771990428</v>
      </c>
      <c r="D264" s="45">
        <v>2043781.1898091538</v>
      </c>
      <c r="E264" s="45">
        <v>1592079.8157186874</v>
      </c>
      <c r="F264" s="45"/>
      <c r="G264" s="45">
        <v>252142.94257910788</v>
      </c>
      <c r="H264" s="45">
        <v>629313.37294967286</v>
      </c>
      <c r="I264" s="45">
        <v>1113297.4668800374</v>
      </c>
      <c r="J264" s="45">
        <v>813826.83011565648</v>
      </c>
      <c r="K264" s="45">
        <v>503971.7432932161</v>
      </c>
      <c r="L264" s="45">
        <v>248859.8390122517</v>
      </c>
      <c r="M264" s="45">
        <v>90749.382369102677</v>
      </c>
    </row>
    <row r="265" spans="1:13">
      <c r="A265" s="34" t="s">
        <v>376</v>
      </c>
      <c r="B265" s="45">
        <v>80675.878689437697</v>
      </c>
      <c r="D265" s="45">
        <v>55264.828683384265</v>
      </c>
      <c r="E265" s="45">
        <v>25034.904217936037</v>
      </c>
      <c r="F265" s="45"/>
      <c r="G265" s="45">
        <v>2949.3277511436131</v>
      </c>
      <c r="H265" s="45">
        <v>4803.3818724896328</v>
      </c>
      <c r="I265" s="45">
        <v>6524.2862919232875</v>
      </c>
      <c r="J265" s="45">
        <v>9329.5207646181243</v>
      </c>
      <c r="K265" s="45">
        <v>14558.687445447786</v>
      </c>
      <c r="L265" s="45">
        <v>21238.003856156705</v>
      </c>
      <c r="M265" s="45">
        <v>21272.670707658548</v>
      </c>
    </row>
    <row r="266" spans="1:13">
      <c r="A266" s="34" t="s">
        <v>377</v>
      </c>
      <c r="B266" s="45">
        <v>32891.126755683334</v>
      </c>
      <c r="D266" s="45">
        <v>13205.836895126669</v>
      </c>
      <c r="E266" s="45">
        <v>19137.378210181803</v>
      </c>
      <c r="F266" s="45"/>
      <c r="G266" s="45">
        <v>1731.4771169367493</v>
      </c>
      <c r="H266" s="45">
        <v>3015.6282103675767</v>
      </c>
      <c r="I266" s="45">
        <v>5959.3680276967198</v>
      </c>
      <c r="J266" s="45">
        <v>14671.884367825791</v>
      </c>
      <c r="K266" s="45">
        <v>5919.3777052359801</v>
      </c>
      <c r="L266" s="45">
        <v>1593.3913276205176</v>
      </c>
      <c r="M266" s="45">
        <v>0</v>
      </c>
    </row>
    <row r="267" spans="1:13">
      <c r="A267" s="34" t="s">
        <v>378</v>
      </c>
      <c r="B267" s="45">
        <v>6353.8652967466751</v>
      </c>
      <c r="D267" s="45">
        <v>5348.499216727836</v>
      </c>
      <c r="E267" s="45">
        <v>1005.3660800188392</v>
      </c>
      <c r="F267" s="45"/>
      <c r="G267" s="45">
        <v>4734.3375716580949</v>
      </c>
      <c r="H267" s="45">
        <v>1619.5277250885804</v>
      </c>
      <c r="I267" s="45">
        <v>0</v>
      </c>
      <c r="J267" s="45">
        <v>0</v>
      </c>
      <c r="K267" s="45">
        <v>0</v>
      </c>
      <c r="L267" s="45">
        <v>0</v>
      </c>
      <c r="M267" s="45">
        <v>0</v>
      </c>
    </row>
    <row r="268" spans="1:13">
      <c r="A268" s="34" t="s">
        <v>379</v>
      </c>
      <c r="B268" s="45">
        <v>1105.1447553840276</v>
      </c>
      <c r="D268" s="45">
        <v>596.90802760652321</v>
      </c>
      <c r="E268" s="45">
        <v>508.23672777750426</v>
      </c>
      <c r="F268" s="45"/>
      <c r="G268" s="45">
        <v>0</v>
      </c>
      <c r="H268" s="45">
        <v>1105.1447553840276</v>
      </c>
      <c r="I268" s="45">
        <v>0</v>
      </c>
      <c r="J268" s="45">
        <v>0</v>
      </c>
      <c r="K268" s="45">
        <v>0</v>
      </c>
      <c r="L268" s="45">
        <v>0</v>
      </c>
      <c r="M268" s="45">
        <v>0</v>
      </c>
    </row>
    <row r="269" spans="1:13">
      <c r="A269" s="34" t="s">
        <v>380</v>
      </c>
      <c r="B269" s="45">
        <v>44020.457956601211</v>
      </c>
      <c r="D269" s="45">
        <v>40952.060932292021</v>
      </c>
      <c r="E269" s="45">
        <v>3068.397024309189</v>
      </c>
      <c r="F269" s="45"/>
      <c r="G269" s="45">
        <v>3383.5988466670815</v>
      </c>
      <c r="H269" s="45">
        <v>4413.9083795164734</v>
      </c>
      <c r="I269" s="45">
        <v>6772.2582788317477</v>
      </c>
      <c r="J269" s="45">
        <v>9130.0973307421464</v>
      </c>
      <c r="K269" s="45">
        <v>6993.6907094766939</v>
      </c>
      <c r="L269" s="45">
        <v>5698.4303990485369</v>
      </c>
      <c r="M269" s="45">
        <v>7628.4740123185456</v>
      </c>
    </row>
    <row r="270" spans="1:13">
      <c r="A270" s="34" t="s">
        <v>381</v>
      </c>
      <c r="B270" s="45">
        <v>31004.710531316621</v>
      </c>
      <c r="D270" s="45">
        <v>26618.931035205747</v>
      </c>
      <c r="E270" s="45">
        <v>4385.7794961108684</v>
      </c>
      <c r="F270" s="45"/>
      <c r="G270" s="45">
        <v>0</v>
      </c>
      <c r="H270" s="45">
        <v>3992.5928270700933</v>
      </c>
      <c r="I270" s="45">
        <v>5814.8674535270429</v>
      </c>
      <c r="J270" s="45">
        <v>7738.4002294881266</v>
      </c>
      <c r="K270" s="45">
        <v>5202.0076624027115</v>
      </c>
      <c r="L270" s="45">
        <v>1990.3191237742824</v>
      </c>
      <c r="M270" s="45">
        <v>6266.5232350543574</v>
      </c>
    </row>
    <row r="271" spans="1:13">
      <c r="A271" s="34" t="s">
        <v>382</v>
      </c>
      <c r="B271" s="45">
        <v>92516.731998508447</v>
      </c>
      <c r="D271" s="45">
        <v>42299.565175182477</v>
      </c>
      <c r="E271" s="45">
        <v>47464.428180778872</v>
      </c>
      <c r="F271" s="45"/>
      <c r="G271" s="45">
        <v>8790.8901305498512</v>
      </c>
      <c r="H271" s="45">
        <v>20354.31238660471</v>
      </c>
      <c r="I271" s="45">
        <v>27271.834903699186</v>
      </c>
      <c r="J271" s="45">
        <v>20291.644081380797</v>
      </c>
      <c r="K271" s="45">
        <v>11227.237371112278</v>
      </c>
      <c r="L271" s="45">
        <v>4224.5564013741769</v>
      </c>
      <c r="M271" s="45">
        <v>356.25672378749698</v>
      </c>
    </row>
    <row r="272" spans="1:13">
      <c r="A272" s="34" t="s">
        <v>383</v>
      </c>
      <c r="B272" s="45">
        <v>0</v>
      </c>
      <c r="D272" s="45">
        <v>0</v>
      </c>
      <c r="E272" s="45">
        <v>0</v>
      </c>
      <c r="F272" s="45"/>
      <c r="G272" s="45">
        <v>0</v>
      </c>
      <c r="H272" s="45">
        <v>0</v>
      </c>
      <c r="I272" s="45">
        <v>0</v>
      </c>
      <c r="J272" s="45">
        <v>0</v>
      </c>
      <c r="K272" s="45">
        <v>0</v>
      </c>
      <c r="L272" s="45">
        <v>0</v>
      </c>
      <c r="M272" s="45">
        <v>0</v>
      </c>
    </row>
    <row r="273" spans="1:13">
      <c r="A273" s="34" t="s">
        <v>384</v>
      </c>
      <c r="B273" s="45">
        <v>193212.85533773081</v>
      </c>
      <c r="D273" s="45">
        <v>109979.56666973091</v>
      </c>
      <c r="E273" s="45">
        <v>83233.288667999761</v>
      </c>
      <c r="F273" s="45"/>
      <c r="G273" s="45">
        <v>6874.2452946231024</v>
      </c>
      <c r="H273" s="45">
        <v>20812.96615150497</v>
      </c>
      <c r="I273" s="45">
        <v>38012.975294009899</v>
      </c>
      <c r="J273" s="45">
        <v>30780.956000769151</v>
      </c>
      <c r="K273" s="45">
        <v>33429.09942798761</v>
      </c>
      <c r="L273" s="45">
        <v>41427.812707210644</v>
      </c>
      <c r="M273" s="45">
        <v>21874.800461625244</v>
      </c>
    </row>
    <row r="274" spans="1:13">
      <c r="A274" s="34" t="s">
        <v>385</v>
      </c>
      <c r="B274" s="45">
        <v>751.02573366059664</v>
      </c>
      <c r="D274" s="45">
        <v>751.02573366059664</v>
      </c>
      <c r="E274" s="45">
        <v>0</v>
      </c>
      <c r="F274" s="45"/>
      <c r="G274" s="45">
        <v>0</v>
      </c>
      <c r="H274" s="45">
        <v>0</v>
      </c>
      <c r="I274" s="45">
        <v>0</v>
      </c>
      <c r="J274" s="45">
        <v>751.02573366059664</v>
      </c>
      <c r="K274" s="45">
        <v>0</v>
      </c>
      <c r="L274" s="45">
        <v>0</v>
      </c>
      <c r="M274" s="45">
        <v>0</v>
      </c>
    </row>
    <row r="275" spans="1:13">
      <c r="A275" s="34" t="s">
        <v>386</v>
      </c>
      <c r="B275" s="45">
        <v>33381.705488617132</v>
      </c>
      <c r="D275" s="45">
        <v>12466.064251432263</v>
      </c>
      <c r="E275" s="45">
        <v>20915.641237184867</v>
      </c>
      <c r="F275" s="45"/>
      <c r="G275" s="45">
        <v>3503.7548563294349</v>
      </c>
      <c r="H275" s="45">
        <v>7156.3870262837654</v>
      </c>
      <c r="I275" s="45">
        <v>6105.2499343195223</v>
      </c>
      <c r="J275" s="45">
        <v>7923.7396316213044</v>
      </c>
      <c r="K275" s="45">
        <v>6198.6674605221597</v>
      </c>
      <c r="L275" s="45">
        <v>2493.9065795409451</v>
      </c>
      <c r="M275" s="45">
        <v>0</v>
      </c>
    </row>
    <row r="276" spans="1:13">
      <c r="A276" s="34" t="s">
        <v>387</v>
      </c>
      <c r="B276" s="45">
        <v>114178.00806270173</v>
      </c>
      <c r="D276" s="45">
        <v>66452.644476304151</v>
      </c>
      <c r="E276" s="45">
        <v>45919.687133549589</v>
      </c>
      <c r="F276" s="45"/>
      <c r="G276" s="45">
        <v>16037.260598470972</v>
      </c>
      <c r="H276" s="45">
        <v>28392.328022249534</v>
      </c>
      <c r="I276" s="45">
        <v>47877.725035434094</v>
      </c>
      <c r="J276" s="45">
        <v>16022.569625420985</v>
      </c>
      <c r="K276" s="45">
        <v>1903.4936979490158</v>
      </c>
      <c r="L276" s="45">
        <v>3258.6300038102345</v>
      </c>
      <c r="M276" s="45">
        <v>686.00107936693087</v>
      </c>
    </row>
    <row r="277" spans="1:13">
      <c r="A277" s="34" t="s">
        <v>388</v>
      </c>
      <c r="B277" s="45">
        <v>100412.36010293594</v>
      </c>
      <c r="D277" s="45">
        <v>75054.779013904466</v>
      </c>
      <c r="E277" s="45">
        <v>24850.848628537293</v>
      </c>
      <c r="F277" s="45"/>
      <c r="G277" s="45">
        <v>6854.7830792886771</v>
      </c>
      <c r="H277" s="45">
        <v>11682.681834651699</v>
      </c>
      <c r="I277" s="45">
        <v>27179.946941360562</v>
      </c>
      <c r="J277" s="45">
        <v>19047.015094407925</v>
      </c>
      <c r="K277" s="45">
        <v>16402.166329991673</v>
      </c>
      <c r="L277" s="45">
        <v>11986.535208234156</v>
      </c>
      <c r="M277" s="45">
        <v>7259.2316150013094</v>
      </c>
    </row>
    <row r="278" spans="1:13">
      <c r="A278" s="34" t="s">
        <v>389</v>
      </c>
      <c r="B278" s="45">
        <v>307865.94788800343</v>
      </c>
      <c r="D278" s="45">
        <v>188010.96028164381</v>
      </c>
      <c r="E278" s="45">
        <v>118497.44509178562</v>
      </c>
      <c r="F278" s="45"/>
      <c r="G278" s="45">
        <v>21079.147500154944</v>
      </c>
      <c r="H278" s="45">
        <v>29284.44197103793</v>
      </c>
      <c r="I278" s="45">
        <v>62125.768823511666</v>
      </c>
      <c r="J278" s="45">
        <v>65937.916601234596</v>
      </c>
      <c r="K278" s="45">
        <v>57840.050227216074</v>
      </c>
      <c r="L278" s="45">
        <v>49508.907125367819</v>
      </c>
      <c r="M278" s="45">
        <v>22089.715639479818</v>
      </c>
    </row>
    <row r="279" spans="1:13">
      <c r="A279" s="34" t="s">
        <v>390</v>
      </c>
      <c r="B279" s="45">
        <v>3432997.9872953319</v>
      </c>
      <c r="D279" s="45">
        <v>1557611.2602454768</v>
      </c>
      <c r="E279" s="45">
        <v>1855605.6474452489</v>
      </c>
      <c r="F279" s="45"/>
      <c r="G279" s="45">
        <v>186302.28893719069</v>
      </c>
      <c r="H279" s="45">
        <v>391099.7534105879</v>
      </c>
      <c r="I279" s="45">
        <v>663756.09406044183</v>
      </c>
      <c r="J279" s="45">
        <v>681258.85801576253</v>
      </c>
      <c r="K279" s="45">
        <v>546292.12801856874</v>
      </c>
      <c r="L279" s="45">
        <v>503218.92257868306</v>
      </c>
      <c r="M279" s="45">
        <v>461069.94227410899</v>
      </c>
    </row>
    <row r="280" spans="1:13">
      <c r="A280" s="34" t="s">
        <v>391</v>
      </c>
      <c r="B280" s="45">
        <v>2425.6063902806782</v>
      </c>
      <c r="D280" s="45">
        <v>504.76401205821008</v>
      </c>
      <c r="E280" s="45">
        <v>1920.8423782224681</v>
      </c>
      <c r="F280" s="45"/>
      <c r="G280" s="45">
        <v>0</v>
      </c>
      <c r="H280" s="45">
        <v>1133.3532438671214</v>
      </c>
      <c r="I280" s="45">
        <v>918.62134124284739</v>
      </c>
      <c r="J280" s="45">
        <v>0</v>
      </c>
      <c r="K280" s="45">
        <v>0</v>
      </c>
      <c r="L280" s="45">
        <v>0</v>
      </c>
      <c r="M280" s="45">
        <v>373.6318051707093</v>
      </c>
    </row>
    <row r="281" spans="1:13">
      <c r="A281" s="34" t="s">
        <v>392</v>
      </c>
      <c r="B281" s="45">
        <v>13695.597851462451</v>
      </c>
      <c r="D281" s="45">
        <v>7276.7144184798126</v>
      </c>
      <c r="E281" s="45">
        <v>6418.8834329826404</v>
      </c>
      <c r="F281" s="45"/>
      <c r="G281" s="45">
        <v>0</v>
      </c>
      <c r="H281" s="45">
        <v>3624.2564735699739</v>
      </c>
      <c r="I281" s="45">
        <v>4284.4359621292133</v>
      </c>
      <c r="J281" s="45">
        <v>3567.3452441204663</v>
      </c>
      <c r="K281" s="45">
        <v>1790.0205853230689</v>
      </c>
      <c r="L281" s="45">
        <v>429.53958631973052</v>
      </c>
      <c r="M281" s="45">
        <v>0</v>
      </c>
    </row>
    <row r="282" spans="1:13">
      <c r="A282" s="34" t="s">
        <v>393</v>
      </c>
      <c r="B282" s="45">
        <v>380623.92578287522</v>
      </c>
      <c r="D282" s="45">
        <v>259308.10799254387</v>
      </c>
      <c r="E282" s="45">
        <v>121315.81779033047</v>
      </c>
      <c r="F282" s="45"/>
      <c r="G282" s="45">
        <v>51713.237669660557</v>
      </c>
      <c r="H282" s="45">
        <v>81839.418833283111</v>
      </c>
      <c r="I282" s="45">
        <v>82652.758644265035</v>
      </c>
      <c r="J282" s="45">
        <v>61773.036579443084</v>
      </c>
      <c r="K282" s="45">
        <v>40257.49297162296</v>
      </c>
      <c r="L282" s="45">
        <v>29741.406118360079</v>
      </c>
      <c r="M282" s="45">
        <v>32646.574966239259</v>
      </c>
    </row>
    <row r="283" spans="1:13">
      <c r="A283" s="34" t="s">
        <v>394</v>
      </c>
      <c r="B283" s="45">
        <v>26225.813996762361</v>
      </c>
      <c r="D283" s="45">
        <v>16624.608840842611</v>
      </c>
      <c r="E283" s="45">
        <v>9601.2051559197553</v>
      </c>
      <c r="F283" s="45"/>
      <c r="G283" s="45">
        <v>7297.410651482327</v>
      </c>
      <c r="H283" s="45">
        <v>6285.2347460111951</v>
      </c>
      <c r="I283" s="45">
        <v>1891.1465490524856</v>
      </c>
      <c r="J283" s="45">
        <v>5026.4829530073457</v>
      </c>
      <c r="K283" s="45">
        <v>3216.9515118200638</v>
      </c>
      <c r="L283" s="45">
        <v>2150.0865490996166</v>
      </c>
      <c r="M283" s="45">
        <v>358.50103628933255</v>
      </c>
    </row>
    <row r="284" spans="1:13">
      <c r="A284" s="34" t="s">
        <v>395</v>
      </c>
      <c r="B284" s="45">
        <v>5128.3759937615487</v>
      </c>
      <c r="D284" s="45">
        <v>4620.139265984044</v>
      </c>
      <c r="E284" s="45">
        <v>508.23672777750426</v>
      </c>
      <c r="F284" s="45"/>
      <c r="G284" s="45">
        <v>0</v>
      </c>
      <c r="H284" s="45">
        <v>1664.0747728696097</v>
      </c>
      <c r="I284" s="45">
        <v>2666.8372516111494</v>
      </c>
      <c r="J284" s="45">
        <v>480.27505584028523</v>
      </c>
      <c r="K284" s="45">
        <v>317.18891344050451</v>
      </c>
      <c r="L284" s="45">
        <v>0</v>
      </c>
      <c r="M284" s="45">
        <v>0</v>
      </c>
    </row>
    <row r="285" spans="1:13">
      <c r="A285" s="34" t="s">
        <v>396</v>
      </c>
      <c r="B285" s="45">
        <v>1153878.7909644085</v>
      </c>
      <c r="D285" s="45">
        <v>656746.93582452007</v>
      </c>
      <c r="E285" s="45">
        <v>495062.22443218122</v>
      </c>
      <c r="F285" s="45"/>
      <c r="G285" s="45">
        <v>89227.483055206394</v>
      </c>
      <c r="H285" s="45">
        <v>186969.93222343695</v>
      </c>
      <c r="I285" s="45">
        <v>266604.35960672452</v>
      </c>
      <c r="J285" s="45">
        <v>214777.52416828449</v>
      </c>
      <c r="K285" s="45">
        <v>176914.0330666845</v>
      </c>
      <c r="L285" s="45">
        <v>103393.39271297425</v>
      </c>
      <c r="M285" s="45">
        <v>115992.06613110221</v>
      </c>
    </row>
    <row r="286" spans="1:13">
      <c r="A286" s="34" t="s">
        <v>397</v>
      </c>
      <c r="B286" s="45">
        <v>138973.08872137757</v>
      </c>
      <c r="D286" s="45">
        <v>76044.404693448421</v>
      </c>
      <c r="E286" s="45">
        <v>62928.684027929099</v>
      </c>
      <c r="F286" s="45"/>
      <c r="G286" s="45">
        <v>9138.6139289577677</v>
      </c>
      <c r="H286" s="45">
        <v>17978.658368999866</v>
      </c>
      <c r="I286" s="45">
        <v>30121.191743261636</v>
      </c>
      <c r="J286" s="45">
        <v>27802.566913285216</v>
      </c>
      <c r="K286" s="45">
        <v>17893.987562123497</v>
      </c>
      <c r="L286" s="45">
        <v>16266.034892936244</v>
      </c>
      <c r="M286" s="45">
        <v>19772.035311813335</v>
      </c>
    </row>
    <row r="287" spans="1:13">
      <c r="A287" s="34" t="s">
        <v>398</v>
      </c>
      <c r="B287" s="45">
        <v>0</v>
      </c>
      <c r="D287" s="45">
        <v>0</v>
      </c>
      <c r="E287" s="45">
        <v>0</v>
      </c>
      <c r="F287" s="45"/>
      <c r="G287" s="45">
        <v>0</v>
      </c>
      <c r="H287" s="45">
        <v>0</v>
      </c>
      <c r="I287" s="45">
        <v>0</v>
      </c>
      <c r="J287" s="45">
        <v>0</v>
      </c>
      <c r="K287" s="45">
        <v>0</v>
      </c>
      <c r="L287" s="45">
        <v>0</v>
      </c>
      <c r="M287" s="45">
        <v>0</v>
      </c>
    </row>
    <row r="288" spans="1:13">
      <c r="A288" s="34" t="s">
        <v>399</v>
      </c>
      <c r="B288" s="45">
        <v>166143.86511960695</v>
      </c>
      <c r="D288" s="45">
        <v>108097.71996229641</v>
      </c>
      <c r="E288" s="45">
        <v>58046.145157310508</v>
      </c>
      <c r="F288" s="45"/>
      <c r="G288" s="45">
        <v>21035.501711141173</v>
      </c>
      <c r="H288" s="45">
        <v>40898.486431308796</v>
      </c>
      <c r="I288" s="45">
        <v>58355.008349374715</v>
      </c>
      <c r="J288" s="45">
        <v>21798.549070418994</v>
      </c>
      <c r="K288" s="45">
        <v>15754.078519762312</v>
      </c>
      <c r="L288" s="45">
        <v>7112.4044815733805</v>
      </c>
      <c r="M288" s="45">
        <v>1189.836556027587</v>
      </c>
    </row>
    <row r="289" spans="1:13">
      <c r="A289" s="34" t="s">
        <v>400</v>
      </c>
      <c r="B289" s="45">
        <v>22292.565133806864</v>
      </c>
      <c r="D289" s="45">
        <v>14614.572864408417</v>
      </c>
      <c r="E289" s="45">
        <v>7677.9922693984363</v>
      </c>
      <c r="F289" s="45"/>
      <c r="G289" s="45">
        <v>0</v>
      </c>
      <c r="H289" s="45">
        <v>2760.8175470841938</v>
      </c>
      <c r="I289" s="45">
        <v>6054.7998139888477</v>
      </c>
      <c r="J289" s="45">
        <v>5414.6983139263539</v>
      </c>
      <c r="K289" s="45">
        <v>5541.965488505356</v>
      </c>
      <c r="L289" s="45">
        <v>2520.2839703021054</v>
      </c>
      <c r="M289" s="45">
        <v>0</v>
      </c>
    </row>
    <row r="290" spans="1:13">
      <c r="A290" s="34" t="s">
        <v>401</v>
      </c>
      <c r="B290" s="45">
        <v>190482.87581158438</v>
      </c>
      <c r="D290" s="45">
        <v>95982.780946338447</v>
      </c>
      <c r="E290" s="45">
        <v>93914.369300394159</v>
      </c>
      <c r="F290" s="45"/>
      <c r="G290" s="45">
        <v>3849.2089322280917</v>
      </c>
      <c r="H290" s="45">
        <v>13571.642358148416</v>
      </c>
      <c r="I290" s="45">
        <v>44256.160192653071</v>
      </c>
      <c r="J290" s="45">
        <v>40374.331569453519</v>
      </c>
      <c r="K290" s="45">
        <v>31529.582026996679</v>
      </c>
      <c r="L290" s="45">
        <v>35343.062355686263</v>
      </c>
      <c r="M290" s="45">
        <v>21558.888376418236</v>
      </c>
    </row>
    <row r="291" spans="1:13">
      <c r="A291" s="34" t="s">
        <v>402</v>
      </c>
      <c r="B291" s="45">
        <v>204945.63092586707</v>
      </c>
      <c r="D291" s="45">
        <v>105613.10886730358</v>
      </c>
      <c r="E291" s="45">
        <v>97467.700681599541</v>
      </c>
      <c r="F291" s="45"/>
      <c r="G291" s="45">
        <v>32875.52936725795</v>
      </c>
      <c r="H291" s="45">
        <v>48224.257466870295</v>
      </c>
      <c r="I291" s="45">
        <v>53090.726312343286</v>
      </c>
      <c r="J291" s="45">
        <v>31674.093306154988</v>
      </c>
      <c r="K291" s="45">
        <v>22368.19067004168</v>
      </c>
      <c r="L291" s="45">
        <v>11475.609579503112</v>
      </c>
      <c r="M291" s="45">
        <v>5237.2242236956718</v>
      </c>
    </row>
    <row r="292" spans="1:13">
      <c r="A292" s="34" t="s">
        <v>403</v>
      </c>
      <c r="B292" s="45">
        <v>291773.14441624004</v>
      </c>
      <c r="D292" s="45">
        <v>161658.77539918118</v>
      </c>
      <c r="E292" s="45">
        <v>129143.18418015535</v>
      </c>
      <c r="F292" s="45"/>
      <c r="G292" s="45">
        <v>94899.795755923624</v>
      </c>
      <c r="H292" s="45">
        <v>84212.523834893742</v>
      </c>
      <c r="I292" s="45">
        <v>65756.216426244413</v>
      </c>
      <c r="J292" s="45">
        <v>29257.562533309985</v>
      </c>
      <c r="K292" s="45">
        <v>10711.337784524698</v>
      </c>
      <c r="L292" s="45">
        <v>4752.2445112198993</v>
      </c>
      <c r="M292" s="45">
        <v>2183.4635701234511</v>
      </c>
    </row>
    <row r="293" spans="1:13">
      <c r="A293" s="34" t="s">
        <v>404</v>
      </c>
      <c r="B293" s="45">
        <v>11247379.677094607</v>
      </c>
      <c r="D293" s="45">
        <v>4626932.1352785071</v>
      </c>
      <c r="E293" s="45">
        <v>6565882.8765854696</v>
      </c>
      <c r="F293" s="45"/>
      <c r="G293" s="45">
        <v>314371.64135154744</v>
      </c>
      <c r="H293" s="45">
        <v>826202.24615246418</v>
      </c>
      <c r="I293" s="45">
        <v>1669256.101526591</v>
      </c>
      <c r="J293" s="45">
        <v>1825526.7258504631</v>
      </c>
      <c r="K293" s="45">
        <v>1942471.2160170027</v>
      </c>
      <c r="L293" s="45">
        <v>2002470.7888888251</v>
      </c>
      <c r="M293" s="45">
        <v>2667080.9573076945</v>
      </c>
    </row>
    <row r="294" spans="1:13">
      <c r="A294" s="34" t="s">
        <v>405</v>
      </c>
      <c r="B294" s="45">
        <v>21372.118717511446</v>
      </c>
      <c r="D294" s="45">
        <v>15264.877144741702</v>
      </c>
      <c r="E294" s="45">
        <v>6107.2415727697398</v>
      </c>
      <c r="F294" s="45"/>
      <c r="G294" s="45">
        <v>1986.5027484424061</v>
      </c>
      <c r="H294" s="45">
        <v>6197.5193359253972</v>
      </c>
      <c r="I294" s="45">
        <v>4654.7497755938412</v>
      </c>
      <c r="J294" s="45">
        <v>2314.0799443887913</v>
      </c>
      <c r="K294" s="45">
        <v>2759.7095787766775</v>
      </c>
      <c r="L294" s="45">
        <v>1932.8913409724507</v>
      </c>
      <c r="M294" s="45">
        <v>1526.6659934118777</v>
      </c>
    </row>
    <row r="295" spans="1:13">
      <c r="A295" s="34" t="s">
        <v>406</v>
      </c>
      <c r="B295" s="45">
        <v>41883.649544867032</v>
      </c>
      <c r="D295" s="45">
        <v>23788.492791429762</v>
      </c>
      <c r="E295" s="45">
        <v>18095.156753437277</v>
      </c>
      <c r="F295" s="45"/>
      <c r="G295" s="45">
        <v>0</v>
      </c>
      <c r="H295" s="45">
        <v>7922.0162438528569</v>
      </c>
      <c r="I295" s="45">
        <v>10152.374606756892</v>
      </c>
      <c r="J295" s="45">
        <v>6781.140580514133</v>
      </c>
      <c r="K295" s="45">
        <v>8479.2658086995834</v>
      </c>
      <c r="L295" s="45">
        <v>6018.7266366301983</v>
      </c>
      <c r="M295" s="45">
        <v>2530.1256684133764</v>
      </c>
    </row>
    <row r="296" spans="1:13">
      <c r="A296" s="34" t="s">
        <v>407</v>
      </c>
      <c r="B296" s="45">
        <v>326497.99257665937</v>
      </c>
      <c r="D296" s="45">
        <v>179331.33502917207</v>
      </c>
      <c r="E296" s="45">
        <v>142810.61106098216</v>
      </c>
      <c r="F296" s="45"/>
      <c r="G296" s="45">
        <v>14194.412262822934</v>
      </c>
      <c r="H296" s="45">
        <v>49699.796968107534</v>
      </c>
      <c r="I296" s="45">
        <v>95048.398471919878</v>
      </c>
      <c r="J296" s="45">
        <v>62241.917953624528</v>
      </c>
      <c r="K296" s="45">
        <v>41228.740392739383</v>
      </c>
      <c r="L296" s="45">
        <v>36417.572402294696</v>
      </c>
      <c r="M296" s="45">
        <v>27667.154125149958</v>
      </c>
    </row>
    <row r="297" spans="1:13">
      <c r="A297" s="34" t="s">
        <v>408</v>
      </c>
      <c r="B297" s="45">
        <v>1985.3358400850566</v>
      </c>
      <c r="D297" s="45">
        <v>539.71511158593341</v>
      </c>
      <c r="E297" s="45">
        <v>1445.6207284991233</v>
      </c>
      <c r="F297" s="45"/>
      <c r="G297" s="45">
        <v>0</v>
      </c>
      <c r="H297" s="45">
        <v>541.27165726563749</v>
      </c>
      <c r="I297" s="45">
        <v>1025.8944155971294</v>
      </c>
      <c r="J297" s="45">
        <v>0</v>
      </c>
      <c r="K297" s="45">
        <v>0</v>
      </c>
      <c r="L297" s="45">
        <v>418.16976722228992</v>
      </c>
      <c r="M297" s="45">
        <v>0</v>
      </c>
    </row>
    <row r="298" spans="1:13">
      <c r="A298" s="34" t="s">
        <v>409</v>
      </c>
      <c r="B298" s="45">
        <v>8012.9345624036969</v>
      </c>
      <c r="D298" s="45">
        <v>7332.0019515977483</v>
      </c>
      <c r="E298" s="45">
        <v>680.93261080594891</v>
      </c>
      <c r="F298" s="45"/>
      <c r="G298" s="45">
        <v>0</v>
      </c>
      <c r="H298" s="45">
        <v>487.9161623842441</v>
      </c>
      <c r="I298" s="45">
        <v>0</v>
      </c>
      <c r="J298" s="45">
        <v>2327.1057490886592</v>
      </c>
      <c r="K298" s="45">
        <v>680.93261080594891</v>
      </c>
      <c r="L298" s="45">
        <v>2003.7150482103912</v>
      </c>
      <c r="M298" s="45">
        <v>2513.2649919144542</v>
      </c>
    </row>
    <row r="299" spans="1:13">
      <c r="A299" s="34" t="s">
        <v>410</v>
      </c>
      <c r="B299" s="45">
        <v>12116.294067750992</v>
      </c>
      <c r="D299" s="45">
        <v>10149.101469378938</v>
      </c>
      <c r="E299" s="45">
        <v>1434.5563263803854</v>
      </c>
      <c r="F299" s="45"/>
      <c r="G299" s="45">
        <v>1472.7544148940417</v>
      </c>
      <c r="H299" s="45">
        <v>2694.3016379700334</v>
      </c>
      <c r="I299" s="45">
        <v>4413.9834106681346</v>
      </c>
      <c r="J299" s="45">
        <v>1560.8800368543598</v>
      </c>
      <c r="K299" s="45">
        <v>1974.3745673644246</v>
      </c>
      <c r="L299" s="45">
        <v>0</v>
      </c>
      <c r="M299" s="45">
        <v>0</v>
      </c>
    </row>
    <row r="300" spans="1:13">
      <c r="A300" s="34" t="s">
        <v>411</v>
      </c>
      <c r="B300" s="45">
        <v>1115978.1713468099</v>
      </c>
      <c r="D300" s="45">
        <v>156355.22628088357</v>
      </c>
      <c r="E300" s="45">
        <v>954770.97094883642</v>
      </c>
      <c r="F300" s="45"/>
      <c r="G300" s="45">
        <v>31220.710171101673</v>
      </c>
      <c r="H300" s="45">
        <v>81810.848115885237</v>
      </c>
      <c r="I300" s="45">
        <v>259164.43196671765</v>
      </c>
      <c r="J300" s="45">
        <v>245707.11765973773</v>
      </c>
      <c r="K300" s="45">
        <v>200550.0850378577</v>
      </c>
      <c r="L300" s="45">
        <v>156743.85324097774</v>
      </c>
      <c r="M300" s="45">
        <v>140781.12515453974</v>
      </c>
    </row>
    <row r="301" spans="1:13">
      <c r="A301" s="118"/>
      <c r="B301" s="119"/>
      <c r="C301" s="119"/>
      <c r="D301" s="119"/>
      <c r="E301" s="119"/>
      <c r="F301" s="119"/>
      <c r="G301" s="119"/>
      <c r="H301" s="119"/>
      <c r="I301" s="119"/>
      <c r="J301" s="119"/>
      <c r="K301" s="119"/>
      <c r="L301" s="119"/>
      <c r="M301" s="119"/>
    </row>
    <row r="302" spans="1:13">
      <c r="A302" s="24" t="s">
        <v>117</v>
      </c>
    </row>
    <row r="303" spans="1:13">
      <c r="A303" s="16" t="s">
        <v>121</v>
      </c>
    </row>
    <row r="304" spans="1:13">
      <c r="A304" s="16" t="s">
        <v>122</v>
      </c>
    </row>
    <row r="305" spans="1:1">
      <c r="A305" s="24" t="s">
        <v>120</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B159&lt;'38'!$C$104</xm:f>
            <x14:dxf>
              <font>
                <color rgb="FFFF0000"/>
              </font>
              <numFmt numFmtId="172" formatCode="\*\*0.0%"/>
            </x14:dxf>
          </x14:cfRule>
          <x14:cfRule type="expression" priority="4" id="{767842BC-2D6D-4943-A760-DEC36DBD32AF}">
            <xm:f>B159&lt;'38'!$C$103</xm:f>
            <x14:dxf>
              <font>
                <color rgb="FF00B050"/>
              </font>
              <numFmt numFmtId="171" formatCode="\*0.0%"/>
            </x14:dxf>
          </x14:cfRule>
          <xm:sqref>B16:M157</xm:sqref>
        </x14:conditionalFormatting>
        <x14:conditionalFormatting xmlns:xm="http://schemas.microsoft.com/office/excel/2006/main">
          <x14:cfRule type="expression" priority="1" id="{65207585-0AA8-41C6-B943-9579A529B922}">
            <xm:f>B159&lt;'38'!$C$104</xm:f>
            <x14:dxf>
              <font>
                <color rgb="FFFF0000"/>
              </font>
              <numFmt numFmtId="174" formatCode="\*\*#,###,###,##0"/>
            </x14:dxf>
          </x14:cfRule>
          <x14:cfRule type="expression" priority="2" id="{7DAE0285-42A3-4634-A750-BD06D1D2DFF9}">
            <xm:f>B159&lt;'38'!$C$103</xm:f>
            <x14:dxf>
              <font>
                <color rgb="FF00B050"/>
              </font>
              <numFmt numFmtId="173" formatCode="\*#,###,###,##0"/>
            </x14:dxf>
          </x14:cfRule>
          <xm:sqref>B159:M300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c r="A1" s="29"/>
      <c r="B1" s="29"/>
      <c r="C1" s="29"/>
      <c r="D1" s="29"/>
      <c r="E1" s="29"/>
      <c r="F1" s="50"/>
      <c r="G1" s="29"/>
      <c r="H1" s="29"/>
      <c r="I1" s="29"/>
      <c r="J1" s="29"/>
    </row>
    <row r="2" spans="1:10">
      <c r="A2" s="29"/>
      <c r="B2" s="29"/>
      <c r="C2" s="29"/>
      <c r="D2" s="29"/>
      <c r="E2" s="29"/>
      <c r="F2" s="50"/>
      <c r="G2" s="29"/>
      <c r="H2" s="29"/>
      <c r="I2" s="29"/>
      <c r="J2" s="29"/>
    </row>
    <row r="3" spans="1:10">
      <c r="A3" s="29"/>
      <c r="B3" s="29"/>
      <c r="C3" s="29"/>
      <c r="D3" s="29"/>
      <c r="E3" s="29"/>
      <c r="F3" s="50"/>
      <c r="G3" s="29"/>
      <c r="H3" s="29"/>
      <c r="I3" s="29"/>
      <c r="J3" s="29"/>
    </row>
    <row r="4" spans="1:10">
      <c r="A4" s="29"/>
      <c r="B4" s="29"/>
      <c r="C4" s="29"/>
      <c r="D4" s="29"/>
      <c r="E4" s="29"/>
      <c r="F4" s="50"/>
      <c r="G4" s="29"/>
      <c r="H4" s="29"/>
      <c r="I4" s="29"/>
      <c r="J4" s="29"/>
    </row>
    <row r="5" spans="1:10">
      <c r="A5" s="29"/>
      <c r="B5" s="29"/>
      <c r="C5" s="29"/>
      <c r="D5" s="29"/>
      <c r="E5" s="29"/>
      <c r="F5" s="50"/>
      <c r="G5" s="29"/>
      <c r="H5" s="29"/>
      <c r="I5" s="29"/>
      <c r="J5" s="29"/>
    </row>
    <row r="6" spans="1:10">
      <c r="A6" s="29"/>
      <c r="B6" s="29"/>
      <c r="C6" s="29"/>
      <c r="D6" s="29"/>
      <c r="E6" s="29"/>
      <c r="F6" s="50"/>
      <c r="G6" s="29"/>
      <c r="H6" s="29"/>
      <c r="I6" s="29"/>
      <c r="J6" s="29"/>
    </row>
    <row r="7" spans="1:10">
      <c r="A7" s="29"/>
      <c r="B7" s="29"/>
      <c r="C7" s="29"/>
      <c r="D7" s="29"/>
      <c r="E7" s="29"/>
      <c r="F7" s="50"/>
      <c r="G7" s="29"/>
      <c r="H7" s="29"/>
      <c r="I7" s="29"/>
      <c r="J7" s="29"/>
    </row>
    <row r="8" spans="1:10">
      <c r="A8" s="30" t="s">
        <v>0</v>
      </c>
      <c r="B8" s="30"/>
      <c r="C8" s="30"/>
      <c r="D8" s="29"/>
      <c r="E8" s="29"/>
      <c r="F8" s="50"/>
      <c r="G8" s="30"/>
      <c r="H8" s="29"/>
      <c r="I8" s="29"/>
      <c r="J8" s="30"/>
    </row>
    <row r="9" spans="1:10">
      <c r="A9" s="29" t="s">
        <v>1</v>
      </c>
      <c r="B9" s="90" t="s">
        <v>2</v>
      </c>
      <c r="C9" s="30"/>
      <c r="D9" s="29"/>
      <c r="E9" s="29"/>
      <c r="F9" s="50"/>
      <c r="G9" s="29"/>
      <c r="H9" s="29"/>
      <c r="I9" s="29"/>
      <c r="J9" s="30"/>
    </row>
    <row r="10" spans="1:10">
      <c r="A10" s="29" t="s">
        <v>49</v>
      </c>
      <c r="B10" s="31">
        <v>18</v>
      </c>
      <c r="C10" s="30"/>
      <c r="D10" s="29"/>
      <c r="E10" s="29"/>
      <c r="F10" s="50"/>
      <c r="G10" s="29"/>
      <c r="H10" s="29"/>
      <c r="I10" s="29"/>
      <c r="J10" s="30"/>
    </row>
    <row r="11" spans="1:10">
      <c r="A11" s="29" t="s">
        <v>3</v>
      </c>
      <c r="B11" s="30" t="s">
        <v>26</v>
      </c>
      <c r="C11" s="30"/>
      <c r="D11" s="29"/>
      <c r="E11" s="29"/>
      <c r="F11" s="50"/>
      <c r="G11" s="29"/>
      <c r="H11" s="29"/>
      <c r="I11" s="29"/>
      <c r="J11" s="30"/>
    </row>
    <row r="12" spans="1:10">
      <c r="A12" s="116" t="s">
        <v>50</v>
      </c>
      <c r="B12" s="117" t="s">
        <v>123</v>
      </c>
      <c r="C12" s="117"/>
      <c r="D12" s="116"/>
      <c r="E12" s="116"/>
      <c r="F12" s="176"/>
      <c r="G12" s="116"/>
      <c r="H12" s="116"/>
      <c r="I12" s="116"/>
      <c r="J12" s="117"/>
    </row>
    <row r="13" spans="1:10" ht="24.95" customHeight="1">
      <c r="A13" s="42"/>
      <c r="B13" s="51"/>
      <c r="C13" s="51"/>
      <c r="D13" s="51"/>
      <c r="E13" s="51"/>
      <c r="F13" s="52"/>
      <c r="G13" s="192" t="s">
        <v>61</v>
      </c>
      <c r="H13" s="192"/>
      <c r="I13" s="192"/>
      <c r="J13" s="192"/>
    </row>
    <row r="14" spans="1:10" s="92" customFormat="1" ht="24.95" customHeight="1">
      <c r="A14" s="96"/>
      <c r="B14" s="37" t="s">
        <v>60</v>
      </c>
      <c r="C14" s="37"/>
      <c r="D14" s="37" t="s">
        <v>58</v>
      </c>
      <c r="E14" s="37" t="s">
        <v>59</v>
      </c>
      <c r="F14" s="53"/>
      <c r="G14" s="37" t="s">
        <v>124</v>
      </c>
      <c r="H14" s="37" t="s">
        <v>125</v>
      </c>
      <c r="I14" s="37" t="s">
        <v>126</v>
      </c>
      <c r="J14" s="37" t="s">
        <v>127</v>
      </c>
    </row>
    <row r="15" spans="1:10" ht="15" customHeight="1">
      <c r="A15" s="67"/>
      <c r="B15" s="187" t="s">
        <v>144</v>
      </c>
      <c r="C15" s="187"/>
      <c r="D15" s="187"/>
      <c r="E15" s="187"/>
      <c r="F15" s="187"/>
      <c r="G15" s="187"/>
      <c r="H15" s="187"/>
      <c r="I15" s="187"/>
      <c r="J15" s="187"/>
    </row>
    <row r="16" spans="1:10" ht="15" customHeight="1">
      <c r="A16" s="34" t="s">
        <v>270</v>
      </c>
      <c r="B16" s="4">
        <v>2.2387195705872612E-3</v>
      </c>
      <c r="D16" s="4">
        <v>2.1372600776752644E-3</v>
      </c>
      <c r="E16" s="4">
        <v>2.3604485428592556E-3</v>
      </c>
      <c r="F16" s="4"/>
      <c r="G16" s="4">
        <v>2.1691378147755264E-3</v>
      </c>
      <c r="H16" s="4">
        <v>3.8822638866816517E-3</v>
      </c>
      <c r="I16" s="4">
        <v>1.3697714693591584E-3</v>
      </c>
      <c r="J16" s="4">
        <v>1.1066440753733388E-3</v>
      </c>
    </row>
    <row r="17" spans="1:10">
      <c r="A17" s="34" t="s">
        <v>271</v>
      </c>
      <c r="B17" s="4">
        <v>2.589221231325674E-3</v>
      </c>
      <c r="D17" s="4">
        <v>3.6886374445714923E-3</v>
      </c>
      <c r="E17" s="4">
        <v>1.4434490690207601E-3</v>
      </c>
      <c r="F17" s="4"/>
      <c r="G17" s="4">
        <v>2.7294961193291122E-3</v>
      </c>
      <c r="H17" s="4">
        <v>3.7518287904434742E-3</v>
      </c>
      <c r="I17" s="4">
        <v>0</v>
      </c>
      <c r="J17" s="4">
        <v>3.4664553021566515E-3</v>
      </c>
    </row>
    <row r="18" spans="1:10">
      <c r="A18" s="34" t="s">
        <v>272</v>
      </c>
      <c r="B18" s="4">
        <v>1.4805981887909497E-3</v>
      </c>
      <c r="D18" s="4">
        <v>1.9274816345408831E-3</v>
      </c>
      <c r="E18" s="4">
        <v>1.0176356703704671E-3</v>
      </c>
      <c r="F18" s="4"/>
      <c r="G18" s="4">
        <v>1.1601511150605268E-3</v>
      </c>
      <c r="H18" s="4">
        <v>8.7028187465035896E-4</v>
      </c>
      <c r="I18" s="4">
        <v>1.1939062466463305E-3</v>
      </c>
      <c r="J18" s="4">
        <v>3.0283588877947098E-3</v>
      </c>
    </row>
    <row r="19" spans="1:10">
      <c r="A19" s="34" t="s">
        <v>273</v>
      </c>
      <c r="B19" s="4">
        <v>3.2401788247803605E-2</v>
      </c>
      <c r="D19" s="4">
        <v>3.1588736837292124E-2</v>
      </c>
      <c r="E19" s="4">
        <v>3.3213456529289129E-2</v>
      </c>
      <c r="F19" s="4"/>
      <c r="G19" s="4">
        <v>1.2941500951504087E-2</v>
      </c>
      <c r="H19" s="4">
        <v>4.1320620330340188E-2</v>
      </c>
      <c r="I19" s="4">
        <v>4.5589189706286358E-2</v>
      </c>
      <c r="J19" s="4">
        <v>3.7192209304240317E-2</v>
      </c>
    </row>
    <row r="20" spans="1:10">
      <c r="A20" s="34" t="s">
        <v>274</v>
      </c>
      <c r="B20" s="4">
        <v>6.3025656403494154E-2</v>
      </c>
      <c r="D20" s="4">
        <v>9.1642730977091982E-2</v>
      </c>
      <c r="E20" s="4">
        <v>3.258096799984242E-2</v>
      </c>
      <c r="F20" s="4"/>
      <c r="G20" s="4">
        <v>1.3615083062975574E-2</v>
      </c>
      <c r="H20" s="4">
        <v>9.4516350009814593E-2</v>
      </c>
      <c r="I20" s="4">
        <v>8.3491175020218605E-2</v>
      </c>
      <c r="J20" s="4">
        <v>7.6826346555508948E-2</v>
      </c>
    </row>
    <row r="21" spans="1:10">
      <c r="A21" s="34" t="s">
        <v>275</v>
      </c>
      <c r="B21" s="4">
        <v>7.5051998862006968E-3</v>
      </c>
      <c r="D21" s="4">
        <v>6.8705489493932591E-3</v>
      </c>
      <c r="E21" s="4">
        <v>8.2246978688937152E-3</v>
      </c>
      <c r="F21" s="4"/>
      <c r="G21" s="4">
        <v>4.6967861070030658E-3</v>
      </c>
      <c r="H21" s="4">
        <v>6.0415325498949365E-3</v>
      </c>
      <c r="I21" s="4">
        <v>7.2156463106623579E-3</v>
      </c>
      <c r="J21" s="4">
        <v>1.3893084430903521E-2</v>
      </c>
    </row>
    <row r="22" spans="1:10">
      <c r="A22" s="34" t="s">
        <v>276</v>
      </c>
      <c r="B22" s="4">
        <v>6.1168926020933011E-3</v>
      </c>
      <c r="D22" s="4">
        <v>9.1415504008761743E-3</v>
      </c>
      <c r="E22" s="4">
        <v>2.9582068391737259E-3</v>
      </c>
      <c r="F22" s="4"/>
      <c r="G22" s="4">
        <v>1.8009735345163292E-3</v>
      </c>
      <c r="H22" s="4">
        <v>8.7086854525751448E-3</v>
      </c>
      <c r="I22" s="4">
        <v>6.6995379971130052E-3</v>
      </c>
      <c r="J22" s="4">
        <v>8.7235905394867138E-3</v>
      </c>
    </row>
    <row r="23" spans="1:10">
      <c r="A23" s="34" t="s">
        <v>277</v>
      </c>
      <c r="B23" s="4">
        <v>7.0958279580564276E-2</v>
      </c>
      <c r="D23" s="4">
        <v>9.242553677306635E-2</v>
      </c>
      <c r="E23" s="4">
        <v>4.8573282281307688E-2</v>
      </c>
      <c r="F23" s="4"/>
      <c r="G23" s="4">
        <v>1.0266582797832236E-2</v>
      </c>
      <c r="H23" s="4">
        <v>7.5349425995013847E-2</v>
      </c>
      <c r="I23" s="4">
        <v>0.10475700072838288</v>
      </c>
      <c r="J23" s="4">
        <v>0.12312912980565741</v>
      </c>
    </row>
    <row r="24" spans="1:10">
      <c r="A24" s="34" t="s">
        <v>278</v>
      </c>
      <c r="B24" s="4">
        <v>6.7124682925024E-4</v>
      </c>
      <c r="D24" s="4">
        <v>1.0809016097412278E-3</v>
      </c>
      <c r="E24" s="4">
        <v>2.4242480724465964E-4</v>
      </c>
      <c r="F24" s="4"/>
      <c r="G24" s="4">
        <v>1.2174091389605744E-3</v>
      </c>
      <c r="H24" s="4">
        <v>4.391071381618769E-4</v>
      </c>
      <c r="I24" s="4">
        <v>4.9236429951191171E-4</v>
      </c>
      <c r="J24" s="4">
        <v>3.234255010494739E-4</v>
      </c>
    </row>
    <row r="25" spans="1:10">
      <c r="A25" s="34" t="s">
        <v>279</v>
      </c>
      <c r="B25" s="4">
        <v>1.3735079466823045E-4</v>
      </c>
      <c r="D25" s="4">
        <v>0</v>
      </c>
      <c r="E25" s="4">
        <v>2.834671513950164E-4</v>
      </c>
      <c r="F25" s="4"/>
      <c r="G25" s="4">
        <v>0</v>
      </c>
      <c r="H25" s="4">
        <v>5.1344765837575863E-4</v>
      </c>
      <c r="I25" s="4">
        <v>0</v>
      </c>
      <c r="J25" s="4">
        <v>0</v>
      </c>
    </row>
    <row r="26" spans="1:10">
      <c r="A26" s="34" t="s">
        <v>280</v>
      </c>
      <c r="B26" s="4">
        <v>4.4722854101830598E-4</v>
      </c>
      <c r="D26" s="4">
        <v>4.1416980494762839E-4</v>
      </c>
      <c r="E26" s="4">
        <v>4.8507021013777951E-4</v>
      </c>
      <c r="F26" s="4"/>
      <c r="G26" s="4">
        <v>7.4109232516854568E-4</v>
      </c>
      <c r="H26" s="4">
        <v>4.1444218049260345E-4</v>
      </c>
      <c r="I26" s="4">
        <v>4.9412163256323154E-4</v>
      </c>
      <c r="J26" s="4">
        <v>0</v>
      </c>
    </row>
    <row r="27" spans="1:10">
      <c r="A27" s="34" t="s">
        <v>281</v>
      </c>
      <c r="B27" s="4">
        <v>1.6260329765845668E-3</v>
      </c>
      <c r="D27" s="4">
        <v>2.9720144871728813E-3</v>
      </c>
      <c r="E27" s="4">
        <v>2.133347378818941E-4</v>
      </c>
      <c r="F27" s="4"/>
      <c r="G27" s="4">
        <v>3.8827739798584108E-4</v>
      </c>
      <c r="H27" s="4">
        <v>2.6471706854098989E-3</v>
      </c>
      <c r="I27" s="4">
        <v>1.0208535381006844E-3</v>
      </c>
      <c r="J27" s="4">
        <v>2.7863589154488127E-3</v>
      </c>
    </row>
    <row r="28" spans="1:10">
      <c r="A28" s="34" t="s">
        <v>282</v>
      </c>
      <c r="B28" s="4">
        <v>0</v>
      </c>
      <c r="D28" s="4">
        <v>0</v>
      </c>
      <c r="E28" s="4">
        <v>0</v>
      </c>
      <c r="F28" s="4"/>
      <c r="G28" s="4">
        <v>0</v>
      </c>
      <c r="H28" s="4">
        <v>0</v>
      </c>
      <c r="I28" s="4">
        <v>0</v>
      </c>
      <c r="J28" s="4">
        <v>0</v>
      </c>
    </row>
    <row r="29" spans="1:10">
      <c r="A29" s="34" t="s">
        <v>283</v>
      </c>
      <c r="B29" s="4">
        <v>0</v>
      </c>
      <c r="D29" s="4">
        <v>0</v>
      </c>
      <c r="E29" s="4">
        <v>0</v>
      </c>
      <c r="F29" s="4"/>
      <c r="G29" s="4">
        <v>0</v>
      </c>
      <c r="H29" s="4">
        <v>0</v>
      </c>
      <c r="I29" s="4">
        <v>0</v>
      </c>
      <c r="J29" s="4">
        <v>0</v>
      </c>
    </row>
    <row r="30" spans="1:10">
      <c r="A30" s="34" t="s">
        <v>284</v>
      </c>
      <c r="B30" s="4">
        <v>1.1525884795863259E-4</v>
      </c>
      <c r="D30" s="4">
        <v>2.2496818414893783E-4</v>
      </c>
      <c r="E30" s="4">
        <v>0</v>
      </c>
      <c r="F30" s="4"/>
      <c r="G30" s="4">
        <v>0</v>
      </c>
      <c r="H30" s="4">
        <v>0</v>
      </c>
      <c r="I30" s="4">
        <v>5.5388885891450722E-4</v>
      </c>
      <c r="J30" s="4">
        <v>0</v>
      </c>
    </row>
    <row r="31" spans="1:10">
      <c r="A31" s="34" t="s">
        <v>285</v>
      </c>
      <c r="B31" s="4">
        <v>0</v>
      </c>
      <c r="D31" s="4">
        <v>0</v>
      </c>
      <c r="E31" s="4">
        <v>0</v>
      </c>
      <c r="F31" s="4"/>
      <c r="G31" s="4">
        <v>0</v>
      </c>
      <c r="H31" s="4">
        <v>0</v>
      </c>
      <c r="I31" s="4">
        <v>0</v>
      </c>
      <c r="J31" s="4">
        <v>0</v>
      </c>
    </row>
    <row r="32" spans="1:10">
      <c r="A32" s="34" t="s">
        <v>286</v>
      </c>
      <c r="B32" s="4">
        <v>4.949176005088275E-5</v>
      </c>
      <c r="D32" s="4">
        <v>9.6600578490756305E-5</v>
      </c>
      <c r="E32" s="4">
        <v>0</v>
      </c>
      <c r="F32" s="4"/>
      <c r="G32" s="4">
        <v>0</v>
      </c>
      <c r="H32" s="4">
        <v>0</v>
      </c>
      <c r="I32" s="4">
        <v>0</v>
      </c>
      <c r="J32" s="4">
        <v>2.3649404507297692E-4</v>
      </c>
    </row>
    <row r="33" spans="1:10">
      <c r="A33" s="34" t="s">
        <v>287</v>
      </c>
      <c r="B33" s="4">
        <v>2.3621989916046816E-4</v>
      </c>
      <c r="D33" s="4">
        <v>4.6106622367984141E-4</v>
      </c>
      <c r="E33" s="4">
        <v>0</v>
      </c>
      <c r="F33" s="4"/>
      <c r="G33" s="4">
        <v>0</v>
      </c>
      <c r="H33" s="4">
        <v>4.6578517956664939E-4</v>
      </c>
      <c r="I33" s="4">
        <v>5.3639788111812452E-4</v>
      </c>
      <c r="J33" s="4">
        <v>0</v>
      </c>
    </row>
    <row r="34" spans="1:10">
      <c r="A34" s="34" t="s">
        <v>288</v>
      </c>
      <c r="B34" s="4">
        <v>3.6317368771287654E-3</v>
      </c>
      <c r="D34" s="4">
        <v>5.5789287850521911E-3</v>
      </c>
      <c r="E34" s="4">
        <v>1.5962854514040452E-3</v>
      </c>
      <c r="F34" s="4"/>
      <c r="G34" s="4">
        <v>7.5892864237026882E-4</v>
      </c>
      <c r="H34" s="4">
        <v>2.9808743617630302E-3</v>
      </c>
      <c r="I34" s="4">
        <v>5.3338197163805383E-3</v>
      </c>
      <c r="J34" s="4">
        <v>7.0972232827905667E-3</v>
      </c>
    </row>
    <row r="35" spans="1:10">
      <c r="A35" s="34" t="s">
        <v>289</v>
      </c>
      <c r="B35" s="4">
        <v>0</v>
      </c>
      <c r="D35" s="4">
        <v>0</v>
      </c>
      <c r="E35" s="4">
        <v>0</v>
      </c>
      <c r="F35" s="4"/>
      <c r="G35" s="4">
        <v>0</v>
      </c>
      <c r="H35" s="4">
        <v>0</v>
      </c>
      <c r="I35" s="4">
        <v>0</v>
      </c>
      <c r="J35" s="4">
        <v>0</v>
      </c>
    </row>
    <row r="36" spans="1:10">
      <c r="A36" s="34" t="s">
        <v>290</v>
      </c>
      <c r="B36" s="4">
        <v>1.1631013470349106E-2</v>
      </c>
      <c r="D36" s="4">
        <v>1.1581135437764664E-2</v>
      </c>
      <c r="E36" s="4">
        <v>1.1758822451664678E-2</v>
      </c>
      <c r="F36" s="4"/>
      <c r="G36" s="4">
        <v>1.2117856619601072E-2</v>
      </c>
      <c r="H36" s="4">
        <v>9.1284763593150395E-3</v>
      </c>
      <c r="I36" s="4">
        <v>1.3151233610031017E-2</v>
      </c>
      <c r="J36" s="4">
        <v>1.2585194489909106E-2</v>
      </c>
    </row>
    <row r="37" spans="1:10">
      <c r="A37" s="34" t="s">
        <v>291</v>
      </c>
      <c r="B37" s="4">
        <v>1.6849244798834134E-3</v>
      </c>
      <c r="D37" s="4">
        <v>5.5696000652291481E-4</v>
      </c>
      <c r="E37" s="4">
        <v>2.8884690566277887E-3</v>
      </c>
      <c r="F37" s="4"/>
      <c r="G37" s="4">
        <v>0</v>
      </c>
      <c r="H37" s="4">
        <v>4.5784608069061187E-3</v>
      </c>
      <c r="I37" s="4">
        <v>0</v>
      </c>
      <c r="J37" s="4">
        <v>2.1988270588112098E-3</v>
      </c>
    </row>
    <row r="38" spans="1:10">
      <c r="A38" s="34" t="s">
        <v>292</v>
      </c>
      <c r="B38" s="4">
        <v>2.0491854931948829E-4</v>
      </c>
      <c r="D38" s="4">
        <v>3.9997062919963931E-4</v>
      </c>
      <c r="E38" s="4">
        <v>0</v>
      </c>
      <c r="F38" s="4"/>
      <c r="G38" s="4">
        <v>3.7810665719204982E-4</v>
      </c>
      <c r="H38" s="4">
        <v>0</v>
      </c>
      <c r="I38" s="4">
        <v>0</v>
      </c>
      <c r="J38" s="4">
        <v>4.0982759150440159E-4</v>
      </c>
    </row>
    <row r="39" spans="1:10">
      <c r="A39" s="34" t="s">
        <v>293</v>
      </c>
      <c r="B39" s="4">
        <v>1.2257152931435694E-3</v>
      </c>
      <c r="D39" s="4">
        <v>9.0746152903725674E-4</v>
      </c>
      <c r="E39" s="4">
        <v>1.5701366317529279E-3</v>
      </c>
      <c r="F39" s="4"/>
      <c r="G39" s="4">
        <v>8.6922842936997544E-4</v>
      </c>
      <c r="H39" s="4">
        <v>5.7591039599934985E-4</v>
      </c>
      <c r="I39" s="4">
        <v>1.8923470679686168E-3</v>
      </c>
      <c r="J39" s="4">
        <v>1.9302862546990568E-3</v>
      </c>
    </row>
    <row r="40" spans="1:10">
      <c r="A40" s="34" t="s">
        <v>294</v>
      </c>
      <c r="B40" s="4">
        <v>1.7016945145710682E-3</v>
      </c>
      <c r="D40" s="4">
        <v>9.8817026698694776E-4</v>
      </c>
      <c r="E40" s="4">
        <v>2.4671329382930504E-3</v>
      </c>
      <c r="F40" s="4"/>
      <c r="G40" s="4">
        <v>4.1715062230051714E-4</v>
      </c>
      <c r="H40" s="4">
        <v>4.1387219687566146E-3</v>
      </c>
      <c r="I40" s="4">
        <v>0</v>
      </c>
      <c r="J40" s="4">
        <v>2.2129066762973945E-3</v>
      </c>
    </row>
    <row r="41" spans="1:10">
      <c r="A41" s="34" t="s">
        <v>295</v>
      </c>
      <c r="B41" s="4">
        <v>3.3703554215216265E-2</v>
      </c>
      <c r="D41" s="4">
        <v>5.3207218026591917E-2</v>
      </c>
      <c r="E41" s="4">
        <v>1.3298603935532232E-2</v>
      </c>
      <c r="F41" s="4"/>
      <c r="G41" s="4">
        <v>6.1114157064584423E-3</v>
      </c>
      <c r="H41" s="4">
        <v>3.752356830655626E-2</v>
      </c>
      <c r="I41" s="4">
        <v>5.0769317433400171E-2</v>
      </c>
      <c r="J41" s="4">
        <v>5.3400412967903536E-2</v>
      </c>
    </row>
    <row r="42" spans="1:10">
      <c r="A42" s="34" t="s">
        <v>296</v>
      </c>
      <c r="B42" s="4">
        <v>0</v>
      </c>
      <c r="D42" s="4">
        <v>0</v>
      </c>
      <c r="E42" s="4">
        <v>0</v>
      </c>
      <c r="F42" s="4"/>
      <c r="G42" s="4">
        <v>0</v>
      </c>
      <c r="H42" s="4">
        <v>0</v>
      </c>
      <c r="I42" s="4">
        <v>0</v>
      </c>
      <c r="J42" s="4">
        <v>0</v>
      </c>
    </row>
    <row r="43" spans="1:10">
      <c r="A43" s="34" t="s">
        <v>297</v>
      </c>
      <c r="B43" s="4">
        <v>1.4902752464856033E-3</v>
      </c>
      <c r="D43" s="4">
        <v>1.6386839787852321E-3</v>
      </c>
      <c r="E43" s="4">
        <v>1.3429717592508333E-3</v>
      </c>
      <c r="F43" s="4"/>
      <c r="G43" s="4">
        <v>0</v>
      </c>
      <c r="H43" s="4">
        <v>7.8966413569722801E-4</v>
      </c>
      <c r="I43" s="4">
        <v>3.9785259956242021E-3</v>
      </c>
      <c r="J43" s="4">
        <v>2.1557624000055372E-3</v>
      </c>
    </row>
    <row r="44" spans="1:10">
      <c r="A44" s="34" t="s">
        <v>298</v>
      </c>
      <c r="B44" s="4">
        <v>0</v>
      </c>
      <c r="D44" s="4">
        <v>0</v>
      </c>
      <c r="E44" s="4">
        <v>0</v>
      </c>
      <c r="F44" s="4"/>
      <c r="G44" s="4">
        <v>0</v>
      </c>
      <c r="H44" s="4">
        <v>0</v>
      </c>
      <c r="I44" s="4">
        <v>0</v>
      </c>
      <c r="J44" s="4">
        <v>0</v>
      </c>
    </row>
    <row r="45" spans="1:10">
      <c r="A45" s="34" t="s">
        <v>299</v>
      </c>
      <c r="B45" s="4">
        <v>1.7208384160979862E-2</v>
      </c>
      <c r="D45" s="4">
        <v>1.8673262660752931E-2</v>
      </c>
      <c r="E45" s="4">
        <v>1.5770541189861369E-2</v>
      </c>
      <c r="F45" s="4"/>
      <c r="G45" s="4">
        <v>1.2886113275634568E-2</v>
      </c>
      <c r="H45" s="4">
        <v>2.2772004019089985E-2</v>
      </c>
      <c r="I45" s="4">
        <v>1.8625465824284121E-2</v>
      </c>
      <c r="J45" s="4">
        <v>1.5196130995270776E-2</v>
      </c>
    </row>
    <row r="46" spans="1:10">
      <c r="A46" s="34" t="s">
        <v>300</v>
      </c>
      <c r="B46" s="4">
        <v>2.4723621597619896E-2</v>
      </c>
      <c r="D46" s="4">
        <v>7.7881241261688015E-3</v>
      </c>
      <c r="E46" s="4">
        <v>4.279018875988775E-2</v>
      </c>
      <c r="F46" s="4"/>
      <c r="G46" s="4">
        <v>1.5587477145399785E-2</v>
      </c>
      <c r="H46" s="4">
        <v>2.7159272954286662E-2</v>
      </c>
      <c r="I46" s="4">
        <v>3.0670481144471452E-2</v>
      </c>
      <c r="J46" s="4">
        <v>2.9454469674032285E-2</v>
      </c>
    </row>
    <row r="47" spans="1:10">
      <c r="A47" s="34" t="s">
        <v>301</v>
      </c>
      <c r="B47" s="4">
        <v>5.4371932446097795E-2</v>
      </c>
      <c r="D47" s="4">
        <v>1.1633237903457619E-2</v>
      </c>
      <c r="E47" s="4">
        <v>9.9913243004124977E-2</v>
      </c>
      <c r="F47" s="4"/>
      <c r="G47" s="4">
        <v>4.3301282096980573E-2</v>
      </c>
      <c r="H47" s="4">
        <v>7.7048551383659708E-2</v>
      </c>
      <c r="I47" s="4">
        <v>5.4003670994340065E-2</v>
      </c>
      <c r="J47" s="4">
        <v>4.2421857584590786E-2</v>
      </c>
    </row>
    <row r="48" spans="1:10">
      <c r="A48" s="34" t="s">
        <v>302</v>
      </c>
      <c r="B48" s="4">
        <v>2.453865776487956E-4</v>
      </c>
      <c r="D48" s="4">
        <v>1.28314473233267E-4</v>
      </c>
      <c r="E48" s="4">
        <v>3.7075825902151247E-4</v>
      </c>
      <c r="F48" s="4"/>
      <c r="G48" s="4">
        <v>0</v>
      </c>
      <c r="H48" s="4">
        <v>6.7155915237879433E-4</v>
      </c>
      <c r="I48" s="4">
        <v>0</v>
      </c>
      <c r="J48" s="4">
        <v>3.1413485602725769E-4</v>
      </c>
    </row>
    <row r="49" spans="1:10">
      <c r="A49" s="34" t="s">
        <v>303</v>
      </c>
      <c r="B49" s="4">
        <v>7.712729214625028E-4</v>
      </c>
      <c r="D49" s="4">
        <v>2.6252756701012546E-4</v>
      </c>
      <c r="E49" s="4">
        <v>1.3141802150483074E-3</v>
      </c>
      <c r="F49" s="4"/>
      <c r="G49" s="4">
        <v>5.0389352675499297E-4</v>
      </c>
      <c r="H49" s="4">
        <v>5.1344765837575863E-4</v>
      </c>
      <c r="I49" s="4">
        <v>1.1738047863638721E-3</v>
      </c>
      <c r="J49" s="4">
        <v>1.1032148565157367E-3</v>
      </c>
    </row>
    <row r="50" spans="1:10">
      <c r="A50" s="34" t="s">
        <v>304</v>
      </c>
      <c r="B50" s="4">
        <v>2.3199595801088344E-4</v>
      </c>
      <c r="D50" s="4">
        <v>2.3628374099986688E-4</v>
      </c>
      <c r="E50" s="4">
        <v>2.2895957330772539E-4</v>
      </c>
      <c r="F50" s="4"/>
      <c r="G50" s="4">
        <v>0</v>
      </c>
      <c r="H50" s="4">
        <v>0</v>
      </c>
      <c r="I50" s="4">
        <v>1.1148816661914402E-3</v>
      </c>
      <c r="J50" s="4">
        <v>0</v>
      </c>
    </row>
    <row r="51" spans="1:10">
      <c r="A51" s="34" t="s">
        <v>305</v>
      </c>
      <c r="B51" s="4">
        <v>0</v>
      </c>
      <c r="D51" s="4">
        <v>0</v>
      </c>
      <c r="E51" s="4">
        <v>0</v>
      </c>
      <c r="F51" s="4"/>
      <c r="G51" s="4">
        <v>0</v>
      </c>
      <c r="H51" s="4">
        <v>0</v>
      </c>
      <c r="I51" s="4">
        <v>0</v>
      </c>
      <c r="J51" s="4">
        <v>0</v>
      </c>
    </row>
    <row r="52" spans="1:10">
      <c r="A52" s="34" t="s">
        <v>306</v>
      </c>
      <c r="B52" s="4">
        <v>4.2734835803171981E-4</v>
      </c>
      <c r="D52" s="4">
        <v>4.1969750414207158E-4</v>
      </c>
      <c r="E52" s="4">
        <v>4.3819632184510592E-4</v>
      </c>
      <c r="F52" s="4"/>
      <c r="G52" s="4">
        <v>6.8233810815302072E-4</v>
      </c>
      <c r="H52" s="4">
        <v>7.937105737049273E-4</v>
      </c>
      <c r="I52" s="4">
        <v>0</v>
      </c>
      <c r="J52" s="4">
        <v>0</v>
      </c>
    </row>
    <row r="53" spans="1:10">
      <c r="A53" s="34" t="s">
        <v>307</v>
      </c>
      <c r="B53" s="4">
        <v>2.9477303982620062E-3</v>
      </c>
      <c r="D53" s="4">
        <v>1.9496592033288614E-3</v>
      </c>
      <c r="E53" s="4">
        <v>4.0220809230013125E-3</v>
      </c>
      <c r="F53" s="4"/>
      <c r="G53" s="4">
        <v>1.9987998387329575E-3</v>
      </c>
      <c r="H53" s="4">
        <v>2.3025952971083216E-3</v>
      </c>
      <c r="I53" s="4">
        <v>5.7692543008179163E-3</v>
      </c>
      <c r="J53" s="4">
        <v>2.3957388615089602E-3</v>
      </c>
    </row>
    <row r="54" spans="1:10">
      <c r="A54" s="34" t="s">
        <v>308</v>
      </c>
      <c r="B54" s="4">
        <v>1.2234923865436843E-3</v>
      </c>
      <c r="D54" s="4">
        <v>1.6089807654030108E-3</v>
      </c>
      <c r="E54" s="4">
        <v>8.2378740303997887E-4</v>
      </c>
      <c r="F54" s="4"/>
      <c r="G54" s="4">
        <v>1.6065137790317291E-3</v>
      </c>
      <c r="H54" s="4">
        <v>4.3777861019036698E-4</v>
      </c>
      <c r="I54" s="4">
        <v>5.7043324016999117E-4</v>
      </c>
      <c r="J54" s="4">
        <v>2.3004481269947251E-3</v>
      </c>
    </row>
    <row r="55" spans="1:10">
      <c r="A55" s="34" t="s">
        <v>309</v>
      </c>
      <c r="B55" s="4">
        <v>9.4845661388059585E-4</v>
      </c>
      <c r="D55" s="4">
        <v>1.3685092316300124E-3</v>
      </c>
      <c r="E55" s="4">
        <v>5.104294748719089E-4</v>
      </c>
      <c r="F55" s="4"/>
      <c r="G55" s="4">
        <v>1.3882696107679526E-3</v>
      </c>
      <c r="H55" s="4">
        <v>0</v>
      </c>
      <c r="I55" s="4">
        <v>5.1891157988717186E-4</v>
      </c>
      <c r="J55" s="4">
        <v>1.9256716543003603E-3</v>
      </c>
    </row>
    <row r="56" spans="1:10">
      <c r="A56" s="34" t="s">
        <v>310</v>
      </c>
      <c r="B56" s="4">
        <v>1.8100981214743419E-3</v>
      </c>
      <c r="D56" s="4">
        <v>2.7787269615261218E-3</v>
      </c>
      <c r="E56" s="4">
        <v>7.9758721544556026E-4</v>
      </c>
      <c r="F56" s="4"/>
      <c r="G56" s="4">
        <v>0</v>
      </c>
      <c r="H56" s="4">
        <v>1.7976491665409209E-3</v>
      </c>
      <c r="I56" s="4">
        <v>3.9217659040782487E-3</v>
      </c>
      <c r="J56" s="4">
        <v>2.4519841292928949E-3</v>
      </c>
    </row>
    <row r="57" spans="1:10">
      <c r="A57" s="34" t="s">
        <v>311</v>
      </c>
      <c r="B57" s="4">
        <v>1.6062222702333432E-2</v>
      </c>
      <c r="D57" s="4">
        <v>1.3771077284672436E-2</v>
      </c>
      <c r="E57" s="4">
        <v>1.8322468471535468E-2</v>
      </c>
      <c r="F57" s="4"/>
      <c r="G57" s="4">
        <v>8.0797480012877801E-3</v>
      </c>
      <c r="H57" s="4">
        <v>1.2587116508183152E-2</v>
      </c>
      <c r="I57" s="4">
        <v>1.9234041930389939E-2</v>
      </c>
      <c r="J57" s="4">
        <v>2.9370733430439413E-2</v>
      </c>
    </row>
    <row r="58" spans="1:10">
      <c r="A58" s="34" t="s">
        <v>312</v>
      </c>
      <c r="B58" s="4">
        <v>4.4223807062028188E-4</v>
      </c>
      <c r="D58" s="4">
        <v>4.7278044501802532E-4</v>
      </c>
      <c r="E58" s="4">
        <v>4.1279797209589527E-4</v>
      </c>
      <c r="F58" s="4"/>
      <c r="G58" s="4">
        <v>0</v>
      </c>
      <c r="H58" s="4">
        <v>0</v>
      </c>
      <c r="I58" s="4">
        <v>1.1640215802015816E-3</v>
      </c>
      <c r="J58" s="4">
        <v>9.5576979858786226E-4</v>
      </c>
    </row>
    <row r="59" spans="1:10">
      <c r="A59" s="34" t="s">
        <v>313</v>
      </c>
      <c r="B59" s="4">
        <v>6.0630443503256802E-4</v>
      </c>
      <c r="D59" s="4">
        <v>5.4113588797444505E-4</v>
      </c>
      <c r="E59" s="4">
        <v>6.7912459812558023E-4</v>
      </c>
      <c r="F59" s="4"/>
      <c r="G59" s="4">
        <v>3.9402492247655763E-4</v>
      </c>
      <c r="H59" s="4">
        <v>1.1544022137903172E-3</v>
      </c>
      <c r="I59" s="4">
        <v>5.0766732416843748E-4</v>
      </c>
      <c r="J59" s="4">
        <v>3.234255010494739E-4</v>
      </c>
    </row>
    <row r="60" spans="1:10">
      <c r="A60" s="34" t="s">
        <v>314</v>
      </c>
      <c r="B60" s="4">
        <v>0.14530793496998565</v>
      </c>
      <c r="D60" s="4">
        <v>0.20974561802926694</v>
      </c>
      <c r="E60" s="4">
        <v>7.8111671868330124E-2</v>
      </c>
      <c r="F60" s="4"/>
      <c r="G60" s="4">
        <v>5.4536202719323766E-2</v>
      </c>
      <c r="H60" s="4">
        <v>0.18551271784750023</v>
      </c>
      <c r="I60" s="4">
        <v>0.2164931119587491</v>
      </c>
      <c r="J60" s="4">
        <v>0.15981967862457658</v>
      </c>
    </row>
    <row r="61" spans="1:10">
      <c r="A61" s="34" t="s">
        <v>315</v>
      </c>
      <c r="B61" s="4">
        <v>4.3172770565749595E-4</v>
      </c>
      <c r="D61" s="4">
        <v>6.4132638507859619E-4</v>
      </c>
      <c r="E61" s="4">
        <v>2.1289198594485589E-4</v>
      </c>
      <c r="F61" s="4"/>
      <c r="G61" s="4">
        <v>0</v>
      </c>
      <c r="H61" s="4">
        <v>7.7693370207637473E-4</v>
      </c>
      <c r="I61" s="4">
        <v>5.8022036356178972E-4</v>
      </c>
      <c r="J61" s="4">
        <v>4.9291843536531808E-4</v>
      </c>
    </row>
    <row r="62" spans="1:10">
      <c r="A62" s="34" t="s">
        <v>316</v>
      </c>
      <c r="B62" s="4">
        <v>4.9835646383568268E-4</v>
      </c>
      <c r="D62" s="4">
        <v>4.5717227388579967E-4</v>
      </c>
      <c r="E62" s="4">
        <v>5.4511969311230653E-4</v>
      </c>
      <c r="F62" s="4"/>
      <c r="G62" s="4">
        <v>0</v>
      </c>
      <c r="H62" s="4">
        <v>0</v>
      </c>
      <c r="I62" s="4">
        <v>8.1375661176275038E-4</v>
      </c>
      <c r="J62" s="4">
        <v>1.572214611023729E-3</v>
      </c>
    </row>
    <row r="63" spans="1:10">
      <c r="A63" s="34" t="s">
        <v>317</v>
      </c>
      <c r="B63" s="4">
        <v>0</v>
      </c>
      <c r="D63" s="4">
        <v>0</v>
      </c>
      <c r="E63" s="4">
        <v>0</v>
      </c>
      <c r="F63" s="4"/>
      <c r="G63" s="4">
        <v>0</v>
      </c>
      <c r="H63" s="4">
        <v>0</v>
      </c>
      <c r="I63" s="4">
        <v>0</v>
      </c>
      <c r="J63" s="4">
        <v>0</v>
      </c>
    </row>
    <row r="64" spans="1:10">
      <c r="A64" s="34" t="s">
        <v>318</v>
      </c>
      <c r="B64" s="4">
        <v>5.0728650253146525E-3</v>
      </c>
      <c r="D64" s="4">
        <v>7.8462230471343392E-3</v>
      </c>
      <c r="E64" s="4">
        <v>2.1731562935610065E-3</v>
      </c>
      <c r="F64" s="4"/>
      <c r="G64" s="4">
        <v>2.571377649992373E-3</v>
      </c>
      <c r="H64" s="4">
        <v>5.6479202198333536E-3</v>
      </c>
      <c r="I64" s="4">
        <v>6.4234733672098136E-3</v>
      </c>
      <c r="J64" s="4">
        <v>6.7616392816918017E-3</v>
      </c>
    </row>
    <row r="65" spans="1:10">
      <c r="A65" s="34" t="s">
        <v>319</v>
      </c>
      <c r="B65" s="4">
        <v>1.40768551197589E-4</v>
      </c>
      <c r="D65" s="4">
        <v>2.747593430706896E-4</v>
      </c>
      <c r="E65" s="4">
        <v>0</v>
      </c>
      <c r="F65" s="4"/>
      <c r="G65" s="4">
        <v>0</v>
      </c>
      <c r="H65" s="4">
        <v>5.2622398843730947E-4</v>
      </c>
      <c r="I65" s="4">
        <v>0</v>
      </c>
      <c r="J65" s="4">
        <v>0</v>
      </c>
    </row>
    <row r="66" spans="1:10">
      <c r="A66" s="34" t="s">
        <v>320</v>
      </c>
      <c r="B66" s="4">
        <v>8.1588752124099064E-4</v>
      </c>
      <c r="D66" s="4">
        <v>0</v>
      </c>
      <c r="E66" s="4">
        <v>1.6838440000552799E-3</v>
      </c>
      <c r="F66" s="4"/>
      <c r="G66" s="4">
        <v>0</v>
      </c>
      <c r="H66" s="4">
        <v>9.8908965535556719E-4</v>
      </c>
      <c r="I66" s="4">
        <v>1.3087692405763789E-3</v>
      </c>
      <c r="J66" s="4">
        <v>1.3329835764118432E-3</v>
      </c>
    </row>
    <row r="67" spans="1:10">
      <c r="A67" s="34" t="s">
        <v>321</v>
      </c>
      <c r="B67" s="4">
        <v>7.0880262438263064E-2</v>
      </c>
      <c r="D67" s="4">
        <v>2.7992729530572254E-2</v>
      </c>
      <c r="E67" s="4">
        <v>0.11587567402666088</v>
      </c>
      <c r="F67" s="4"/>
      <c r="G67" s="4">
        <v>6.573016380936729E-2</v>
      </c>
      <c r="H67" s="4">
        <v>0.11014536908721355</v>
      </c>
      <c r="I67" s="4">
        <v>7.1837473239063934E-2</v>
      </c>
      <c r="J67" s="4">
        <v>2.7492282008931619E-2</v>
      </c>
    </row>
    <row r="68" spans="1:10">
      <c r="A68" s="34" t="s">
        <v>322</v>
      </c>
      <c r="B68" s="4">
        <v>1.1144778053641027E-3</v>
      </c>
      <c r="D68" s="4">
        <v>1.7810608024440972E-3</v>
      </c>
      <c r="E68" s="4">
        <v>4.1684973541534305E-4</v>
      </c>
      <c r="F68" s="4"/>
      <c r="G68" s="4">
        <v>0</v>
      </c>
      <c r="H68" s="4">
        <v>7.9680346880282968E-4</v>
      </c>
      <c r="I68" s="4">
        <v>2.3249737399412013E-3</v>
      </c>
      <c r="J68" s="4">
        <v>1.9951144975950668E-3</v>
      </c>
    </row>
    <row r="69" spans="1:10">
      <c r="A69" s="34" t="s">
        <v>323</v>
      </c>
      <c r="B69" s="4">
        <v>0</v>
      </c>
      <c r="D69" s="4">
        <v>0</v>
      </c>
      <c r="E69" s="4">
        <v>0</v>
      </c>
      <c r="F69" s="4"/>
      <c r="G69" s="4">
        <v>0</v>
      </c>
      <c r="H69" s="4">
        <v>0</v>
      </c>
      <c r="I69" s="4">
        <v>0</v>
      </c>
      <c r="J69" s="4">
        <v>0</v>
      </c>
    </row>
    <row r="70" spans="1:10">
      <c r="A70" s="34" t="s">
        <v>324</v>
      </c>
      <c r="B70" s="4">
        <v>9.5997318135328837E-3</v>
      </c>
      <c r="D70" s="4">
        <v>7.6574403979033758E-3</v>
      </c>
      <c r="E70" s="4">
        <v>1.1715401124357303E-2</v>
      </c>
      <c r="F70" s="4"/>
      <c r="G70" s="4">
        <v>1.7917478256955571E-3</v>
      </c>
      <c r="H70" s="4">
        <v>5.007612026400223E-3</v>
      </c>
      <c r="I70" s="4">
        <v>1.7969038255709675E-2</v>
      </c>
      <c r="J70" s="4">
        <v>1.8905214854959974E-2</v>
      </c>
    </row>
    <row r="71" spans="1:10">
      <c r="A71" s="34" t="s">
        <v>325</v>
      </c>
      <c r="B71" s="4">
        <v>1.3799887197175241E-4</v>
      </c>
      <c r="D71" s="4">
        <v>0</v>
      </c>
      <c r="E71" s="4">
        <v>2.8480466551393275E-4</v>
      </c>
      <c r="F71" s="4"/>
      <c r="G71" s="4">
        <v>0</v>
      </c>
      <c r="H71" s="4">
        <v>0</v>
      </c>
      <c r="I71" s="4">
        <v>6.6316850360465765E-4</v>
      </c>
      <c r="J71" s="4">
        <v>0</v>
      </c>
    </row>
    <row r="72" spans="1:10">
      <c r="A72" s="34" t="s">
        <v>326</v>
      </c>
      <c r="B72" s="4">
        <v>5.1664039170685441E-4</v>
      </c>
      <c r="D72" s="4">
        <v>7.4075310045928924E-4</v>
      </c>
      <c r="E72" s="4">
        <v>2.8300610183548225E-4</v>
      </c>
      <c r="F72" s="4"/>
      <c r="G72" s="4">
        <v>0</v>
      </c>
      <c r="H72" s="4">
        <v>1.3695841824047498E-3</v>
      </c>
      <c r="I72" s="4">
        <v>4.0654426589907609E-4</v>
      </c>
      <c r="J72" s="4">
        <v>3.1379757749113043E-4</v>
      </c>
    </row>
    <row r="73" spans="1:10">
      <c r="A73" s="34" t="s">
        <v>327</v>
      </c>
      <c r="B73" s="4">
        <v>1.3106809389815734E-4</v>
      </c>
      <c r="D73" s="4">
        <v>0</v>
      </c>
      <c r="E73" s="4">
        <v>2.7050079546921531E-4</v>
      </c>
      <c r="F73" s="4"/>
      <c r="G73" s="4">
        <v>0</v>
      </c>
      <c r="H73" s="4">
        <v>0</v>
      </c>
      <c r="I73" s="4">
        <v>6.2986190002008028E-4</v>
      </c>
      <c r="J73" s="4">
        <v>0</v>
      </c>
    </row>
    <row r="74" spans="1:10">
      <c r="A74" s="34" t="s">
        <v>328</v>
      </c>
      <c r="B74" s="4">
        <v>2.0997832968914199E-3</v>
      </c>
      <c r="D74" s="4">
        <v>1.4520118763195922E-3</v>
      </c>
      <c r="E74" s="4">
        <v>2.7982663871827592E-3</v>
      </c>
      <c r="F74" s="4"/>
      <c r="G74" s="4">
        <v>7.5260631375371752E-4</v>
      </c>
      <c r="H74" s="4">
        <v>1.4376820189904776E-3</v>
      </c>
      <c r="I74" s="4">
        <v>3.4711628336224487E-3</v>
      </c>
      <c r="J74" s="4">
        <v>3.6111222830504533E-3</v>
      </c>
    </row>
    <row r="75" spans="1:10">
      <c r="A75" s="34" t="s">
        <v>329</v>
      </c>
      <c r="B75" s="4">
        <v>0</v>
      </c>
      <c r="D75" s="4">
        <v>0</v>
      </c>
      <c r="E75" s="4">
        <v>0</v>
      </c>
      <c r="F75" s="4"/>
      <c r="G75" s="4">
        <v>0</v>
      </c>
      <c r="H75" s="4">
        <v>0</v>
      </c>
      <c r="I75" s="4">
        <v>0</v>
      </c>
      <c r="J75" s="4">
        <v>0</v>
      </c>
    </row>
    <row r="76" spans="1:10">
      <c r="A76" s="34" t="s">
        <v>330</v>
      </c>
      <c r="B76" s="4">
        <v>1.5551822723788508E-3</v>
      </c>
      <c r="D76" s="4">
        <v>2.1528519894256216E-3</v>
      </c>
      <c r="E76" s="4">
        <v>9.3326508615624475E-4</v>
      </c>
      <c r="F76" s="4"/>
      <c r="G76" s="4">
        <v>9.2298495530328858E-4</v>
      </c>
      <c r="H76" s="4">
        <v>2.8301412886241563E-3</v>
      </c>
      <c r="I76" s="4">
        <v>3.7996019965726792E-4</v>
      </c>
      <c r="J76" s="4">
        <v>2.046007215392076E-3</v>
      </c>
    </row>
    <row r="77" spans="1:10">
      <c r="A77" s="34" t="s">
        <v>331</v>
      </c>
      <c r="B77" s="4">
        <v>8.0132912020143224E-3</v>
      </c>
      <c r="D77" s="4">
        <v>1.1010919826175396E-2</v>
      </c>
      <c r="E77" s="4">
        <v>4.8954250009195163E-3</v>
      </c>
      <c r="F77" s="4"/>
      <c r="G77" s="4">
        <v>3.6532680873408276E-3</v>
      </c>
      <c r="H77" s="4">
        <v>1.0989358733517285E-2</v>
      </c>
      <c r="I77" s="4">
        <v>1.2767611978460585E-2</v>
      </c>
      <c r="J77" s="4">
        <v>6.0470937266233031E-3</v>
      </c>
    </row>
    <row r="78" spans="1:10">
      <c r="A78" s="34" t="s">
        <v>332</v>
      </c>
      <c r="B78" s="4">
        <v>1.7923851536145077E-2</v>
      </c>
      <c r="D78" s="4">
        <v>2.1842828261204122E-2</v>
      </c>
      <c r="E78" s="4">
        <v>1.3895749987908676E-2</v>
      </c>
      <c r="F78" s="4"/>
      <c r="G78" s="4">
        <v>6.1759717955218989E-3</v>
      </c>
      <c r="H78" s="4">
        <v>2.6562154447675641E-2</v>
      </c>
      <c r="I78" s="4">
        <v>2.5511551563989349E-2</v>
      </c>
      <c r="J78" s="4">
        <v>1.7027314014232891E-2</v>
      </c>
    </row>
    <row r="79" spans="1:10">
      <c r="A79" s="34" t="s">
        <v>333</v>
      </c>
      <c r="B79" s="4">
        <v>1.9902271153268003E-4</v>
      </c>
      <c r="D79" s="4">
        <v>3.8846282789477987E-4</v>
      </c>
      <c r="E79" s="4">
        <v>0</v>
      </c>
      <c r="F79" s="4"/>
      <c r="G79" s="4">
        <v>0</v>
      </c>
      <c r="H79" s="4">
        <v>0</v>
      </c>
      <c r="I79" s="4">
        <v>0</v>
      </c>
      <c r="J79" s="4">
        <v>9.5102065603173481E-4</v>
      </c>
    </row>
    <row r="80" spans="1:10">
      <c r="A80" s="34" t="s">
        <v>334</v>
      </c>
      <c r="B80" s="4">
        <v>6.5669283152338867E-5</v>
      </c>
      <c r="D80" s="4">
        <v>1.2817670527512517E-4</v>
      </c>
      <c r="E80" s="4">
        <v>0</v>
      </c>
      <c r="F80" s="4"/>
      <c r="G80" s="4">
        <v>0</v>
      </c>
      <c r="H80" s="4">
        <v>0</v>
      </c>
      <c r="I80" s="4">
        <v>0</v>
      </c>
      <c r="J80" s="4">
        <v>3.1379757749113043E-4</v>
      </c>
    </row>
    <row r="81" spans="1:10">
      <c r="A81" s="34" t="s">
        <v>335</v>
      </c>
      <c r="B81" s="4">
        <v>0</v>
      </c>
      <c r="D81" s="4">
        <v>0</v>
      </c>
      <c r="E81" s="4">
        <v>0</v>
      </c>
      <c r="F81" s="4"/>
      <c r="G81" s="4">
        <v>0</v>
      </c>
      <c r="H81" s="4">
        <v>0</v>
      </c>
      <c r="I81" s="4">
        <v>0</v>
      </c>
      <c r="J81" s="4">
        <v>0</v>
      </c>
    </row>
    <row r="82" spans="1:10">
      <c r="A82" s="34" t="s">
        <v>336</v>
      </c>
      <c r="B82" s="4">
        <v>4.4631957529456956E-4</v>
      </c>
      <c r="D82" s="4">
        <v>4.8154093878038706E-4</v>
      </c>
      <c r="E82" s="4">
        <v>4.1195842284734208E-4</v>
      </c>
      <c r="F82" s="4"/>
      <c r="G82" s="4">
        <v>0</v>
      </c>
      <c r="H82" s="4">
        <v>9.2225578416697427E-4</v>
      </c>
      <c r="I82" s="4">
        <v>0</v>
      </c>
      <c r="J82" s="4">
        <v>9.5382595227456719E-4</v>
      </c>
    </row>
    <row r="83" spans="1:10">
      <c r="A83" s="34" t="s">
        <v>337</v>
      </c>
      <c r="B83" s="4">
        <v>8.1230481643283499E-4</v>
      </c>
      <c r="D83" s="4">
        <v>8.9308715441104036E-4</v>
      </c>
      <c r="E83" s="4">
        <v>7.3213127407832591E-4</v>
      </c>
      <c r="F83" s="4"/>
      <c r="G83" s="4">
        <v>0</v>
      </c>
      <c r="H83" s="4">
        <v>8.2624546122855424E-4</v>
      </c>
      <c r="I83" s="4">
        <v>1.1366827025161758E-3</v>
      </c>
      <c r="J83" s="4">
        <v>1.6951366229172292E-3</v>
      </c>
    </row>
    <row r="84" spans="1:10">
      <c r="A84" s="34" t="s">
        <v>338</v>
      </c>
      <c r="B84" s="4">
        <v>0</v>
      </c>
      <c r="D84" s="4">
        <v>0</v>
      </c>
      <c r="E84" s="4">
        <v>0</v>
      </c>
      <c r="F84" s="4"/>
      <c r="G84" s="4">
        <v>0</v>
      </c>
      <c r="H84" s="4">
        <v>0</v>
      </c>
      <c r="I84" s="4">
        <v>0</v>
      </c>
      <c r="J84" s="4">
        <v>0</v>
      </c>
    </row>
    <row r="85" spans="1:10">
      <c r="A85" s="34" t="s">
        <v>339</v>
      </c>
      <c r="B85" s="4">
        <v>7.3314208574463717E-3</v>
      </c>
      <c r="D85" s="4">
        <v>8.0021798587681745E-3</v>
      </c>
      <c r="E85" s="4">
        <v>6.6695030673696292E-3</v>
      </c>
      <c r="F85" s="4"/>
      <c r="G85" s="4">
        <v>1.224811931240552E-3</v>
      </c>
      <c r="H85" s="4">
        <v>1.1078731062499217E-2</v>
      </c>
      <c r="I85" s="4">
        <v>1.0747842017964441E-2</v>
      </c>
      <c r="J85" s="4">
        <v>8.3397763220531395E-3</v>
      </c>
    </row>
    <row r="86" spans="1:10">
      <c r="A86" s="34" t="s">
        <v>340</v>
      </c>
      <c r="B86" s="4">
        <v>0</v>
      </c>
      <c r="D86" s="4">
        <v>0</v>
      </c>
      <c r="E86" s="4">
        <v>0</v>
      </c>
      <c r="F86" s="4"/>
      <c r="G86" s="4">
        <v>0</v>
      </c>
      <c r="H86" s="4">
        <v>0</v>
      </c>
      <c r="I86" s="4">
        <v>0</v>
      </c>
      <c r="J86" s="4">
        <v>0</v>
      </c>
    </row>
    <row r="87" spans="1:10">
      <c r="A87" s="34" t="s">
        <v>341</v>
      </c>
      <c r="B87" s="4">
        <v>6.8680449327199457E-5</v>
      </c>
      <c r="D87" s="4">
        <v>1.3405405524458019E-4</v>
      </c>
      <c r="E87" s="4">
        <v>0</v>
      </c>
      <c r="F87" s="4"/>
      <c r="G87" s="4">
        <v>0</v>
      </c>
      <c r="H87" s="4">
        <v>0</v>
      </c>
      <c r="I87" s="4">
        <v>0</v>
      </c>
      <c r="J87" s="4">
        <v>3.281862932762948E-4</v>
      </c>
    </row>
    <row r="88" spans="1:10">
      <c r="A88" s="34" t="s">
        <v>342</v>
      </c>
      <c r="B88" s="4">
        <v>7.0015146487933085E-3</v>
      </c>
      <c r="D88" s="4">
        <v>7.772719592254838E-3</v>
      </c>
      <c r="E88" s="4">
        <v>6.2312595788285886E-3</v>
      </c>
      <c r="F88" s="4"/>
      <c r="G88" s="4">
        <v>2.0967438246522457E-3</v>
      </c>
      <c r="H88" s="4">
        <v>1.2228318774105859E-2</v>
      </c>
      <c r="I88" s="4">
        <v>5.5762303130698875E-3</v>
      </c>
      <c r="J88" s="4">
        <v>9.1232556807103599E-3</v>
      </c>
    </row>
    <row r="89" spans="1:10">
      <c r="A89" s="34" t="s">
        <v>343</v>
      </c>
      <c r="B89" s="4">
        <v>1.5055887239206153E-3</v>
      </c>
      <c r="D89" s="4">
        <v>1.9889109932402396E-3</v>
      </c>
      <c r="E89" s="4">
        <v>1.0042583819201898E-3</v>
      </c>
      <c r="F89" s="4"/>
      <c r="G89" s="4">
        <v>1.2025238155906942E-3</v>
      </c>
      <c r="H89" s="4">
        <v>1.0651090978517968E-3</v>
      </c>
      <c r="I89" s="4">
        <v>1.5865588381864435E-3</v>
      </c>
      <c r="J89" s="4">
        <v>2.4444932642660893E-3</v>
      </c>
    </row>
    <row r="90" spans="1:10">
      <c r="A90" s="34" t="s">
        <v>344</v>
      </c>
      <c r="B90" s="4">
        <v>0</v>
      </c>
      <c r="D90" s="4">
        <v>0</v>
      </c>
      <c r="E90" s="4">
        <v>0</v>
      </c>
      <c r="F90" s="4"/>
      <c r="G90" s="4">
        <v>0</v>
      </c>
      <c r="H90" s="4">
        <v>0</v>
      </c>
      <c r="I90" s="4">
        <v>0</v>
      </c>
      <c r="J90" s="4">
        <v>0</v>
      </c>
    </row>
    <row r="91" spans="1:10">
      <c r="A91" s="34" t="s">
        <v>345</v>
      </c>
      <c r="B91" s="4">
        <v>4.7412321048534893E-3</v>
      </c>
      <c r="D91" s="4">
        <v>5.8332673577589887E-3</v>
      </c>
      <c r="E91" s="4">
        <v>3.6171539706867689E-3</v>
      </c>
      <c r="F91" s="4"/>
      <c r="G91" s="4">
        <v>2.9442735071682764E-3</v>
      </c>
      <c r="H91" s="4">
        <v>3.7737453081023247E-3</v>
      </c>
      <c r="I91" s="4">
        <v>4.3135279576857295E-3</v>
      </c>
      <c r="J91" s="4">
        <v>9.10915018469023E-3</v>
      </c>
    </row>
    <row r="92" spans="1:10">
      <c r="A92" s="34" t="s">
        <v>346</v>
      </c>
      <c r="B92" s="4">
        <v>4.8994331866589311E-4</v>
      </c>
      <c r="D92" s="4">
        <v>5.9513494759121468E-4</v>
      </c>
      <c r="E92" s="4">
        <v>3.8187964940722744E-4</v>
      </c>
      <c r="F92" s="4"/>
      <c r="G92" s="4">
        <v>0</v>
      </c>
      <c r="H92" s="4">
        <v>0</v>
      </c>
      <c r="I92" s="4">
        <v>8.2538651645636574E-4</v>
      </c>
      <c r="J92" s="4">
        <v>1.5204486058177007E-3</v>
      </c>
    </row>
    <row r="93" spans="1:10">
      <c r="A93" s="34" t="s">
        <v>347</v>
      </c>
      <c r="B93" s="4">
        <v>2.0071146859408509E-3</v>
      </c>
      <c r="D93" s="4">
        <v>2.6186051162393016E-3</v>
      </c>
      <c r="E93" s="4">
        <v>1.3735008623665824E-3</v>
      </c>
      <c r="F93" s="4"/>
      <c r="G93" s="4">
        <v>3.9376705988263596E-4</v>
      </c>
      <c r="H93" s="4">
        <v>7.1723575925990678E-4</v>
      </c>
      <c r="I93" s="4">
        <v>2.6018831514450142E-3</v>
      </c>
      <c r="J93" s="4">
        <v>5.4939540590843708E-3</v>
      </c>
    </row>
    <row r="94" spans="1:10">
      <c r="A94" s="34" t="s">
        <v>348</v>
      </c>
      <c r="B94" s="4">
        <v>0</v>
      </c>
      <c r="D94" s="4">
        <v>0</v>
      </c>
      <c r="E94" s="4">
        <v>0</v>
      </c>
      <c r="F94" s="4"/>
      <c r="G94" s="4">
        <v>0</v>
      </c>
      <c r="H94" s="4">
        <v>0</v>
      </c>
      <c r="I94" s="4">
        <v>0</v>
      </c>
      <c r="J94" s="4">
        <v>0</v>
      </c>
    </row>
    <row r="95" spans="1:10">
      <c r="A95" s="34" t="s">
        <v>349</v>
      </c>
      <c r="B95" s="4">
        <v>1.32429721695999E-3</v>
      </c>
      <c r="D95" s="4">
        <v>2.3555591521587228E-3</v>
      </c>
      <c r="E95" s="4">
        <v>2.4242480724465964E-4</v>
      </c>
      <c r="F95" s="4"/>
      <c r="G95" s="4">
        <v>8.9096758150510004E-4</v>
      </c>
      <c r="H95" s="4">
        <v>1.3570354964570037E-3</v>
      </c>
      <c r="I95" s="4">
        <v>2.2619176545170113E-3</v>
      </c>
      <c r="J95" s="4">
        <v>1.0026494075654918E-3</v>
      </c>
    </row>
    <row r="96" spans="1:10">
      <c r="A96" s="34" t="s">
        <v>350</v>
      </c>
      <c r="B96" s="4">
        <v>4.6824679061891236E-2</v>
      </c>
      <c r="D96" s="4">
        <v>5.9013823928452452E-3</v>
      </c>
      <c r="E96" s="4">
        <v>9.0121046812501368E-2</v>
      </c>
      <c r="F96" s="4"/>
      <c r="G96" s="4">
        <v>2.0449249586015593E-3</v>
      </c>
      <c r="H96" s="4">
        <v>3.4828812326551085E-2</v>
      </c>
      <c r="I96" s="4">
        <v>7.4965459958822048E-2</v>
      </c>
      <c r="J96" s="4">
        <v>0.10160775927952528</v>
      </c>
    </row>
    <row r="97" spans="1:10">
      <c r="A97" s="34" t="s">
        <v>351</v>
      </c>
      <c r="B97" s="4">
        <v>9.3274642962566754E-4</v>
      </c>
      <c r="D97" s="4">
        <v>8.7238101383385993E-4</v>
      </c>
      <c r="E97" s="4">
        <v>1.0025948773963189E-3</v>
      </c>
      <c r="F97" s="4"/>
      <c r="G97" s="4">
        <v>0</v>
      </c>
      <c r="H97" s="4">
        <v>1.8148566936149247E-3</v>
      </c>
      <c r="I97" s="4">
        <v>6.4067174466158597E-4</v>
      </c>
      <c r="J97" s="4">
        <v>1.5001580842932843E-3</v>
      </c>
    </row>
    <row r="98" spans="1:10">
      <c r="A98" s="34" t="s">
        <v>352</v>
      </c>
      <c r="B98" s="4">
        <v>1.2867355342560861E-4</v>
      </c>
      <c r="D98" s="4">
        <v>2.5115170049712804E-4</v>
      </c>
      <c r="E98" s="4">
        <v>0</v>
      </c>
      <c r="F98" s="4"/>
      <c r="G98" s="4">
        <v>0</v>
      </c>
      <c r="H98" s="4">
        <v>0</v>
      </c>
      <c r="I98" s="4">
        <v>6.183546768137486E-4</v>
      </c>
      <c r="J98" s="4">
        <v>0</v>
      </c>
    </row>
    <row r="99" spans="1:10">
      <c r="A99" s="34" t="s">
        <v>353</v>
      </c>
      <c r="B99" s="4">
        <v>0</v>
      </c>
      <c r="D99" s="4">
        <v>0</v>
      </c>
      <c r="E99" s="4">
        <v>0</v>
      </c>
      <c r="F99" s="4"/>
      <c r="G99" s="4">
        <v>0</v>
      </c>
      <c r="H99" s="4">
        <v>0</v>
      </c>
      <c r="I99" s="4">
        <v>0</v>
      </c>
      <c r="J99" s="4">
        <v>0</v>
      </c>
    </row>
    <row r="100" spans="1:10">
      <c r="A100" s="34" t="s">
        <v>354</v>
      </c>
      <c r="B100" s="4">
        <v>5.1125941292184509E-3</v>
      </c>
      <c r="D100" s="4">
        <v>6.4141839313385015E-3</v>
      </c>
      <c r="E100" s="4">
        <v>3.7693373205551473E-3</v>
      </c>
      <c r="F100" s="4"/>
      <c r="G100" s="4">
        <v>0</v>
      </c>
      <c r="H100" s="4">
        <v>4.2495956491329393E-3</v>
      </c>
      <c r="I100" s="4">
        <v>8.486425712594399E-3</v>
      </c>
      <c r="J100" s="4">
        <v>1.0559692130727685E-2</v>
      </c>
    </row>
    <row r="101" spans="1:10">
      <c r="A101" s="34" t="s">
        <v>355</v>
      </c>
      <c r="B101" s="4">
        <v>2.0461846121897059E-4</v>
      </c>
      <c r="D101" s="4">
        <v>1.3643843025006576E-4</v>
      </c>
      <c r="E101" s="4">
        <v>2.780302702104126E-4</v>
      </c>
      <c r="F101" s="4"/>
      <c r="G101" s="4">
        <v>0</v>
      </c>
      <c r="H101" s="4">
        <v>5.0359976630302969E-4</v>
      </c>
      <c r="I101" s="4">
        <v>0</v>
      </c>
      <c r="J101" s="4">
        <v>3.340236339923459E-4</v>
      </c>
    </row>
    <row r="102" spans="1:10">
      <c r="A102" s="34" t="s">
        <v>356</v>
      </c>
      <c r="B102" s="4">
        <v>3.0906542288129782E-4</v>
      </c>
      <c r="D102" s="4">
        <v>6.0324988667060113E-4</v>
      </c>
      <c r="E102" s="4">
        <v>0</v>
      </c>
      <c r="F102" s="4"/>
      <c r="G102" s="4">
        <v>0</v>
      </c>
      <c r="H102" s="4">
        <v>8.9861221464500915E-4</v>
      </c>
      <c r="I102" s="4">
        <v>0</v>
      </c>
      <c r="J102" s="4">
        <v>3.281862932762948E-4</v>
      </c>
    </row>
    <row r="103" spans="1:10">
      <c r="A103" s="34" t="s">
        <v>357</v>
      </c>
      <c r="B103" s="4">
        <v>2.1450151932612183E-3</v>
      </c>
      <c r="D103" s="4">
        <v>3.4370057701895071E-3</v>
      </c>
      <c r="E103" s="4">
        <v>7.9275470449092957E-4</v>
      </c>
      <c r="F103" s="4"/>
      <c r="G103" s="4">
        <v>3.9402492247655763E-4</v>
      </c>
      <c r="H103" s="4">
        <v>2.8733620801116942E-3</v>
      </c>
      <c r="I103" s="4">
        <v>4.2115759204196489E-3</v>
      </c>
      <c r="J103" s="4">
        <v>1.7958102520312404E-3</v>
      </c>
    </row>
    <row r="104" spans="1:10">
      <c r="A104" s="34" t="s">
        <v>358</v>
      </c>
      <c r="B104" s="4">
        <v>0</v>
      </c>
      <c r="D104" s="4">
        <v>0</v>
      </c>
      <c r="E104" s="4">
        <v>0</v>
      </c>
      <c r="F104" s="4"/>
      <c r="G104" s="4">
        <v>0</v>
      </c>
      <c r="H104" s="4">
        <v>0</v>
      </c>
      <c r="I104" s="4">
        <v>0</v>
      </c>
      <c r="J104" s="4">
        <v>0</v>
      </c>
    </row>
    <row r="105" spans="1:10">
      <c r="A105" s="34" t="s">
        <v>359</v>
      </c>
      <c r="B105" s="4">
        <v>6.721398752998455E-4</v>
      </c>
      <c r="D105" s="4">
        <v>2.4902151086491383E-4</v>
      </c>
      <c r="E105" s="4">
        <v>1.1238683958852053E-3</v>
      </c>
      <c r="F105" s="4"/>
      <c r="G105" s="4">
        <v>4.4843156145827186E-4</v>
      </c>
      <c r="H105" s="4">
        <v>4.7693043370068667E-4</v>
      </c>
      <c r="I105" s="4">
        <v>7.1782083230312321E-4</v>
      </c>
      <c r="J105" s="4">
        <v>1.2131149538140871E-3</v>
      </c>
    </row>
    <row r="106" spans="1:10">
      <c r="A106" s="34" t="s">
        <v>360</v>
      </c>
      <c r="B106" s="4">
        <v>3.573887838733326E-4</v>
      </c>
      <c r="D106" s="4">
        <v>6.9756992341305976E-4</v>
      </c>
      <c r="E106" s="4">
        <v>0</v>
      </c>
      <c r="F106" s="4"/>
      <c r="G106" s="4">
        <v>0</v>
      </c>
      <c r="H106" s="4">
        <v>3.7238822620769968E-4</v>
      </c>
      <c r="I106" s="4">
        <v>5.1891157988717186E-4</v>
      </c>
      <c r="J106" s="4">
        <v>7.1577374583909443E-4</v>
      </c>
    </row>
    <row r="107" spans="1:10">
      <c r="A107" s="34" t="s">
        <v>361</v>
      </c>
      <c r="B107" s="4">
        <v>4.6211988018615008E-4</v>
      </c>
      <c r="D107" s="4">
        <v>3.8509475731643872E-4</v>
      </c>
      <c r="E107" s="4">
        <v>5.4654615963040185E-4</v>
      </c>
      <c r="F107" s="4"/>
      <c r="G107" s="4">
        <v>0</v>
      </c>
      <c r="H107" s="4">
        <v>4.3777861019036698E-4</v>
      </c>
      <c r="I107" s="4">
        <v>0</v>
      </c>
      <c r="J107" s="4">
        <v>1.6486191937150967E-3</v>
      </c>
    </row>
    <row r="108" spans="1:10">
      <c r="A108" s="34" t="s">
        <v>362</v>
      </c>
      <c r="B108" s="4">
        <v>1.0315439832841875E-4</v>
      </c>
      <c r="D108" s="4">
        <v>0</v>
      </c>
      <c r="E108" s="4">
        <v>2.1289198594485589E-4</v>
      </c>
      <c r="F108" s="4"/>
      <c r="G108" s="4">
        <v>0</v>
      </c>
      <c r="H108" s="4">
        <v>0</v>
      </c>
      <c r="I108" s="4">
        <v>0</v>
      </c>
      <c r="J108" s="4">
        <v>4.9291843536531808E-4</v>
      </c>
    </row>
    <row r="109" spans="1:10">
      <c r="A109" s="34" t="s">
        <v>363</v>
      </c>
      <c r="B109" s="4">
        <v>1.6109645917947017E-4</v>
      </c>
      <c r="D109" s="4">
        <v>0</v>
      </c>
      <c r="E109" s="4">
        <v>3.3247390008723767E-4</v>
      </c>
      <c r="F109" s="4"/>
      <c r="G109" s="4">
        <v>0</v>
      </c>
      <c r="H109" s="4">
        <v>6.0221420588152602E-4</v>
      </c>
      <c r="I109" s="4">
        <v>0</v>
      </c>
      <c r="J109" s="4">
        <v>0</v>
      </c>
    </row>
    <row r="110" spans="1:10">
      <c r="A110" s="34" t="s">
        <v>364</v>
      </c>
      <c r="B110" s="4">
        <v>1.2287418944759659E-3</v>
      </c>
      <c r="D110" s="4">
        <v>6.9379168025200091E-4</v>
      </c>
      <c r="E110" s="4">
        <v>1.8023099060706334E-3</v>
      </c>
      <c r="F110" s="4"/>
      <c r="G110" s="4">
        <v>7.9914079416719419E-4</v>
      </c>
      <c r="H110" s="4">
        <v>1.2275969841630771E-3</v>
      </c>
      <c r="I110" s="4">
        <v>2.2998325088380103E-3</v>
      </c>
      <c r="J110" s="4">
        <v>8.1207539291255177E-4</v>
      </c>
    </row>
    <row r="111" spans="1:10">
      <c r="A111" s="34" t="s">
        <v>365</v>
      </c>
      <c r="B111" s="4">
        <v>1.275821848666666E-4</v>
      </c>
      <c r="D111" s="4">
        <v>2.4902151086491383E-4</v>
      </c>
      <c r="E111" s="4">
        <v>0</v>
      </c>
      <c r="F111" s="4"/>
      <c r="G111" s="4">
        <v>0</v>
      </c>
      <c r="H111" s="4">
        <v>4.7693043370068667E-4</v>
      </c>
      <c r="I111" s="4">
        <v>0</v>
      </c>
      <c r="J111" s="4">
        <v>0</v>
      </c>
    </row>
    <row r="112" spans="1:10">
      <c r="A112" s="34" t="s">
        <v>366</v>
      </c>
      <c r="B112" s="4">
        <v>3.0563303398417978E-3</v>
      </c>
      <c r="D112" s="4">
        <v>4.8625799590992433E-3</v>
      </c>
      <c r="E112" s="4">
        <v>1.1661924598173222E-3</v>
      </c>
      <c r="F112" s="4"/>
      <c r="G112" s="4">
        <v>7.6992583561923686E-3</v>
      </c>
      <c r="H112" s="4">
        <v>2.3553113012781774E-3</v>
      </c>
      <c r="I112" s="4">
        <v>0</v>
      </c>
      <c r="J112" s="4">
        <v>0</v>
      </c>
    </row>
    <row r="113" spans="1:10">
      <c r="A113" s="34" t="s">
        <v>367</v>
      </c>
      <c r="B113" s="4">
        <v>1.3430162010388291E-3</v>
      </c>
      <c r="D113" s="4">
        <v>1.4450630557667403E-3</v>
      </c>
      <c r="E113" s="4">
        <v>1.2437836684730372E-3</v>
      </c>
      <c r="F113" s="4"/>
      <c r="G113" s="4">
        <v>3.8827739798584108E-4</v>
      </c>
      <c r="H113" s="4">
        <v>8.3829675917701106E-4</v>
      </c>
      <c r="I113" s="4">
        <v>1.693650410104104E-3</v>
      </c>
      <c r="J113" s="4">
        <v>3.0772092541189893E-3</v>
      </c>
    </row>
    <row r="114" spans="1:10">
      <c r="A114" s="34" t="s">
        <v>368</v>
      </c>
      <c r="B114" s="4">
        <v>0</v>
      </c>
      <c r="D114" s="4">
        <v>0</v>
      </c>
      <c r="E114" s="4">
        <v>0</v>
      </c>
      <c r="F114" s="4"/>
      <c r="G114" s="4">
        <v>0</v>
      </c>
      <c r="H114" s="4">
        <v>0</v>
      </c>
      <c r="I114" s="4">
        <v>0</v>
      </c>
      <c r="J114" s="4">
        <v>0</v>
      </c>
    </row>
    <row r="115" spans="1:10">
      <c r="A115" s="34" t="s">
        <v>369</v>
      </c>
      <c r="B115" s="4">
        <v>0</v>
      </c>
      <c r="D115" s="4">
        <v>0</v>
      </c>
      <c r="E115" s="4">
        <v>0</v>
      </c>
      <c r="F115" s="4"/>
      <c r="G115" s="4">
        <v>0</v>
      </c>
      <c r="H115" s="4">
        <v>0</v>
      </c>
      <c r="I115" s="4">
        <v>0</v>
      </c>
      <c r="J115" s="4">
        <v>0</v>
      </c>
    </row>
    <row r="116" spans="1:10">
      <c r="A116" s="34" t="s">
        <v>370</v>
      </c>
      <c r="B116" s="4">
        <v>9.7415142391819623E-5</v>
      </c>
      <c r="D116" s="4">
        <v>0</v>
      </c>
      <c r="E116" s="4">
        <v>2.0104720167983268E-4</v>
      </c>
      <c r="F116" s="4"/>
      <c r="G116" s="4">
        <v>0</v>
      </c>
      <c r="H116" s="4">
        <v>3.6415935468184126E-4</v>
      </c>
      <c r="I116" s="4">
        <v>0</v>
      </c>
      <c r="J116" s="4">
        <v>0</v>
      </c>
    </row>
    <row r="117" spans="1:10">
      <c r="A117" s="34" t="s">
        <v>371</v>
      </c>
      <c r="B117" s="4">
        <v>1.2905746436672298E-3</v>
      </c>
      <c r="D117" s="4">
        <v>4.9744275873660464E-4</v>
      </c>
      <c r="E117" s="4">
        <v>2.1375338795472814E-3</v>
      </c>
      <c r="F117" s="4"/>
      <c r="G117" s="4">
        <v>3.4116905407651036E-4</v>
      </c>
      <c r="H117" s="4">
        <v>1.3782819120365458E-3</v>
      </c>
      <c r="I117" s="4">
        <v>1.1650037214110361E-3</v>
      </c>
      <c r="J117" s="4">
        <v>2.7329701896153967E-3</v>
      </c>
    </row>
    <row r="118" spans="1:10">
      <c r="A118" s="34" t="s">
        <v>372</v>
      </c>
      <c r="B118" s="4">
        <v>1.1403308122935783E-3</v>
      </c>
      <c r="D118" s="4">
        <v>6.4409695708083779E-4</v>
      </c>
      <c r="E118" s="4">
        <v>1.6723908903028503E-3</v>
      </c>
      <c r="F118" s="4"/>
      <c r="G118" s="4">
        <v>0</v>
      </c>
      <c r="H118" s="4">
        <v>0</v>
      </c>
      <c r="I118" s="4">
        <v>0</v>
      </c>
      <c r="J118" s="4">
        <v>5.4490170938233133E-3</v>
      </c>
    </row>
    <row r="119" spans="1:10">
      <c r="A119" s="34" t="s">
        <v>373</v>
      </c>
      <c r="B119" s="4">
        <v>1.6785330133997908E-2</v>
      </c>
      <c r="D119" s="4">
        <v>2.4316645819508882E-2</v>
      </c>
      <c r="E119" s="4">
        <v>8.9303211999129176E-3</v>
      </c>
      <c r="F119" s="4"/>
      <c r="G119" s="4">
        <v>5.7533098407897424E-3</v>
      </c>
      <c r="H119" s="4">
        <v>1.3477388745907069E-2</v>
      </c>
      <c r="I119" s="4">
        <v>2.6783957892324267E-2</v>
      </c>
      <c r="J119" s="4">
        <v>2.7684038175495262E-2</v>
      </c>
    </row>
    <row r="120" spans="1:10">
      <c r="A120" s="34" t="s">
        <v>374</v>
      </c>
      <c r="B120" s="4">
        <v>6.2484769193725089E-3</v>
      </c>
      <c r="D120" s="4">
        <v>1.0569170541588863E-2</v>
      </c>
      <c r="E120" s="4">
        <v>1.7202581379445717E-3</v>
      </c>
      <c r="F120" s="4"/>
      <c r="G120" s="4">
        <v>1.2115585013873825E-3</v>
      </c>
      <c r="H120" s="4">
        <v>7.2014528403743826E-3</v>
      </c>
      <c r="I120" s="4">
        <v>6.2876170029671826E-3</v>
      </c>
      <c r="J120" s="4">
        <v>1.2576163789770634E-2</v>
      </c>
    </row>
    <row r="121" spans="1:10">
      <c r="A121" s="34" t="s">
        <v>375</v>
      </c>
      <c r="B121" s="4">
        <v>3.0488476405655815E-2</v>
      </c>
      <c r="D121" s="4">
        <v>2.9140688178500036E-2</v>
      </c>
      <c r="E121" s="4">
        <v>3.2110360766263675E-2</v>
      </c>
      <c r="F121" s="4"/>
      <c r="G121" s="4">
        <v>1.8987486539711523E-2</v>
      </c>
      <c r="H121" s="4">
        <v>3.0669903629948845E-2</v>
      </c>
      <c r="I121" s="4">
        <v>3.585393297803794E-2</v>
      </c>
      <c r="J121" s="4">
        <v>4.2240013083636355E-2</v>
      </c>
    </row>
    <row r="122" spans="1:10">
      <c r="A122" s="34" t="s">
        <v>376</v>
      </c>
      <c r="B122" s="4">
        <v>1.0186428889337258E-3</v>
      </c>
      <c r="D122" s="4">
        <v>1.0894129054201112E-3</v>
      </c>
      <c r="E122" s="4">
        <v>9.5038778206007406E-4</v>
      </c>
      <c r="F122" s="4"/>
      <c r="G122" s="4">
        <v>0</v>
      </c>
      <c r="H122" s="4">
        <v>3.7238822620769968E-4</v>
      </c>
      <c r="I122" s="4">
        <v>3.2918722674603893E-3</v>
      </c>
      <c r="J122" s="4">
        <v>1.1182539388805883E-3</v>
      </c>
    </row>
    <row r="123" spans="1:10">
      <c r="A123" s="34" t="s">
        <v>377</v>
      </c>
      <c r="B123" s="4">
        <v>3.3233413884558066E-3</v>
      </c>
      <c r="D123" s="4">
        <v>3.8208346613485275E-3</v>
      </c>
      <c r="E123" s="4">
        <v>2.8187593993189972E-3</v>
      </c>
      <c r="F123" s="4"/>
      <c r="G123" s="4">
        <v>3.128152346900121E-3</v>
      </c>
      <c r="H123" s="4">
        <v>2.8920173891447947E-3</v>
      </c>
      <c r="I123" s="4">
        <v>3.8732244432458413E-3</v>
      </c>
      <c r="J123" s="4">
        <v>3.6218361357124836E-3</v>
      </c>
    </row>
    <row r="124" spans="1:10">
      <c r="A124" s="34" t="s">
        <v>378</v>
      </c>
      <c r="B124" s="4">
        <v>2.7597845462204928E-3</v>
      </c>
      <c r="D124" s="4">
        <v>2.6962359510880663E-3</v>
      </c>
      <c r="E124" s="4">
        <v>2.645898664233232E-3</v>
      </c>
      <c r="F124" s="4"/>
      <c r="G124" s="4">
        <v>3.8255729486691187E-4</v>
      </c>
      <c r="H124" s="4">
        <v>8.4059559239642626E-4</v>
      </c>
      <c r="I124" s="4">
        <v>6.24182630339838E-3</v>
      </c>
      <c r="J124" s="4">
        <v>5.3303697416792178E-3</v>
      </c>
    </row>
    <row r="125" spans="1:10">
      <c r="A125" s="34" t="s">
        <v>379</v>
      </c>
      <c r="B125" s="4">
        <v>0</v>
      </c>
      <c r="D125" s="4">
        <v>0</v>
      </c>
      <c r="E125" s="4">
        <v>0</v>
      </c>
      <c r="F125" s="4"/>
      <c r="G125" s="4">
        <v>0</v>
      </c>
      <c r="H125" s="4">
        <v>0</v>
      </c>
      <c r="I125" s="4">
        <v>0</v>
      </c>
      <c r="J125" s="4">
        <v>0</v>
      </c>
    </row>
    <row r="126" spans="1:10">
      <c r="A126" s="34" t="s">
        <v>380</v>
      </c>
      <c r="B126" s="4">
        <v>2.9488018742288301E-4</v>
      </c>
      <c r="D126" s="4">
        <v>3.1256731648996605E-4</v>
      </c>
      <c r="E126" s="4">
        <v>2.780816814459169E-4</v>
      </c>
      <c r="F126" s="4"/>
      <c r="G126" s="4">
        <v>0</v>
      </c>
      <c r="H126" s="4">
        <v>0</v>
      </c>
      <c r="I126" s="4">
        <v>6.4751401537463285E-4</v>
      </c>
      <c r="J126" s="4">
        <v>7.6521600790818137E-4</v>
      </c>
    </row>
    <row r="127" spans="1:10">
      <c r="A127" s="34" t="s">
        <v>381</v>
      </c>
      <c r="B127" s="4">
        <v>3.9363585466917244E-4</v>
      </c>
      <c r="D127" s="4">
        <v>1.9827789986562032E-4</v>
      </c>
      <c r="E127" s="4">
        <v>6.0274105793534322E-4</v>
      </c>
      <c r="F127" s="4"/>
      <c r="G127" s="4">
        <v>0</v>
      </c>
      <c r="H127" s="4">
        <v>0</v>
      </c>
      <c r="I127" s="4">
        <v>4.8817533963747329E-4</v>
      </c>
      <c r="J127" s="4">
        <v>1.3955536085086945E-3</v>
      </c>
    </row>
    <row r="128" spans="1:10">
      <c r="A128" s="34" t="s">
        <v>382</v>
      </c>
      <c r="B128" s="4">
        <v>4.5330384817606709E-3</v>
      </c>
      <c r="D128" s="4">
        <v>3.4466797170592156E-3</v>
      </c>
      <c r="E128" s="4">
        <v>5.7109731593838441E-3</v>
      </c>
      <c r="F128" s="4"/>
      <c r="G128" s="4">
        <v>4.9242246279556333E-4</v>
      </c>
      <c r="H128" s="4">
        <v>7.6756074132186842E-3</v>
      </c>
      <c r="I128" s="4">
        <v>7.7870183255454879E-3</v>
      </c>
      <c r="J128" s="4">
        <v>3.3648960779846782E-3</v>
      </c>
    </row>
    <row r="129" spans="1:10">
      <c r="A129" s="34" t="s">
        <v>383</v>
      </c>
      <c r="B129" s="4">
        <v>0</v>
      </c>
      <c r="D129" s="4">
        <v>0</v>
      </c>
      <c r="E129" s="4">
        <v>0</v>
      </c>
      <c r="F129" s="4"/>
      <c r="G129" s="4">
        <v>0</v>
      </c>
      <c r="H129" s="4">
        <v>0</v>
      </c>
      <c r="I129" s="4">
        <v>0</v>
      </c>
      <c r="J129" s="4">
        <v>0</v>
      </c>
    </row>
    <row r="130" spans="1:10">
      <c r="A130" s="34" t="s">
        <v>384</v>
      </c>
      <c r="B130" s="4">
        <v>1.9280397501010354E-3</v>
      </c>
      <c r="D130" s="4">
        <v>2.3329596604223079E-3</v>
      </c>
      <c r="E130" s="4">
        <v>1.5123358946108106E-3</v>
      </c>
      <c r="F130" s="4"/>
      <c r="G130" s="4">
        <v>9.1845711378504521E-4</v>
      </c>
      <c r="H130" s="4">
        <v>1.209317419408876E-3</v>
      </c>
      <c r="I130" s="4">
        <v>2.9991314405035277E-3</v>
      </c>
      <c r="J130" s="4">
        <v>3.3019854666783864E-3</v>
      </c>
    </row>
    <row r="131" spans="1:10">
      <c r="A131" s="34" t="s">
        <v>385</v>
      </c>
      <c r="B131" s="4">
        <v>0</v>
      </c>
      <c r="D131" s="4">
        <v>0</v>
      </c>
      <c r="E131" s="4">
        <v>0</v>
      </c>
      <c r="F131" s="4"/>
      <c r="G131" s="4">
        <v>0</v>
      </c>
      <c r="H131" s="4">
        <v>0</v>
      </c>
      <c r="I131" s="4">
        <v>0</v>
      </c>
      <c r="J131" s="4">
        <v>0</v>
      </c>
    </row>
    <row r="132" spans="1:10">
      <c r="A132" s="34" t="s">
        <v>386</v>
      </c>
      <c r="B132" s="4">
        <v>2.1011360834541489E-3</v>
      </c>
      <c r="D132" s="4">
        <v>1.3910656140121767E-3</v>
      </c>
      <c r="E132" s="4">
        <v>2.8655007090501393E-3</v>
      </c>
      <c r="F132" s="4"/>
      <c r="G132" s="4">
        <v>4.4843156145827186E-4</v>
      </c>
      <c r="H132" s="4">
        <v>9.0967446502850872E-4</v>
      </c>
      <c r="I132" s="4">
        <v>1.1330360441734976E-3</v>
      </c>
      <c r="J132" s="4">
        <v>7.0754737626078559E-3</v>
      </c>
    </row>
    <row r="133" spans="1:10">
      <c r="A133" s="34" t="s">
        <v>387</v>
      </c>
      <c r="B133" s="4">
        <v>1.4491071418540578E-3</v>
      </c>
      <c r="D133" s="4">
        <v>2.217465647103338E-3</v>
      </c>
      <c r="E133" s="4">
        <v>6.4602504892338959E-4</v>
      </c>
      <c r="F133" s="4"/>
      <c r="G133" s="4">
        <v>3.3220380207466411E-4</v>
      </c>
      <c r="H133" s="4">
        <v>1.2134780145902277E-3</v>
      </c>
      <c r="I133" s="4">
        <v>1.2216996449949532E-3</v>
      </c>
      <c r="J133" s="4">
        <v>3.658298642597404E-3</v>
      </c>
    </row>
    <row r="134" spans="1:10">
      <c r="A134" s="34" t="s">
        <v>388</v>
      </c>
      <c r="B134" s="4">
        <v>5.3631490630107995E-4</v>
      </c>
      <c r="D134" s="4">
        <v>6.6526826703944839E-4</v>
      </c>
      <c r="E134" s="4">
        <v>4.0342571965147519E-4</v>
      </c>
      <c r="F134" s="4"/>
      <c r="G134" s="4">
        <v>3.7810665719204982E-4</v>
      </c>
      <c r="H134" s="4">
        <v>0</v>
      </c>
      <c r="I134" s="4">
        <v>3.7114359350182927E-4</v>
      </c>
      <c r="J134" s="4">
        <v>1.6243431212506485E-3</v>
      </c>
    </row>
    <row r="135" spans="1:10">
      <c r="A135" s="34" t="s">
        <v>389</v>
      </c>
      <c r="B135" s="4">
        <v>4.7388394452949631E-3</v>
      </c>
      <c r="D135" s="4">
        <v>4.8202358366259308E-3</v>
      </c>
      <c r="E135" s="4">
        <v>4.6833595454135899E-3</v>
      </c>
      <c r="F135" s="4"/>
      <c r="G135" s="4">
        <v>0</v>
      </c>
      <c r="H135" s="4">
        <v>3.3411341840239293E-3</v>
      </c>
      <c r="I135" s="4">
        <v>1.1561918155831878E-2</v>
      </c>
      <c r="J135" s="4">
        <v>6.8768676019362518E-3</v>
      </c>
    </row>
    <row r="136" spans="1:10">
      <c r="A136" s="34" t="s">
        <v>390</v>
      </c>
      <c r="B136" s="4">
        <v>0.23563747515380379</v>
      </c>
      <c r="D136" s="4">
        <v>0.21732484477635194</v>
      </c>
      <c r="E136" s="4">
        <v>0.25552912976794162</v>
      </c>
      <c r="F136" s="4"/>
      <c r="G136" s="4">
        <v>0.2221622119862007</v>
      </c>
      <c r="H136" s="4">
        <v>0.3290944763772074</v>
      </c>
      <c r="I136" s="4">
        <v>0.2647532425024926</v>
      </c>
      <c r="J136" s="4">
        <v>0.10751454739800173</v>
      </c>
    </row>
    <row r="137" spans="1:10">
      <c r="A137" s="34" t="s">
        <v>391</v>
      </c>
      <c r="B137" s="4">
        <v>0</v>
      </c>
      <c r="D137" s="4">
        <v>0</v>
      </c>
      <c r="E137" s="4">
        <v>0</v>
      </c>
      <c r="F137" s="4"/>
      <c r="G137" s="4">
        <v>0</v>
      </c>
      <c r="H137" s="4">
        <v>0</v>
      </c>
      <c r="I137" s="4">
        <v>0</v>
      </c>
      <c r="J137" s="4">
        <v>0</v>
      </c>
    </row>
    <row r="138" spans="1:10">
      <c r="A138" s="34" t="s">
        <v>392</v>
      </c>
      <c r="B138" s="4">
        <v>9.6350305972522357E-4</v>
      </c>
      <c r="D138" s="4">
        <v>7.2850402159218555E-4</v>
      </c>
      <c r="E138" s="4">
        <v>1.218201415815186E-3</v>
      </c>
      <c r="F138" s="4"/>
      <c r="G138" s="4">
        <v>1.3190238247207124E-3</v>
      </c>
      <c r="H138" s="4">
        <v>1.0014728225876371E-3</v>
      </c>
      <c r="I138" s="4">
        <v>5.0663067382307806E-4</v>
      </c>
      <c r="J138" s="4">
        <v>8.3390277046306105E-4</v>
      </c>
    </row>
    <row r="139" spans="1:10">
      <c r="A139" s="34" t="s">
        <v>393</v>
      </c>
      <c r="B139" s="4">
        <v>4.450485879268439E-3</v>
      </c>
      <c r="D139" s="4">
        <v>5.7558630393492721E-3</v>
      </c>
      <c r="E139" s="4">
        <v>3.0989510262302805E-3</v>
      </c>
      <c r="F139" s="4"/>
      <c r="G139" s="4">
        <v>3.8255729486691187E-4</v>
      </c>
      <c r="H139" s="4">
        <v>2.8859502518918116E-3</v>
      </c>
      <c r="I139" s="4">
        <v>8.2215229787703965E-3</v>
      </c>
      <c r="J139" s="4">
        <v>8.8262827517189366E-3</v>
      </c>
    </row>
    <row r="140" spans="1:10">
      <c r="A140" s="34" t="s">
        <v>394</v>
      </c>
      <c r="B140" s="4">
        <v>8.273670712176124E-3</v>
      </c>
      <c r="D140" s="4">
        <v>9.3523670456509729E-3</v>
      </c>
      <c r="E140" s="4">
        <v>7.1864959961497792E-3</v>
      </c>
      <c r="F140" s="4"/>
      <c r="G140" s="4">
        <v>1.5308615146043078E-3</v>
      </c>
      <c r="H140" s="4">
        <v>1.2177090813826731E-2</v>
      </c>
      <c r="I140" s="4">
        <v>1.3609506533704846E-2</v>
      </c>
      <c r="J140" s="4">
        <v>8.1319194750360396E-3</v>
      </c>
    </row>
    <row r="141" spans="1:10">
      <c r="A141" s="34" t="s">
        <v>395</v>
      </c>
      <c r="B141" s="4">
        <v>2.3927551167041146E-3</v>
      </c>
      <c r="D141" s="4">
        <v>3.1292141461887264E-3</v>
      </c>
      <c r="E141" s="4">
        <v>1.6294929579964933E-3</v>
      </c>
      <c r="F141" s="4"/>
      <c r="G141" s="4">
        <v>1.3666379808909117E-3</v>
      </c>
      <c r="H141" s="4">
        <v>3.7822860664087263E-3</v>
      </c>
      <c r="I141" s="4">
        <v>3.0376237773541131E-3</v>
      </c>
      <c r="J141" s="4">
        <v>1.5204984657837589E-3</v>
      </c>
    </row>
    <row r="142" spans="1:10">
      <c r="A142" s="34" t="s">
        <v>396</v>
      </c>
      <c r="B142" s="4">
        <v>3.9847832430036728E-2</v>
      </c>
      <c r="D142" s="4">
        <v>3.7881155756235033E-2</v>
      </c>
      <c r="E142" s="4">
        <v>4.2184515302648572E-2</v>
      </c>
      <c r="F142" s="4"/>
      <c r="G142" s="4">
        <v>8.007142069453908E-3</v>
      </c>
      <c r="H142" s="4">
        <v>4.5513168870940583E-2</v>
      </c>
      <c r="I142" s="4">
        <v>6.1478229665874039E-2</v>
      </c>
      <c r="J142" s="4">
        <v>5.904464801276503E-2</v>
      </c>
    </row>
    <row r="143" spans="1:10">
      <c r="A143" s="34" t="s">
        <v>397</v>
      </c>
      <c r="B143" s="4">
        <v>9.8422744178176922E-4</v>
      </c>
      <c r="D143" s="4">
        <v>6.5738603172959208E-4</v>
      </c>
      <c r="E143" s="4">
        <v>1.3361704243788465E-3</v>
      </c>
      <c r="F143" s="4"/>
      <c r="G143" s="4">
        <v>8.5958438784501017E-4</v>
      </c>
      <c r="H143" s="4">
        <v>0</v>
      </c>
      <c r="I143" s="4">
        <v>1.8859361624652337E-3</v>
      </c>
      <c r="J143" s="4">
        <v>1.5334134331029233E-3</v>
      </c>
    </row>
    <row r="144" spans="1:10">
      <c r="A144" s="34" t="s">
        <v>398</v>
      </c>
      <c r="B144" s="4">
        <v>0</v>
      </c>
      <c r="D144" s="4">
        <v>0</v>
      </c>
      <c r="E144" s="4">
        <v>0</v>
      </c>
      <c r="F144" s="4"/>
      <c r="G144" s="4">
        <v>0</v>
      </c>
      <c r="H144" s="4">
        <v>0</v>
      </c>
      <c r="I144" s="4">
        <v>0</v>
      </c>
      <c r="J144" s="4">
        <v>0</v>
      </c>
    </row>
    <row r="145" spans="1:10">
      <c r="A145" s="34" t="s">
        <v>399</v>
      </c>
      <c r="B145" s="4">
        <v>9.5470906549253373E-3</v>
      </c>
      <c r="D145" s="4">
        <v>9.3091442911385248E-3</v>
      </c>
      <c r="E145" s="4">
        <v>9.860306213718386E-3</v>
      </c>
      <c r="F145" s="4"/>
      <c r="G145" s="4">
        <v>0</v>
      </c>
      <c r="H145" s="4">
        <v>8.6767524826449321E-3</v>
      </c>
      <c r="I145" s="4">
        <v>1.5268824776515165E-2</v>
      </c>
      <c r="J145" s="4">
        <v>1.9346553446281934E-2</v>
      </c>
    </row>
    <row r="146" spans="1:10">
      <c r="A146" s="34" t="s">
        <v>400</v>
      </c>
      <c r="B146" s="4">
        <v>2.8429127719415846E-4</v>
      </c>
      <c r="D146" s="4">
        <v>2.6787863739846884E-4</v>
      </c>
      <c r="E146" s="4">
        <v>3.0348031333186909E-4</v>
      </c>
      <c r="F146" s="4"/>
      <c r="G146" s="4">
        <v>4.3551319903776744E-4</v>
      </c>
      <c r="H146" s="4">
        <v>0</v>
      </c>
      <c r="I146" s="4">
        <v>0</v>
      </c>
      <c r="J146" s="4">
        <v>7.0266168333113792E-4</v>
      </c>
    </row>
    <row r="147" spans="1:10">
      <c r="A147" s="34" t="s">
        <v>401</v>
      </c>
      <c r="B147" s="4">
        <v>3.4746511530023749E-4</v>
      </c>
      <c r="D147" s="4">
        <v>4.6180611324021467E-4</v>
      </c>
      <c r="E147" s="4">
        <v>2.288076348304253E-4</v>
      </c>
      <c r="F147" s="4"/>
      <c r="G147" s="4">
        <v>0</v>
      </c>
      <c r="H147" s="4">
        <v>4.1444218049260345E-4</v>
      </c>
      <c r="I147" s="4">
        <v>0</v>
      </c>
      <c r="J147" s="4">
        <v>1.1305770365553072E-3</v>
      </c>
    </row>
    <row r="148" spans="1:10">
      <c r="A148" s="34" t="s">
        <v>402</v>
      </c>
      <c r="B148" s="4">
        <v>3.7200601150662806E-3</v>
      </c>
      <c r="D148" s="4">
        <v>4.2312596687248266E-3</v>
      </c>
      <c r="E148" s="4">
        <v>3.2035461213002826E-3</v>
      </c>
      <c r="F148" s="4"/>
      <c r="G148" s="4">
        <v>1.3510328559775931E-3</v>
      </c>
      <c r="H148" s="4">
        <v>4.1711475454579115E-3</v>
      </c>
      <c r="I148" s="4">
        <v>5.4487957970201445E-3</v>
      </c>
      <c r="J148" s="4">
        <v>4.9918448868155E-3</v>
      </c>
    </row>
    <row r="149" spans="1:10">
      <c r="A149" s="34" t="s">
        <v>403</v>
      </c>
      <c r="B149" s="4">
        <v>7.3881224290025692E-3</v>
      </c>
      <c r="D149" s="4">
        <v>4.6197911151639771E-3</v>
      </c>
      <c r="E149" s="4">
        <v>1.0362942694750814E-2</v>
      </c>
      <c r="F149" s="4"/>
      <c r="G149" s="4">
        <v>1.1689189089383863E-3</v>
      </c>
      <c r="H149" s="4">
        <v>1.8307787698964445E-3</v>
      </c>
      <c r="I149" s="4">
        <v>1.0028721725581767E-2</v>
      </c>
      <c r="J149" s="4">
        <v>2.1231316660452613E-2</v>
      </c>
    </row>
    <row r="150" spans="1:10">
      <c r="A150" s="34" t="s">
        <v>404</v>
      </c>
      <c r="B150" s="4">
        <v>3.1032286094472658E-2</v>
      </c>
      <c r="D150" s="4">
        <v>2.6505115695529231E-2</v>
      </c>
      <c r="E150" s="4">
        <v>3.6019446261989815E-2</v>
      </c>
      <c r="F150" s="4"/>
      <c r="G150" s="4">
        <v>3.6253769079879636E-2</v>
      </c>
      <c r="H150" s="4">
        <v>2.5811021917446175E-2</v>
      </c>
      <c r="I150" s="4">
        <v>3.0626581781619287E-2</v>
      </c>
      <c r="J150" s="4">
        <v>3.024718963070025E-2</v>
      </c>
    </row>
    <row r="151" spans="1:10">
      <c r="A151" s="34" t="s">
        <v>405</v>
      </c>
      <c r="B151" s="4">
        <v>1.7532109915622917E-3</v>
      </c>
      <c r="D151" s="4">
        <v>1.7737643314303304E-3</v>
      </c>
      <c r="E151" s="4">
        <v>1.7427943189748157E-3</v>
      </c>
      <c r="F151" s="4"/>
      <c r="G151" s="4">
        <v>4.1641418766008326E-4</v>
      </c>
      <c r="H151" s="4">
        <v>8.8188033603500855E-4</v>
      </c>
      <c r="I151" s="4">
        <v>3.633460007906195E-3</v>
      </c>
      <c r="J151" s="4">
        <v>3.0103766143742797E-3</v>
      </c>
    </row>
    <row r="152" spans="1:10">
      <c r="A152" s="34" t="s">
        <v>406</v>
      </c>
      <c r="B152" s="4">
        <v>2.603526251589888E-4</v>
      </c>
      <c r="D152" s="4">
        <v>5.0816972716444676E-4</v>
      </c>
      <c r="E152" s="4">
        <v>0</v>
      </c>
      <c r="F152" s="4"/>
      <c r="G152" s="4">
        <v>0</v>
      </c>
      <c r="H152" s="4">
        <v>0</v>
      </c>
      <c r="I152" s="4">
        <v>5.2103973952229989E-4</v>
      </c>
      <c r="J152" s="4">
        <v>7.2598728019872489E-4</v>
      </c>
    </row>
    <row r="153" spans="1:10">
      <c r="A153" s="34" t="s">
        <v>407</v>
      </c>
      <c r="B153" s="4">
        <v>2.4386213464123684E-4</v>
      </c>
      <c r="D153" s="4">
        <v>4.7598273438073072E-4</v>
      </c>
      <c r="E153" s="4">
        <v>0</v>
      </c>
      <c r="F153" s="4"/>
      <c r="G153" s="4">
        <v>0</v>
      </c>
      <c r="H153" s="4">
        <v>0</v>
      </c>
      <c r="I153" s="4">
        <v>6.3024141149512771E-4</v>
      </c>
      <c r="J153" s="4">
        <v>5.3860364580407885E-4</v>
      </c>
    </row>
    <row r="154" spans="1:10">
      <c r="A154" s="34" t="s">
        <v>408</v>
      </c>
      <c r="B154" s="4">
        <v>0</v>
      </c>
      <c r="D154" s="4">
        <v>0</v>
      </c>
      <c r="E154" s="4">
        <v>0</v>
      </c>
      <c r="F154" s="4"/>
      <c r="G154" s="4">
        <v>0</v>
      </c>
      <c r="H154" s="4">
        <v>0</v>
      </c>
      <c r="I154" s="4">
        <v>0</v>
      </c>
      <c r="J154" s="4">
        <v>0</v>
      </c>
    </row>
    <row r="155" spans="1:10">
      <c r="A155" s="34" t="s">
        <v>409</v>
      </c>
      <c r="B155" s="4">
        <v>0</v>
      </c>
      <c r="D155" s="4">
        <v>0</v>
      </c>
      <c r="E155" s="4">
        <v>0</v>
      </c>
      <c r="F155" s="4"/>
      <c r="G155" s="4">
        <v>0</v>
      </c>
      <c r="H155" s="4">
        <v>0</v>
      </c>
      <c r="I155" s="4">
        <v>0</v>
      </c>
      <c r="J155" s="4">
        <v>0</v>
      </c>
    </row>
    <row r="156" spans="1:10">
      <c r="A156" s="34" t="s">
        <v>410</v>
      </c>
      <c r="B156" s="4">
        <v>6.9902045693251303E-5</v>
      </c>
      <c r="D156" s="4">
        <v>1.3643843025006576E-4</v>
      </c>
      <c r="E156" s="4">
        <v>0</v>
      </c>
      <c r="F156" s="4"/>
      <c r="G156" s="4">
        <v>0</v>
      </c>
      <c r="H156" s="4">
        <v>0</v>
      </c>
      <c r="I156" s="4">
        <v>0</v>
      </c>
      <c r="J156" s="4">
        <v>3.340236339923459E-4</v>
      </c>
    </row>
    <row r="157" spans="1:10">
      <c r="A157" s="118" t="s">
        <v>411</v>
      </c>
      <c r="B157" s="123">
        <v>2.1917126491882138E-3</v>
      </c>
      <c r="C157" s="119"/>
      <c r="D157" s="123">
        <v>1.3382252445580504E-3</v>
      </c>
      <c r="E157" s="123">
        <v>3.1083058597099387E-3</v>
      </c>
      <c r="F157" s="123"/>
      <c r="G157" s="123">
        <v>3.7675869287895516E-3</v>
      </c>
      <c r="H157" s="123">
        <v>1.3171017704026414E-3</v>
      </c>
      <c r="I157" s="123">
        <v>2.2207273770323099E-3</v>
      </c>
      <c r="J157" s="123">
        <v>9.0784413369317772E-4</v>
      </c>
    </row>
    <row r="158" spans="1:10">
      <c r="A158" s="67"/>
      <c r="B158" s="187" t="s">
        <v>147</v>
      </c>
      <c r="C158" s="187"/>
      <c r="D158" s="187"/>
      <c r="E158" s="187"/>
      <c r="F158" s="187"/>
      <c r="G158" s="187"/>
      <c r="H158" s="187"/>
      <c r="I158" s="187"/>
      <c r="J158" s="187"/>
    </row>
    <row r="159" spans="1:10">
      <c r="A159" s="34" t="s">
        <v>270</v>
      </c>
      <c r="B159" s="45">
        <v>10801.585989642552</v>
      </c>
      <c r="D159" s="45">
        <v>5283.2161184857068</v>
      </c>
      <c r="E159" s="45">
        <v>5518.3698711568441</v>
      </c>
      <c r="F159" s="45"/>
      <c r="G159" s="45">
        <v>3298.1082663916482</v>
      </c>
      <c r="H159" s="45">
        <v>5010.8093887562172</v>
      </c>
      <c r="I159" s="45">
        <v>1375.2688058642686</v>
      </c>
      <c r="J159" s="45">
        <v>1117.3995286304164</v>
      </c>
    </row>
    <row r="160" spans="1:10">
      <c r="A160" s="34" t="s">
        <v>271</v>
      </c>
      <c r="B160" s="45">
        <v>12492.719563368961</v>
      </c>
      <c r="D160" s="45">
        <v>9118.1550649686651</v>
      </c>
      <c r="E160" s="45">
        <v>3374.5644984002984</v>
      </c>
      <c r="F160" s="45"/>
      <c r="G160" s="45">
        <v>4150.116075116629</v>
      </c>
      <c r="H160" s="45">
        <v>4842.4577712642313</v>
      </c>
      <c r="I160" s="45">
        <v>0</v>
      </c>
      <c r="J160" s="45">
        <v>3500.1457169881019</v>
      </c>
    </row>
    <row r="161" spans="1:10">
      <c r="A161" s="34" t="s">
        <v>272</v>
      </c>
      <c r="B161" s="45">
        <v>7143.7302208151177</v>
      </c>
      <c r="D161" s="45">
        <v>4764.6527187127022</v>
      </c>
      <c r="E161" s="45">
        <v>2379.0775021024151</v>
      </c>
      <c r="F161" s="45"/>
      <c r="G161" s="45">
        <v>1763.9745878666436</v>
      </c>
      <c r="H161" s="45">
        <v>1123.2664021944602</v>
      </c>
      <c r="I161" s="45">
        <v>1198.6977790589881</v>
      </c>
      <c r="J161" s="45">
        <v>3057.7914516950254</v>
      </c>
    </row>
    <row r="162" spans="1:10">
      <c r="A162" s="34" t="s">
        <v>273</v>
      </c>
      <c r="B162" s="45">
        <v>156335.21347429437</v>
      </c>
      <c r="D162" s="45">
        <v>78086.01553205181</v>
      </c>
      <c r="E162" s="45">
        <v>77648.01244351262</v>
      </c>
      <c r="F162" s="45"/>
      <c r="G162" s="45">
        <v>19677.159734586992</v>
      </c>
      <c r="H162" s="45">
        <v>53332.220154018054</v>
      </c>
      <c r="I162" s="45">
        <v>45772.153888572924</v>
      </c>
      <c r="J162" s="45">
        <v>37553.679697116415</v>
      </c>
    </row>
    <row r="163" spans="1:10">
      <c r="A163" s="34" t="s">
        <v>274</v>
      </c>
      <c r="B163" s="45">
        <v>304092.1498789714</v>
      </c>
      <c r="D163" s="45">
        <v>226536.93787555335</v>
      </c>
      <c r="E163" s="45">
        <v>76169.350408998129</v>
      </c>
      <c r="F163" s="45"/>
      <c r="G163" s="45">
        <v>20701.320908121073</v>
      </c>
      <c r="H163" s="45">
        <v>121991.55643305799</v>
      </c>
      <c r="I163" s="45">
        <v>83826.252144074839</v>
      </c>
      <c r="J163" s="45">
        <v>77573.020393717554</v>
      </c>
    </row>
    <row r="164" spans="1:10">
      <c r="A164" s="34" t="s">
        <v>275</v>
      </c>
      <c r="B164" s="45">
        <v>36211.798478621662</v>
      </c>
      <c r="D164" s="45">
        <v>16983.705133238687</v>
      </c>
      <c r="E164" s="45">
        <v>19228.093345382971</v>
      </c>
      <c r="F164" s="45"/>
      <c r="G164" s="45">
        <v>7141.3208416097332</v>
      </c>
      <c r="H164" s="45">
        <v>7797.7615399466122</v>
      </c>
      <c r="I164" s="45">
        <v>7244.6050360839981</v>
      </c>
      <c r="J164" s="45">
        <v>14028.111060981313</v>
      </c>
    </row>
    <row r="165" spans="1:10">
      <c r="A165" s="34" t="s">
        <v>276</v>
      </c>
      <c r="B165" s="45">
        <v>29513.362146375093</v>
      </c>
      <c r="D165" s="45">
        <v>22597.524246273173</v>
      </c>
      <c r="E165" s="45">
        <v>6915.8379001019275</v>
      </c>
      <c r="F165" s="45"/>
      <c r="G165" s="45">
        <v>2738.3256431567816</v>
      </c>
      <c r="H165" s="45">
        <v>11240.236136237314</v>
      </c>
      <c r="I165" s="45">
        <v>6726.4254127314171</v>
      </c>
      <c r="J165" s="45">
        <v>8808.3749542495916</v>
      </c>
    </row>
    <row r="166" spans="1:10">
      <c r="A166" s="34" t="s">
        <v>277</v>
      </c>
      <c r="B166" s="45">
        <v>342366.22068993835</v>
      </c>
      <c r="D166" s="45">
        <v>228472.00054861573</v>
      </c>
      <c r="E166" s="45">
        <v>113556.95013782279</v>
      </c>
      <c r="F166" s="45"/>
      <c r="G166" s="45">
        <v>15610.027801128363</v>
      </c>
      <c r="H166" s="45">
        <v>97252.948855036826</v>
      </c>
      <c r="I166" s="45">
        <v>105177.42449771386</v>
      </c>
      <c r="J166" s="45">
        <v>124325.81953605931</v>
      </c>
    </row>
    <row r="167" spans="1:10">
      <c r="A167" s="34" t="s">
        <v>278</v>
      </c>
      <c r="B167" s="45">
        <v>3238.695208493406</v>
      </c>
      <c r="D167" s="45">
        <v>2671.9428612045954</v>
      </c>
      <c r="E167" s="45">
        <v>566.75234728881037</v>
      </c>
      <c r="F167" s="45"/>
      <c r="G167" s="45">
        <v>1851.0336768077213</v>
      </c>
      <c r="H167" s="45">
        <v>566.75234728881037</v>
      </c>
      <c r="I167" s="45">
        <v>494.34031689734184</v>
      </c>
      <c r="J167" s="45">
        <v>326.56886749953236</v>
      </c>
    </row>
    <row r="168" spans="1:10">
      <c r="A168" s="34" t="s">
        <v>279</v>
      </c>
      <c r="B168" s="45">
        <v>662.70310888712561</v>
      </c>
      <c r="D168" s="45">
        <v>0</v>
      </c>
      <c r="E168" s="45">
        <v>662.70310888712561</v>
      </c>
      <c r="F168" s="45"/>
      <c r="G168" s="45">
        <v>0</v>
      </c>
      <c r="H168" s="45">
        <v>662.70310888712561</v>
      </c>
      <c r="I168" s="45">
        <v>0</v>
      </c>
      <c r="J168" s="45">
        <v>0</v>
      </c>
    </row>
    <row r="169" spans="1:10">
      <c r="A169" s="34" t="s">
        <v>280</v>
      </c>
      <c r="B169" s="45">
        <v>2157.8305770402512</v>
      </c>
      <c r="D169" s="45">
        <v>1023.810163370234</v>
      </c>
      <c r="E169" s="45">
        <v>1134.020413670017</v>
      </c>
      <c r="F169" s="45"/>
      <c r="G169" s="45">
        <v>1126.8084061550171</v>
      </c>
      <c r="H169" s="45">
        <v>534.91746818992738</v>
      </c>
      <c r="I169" s="45">
        <v>496.1047026953064</v>
      </c>
      <c r="J169" s="45">
        <v>0</v>
      </c>
    </row>
    <row r="170" spans="1:10">
      <c r="A170" s="34" t="s">
        <v>281</v>
      </c>
      <c r="B170" s="45">
        <v>7845.4377445609734</v>
      </c>
      <c r="D170" s="45">
        <v>7346.693557334359</v>
      </c>
      <c r="E170" s="45">
        <v>498.744187226615</v>
      </c>
      <c r="F170" s="45"/>
      <c r="G170" s="45">
        <v>590.36400879059101</v>
      </c>
      <c r="H170" s="45">
        <v>3416.6836957159808</v>
      </c>
      <c r="I170" s="45">
        <v>1024.950553951071</v>
      </c>
      <c r="J170" s="45">
        <v>2813.4394861033306</v>
      </c>
    </row>
    <row r="171" spans="1:10">
      <c r="A171" s="34" t="s">
        <v>282</v>
      </c>
      <c r="B171" s="45">
        <v>0</v>
      </c>
      <c r="D171" s="45">
        <v>0</v>
      </c>
      <c r="E171" s="45">
        <v>0</v>
      </c>
      <c r="F171" s="45"/>
      <c r="G171" s="45">
        <v>0</v>
      </c>
      <c r="H171" s="45">
        <v>0</v>
      </c>
      <c r="I171" s="45">
        <v>0</v>
      </c>
      <c r="J171" s="45">
        <v>0</v>
      </c>
    </row>
    <row r="172" spans="1:10">
      <c r="A172" s="34" t="s">
        <v>283</v>
      </c>
      <c r="B172" s="45">
        <v>0</v>
      </c>
      <c r="D172" s="45">
        <v>0</v>
      </c>
      <c r="E172" s="45">
        <v>0</v>
      </c>
      <c r="F172" s="45"/>
      <c r="G172" s="45">
        <v>0</v>
      </c>
      <c r="H172" s="45">
        <v>0</v>
      </c>
      <c r="I172" s="45">
        <v>0</v>
      </c>
      <c r="J172" s="45">
        <v>0</v>
      </c>
    </row>
    <row r="173" spans="1:10">
      <c r="A173" s="34" t="s">
        <v>284</v>
      </c>
      <c r="B173" s="45">
        <v>556.11179428146238</v>
      </c>
      <c r="D173" s="45">
        <v>556.11179428146238</v>
      </c>
      <c r="E173" s="45">
        <v>0</v>
      </c>
      <c r="F173" s="45"/>
      <c r="G173" s="45">
        <v>0</v>
      </c>
      <c r="H173" s="45">
        <v>0</v>
      </c>
      <c r="I173" s="45">
        <v>556.11179428146238</v>
      </c>
      <c r="J173" s="45">
        <v>0</v>
      </c>
    </row>
    <row r="174" spans="1:10">
      <c r="A174" s="34" t="s">
        <v>285</v>
      </c>
      <c r="B174" s="45">
        <v>0</v>
      </c>
      <c r="D174" s="45">
        <v>0</v>
      </c>
      <c r="E174" s="45">
        <v>0</v>
      </c>
      <c r="F174" s="45"/>
      <c r="G174" s="45">
        <v>0</v>
      </c>
      <c r="H174" s="45">
        <v>0</v>
      </c>
      <c r="I174" s="45">
        <v>0</v>
      </c>
      <c r="J174" s="45">
        <v>0</v>
      </c>
    </row>
    <row r="175" spans="1:10">
      <c r="A175" s="34" t="s">
        <v>286</v>
      </c>
      <c r="B175" s="45">
        <v>238.79252631366083</v>
      </c>
      <c r="D175" s="45">
        <v>238.79252631366083</v>
      </c>
      <c r="E175" s="45">
        <v>0</v>
      </c>
      <c r="F175" s="45"/>
      <c r="G175" s="45">
        <v>0</v>
      </c>
      <c r="H175" s="45">
        <v>0</v>
      </c>
      <c r="I175" s="45">
        <v>0</v>
      </c>
      <c r="J175" s="45">
        <v>238.79252631366083</v>
      </c>
    </row>
    <row r="176" spans="1:10">
      <c r="A176" s="34" t="s">
        <v>287</v>
      </c>
      <c r="B176" s="45">
        <v>1139.7361182567258</v>
      </c>
      <c r="D176" s="45">
        <v>1139.7361182567258</v>
      </c>
      <c r="E176" s="45">
        <v>0</v>
      </c>
      <c r="F176" s="45"/>
      <c r="G176" s="45">
        <v>0</v>
      </c>
      <c r="H176" s="45">
        <v>601.18549872997175</v>
      </c>
      <c r="I176" s="45">
        <v>538.55061952675408</v>
      </c>
      <c r="J176" s="45">
        <v>0</v>
      </c>
    </row>
    <row r="177" spans="1:10">
      <c r="A177" s="34" t="s">
        <v>288</v>
      </c>
      <c r="B177" s="45">
        <v>17522.747683744881</v>
      </c>
      <c r="D177" s="45">
        <v>13790.874956655605</v>
      </c>
      <c r="E177" s="45">
        <v>3731.8727270892796</v>
      </c>
      <c r="F177" s="45"/>
      <c r="G177" s="45">
        <v>1153.9279855585389</v>
      </c>
      <c r="H177" s="45">
        <v>3847.392571603853</v>
      </c>
      <c r="I177" s="45">
        <v>5355.2260622524182</v>
      </c>
      <c r="J177" s="45">
        <v>7166.2010643300782</v>
      </c>
    </row>
    <row r="178" spans="1:10">
      <c r="A178" s="34" t="s">
        <v>289</v>
      </c>
      <c r="B178" s="45">
        <v>0</v>
      </c>
      <c r="D178" s="45">
        <v>0</v>
      </c>
      <c r="E178" s="45">
        <v>0</v>
      </c>
      <c r="F178" s="45"/>
      <c r="G178" s="45">
        <v>0</v>
      </c>
      <c r="H178" s="45">
        <v>0</v>
      </c>
      <c r="I178" s="45">
        <v>0</v>
      </c>
      <c r="J178" s="45">
        <v>0</v>
      </c>
    </row>
    <row r="179" spans="1:10">
      <c r="A179" s="34" t="s">
        <v>290</v>
      </c>
      <c r="B179" s="45">
        <v>56118.414203039523</v>
      </c>
      <c r="D179" s="45">
        <v>28628.07482078503</v>
      </c>
      <c r="E179" s="45">
        <v>27490.339382254489</v>
      </c>
      <c r="F179" s="45"/>
      <c r="G179" s="45">
        <v>18424.833505652998</v>
      </c>
      <c r="H179" s="45">
        <v>11782.057165977953</v>
      </c>
      <c r="I179" s="45">
        <v>13204.013769516658</v>
      </c>
      <c r="J179" s="45">
        <v>12707.50976189191</v>
      </c>
    </row>
    <row r="180" spans="1:10">
      <c r="A180" s="34" t="s">
        <v>291</v>
      </c>
      <c r="B180" s="45">
        <v>8129.5830414080192</v>
      </c>
      <c r="D180" s="45">
        <v>1376.7814757548931</v>
      </c>
      <c r="E180" s="45">
        <v>6752.8015656531261</v>
      </c>
      <c r="F180" s="45"/>
      <c r="G180" s="45">
        <v>0</v>
      </c>
      <c r="H180" s="45">
        <v>5909.3856231671425</v>
      </c>
      <c r="I180" s="45">
        <v>0</v>
      </c>
      <c r="J180" s="45">
        <v>2220.1974182408785</v>
      </c>
    </row>
    <row r="181" spans="1:10">
      <c r="A181" s="34" t="s">
        <v>292</v>
      </c>
      <c r="B181" s="45">
        <v>988.71040412025775</v>
      </c>
      <c r="D181" s="45">
        <v>988.71040412025775</v>
      </c>
      <c r="E181" s="45">
        <v>0</v>
      </c>
      <c r="F181" s="45"/>
      <c r="G181" s="45">
        <v>574.89970585011554</v>
      </c>
      <c r="H181" s="45">
        <v>0</v>
      </c>
      <c r="I181" s="45">
        <v>0</v>
      </c>
      <c r="J181" s="45">
        <v>413.81069827014221</v>
      </c>
    </row>
    <row r="182" spans="1:10">
      <c r="A182" s="34" t="s">
        <v>293</v>
      </c>
      <c r="B182" s="45">
        <v>5913.9471114004509</v>
      </c>
      <c r="D182" s="45">
        <v>2243.206349659692</v>
      </c>
      <c r="E182" s="45">
        <v>3670.740761740758</v>
      </c>
      <c r="F182" s="45"/>
      <c r="G182" s="45">
        <v>1321.6354667554476</v>
      </c>
      <c r="H182" s="45">
        <v>743.32330402775858</v>
      </c>
      <c r="I182" s="45">
        <v>1899.9416695863224</v>
      </c>
      <c r="J182" s="45">
        <v>1949.0466710309213</v>
      </c>
    </row>
    <row r="183" spans="1:10">
      <c r="A183" s="34" t="s">
        <v>294</v>
      </c>
      <c r="B183" s="45">
        <v>8210.4966913836051</v>
      </c>
      <c r="D183" s="45">
        <v>2442.7149212614463</v>
      </c>
      <c r="E183" s="45">
        <v>5767.7817701221584</v>
      </c>
      <c r="F183" s="45"/>
      <c r="G183" s="45">
        <v>634.26487075563307</v>
      </c>
      <c r="H183" s="45">
        <v>5341.8179453595239</v>
      </c>
      <c r="I183" s="45">
        <v>0</v>
      </c>
      <c r="J183" s="45">
        <v>2234.4138752684476</v>
      </c>
    </row>
    <row r="184" spans="1:10">
      <c r="A184" s="34" t="s">
        <v>295</v>
      </c>
      <c r="B184" s="45">
        <v>162616.09707406993</v>
      </c>
      <c r="D184" s="45">
        <v>131525.98265141263</v>
      </c>
      <c r="E184" s="45">
        <v>31090.114422657283</v>
      </c>
      <c r="F184" s="45"/>
      <c r="G184" s="45">
        <v>9292.2222477192863</v>
      </c>
      <c r="H184" s="45">
        <v>48431.393088747398</v>
      </c>
      <c r="I184" s="45">
        <v>50973.07114583275</v>
      </c>
      <c r="J184" s="45">
        <v>53919.41059177024</v>
      </c>
    </row>
    <row r="185" spans="1:10">
      <c r="A185" s="34" t="s">
        <v>296</v>
      </c>
      <c r="B185" s="45">
        <v>0</v>
      </c>
      <c r="D185" s="45">
        <v>0</v>
      </c>
      <c r="E185" s="45">
        <v>0</v>
      </c>
      <c r="F185" s="45"/>
      <c r="G185" s="45">
        <v>0</v>
      </c>
      <c r="H185" s="45">
        <v>0</v>
      </c>
      <c r="I185" s="45">
        <v>0</v>
      </c>
      <c r="J185" s="45">
        <v>0</v>
      </c>
    </row>
    <row r="186" spans="1:10">
      <c r="A186" s="34" t="s">
        <v>297</v>
      </c>
      <c r="B186" s="45">
        <v>7190.421004327638</v>
      </c>
      <c r="D186" s="45">
        <v>4050.7571821766151</v>
      </c>
      <c r="E186" s="45">
        <v>3139.6638221510225</v>
      </c>
      <c r="F186" s="45"/>
      <c r="G186" s="45">
        <v>0</v>
      </c>
      <c r="H186" s="45">
        <v>1019.2136806284541</v>
      </c>
      <c r="I186" s="45">
        <v>3994.4931088847134</v>
      </c>
      <c r="J186" s="45">
        <v>2176.7142148144703</v>
      </c>
    </row>
    <row r="187" spans="1:10">
      <c r="A187" s="34" t="s">
        <v>298</v>
      </c>
      <c r="B187" s="45">
        <v>0</v>
      </c>
      <c r="D187" s="45">
        <v>0</v>
      </c>
      <c r="E187" s="45">
        <v>0</v>
      </c>
      <c r="F187" s="45"/>
      <c r="G187" s="45">
        <v>0</v>
      </c>
      <c r="H187" s="45">
        <v>0</v>
      </c>
      <c r="I187" s="45">
        <v>0</v>
      </c>
      <c r="J187" s="45">
        <v>0</v>
      </c>
    </row>
    <row r="188" spans="1:10">
      <c r="A188" s="34" t="s">
        <v>299</v>
      </c>
      <c r="B188" s="45">
        <v>83028.639986770373</v>
      </c>
      <c r="D188" s="45">
        <v>46159.512033423576</v>
      </c>
      <c r="E188" s="45">
        <v>36869.127953346841</v>
      </c>
      <c r="F188" s="45"/>
      <c r="G188" s="45">
        <v>19592.944453106418</v>
      </c>
      <c r="H188" s="45">
        <v>29391.657772440132</v>
      </c>
      <c r="I188" s="45">
        <v>18700.215850467994</v>
      </c>
      <c r="J188" s="45">
        <v>15343.821910755887</v>
      </c>
    </row>
    <row r="189" spans="1:10">
      <c r="A189" s="34" t="s">
        <v>300</v>
      </c>
      <c r="B189" s="45">
        <v>119288.86858840536</v>
      </c>
      <c r="D189" s="45">
        <v>19251.911990466797</v>
      </c>
      <c r="E189" s="45">
        <v>100036.95659793862</v>
      </c>
      <c r="F189" s="45"/>
      <c r="G189" s="45">
        <v>23700.286295895869</v>
      </c>
      <c r="H189" s="45">
        <v>35054.273455752824</v>
      </c>
      <c r="I189" s="45">
        <v>30793.571717896579</v>
      </c>
      <c r="J189" s="45">
        <v>29740.73711886019</v>
      </c>
    </row>
    <row r="190" spans="1:10">
      <c r="A190" s="34" t="s">
        <v>301</v>
      </c>
      <c r="B190" s="45">
        <v>262338.84379967244</v>
      </c>
      <c r="D190" s="45">
        <v>28756.869902598977</v>
      </c>
      <c r="E190" s="45">
        <v>233581.97389707342</v>
      </c>
      <c r="F190" s="45"/>
      <c r="G190" s="45">
        <v>65838.286279743479</v>
      </c>
      <c r="H190" s="45">
        <v>99445.99747270254</v>
      </c>
      <c r="I190" s="45">
        <v>54220.405215053572</v>
      </c>
      <c r="J190" s="45">
        <v>42834.154832172891</v>
      </c>
    </row>
    <row r="191" spans="1:10">
      <c r="A191" s="34" t="s">
        <v>302</v>
      </c>
      <c r="B191" s="45">
        <v>1183.9643758875384</v>
      </c>
      <c r="D191" s="45">
        <v>317.18792687054588</v>
      </c>
      <c r="E191" s="45">
        <v>866.7764490169925</v>
      </c>
      <c r="F191" s="45"/>
      <c r="G191" s="45">
        <v>0</v>
      </c>
      <c r="H191" s="45">
        <v>866.7764490169925</v>
      </c>
      <c r="I191" s="45">
        <v>0</v>
      </c>
      <c r="J191" s="45">
        <v>317.18792687054588</v>
      </c>
    </row>
    <row r="192" spans="1:10">
      <c r="A192" s="34" t="s">
        <v>303</v>
      </c>
      <c r="B192" s="45">
        <v>3721.3105616773028</v>
      </c>
      <c r="D192" s="45">
        <v>648.95699314394369</v>
      </c>
      <c r="E192" s="45">
        <v>3072.3535685333591</v>
      </c>
      <c r="F192" s="45"/>
      <c r="G192" s="45">
        <v>766.15482642529332</v>
      </c>
      <c r="H192" s="45">
        <v>662.70310888712561</v>
      </c>
      <c r="I192" s="45">
        <v>1178.5156451065864</v>
      </c>
      <c r="J192" s="45">
        <v>1113.9369812582975</v>
      </c>
    </row>
    <row r="193" spans="1:10">
      <c r="A193" s="34" t="s">
        <v>304</v>
      </c>
      <c r="B193" s="45">
        <v>1119.3560473707325</v>
      </c>
      <c r="D193" s="45">
        <v>584.08337011770607</v>
      </c>
      <c r="E193" s="45">
        <v>535.27267725302636</v>
      </c>
      <c r="F193" s="45"/>
      <c r="G193" s="45">
        <v>0</v>
      </c>
      <c r="H193" s="45">
        <v>0</v>
      </c>
      <c r="I193" s="45">
        <v>1119.3560473707325</v>
      </c>
      <c r="J193" s="45">
        <v>0</v>
      </c>
    </row>
    <row r="194" spans="1:10">
      <c r="A194" s="34" t="s">
        <v>305</v>
      </c>
      <c r="B194" s="45">
        <v>0</v>
      </c>
      <c r="D194" s="45">
        <v>0</v>
      </c>
      <c r="E194" s="45">
        <v>0</v>
      </c>
      <c r="F194" s="45"/>
      <c r="G194" s="45">
        <v>0</v>
      </c>
      <c r="H194" s="45">
        <v>0</v>
      </c>
      <c r="I194" s="45">
        <v>0</v>
      </c>
      <c r="J194" s="45">
        <v>0</v>
      </c>
    </row>
    <row r="195" spans="1:10">
      <c r="A195" s="34" t="s">
        <v>306</v>
      </c>
      <c r="B195" s="45">
        <v>2061.9107893005526</v>
      </c>
      <c r="D195" s="45">
        <v>1037.4744009552023</v>
      </c>
      <c r="E195" s="45">
        <v>1024.4363883453502</v>
      </c>
      <c r="F195" s="45"/>
      <c r="G195" s="45">
        <v>1037.4744009552023</v>
      </c>
      <c r="H195" s="45">
        <v>1024.4363883453502</v>
      </c>
      <c r="I195" s="45">
        <v>0</v>
      </c>
      <c r="J195" s="45">
        <v>0</v>
      </c>
    </row>
    <row r="196" spans="1:10">
      <c r="A196" s="34" t="s">
        <v>307</v>
      </c>
      <c r="B196" s="45">
        <v>14222.488510590021</v>
      </c>
      <c r="D196" s="45">
        <v>4819.4747266252434</v>
      </c>
      <c r="E196" s="45">
        <v>9403.0137839647778</v>
      </c>
      <c r="F196" s="45"/>
      <c r="G196" s="45">
        <v>3039.1145394649166</v>
      </c>
      <c r="H196" s="45">
        <v>2971.942781333762</v>
      </c>
      <c r="I196" s="45">
        <v>5792.4081866920242</v>
      </c>
      <c r="J196" s="45">
        <v>2419.0230030993184</v>
      </c>
    </row>
    <row r="197" spans="1:10">
      <c r="A197" s="34" t="s">
        <v>308</v>
      </c>
      <c r="B197" s="45">
        <v>5903.2218213279193</v>
      </c>
      <c r="D197" s="45">
        <v>3977.3321005260627</v>
      </c>
      <c r="E197" s="45">
        <v>1925.8897208018559</v>
      </c>
      <c r="F197" s="45"/>
      <c r="G197" s="45">
        <v>2442.6554821022023</v>
      </c>
      <c r="H197" s="45">
        <v>565.03762602637778</v>
      </c>
      <c r="I197" s="45">
        <v>572.72257349679921</v>
      </c>
      <c r="J197" s="45">
        <v>2322.8061397025385</v>
      </c>
    </row>
    <row r="198" spans="1:10">
      <c r="A198" s="34" t="s">
        <v>309</v>
      </c>
      <c r="B198" s="45">
        <v>4576.203204222239</v>
      </c>
      <c r="D198" s="45">
        <v>3382.8966845759414</v>
      </c>
      <c r="E198" s="45">
        <v>1193.3065196462971</v>
      </c>
      <c r="F198" s="45"/>
      <c r="G198" s="45">
        <v>2110.8218426997105</v>
      </c>
      <c r="H198" s="45">
        <v>0</v>
      </c>
      <c r="I198" s="45">
        <v>520.99414010604744</v>
      </c>
      <c r="J198" s="45">
        <v>1944.3872214164808</v>
      </c>
    </row>
    <row r="199" spans="1:10">
      <c r="A199" s="34" t="s">
        <v>310</v>
      </c>
      <c r="B199" s="45">
        <v>8733.5326700461592</v>
      </c>
      <c r="D199" s="45">
        <v>6868.8950050355979</v>
      </c>
      <c r="E199" s="45">
        <v>1864.6376650105606</v>
      </c>
      <c r="F199" s="45"/>
      <c r="G199" s="45">
        <v>0</v>
      </c>
      <c r="H199" s="45">
        <v>2320.212531738101</v>
      </c>
      <c r="I199" s="45">
        <v>3937.5052207097106</v>
      </c>
      <c r="J199" s="45">
        <v>2475.8149175983481</v>
      </c>
    </row>
    <row r="200" spans="1:10">
      <c r="A200" s="34" t="s">
        <v>311</v>
      </c>
      <c r="B200" s="45">
        <v>77498.531742647625</v>
      </c>
      <c r="D200" s="45">
        <v>34041.518034824905</v>
      </c>
      <c r="E200" s="45">
        <v>42835.146008336997</v>
      </c>
      <c r="F200" s="45"/>
      <c r="G200" s="45">
        <v>12285.011810633288</v>
      </c>
      <c r="H200" s="45">
        <v>16246.098518172274</v>
      </c>
      <c r="I200" s="45">
        <v>19311.234369574137</v>
      </c>
      <c r="J200" s="45">
        <v>29656.187044267877</v>
      </c>
    </row>
    <row r="201" spans="1:10">
      <c r="A201" s="34" t="s">
        <v>312</v>
      </c>
      <c r="B201" s="45">
        <v>2133.752083314982</v>
      </c>
      <c r="D201" s="45">
        <v>1168.6931757696889</v>
      </c>
      <c r="E201" s="45">
        <v>965.0589075452931</v>
      </c>
      <c r="F201" s="45"/>
      <c r="G201" s="45">
        <v>0</v>
      </c>
      <c r="H201" s="45">
        <v>0</v>
      </c>
      <c r="I201" s="45">
        <v>1168.6931757696889</v>
      </c>
      <c r="J201" s="45">
        <v>965.0589075452931</v>
      </c>
    </row>
    <row r="202" spans="1:10">
      <c r="A202" s="34" t="s">
        <v>313</v>
      </c>
      <c r="B202" s="45">
        <v>2925.3550006658415</v>
      </c>
      <c r="D202" s="45">
        <v>1337.6649269317663</v>
      </c>
      <c r="E202" s="45">
        <v>1587.6900737340752</v>
      </c>
      <c r="F202" s="45"/>
      <c r="G202" s="45">
        <v>599.1029454800896</v>
      </c>
      <c r="H202" s="45">
        <v>1489.9784301385423</v>
      </c>
      <c r="I202" s="45">
        <v>509.70475754767739</v>
      </c>
      <c r="J202" s="45">
        <v>326.56886749953236</v>
      </c>
    </row>
    <row r="203" spans="1:10">
      <c r="A203" s="34" t="s">
        <v>314</v>
      </c>
      <c r="B203" s="45">
        <v>701095.47224084067</v>
      </c>
      <c r="D203" s="45">
        <v>518482.25750761392</v>
      </c>
      <c r="E203" s="45">
        <v>182613.21473322387</v>
      </c>
      <c r="F203" s="45"/>
      <c r="G203" s="45">
        <v>82920.642377361291</v>
      </c>
      <c r="H203" s="45">
        <v>239439.89781655007</v>
      </c>
      <c r="I203" s="45">
        <v>217361.96892803066</v>
      </c>
      <c r="J203" s="45">
        <v>161372.96311889595</v>
      </c>
    </row>
    <row r="204" spans="1:10">
      <c r="A204" s="34" t="s">
        <v>315</v>
      </c>
      <c r="B204" s="45">
        <v>2083.0406800558958</v>
      </c>
      <c r="D204" s="45">
        <v>1585.3315795534286</v>
      </c>
      <c r="E204" s="45">
        <v>497.70910050246704</v>
      </c>
      <c r="F204" s="45"/>
      <c r="G204" s="45">
        <v>0</v>
      </c>
      <c r="H204" s="45">
        <v>1002.7826037691133</v>
      </c>
      <c r="I204" s="45">
        <v>582.5489757843153</v>
      </c>
      <c r="J204" s="45">
        <v>497.70910050246704</v>
      </c>
    </row>
    <row r="205" spans="1:10">
      <c r="A205" s="34" t="s">
        <v>316</v>
      </c>
      <c r="B205" s="45">
        <v>2404.5174162672083</v>
      </c>
      <c r="D205" s="45">
        <v>1130.1104397857966</v>
      </c>
      <c r="E205" s="45">
        <v>1274.4069764814117</v>
      </c>
      <c r="F205" s="45"/>
      <c r="G205" s="45">
        <v>0</v>
      </c>
      <c r="H205" s="45">
        <v>0</v>
      </c>
      <c r="I205" s="45">
        <v>817.02248057969337</v>
      </c>
      <c r="J205" s="45">
        <v>1587.4949356875152</v>
      </c>
    </row>
    <row r="206" spans="1:10">
      <c r="A206" s="34" t="s">
        <v>317</v>
      </c>
      <c r="B206" s="45">
        <v>0</v>
      </c>
      <c r="D206" s="45">
        <v>0</v>
      </c>
      <c r="E206" s="45">
        <v>0</v>
      </c>
      <c r="F206" s="45"/>
      <c r="G206" s="45">
        <v>0</v>
      </c>
      <c r="H206" s="45">
        <v>0</v>
      </c>
      <c r="I206" s="45">
        <v>0</v>
      </c>
      <c r="J206" s="45">
        <v>0</v>
      </c>
    </row>
    <row r="207" spans="1:10">
      <c r="A207" s="34" t="s">
        <v>318</v>
      </c>
      <c r="B207" s="45">
        <v>24476.039118384368</v>
      </c>
      <c r="D207" s="45">
        <v>19395.530054977517</v>
      </c>
      <c r="E207" s="45">
        <v>5080.5090634068483</v>
      </c>
      <c r="F207" s="45"/>
      <c r="G207" s="45">
        <v>3909.7017375690348</v>
      </c>
      <c r="H207" s="45">
        <v>7289.7290062054253</v>
      </c>
      <c r="I207" s="45">
        <v>6449.2528460652802</v>
      </c>
      <c r="J207" s="45">
        <v>6827.3555285446319</v>
      </c>
    </row>
    <row r="208" spans="1:10">
      <c r="A208" s="34" t="s">
        <v>319</v>
      </c>
      <c r="B208" s="45">
        <v>679.19342394424757</v>
      </c>
      <c r="D208" s="45">
        <v>679.19342394424757</v>
      </c>
      <c r="E208" s="45">
        <v>0</v>
      </c>
      <c r="F208" s="45"/>
      <c r="G208" s="45">
        <v>0</v>
      </c>
      <c r="H208" s="45">
        <v>679.19342394424757</v>
      </c>
      <c r="I208" s="45">
        <v>0</v>
      </c>
      <c r="J208" s="45">
        <v>0</v>
      </c>
    </row>
    <row r="209" spans="1:10">
      <c r="A209" s="34" t="s">
        <v>320</v>
      </c>
      <c r="B209" s="45">
        <v>3936.5713036801117</v>
      </c>
      <c r="D209" s="45">
        <v>0</v>
      </c>
      <c r="E209" s="45">
        <v>3936.5713036801117</v>
      </c>
      <c r="F209" s="45"/>
      <c r="G209" s="45">
        <v>0</v>
      </c>
      <c r="H209" s="45">
        <v>1276.6107292138677</v>
      </c>
      <c r="I209" s="45">
        <v>1314.0217553818975</v>
      </c>
      <c r="J209" s="45">
        <v>1345.9388190843465</v>
      </c>
    </row>
    <row r="210" spans="1:10">
      <c r="A210" s="34" t="s">
        <v>321</v>
      </c>
      <c r="B210" s="45">
        <v>341989.79620055412</v>
      </c>
      <c r="D210" s="45">
        <v>69196.838232806229</v>
      </c>
      <c r="E210" s="45">
        <v>270899.71110920538</v>
      </c>
      <c r="F210" s="45"/>
      <c r="G210" s="45">
        <v>99940.720748250591</v>
      </c>
      <c r="H210" s="45">
        <v>142163.81618045483</v>
      </c>
      <c r="I210" s="45">
        <v>72125.780283637388</v>
      </c>
      <c r="J210" s="45">
        <v>27759.478988211253</v>
      </c>
    </row>
    <row r="211" spans="1:10">
      <c r="A211" s="34" t="s">
        <v>322</v>
      </c>
      <c r="B211" s="45">
        <v>5377.2379561727003</v>
      </c>
      <c r="D211" s="45">
        <v>4402.7066419127004</v>
      </c>
      <c r="E211" s="45">
        <v>974.53131425999959</v>
      </c>
      <c r="F211" s="45"/>
      <c r="G211" s="45">
        <v>0</v>
      </c>
      <c r="H211" s="45">
        <v>1028.4283652555685</v>
      </c>
      <c r="I211" s="45">
        <v>2334.3046124990747</v>
      </c>
      <c r="J211" s="45">
        <v>2014.5049784180562</v>
      </c>
    </row>
    <row r="212" spans="1:10">
      <c r="A212" s="34" t="s">
        <v>323</v>
      </c>
      <c r="B212" s="45">
        <v>0</v>
      </c>
      <c r="D212" s="45">
        <v>0</v>
      </c>
      <c r="E212" s="45">
        <v>0</v>
      </c>
      <c r="F212" s="45"/>
      <c r="G212" s="45">
        <v>0</v>
      </c>
      <c r="H212" s="45">
        <v>0</v>
      </c>
      <c r="I212" s="45">
        <v>0</v>
      </c>
      <c r="J212" s="45">
        <v>0</v>
      </c>
    </row>
    <row r="213" spans="1:10">
      <c r="A213" s="34" t="s">
        <v>324</v>
      </c>
      <c r="B213" s="45">
        <v>46317.694285480386</v>
      </c>
      <c r="D213" s="45">
        <v>18928.867365805723</v>
      </c>
      <c r="E213" s="45">
        <v>27388.826919674641</v>
      </c>
      <c r="F213" s="45"/>
      <c r="G213" s="45">
        <v>2724.2982326723723</v>
      </c>
      <c r="H213" s="45">
        <v>6463.2879396001663</v>
      </c>
      <c r="I213" s="45">
        <v>18041.153825477712</v>
      </c>
      <c r="J213" s="45">
        <v>19088.954287730114</v>
      </c>
    </row>
    <row r="214" spans="1:10">
      <c r="A214" s="34" t="s">
        <v>325</v>
      </c>
      <c r="B214" s="45">
        <v>665.83001357581429</v>
      </c>
      <c r="D214" s="45">
        <v>0</v>
      </c>
      <c r="E214" s="45">
        <v>665.83001357581429</v>
      </c>
      <c r="F214" s="45"/>
      <c r="G214" s="45">
        <v>0</v>
      </c>
      <c r="H214" s="45">
        <v>0</v>
      </c>
      <c r="I214" s="45">
        <v>665.83001357581429</v>
      </c>
      <c r="J214" s="45">
        <v>0</v>
      </c>
    </row>
    <row r="215" spans="1:10">
      <c r="A215" s="34" t="s">
        <v>326</v>
      </c>
      <c r="B215" s="45">
        <v>2492.7354413042058</v>
      </c>
      <c r="D215" s="45">
        <v>1831.1101962011221</v>
      </c>
      <c r="E215" s="45">
        <v>661.62524510308333</v>
      </c>
      <c r="F215" s="45"/>
      <c r="G215" s="45">
        <v>0</v>
      </c>
      <c r="H215" s="45">
        <v>1767.7122112767076</v>
      </c>
      <c r="I215" s="45">
        <v>408.17585969692021</v>
      </c>
      <c r="J215" s="45">
        <v>316.84737033057741</v>
      </c>
    </row>
    <row r="216" spans="1:10">
      <c r="A216" s="34" t="s">
        <v>327</v>
      </c>
      <c r="B216" s="45">
        <v>632.38973980475498</v>
      </c>
      <c r="D216" s="45">
        <v>0</v>
      </c>
      <c r="E216" s="45">
        <v>632.38973980475498</v>
      </c>
      <c r="F216" s="45"/>
      <c r="G216" s="45">
        <v>0</v>
      </c>
      <c r="H216" s="45">
        <v>0</v>
      </c>
      <c r="I216" s="45">
        <v>632.38973980475498</v>
      </c>
      <c r="J216" s="45">
        <v>0</v>
      </c>
    </row>
    <row r="217" spans="1:10">
      <c r="A217" s="34" t="s">
        <v>328</v>
      </c>
      <c r="B217" s="45">
        <v>10131.233111540687</v>
      </c>
      <c r="D217" s="45">
        <v>3589.3116749499877</v>
      </c>
      <c r="E217" s="45">
        <v>6541.9214365907019</v>
      </c>
      <c r="F217" s="45"/>
      <c r="G217" s="45">
        <v>1144.3150766271392</v>
      </c>
      <c r="H217" s="45">
        <v>1855.6055871207213</v>
      </c>
      <c r="I217" s="45">
        <v>3485.0937342049979</v>
      </c>
      <c r="J217" s="45">
        <v>3646.2187135878307</v>
      </c>
    </row>
    <row r="218" spans="1:10">
      <c r="A218" s="34" t="s">
        <v>329</v>
      </c>
      <c r="B218" s="45">
        <v>0</v>
      </c>
      <c r="D218" s="45">
        <v>0</v>
      </c>
      <c r="E218" s="45">
        <v>0</v>
      </c>
      <c r="F218" s="45"/>
      <c r="G218" s="45">
        <v>0</v>
      </c>
      <c r="H218" s="45">
        <v>0</v>
      </c>
      <c r="I218" s="45">
        <v>0</v>
      </c>
      <c r="J218" s="45">
        <v>0</v>
      </c>
    </row>
    <row r="219" spans="1:10">
      <c r="A219" s="34" t="s">
        <v>330</v>
      </c>
      <c r="B219" s="45">
        <v>7503.5905637173191</v>
      </c>
      <c r="D219" s="45">
        <v>5321.7586619683389</v>
      </c>
      <c r="E219" s="45">
        <v>2181.8319017489798</v>
      </c>
      <c r="F219" s="45"/>
      <c r="G219" s="45">
        <v>1403.3706342240507</v>
      </c>
      <c r="H219" s="45">
        <v>3652.8425049091511</v>
      </c>
      <c r="I219" s="45">
        <v>381.48510298807105</v>
      </c>
      <c r="J219" s="45">
        <v>2065.8923215960458</v>
      </c>
    </row>
    <row r="220" spans="1:10">
      <c r="A220" s="34" t="s">
        <v>331</v>
      </c>
      <c r="B220" s="45">
        <v>38663.285529727327</v>
      </c>
      <c r="D220" s="45">
        <v>27218.526052421083</v>
      </c>
      <c r="E220" s="45">
        <v>11444.759477306263</v>
      </c>
      <c r="F220" s="45"/>
      <c r="G220" s="45">
        <v>5554.6833382970035</v>
      </c>
      <c r="H220" s="45">
        <v>14183.88433285652</v>
      </c>
      <c r="I220" s="45">
        <v>12818.852540103406</v>
      </c>
      <c r="J220" s="45">
        <v>6105.8653184704126</v>
      </c>
    </row>
    <row r="221" spans="1:10">
      <c r="A221" s="34" t="s">
        <v>332</v>
      </c>
      <c r="B221" s="45">
        <v>86480.694668904442</v>
      </c>
      <c r="D221" s="45">
        <v>53994.543550559261</v>
      </c>
      <c r="E221" s="45">
        <v>32486.151118345122</v>
      </c>
      <c r="F221" s="45"/>
      <c r="G221" s="45">
        <v>9390.3778234212077</v>
      </c>
      <c r="H221" s="45">
        <v>34283.576999648692</v>
      </c>
      <c r="I221" s="45">
        <v>25613.93768229588</v>
      </c>
      <c r="J221" s="45">
        <v>17192.802163538603</v>
      </c>
    </row>
    <row r="222" spans="1:10">
      <c r="A222" s="34" t="s">
        <v>333</v>
      </c>
      <c r="B222" s="45">
        <v>960.26360816068723</v>
      </c>
      <c r="D222" s="45">
        <v>960.26360816068723</v>
      </c>
      <c r="E222" s="45">
        <v>0</v>
      </c>
      <c r="F222" s="45"/>
      <c r="G222" s="45">
        <v>0</v>
      </c>
      <c r="H222" s="45">
        <v>0</v>
      </c>
      <c r="I222" s="45">
        <v>0</v>
      </c>
      <c r="J222" s="45">
        <v>960.26360816068723</v>
      </c>
    </row>
    <row r="223" spans="1:10">
      <c r="A223" s="34" t="s">
        <v>334</v>
      </c>
      <c r="B223" s="45">
        <v>316.84737033057741</v>
      </c>
      <c r="D223" s="45">
        <v>316.84737033057741</v>
      </c>
      <c r="E223" s="45">
        <v>0</v>
      </c>
      <c r="F223" s="45"/>
      <c r="G223" s="45">
        <v>0</v>
      </c>
      <c r="H223" s="45">
        <v>0</v>
      </c>
      <c r="I223" s="45">
        <v>0</v>
      </c>
      <c r="J223" s="45">
        <v>316.84737033057741</v>
      </c>
    </row>
    <row r="224" spans="1:10">
      <c r="A224" s="34" t="s">
        <v>335</v>
      </c>
      <c r="B224" s="45">
        <v>0</v>
      </c>
      <c r="D224" s="45">
        <v>0</v>
      </c>
      <c r="E224" s="45">
        <v>0</v>
      </c>
      <c r="F224" s="45"/>
      <c r="G224" s="45">
        <v>0</v>
      </c>
      <c r="H224" s="45">
        <v>0</v>
      </c>
      <c r="I224" s="45">
        <v>0</v>
      </c>
      <c r="J224" s="45">
        <v>0</v>
      </c>
    </row>
    <row r="225" spans="1:10">
      <c r="A225" s="34" t="s">
        <v>336</v>
      </c>
      <c r="B225" s="45">
        <v>2153.4449132190334</v>
      </c>
      <c r="D225" s="45">
        <v>1190.3487441933253</v>
      </c>
      <c r="E225" s="45">
        <v>963.09616902570804</v>
      </c>
      <c r="F225" s="45"/>
      <c r="G225" s="45">
        <v>0</v>
      </c>
      <c r="H225" s="45">
        <v>1190.3487441933253</v>
      </c>
      <c r="I225" s="45">
        <v>0</v>
      </c>
      <c r="J225" s="45">
        <v>963.09616902570804</v>
      </c>
    </row>
    <row r="226" spans="1:10">
      <c r="A226" s="34" t="s">
        <v>337</v>
      </c>
      <c r="B226" s="45">
        <v>3919.2851305616769</v>
      </c>
      <c r="D226" s="45">
        <v>2207.6735062254093</v>
      </c>
      <c r="E226" s="45">
        <v>1711.6116243362681</v>
      </c>
      <c r="F226" s="45"/>
      <c r="G226" s="45">
        <v>0</v>
      </c>
      <c r="H226" s="45">
        <v>1066.4289279109344</v>
      </c>
      <c r="I226" s="45">
        <v>1141.2445783144744</v>
      </c>
      <c r="J226" s="45">
        <v>1711.6116243362681</v>
      </c>
    </row>
    <row r="227" spans="1:10">
      <c r="A227" s="34" t="s">
        <v>338</v>
      </c>
      <c r="B227" s="45">
        <v>0</v>
      </c>
      <c r="D227" s="45">
        <v>0</v>
      </c>
      <c r="E227" s="45">
        <v>0</v>
      </c>
      <c r="F227" s="45"/>
      <c r="G227" s="45">
        <v>0</v>
      </c>
      <c r="H227" s="45">
        <v>0</v>
      </c>
      <c r="I227" s="45">
        <v>0</v>
      </c>
      <c r="J227" s="45">
        <v>0</v>
      </c>
    </row>
    <row r="228" spans="1:10">
      <c r="A228" s="34" t="s">
        <v>339</v>
      </c>
      <c r="B228" s="45">
        <v>35373.332979437226</v>
      </c>
      <c r="D228" s="45">
        <v>19781.048668092561</v>
      </c>
      <c r="E228" s="45">
        <v>15592.284311344654</v>
      </c>
      <c r="F228" s="45"/>
      <c r="G228" s="45">
        <v>1862.2893979733685</v>
      </c>
      <c r="H228" s="45">
        <v>14299.236539257014</v>
      </c>
      <c r="I228" s="45">
        <v>10790.976588656116</v>
      </c>
      <c r="J228" s="45">
        <v>8420.8304535507159</v>
      </c>
    </row>
    <row r="229" spans="1:10">
      <c r="A229" s="34" t="s">
        <v>340</v>
      </c>
      <c r="B229" s="45">
        <v>0</v>
      </c>
      <c r="D229" s="45">
        <v>0</v>
      </c>
      <c r="E229" s="45">
        <v>0</v>
      </c>
      <c r="F229" s="45"/>
      <c r="G229" s="45">
        <v>0</v>
      </c>
      <c r="H229" s="45">
        <v>0</v>
      </c>
      <c r="I229" s="45">
        <v>0</v>
      </c>
      <c r="J229" s="45">
        <v>0</v>
      </c>
    </row>
    <row r="230" spans="1:10">
      <c r="A230" s="34" t="s">
        <v>341</v>
      </c>
      <c r="B230" s="45">
        <v>331.37592977776518</v>
      </c>
      <c r="D230" s="45">
        <v>331.37592977776518</v>
      </c>
      <c r="E230" s="45">
        <v>0</v>
      </c>
      <c r="F230" s="45"/>
      <c r="G230" s="45">
        <v>0</v>
      </c>
      <c r="H230" s="45">
        <v>0</v>
      </c>
      <c r="I230" s="45">
        <v>0</v>
      </c>
      <c r="J230" s="45">
        <v>331.37592977776518</v>
      </c>
    </row>
    <row r="231" spans="1:10">
      <c r="A231" s="34" t="s">
        <v>342</v>
      </c>
      <c r="B231" s="45">
        <v>33781.570291469907</v>
      </c>
      <c r="D231" s="45">
        <v>19213.832637035681</v>
      </c>
      <c r="E231" s="45">
        <v>14567.737654434222</v>
      </c>
      <c r="F231" s="45"/>
      <c r="G231" s="45">
        <v>3188.0353998193705</v>
      </c>
      <c r="H231" s="45">
        <v>15783.000926906865</v>
      </c>
      <c r="I231" s="45">
        <v>5598.609531170614</v>
      </c>
      <c r="J231" s="45">
        <v>9211.9244335730582</v>
      </c>
    </row>
    <row r="232" spans="1:10">
      <c r="A232" s="34" t="s">
        <v>343</v>
      </c>
      <c r="B232" s="45">
        <v>7264.3069190656515</v>
      </c>
      <c r="D232" s="45">
        <v>4916.5034838201909</v>
      </c>
      <c r="E232" s="45">
        <v>2347.8034352454592</v>
      </c>
      <c r="F232" s="45"/>
      <c r="G232" s="45">
        <v>1828.4009940340845</v>
      </c>
      <c r="H232" s="45">
        <v>1374.7284634294338</v>
      </c>
      <c r="I232" s="45">
        <v>1592.9262126089434</v>
      </c>
      <c r="J232" s="45">
        <v>2468.2512489931887</v>
      </c>
    </row>
    <row r="233" spans="1:10">
      <c r="A233" s="34" t="s">
        <v>344</v>
      </c>
      <c r="B233" s="45">
        <v>0</v>
      </c>
      <c r="D233" s="45">
        <v>0</v>
      </c>
      <c r="E233" s="45">
        <v>0</v>
      </c>
      <c r="F233" s="45"/>
      <c r="G233" s="45">
        <v>0</v>
      </c>
      <c r="H233" s="45">
        <v>0</v>
      </c>
      <c r="I233" s="45">
        <v>0</v>
      </c>
      <c r="J233" s="45">
        <v>0</v>
      </c>
    </row>
    <row r="234" spans="1:10">
      <c r="A234" s="34" t="s">
        <v>345</v>
      </c>
      <c r="B234" s="45">
        <v>22875.945227920958</v>
      </c>
      <c r="D234" s="45">
        <v>14419.58910376062</v>
      </c>
      <c r="E234" s="45">
        <v>8456.3561241603384</v>
      </c>
      <c r="F234" s="45"/>
      <c r="G234" s="45">
        <v>4476.6785800166035</v>
      </c>
      <c r="H234" s="45">
        <v>4870.7452590958937</v>
      </c>
      <c r="I234" s="45">
        <v>4330.83954230991</v>
      </c>
      <c r="J234" s="45">
        <v>9197.6818464985517</v>
      </c>
    </row>
    <row r="235" spans="1:10">
      <c r="A235" s="34" t="s">
        <v>346</v>
      </c>
      <c r="B235" s="45">
        <v>2363.9248774835369</v>
      </c>
      <c r="D235" s="45">
        <v>1471.14830835566</v>
      </c>
      <c r="E235" s="45">
        <v>892.77656912787688</v>
      </c>
      <c r="F235" s="45"/>
      <c r="G235" s="45">
        <v>0</v>
      </c>
      <c r="H235" s="45">
        <v>0</v>
      </c>
      <c r="I235" s="45">
        <v>828.69905984717252</v>
      </c>
      <c r="J235" s="45">
        <v>1535.2258176363644</v>
      </c>
    </row>
    <row r="236" spans="1:10">
      <c r="A236" s="34" t="s">
        <v>347</v>
      </c>
      <c r="B236" s="45">
        <v>9684.1168300402187</v>
      </c>
      <c r="D236" s="45">
        <v>6473.080605666305</v>
      </c>
      <c r="E236" s="45">
        <v>3211.0362243739146</v>
      </c>
      <c r="F236" s="45"/>
      <c r="G236" s="45">
        <v>598.71087322593723</v>
      </c>
      <c r="H236" s="45">
        <v>925.73090891127765</v>
      </c>
      <c r="I236" s="45">
        <v>2612.3253511479775</v>
      </c>
      <c r="J236" s="45">
        <v>5547.3496967550273</v>
      </c>
    </row>
    <row r="237" spans="1:10">
      <c r="A237" s="34" t="s">
        <v>348</v>
      </c>
      <c r="B237" s="45">
        <v>0</v>
      </c>
      <c r="D237" s="45">
        <v>0</v>
      </c>
      <c r="E237" s="45">
        <v>0</v>
      </c>
      <c r="F237" s="45"/>
      <c r="G237" s="45">
        <v>0</v>
      </c>
      <c r="H237" s="45">
        <v>0</v>
      </c>
      <c r="I237" s="45">
        <v>0</v>
      </c>
      <c r="J237" s="45">
        <v>0</v>
      </c>
    </row>
    <row r="238" spans="1:10">
      <c r="A238" s="34" t="s">
        <v>349</v>
      </c>
      <c r="B238" s="45">
        <v>6389.5945042751782</v>
      </c>
      <c r="D238" s="45">
        <v>5822.8421569863676</v>
      </c>
      <c r="E238" s="45">
        <v>566.75234728881037</v>
      </c>
      <c r="F238" s="45"/>
      <c r="G238" s="45">
        <v>1354.6891883183719</v>
      </c>
      <c r="H238" s="45">
        <v>1751.5157147996829</v>
      </c>
      <c r="I238" s="45">
        <v>2270.9954625834525</v>
      </c>
      <c r="J238" s="45">
        <v>1012.3941385736698</v>
      </c>
    </row>
    <row r="239" spans="1:10">
      <c r="A239" s="34" t="s">
        <v>350</v>
      </c>
      <c r="B239" s="45">
        <v>225924.1416251866</v>
      </c>
      <c r="D239" s="45">
        <v>14587.966576880484</v>
      </c>
      <c r="E239" s="45">
        <v>210689.30775538471</v>
      </c>
      <c r="F239" s="45"/>
      <c r="G239" s="45">
        <v>3109.2463854410953</v>
      </c>
      <c r="H239" s="45">
        <v>44953.291403970259</v>
      </c>
      <c r="I239" s="45">
        <v>75266.320627096022</v>
      </c>
      <c r="J239" s="45">
        <v>102595.28320867897</v>
      </c>
    </row>
    <row r="240" spans="1:10">
      <c r="A240" s="34" t="s">
        <v>351</v>
      </c>
      <c r="B240" s="45">
        <v>4500.4032208870231</v>
      </c>
      <c r="D240" s="45">
        <v>2156.4888063418175</v>
      </c>
      <c r="E240" s="45">
        <v>2343.914414545206</v>
      </c>
      <c r="F240" s="45"/>
      <c r="G240" s="45">
        <v>0</v>
      </c>
      <c r="H240" s="45">
        <v>2342.4221601241288</v>
      </c>
      <c r="I240" s="45">
        <v>643.24296785356012</v>
      </c>
      <c r="J240" s="45">
        <v>1514.738092909334</v>
      </c>
    </row>
    <row r="241" spans="1:10">
      <c r="A241" s="34" t="s">
        <v>352</v>
      </c>
      <c r="B241" s="45">
        <v>620.83633438509821</v>
      </c>
      <c r="D241" s="45">
        <v>620.83633438509821</v>
      </c>
      <c r="E241" s="45">
        <v>0</v>
      </c>
      <c r="F241" s="45"/>
      <c r="G241" s="45">
        <v>0</v>
      </c>
      <c r="H241" s="45">
        <v>0</v>
      </c>
      <c r="I241" s="45">
        <v>620.83633438509821</v>
      </c>
      <c r="J241" s="45">
        <v>0</v>
      </c>
    </row>
    <row r="242" spans="1:10">
      <c r="A242" s="34" t="s">
        <v>353</v>
      </c>
      <c r="B242" s="45">
        <v>0</v>
      </c>
      <c r="D242" s="45">
        <v>0</v>
      </c>
      <c r="E242" s="45">
        <v>0</v>
      </c>
      <c r="F242" s="45"/>
      <c r="G242" s="45">
        <v>0</v>
      </c>
      <c r="H242" s="45">
        <v>0</v>
      </c>
      <c r="I242" s="45">
        <v>0</v>
      </c>
      <c r="J242" s="45">
        <v>0</v>
      </c>
    </row>
    <row r="243" spans="1:10">
      <c r="A243" s="34" t="s">
        <v>354</v>
      </c>
      <c r="B243" s="45">
        <v>24667.727857673744</v>
      </c>
      <c r="D243" s="45">
        <v>15855.590195573972</v>
      </c>
      <c r="E243" s="45">
        <v>8812.1376620997798</v>
      </c>
      <c r="F243" s="45"/>
      <c r="G243" s="45">
        <v>0</v>
      </c>
      <c r="H243" s="45">
        <v>5484.9217875536497</v>
      </c>
      <c r="I243" s="45">
        <v>8520.4844872961221</v>
      </c>
      <c r="J243" s="45">
        <v>10662.321582823975</v>
      </c>
    </row>
    <row r="244" spans="1:10">
      <c r="A244" s="34" t="s">
        <v>355</v>
      </c>
      <c r="B244" s="45">
        <v>987.2625106615161</v>
      </c>
      <c r="D244" s="45">
        <v>337.27000350004141</v>
      </c>
      <c r="E244" s="45">
        <v>649.99250716147469</v>
      </c>
      <c r="F244" s="45"/>
      <c r="G244" s="45">
        <v>0</v>
      </c>
      <c r="H244" s="45">
        <v>649.99250716147469</v>
      </c>
      <c r="I244" s="45">
        <v>0</v>
      </c>
      <c r="J244" s="45">
        <v>337.27000350004141</v>
      </c>
    </row>
    <row r="245" spans="1:10">
      <c r="A245" s="34" t="s">
        <v>356</v>
      </c>
      <c r="B245" s="45">
        <v>1491.2080930269656</v>
      </c>
      <c r="D245" s="45">
        <v>1491.2080930269656</v>
      </c>
      <c r="E245" s="45">
        <v>0</v>
      </c>
      <c r="F245" s="45"/>
      <c r="G245" s="45">
        <v>0</v>
      </c>
      <c r="H245" s="45">
        <v>1159.8321632492004</v>
      </c>
      <c r="I245" s="45">
        <v>0</v>
      </c>
      <c r="J245" s="45">
        <v>331.37592977776518</v>
      </c>
    </row>
    <row r="246" spans="1:10">
      <c r="A246" s="34" t="s">
        <v>357</v>
      </c>
      <c r="B246" s="45">
        <v>10349.47224453974</v>
      </c>
      <c r="D246" s="45">
        <v>8496.1322555301012</v>
      </c>
      <c r="E246" s="45">
        <v>1853.3399890096398</v>
      </c>
      <c r="F246" s="45"/>
      <c r="G246" s="45">
        <v>599.1029454800896</v>
      </c>
      <c r="H246" s="45">
        <v>3708.627261972727</v>
      </c>
      <c r="I246" s="45">
        <v>4228.4783385012561</v>
      </c>
      <c r="J246" s="45">
        <v>1813.2636985856682</v>
      </c>
    </row>
    <row r="247" spans="1:10">
      <c r="A247" s="34" t="s">
        <v>358</v>
      </c>
      <c r="B247" s="45">
        <v>0</v>
      </c>
      <c r="D247" s="45">
        <v>0</v>
      </c>
      <c r="E247" s="45">
        <v>0</v>
      </c>
      <c r="F247" s="45"/>
      <c r="G247" s="45">
        <v>0</v>
      </c>
      <c r="H247" s="45">
        <v>0</v>
      </c>
      <c r="I247" s="45">
        <v>0</v>
      </c>
      <c r="J247" s="45">
        <v>0</v>
      </c>
    </row>
    <row r="248" spans="1:10">
      <c r="A248" s="34" t="s">
        <v>359</v>
      </c>
      <c r="B248" s="45">
        <v>3243.0040615647149</v>
      </c>
      <c r="D248" s="45">
        <v>615.57059610743079</v>
      </c>
      <c r="E248" s="45">
        <v>2627.433465457284</v>
      </c>
      <c r="F248" s="45"/>
      <c r="G248" s="45">
        <v>681.8265901235477</v>
      </c>
      <c r="H248" s="45">
        <v>615.57059610743079</v>
      </c>
      <c r="I248" s="45">
        <v>720.70167976842686</v>
      </c>
      <c r="J248" s="45">
        <v>1224.9051955653092</v>
      </c>
    </row>
    <row r="249" spans="1:10">
      <c r="A249" s="34" t="s">
        <v>360</v>
      </c>
      <c r="B249" s="45">
        <v>1724.3632170191499</v>
      </c>
      <c r="D249" s="45">
        <v>1724.3632170191499</v>
      </c>
      <c r="E249" s="45">
        <v>0</v>
      </c>
      <c r="F249" s="45"/>
      <c r="G249" s="45">
        <v>0</v>
      </c>
      <c r="H249" s="45">
        <v>480.63873930495294</v>
      </c>
      <c r="I249" s="45">
        <v>520.99414010604744</v>
      </c>
      <c r="J249" s="45">
        <v>722.73033760814951</v>
      </c>
    </row>
    <row r="250" spans="1:10">
      <c r="A250" s="34" t="s">
        <v>361</v>
      </c>
      <c r="B250" s="45">
        <v>2229.6797191282913</v>
      </c>
      <c r="D250" s="45">
        <v>951.93788077095155</v>
      </c>
      <c r="E250" s="45">
        <v>1277.7418383573397</v>
      </c>
      <c r="F250" s="45"/>
      <c r="G250" s="45">
        <v>0</v>
      </c>
      <c r="H250" s="45">
        <v>565.03762602637778</v>
      </c>
      <c r="I250" s="45">
        <v>0</v>
      </c>
      <c r="J250" s="45">
        <v>1664.6420931019134</v>
      </c>
    </row>
    <row r="251" spans="1:10">
      <c r="A251" s="34" t="s">
        <v>362</v>
      </c>
      <c r="B251" s="45">
        <v>497.70910050246704</v>
      </c>
      <c r="D251" s="45">
        <v>0</v>
      </c>
      <c r="E251" s="45">
        <v>497.70910050246704</v>
      </c>
      <c r="F251" s="45"/>
      <c r="G251" s="45">
        <v>0</v>
      </c>
      <c r="H251" s="45">
        <v>0</v>
      </c>
      <c r="I251" s="45">
        <v>0</v>
      </c>
      <c r="J251" s="45">
        <v>497.70910050246704</v>
      </c>
    </row>
    <row r="252" spans="1:10">
      <c r="A252" s="34" t="s">
        <v>363</v>
      </c>
      <c r="B252" s="45">
        <v>777.27343760055021</v>
      </c>
      <c r="D252" s="45">
        <v>0</v>
      </c>
      <c r="E252" s="45">
        <v>777.27343760055021</v>
      </c>
      <c r="F252" s="45"/>
      <c r="G252" s="45">
        <v>0</v>
      </c>
      <c r="H252" s="45">
        <v>777.27343760055021</v>
      </c>
      <c r="I252" s="45">
        <v>0</v>
      </c>
      <c r="J252" s="45">
        <v>0</v>
      </c>
    </row>
    <row r="253" spans="1:10">
      <c r="A253" s="34" t="s">
        <v>364</v>
      </c>
      <c r="B253" s="45">
        <v>5928.5501438560404</v>
      </c>
      <c r="D253" s="45">
        <v>1715.0235604295892</v>
      </c>
      <c r="E253" s="45">
        <v>4213.5265834264519</v>
      </c>
      <c r="F253" s="45"/>
      <c r="G253" s="45">
        <v>1215.0693428975883</v>
      </c>
      <c r="H253" s="45">
        <v>1584.4503808603599</v>
      </c>
      <c r="I253" s="45">
        <v>2309.062481493514</v>
      </c>
      <c r="J253" s="45">
        <v>819.96793860457774</v>
      </c>
    </row>
    <row r="254" spans="1:10">
      <c r="A254" s="34" t="s">
        <v>365</v>
      </c>
      <c r="B254" s="45">
        <v>615.57059610743079</v>
      </c>
      <c r="D254" s="45">
        <v>615.57059610743079</v>
      </c>
      <c r="E254" s="45">
        <v>0</v>
      </c>
      <c r="F254" s="45"/>
      <c r="G254" s="45">
        <v>0</v>
      </c>
      <c r="H254" s="45">
        <v>615.57059610743079</v>
      </c>
      <c r="I254" s="45">
        <v>0</v>
      </c>
      <c r="J254" s="45">
        <v>0</v>
      </c>
    </row>
    <row r="255" spans="1:10">
      <c r="A255" s="34" t="s">
        <v>366</v>
      </c>
      <c r="B255" s="45">
        <v>14746.47178337508</v>
      </c>
      <c r="D255" s="45">
        <v>12020.091090309525</v>
      </c>
      <c r="E255" s="45">
        <v>2726.380693065556</v>
      </c>
      <c r="F255" s="45"/>
      <c r="G255" s="45">
        <v>11706.488843942274</v>
      </c>
      <c r="H255" s="45">
        <v>3039.9829394328053</v>
      </c>
      <c r="I255" s="45">
        <v>0</v>
      </c>
      <c r="J255" s="45">
        <v>0</v>
      </c>
    </row>
    <row r="256" spans="1:10">
      <c r="A256" s="34" t="s">
        <v>367</v>
      </c>
      <c r="B256" s="45">
        <v>6479.9116296636385</v>
      </c>
      <c r="D256" s="45">
        <v>3572.1344857380764</v>
      </c>
      <c r="E256" s="45">
        <v>2907.7771439255621</v>
      </c>
      <c r="F256" s="45"/>
      <c r="G256" s="45">
        <v>590.36400879059101</v>
      </c>
      <c r="H256" s="45">
        <v>1081.9834493627054</v>
      </c>
      <c r="I256" s="45">
        <v>1700.447577686165</v>
      </c>
      <c r="J256" s="45">
        <v>3107.1165938241766</v>
      </c>
    </row>
    <row r="257" spans="1:10">
      <c r="A257" s="34" t="s">
        <v>368</v>
      </c>
      <c r="B257" s="45">
        <v>0</v>
      </c>
      <c r="D257" s="45">
        <v>0</v>
      </c>
      <c r="E257" s="45">
        <v>0</v>
      </c>
      <c r="F257" s="45"/>
      <c r="G257" s="45">
        <v>0</v>
      </c>
      <c r="H257" s="45">
        <v>0</v>
      </c>
      <c r="I257" s="45">
        <v>0</v>
      </c>
      <c r="J257" s="45">
        <v>0</v>
      </c>
    </row>
    <row r="258" spans="1:10">
      <c r="A258" s="34" t="s">
        <v>369</v>
      </c>
      <c r="B258" s="45">
        <v>0</v>
      </c>
      <c r="D258" s="45">
        <v>0</v>
      </c>
      <c r="E258" s="45">
        <v>0</v>
      </c>
      <c r="F258" s="45"/>
      <c r="G258" s="45">
        <v>0</v>
      </c>
      <c r="H258" s="45">
        <v>0</v>
      </c>
      <c r="I258" s="45">
        <v>0</v>
      </c>
      <c r="J258" s="45">
        <v>0</v>
      </c>
    </row>
    <row r="259" spans="1:10">
      <c r="A259" s="34" t="s">
        <v>370</v>
      </c>
      <c r="B259" s="45">
        <v>470.01779546800935</v>
      </c>
      <c r="D259" s="45">
        <v>0</v>
      </c>
      <c r="E259" s="45">
        <v>470.01779546800935</v>
      </c>
      <c r="F259" s="45"/>
      <c r="G259" s="45">
        <v>0</v>
      </c>
      <c r="H259" s="45">
        <v>470.01779546800935</v>
      </c>
      <c r="I259" s="45">
        <v>0</v>
      </c>
      <c r="J259" s="45">
        <v>0</v>
      </c>
    </row>
    <row r="260" spans="1:10">
      <c r="A260" s="34" t="s">
        <v>371</v>
      </c>
      <c r="B260" s="45">
        <v>6226.886642156378</v>
      </c>
      <c r="D260" s="45">
        <v>1229.6573675955499</v>
      </c>
      <c r="E260" s="45">
        <v>4997.2292745608283</v>
      </c>
      <c r="F260" s="45"/>
      <c r="G260" s="45">
        <v>518.73720047760116</v>
      </c>
      <c r="H260" s="45">
        <v>1778.9383068158027</v>
      </c>
      <c r="I260" s="45">
        <v>1169.679258629882</v>
      </c>
      <c r="J260" s="45">
        <v>2759.5318762330912</v>
      </c>
    </row>
    <row r="261" spans="1:10">
      <c r="A261" s="34" t="s">
        <v>372</v>
      </c>
      <c r="B261" s="45">
        <v>5501.9759899614974</v>
      </c>
      <c r="D261" s="45">
        <v>1592.1803158455459</v>
      </c>
      <c r="E261" s="45">
        <v>3909.7956741159519</v>
      </c>
      <c r="F261" s="45"/>
      <c r="G261" s="45">
        <v>0</v>
      </c>
      <c r="H261" s="45">
        <v>0</v>
      </c>
      <c r="I261" s="45">
        <v>0</v>
      </c>
      <c r="J261" s="45">
        <v>5501.9759899614974</v>
      </c>
    </row>
    <row r="262" spans="1:10">
      <c r="A262" s="34" t="s">
        <v>373</v>
      </c>
      <c r="B262" s="45">
        <v>80987.448892205808</v>
      </c>
      <c r="D262" s="45">
        <v>60109.71546377107</v>
      </c>
      <c r="E262" s="45">
        <v>20877.733428434713</v>
      </c>
      <c r="F262" s="45"/>
      <c r="G262" s="45">
        <v>8747.7331388391758</v>
      </c>
      <c r="H262" s="45">
        <v>17395.166334669677</v>
      </c>
      <c r="I262" s="45">
        <v>26891.450589293414</v>
      </c>
      <c r="J262" s="45">
        <v>27953.098829403556</v>
      </c>
    </row>
    <row r="263" spans="1:10">
      <c r="A263" s="34" t="s">
        <v>374</v>
      </c>
      <c r="B263" s="45">
        <v>30148.24260958868</v>
      </c>
      <c r="D263" s="45">
        <v>26126.540586994863</v>
      </c>
      <c r="E263" s="45">
        <v>4021.7020225938181</v>
      </c>
      <c r="F263" s="45"/>
      <c r="G263" s="45">
        <v>1842.1379598033122</v>
      </c>
      <c r="H263" s="45">
        <v>9294.8621110031436</v>
      </c>
      <c r="I263" s="45">
        <v>6312.8512462360504</v>
      </c>
      <c r="J263" s="45">
        <v>12698.391292546174</v>
      </c>
    </row>
    <row r="264" spans="1:10">
      <c r="A264" s="34" t="s">
        <v>375</v>
      </c>
      <c r="B264" s="45">
        <v>147103.68547968296</v>
      </c>
      <c r="D264" s="45">
        <v>72034.543243739681</v>
      </c>
      <c r="E264" s="45">
        <v>75069.142235943174</v>
      </c>
      <c r="F264" s="45"/>
      <c r="G264" s="45">
        <v>28869.897471730375</v>
      </c>
      <c r="H264" s="45">
        <v>39585.418597743563</v>
      </c>
      <c r="I264" s="45">
        <v>35997.82642232479</v>
      </c>
      <c r="J264" s="45">
        <v>42650.542987884139</v>
      </c>
    </row>
    <row r="265" spans="1:10">
      <c r="A265" s="34" t="s">
        <v>376</v>
      </c>
      <c r="B265" s="45">
        <v>4914.8445844287899</v>
      </c>
      <c r="D265" s="45">
        <v>2692.9824225521247</v>
      </c>
      <c r="E265" s="45">
        <v>2221.8621618766651</v>
      </c>
      <c r="F265" s="45"/>
      <c r="G265" s="45">
        <v>0</v>
      </c>
      <c r="H265" s="45">
        <v>480.63873930495294</v>
      </c>
      <c r="I265" s="45">
        <v>3305.0836169379313</v>
      </c>
      <c r="J265" s="45">
        <v>1129.1222281859059</v>
      </c>
    </row>
    <row r="266" spans="1:10">
      <c r="A266" s="34" t="s">
        <v>377</v>
      </c>
      <c r="B266" s="45">
        <v>16034.771952668851</v>
      </c>
      <c r="D266" s="45">
        <v>9444.9409689355198</v>
      </c>
      <c r="E266" s="45">
        <v>6589.8309837333327</v>
      </c>
      <c r="F266" s="45"/>
      <c r="G266" s="45">
        <v>4756.260779544511</v>
      </c>
      <c r="H266" s="45">
        <v>3732.7055318641405</v>
      </c>
      <c r="I266" s="45">
        <v>3888.768947274898</v>
      </c>
      <c r="J266" s="45">
        <v>3657.0366939853038</v>
      </c>
    </row>
    <row r="267" spans="1:10">
      <c r="A267" s="34" t="s">
        <v>378</v>
      </c>
      <c r="B267" s="45">
        <v>13315.669582085051</v>
      </c>
      <c r="D267" s="45">
        <v>6664.9807315558101</v>
      </c>
      <c r="E267" s="45">
        <v>6185.7088624148882</v>
      </c>
      <c r="F267" s="45"/>
      <c r="G267" s="45">
        <v>581.66676546531835</v>
      </c>
      <c r="H267" s="45">
        <v>1084.9505364580848</v>
      </c>
      <c r="I267" s="45">
        <v>6266.876773760624</v>
      </c>
      <c r="J267" s="45">
        <v>5382.175506401024</v>
      </c>
    </row>
    <row r="268" spans="1:10">
      <c r="A268" s="34" t="s">
        <v>379</v>
      </c>
      <c r="B268" s="45">
        <v>0</v>
      </c>
      <c r="D268" s="45">
        <v>0</v>
      </c>
      <c r="E268" s="45">
        <v>0</v>
      </c>
      <c r="F268" s="45"/>
      <c r="G268" s="45">
        <v>0</v>
      </c>
      <c r="H268" s="45">
        <v>0</v>
      </c>
      <c r="I268" s="45">
        <v>0</v>
      </c>
      <c r="J268" s="45">
        <v>0</v>
      </c>
    </row>
    <row r="269" spans="1:10">
      <c r="A269" s="34" t="s">
        <v>380</v>
      </c>
      <c r="B269" s="45">
        <v>1422.7658269207195</v>
      </c>
      <c r="D269" s="45">
        <v>772.65312810588125</v>
      </c>
      <c r="E269" s="45">
        <v>650.11269881483827</v>
      </c>
      <c r="F269" s="45"/>
      <c r="G269" s="45">
        <v>0</v>
      </c>
      <c r="H269" s="45">
        <v>0</v>
      </c>
      <c r="I269" s="45">
        <v>650.11269881483827</v>
      </c>
      <c r="J269" s="45">
        <v>772.65312810588125</v>
      </c>
    </row>
    <row r="270" spans="1:10">
      <c r="A270" s="34" t="s">
        <v>381</v>
      </c>
      <c r="B270" s="45">
        <v>1899.2515135337599</v>
      </c>
      <c r="D270" s="45">
        <v>490.13454537033851</v>
      </c>
      <c r="E270" s="45">
        <v>1409.1169681634215</v>
      </c>
      <c r="F270" s="45"/>
      <c r="G270" s="45">
        <v>0</v>
      </c>
      <c r="H270" s="45">
        <v>0</v>
      </c>
      <c r="I270" s="45">
        <v>490.13454537033851</v>
      </c>
      <c r="J270" s="45">
        <v>1409.1169681634215</v>
      </c>
    </row>
    <row r="271" spans="1:10">
      <c r="A271" s="34" t="s">
        <v>382</v>
      </c>
      <c r="B271" s="45">
        <v>21871.432938004094</v>
      </c>
      <c r="D271" s="45">
        <v>8520.0458412304488</v>
      </c>
      <c r="E271" s="45">
        <v>13351.387096773646</v>
      </c>
      <c r="F271" s="45"/>
      <c r="G271" s="45">
        <v>748.71342154488582</v>
      </c>
      <c r="H271" s="45">
        <v>9906.849923959544</v>
      </c>
      <c r="I271" s="45">
        <v>7818.2701519008806</v>
      </c>
      <c r="J271" s="45">
        <v>3397.5994405987858</v>
      </c>
    </row>
    <row r="272" spans="1:10">
      <c r="A272" s="34" t="s">
        <v>383</v>
      </c>
      <c r="B272" s="45">
        <v>0</v>
      </c>
      <c r="D272" s="45">
        <v>0</v>
      </c>
      <c r="E272" s="45">
        <v>0</v>
      </c>
      <c r="F272" s="45"/>
      <c r="G272" s="45">
        <v>0</v>
      </c>
      <c r="H272" s="45">
        <v>0</v>
      </c>
      <c r="I272" s="45">
        <v>0</v>
      </c>
      <c r="J272" s="45">
        <v>0</v>
      </c>
    </row>
    <row r="273" spans="1:10">
      <c r="A273" s="34" t="s">
        <v>384</v>
      </c>
      <c r="B273" s="45">
        <v>9302.5885983130174</v>
      </c>
      <c r="D273" s="45">
        <v>5766.9771734691149</v>
      </c>
      <c r="E273" s="45">
        <v>3535.6114248439044</v>
      </c>
      <c r="F273" s="45"/>
      <c r="G273" s="45">
        <v>1396.4861885062596</v>
      </c>
      <c r="H273" s="45">
        <v>1560.8570813407287</v>
      </c>
      <c r="I273" s="45">
        <v>3011.1679262387847</v>
      </c>
      <c r="J273" s="45">
        <v>3334.0774022272462</v>
      </c>
    </row>
    <row r="274" spans="1:10">
      <c r="A274" s="34" t="s">
        <v>385</v>
      </c>
      <c r="B274" s="45">
        <v>0</v>
      </c>
      <c r="D274" s="45">
        <v>0</v>
      </c>
      <c r="E274" s="45">
        <v>0</v>
      </c>
      <c r="F274" s="45"/>
      <c r="G274" s="45">
        <v>0</v>
      </c>
      <c r="H274" s="45">
        <v>0</v>
      </c>
      <c r="I274" s="45">
        <v>0</v>
      </c>
      <c r="J274" s="45">
        <v>0</v>
      </c>
    </row>
    <row r="275" spans="1:10">
      <c r="A275" s="34" t="s">
        <v>386</v>
      </c>
      <c r="B275" s="45">
        <v>10137.760164135809</v>
      </c>
      <c r="D275" s="45">
        <v>3438.6551036008273</v>
      </c>
      <c r="E275" s="45">
        <v>6699.1050605349819</v>
      </c>
      <c r="F275" s="45"/>
      <c r="G275" s="45">
        <v>681.8265901235477</v>
      </c>
      <c r="H275" s="45">
        <v>1174.1101282975246</v>
      </c>
      <c r="I275" s="45">
        <v>1137.5832847509018</v>
      </c>
      <c r="J275" s="45">
        <v>7144.2401609638355</v>
      </c>
    </row>
    <row r="276" spans="1:10">
      <c r="A276" s="34" t="s">
        <v>387</v>
      </c>
      <c r="B276" s="45">
        <v>6991.7892381830325</v>
      </c>
      <c r="D276" s="45">
        <v>5481.4808788772616</v>
      </c>
      <c r="E276" s="45">
        <v>1510.3083593057706</v>
      </c>
      <c r="F276" s="45"/>
      <c r="G276" s="45">
        <v>505.10580668779107</v>
      </c>
      <c r="H276" s="45">
        <v>1566.2271308803931</v>
      </c>
      <c r="I276" s="45">
        <v>1226.6027213160369</v>
      </c>
      <c r="J276" s="45">
        <v>3693.8535792988118</v>
      </c>
    </row>
    <row r="277" spans="1:10">
      <c r="A277" s="34" t="s">
        <v>388</v>
      </c>
      <c r="B277" s="45">
        <v>2587.6629007261367</v>
      </c>
      <c r="D277" s="45">
        <v>1644.5148946790459</v>
      </c>
      <c r="E277" s="45">
        <v>943.14800604709103</v>
      </c>
      <c r="F277" s="45"/>
      <c r="G277" s="45">
        <v>574.89970585011554</v>
      </c>
      <c r="H277" s="45">
        <v>0</v>
      </c>
      <c r="I277" s="45">
        <v>372.63311293688508</v>
      </c>
      <c r="J277" s="45">
        <v>1640.1300819391363</v>
      </c>
    </row>
    <row r="278" spans="1:10">
      <c r="A278" s="34" t="s">
        <v>389</v>
      </c>
      <c r="B278" s="45">
        <v>22864.400897713233</v>
      </c>
      <c r="D278" s="45">
        <v>11915.418218387698</v>
      </c>
      <c r="E278" s="45">
        <v>10948.982679325527</v>
      </c>
      <c r="F278" s="45"/>
      <c r="G278" s="45">
        <v>0</v>
      </c>
      <c r="H278" s="45">
        <v>4312.3772693131941</v>
      </c>
      <c r="I278" s="45">
        <v>11608.319877702233</v>
      </c>
      <c r="J278" s="45">
        <v>6943.7037506977986</v>
      </c>
    </row>
    <row r="279" spans="1:10">
      <c r="A279" s="34" t="s">
        <v>390</v>
      </c>
      <c r="B279" s="45">
        <v>1136925.9838061805</v>
      </c>
      <c r="D279" s="45">
        <v>537217.78405121202</v>
      </c>
      <c r="E279" s="45">
        <v>597388.26130318898</v>
      </c>
      <c r="F279" s="45"/>
      <c r="G279" s="45">
        <v>337790.90606438363</v>
      </c>
      <c r="H279" s="45">
        <v>424759.81544578186</v>
      </c>
      <c r="I279" s="45">
        <v>265815.78300462192</v>
      </c>
      <c r="J279" s="45">
        <v>108559.4792913975</v>
      </c>
    </row>
    <row r="280" spans="1:10">
      <c r="A280" s="34" t="s">
        <v>391</v>
      </c>
      <c r="B280" s="45">
        <v>0</v>
      </c>
      <c r="D280" s="45">
        <v>0</v>
      </c>
      <c r="E280" s="45">
        <v>0</v>
      </c>
      <c r="F280" s="45"/>
      <c r="G280" s="45">
        <v>0</v>
      </c>
      <c r="H280" s="45">
        <v>0</v>
      </c>
      <c r="I280" s="45">
        <v>0</v>
      </c>
      <c r="J280" s="45">
        <v>0</v>
      </c>
    </row>
    <row r="281" spans="1:10">
      <c r="A281" s="34" t="s">
        <v>392</v>
      </c>
      <c r="B281" s="45">
        <v>4648.8007196790822</v>
      </c>
      <c r="D281" s="45">
        <v>1800.8309935980976</v>
      </c>
      <c r="E281" s="45">
        <v>2847.9697260809849</v>
      </c>
      <c r="F281" s="45"/>
      <c r="G281" s="45">
        <v>2005.5357249530498</v>
      </c>
      <c r="H281" s="45">
        <v>1292.5935919043354</v>
      </c>
      <c r="I281" s="45">
        <v>508.66394678876424</v>
      </c>
      <c r="J281" s="45">
        <v>842.00745603293331</v>
      </c>
    </row>
    <row r="282" spans="1:10">
      <c r="A282" s="34" t="s">
        <v>393</v>
      </c>
      <c r="B282" s="45">
        <v>21473.125331189942</v>
      </c>
      <c r="D282" s="45">
        <v>14228.248916885736</v>
      </c>
      <c r="E282" s="45">
        <v>7244.8764143042108</v>
      </c>
      <c r="F282" s="45"/>
      <c r="G282" s="45">
        <v>581.66676546531835</v>
      </c>
      <c r="H282" s="45">
        <v>3724.8747225226084</v>
      </c>
      <c r="I282" s="45">
        <v>8254.5186130129041</v>
      </c>
      <c r="J282" s="45">
        <v>8912.065230189115</v>
      </c>
    </row>
    <row r="283" spans="1:10">
      <c r="A283" s="34" t="s">
        <v>394</v>
      </c>
      <c r="B283" s="45">
        <v>39919.589224886397</v>
      </c>
      <c r="D283" s="45">
        <v>23118.654036397162</v>
      </c>
      <c r="E283" s="45">
        <v>16800.935188489246</v>
      </c>
      <c r="F283" s="45"/>
      <c r="G283" s="45">
        <v>2327.6285082604572</v>
      </c>
      <c r="H283" s="45">
        <v>15716.88137609166</v>
      </c>
      <c r="I283" s="45">
        <v>13664.125890844234</v>
      </c>
      <c r="J283" s="45">
        <v>8210.9534496900524</v>
      </c>
    </row>
    <row r="284" spans="1:10">
      <c r="A284" s="34" t="s">
        <v>395</v>
      </c>
      <c r="B284" s="45">
        <v>11544.791265864927</v>
      </c>
      <c r="D284" s="45">
        <v>7735.2844363799932</v>
      </c>
      <c r="E284" s="45">
        <v>3809.5068294849334</v>
      </c>
      <c r="F284" s="45"/>
      <c r="G284" s="45">
        <v>2077.9316054694973</v>
      </c>
      <c r="H284" s="45">
        <v>4881.7687529020795</v>
      </c>
      <c r="I284" s="45">
        <v>3049.8147453028409</v>
      </c>
      <c r="J284" s="45">
        <v>1535.2761621905086</v>
      </c>
    </row>
    <row r="285" spans="1:10">
      <c r="A285" s="34" t="s">
        <v>396</v>
      </c>
      <c r="B285" s="45">
        <v>192261.59191568647</v>
      </c>
      <c r="D285" s="45">
        <v>93640.607789716538</v>
      </c>
      <c r="E285" s="45">
        <v>98620.984125969597</v>
      </c>
      <c r="F285" s="45"/>
      <c r="G285" s="45">
        <v>12174.616693117372</v>
      </c>
      <c r="H285" s="45">
        <v>58743.511658989191</v>
      </c>
      <c r="I285" s="45">
        <v>61724.961711161763</v>
      </c>
      <c r="J285" s="45">
        <v>59618.501852417721</v>
      </c>
    </row>
    <row r="286" spans="1:10">
      <c r="A286" s="34" t="s">
        <v>397</v>
      </c>
      <c r="B286" s="45">
        <v>4748.7936789612759</v>
      </c>
      <c r="D286" s="45">
        <v>1625.0303438404665</v>
      </c>
      <c r="E286" s="45">
        <v>3123.7633351208087</v>
      </c>
      <c r="F286" s="45"/>
      <c r="G286" s="45">
        <v>1306.9719940806126</v>
      </c>
      <c r="H286" s="45">
        <v>0</v>
      </c>
      <c r="I286" s="45">
        <v>1893.5050350429915</v>
      </c>
      <c r="J286" s="45">
        <v>1548.3166498376711</v>
      </c>
    </row>
    <row r="287" spans="1:10">
      <c r="A287" s="34" t="s">
        <v>398</v>
      </c>
      <c r="B287" s="45">
        <v>0</v>
      </c>
      <c r="D287" s="45">
        <v>0</v>
      </c>
      <c r="E287" s="45">
        <v>0</v>
      </c>
      <c r="F287" s="45"/>
      <c r="G287" s="45">
        <v>0</v>
      </c>
      <c r="H287" s="45">
        <v>0</v>
      </c>
      <c r="I287" s="45">
        <v>0</v>
      </c>
      <c r="J287" s="45">
        <v>0</v>
      </c>
    </row>
    <row r="288" spans="1:10">
      <c r="A288" s="34" t="s">
        <v>399</v>
      </c>
      <c r="B288" s="45">
        <v>46063.706243045628</v>
      </c>
      <c r="D288" s="45">
        <v>23011.8092234</v>
      </c>
      <c r="E288" s="45">
        <v>23051.897019645636</v>
      </c>
      <c r="F288" s="45"/>
      <c r="G288" s="45">
        <v>0</v>
      </c>
      <c r="H288" s="45">
        <v>11199.020487273803</v>
      </c>
      <c r="I288" s="45">
        <v>15330.103515130839</v>
      </c>
      <c r="J288" s="45">
        <v>19534.58224064099</v>
      </c>
    </row>
    <row r="289" spans="1:10">
      <c r="A289" s="34" t="s">
        <v>400</v>
      </c>
      <c r="B289" s="45">
        <v>1371.6754510313579</v>
      </c>
      <c r="D289" s="45">
        <v>662.18461182364979</v>
      </c>
      <c r="E289" s="45">
        <v>709.49083920770818</v>
      </c>
      <c r="F289" s="45"/>
      <c r="G289" s="45">
        <v>662.18461182364979</v>
      </c>
      <c r="H289" s="45">
        <v>0</v>
      </c>
      <c r="I289" s="45">
        <v>0</v>
      </c>
      <c r="J289" s="45">
        <v>709.49083920770818</v>
      </c>
    </row>
    <row r="290" spans="1:10">
      <c r="A290" s="34" t="s">
        <v>401</v>
      </c>
      <c r="B290" s="45">
        <v>1676.4825620084457</v>
      </c>
      <c r="D290" s="45">
        <v>1141.5650938185186</v>
      </c>
      <c r="E290" s="45">
        <v>534.91746818992738</v>
      </c>
      <c r="F290" s="45"/>
      <c r="G290" s="45">
        <v>0</v>
      </c>
      <c r="H290" s="45">
        <v>534.91746818992738</v>
      </c>
      <c r="I290" s="45">
        <v>0</v>
      </c>
      <c r="J290" s="45">
        <v>1141.5650938185186</v>
      </c>
    </row>
    <row r="291" spans="1:10">
      <c r="A291" s="34" t="s">
        <v>402</v>
      </c>
      <c r="B291" s="45">
        <v>17948.89799841581</v>
      </c>
      <c r="D291" s="45">
        <v>10459.494151793193</v>
      </c>
      <c r="E291" s="45">
        <v>7489.403846622612</v>
      </c>
      <c r="F291" s="45"/>
      <c r="G291" s="45">
        <v>2054.2044862776647</v>
      </c>
      <c r="H291" s="45">
        <v>5383.6693982522775</v>
      </c>
      <c r="I291" s="45">
        <v>5470.6635791384742</v>
      </c>
      <c r="J291" s="45">
        <v>5040.3605347473913</v>
      </c>
    </row>
    <row r="292" spans="1:10">
      <c r="A292" s="34" t="s">
        <v>403</v>
      </c>
      <c r="B292" s="45">
        <v>35646.912086422686</v>
      </c>
      <c r="D292" s="45">
        <v>11419.927382080561</v>
      </c>
      <c r="E292" s="45">
        <v>24226.984704342114</v>
      </c>
      <c r="F292" s="45"/>
      <c r="G292" s="45">
        <v>1777.3057525670197</v>
      </c>
      <c r="H292" s="45">
        <v>2362.9726666452416</v>
      </c>
      <c r="I292" s="45">
        <v>10068.970233654012</v>
      </c>
      <c r="J292" s="45">
        <v>21437.663433556398</v>
      </c>
    </row>
    <row r="293" spans="1:10">
      <c r="A293" s="34" t="s">
        <v>404</v>
      </c>
      <c r="B293" s="45">
        <v>149727.50991617324</v>
      </c>
      <c r="D293" s="45">
        <v>65519.520028308427</v>
      </c>
      <c r="E293" s="45">
        <v>84207.989887864896</v>
      </c>
      <c r="F293" s="45"/>
      <c r="G293" s="45">
        <v>55122.756459150361</v>
      </c>
      <c r="H293" s="45">
        <v>33314.095778244373</v>
      </c>
      <c r="I293" s="45">
        <v>30749.496172684539</v>
      </c>
      <c r="J293" s="45">
        <v>30541.161506094068</v>
      </c>
    </row>
    <row r="294" spans="1:10">
      <c r="A294" s="34" t="s">
        <v>405</v>
      </c>
      <c r="B294" s="45">
        <v>8459.0582635496867</v>
      </c>
      <c r="D294" s="45">
        <v>4384.6700755300417</v>
      </c>
      <c r="E294" s="45">
        <v>4074.388188019645</v>
      </c>
      <c r="F294" s="45"/>
      <c r="G294" s="45">
        <v>633.14514421786885</v>
      </c>
      <c r="H294" s="45">
        <v>1138.236450830439</v>
      </c>
      <c r="I294" s="45">
        <v>3648.0422596088574</v>
      </c>
      <c r="J294" s="45">
        <v>3039.6344088925207</v>
      </c>
    </row>
    <row r="295" spans="1:10">
      <c r="A295" s="34" t="s">
        <v>406</v>
      </c>
      <c r="B295" s="45">
        <v>1256.1739778539079</v>
      </c>
      <c r="D295" s="45">
        <v>1256.1739778539079</v>
      </c>
      <c r="E295" s="45">
        <v>0</v>
      </c>
      <c r="F295" s="45"/>
      <c r="G295" s="45">
        <v>0</v>
      </c>
      <c r="H295" s="45">
        <v>0</v>
      </c>
      <c r="I295" s="45">
        <v>523.13084073499283</v>
      </c>
      <c r="J295" s="45">
        <v>733.04313711891496</v>
      </c>
    </row>
    <row r="296" spans="1:10">
      <c r="A296" s="34" t="s">
        <v>407</v>
      </c>
      <c r="B296" s="45">
        <v>1176.6090990369698</v>
      </c>
      <c r="D296" s="45">
        <v>1176.6090990369698</v>
      </c>
      <c r="E296" s="45">
        <v>0</v>
      </c>
      <c r="F296" s="45"/>
      <c r="G296" s="45">
        <v>0</v>
      </c>
      <c r="H296" s="45">
        <v>0</v>
      </c>
      <c r="I296" s="45">
        <v>632.77077438225604</v>
      </c>
      <c r="J296" s="45">
        <v>543.83832465471392</v>
      </c>
    </row>
    <row r="297" spans="1:10">
      <c r="A297" s="34" t="s">
        <v>408</v>
      </c>
      <c r="B297" s="45">
        <v>0</v>
      </c>
      <c r="D297" s="45">
        <v>0</v>
      </c>
      <c r="E297" s="45">
        <v>0</v>
      </c>
      <c r="F297" s="45"/>
      <c r="G297" s="45">
        <v>0</v>
      </c>
      <c r="H297" s="45">
        <v>0</v>
      </c>
      <c r="I297" s="45">
        <v>0</v>
      </c>
      <c r="J297" s="45">
        <v>0</v>
      </c>
    </row>
    <row r="298" spans="1:10">
      <c r="A298" s="34" t="s">
        <v>409</v>
      </c>
      <c r="B298" s="45">
        <v>0</v>
      </c>
      <c r="D298" s="45">
        <v>0</v>
      </c>
      <c r="E298" s="45">
        <v>0</v>
      </c>
      <c r="F298" s="45"/>
      <c r="G298" s="45">
        <v>0</v>
      </c>
      <c r="H298" s="45">
        <v>0</v>
      </c>
      <c r="I298" s="45">
        <v>0</v>
      </c>
      <c r="J298" s="45">
        <v>0</v>
      </c>
    </row>
    <row r="299" spans="1:10">
      <c r="A299" s="34" t="s">
        <v>410</v>
      </c>
      <c r="B299" s="45">
        <v>337.27000350004141</v>
      </c>
      <c r="D299" s="45">
        <v>337.27000350004141</v>
      </c>
      <c r="E299" s="45">
        <v>0</v>
      </c>
      <c r="F299" s="45"/>
      <c r="G299" s="45">
        <v>0</v>
      </c>
      <c r="H299" s="45">
        <v>0</v>
      </c>
      <c r="I299" s="45">
        <v>0</v>
      </c>
      <c r="J299" s="45">
        <v>337.27000350004141</v>
      </c>
    </row>
    <row r="300" spans="1:10">
      <c r="A300" s="34" t="s">
        <v>411</v>
      </c>
      <c r="B300" s="45">
        <v>10574.782547947088</v>
      </c>
      <c r="D300" s="45">
        <v>3308.0359550363555</v>
      </c>
      <c r="E300" s="45">
        <v>7266.7465929107329</v>
      </c>
      <c r="F300" s="45"/>
      <c r="G300" s="45">
        <v>5728.5016699023518</v>
      </c>
      <c r="H300" s="45">
        <v>1699.9735488671522</v>
      </c>
      <c r="I300" s="45">
        <v>2229.6398751757915</v>
      </c>
      <c r="J300" s="45">
        <v>916.66745400179184</v>
      </c>
    </row>
    <row r="301" spans="1:10">
      <c r="A301" s="118"/>
      <c r="B301" s="119"/>
      <c r="C301" s="119"/>
      <c r="D301" s="119"/>
      <c r="E301" s="119"/>
      <c r="F301" s="119"/>
      <c r="G301" s="119"/>
      <c r="H301" s="119"/>
      <c r="I301" s="119"/>
      <c r="J301" s="119"/>
    </row>
    <row r="302" spans="1:10" ht="15" customHeight="1">
      <c r="A302" s="25" t="s">
        <v>130</v>
      </c>
      <c r="B302" s="27"/>
      <c r="C302" s="27"/>
      <c r="D302" s="27"/>
      <c r="E302" s="27"/>
      <c r="F302" s="27"/>
      <c r="J302" s="18"/>
    </row>
    <row r="303" spans="1:10">
      <c r="A303" s="24" t="s">
        <v>117</v>
      </c>
      <c r="B303" s="17"/>
      <c r="C303" s="17"/>
      <c r="J303" s="17"/>
    </row>
    <row r="304" spans="1:10">
      <c r="A304" s="16" t="s">
        <v>121</v>
      </c>
      <c r="B304" s="17"/>
      <c r="C304" s="17"/>
      <c r="G304" s="2"/>
    </row>
    <row r="305" spans="1:7">
      <c r="A305" s="16" t="s">
        <v>122</v>
      </c>
    </row>
    <row r="306" spans="1:7">
      <c r="A306" s="24" t="s">
        <v>120</v>
      </c>
    </row>
    <row r="317" spans="1:7">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B159&lt;'38'!$D$104</xm:f>
            <x14:dxf>
              <font>
                <color rgb="FFFF0000"/>
              </font>
              <numFmt numFmtId="172" formatCode="\*\*0.0%"/>
            </x14:dxf>
          </x14:cfRule>
          <x14:cfRule type="expression" priority="4" id="{761348D4-36D2-4D95-8EEE-18A116371C7A}">
            <xm:f>B159&lt;'38'!$D$103</xm:f>
            <x14:dxf>
              <font>
                <color rgb="FF00B050"/>
              </font>
              <numFmt numFmtId="171" formatCode="\*0.0%"/>
            </x14:dxf>
          </x14:cfRule>
          <xm:sqref>B16:J157</xm:sqref>
        </x14:conditionalFormatting>
        <x14:conditionalFormatting xmlns:xm="http://schemas.microsoft.com/office/excel/2006/main">
          <x14:cfRule type="expression" priority="1" id="{A6AB442B-BCE3-4191-BC05-BDABE4069671}">
            <xm:f>B159&lt;'38'!$D$104</xm:f>
            <x14:dxf>
              <font>
                <color rgb="FFFF0000"/>
              </font>
              <numFmt numFmtId="174" formatCode="\*\*#,###,###,##0"/>
            </x14:dxf>
          </x14:cfRule>
          <x14:cfRule type="expression" priority="2" id="{FC1D749C-547A-4A2A-9E50-DADA91608584}">
            <xm:f>B159&lt;'38'!$D$103</xm:f>
            <x14:dxf>
              <font>
                <color rgb="FF00B050"/>
              </font>
              <numFmt numFmtId="173" formatCode="\*#,###,###,##0"/>
            </x14:dxf>
          </x14:cfRule>
          <xm:sqref>B159:J300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9"/>
      <c r="B1" s="29"/>
      <c r="C1" s="29"/>
      <c r="D1" s="29"/>
      <c r="E1" s="29"/>
      <c r="F1" s="50"/>
      <c r="G1" s="29"/>
      <c r="H1" s="29"/>
      <c r="I1" s="29"/>
      <c r="J1" s="29"/>
      <c r="K1" s="29"/>
      <c r="L1" s="29"/>
      <c r="M1" s="29"/>
    </row>
    <row r="2" spans="1:13">
      <c r="A2" s="29"/>
      <c r="B2" s="29"/>
      <c r="C2" s="29"/>
      <c r="D2" s="29"/>
      <c r="E2" s="29"/>
      <c r="F2" s="50"/>
      <c r="G2" s="29"/>
      <c r="H2" s="29"/>
      <c r="I2" s="29"/>
      <c r="J2" s="29"/>
      <c r="K2" s="29"/>
      <c r="L2" s="29"/>
      <c r="M2" s="29"/>
    </row>
    <row r="3" spans="1:13">
      <c r="A3" s="29"/>
      <c r="B3" s="29"/>
      <c r="C3" s="29"/>
      <c r="D3" s="29"/>
      <c r="E3" s="29"/>
      <c r="F3" s="50"/>
      <c r="G3" s="29"/>
      <c r="H3" s="29"/>
      <c r="I3" s="29"/>
      <c r="J3" s="29"/>
      <c r="K3" s="29"/>
      <c r="L3" s="29"/>
      <c r="M3" s="29"/>
    </row>
    <row r="4" spans="1:13">
      <c r="A4" s="29"/>
      <c r="B4" s="29"/>
      <c r="C4" s="29"/>
      <c r="D4" s="29"/>
      <c r="E4" s="29"/>
      <c r="F4" s="50"/>
      <c r="G4" s="29"/>
      <c r="H4" s="29"/>
      <c r="I4" s="29"/>
      <c r="J4" s="29"/>
      <c r="K4" s="29"/>
      <c r="L4" s="29"/>
      <c r="M4" s="29"/>
    </row>
    <row r="5" spans="1:13">
      <c r="A5" s="29"/>
      <c r="B5" s="29"/>
      <c r="C5" s="29"/>
      <c r="D5" s="29"/>
      <c r="E5" s="29"/>
      <c r="F5" s="50"/>
      <c r="G5" s="29"/>
      <c r="H5" s="29"/>
      <c r="I5" s="29"/>
      <c r="J5" s="29"/>
      <c r="K5" s="29"/>
      <c r="L5" s="29"/>
      <c r="M5" s="29"/>
    </row>
    <row r="6" spans="1:13">
      <c r="A6" s="29"/>
      <c r="B6" s="29"/>
      <c r="C6" s="29"/>
      <c r="D6" s="29"/>
      <c r="E6" s="29"/>
      <c r="F6" s="50"/>
      <c r="G6" s="29"/>
      <c r="H6" s="29"/>
      <c r="I6" s="29"/>
      <c r="J6" s="29"/>
      <c r="K6" s="29"/>
      <c r="L6" s="29"/>
      <c r="M6" s="29"/>
    </row>
    <row r="7" spans="1:13">
      <c r="A7" s="29"/>
      <c r="B7" s="29"/>
      <c r="C7" s="29"/>
      <c r="D7" s="29"/>
      <c r="E7" s="29"/>
      <c r="F7" s="50"/>
      <c r="G7" s="29"/>
      <c r="H7" s="29"/>
      <c r="I7" s="29"/>
      <c r="J7" s="29"/>
      <c r="K7" s="29"/>
      <c r="L7" s="29"/>
      <c r="M7" s="29"/>
    </row>
    <row r="8" spans="1:13">
      <c r="A8" s="30" t="s">
        <v>0</v>
      </c>
      <c r="B8" s="30"/>
      <c r="C8" s="30"/>
      <c r="D8" s="29"/>
      <c r="E8" s="29"/>
      <c r="F8" s="50"/>
      <c r="G8" s="30"/>
      <c r="H8" s="29"/>
      <c r="I8" s="29"/>
      <c r="J8" s="29"/>
      <c r="K8" s="29"/>
      <c r="L8" s="29"/>
      <c r="M8" s="29"/>
    </row>
    <row r="9" spans="1:13">
      <c r="A9" s="29" t="s">
        <v>1</v>
      </c>
      <c r="B9" s="90" t="s">
        <v>2</v>
      </c>
      <c r="C9" s="30"/>
      <c r="D9" s="29"/>
      <c r="E9" s="29"/>
      <c r="F9" s="50"/>
      <c r="G9" s="29"/>
      <c r="H9" s="29"/>
      <c r="I9" s="29"/>
      <c r="J9" s="29"/>
      <c r="K9" s="29"/>
      <c r="L9" s="29"/>
      <c r="M9" s="29"/>
    </row>
    <row r="10" spans="1:13">
      <c r="A10" s="29" t="s">
        <v>49</v>
      </c>
      <c r="B10" s="31">
        <v>19</v>
      </c>
      <c r="C10" s="30"/>
      <c r="D10" s="29"/>
      <c r="E10" s="29"/>
      <c r="F10" s="50"/>
      <c r="G10" s="29"/>
      <c r="H10" s="29"/>
      <c r="I10" s="29"/>
      <c r="J10" s="29"/>
      <c r="K10" s="29"/>
      <c r="L10" s="29"/>
      <c r="M10" s="29"/>
    </row>
    <row r="11" spans="1:13">
      <c r="A11" s="29" t="s">
        <v>3</v>
      </c>
      <c r="B11" s="30" t="s">
        <v>27</v>
      </c>
      <c r="C11" s="30"/>
      <c r="D11" s="29"/>
      <c r="E11" s="29"/>
      <c r="F11" s="50"/>
      <c r="G11" s="29"/>
      <c r="H11" s="29"/>
      <c r="I11" s="29"/>
      <c r="J11" s="29"/>
      <c r="K11" s="29"/>
      <c r="L11" s="29"/>
      <c r="M11" s="29"/>
    </row>
    <row r="12" spans="1:13">
      <c r="A12" s="116" t="s">
        <v>50</v>
      </c>
      <c r="B12" s="117" t="s">
        <v>51</v>
      </c>
      <c r="C12" s="117"/>
      <c r="D12" s="116"/>
      <c r="E12" s="116"/>
      <c r="F12" s="176"/>
      <c r="G12" s="116"/>
      <c r="H12" s="116"/>
      <c r="I12" s="116"/>
      <c r="J12" s="116"/>
      <c r="K12" s="116"/>
      <c r="L12" s="116"/>
      <c r="M12" s="116"/>
    </row>
    <row r="13" spans="1:13" ht="24.95" customHeight="1">
      <c r="A13" s="42"/>
      <c r="B13" s="193" t="s">
        <v>412</v>
      </c>
      <c r="C13" s="51"/>
      <c r="D13" s="51"/>
      <c r="E13" s="51"/>
      <c r="F13" s="52"/>
      <c r="G13" s="192" t="s">
        <v>61</v>
      </c>
      <c r="H13" s="192"/>
      <c r="I13" s="192"/>
      <c r="J13" s="192"/>
      <c r="K13" s="192"/>
      <c r="L13" s="192"/>
      <c r="M13" s="192"/>
    </row>
    <row r="14" spans="1:13" s="92" customFormat="1" ht="24.95" customHeight="1">
      <c r="A14" s="96"/>
      <c r="B14" s="194"/>
      <c r="C14" s="37"/>
      <c r="D14" s="37" t="s">
        <v>58</v>
      </c>
      <c r="E14" s="37" t="s">
        <v>59</v>
      </c>
      <c r="F14" s="53"/>
      <c r="G14" s="37" t="s">
        <v>62</v>
      </c>
      <c r="H14" s="37" t="s">
        <v>63</v>
      </c>
      <c r="I14" s="37" t="s">
        <v>64</v>
      </c>
      <c r="J14" s="37" t="s">
        <v>65</v>
      </c>
      <c r="K14" s="37" t="s">
        <v>66</v>
      </c>
      <c r="L14" s="37" t="s">
        <v>67</v>
      </c>
      <c r="M14" s="37" t="s">
        <v>68</v>
      </c>
    </row>
    <row r="15" spans="1:13">
      <c r="A15" s="67"/>
      <c r="B15" s="187" t="s">
        <v>144</v>
      </c>
      <c r="C15" s="187"/>
      <c r="D15" s="187"/>
      <c r="E15" s="187"/>
      <c r="F15" s="187"/>
      <c r="G15" s="187"/>
      <c r="H15" s="187"/>
      <c r="I15" s="187"/>
      <c r="J15" s="187"/>
      <c r="K15" s="187"/>
      <c r="L15" s="187"/>
      <c r="M15" s="187"/>
    </row>
    <row r="16" spans="1:13">
      <c r="A16" s="34" t="s">
        <v>270</v>
      </c>
      <c r="B16" s="4">
        <v>9.6454223084596364E-4</v>
      </c>
      <c r="D16" s="4">
        <v>1.3407276754030476E-3</v>
      </c>
      <c r="E16" s="4">
        <v>5.6756490437961102E-4</v>
      </c>
      <c r="F16" s="4"/>
      <c r="G16" s="4">
        <v>1.8279335398657507E-3</v>
      </c>
      <c r="H16" s="4">
        <v>1.2810224900343464E-3</v>
      </c>
      <c r="I16" s="4">
        <v>2.0290087596985902E-3</v>
      </c>
      <c r="J16" s="4">
        <v>1.3880650602544474E-3</v>
      </c>
      <c r="K16" s="4">
        <v>8.504531797044109E-4</v>
      </c>
      <c r="L16" s="4">
        <v>1.0812840708647825E-4</v>
      </c>
      <c r="M16" s="4">
        <v>0</v>
      </c>
    </row>
    <row r="17" spans="1:13">
      <c r="A17" s="34" t="s">
        <v>271</v>
      </c>
      <c r="B17" s="4">
        <v>2.2348515671421249E-3</v>
      </c>
      <c r="D17" s="4">
        <v>2.6313635305987948E-3</v>
      </c>
      <c r="E17" s="4">
        <v>1.7015726484247927E-3</v>
      </c>
      <c r="F17" s="4"/>
      <c r="G17" s="4">
        <v>3.6308766602770057E-3</v>
      </c>
      <c r="H17" s="4">
        <v>4.3644239002433912E-3</v>
      </c>
      <c r="I17" s="4">
        <v>4.4616219840701906E-3</v>
      </c>
      <c r="J17" s="4">
        <v>2.7798260926035745E-3</v>
      </c>
      <c r="K17" s="4">
        <v>4.7407729658923033E-4</v>
      </c>
      <c r="L17" s="4">
        <v>1.0936203229281382E-3</v>
      </c>
      <c r="M17" s="4">
        <v>4.7246222902202822E-4</v>
      </c>
    </row>
    <row r="18" spans="1:13">
      <c r="A18" s="34" t="s">
        <v>272</v>
      </c>
      <c r="B18" s="4">
        <v>1.2086960949506066E-3</v>
      </c>
      <c r="D18" s="4">
        <v>1.4784045773837263E-3</v>
      </c>
      <c r="E18" s="4">
        <v>9.6084052583597808E-4</v>
      </c>
      <c r="F18" s="4"/>
      <c r="G18" s="4">
        <v>3.6463690856535732E-3</v>
      </c>
      <c r="H18" s="4">
        <v>1.2333595742075694E-3</v>
      </c>
      <c r="I18" s="4">
        <v>1.5107915323734141E-3</v>
      </c>
      <c r="J18" s="4">
        <v>2.0926065671276798E-3</v>
      </c>
      <c r="K18" s="4">
        <v>6.2112010392200096E-4</v>
      </c>
      <c r="L18" s="4">
        <v>7.777855675300848E-4</v>
      </c>
      <c r="M18" s="4">
        <v>3.9667755889899898E-4</v>
      </c>
    </row>
    <row r="19" spans="1:13">
      <c r="A19" s="34" t="s">
        <v>273</v>
      </c>
      <c r="B19" s="4">
        <v>7.8031269610646849E-3</v>
      </c>
      <c r="D19" s="4">
        <v>1.0981153678553155E-2</v>
      </c>
      <c r="E19" s="4">
        <v>4.8100450406494662E-3</v>
      </c>
      <c r="F19" s="4"/>
      <c r="G19" s="4">
        <v>3.5410459238967219E-2</v>
      </c>
      <c r="H19" s="4">
        <v>2.1962613489108513E-2</v>
      </c>
      <c r="I19" s="4">
        <v>1.0888366780978253E-2</v>
      </c>
      <c r="J19" s="4">
        <v>6.3027705803046135E-3</v>
      </c>
      <c r="K19" s="4">
        <v>2.9309580787914842E-3</v>
      </c>
      <c r="L19" s="4">
        <v>2.2869123223728284E-3</v>
      </c>
      <c r="M19" s="4">
        <v>2.1110181743805135E-4</v>
      </c>
    </row>
    <row r="20" spans="1:13">
      <c r="A20" s="34" t="s">
        <v>274</v>
      </c>
      <c r="B20" s="4">
        <v>1.8419480875137426E-2</v>
      </c>
      <c r="D20" s="4">
        <v>2.8320465340399909E-2</v>
      </c>
      <c r="E20" s="4">
        <v>8.7560255969521932E-3</v>
      </c>
      <c r="F20" s="4"/>
      <c r="G20" s="4">
        <v>4.7059767286857866E-2</v>
      </c>
      <c r="H20" s="4">
        <v>4.1634843825536533E-2</v>
      </c>
      <c r="I20" s="4">
        <v>3.5095704672850919E-2</v>
      </c>
      <c r="J20" s="4">
        <v>1.9261846383279185E-2</v>
      </c>
      <c r="K20" s="4">
        <v>1.0136142380560546E-2</v>
      </c>
      <c r="L20" s="4">
        <v>4.62849857215297E-3</v>
      </c>
      <c r="M20" s="4">
        <v>1.6921224454651815E-4</v>
      </c>
    </row>
    <row r="21" spans="1:13">
      <c r="A21" s="34" t="s">
        <v>275</v>
      </c>
      <c r="B21" s="4">
        <v>7.9484182983090065E-3</v>
      </c>
      <c r="D21" s="4">
        <v>9.5046104639931166E-3</v>
      </c>
      <c r="E21" s="4">
        <v>6.529293760592191E-3</v>
      </c>
      <c r="F21" s="4"/>
      <c r="G21" s="4">
        <v>4.0702219337059684E-2</v>
      </c>
      <c r="H21" s="4">
        <v>1.7348857776198382E-2</v>
      </c>
      <c r="I21" s="4">
        <v>1.2173391956914172E-2</v>
      </c>
      <c r="J21" s="4">
        <v>6.2884937376455948E-3</v>
      </c>
      <c r="K21" s="4">
        <v>2.7571013342842709E-3</v>
      </c>
      <c r="L21" s="4">
        <v>1.8667358176537544E-3</v>
      </c>
      <c r="M21" s="4">
        <v>1.4909838435011153E-3</v>
      </c>
    </row>
    <row r="22" spans="1:13">
      <c r="A22" s="34" t="s">
        <v>276</v>
      </c>
      <c r="B22" s="4">
        <v>2.5560817724401999E-3</v>
      </c>
      <c r="D22" s="4">
        <v>3.8396424346570763E-3</v>
      </c>
      <c r="E22" s="4">
        <v>1.340508124502269E-3</v>
      </c>
      <c r="F22" s="4"/>
      <c r="G22" s="4">
        <v>9.8262308490564849E-3</v>
      </c>
      <c r="H22" s="4">
        <v>3.6523208286284195E-3</v>
      </c>
      <c r="I22" s="4">
        <v>3.6871257239180209E-3</v>
      </c>
      <c r="J22" s="4">
        <v>3.1616654621314608E-3</v>
      </c>
      <c r="K22" s="4">
        <v>2.4461997581107188E-3</v>
      </c>
      <c r="L22" s="4">
        <v>6.4476406787328223E-4</v>
      </c>
      <c r="M22" s="4">
        <v>3.0589538583664669E-4</v>
      </c>
    </row>
    <row r="23" spans="1:13">
      <c r="A23" s="34" t="s">
        <v>277</v>
      </c>
      <c r="B23" s="4">
        <v>2.369279210085749E-2</v>
      </c>
      <c r="D23" s="4">
        <v>3.3472928424754501E-2</v>
      </c>
      <c r="E23" s="4">
        <v>1.4283661356176189E-2</v>
      </c>
      <c r="F23" s="4"/>
      <c r="G23" s="4">
        <v>0.10466163032043777</v>
      </c>
      <c r="H23" s="4">
        <v>5.7432390434658823E-2</v>
      </c>
      <c r="I23" s="4">
        <v>3.3613634820107659E-2</v>
      </c>
      <c r="J23" s="4">
        <v>2.3571322132707569E-2</v>
      </c>
      <c r="K23" s="4">
        <v>1.3127118076800682E-2</v>
      </c>
      <c r="L23" s="4">
        <v>2.8147081126771445E-3</v>
      </c>
      <c r="M23" s="4">
        <v>1.6823513829764371E-3</v>
      </c>
    </row>
    <row r="24" spans="1:13">
      <c r="A24" s="34" t="s">
        <v>278</v>
      </c>
      <c r="B24" s="4">
        <v>1.6734700563844754E-4</v>
      </c>
      <c r="D24" s="4">
        <v>1.3950301447667807E-4</v>
      </c>
      <c r="E24" s="4">
        <v>1.9622648061095202E-4</v>
      </c>
      <c r="F24" s="4"/>
      <c r="G24" s="4">
        <v>0</v>
      </c>
      <c r="H24" s="4">
        <v>2.097864109414847E-4</v>
      </c>
      <c r="I24" s="4">
        <v>4.5641153100490811E-4</v>
      </c>
      <c r="J24" s="4">
        <v>0</v>
      </c>
      <c r="K24" s="4">
        <v>3.1715638101870294E-4</v>
      </c>
      <c r="L24" s="4">
        <v>0</v>
      </c>
      <c r="M24" s="4">
        <v>7.2827388367014925E-5</v>
      </c>
    </row>
    <row r="25" spans="1:13">
      <c r="A25" s="34" t="s">
        <v>279</v>
      </c>
      <c r="B25" s="4">
        <v>9.2404671473104094E-5</v>
      </c>
      <c r="D25" s="4">
        <v>1.3082678703793887E-4</v>
      </c>
      <c r="E25" s="4">
        <v>5.6196727771511792E-5</v>
      </c>
      <c r="F25" s="4"/>
      <c r="G25" s="4">
        <v>0</v>
      </c>
      <c r="H25" s="4">
        <v>0</v>
      </c>
      <c r="I25" s="4">
        <v>1.3307340245298694E-4</v>
      </c>
      <c r="J25" s="4">
        <v>3.1486718538704391E-4</v>
      </c>
      <c r="K25" s="4">
        <v>0</v>
      </c>
      <c r="L25" s="4">
        <v>0</v>
      </c>
      <c r="M25" s="4">
        <v>6.9998276112423957E-5</v>
      </c>
    </row>
    <row r="26" spans="1:13">
      <c r="A26" s="34" t="s">
        <v>280</v>
      </c>
      <c r="B26" s="4">
        <v>8.9004045293635307E-4</v>
      </c>
      <c r="D26" s="4">
        <v>1.4466472597689634E-3</v>
      </c>
      <c r="E26" s="4">
        <v>3.6045509696351472E-4</v>
      </c>
      <c r="F26" s="4"/>
      <c r="G26" s="4">
        <v>0</v>
      </c>
      <c r="H26" s="4">
        <v>1.2927809586089144E-3</v>
      </c>
      <c r="I26" s="4">
        <v>1.8547479984424176E-3</v>
      </c>
      <c r="J26" s="4">
        <v>1.3330187512098158E-3</v>
      </c>
      <c r="K26" s="4">
        <v>1.7532469123371369E-4</v>
      </c>
      <c r="L26" s="4">
        <v>8.144543390440843E-4</v>
      </c>
      <c r="M26" s="4">
        <v>2.3746970033143626E-4</v>
      </c>
    </row>
    <row r="27" spans="1:13">
      <c r="A27" s="34" t="s">
        <v>281</v>
      </c>
      <c r="B27" s="4">
        <v>9.2546052292063262E-5</v>
      </c>
      <c r="D27" s="4">
        <v>1.0239457344573768E-4</v>
      </c>
      <c r="E27" s="4">
        <v>8.4040951093458441E-5</v>
      </c>
      <c r="F27" s="4"/>
      <c r="G27" s="4">
        <v>0</v>
      </c>
      <c r="H27" s="4">
        <v>0</v>
      </c>
      <c r="I27" s="4">
        <v>3.8410877743937468E-4</v>
      </c>
      <c r="J27" s="4">
        <v>1.3756127283458836E-4</v>
      </c>
      <c r="K27" s="4">
        <v>0</v>
      </c>
      <c r="L27" s="4">
        <v>0</v>
      </c>
      <c r="M27" s="4">
        <v>0</v>
      </c>
    </row>
    <row r="28" spans="1:13">
      <c r="A28" s="34" t="s">
        <v>282</v>
      </c>
      <c r="B28" s="4">
        <v>0</v>
      </c>
      <c r="D28" s="4">
        <v>0</v>
      </c>
      <c r="E28" s="4">
        <v>0</v>
      </c>
      <c r="F28" s="4"/>
      <c r="G28" s="4">
        <v>0</v>
      </c>
      <c r="H28" s="4">
        <v>0</v>
      </c>
      <c r="I28" s="4">
        <v>0</v>
      </c>
      <c r="J28" s="4">
        <v>0</v>
      </c>
      <c r="K28" s="4">
        <v>0</v>
      </c>
      <c r="L28" s="4">
        <v>0</v>
      </c>
      <c r="M28" s="4">
        <v>0</v>
      </c>
    </row>
    <row r="29" spans="1:13">
      <c r="A29" s="34" t="s">
        <v>283</v>
      </c>
      <c r="B29" s="4">
        <v>7.4795657943837749E-5</v>
      </c>
      <c r="D29" s="4">
        <v>1.228997879440284E-4</v>
      </c>
      <c r="E29" s="4">
        <v>2.9002882771544121E-5</v>
      </c>
      <c r="F29" s="4"/>
      <c r="G29" s="4">
        <v>0</v>
      </c>
      <c r="H29" s="4">
        <v>0</v>
      </c>
      <c r="I29" s="4">
        <v>0</v>
      </c>
      <c r="J29" s="4">
        <v>0</v>
      </c>
      <c r="K29" s="4">
        <v>1.6404601027078961E-4</v>
      </c>
      <c r="L29" s="4">
        <v>0</v>
      </c>
      <c r="M29" s="4">
        <v>2.4059989633806538E-4</v>
      </c>
    </row>
    <row r="30" spans="1:13">
      <c r="A30" s="34" t="s">
        <v>284</v>
      </c>
      <c r="B30" s="4">
        <v>0</v>
      </c>
      <c r="D30" s="4">
        <v>0</v>
      </c>
      <c r="E30" s="4">
        <v>0</v>
      </c>
      <c r="F30" s="4"/>
      <c r="G30" s="4">
        <v>0</v>
      </c>
      <c r="H30" s="4">
        <v>0</v>
      </c>
      <c r="I30" s="4">
        <v>0</v>
      </c>
      <c r="J30" s="4">
        <v>0</v>
      </c>
      <c r="K30" s="4">
        <v>0</v>
      </c>
      <c r="L30" s="4">
        <v>0</v>
      </c>
      <c r="M30" s="4">
        <v>0</v>
      </c>
    </row>
    <row r="31" spans="1:13">
      <c r="A31" s="34" t="s">
        <v>285</v>
      </c>
      <c r="B31" s="4">
        <v>1.6111040178436612E-4</v>
      </c>
      <c r="D31" s="4">
        <v>2.4055817335870601E-4</v>
      </c>
      <c r="E31" s="4">
        <v>8.5903435580625206E-5</v>
      </c>
      <c r="F31" s="4"/>
      <c r="G31" s="4">
        <v>0</v>
      </c>
      <c r="H31" s="4">
        <v>4.3020864674783705E-4</v>
      </c>
      <c r="I31" s="4">
        <v>5.0894876036865742E-4</v>
      </c>
      <c r="J31" s="4">
        <v>0</v>
      </c>
      <c r="K31" s="4">
        <v>1.5261879562470718E-4</v>
      </c>
      <c r="L31" s="4">
        <v>0</v>
      </c>
      <c r="M31" s="4">
        <v>0</v>
      </c>
    </row>
    <row r="32" spans="1:13">
      <c r="A32" s="34" t="s">
        <v>286</v>
      </c>
      <c r="B32" s="4">
        <v>6.8685747461307351E-5</v>
      </c>
      <c r="D32" s="4">
        <v>1.403327660331885E-4</v>
      </c>
      <c r="E32" s="4">
        <v>0</v>
      </c>
      <c r="F32" s="4"/>
      <c r="G32" s="4">
        <v>0</v>
      </c>
      <c r="H32" s="4">
        <v>2.005553637202125E-4</v>
      </c>
      <c r="I32" s="4">
        <v>1.233176882258243E-4</v>
      </c>
      <c r="J32" s="4">
        <v>0</v>
      </c>
      <c r="K32" s="4">
        <v>1.6563772851274503E-4</v>
      </c>
      <c r="L32" s="4">
        <v>0</v>
      </c>
      <c r="M32" s="4">
        <v>0</v>
      </c>
    </row>
    <row r="33" spans="1:13">
      <c r="A33" s="34" t="s">
        <v>287</v>
      </c>
      <c r="B33" s="4">
        <v>8.3536955565346131E-3</v>
      </c>
      <c r="D33" s="4">
        <v>1.1032352900725963E-2</v>
      </c>
      <c r="E33" s="4">
        <v>5.8509408223875277E-3</v>
      </c>
      <c r="F33" s="4"/>
      <c r="G33" s="4">
        <v>1.405927022377065E-3</v>
      </c>
      <c r="H33" s="4">
        <v>1.1759496796530382E-3</v>
      </c>
      <c r="I33" s="4">
        <v>2.6725083559539947E-3</v>
      </c>
      <c r="J33" s="4">
        <v>2.0861597810683452E-3</v>
      </c>
      <c r="K33" s="4">
        <v>3.0695420151969641E-3</v>
      </c>
      <c r="L33" s="4">
        <v>1.0456417533529813E-2</v>
      </c>
      <c r="M33" s="4">
        <v>2.5934973680115065E-2</v>
      </c>
    </row>
    <row r="34" spans="1:13">
      <c r="A34" s="34" t="s">
        <v>288</v>
      </c>
      <c r="B34" s="4">
        <v>6.1643075942263868E-3</v>
      </c>
      <c r="D34" s="4">
        <v>6.6215753186168215E-3</v>
      </c>
      <c r="E34" s="4">
        <v>5.6540066856255716E-3</v>
      </c>
      <c r="F34" s="4"/>
      <c r="G34" s="4">
        <v>8.6252281757119818E-3</v>
      </c>
      <c r="H34" s="4">
        <v>1.2855810420814085E-2</v>
      </c>
      <c r="I34" s="4">
        <v>1.1873934395021719E-2</v>
      </c>
      <c r="J34" s="4">
        <v>6.8795057459984108E-3</v>
      </c>
      <c r="K34" s="4">
        <v>5.7485482813919688E-3</v>
      </c>
      <c r="L34" s="4">
        <v>1.1400898805237608E-3</v>
      </c>
      <c r="M34" s="4">
        <v>2.6429584229304884E-4</v>
      </c>
    </row>
    <row r="35" spans="1:13">
      <c r="A35" s="34" t="s">
        <v>289</v>
      </c>
      <c r="B35" s="4">
        <v>5.0809546604851003E-5</v>
      </c>
      <c r="D35" s="4">
        <v>1.0380966182201938E-4</v>
      </c>
      <c r="E35" s="4">
        <v>0</v>
      </c>
      <c r="F35" s="4"/>
      <c r="G35" s="4">
        <v>0</v>
      </c>
      <c r="H35" s="4">
        <v>0</v>
      </c>
      <c r="I35" s="4">
        <v>1.4834793911645402E-4</v>
      </c>
      <c r="J35" s="4">
        <v>1.4126083457216307E-4</v>
      </c>
      <c r="K35" s="4">
        <v>0</v>
      </c>
      <c r="L35" s="4">
        <v>0</v>
      </c>
      <c r="M35" s="4">
        <v>0</v>
      </c>
    </row>
    <row r="36" spans="1:13">
      <c r="A36" s="34" t="s">
        <v>290</v>
      </c>
      <c r="B36" s="4">
        <v>2.1483356504415591E-2</v>
      </c>
      <c r="D36" s="4">
        <v>1.8754788143457383E-2</v>
      </c>
      <c r="E36" s="4">
        <v>2.4294007766006476E-2</v>
      </c>
      <c r="F36" s="4"/>
      <c r="G36" s="4">
        <v>2.4729402642579688E-2</v>
      </c>
      <c r="H36" s="4">
        <v>2.3938975896833664E-2</v>
      </c>
      <c r="I36" s="4">
        <v>2.4381873420370074E-2</v>
      </c>
      <c r="J36" s="4">
        <v>2.1241770059331058E-2</v>
      </c>
      <c r="K36" s="4">
        <v>1.8885841782365357E-2</v>
      </c>
      <c r="L36" s="4">
        <v>2.2463883475089191E-2</v>
      </c>
      <c r="M36" s="4">
        <v>1.8425018819377935E-2</v>
      </c>
    </row>
    <row r="37" spans="1:13">
      <c r="A37" s="34" t="s">
        <v>291</v>
      </c>
      <c r="B37" s="4">
        <v>5.8198560553897642E-4</v>
      </c>
      <c r="D37" s="4">
        <v>4.984260717411401E-4</v>
      </c>
      <c r="E37" s="4">
        <v>6.6955151149585826E-4</v>
      </c>
      <c r="F37" s="4"/>
      <c r="G37" s="4">
        <v>0</v>
      </c>
      <c r="H37" s="4">
        <v>8.8494046834958554E-4</v>
      </c>
      <c r="I37" s="4">
        <v>9.9869985713183515E-4</v>
      </c>
      <c r="J37" s="4">
        <v>8.4187492885597645E-4</v>
      </c>
      <c r="K37" s="4">
        <v>5.7930275018842697E-4</v>
      </c>
      <c r="L37" s="4">
        <v>4.4266471876126405E-4</v>
      </c>
      <c r="M37" s="4">
        <v>7.1610517854827556E-5</v>
      </c>
    </row>
    <row r="38" spans="1:13">
      <c r="A38" s="34" t="s">
        <v>292</v>
      </c>
      <c r="B38" s="4">
        <v>1.539933876676971E-4</v>
      </c>
      <c r="D38" s="4">
        <v>9.3907462510473938E-5</v>
      </c>
      <c r="E38" s="4">
        <v>2.1397999859422174E-4</v>
      </c>
      <c r="F38" s="4"/>
      <c r="G38" s="4">
        <v>0</v>
      </c>
      <c r="H38" s="4">
        <v>0</v>
      </c>
      <c r="I38" s="4">
        <v>3.5032665599712292E-4</v>
      </c>
      <c r="J38" s="4">
        <v>3.0264642022034984E-4</v>
      </c>
      <c r="K38" s="4">
        <v>1.4649728255065894E-4</v>
      </c>
      <c r="L38" s="4">
        <v>0</v>
      </c>
      <c r="M38" s="4">
        <v>8.3568013394550182E-5</v>
      </c>
    </row>
    <row r="39" spans="1:13">
      <c r="A39" s="34" t="s">
        <v>293</v>
      </c>
      <c r="B39" s="4">
        <v>2.52357075844043E-3</v>
      </c>
      <c r="D39" s="4">
        <v>1.9402402719528196E-3</v>
      </c>
      <c r="E39" s="4">
        <v>3.1175262138254576E-3</v>
      </c>
      <c r="F39" s="4"/>
      <c r="G39" s="4">
        <v>7.1366453254769991E-3</v>
      </c>
      <c r="H39" s="4">
        <v>1.2513262206472328E-3</v>
      </c>
      <c r="I39" s="4">
        <v>2.811677334783904E-3</v>
      </c>
      <c r="J39" s="4">
        <v>1.9057357586101695E-3</v>
      </c>
      <c r="K39" s="4">
        <v>4.2172928547974222E-3</v>
      </c>
      <c r="L39" s="4">
        <v>3.6191997491161619E-3</v>
      </c>
      <c r="M39" s="4">
        <v>5.4007394794239739E-4</v>
      </c>
    </row>
    <row r="40" spans="1:13">
      <c r="A40" s="34" t="s">
        <v>294</v>
      </c>
      <c r="B40" s="4">
        <v>3.9254704159177086E-4</v>
      </c>
      <c r="D40" s="4">
        <v>2.0877679329025912E-4</v>
      </c>
      <c r="E40" s="4">
        <v>5.7512978630259776E-4</v>
      </c>
      <c r="F40" s="4"/>
      <c r="G40" s="4">
        <v>2.0754541949613513E-3</v>
      </c>
      <c r="H40" s="4">
        <v>2.1174479286950075E-4</v>
      </c>
      <c r="I40" s="4">
        <v>8.5794507294949945E-4</v>
      </c>
      <c r="J40" s="4">
        <v>7.1820057969872913E-4</v>
      </c>
      <c r="K40" s="4">
        <v>0</v>
      </c>
      <c r="L40" s="4">
        <v>0</v>
      </c>
      <c r="M40" s="4">
        <v>0</v>
      </c>
    </row>
    <row r="41" spans="1:13">
      <c r="A41" s="34" t="s">
        <v>295</v>
      </c>
      <c r="B41" s="4">
        <v>1.6251321221525099E-2</v>
      </c>
      <c r="D41" s="4">
        <v>2.8948584431508502E-2</v>
      </c>
      <c r="E41" s="4">
        <v>4.0852566878183351E-3</v>
      </c>
      <c r="F41" s="4"/>
      <c r="G41" s="4">
        <v>4.2822852967492955E-2</v>
      </c>
      <c r="H41" s="4">
        <v>3.1200933268246654E-2</v>
      </c>
      <c r="I41" s="4">
        <v>2.4945531051073697E-2</v>
      </c>
      <c r="J41" s="4">
        <v>1.8742673023135842E-2</v>
      </c>
      <c r="K41" s="4">
        <v>1.4215792769404293E-2</v>
      </c>
      <c r="L41" s="4">
        <v>6.001969556780915E-3</v>
      </c>
      <c r="M41" s="4">
        <v>1.4885368135679033E-3</v>
      </c>
    </row>
    <row r="42" spans="1:13">
      <c r="A42" s="34" t="s">
        <v>296</v>
      </c>
      <c r="B42" s="4">
        <v>6.1851069158531491E-4</v>
      </c>
      <c r="D42" s="4">
        <v>5.8920971487035349E-4</v>
      </c>
      <c r="E42" s="4">
        <v>6.5388608125159801E-4</v>
      </c>
      <c r="F42" s="4"/>
      <c r="G42" s="4">
        <v>1.8279335398657507E-3</v>
      </c>
      <c r="H42" s="4">
        <v>0</v>
      </c>
      <c r="I42" s="4">
        <v>1.2405641350450919E-4</v>
      </c>
      <c r="J42" s="4">
        <v>1.4267813702869325E-4</v>
      </c>
      <c r="K42" s="4">
        <v>0</v>
      </c>
      <c r="L42" s="4">
        <v>9.304572956748096E-4</v>
      </c>
      <c r="M42" s="4">
        <v>1.7306891181385659E-3</v>
      </c>
    </row>
    <row r="43" spans="1:13">
      <c r="A43" s="34" t="s">
        <v>297</v>
      </c>
      <c r="B43" s="4">
        <v>4.9535252986860397E-3</v>
      </c>
      <c r="D43" s="4">
        <v>3.8734025653477371E-3</v>
      </c>
      <c r="E43" s="4">
        <v>6.0564851563311619E-3</v>
      </c>
      <c r="F43" s="4"/>
      <c r="G43" s="4">
        <v>1.6211054079425882E-3</v>
      </c>
      <c r="H43" s="4">
        <v>3.4071938893096032E-3</v>
      </c>
      <c r="I43" s="4">
        <v>8.7772012432307187E-3</v>
      </c>
      <c r="J43" s="4">
        <v>9.4731097383192863E-3</v>
      </c>
      <c r="K43" s="4">
        <v>4.6617968118534492E-3</v>
      </c>
      <c r="L43" s="4">
        <v>3.3687688761067543E-3</v>
      </c>
      <c r="M43" s="4">
        <v>7.453443001744362E-4</v>
      </c>
    </row>
    <row r="44" spans="1:13">
      <c r="A44" s="34" t="s">
        <v>298</v>
      </c>
      <c r="B44" s="4">
        <v>4.5856674620841967E-5</v>
      </c>
      <c r="D44" s="4">
        <v>9.3690383063120875E-5</v>
      </c>
      <c r="E44" s="4">
        <v>0</v>
      </c>
      <c r="F44" s="4"/>
      <c r="G44" s="4">
        <v>0</v>
      </c>
      <c r="H44" s="4">
        <v>2.174591526356571E-4</v>
      </c>
      <c r="I44" s="4">
        <v>0</v>
      </c>
      <c r="J44" s="4">
        <v>1.29437025049422E-4</v>
      </c>
      <c r="K44" s="4">
        <v>0</v>
      </c>
      <c r="L44" s="4">
        <v>0</v>
      </c>
      <c r="M44" s="4">
        <v>0</v>
      </c>
    </row>
    <row r="45" spans="1:13">
      <c r="A45" s="34" t="s">
        <v>299</v>
      </c>
      <c r="B45" s="4">
        <v>1.0280876737809534E-2</v>
      </c>
      <c r="D45" s="4">
        <v>1.2637924796711096E-2</v>
      </c>
      <c r="E45" s="4">
        <v>7.9347680011732421E-3</v>
      </c>
      <c r="F45" s="4"/>
      <c r="G45" s="4">
        <v>5.4926962119304706E-3</v>
      </c>
      <c r="H45" s="4">
        <v>1.0539496451024939E-2</v>
      </c>
      <c r="I45" s="4">
        <v>1.1754479885064546E-2</v>
      </c>
      <c r="J45" s="4">
        <v>9.4062637191046749E-3</v>
      </c>
      <c r="K45" s="4">
        <v>1.083257649194568E-2</v>
      </c>
      <c r="L45" s="4">
        <v>1.6572052046175532E-2</v>
      </c>
      <c r="M45" s="4">
        <v>6.0936995009475536E-3</v>
      </c>
    </row>
    <row r="46" spans="1:13">
      <c r="A46" s="34" t="s">
        <v>300</v>
      </c>
      <c r="B46" s="4">
        <v>7.0661763651234111E-3</v>
      </c>
      <c r="D46" s="4">
        <v>2.1045709740003301E-3</v>
      </c>
      <c r="E46" s="4">
        <v>1.1834309418214841E-2</v>
      </c>
      <c r="F46" s="4"/>
      <c r="G46" s="4">
        <v>2.8347519390872888E-2</v>
      </c>
      <c r="H46" s="4">
        <v>1.4827004018378234E-2</v>
      </c>
      <c r="I46" s="4">
        <v>7.7802865126114732E-3</v>
      </c>
      <c r="J46" s="4">
        <v>7.6206472802995409E-3</v>
      </c>
      <c r="K46" s="4">
        <v>3.6900162614574065E-3</v>
      </c>
      <c r="L46" s="4">
        <v>3.6032767232807329E-3</v>
      </c>
      <c r="M46" s="4">
        <v>2.100727804921688E-3</v>
      </c>
    </row>
    <row r="47" spans="1:13">
      <c r="A47" s="34" t="s">
        <v>301</v>
      </c>
      <c r="B47" s="4">
        <v>1.1209605285546754E-2</v>
      </c>
      <c r="D47" s="4">
        <v>3.4543973167051223E-3</v>
      </c>
      <c r="E47" s="4">
        <v>1.8373755003820665E-2</v>
      </c>
      <c r="F47" s="4"/>
      <c r="G47" s="4">
        <v>2.563852376471747E-2</v>
      </c>
      <c r="H47" s="4">
        <v>1.3799001594830624E-2</v>
      </c>
      <c r="I47" s="4">
        <v>1.006563891429175E-2</v>
      </c>
      <c r="J47" s="4">
        <v>1.1683654978238022E-2</v>
      </c>
      <c r="K47" s="4">
        <v>6.1306047020993184E-3</v>
      </c>
      <c r="L47" s="4">
        <v>7.8233808302193564E-3</v>
      </c>
      <c r="M47" s="4">
        <v>1.3215267322514927E-2</v>
      </c>
    </row>
    <row r="48" spans="1:13">
      <c r="A48" s="34" t="s">
        <v>302</v>
      </c>
      <c r="B48" s="4">
        <v>6.2088058411069458E-4</v>
      </c>
      <c r="D48" s="4">
        <v>8.2873538905821635E-4</v>
      </c>
      <c r="E48" s="4">
        <v>3.7898424662522715E-4</v>
      </c>
      <c r="F48" s="4"/>
      <c r="G48" s="4">
        <v>1.5613665489006344E-3</v>
      </c>
      <c r="H48" s="4">
        <v>2.4357389168494392E-4</v>
      </c>
      <c r="I48" s="4">
        <v>2.9918339220953938E-4</v>
      </c>
      <c r="J48" s="4">
        <v>1.1292374832481062E-3</v>
      </c>
      <c r="K48" s="4">
        <v>3.2024139904928502E-4</v>
      </c>
      <c r="L48" s="4">
        <v>6.5940566670531363E-4</v>
      </c>
      <c r="M48" s="4">
        <v>6.667029788616117E-4</v>
      </c>
    </row>
    <row r="49" spans="1:13">
      <c r="A49" s="34" t="s">
        <v>303</v>
      </c>
      <c r="B49" s="4">
        <v>2.6684370954596089E-4</v>
      </c>
      <c r="D49" s="4">
        <v>2.4432618584544917E-4</v>
      </c>
      <c r="E49" s="4">
        <v>2.9168039510408416E-4</v>
      </c>
      <c r="F49" s="4"/>
      <c r="G49" s="4">
        <v>0</v>
      </c>
      <c r="H49" s="4">
        <v>6.6005559338155558E-4</v>
      </c>
      <c r="I49" s="4">
        <v>2.172218782349292E-4</v>
      </c>
      <c r="J49" s="4">
        <v>1.337530874220751E-4</v>
      </c>
      <c r="K49" s="4">
        <v>4.2144654060135179E-4</v>
      </c>
      <c r="L49" s="4">
        <v>3.7308300698089391E-4</v>
      </c>
      <c r="M49" s="4">
        <v>9.043883466493663E-5</v>
      </c>
    </row>
    <row r="50" spans="1:13">
      <c r="A50" s="34" t="s">
        <v>304</v>
      </c>
      <c r="B50" s="4">
        <v>6.2226305416189617E-4</v>
      </c>
      <c r="D50" s="4">
        <v>5.0660589847883477E-4</v>
      </c>
      <c r="E50" s="4">
        <v>7.4140046875192727E-4</v>
      </c>
      <c r="F50" s="4"/>
      <c r="G50" s="4">
        <v>5.7148647824775845E-3</v>
      </c>
      <c r="H50" s="4">
        <v>4.497399532656872E-4</v>
      </c>
      <c r="I50" s="4">
        <v>7.6241002771575681E-4</v>
      </c>
      <c r="J50" s="4">
        <v>9.4031853310890033E-4</v>
      </c>
      <c r="K50" s="4">
        <v>0</v>
      </c>
      <c r="L50" s="4">
        <v>1.5117512626455759E-4</v>
      </c>
      <c r="M50" s="4">
        <v>0</v>
      </c>
    </row>
    <row r="51" spans="1:13">
      <c r="A51" s="34" t="s">
        <v>305</v>
      </c>
      <c r="B51" s="4">
        <v>6.8501390316971051E-4</v>
      </c>
      <c r="D51" s="4">
        <v>5.7310783851697233E-4</v>
      </c>
      <c r="E51" s="4">
        <v>8.0122178120910453E-4</v>
      </c>
      <c r="F51" s="4"/>
      <c r="G51" s="4">
        <v>0</v>
      </c>
      <c r="H51" s="4">
        <v>0</v>
      </c>
      <c r="I51" s="4">
        <v>7.1007359614763004E-4</v>
      </c>
      <c r="J51" s="4">
        <v>4.0861659596049172E-4</v>
      </c>
      <c r="K51" s="4">
        <v>7.6403405063380121E-4</v>
      </c>
      <c r="L51" s="4">
        <v>1.5713929590401999E-3</v>
      </c>
      <c r="M51" s="4">
        <v>7.5389981257658375E-4</v>
      </c>
    </row>
    <row r="52" spans="1:13">
      <c r="A52" s="34" t="s">
        <v>306</v>
      </c>
      <c r="B52" s="4">
        <v>1.2253576466303336E-4</v>
      </c>
      <c r="D52" s="4">
        <v>1.2901698269446817E-4</v>
      </c>
      <c r="E52" s="4">
        <v>1.1763306765468759E-4</v>
      </c>
      <c r="F52" s="4"/>
      <c r="G52" s="4">
        <v>0</v>
      </c>
      <c r="H52" s="4">
        <v>2.2049457535301844E-4</v>
      </c>
      <c r="I52" s="4">
        <v>4.508781428054009E-4</v>
      </c>
      <c r="J52" s="4">
        <v>0</v>
      </c>
      <c r="K52" s="4">
        <v>0</v>
      </c>
      <c r="L52" s="4">
        <v>0</v>
      </c>
      <c r="M52" s="4">
        <v>8.330685691441042E-5</v>
      </c>
    </row>
    <row r="53" spans="1:13">
      <c r="A53" s="34" t="s">
        <v>307</v>
      </c>
      <c r="B53" s="4">
        <v>2.8619705253325055E-3</v>
      </c>
      <c r="D53" s="4">
        <v>1.0609983759783329E-3</v>
      </c>
      <c r="E53" s="4">
        <v>4.5948195207731728E-3</v>
      </c>
      <c r="F53" s="4"/>
      <c r="G53" s="4">
        <v>1.9877065973234352E-3</v>
      </c>
      <c r="H53" s="4">
        <v>3.0508419079058212E-3</v>
      </c>
      <c r="I53" s="4">
        <v>4.9826208827012958E-3</v>
      </c>
      <c r="J53" s="4">
        <v>3.5858842018423988E-3</v>
      </c>
      <c r="K53" s="4">
        <v>3.0532900814080528E-3</v>
      </c>
      <c r="L53" s="4">
        <v>2.981117425935272E-3</v>
      </c>
      <c r="M53" s="4">
        <v>3.249862035470665E-4</v>
      </c>
    </row>
    <row r="54" spans="1:13">
      <c r="A54" s="34" t="s">
        <v>308</v>
      </c>
      <c r="B54" s="4">
        <v>9.7872329370469503E-4</v>
      </c>
      <c r="D54" s="4">
        <v>1.3128632754464144E-3</v>
      </c>
      <c r="E54" s="4">
        <v>6.6581212363779672E-4</v>
      </c>
      <c r="F54" s="4"/>
      <c r="G54" s="4">
        <v>1.7271483964773962E-3</v>
      </c>
      <c r="H54" s="4">
        <v>2.0529523601199419E-3</v>
      </c>
      <c r="I54" s="4">
        <v>1.5549909260170144E-3</v>
      </c>
      <c r="J54" s="4">
        <v>1.9772576331419101E-3</v>
      </c>
      <c r="K54" s="4">
        <v>2.6034080336791133E-4</v>
      </c>
      <c r="L54" s="4">
        <v>1.5676978550615726E-4</v>
      </c>
      <c r="M54" s="4">
        <v>0</v>
      </c>
    </row>
    <row r="55" spans="1:13">
      <c r="A55" s="34" t="s">
        <v>309</v>
      </c>
      <c r="B55" s="4">
        <v>5.1688178904453345E-4</v>
      </c>
      <c r="D55" s="4">
        <v>6.1112860104034787E-4</v>
      </c>
      <c r="E55" s="4">
        <v>4.3133618748398205E-4</v>
      </c>
      <c r="F55" s="4"/>
      <c r="G55" s="4">
        <v>3.6463690856535732E-3</v>
      </c>
      <c r="H55" s="4">
        <v>6.6463769031143978E-4</v>
      </c>
      <c r="I55" s="4">
        <v>4.8036828067362622E-4</v>
      </c>
      <c r="J55" s="4">
        <v>4.4136778922900747E-4</v>
      </c>
      <c r="K55" s="4">
        <v>4.9974581498904035E-4</v>
      </c>
      <c r="L55" s="4">
        <v>0</v>
      </c>
      <c r="M55" s="4">
        <v>2.1848423132288475E-4</v>
      </c>
    </row>
    <row r="56" spans="1:13">
      <c r="A56" s="34" t="s">
        <v>310</v>
      </c>
      <c r="B56" s="4">
        <v>1.2722287247301184E-3</v>
      </c>
      <c r="D56" s="4">
        <v>1.9950041262306239E-3</v>
      </c>
      <c r="E56" s="4">
        <v>5.8585410263559514E-4</v>
      </c>
      <c r="F56" s="4"/>
      <c r="G56" s="4">
        <v>0</v>
      </c>
      <c r="H56" s="4">
        <v>1.0729799440010424E-3</v>
      </c>
      <c r="I56" s="4">
        <v>1.4984268679895164E-3</v>
      </c>
      <c r="J56" s="4">
        <v>1.1555733968039632E-4</v>
      </c>
      <c r="K56" s="4">
        <v>2.5606742494709302E-3</v>
      </c>
      <c r="L56" s="4">
        <v>1.5212088388776961E-3</v>
      </c>
      <c r="M56" s="4">
        <v>1.3182021793536176E-3</v>
      </c>
    </row>
    <row r="57" spans="1:13">
      <c r="A57" s="34" t="s">
        <v>311</v>
      </c>
      <c r="B57" s="4">
        <v>0.1269453400321591</v>
      </c>
      <c r="D57" s="4">
        <v>9.5953420146330529E-2</v>
      </c>
      <c r="E57" s="4">
        <v>0.15766957071040089</v>
      </c>
      <c r="F57" s="4"/>
      <c r="G57" s="4">
        <v>9.0486115334337702E-2</v>
      </c>
      <c r="H57" s="4">
        <v>0.12741348875534761</v>
      </c>
      <c r="I57" s="4">
        <v>0.14790358083708108</v>
      </c>
      <c r="J57" s="4">
        <v>0.12917389104259047</v>
      </c>
      <c r="K57" s="4">
        <v>0.11733041290017313</v>
      </c>
      <c r="L57" s="4">
        <v>0.11957143327929159</v>
      </c>
      <c r="M57" s="4">
        <v>0.12632416459589571</v>
      </c>
    </row>
    <row r="58" spans="1:13">
      <c r="A58" s="34" t="s">
        <v>312</v>
      </c>
      <c r="B58" s="4">
        <v>9.3113181791261936E-5</v>
      </c>
      <c r="D58" s="4">
        <v>1.387831058205872E-4</v>
      </c>
      <c r="E58" s="4">
        <v>4.9886686476267822E-5</v>
      </c>
      <c r="F58" s="4"/>
      <c r="G58" s="4">
        <v>0</v>
      </c>
      <c r="H58" s="4">
        <v>2.2594020693162529E-4</v>
      </c>
      <c r="I58" s="4">
        <v>2.5656461680592646E-4</v>
      </c>
      <c r="J58" s="4">
        <v>1.307439366086875E-4</v>
      </c>
      <c r="K58" s="4">
        <v>0</v>
      </c>
      <c r="L58" s="4">
        <v>0</v>
      </c>
      <c r="M58" s="4">
        <v>0</v>
      </c>
    </row>
    <row r="59" spans="1:13">
      <c r="A59" s="34" t="s">
        <v>313</v>
      </c>
      <c r="B59" s="4">
        <v>1.0957795585091004E-3</v>
      </c>
      <c r="D59" s="4">
        <v>1.4648934942919586E-3</v>
      </c>
      <c r="E59" s="4">
        <v>7.5028109239118964E-4</v>
      </c>
      <c r="F59" s="4"/>
      <c r="G59" s="4">
        <v>4.8893760075277718E-3</v>
      </c>
      <c r="H59" s="4">
        <v>2.8264188014322342E-3</v>
      </c>
      <c r="I59" s="4">
        <v>1.7688759381287976E-3</v>
      </c>
      <c r="J59" s="4">
        <v>9.0500162270934915E-4</v>
      </c>
      <c r="K59" s="4">
        <v>2.5349858233702041E-4</v>
      </c>
      <c r="L59" s="4">
        <v>3.1986130535745043E-4</v>
      </c>
      <c r="M59" s="4">
        <v>7.2720867034086774E-5</v>
      </c>
    </row>
    <row r="60" spans="1:13">
      <c r="A60" s="34" t="s">
        <v>314</v>
      </c>
      <c r="B60" s="4">
        <v>3.4910506088573448E-2</v>
      </c>
      <c r="D60" s="4">
        <v>5.4434623287574653E-2</v>
      </c>
      <c r="E60" s="4">
        <v>1.6056503228100719E-2</v>
      </c>
      <c r="F60" s="4"/>
      <c r="G60" s="4">
        <v>0.12205799876267508</v>
      </c>
      <c r="H60" s="4">
        <v>7.9921973061370402E-2</v>
      </c>
      <c r="I60" s="4">
        <v>5.3530809346492063E-2</v>
      </c>
      <c r="J60" s="4">
        <v>3.9891477237201642E-2</v>
      </c>
      <c r="K60" s="4">
        <v>2.0985352459961543E-2</v>
      </c>
      <c r="L60" s="4">
        <v>7.510573759969546E-3</v>
      </c>
      <c r="M60" s="4">
        <v>7.5003409946974809E-4</v>
      </c>
    </row>
    <row r="61" spans="1:13">
      <c r="A61" s="34" t="s">
        <v>315</v>
      </c>
      <c r="B61" s="4">
        <v>4.3601132880905804E-4</v>
      </c>
      <c r="D61" s="4">
        <v>6.9515975340526351E-4</v>
      </c>
      <c r="E61" s="4">
        <v>1.8968732656363514E-4</v>
      </c>
      <c r="F61" s="4"/>
      <c r="G61" s="4">
        <v>0</v>
      </c>
      <c r="H61" s="4">
        <v>4.3726784515782716E-4</v>
      </c>
      <c r="I61" s="4">
        <v>1.8474881123806475E-3</v>
      </c>
      <c r="J61" s="4">
        <v>0</v>
      </c>
      <c r="K61" s="4">
        <v>3.7834843525349734E-4</v>
      </c>
      <c r="L61" s="4">
        <v>0</v>
      </c>
      <c r="M61" s="4">
        <v>0</v>
      </c>
    </row>
    <row r="62" spans="1:13">
      <c r="A62" s="34" t="s">
        <v>316</v>
      </c>
      <c r="B62" s="4">
        <v>1.1989762149667305E-4</v>
      </c>
      <c r="D62" s="4">
        <v>1.9740495895779304E-4</v>
      </c>
      <c r="E62" s="4">
        <v>4.6107490390039839E-5</v>
      </c>
      <c r="F62" s="4"/>
      <c r="G62" s="4">
        <v>0</v>
      </c>
      <c r="H62" s="4">
        <v>4.803292894273755E-4</v>
      </c>
      <c r="I62" s="4">
        <v>0</v>
      </c>
      <c r="J62" s="4">
        <v>1.3616163582508124E-4</v>
      </c>
      <c r="K62" s="4">
        <v>0</v>
      </c>
      <c r="L62" s="4">
        <v>3.2162320927153396E-4</v>
      </c>
      <c r="M62" s="4">
        <v>0</v>
      </c>
    </row>
    <row r="63" spans="1:13">
      <c r="A63" s="34" t="s">
        <v>317</v>
      </c>
      <c r="B63" s="4">
        <v>1.7064917706070384E-4</v>
      </c>
      <c r="D63" s="4">
        <v>3.145722815237255E-4</v>
      </c>
      <c r="E63" s="4">
        <v>3.3042770748592844E-5</v>
      </c>
      <c r="F63" s="4"/>
      <c r="G63" s="4">
        <v>1.6874426357504503E-3</v>
      </c>
      <c r="H63" s="4">
        <v>1.5288309178313503E-4</v>
      </c>
      <c r="I63" s="4">
        <v>2.813253280195433E-4</v>
      </c>
      <c r="J63" s="4">
        <v>1.6507729922276158E-4</v>
      </c>
      <c r="K63" s="4">
        <v>0</v>
      </c>
      <c r="L63" s="4">
        <v>0</v>
      </c>
      <c r="M63" s="4">
        <v>0</v>
      </c>
    </row>
    <row r="64" spans="1:13">
      <c r="A64" s="34" t="s">
        <v>318</v>
      </c>
      <c r="B64" s="4">
        <v>2.4972755125407458E-2</v>
      </c>
      <c r="D64" s="4">
        <v>4.103783540257442E-2</v>
      </c>
      <c r="E64" s="4">
        <v>9.5205497619384148E-3</v>
      </c>
      <c r="F64" s="4"/>
      <c r="G64" s="4">
        <v>6.7148331842297139E-3</v>
      </c>
      <c r="H64" s="4">
        <v>7.9287899898798243E-3</v>
      </c>
      <c r="I64" s="4">
        <v>1.4195172261202463E-2</v>
      </c>
      <c r="J64" s="4">
        <v>1.284036960069058E-2</v>
      </c>
      <c r="K64" s="4">
        <v>2.7067090473992507E-2</v>
      </c>
      <c r="L64" s="4">
        <v>3.8891057948453905E-2</v>
      </c>
      <c r="M64" s="4">
        <v>4.6265492312015474E-2</v>
      </c>
    </row>
    <row r="65" spans="1:13">
      <c r="A65" s="34" t="s">
        <v>319</v>
      </c>
      <c r="B65" s="4">
        <v>3.2032923921910297E-4</v>
      </c>
      <c r="D65" s="4">
        <v>4.4108386832853038E-4</v>
      </c>
      <c r="E65" s="4">
        <v>2.0687047513377572E-4</v>
      </c>
      <c r="F65" s="4"/>
      <c r="G65" s="4">
        <v>0</v>
      </c>
      <c r="H65" s="4">
        <v>1.0849289189090758E-3</v>
      </c>
      <c r="I65" s="4">
        <v>7.051117206084166E-4</v>
      </c>
      <c r="J65" s="4">
        <v>4.400427049166451E-4</v>
      </c>
      <c r="K65" s="4">
        <v>0</v>
      </c>
      <c r="L65" s="4">
        <v>0</v>
      </c>
      <c r="M65" s="4">
        <v>0</v>
      </c>
    </row>
    <row r="66" spans="1:13">
      <c r="A66" s="34" t="s">
        <v>320</v>
      </c>
      <c r="B66" s="4">
        <v>6.6091734065253571E-5</v>
      </c>
      <c r="D66" s="4">
        <v>5.2901306369948752E-5</v>
      </c>
      <c r="E66" s="4">
        <v>7.9624138648694002E-5</v>
      </c>
      <c r="F66" s="4"/>
      <c r="G66" s="4">
        <v>0</v>
      </c>
      <c r="H66" s="4">
        <v>2.37292427900283E-4</v>
      </c>
      <c r="I66" s="4">
        <v>8.6428403071181121E-5</v>
      </c>
      <c r="J66" s="4">
        <v>0</v>
      </c>
      <c r="K66" s="4">
        <v>1.658179214362328E-4</v>
      </c>
      <c r="L66" s="4">
        <v>0</v>
      </c>
      <c r="M66" s="4">
        <v>0</v>
      </c>
    </row>
    <row r="67" spans="1:13">
      <c r="A67" s="34" t="s">
        <v>321</v>
      </c>
      <c r="B67" s="4">
        <v>3.1114279954435092E-3</v>
      </c>
      <c r="D67" s="4">
        <v>1.5683145645807946E-3</v>
      </c>
      <c r="E67" s="4">
        <v>4.5576099277924711E-3</v>
      </c>
      <c r="F67" s="4"/>
      <c r="G67" s="4">
        <v>9.3331360255552599E-3</v>
      </c>
      <c r="H67" s="4">
        <v>8.2780858477439021E-3</v>
      </c>
      <c r="I67" s="4">
        <v>4.987409580602749E-3</v>
      </c>
      <c r="J67" s="4">
        <v>3.7170959669797052E-3</v>
      </c>
      <c r="K67" s="4">
        <v>7.3808404674741688E-4</v>
      </c>
      <c r="L67" s="4">
        <v>4.5967030515087697E-4</v>
      </c>
      <c r="M67" s="4">
        <v>4.179992017425426E-4</v>
      </c>
    </row>
    <row r="68" spans="1:13">
      <c r="A68" s="34" t="s">
        <v>322</v>
      </c>
      <c r="B68" s="4">
        <v>7.1162836640949894E-4</v>
      </c>
      <c r="D68" s="4">
        <v>7.6205835914279745E-4</v>
      </c>
      <c r="E68" s="4">
        <v>6.7075614140454942E-4</v>
      </c>
      <c r="F68" s="4"/>
      <c r="G68" s="4">
        <v>5.4429151235976204E-3</v>
      </c>
      <c r="H68" s="4">
        <v>1.3152838144439229E-3</v>
      </c>
      <c r="I68" s="4">
        <v>9.5332630587465948E-4</v>
      </c>
      <c r="J68" s="4">
        <v>6.3932129676184143E-4</v>
      </c>
      <c r="K68" s="4">
        <v>3.0226656788437135E-4</v>
      </c>
      <c r="L68" s="4">
        <v>0</v>
      </c>
      <c r="M68" s="4">
        <v>0</v>
      </c>
    </row>
    <row r="69" spans="1:13">
      <c r="A69" s="34" t="s">
        <v>323</v>
      </c>
      <c r="B69" s="4">
        <v>9.8608135891481704E-5</v>
      </c>
      <c r="D69" s="4">
        <v>1.5023029871400826E-4</v>
      </c>
      <c r="E69" s="4">
        <v>4.9673035653289013E-5</v>
      </c>
      <c r="F69" s="4"/>
      <c r="G69" s="4">
        <v>0</v>
      </c>
      <c r="H69" s="4">
        <v>2.2914159173689468E-4</v>
      </c>
      <c r="I69" s="4">
        <v>0</v>
      </c>
      <c r="J69" s="4">
        <v>2.8641391757238516E-4</v>
      </c>
      <c r="K69" s="4">
        <v>1.6563772851274503E-4</v>
      </c>
      <c r="L69" s="4">
        <v>0</v>
      </c>
      <c r="M69" s="4">
        <v>0</v>
      </c>
    </row>
    <row r="70" spans="1:13">
      <c r="A70" s="34" t="s">
        <v>324</v>
      </c>
      <c r="B70" s="4">
        <v>4.5985215519927843E-3</v>
      </c>
      <c r="D70" s="4">
        <v>4.7143895170628771E-3</v>
      </c>
      <c r="E70" s="4">
        <v>4.4936339221029733E-3</v>
      </c>
      <c r="F70" s="4"/>
      <c r="G70" s="4">
        <v>1.1286266030795319E-2</v>
      </c>
      <c r="H70" s="4">
        <v>9.2878113351794675E-3</v>
      </c>
      <c r="I70" s="4">
        <v>4.9671482577004411E-3</v>
      </c>
      <c r="J70" s="4">
        <v>6.049313208434398E-3</v>
      </c>
      <c r="K70" s="4">
        <v>3.9836812985003019E-3</v>
      </c>
      <c r="L70" s="4">
        <v>3.5086966046406196E-3</v>
      </c>
      <c r="M70" s="4">
        <v>3.841404810245771E-4</v>
      </c>
    </row>
    <row r="71" spans="1:13">
      <c r="A71" s="34" t="s">
        <v>325</v>
      </c>
      <c r="B71" s="4">
        <v>3.0088683026017007E-4</v>
      </c>
      <c r="D71" s="4">
        <v>2.099258291938745E-4</v>
      </c>
      <c r="E71" s="4">
        <v>3.9246100556222433E-4</v>
      </c>
      <c r="F71" s="4"/>
      <c r="G71" s="4">
        <v>1.7944836260339813E-3</v>
      </c>
      <c r="H71" s="4">
        <v>0</v>
      </c>
      <c r="I71" s="4">
        <v>5.3518732488169404E-4</v>
      </c>
      <c r="J71" s="4">
        <v>6.1078957363120084E-4</v>
      </c>
      <c r="K71" s="4">
        <v>1.3666400483459409E-4</v>
      </c>
      <c r="L71" s="4">
        <v>0</v>
      </c>
      <c r="M71" s="4">
        <v>0</v>
      </c>
    </row>
    <row r="72" spans="1:13">
      <c r="A72" s="34" t="s">
        <v>326</v>
      </c>
      <c r="B72" s="4">
        <v>5.1846374620805828E-4</v>
      </c>
      <c r="D72" s="4">
        <v>7.2191523400271418E-4</v>
      </c>
      <c r="E72" s="4">
        <v>3.2706528549382782E-4</v>
      </c>
      <c r="F72" s="4"/>
      <c r="G72" s="4">
        <v>3.5724048983040075E-3</v>
      </c>
      <c r="H72" s="4">
        <v>8.9880802039576349E-4</v>
      </c>
      <c r="I72" s="4">
        <v>2.5659590604764173E-4</v>
      </c>
      <c r="J72" s="4">
        <v>7.5200755572989175E-4</v>
      </c>
      <c r="K72" s="4">
        <v>2.9185001152334794E-4</v>
      </c>
      <c r="L72" s="4">
        <v>3.1371346405136116E-4</v>
      </c>
      <c r="M72" s="4">
        <v>0</v>
      </c>
    </row>
    <row r="73" spans="1:13">
      <c r="A73" s="34" t="s">
        <v>327</v>
      </c>
      <c r="B73" s="4">
        <v>4.5333219500431795E-5</v>
      </c>
      <c r="D73" s="4">
        <v>5.1084181884072352E-5</v>
      </c>
      <c r="E73" s="4">
        <v>4.026861698706953E-5</v>
      </c>
      <c r="F73" s="4"/>
      <c r="G73" s="4">
        <v>0</v>
      </c>
      <c r="H73" s="4">
        <v>2.2914159173689468E-4</v>
      </c>
      <c r="I73" s="4">
        <v>0</v>
      </c>
      <c r="J73" s="4">
        <v>0</v>
      </c>
      <c r="K73" s="4">
        <v>1.3666400483459409E-4</v>
      </c>
      <c r="L73" s="4">
        <v>0</v>
      </c>
      <c r="M73" s="4">
        <v>0</v>
      </c>
    </row>
    <row r="74" spans="1:13">
      <c r="A74" s="34" t="s">
        <v>328</v>
      </c>
      <c r="B74" s="4">
        <v>8.6824393562433722E-4</v>
      </c>
      <c r="D74" s="4">
        <v>5.5100595451759737E-4</v>
      </c>
      <c r="E74" s="4">
        <v>1.1539058052456122E-3</v>
      </c>
      <c r="F74" s="4"/>
      <c r="G74" s="4">
        <v>7.5588675444168531E-3</v>
      </c>
      <c r="H74" s="4">
        <v>2.2667523001553415E-3</v>
      </c>
      <c r="I74" s="4">
        <v>5.2515402160229472E-4</v>
      </c>
      <c r="J74" s="4">
        <v>6.0559226544190214E-4</v>
      </c>
      <c r="K74" s="4">
        <v>1.7979563951526082E-4</v>
      </c>
      <c r="L74" s="4">
        <v>4.3248128658104077E-4</v>
      </c>
      <c r="M74" s="4">
        <v>0</v>
      </c>
    </row>
    <row r="75" spans="1:13">
      <c r="A75" s="34" t="s">
        <v>329</v>
      </c>
      <c r="B75" s="4">
        <v>3.0250147201248736E-4</v>
      </c>
      <c r="D75" s="4">
        <v>3.4337236924294676E-4</v>
      </c>
      <c r="E75" s="4">
        <v>2.6628673753441133E-4</v>
      </c>
      <c r="F75" s="4"/>
      <c r="G75" s="4">
        <v>0</v>
      </c>
      <c r="H75" s="4">
        <v>2.2116172994514599E-4</v>
      </c>
      <c r="I75" s="4">
        <v>8.0807949031755691E-4</v>
      </c>
      <c r="J75" s="4">
        <v>2.5931876936482318E-4</v>
      </c>
      <c r="K75" s="4">
        <v>4.6683520711658199E-4</v>
      </c>
      <c r="L75" s="4">
        <v>1.4091283009210745E-4</v>
      </c>
      <c r="M75" s="4">
        <v>0</v>
      </c>
    </row>
    <row r="76" spans="1:13">
      <c r="A76" s="34" t="s">
        <v>330</v>
      </c>
      <c r="B76" s="4">
        <v>4.755532304251459E-4</v>
      </c>
      <c r="D76" s="4">
        <v>4.84322234266189E-4</v>
      </c>
      <c r="E76" s="4">
        <v>4.7241015776449042E-4</v>
      </c>
      <c r="F76" s="4"/>
      <c r="G76" s="4">
        <v>1.942082157552033E-3</v>
      </c>
      <c r="H76" s="4">
        <v>1.3675166342948116E-3</v>
      </c>
      <c r="I76" s="4">
        <v>4.0564098495253454E-4</v>
      </c>
      <c r="J76" s="4">
        <v>4.6977504329258042E-4</v>
      </c>
      <c r="K76" s="4">
        <v>1.548694652180834E-4</v>
      </c>
      <c r="L76" s="4">
        <v>3.3808292653768823E-4</v>
      </c>
      <c r="M76" s="4">
        <v>8.15554158871647E-5</v>
      </c>
    </row>
    <row r="77" spans="1:13">
      <c r="A77" s="34" t="s">
        <v>331</v>
      </c>
      <c r="B77" s="4">
        <v>1.7423894338040162E-3</v>
      </c>
      <c r="D77" s="4">
        <v>2.8945636486444526E-3</v>
      </c>
      <c r="E77" s="4">
        <v>6.4502289607852364E-4</v>
      </c>
      <c r="F77" s="4"/>
      <c r="G77" s="4">
        <v>1.4736469249878694E-3</v>
      </c>
      <c r="H77" s="4">
        <v>1.9148908321714546E-3</v>
      </c>
      <c r="I77" s="4">
        <v>3.4435380888881277E-3</v>
      </c>
      <c r="J77" s="4">
        <v>3.8442547674957493E-3</v>
      </c>
      <c r="K77" s="4">
        <v>1.0265880505250298E-3</v>
      </c>
      <c r="L77" s="4">
        <v>1.5852679015068781E-4</v>
      </c>
      <c r="M77" s="4">
        <v>8.2244853339888437E-5</v>
      </c>
    </row>
    <row r="78" spans="1:13">
      <c r="A78" s="34" t="s">
        <v>332</v>
      </c>
      <c r="B78" s="4">
        <v>1.6582647929264649E-3</v>
      </c>
      <c r="D78" s="4">
        <v>1.588522523765844E-3</v>
      </c>
      <c r="E78" s="4">
        <v>1.6527920687396023E-3</v>
      </c>
      <c r="F78" s="4"/>
      <c r="G78" s="4">
        <v>0</v>
      </c>
      <c r="H78" s="4">
        <v>3.9737968668387743E-3</v>
      </c>
      <c r="I78" s="4">
        <v>8.5950452772249903E-4</v>
      </c>
      <c r="J78" s="4">
        <v>2.3928004574377696E-3</v>
      </c>
      <c r="K78" s="4">
        <v>2.1876271426645526E-3</v>
      </c>
      <c r="L78" s="4">
        <v>1.8410010899932757E-3</v>
      </c>
      <c r="M78" s="4">
        <v>3.9459545857167393E-4</v>
      </c>
    </row>
    <row r="79" spans="1:13">
      <c r="A79" s="34" t="s">
        <v>333</v>
      </c>
      <c r="B79" s="4">
        <v>1.5260858465720455E-4</v>
      </c>
      <c r="D79" s="4">
        <v>2.5974656449105187E-4</v>
      </c>
      <c r="E79" s="4">
        <v>5.0460992734977998E-5</v>
      </c>
      <c r="F79" s="4"/>
      <c r="G79" s="4">
        <v>0</v>
      </c>
      <c r="H79" s="4">
        <v>2.174591526356571E-4</v>
      </c>
      <c r="I79" s="4">
        <v>2.6507731159599007E-4</v>
      </c>
      <c r="J79" s="4">
        <v>3.231653842714147E-4</v>
      </c>
      <c r="K79" s="4">
        <v>1.7474464811803757E-4</v>
      </c>
      <c r="L79" s="4">
        <v>0</v>
      </c>
      <c r="M79" s="4">
        <v>0</v>
      </c>
    </row>
    <row r="80" spans="1:13">
      <c r="A80" s="34" t="s">
        <v>334</v>
      </c>
      <c r="B80" s="4">
        <v>3.9295428529170708E-5</v>
      </c>
      <c r="D80" s="4">
        <v>8.0285013729586811E-5</v>
      </c>
      <c r="E80" s="4">
        <v>0</v>
      </c>
      <c r="F80" s="4"/>
      <c r="G80" s="4">
        <v>0</v>
      </c>
      <c r="H80" s="4">
        <v>0</v>
      </c>
      <c r="I80" s="4">
        <v>0</v>
      </c>
      <c r="J80" s="4">
        <v>0</v>
      </c>
      <c r="K80" s="4">
        <v>0</v>
      </c>
      <c r="L80" s="4">
        <v>2.8588394865752505E-4</v>
      </c>
      <c r="M80" s="4">
        <v>0</v>
      </c>
    </row>
    <row r="81" spans="1:13">
      <c r="A81" s="34" t="s">
        <v>335</v>
      </c>
      <c r="B81" s="4">
        <v>2.5475859799809311E-5</v>
      </c>
      <c r="D81" s="4">
        <v>0</v>
      </c>
      <c r="E81" s="4">
        <v>5.0460992734977998E-5</v>
      </c>
      <c r="F81" s="4"/>
      <c r="G81" s="4">
        <v>0</v>
      </c>
      <c r="H81" s="4">
        <v>0</v>
      </c>
      <c r="I81" s="4">
        <v>1.4175962337016577E-4</v>
      </c>
      <c r="J81" s="4">
        <v>0</v>
      </c>
      <c r="K81" s="4">
        <v>0</v>
      </c>
      <c r="L81" s="4">
        <v>0</v>
      </c>
      <c r="M81" s="4">
        <v>0</v>
      </c>
    </row>
    <row r="82" spans="1:13">
      <c r="A82" s="34" t="s">
        <v>336</v>
      </c>
      <c r="B82" s="4">
        <v>7.0184195235646583E-5</v>
      </c>
      <c r="D82" s="4">
        <v>9.9234597314050698E-5</v>
      </c>
      <c r="E82" s="4">
        <v>4.2811483426210142E-5</v>
      </c>
      <c r="F82" s="4"/>
      <c r="G82" s="4">
        <v>0</v>
      </c>
      <c r="H82" s="4">
        <v>1.9808120813537345E-4</v>
      </c>
      <c r="I82" s="4">
        <v>0</v>
      </c>
      <c r="J82" s="4">
        <v>1.4798544576446351E-4</v>
      </c>
      <c r="K82" s="4">
        <v>1.5643316535870005E-4</v>
      </c>
      <c r="L82" s="4">
        <v>0</v>
      </c>
      <c r="M82" s="4">
        <v>0</v>
      </c>
    </row>
    <row r="83" spans="1:13">
      <c r="A83" s="34" t="s">
        <v>337</v>
      </c>
      <c r="B83" s="4">
        <v>2.9780619086606136E-4</v>
      </c>
      <c r="D83" s="4">
        <v>1.826749285902897E-4</v>
      </c>
      <c r="E83" s="4">
        <v>4.1277800459382975E-4</v>
      </c>
      <c r="F83" s="4"/>
      <c r="G83" s="4">
        <v>3.7342106503760963E-3</v>
      </c>
      <c r="H83" s="4">
        <v>1.9381680907803938E-4</v>
      </c>
      <c r="I83" s="4">
        <v>0</v>
      </c>
      <c r="J83" s="4">
        <v>1.4569931307605171E-4</v>
      </c>
      <c r="K83" s="4">
        <v>4.235504647580791E-4</v>
      </c>
      <c r="L83" s="4">
        <v>1.6263390076740758E-4</v>
      </c>
      <c r="M83" s="4">
        <v>0</v>
      </c>
    </row>
    <row r="84" spans="1:13">
      <c r="A84" s="34" t="s">
        <v>338</v>
      </c>
      <c r="B84" s="4">
        <v>0</v>
      </c>
      <c r="D84" s="4">
        <v>0</v>
      </c>
      <c r="E84" s="4">
        <v>0</v>
      </c>
      <c r="F84" s="4"/>
      <c r="G84" s="4">
        <v>0</v>
      </c>
      <c r="H84" s="4">
        <v>0</v>
      </c>
      <c r="I84" s="4">
        <v>0</v>
      </c>
      <c r="J84" s="4">
        <v>0</v>
      </c>
      <c r="K84" s="4">
        <v>0</v>
      </c>
      <c r="L84" s="4">
        <v>0</v>
      </c>
      <c r="M84" s="4">
        <v>0</v>
      </c>
    </row>
    <row r="85" spans="1:13">
      <c r="A85" s="34" t="s">
        <v>339</v>
      </c>
      <c r="B85" s="4">
        <v>1.1420887090069836E-3</v>
      </c>
      <c r="D85" s="4">
        <v>1.9020740272879201E-3</v>
      </c>
      <c r="E85" s="4">
        <v>3.7380369945263348E-4</v>
      </c>
      <c r="F85" s="4"/>
      <c r="G85" s="4">
        <v>1.9721202048622617E-3</v>
      </c>
      <c r="H85" s="4">
        <v>2.240345471221818E-3</v>
      </c>
      <c r="I85" s="4">
        <v>8.874629055501236E-4</v>
      </c>
      <c r="J85" s="4">
        <v>1.1737742705505889E-3</v>
      </c>
      <c r="K85" s="4">
        <v>1.1634942688251598E-3</v>
      </c>
      <c r="L85" s="4">
        <v>1.1069325309518579E-3</v>
      </c>
      <c r="M85" s="4">
        <v>5.9381950660687948E-4</v>
      </c>
    </row>
    <row r="86" spans="1:13">
      <c r="A86" s="34" t="s">
        <v>340</v>
      </c>
      <c r="B86" s="4">
        <v>0</v>
      </c>
      <c r="D86" s="4">
        <v>0</v>
      </c>
      <c r="E86" s="4">
        <v>0</v>
      </c>
      <c r="F86" s="4"/>
      <c r="G86" s="4">
        <v>0</v>
      </c>
      <c r="H86" s="4">
        <v>0</v>
      </c>
      <c r="I86" s="4">
        <v>0</v>
      </c>
      <c r="J86" s="4">
        <v>0</v>
      </c>
      <c r="K86" s="4">
        <v>0</v>
      </c>
      <c r="L86" s="4">
        <v>0</v>
      </c>
      <c r="M86" s="4">
        <v>0</v>
      </c>
    </row>
    <row r="87" spans="1:13">
      <c r="A87" s="34" t="s">
        <v>341</v>
      </c>
      <c r="B87" s="4">
        <v>2.8714785379865976E-5</v>
      </c>
      <c r="D87" s="4">
        <v>0</v>
      </c>
      <c r="E87" s="4">
        <v>5.6876454330727447E-5</v>
      </c>
      <c r="F87" s="4"/>
      <c r="G87" s="4">
        <v>0</v>
      </c>
      <c r="H87" s="4">
        <v>0</v>
      </c>
      <c r="I87" s="4">
        <v>0</v>
      </c>
      <c r="J87" s="4">
        <v>0</v>
      </c>
      <c r="K87" s="4">
        <v>1.9302783684190214E-4</v>
      </c>
      <c r="L87" s="4">
        <v>0</v>
      </c>
      <c r="M87" s="4">
        <v>0</v>
      </c>
    </row>
    <row r="88" spans="1:13">
      <c r="A88" s="34" t="s">
        <v>342</v>
      </c>
      <c r="B88" s="4">
        <v>4.2428420788154569E-3</v>
      </c>
      <c r="D88" s="4">
        <v>3.2342732087539613E-3</v>
      </c>
      <c r="E88" s="4">
        <v>5.2316937638599336E-3</v>
      </c>
      <c r="F88" s="4"/>
      <c r="G88" s="4">
        <v>5.1406250015375759E-3</v>
      </c>
      <c r="H88" s="4">
        <v>3.6637036219285975E-3</v>
      </c>
      <c r="I88" s="4">
        <v>3.5902689892872101E-3</v>
      </c>
      <c r="J88" s="4">
        <v>2.0385363973974661E-3</v>
      </c>
      <c r="K88" s="4">
        <v>3.7359016764723771E-3</v>
      </c>
      <c r="L88" s="4">
        <v>2.9287631943675785E-3</v>
      </c>
      <c r="M88" s="4">
        <v>7.9352138634989442E-3</v>
      </c>
    </row>
    <row r="89" spans="1:13">
      <c r="A89" s="34" t="s">
        <v>343</v>
      </c>
      <c r="B89" s="4">
        <v>4.9289198715599591E-4</v>
      </c>
      <c r="D89" s="4">
        <v>6.7458504575580204E-4</v>
      </c>
      <c r="E89" s="4">
        <v>3.2229955060978711E-4</v>
      </c>
      <c r="F89" s="4"/>
      <c r="G89" s="4">
        <v>0</v>
      </c>
      <c r="H89" s="4">
        <v>1.5897718191404354E-3</v>
      </c>
      <c r="I89" s="4">
        <v>1.010043345180997E-3</v>
      </c>
      <c r="J89" s="4">
        <v>4.134602954966812E-4</v>
      </c>
      <c r="K89" s="4">
        <v>4.5187478413650454E-4</v>
      </c>
      <c r="L89" s="4">
        <v>0</v>
      </c>
      <c r="M89" s="4">
        <v>0</v>
      </c>
    </row>
    <row r="90" spans="1:13">
      <c r="A90" s="34" t="s">
        <v>344</v>
      </c>
      <c r="B90" s="4">
        <v>2.418287119147631E-5</v>
      </c>
      <c r="D90" s="4">
        <v>4.9408346423483553E-5</v>
      </c>
      <c r="E90" s="4">
        <v>0</v>
      </c>
      <c r="F90" s="4"/>
      <c r="G90" s="4">
        <v>0</v>
      </c>
      <c r="H90" s="4">
        <v>0</v>
      </c>
      <c r="I90" s="4">
        <v>1.3456482878503571E-4</v>
      </c>
      <c r="J90" s="4">
        <v>0</v>
      </c>
      <c r="K90" s="4">
        <v>0</v>
      </c>
      <c r="L90" s="4">
        <v>0</v>
      </c>
      <c r="M90" s="4">
        <v>0</v>
      </c>
    </row>
    <row r="91" spans="1:13">
      <c r="A91" s="34" t="s">
        <v>345</v>
      </c>
      <c r="B91" s="4">
        <v>3.4719083284982456E-3</v>
      </c>
      <c r="D91" s="4">
        <v>5.154738861006457E-3</v>
      </c>
      <c r="E91" s="4">
        <v>1.8301222943690142E-3</v>
      </c>
      <c r="F91" s="4"/>
      <c r="G91" s="4">
        <v>3.9297887548754686E-3</v>
      </c>
      <c r="H91" s="4">
        <v>5.7635820472136867E-3</v>
      </c>
      <c r="I91" s="4">
        <v>5.8431010184253297E-3</v>
      </c>
      <c r="J91" s="4">
        <v>3.3723868816512791E-3</v>
      </c>
      <c r="K91" s="4">
        <v>2.2929550897220468E-3</v>
      </c>
      <c r="L91" s="4">
        <v>3.2101817231362782E-3</v>
      </c>
      <c r="M91" s="4">
        <v>1.2363586621565103E-3</v>
      </c>
    </row>
    <row r="92" spans="1:13">
      <c r="A92" s="34" t="s">
        <v>346</v>
      </c>
      <c r="B92" s="4">
        <v>1.6656619739188088E-3</v>
      </c>
      <c r="D92" s="4">
        <v>2.659866129628772E-3</v>
      </c>
      <c r="E92" s="4">
        <v>6.8939859872509785E-4</v>
      </c>
      <c r="F92" s="4"/>
      <c r="G92" s="4">
        <v>1.4973254992824124E-3</v>
      </c>
      <c r="H92" s="4">
        <v>2.7940834944303436E-3</v>
      </c>
      <c r="I92" s="4">
        <v>2.7692820791824788E-3</v>
      </c>
      <c r="J92" s="4">
        <v>1.7557087147120776E-3</v>
      </c>
      <c r="K92" s="4">
        <v>1.6178800725649774E-3</v>
      </c>
      <c r="L92" s="4">
        <v>1.6224419789339915E-3</v>
      </c>
      <c r="M92" s="4">
        <v>1.5543695667975525E-4</v>
      </c>
    </row>
    <row r="93" spans="1:13">
      <c r="A93" s="34" t="s">
        <v>347</v>
      </c>
      <c r="B93" s="4">
        <v>1.0039518229982194E-3</v>
      </c>
      <c r="D93" s="4">
        <v>1.3426602906204364E-3</v>
      </c>
      <c r="E93" s="4">
        <v>6.8689590000294975E-4</v>
      </c>
      <c r="F93" s="4"/>
      <c r="G93" s="4">
        <v>1.8388157465351351E-3</v>
      </c>
      <c r="H93" s="4">
        <v>1.0792233537823754E-3</v>
      </c>
      <c r="I93" s="4">
        <v>9.2808153161728674E-4</v>
      </c>
      <c r="J93" s="4">
        <v>1.2638546243197023E-3</v>
      </c>
      <c r="K93" s="4">
        <v>1.59983585839509E-3</v>
      </c>
      <c r="L93" s="4">
        <v>1.0861127160293859E-3</v>
      </c>
      <c r="M93" s="4">
        <v>1.6292790325853477E-4</v>
      </c>
    </row>
    <row r="94" spans="1:13">
      <c r="A94" s="34" t="s">
        <v>348</v>
      </c>
      <c r="B94" s="4">
        <v>3.8080027950855539E-4</v>
      </c>
      <c r="D94" s="4">
        <v>3.9068160309472182E-4</v>
      </c>
      <c r="E94" s="4">
        <v>3.7551123309920593E-4</v>
      </c>
      <c r="F94" s="4"/>
      <c r="G94" s="4">
        <v>0</v>
      </c>
      <c r="H94" s="4">
        <v>3.6726051969072047E-4</v>
      </c>
      <c r="I94" s="4">
        <v>8.162418421919157E-4</v>
      </c>
      <c r="J94" s="4">
        <v>8.2684400454012183E-4</v>
      </c>
      <c r="K94" s="4">
        <v>1.4426290655786489E-4</v>
      </c>
      <c r="L94" s="4">
        <v>0</v>
      </c>
      <c r="M94" s="4">
        <v>1.4906945956122603E-4</v>
      </c>
    </row>
    <row r="95" spans="1:13">
      <c r="A95" s="34" t="s">
        <v>349</v>
      </c>
      <c r="B95" s="4">
        <v>1.2070559467952733E-3</v>
      </c>
      <c r="D95" s="4">
        <v>1.258883150083072E-3</v>
      </c>
      <c r="E95" s="4">
        <v>1.1704113142369885E-3</v>
      </c>
      <c r="F95" s="4"/>
      <c r="G95" s="4">
        <v>2.1100324001511604E-3</v>
      </c>
      <c r="H95" s="4">
        <v>3.517586996305274E-3</v>
      </c>
      <c r="I95" s="4">
        <v>2.787286725783445E-3</v>
      </c>
      <c r="J95" s="4">
        <v>9.4067566188867893E-4</v>
      </c>
      <c r="K95" s="4">
        <v>3.2870979216795997E-4</v>
      </c>
      <c r="L95" s="4">
        <v>0</v>
      </c>
      <c r="M95" s="4">
        <v>8.8752115143265955E-5</v>
      </c>
    </row>
    <row r="96" spans="1:13">
      <c r="A96" s="34" t="s">
        <v>350</v>
      </c>
      <c r="B96" s="4">
        <v>1.8532664144207168E-2</v>
      </c>
      <c r="D96" s="4">
        <v>4.8271480480284049E-3</v>
      </c>
      <c r="E96" s="4">
        <v>3.1995350252293511E-2</v>
      </c>
      <c r="F96" s="4"/>
      <c r="G96" s="4">
        <v>7.2468457822025933E-2</v>
      </c>
      <c r="H96" s="4">
        <v>4.9845252567244716E-2</v>
      </c>
      <c r="I96" s="4">
        <v>3.1724079018887422E-2</v>
      </c>
      <c r="J96" s="4">
        <v>1.5114737397208528E-2</v>
      </c>
      <c r="K96" s="4">
        <v>8.3947821234918764E-3</v>
      </c>
      <c r="L96" s="4">
        <v>1.9567292219062038E-3</v>
      </c>
      <c r="M96" s="4">
        <v>2.9493128775796395E-4</v>
      </c>
    </row>
    <row r="97" spans="1:13">
      <c r="A97" s="34" t="s">
        <v>351</v>
      </c>
      <c r="B97" s="4">
        <v>3.0194834404740343E-4</v>
      </c>
      <c r="D97" s="4">
        <v>2.8015602465587775E-4</v>
      </c>
      <c r="E97" s="4">
        <v>3.2647750114211461E-4</v>
      </c>
      <c r="F97" s="4"/>
      <c r="G97" s="4">
        <v>2.0754541949613513E-3</v>
      </c>
      <c r="H97" s="4">
        <v>0</v>
      </c>
      <c r="I97" s="4">
        <v>4.6225323692761558E-4</v>
      </c>
      <c r="J97" s="4">
        <v>6.1772056197846169E-4</v>
      </c>
      <c r="K97" s="4">
        <v>1.397854275993656E-4</v>
      </c>
      <c r="L97" s="4">
        <v>0</v>
      </c>
      <c r="M97" s="4">
        <v>0</v>
      </c>
    </row>
    <row r="98" spans="1:13">
      <c r="A98" s="34" t="s">
        <v>352</v>
      </c>
      <c r="B98" s="4">
        <v>3.9652797413027203E-4</v>
      </c>
      <c r="D98" s="4">
        <v>3.8239679753163634E-4</v>
      </c>
      <c r="E98" s="4">
        <v>3.7867760206592165E-4</v>
      </c>
      <c r="F98" s="4"/>
      <c r="G98" s="4">
        <v>2.0754541949613513E-3</v>
      </c>
      <c r="H98" s="4">
        <v>2.2151845264681185E-4</v>
      </c>
      <c r="I98" s="4">
        <v>2.1945879018947024E-4</v>
      </c>
      <c r="J98" s="4">
        <v>1.4720055074199828E-4</v>
      </c>
      <c r="K98" s="4">
        <v>9.2730276526996368E-4</v>
      </c>
      <c r="L98" s="4">
        <v>3.7220435382655047E-4</v>
      </c>
      <c r="M98" s="4">
        <v>1.2494628100651146E-4</v>
      </c>
    </row>
    <row r="99" spans="1:13">
      <c r="A99" s="34" t="s">
        <v>353</v>
      </c>
      <c r="B99" s="4">
        <v>3.4844433886203164E-4</v>
      </c>
      <c r="D99" s="4">
        <v>4.9482367430672756E-4</v>
      </c>
      <c r="E99" s="4">
        <v>2.10459966629792E-4</v>
      </c>
      <c r="F99" s="4"/>
      <c r="G99" s="4">
        <v>0</v>
      </c>
      <c r="H99" s="4">
        <v>0</v>
      </c>
      <c r="I99" s="4">
        <v>0</v>
      </c>
      <c r="J99" s="4">
        <v>6.6727284454965905E-4</v>
      </c>
      <c r="K99" s="4">
        <v>6.4892803897388315E-4</v>
      </c>
      <c r="L99" s="4">
        <v>6.7007802101574346E-4</v>
      </c>
      <c r="M99" s="4">
        <v>2.1834181335279187E-4</v>
      </c>
    </row>
    <row r="100" spans="1:13">
      <c r="A100" s="34" t="s">
        <v>354</v>
      </c>
      <c r="B100" s="4">
        <v>2.3960546240320911E-3</v>
      </c>
      <c r="D100" s="4">
        <v>2.8553882077533778E-3</v>
      </c>
      <c r="E100" s="4">
        <v>1.9777415233694557E-3</v>
      </c>
      <c r="F100" s="4"/>
      <c r="G100" s="4">
        <v>1.1196276331434801E-2</v>
      </c>
      <c r="H100" s="4">
        <v>6.4191412942707178E-3</v>
      </c>
      <c r="I100" s="4">
        <v>4.751914698960186E-3</v>
      </c>
      <c r="J100" s="4">
        <v>1.6099744885260945E-3</v>
      </c>
      <c r="K100" s="4">
        <v>1.7517171022071964E-4</v>
      </c>
      <c r="L100" s="4">
        <v>1.7384643166943752E-4</v>
      </c>
      <c r="M100" s="4">
        <v>8.3912773943502268E-5</v>
      </c>
    </row>
    <row r="101" spans="1:13">
      <c r="A101" s="34" t="s">
        <v>355</v>
      </c>
      <c r="B101" s="4">
        <v>7.0613849125740632E-4</v>
      </c>
      <c r="D101" s="4">
        <v>7.5368956734119398E-4</v>
      </c>
      <c r="E101" s="4">
        <v>6.679954340362399E-4</v>
      </c>
      <c r="F101" s="4"/>
      <c r="G101" s="4">
        <v>0</v>
      </c>
      <c r="H101" s="4">
        <v>6.6032937556747098E-4</v>
      </c>
      <c r="I101" s="4">
        <v>7.5008766270210833E-4</v>
      </c>
      <c r="J101" s="4">
        <v>1.0207984989722596E-3</v>
      </c>
      <c r="K101" s="4">
        <v>6.1012231132151614E-4</v>
      </c>
      <c r="L101" s="4">
        <v>1.0366457574222041E-3</v>
      </c>
      <c r="M101" s="4">
        <v>4.3697261126083491E-4</v>
      </c>
    </row>
    <row r="102" spans="1:13">
      <c r="A102" s="34" t="s">
        <v>356</v>
      </c>
      <c r="B102" s="4">
        <v>2.3693184982588521E-4</v>
      </c>
      <c r="D102" s="4">
        <v>3.4479954618673719E-4</v>
      </c>
      <c r="E102" s="4">
        <v>1.35026917579042E-4</v>
      </c>
      <c r="F102" s="4"/>
      <c r="G102" s="4">
        <v>0</v>
      </c>
      <c r="H102" s="4">
        <v>2.5980400880784652E-4</v>
      </c>
      <c r="I102" s="4">
        <v>2.6445976794998939E-4</v>
      </c>
      <c r="J102" s="4">
        <v>1.4020012908125569E-4</v>
      </c>
      <c r="K102" s="4">
        <v>4.6483291774925581E-4</v>
      </c>
      <c r="L102" s="4">
        <v>4.9427772515966007E-4</v>
      </c>
      <c r="M102" s="4">
        <v>0</v>
      </c>
    </row>
    <row r="103" spans="1:13">
      <c r="A103" s="34" t="s">
        <v>357</v>
      </c>
      <c r="B103" s="4">
        <v>2.1811945488422623E-5</v>
      </c>
      <c r="D103" s="4">
        <v>4.4564276521556137E-5</v>
      </c>
      <c r="E103" s="4">
        <v>0</v>
      </c>
      <c r="F103" s="4"/>
      <c r="G103" s="4">
        <v>0</v>
      </c>
      <c r="H103" s="4">
        <v>0</v>
      </c>
      <c r="I103" s="4">
        <v>1.2137188702194547E-4</v>
      </c>
      <c r="J103" s="4">
        <v>0</v>
      </c>
      <c r="K103" s="4">
        <v>0</v>
      </c>
      <c r="L103" s="4">
        <v>0</v>
      </c>
      <c r="M103" s="4">
        <v>0</v>
      </c>
    </row>
    <row r="104" spans="1:13">
      <c r="A104" s="34" t="s">
        <v>358</v>
      </c>
      <c r="B104" s="4">
        <v>3.1227826564933493E-5</v>
      </c>
      <c r="D104" s="4">
        <v>3.2849168730407132E-5</v>
      </c>
      <c r="E104" s="4">
        <v>3.000783783799686E-5</v>
      </c>
      <c r="F104" s="4"/>
      <c r="G104" s="4">
        <v>0</v>
      </c>
      <c r="H104" s="4">
        <v>0</v>
      </c>
      <c r="I104" s="4">
        <v>0</v>
      </c>
      <c r="J104" s="4">
        <v>0</v>
      </c>
      <c r="K104" s="4">
        <v>0</v>
      </c>
      <c r="L104" s="4">
        <v>0</v>
      </c>
      <c r="M104" s="4">
        <v>1.4909869538264341E-4</v>
      </c>
    </row>
    <row r="105" spans="1:13">
      <c r="A105" s="34" t="s">
        <v>359</v>
      </c>
      <c r="B105" s="4">
        <v>3.5462492871435878E-4</v>
      </c>
      <c r="D105" s="4">
        <v>1.1547362452601201E-4</v>
      </c>
      <c r="E105" s="4">
        <v>5.9047067814044848E-4</v>
      </c>
      <c r="F105" s="4"/>
      <c r="G105" s="4">
        <v>0</v>
      </c>
      <c r="H105" s="4">
        <v>8.2724646878187737E-4</v>
      </c>
      <c r="I105" s="4">
        <v>1.1211148217874337E-4</v>
      </c>
      <c r="J105" s="4">
        <v>5.3689624158391848E-4</v>
      </c>
      <c r="K105" s="4">
        <v>3.1001255745368795E-4</v>
      </c>
      <c r="L105" s="4">
        <v>2.7656665088048916E-4</v>
      </c>
      <c r="M105" s="4">
        <v>3.2606370652840064E-4</v>
      </c>
    </row>
    <row r="106" spans="1:13">
      <c r="A106" s="34" t="s">
        <v>360</v>
      </c>
      <c r="B106" s="4">
        <v>6.1422629416186232E-3</v>
      </c>
      <c r="D106" s="4">
        <v>5.8738235697326849E-3</v>
      </c>
      <c r="E106" s="4">
        <v>6.4317090834141747E-3</v>
      </c>
      <c r="F106" s="4"/>
      <c r="G106" s="4">
        <v>6.5853885443630539E-3</v>
      </c>
      <c r="H106" s="4">
        <v>4.3230307763678288E-3</v>
      </c>
      <c r="I106" s="4">
        <v>4.8283744412607153E-3</v>
      </c>
      <c r="J106" s="4">
        <v>5.2357790078749605E-3</v>
      </c>
      <c r="K106" s="4">
        <v>6.8266912269973621E-3</v>
      </c>
      <c r="L106" s="4">
        <v>9.8162001333037263E-3</v>
      </c>
      <c r="M106" s="4">
        <v>5.9658365815711857E-3</v>
      </c>
    </row>
    <row r="107" spans="1:13">
      <c r="A107" s="34" t="s">
        <v>361</v>
      </c>
      <c r="B107" s="4">
        <v>4.921185862180881E-2</v>
      </c>
      <c r="D107" s="4">
        <v>8.9904460748652139E-3</v>
      </c>
      <c r="E107" s="4">
        <v>8.8557980248545415E-2</v>
      </c>
      <c r="F107" s="4"/>
      <c r="G107" s="4">
        <v>1.9492920265166781E-2</v>
      </c>
      <c r="H107" s="4">
        <v>5.6741701768191669E-2</v>
      </c>
      <c r="I107" s="4">
        <v>7.7893362822654744E-2</v>
      </c>
      <c r="J107" s="4">
        <v>5.9026012254076728E-2</v>
      </c>
      <c r="K107" s="4">
        <v>4.3167728027637568E-2</v>
      </c>
      <c r="L107" s="4">
        <v>4.4250660054924611E-2</v>
      </c>
      <c r="M107" s="4">
        <v>2.653952704188884E-2</v>
      </c>
    </row>
    <row r="108" spans="1:13">
      <c r="A108" s="34" t="s">
        <v>362</v>
      </c>
      <c r="B108" s="4">
        <v>0</v>
      </c>
      <c r="D108" s="4">
        <v>0</v>
      </c>
      <c r="E108" s="4">
        <v>0</v>
      </c>
      <c r="F108" s="4"/>
      <c r="G108" s="4">
        <v>0</v>
      </c>
      <c r="H108" s="4">
        <v>0</v>
      </c>
      <c r="I108" s="4">
        <v>0</v>
      </c>
      <c r="J108" s="4">
        <v>0</v>
      </c>
      <c r="K108" s="4">
        <v>0</v>
      </c>
      <c r="L108" s="4">
        <v>0</v>
      </c>
      <c r="M108" s="4">
        <v>0</v>
      </c>
    </row>
    <row r="109" spans="1:13">
      <c r="A109" s="34" t="s">
        <v>363</v>
      </c>
      <c r="B109" s="4">
        <v>4.4938854114202564E-5</v>
      </c>
      <c r="D109" s="4">
        <v>4.9102732014535798E-5</v>
      </c>
      <c r="E109" s="4">
        <v>4.1408439335292336E-5</v>
      </c>
      <c r="F109" s="4"/>
      <c r="G109" s="4">
        <v>0</v>
      </c>
      <c r="H109" s="4">
        <v>0</v>
      </c>
      <c r="I109" s="4">
        <v>0</v>
      </c>
      <c r="J109" s="4">
        <v>2.6286466457086684E-4</v>
      </c>
      <c r="K109" s="4">
        <v>0</v>
      </c>
      <c r="L109" s="4">
        <v>0</v>
      </c>
      <c r="M109" s="4">
        <v>0</v>
      </c>
    </row>
    <row r="110" spans="1:13">
      <c r="A110" s="34" t="s">
        <v>364</v>
      </c>
      <c r="B110" s="4">
        <v>2.1270315715681375E-4</v>
      </c>
      <c r="D110" s="4">
        <v>1.2840792552788776E-4</v>
      </c>
      <c r="E110" s="4">
        <v>2.9682147271440853E-4</v>
      </c>
      <c r="F110" s="4"/>
      <c r="G110" s="4">
        <v>0</v>
      </c>
      <c r="H110" s="4">
        <v>1.9113769032748257E-4</v>
      </c>
      <c r="I110" s="4">
        <v>3.3582087229595727E-4</v>
      </c>
      <c r="J110" s="4">
        <v>2.5469982259117583E-4</v>
      </c>
      <c r="K110" s="4">
        <v>3.3131719576282042E-4</v>
      </c>
      <c r="L110" s="4">
        <v>0</v>
      </c>
      <c r="M110" s="4">
        <v>1.8461390360774224E-4</v>
      </c>
    </row>
    <row r="111" spans="1:13">
      <c r="A111" s="34" t="s">
        <v>365</v>
      </c>
      <c r="B111" s="4">
        <v>3.9845674815223618E-4</v>
      </c>
      <c r="D111" s="4">
        <v>4.3572756978702383E-4</v>
      </c>
      <c r="E111" s="4">
        <v>3.6681333968810757E-4</v>
      </c>
      <c r="F111" s="4"/>
      <c r="G111" s="4">
        <v>0</v>
      </c>
      <c r="H111" s="4">
        <v>8.7096514892732969E-4</v>
      </c>
      <c r="I111" s="4">
        <v>7.6614641854636997E-4</v>
      </c>
      <c r="J111" s="4">
        <v>5.5474857757951935E-4</v>
      </c>
      <c r="K111" s="4">
        <v>4.7657975435733667E-4</v>
      </c>
      <c r="L111" s="4">
        <v>0</v>
      </c>
      <c r="M111" s="4">
        <v>0</v>
      </c>
    </row>
    <row r="112" spans="1:13">
      <c r="A112" s="34" t="s">
        <v>366</v>
      </c>
      <c r="B112" s="4">
        <v>1.0218307561829539E-4</v>
      </c>
      <c r="D112" s="4">
        <v>1.1443692975859198E-4</v>
      </c>
      <c r="E112" s="4">
        <v>9.1454659195585943E-5</v>
      </c>
      <c r="F112" s="4"/>
      <c r="G112" s="4">
        <v>0</v>
      </c>
      <c r="H112" s="4">
        <v>2.1033429962373143E-4</v>
      </c>
      <c r="I112" s="4">
        <v>1.7001433848246524E-4</v>
      </c>
      <c r="J112" s="4">
        <v>2.8473982201062059E-4</v>
      </c>
      <c r="K112" s="4">
        <v>0</v>
      </c>
      <c r="L112" s="4">
        <v>0</v>
      </c>
      <c r="M112" s="4">
        <v>0</v>
      </c>
    </row>
    <row r="113" spans="1:13">
      <c r="A113" s="34" t="s">
        <v>367</v>
      </c>
      <c r="B113" s="4">
        <v>1.4311854477675882E-3</v>
      </c>
      <c r="D113" s="4">
        <v>1.4932046580848665E-3</v>
      </c>
      <c r="E113" s="4">
        <v>1.3871853089370454E-3</v>
      </c>
      <c r="F113" s="4"/>
      <c r="G113" s="4">
        <v>7.045392741118657E-3</v>
      </c>
      <c r="H113" s="4">
        <v>2.5206364622277918E-3</v>
      </c>
      <c r="I113" s="4">
        <v>2.2557729618656957E-3</v>
      </c>
      <c r="J113" s="4">
        <v>1.3186032093553378E-3</v>
      </c>
      <c r="K113" s="4">
        <v>5.6678136646443414E-4</v>
      </c>
      <c r="L113" s="4">
        <v>3.1276739833112019E-4</v>
      </c>
      <c r="M113" s="4">
        <v>4.0152669822342648E-4</v>
      </c>
    </row>
    <row r="114" spans="1:13">
      <c r="A114" s="34" t="s">
        <v>368</v>
      </c>
      <c r="B114" s="4">
        <v>0</v>
      </c>
      <c r="D114" s="4">
        <v>0</v>
      </c>
      <c r="E114" s="4">
        <v>0</v>
      </c>
      <c r="F114" s="4"/>
      <c r="G114" s="4">
        <v>0</v>
      </c>
      <c r="H114" s="4">
        <v>0</v>
      </c>
      <c r="I114" s="4">
        <v>0</v>
      </c>
      <c r="J114" s="4">
        <v>0</v>
      </c>
      <c r="K114" s="4">
        <v>0</v>
      </c>
      <c r="L114" s="4">
        <v>0</v>
      </c>
      <c r="M114" s="4">
        <v>0</v>
      </c>
    </row>
    <row r="115" spans="1:13">
      <c r="A115" s="34" t="s">
        <v>369</v>
      </c>
      <c r="B115" s="4">
        <v>1.4221692091583794E-4</v>
      </c>
      <c r="D115" s="4">
        <v>1.1700776446504015E-4</v>
      </c>
      <c r="E115" s="4">
        <v>1.6825885305971433E-4</v>
      </c>
      <c r="F115" s="4"/>
      <c r="G115" s="4">
        <v>0</v>
      </c>
      <c r="H115" s="4">
        <v>0</v>
      </c>
      <c r="I115" s="4">
        <v>8.6046443648715918E-5</v>
      </c>
      <c r="J115" s="4">
        <v>1.673430538292252E-4</v>
      </c>
      <c r="K115" s="4">
        <v>3.0074113491833972E-4</v>
      </c>
      <c r="L115" s="4">
        <v>2.6459517765484489E-4</v>
      </c>
      <c r="M115" s="4">
        <v>8.1345281731283784E-5</v>
      </c>
    </row>
    <row r="116" spans="1:13">
      <c r="A116" s="34" t="s">
        <v>370</v>
      </c>
      <c r="B116" s="4">
        <v>1.1474042441335342E-4</v>
      </c>
      <c r="D116" s="4">
        <v>1.3928466345940738E-4</v>
      </c>
      <c r="E116" s="4">
        <v>4.7498507722542521E-5</v>
      </c>
      <c r="F116" s="4"/>
      <c r="G116" s="4">
        <v>0</v>
      </c>
      <c r="H116" s="4">
        <v>0</v>
      </c>
      <c r="I116" s="4">
        <v>1.2568719891016525E-4</v>
      </c>
      <c r="J116" s="4">
        <v>4.4696064465440304E-4</v>
      </c>
      <c r="K116" s="4">
        <v>0</v>
      </c>
      <c r="L116" s="4">
        <v>1.1452262077601756E-4</v>
      </c>
      <c r="M116" s="4">
        <v>0</v>
      </c>
    </row>
    <row r="117" spans="1:13">
      <c r="A117" s="34" t="s">
        <v>371</v>
      </c>
      <c r="B117" s="4">
        <v>3.2884861409463031E-4</v>
      </c>
      <c r="D117" s="4">
        <v>2.6541354506972394E-4</v>
      </c>
      <c r="E117" s="4">
        <v>3.9405227204242048E-4</v>
      </c>
      <c r="F117" s="4"/>
      <c r="G117" s="4">
        <v>1.7671141686374894E-3</v>
      </c>
      <c r="H117" s="4">
        <v>4.1527921300163148E-4</v>
      </c>
      <c r="I117" s="4">
        <v>3.9649856800793139E-4</v>
      </c>
      <c r="J117" s="4">
        <v>7.8113318038792274E-4</v>
      </c>
      <c r="K117" s="4">
        <v>0</v>
      </c>
      <c r="L117" s="4">
        <v>0</v>
      </c>
      <c r="M117" s="4">
        <v>0</v>
      </c>
    </row>
    <row r="118" spans="1:13">
      <c r="A118" s="34" t="s">
        <v>372</v>
      </c>
      <c r="B118" s="4">
        <v>1.7909817418085856E-3</v>
      </c>
      <c r="D118" s="4">
        <v>2.2002874148522294E-3</v>
      </c>
      <c r="E118" s="4">
        <v>1.4143516554659405E-3</v>
      </c>
      <c r="F118" s="4"/>
      <c r="G118" s="4">
        <v>7.1489410512461746E-3</v>
      </c>
      <c r="H118" s="4">
        <v>2.039371150336566E-3</v>
      </c>
      <c r="I118" s="4">
        <v>1.4086118898563014E-3</v>
      </c>
      <c r="J118" s="4">
        <v>9.3777100316242248E-4</v>
      </c>
      <c r="K118" s="4">
        <v>1.4791710652919553E-3</v>
      </c>
      <c r="L118" s="4">
        <v>2.671247600484334E-3</v>
      </c>
      <c r="M118" s="4">
        <v>1.1900040237736921E-3</v>
      </c>
    </row>
    <row r="119" spans="1:13">
      <c r="A119" s="34" t="s">
        <v>373</v>
      </c>
      <c r="B119" s="4">
        <v>5.1569900962967936E-3</v>
      </c>
      <c r="D119" s="4">
        <v>8.2099485131391179E-3</v>
      </c>
      <c r="E119" s="4">
        <v>2.2553432719518598E-3</v>
      </c>
      <c r="F119" s="4"/>
      <c r="G119" s="4">
        <v>1.9892265225165136E-2</v>
      </c>
      <c r="H119" s="4">
        <v>1.045954203994259E-2</v>
      </c>
      <c r="I119" s="4">
        <v>1.0205347190540361E-2</v>
      </c>
      <c r="J119" s="4">
        <v>4.3176558874639436E-3</v>
      </c>
      <c r="K119" s="4">
        <v>2.7499903969494754E-3</v>
      </c>
      <c r="L119" s="4">
        <v>8.2805535397944684E-4</v>
      </c>
      <c r="M119" s="4">
        <v>1.6360657991818271E-4</v>
      </c>
    </row>
    <row r="120" spans="1:13">
      <c r="A120" s="34" t="s">
        <v>374</v>
      </c>
      <c r="B120" s="4">
        <v>3.020745255388901E-3</v>
      </c>
      <c r="D120" s="4">
        <v>4.9737833014119109E-3</v>
      </c>
      <c r="E120" s="4">
        <v>1.1613687226937901E-3</v>
      </c>
      <c r="F120" s="4"/>
      <c r="G120" s="4">
        <v>1.0333277649471676E-2</v>
      </c>
      <c r="H120" s="4">
        <v>8.3850275954669602E-3</v>
      </c>
      <c r="I120" s="4">
        <v>5.2306468269783767E-3</v>
      </c>
      <c r="J120" s="4">
        <v>2.1013088465387914E-3</v>
      </c>
      <c r="K120" s="4">
        <v>1.2585847785617638E-3</v>
      </c>
      <c r="L120" s="4">
        <v>8.9100433707832102E-4</v>
      </c>
      <c r="M120" s="4">
        <v>1.7395387295356636E-4</v>
      </c>
    </row>
    <row r="121" spans="1:13">
      <c r="A121" s="34" t="s">
        <v>375</v>
      </c>
      <c r="B121" s="4">
        <v>4.8235069108567424E-2</v>
      </c>
      <c r="D121" s="4">
        <v>5.3308766430194658E-2</v>
      </c>
      <c r="E121" s="4">
        <v>4.3628457468564863E-2</v>
      </c>
      <c r="F121" s="4"/>
      <c r="G121" s="4">
        <v>8.2608893841853159E-2</v>
      </c>
      <c r="H121" s="4">
        <v>7.3271539875509439E-2</v>
      </c>
      <c r="I121" s="4">
        <v>8.4191655347363517E-2</v>
      </c>
      <c r="J121" s="4">
        <v>6.2589019455709327E-2</v>
      </c>
      <c r="K121" s="4">
        <v>4.3296082165628892E-2</v>
      </c>
      <c r="L121" s="4">
        <v>2.3611289543056975E-2</v>
      </c>
      <c r="M121" s="4">
        <v>4.9780275939334019E-3</v>
      </c>
    </row>
    <row r="122" spans="1:13">
      <c r="A122" s="34" t="s">
        <v>376</v>
      </c>
      <c r="B122" s="4">
        <v>1.7437267473528286E-3</v>
      </c>
      <c r="D122" s="4">
        <v>2.6508395885019797E-3</v>
      </c>
      <c r="E122" s="4">
        <v>8.8395498709556246E-4</v>
      </c>
      <c r="F122" s="4"/>
      <c r="G122" s="4">
        <v>1.5632211734733022E-3</v>
      </c>
      <c r="H122" s="4">
        <v>9.9032523569642485E-4</v>
      </c>
      <c r="I122" s="4">
        <v>7.9545954104961439E-4</v>
      </c>
      <c r="J122" s="4">
        <v>1.5607701438904147E-3</v>
      </c>
      <c r="K122" s="4">
        <v>1.7608424019477588E-3</v>
      </c>
      <c r="L122" s="4">
        <v>3.5776956350231687E-3</v>
      </c>
      <c r="M122" s="4">
        <v>1.9218863753813727E-3</v>
      </c>
    </row>
    <row r="123" spans="1:13">
      <c r="A123" s="34" t="s">
        <v>377</v>
      </c>
      <c r="B123" s="4">
        <v>1.2325457963166157E-4</v>
      </c>
      <c r="D123" s="4">
        <v>1.5849605600269697E-4</v>
      </c>
      <c r="E123" s="4">
        <v>9.0477767106862862E-5</v>
      </c>
      <c r="F123" s="4"/>
      <c r="G123" s="4">
        <v>0</v>
      </c>
      <c r="H123" s="4">
        <v>2.174591526356571E-4</v>
      </c>
      <c r="I123" s="4">
        <v>2.9086692946804493E-4</v>
      </c>
      <c r="J123" s="4">
        <v>2.7640704370560548E-4</v>
      </c>
      <c r="K123" s="4">
        <v>0</v>
      </c>
      <c r="L123" s="4">
        <v>0</v>
      </c>
      <c r="M123" s="4">
        <v>0</v>
      </c>
    </row>
    <row r="124" spans="1:13">
      <c r="A124" s="34" t="s">
        <v>378</v>
      </c>
      <c r="B124" s="4">
        <v>1.1285197125360835E-4</v>
      </c>
      <c r="D124" s="4">
        <v>1.8477641389873863E-4</v>
      </c>
      <c r="E124" s="4">
        <v>4.4394904868197483E-5</v>
      </c>
      <c r="F124" s="4"/>
      <c r="G124" s="4">
        <v>1.4151688874647079E-3</v>
      </c>
      <c r="H124" s="4">
        <v>4.5635174804894854E-4</v>
      </c>
      <c r="I124" s="4">
        <v>0</v>
      </c>
      <c r="J124" s="4">
        <v>0</v>
      </c>
      <c r="K124" s="4">
        <v>0</v>
      </c>
      <c r="L124" s="4">
        <v>0</v>
      </c>
      <c r="M124" s="4">
        <v>0</v>
      </c>
    </row>
    <row r="125" spans="1:13">
      <c r="A125" s="34" t="s">
        <v>379</v>
      </c>
      <c r="B125" s="4">
        <v>2.6612898129373903E-5</v>
      </c>
      <c r="D125" s="4">
        <v>5.4373166845979946E-5</v>
      </c>
      <c r="E125" s="4">
        <v>0</v>
      </c>
      <c r="F125" s="4"/>
      <c r="G125" s="4">
        <v>0</v>
      </c>
      <c r="H125" s="4">
        <v>2.4389455873322422E-4</v>
      </c>
      <c r="I125" s="4">
        <v>0</v>
      </c>
      <c r="J125" s="4">
        <v>0</v>
      </c>
      <c r="K125" s="4">
        <v>0</v>
      </c>
      <c r="L125" s="4">
        <v>0</v>
      </c>
      <c r="M125" s="4">
        <v>0</v>
      </c>
    </row>
    <row r="126" spans="1:13">
      <c r="A126" s="34" t="s">
        <v>380</v>
      </c>
      <c r="B126" s="4">
        <v>1.0230434988532456E-3</v>
      </c>
      <c r="D126" s="4">
        <v>1.8529257555771458E-3</v>
      </c>
      <c r="E126" s="4">
        <v>2.3002431538924148E-4</v>
      </c>
      <c r="F126" s="4"/>
      <c r="G126" s="4">
        <v>0</v>
      </c>
      <c r="H126" s="4">
        <v>7.8877522548614248E-4</v>
      </c>
      <c r="I126" s="4">
        <v>3.6979929008610247E-4</v>
      </c>
      <c r="J126" s="4">
        <v>1.7162089586298202E-3</v>
      </c>
      <c r="K126" s="4">
        <v>1.3022448589523918E-3</v>
      </c>
      <c r="L126" s="4">
        <v>6.4759058746950877E-4</v>
      </c>
      <c r="M126" s="4">
        <v>1.4055474111656448E-3</v>
      </c>
    </row>
    <row r="127" spans="1:13">
      <c r="A127" s="34" t="s">
        <v>381</v>
      </c>
      <c r="B127" s="4">
        <v>1.1122767939363764E-3</v>
      </c>
      <c r="D127" s="4">
        <v>2.0043835285782695E-3</v>
      </c>
      <c r="E127" s="4">
        <v>2.5993825180786707E-4</v>
      </c>
      <c r="F127" s="4"/>
      <c r="G127" s="4">
        <v>0</v>
      </c>
      <c r="H127" s="4">
        <v>7.9271683072582955E-4</v>
      </c>
      <c r="I127" s="4">
        <v>9.5369989003776161E-4</v>
      </c>
      <c r="J127" s="4">
        <v>1.588434391142793E-3</v>
      </c>
      <c r="K127" s="4">
        <v>1.5590861325458563E-3</v>
      </c>
      <c r="L127" s="4">
        <v>6.4558764520330082E-4</v>
      </c>
      <c r="M127" s="4">
        <v>1.2517172471852519E-3</v>
      </c>
    </row>
    <row r="128" spans="1:13">
      <c r="A128" s="34" t="s">
        <v>382</v>
      </c>
      <c r="B128" s="4">
        <v>8.2363525898864365E-4</v>
      </c>
      <c r="D128" s="4">
        <v>6.5468737100035624E-4</v>
      </c>
      <c r="E128" s="4">
        <v>9.9670538005166187E-4</v>
      </c>
      <c r="F128" s="4"/>
      <c r="G128" s="4">
        <v>0</v>
      </c>
      <c r="H128" s="4">
        <v>1.6078894593694641E-3</v>
      </c>
      <c r="I128" s="4">
        <v>1.4132910176911035E-3</v>
      </c>
      <c r="J128" s="4">
        <v>1.4185447050580249E-3</v>
      </c>
      <c r="K128" s="4">
        <v>5.8184584620880159E-4</v>
      </c>
      <c r="L128" s="4">
        <v>4.7388188382555186E-4</v>
      </c>
      <c r="M128" s="4">
        <v>0</v>
      </c>
    </row>
    <row r="129" spans="1:13">
      <c r="A129" s="34" t="s">
        <v>383</v>
      </c>
      <c r="B129" s="4">
        <v>0</v>
      </c>
      <c r="D129" s="4">
        <v>0</v>
      </c>
      <c r="E129" s="4">
        <v>0</v>
      </c>
      <c r="F129" s="4"/>
      <c r="G129" s="4">
        <v>0</v>
      </c>
      <c r="H129" s="4">
        <v>0</v>
      </c>
      <c r="I129" s="4">
        <v>0</v>
      </c>
      <c r="J129" s="4">
        <v>0</v>
      </c>
      <c r="K129" s="4">
        <v>0</v>
      </c>
      <c r="L129" s="4">
        <v>0</v>
      </c>
      <c r="M129" s="4">
        <v>0</v>
      </c>
    </row>
    <row r="130" spans="1:13">
      <c r="A130" s="34" t="s">
        <v>384</v>
      </c>
      <c r="B130" s="4">
        <v>1.6765309465480369E-3</v>
      </c>
      <c r="D130" s="4">
        <v>2.0190417420510431E-3</v>
      </c>
      <c r="E130" s="4">
        <v>1.363366951383032E-3</v>
      </c>
      <c r="F130" s="4"/>
      <c r="G130" s="4">
        <v>3.5422699390930679E-3</v>
      </c>
      <c r="H130" s="4">
        <v>1.7080123390211415E-3</v>
      </c>
      <c r="I130" s="4">
        <v>1.4838714736898791E-3</v>
      </c>
      <c r="J130" s="4">
        <v>2.0292624764643454E-3</v>
      </c>
      <c r="K130" s="4">
        <v>1.9189439656904204E-3</v>
      </c>
      <c r="L130" s="4">
        <v>1.9191244187365829E-3</v>
      </c>
      <c r="M130" s="4">
        <v>8.0921797464576155E-4</v>
      </c>
    </row>
    <row r="131" spans="1:13">
      <c r="A131" s="34" t="s">
        <v>385</v>
      </c>
      <c r="B131" s="4">
        <v>3.3484172465549417E-5</v>
      </c>
      <c r="D131" s="4">
        <v>6.8411959017697509E-5</v>
      </c>
      <c r="E131" s="4">
        <v>0</v>
      </c>
      <c r="F131" s="4"/>
      <c r="G131" s="4">
        <v>0</v>
      </c>
      <c r="H131" s="4">
        <v>0</v>
      </c>
      <c r="I131" s="4">
        <v>0</v>
      </c>
      <c r="J131" s="4">
        <v>1.9586182017952177E-4</v>
      </c>
      <c r="K131" s="4">
        <v>0</v>
      </c>
      <c r="L131" s="4">
        <v>0</v>
      </c>
      <c r="M131" s="4">
        <v>0</v>
      </c>
    </row>
    <row r="132" spans="1:13">
      <c r="A132" s="34" t="s">
        <v>386</v>
      </c>
      <c r="B132" s="4">
        <v>1.4400040178811321E-3</v>
      </c>
      <c r="D132" s="4">
        <v>1.0368570960332451E-3</v>
      </c>
      <c r="E132" s="4">
        <v>1.8470679640058022E-3</v>
      </c>
      <c r="F132" s="4"/>
      <c r="G132" s="4">
        <v>3.5058781815382727E-3</v>
      </c>
      <c r="H132" s="4">
        <v>2.7066158726213418E-3</v>
      </c>
      <c r="I132" s="4">
        <v>1.5146486429402299E-3</v>
      </c>
      <c r="J132" s="4">
        <v>1.922689821344639E-3</v>
      </c>
      <c r="K132" s="4">
        <v>1.8577935876202835E-3</v>
      </c>
      <c r="L132" s="4">
        <v>8.0893322925507279E-4</v>
      </c>
      <c r="M132" s="4">
        <v>0</v>
      </c>
    </row>
    <row r="133" spans="1:13">
      <c r="A133" s="34" t="s">
        <v>387</v>
      </c>
      <c r="B133" s="4">
        <v>1.4860891730490414E-3</v>
      </c>
      <c r="D133" s="4">
        <v>1.8044850135031118E-3</v>
      </c>
      <c r="E133" s="4">
        <v>1.1049054167571971E-3</v>
      </c>
      <c r="F133" s="4"/>
      <c r="G133" s="4">
        <v>2.1710951227611346E-3</v>
      </c>
      <c r="H133" s="4">
        <v>3.983818518402414E-3</v>
      </c>
      <c r="I133" s="4">
        <v>3.7343172664492399E-3</v>
      </c>
      <c r="J133" s="4">
        <v>9.6723261285658498E-4</v>
      </c>
      <c r="K133" s="4">
        <v>2.5553618330855199E-4</v>
      </c>
      <c r="L133" s="4">
        <v>5.8333094545983126E-4</v>
      </c>
      <c r="M133" s="4">
        <v>0</v>
      </c>
    </row>
    <row r="134" spans="1:13">
      <c r="A134" s="34" t="s">
        <v>388</v>
      </c>
      <c r="B134" s="4">
        <v>1.7083834862900195E-3</v>
      </c>
      <c r="D134" s="4">
        <v>2.8421691647015947E-3</v>
      </c>
      <c r="E134" s="4">
        <v>6.2846093118109432E-4</v>
      </c>
      <c r="F134" s="4"/>
      <c r="G134" s="4">
        <v>4.8325952739193528E-3</v>
      </c>
      <c r="H134" s="4">
        <v>1.3432289748358337E-3</v>
      </c>
      <c r="I134" s="4">
        <v>2.0271266773464703E-3</v>
      </c>
      <c r="J134" s="4">
        <v>1.4528023605722296E-3</v>
      </c>
      <c r="K134" s="4">
        <v>2.1336670343829302E-3</v>
      </c>
      <c r="L134" s="4">
        <v>1.7030802854430002E-3</v>
      </c>
      <c r="M134" s="4">
        <v>8.7051106660901109E-4</v>
      </c>
    </row>
    <row r="135" spans="1:13">
      <c r="A135" s="34" t="s">
        <v>389</v>
      </c>
      <c r="B135" s="4">
        <v>1.7320609159428154E-3</v>
      </c>
      <c r="D135" s="4">
        <v>1.5101969214135497E-3</v>
      </c>
      <c r="E135" s="4">
        <v>1.9666671601819455E-3</v>
      </c>
      <c r="F135" s="4"/>
      <c r="G135" s="4">
        <v>1.8184355457878225E-3</v>
      </c>
      <c r="H135" s="4">
        <v>2.3701576315448124E-3</v>
      </c>
      <c r="I135" s="4">
        <v>3.2172086193923881E-3</v>
      </c>
      <c r="J135" s="4">
        <v>2.1166472967875816E-3</v>
      </c>
      <c r="K135" s="4">
        <v>1.1309621918528035E-3</v>
      </c>
      <c r="L135" s="4">
        <v>8.8816551378549592E-4</v>
      </c>
      <c r="M135" s="4">
        <v>7.7377486567663332E-4</v>
      </c>
    </row>
    <row r="136" spans="1:13">
      <c r="A136" s="34" t="s">
        <v>390</v>
      </c>
      <c r="B136" s="4">
        <v>2.75976947443792E-2</v>
      </c>
      <c r="D136" s="4">
        <v>2.5619568611392557E-2</v>
      </c>
      <c r="E136" s="4">
        <v>2.9589089034320372E-2</v>
      </c>
      <c r="F136" s="4"/>
      <c r="G136" s="4">
        <v>6.5222576567359095E-2</v>
      </c>
      <c r="H136" s="4">
        <v>3.637839832153842E-2</v>
      </c>
      <c r="I136" s="4">
        <v>3.7885922996476869E-2</v>
      </c>
      <c r="J136" s="4">
        <v>3.2943086416811304E-2</v>
      </c>
      <c r="K136" s="4">
        <v>2.2324194718834778E-2</v>
      </c>
      <c r="L136" s="4">
        <v>1.7724275608460009E-2</v>
      </c>
      <c r="M136" s="4">
        <v>1.2053034060339203E-2</v>
      </c>
    </row>
    <row r="137" spans="1:13">
      <c r="A137" s="34" t="s">
        <v>391</v>
      </c>
      <c r="B137" s="4">
        <v>9.1486440242002695E-5</v>
      </c>
      <c r="D137" s="4">
        <v>4.5979642719060924E-5</v>
      </c>
      <c r="E137" s="4">
        <v>1.3663473429512734E-4</v>
      </c>
      <c r="F137" s="4"/>
      <c r="G137" s="4">
        <v>0</v>
      </c>
      <c r="H137" s="4">
        <v>4.6308422155121813E-4</v>
      </c>
      <c r="I137" s="4">
        <v>2.2790034525335017E-4</v>
      </c>
      <c r="J137" s="4">
        <v>0</v>
      </c>
      <c r="K137" s="4">
        <v>0</v>
      </c>
      <c r="L137" s="4">
        <v>0</v>
      </c>
      <c r="M137" s="4">
        <v>0</v>
      </c>
    </row>
    <row r="138" spans="1:13">
      <c r="A138" s="34" t="s">
        <v>392</v>
      </c>
      <c r="B138" s="4">
        <v>4.2684219383848642E-4</v>
      </c>
      <c r="D138" s="4">
        <v>5.1216759454500622E-4</v>
      </c>
      <c r="E138" s="4">
        <v>3.4893112913245101E-4</v>
      </c>
      <c r="F138" s="4"/>
      <c r="G138" s="4">
        <v>0</v>
      </c>
      <c r="H138" s="4">
        <v>1.0392780694228512E-3</v>
      </c>
      <c r="I138" s="4">
        <v>8.2344163392837177E-4</v>
      </c>
      <c r="J138" s="4">
        <v>6.3181681260290434E-4</v>
      </c>
      <c r="K138" s="4">
        <v>3.8614997695696635E-4</v>
      </c>
      <c r="L138" s="4">
        <v>0</v>
      </c>
      <c r="M138" s="4">
        <v>0</v>
      </c>
    </row>
    <row r="139" spans="1:13">
      <c r="A139" s="34" t="s">
        <v>393</v>
      </c>
      <c r="B139" s="4">
        <v>5.7207127389376543E-3</v>
      </c>
      <c r="D139" s="4">
        <v>8.2567707905470775E-3</v>
      </c>
      <c r="E139" s="4">
        <v>3.326537086876284E-3</v>
      </c>
      <c r="F139" s="4"/>
      <c r="G139" s="4">
        <v>1.4062943266982748E-2</v>
      </c>
      <c r="H139" s="4">
        <v>1.0959293740587066E-2</v>
      </c>
      <c r="I139" s="4">
        <v>5.6828356452555987E-3</v>
      </c>
      <c r="J139" s="4">
        <v>5.1118829959771721E-3</v>
      </c>
      <c r="K139" s="4">
        <v>3.3388446529065748E-3</v>
      </c>
      <c r="L139" s="4">
        <v>3.2094883817825716E-3</v>
      </c>
      <c r="M139" s="4">
        <v>5.0860160387860304E-3</v>
      </c>
    </row>
    <row r="140" spans="1:13">
      <c r="A140" s="34" t="s">
        <v>394</v>
      </c>
      <c r="B140" s="4">
        <v>9.9325276984572495E-4</v>
      </c>
      <c r="D140" s="4">
        <v>1.1547410908481909E-3</v>
      </c>
      <c r="E140" s="4">
        <v>8.4788595569416187E-4</v>
      </c>
      <c r="F140" s="4"/>
      <c r="G140" s="4">
        <v>5.6124257160423963E-3</v>
      </c>
      <c r="H140" s="4">
        <v>2.0739104003006078E-3</v>
      </c>
      <c r="I140" s="4">
        <v>4.6917367592465455E-4</v>
      </c>
      <c r="J140" s="4">
        <v>1.037050325885635E-3</v>
      </c>
      <c r="K140" s="4">
        <v>9.6414784764744458E-4</v>
      </c>
      <c r="L140" s="4">
        <v>6.9741042812485705E-4</v>
      </c>
      <c r="M140" s="4">
        <v>7.631453319023868E-5</v>
      </c>
    </row>
    <row r="141" spans="1:13">
      <c r="A141" s="34" t="s">
        <v>395</v>
      </c>
      <c r="B141" s="4">
        <v>1.5891296804899791E-4</v>
      </c>
      <c r="D141" s="4">
        <v>2.7838122576717629E-4</v>
      </c>
      <c r="E141" s="4">
        <v>4.4882572203428955E-5</v>
      </c>
      <c r="F141" s="4"/>
      <c r="G141" s="4">
        <v>0</v>
      </c>
      <c r="H141" s="4">
        <v>6.799352055215825E-4</v>
      </c>
      <c r="I141" s="4">
        <v>3.9273543494302042E-4</v>
      </c>
      <c r="J141" s="4">
        <v>0</v>
      </c>
      <c r="K141" s="4">
        <v>9.5064226820836063E-5</v>
      </c>
      <c r="L141" s="4">
        <v>0</v>
      </c>
      <c r="M141" s="4">
        <v>0</v>
      </c>
    </row>
    <row r="142" spans="1:13">
      <c r="A142" s="34" t="s">
        <v>396</v>
      </c>
      <c r="B142" s="4">
        <v>2.07978934884217E-2</v>
      </c>
      <c r="D142" s="4">
        <v>2.3952687893612632E-2</v>
      </c>
      <c r="E142" s="4">
        <v>1.7884449436812749E-2</v>
      </c>
      <c r="F142" s="4"/>
      <c r="G142" s="4">
        <v>6.0401523868086997E-2</v>
      </c>
      <c r="H142" s="4">
        <v>2.6819792348641174E-2</v>
      </c>
      <c r="I142" s="4">
        <v>2.1524993751153257E-2</v>
      </c>
      <c r="J142" s="4">
        <v>2.0157255146745101E-2</v>
      </c>
      <c r="K142" s="4">
        <v>2.0841303172963652E-2</v>
      </c>
      <c r="L142" s="4">
        <v>1.4722071255249863E-2</v>
      </c>
      <c r="M142" s="4">
        <v>1.3090832905504579E-2</v>
      </c>
    </row>
    <row r="143" spans="1:13">
      <c r="A143" s="34" t="s">
        <v>397</v>
      </c>
      <c r="B143" s="4">
        <v>2.0147335896207623E-3</v>
      </c>
      <c r="D143" s="4">
        <v>2.523216279276323E-3</v>
      </c>
      <c r="E143" s="4">
        <v>1.5444754229953037E-3</v>
      </c>
      <c r="F143" s="4"/>
      <c r="G143" s="4">
        <v>3.6396110735371122E-3</v>
      </c>
      <c r="H143" s="4">
        <v>1.6100781631121308E-3</v>
      </c>
      <c r="I143" s="4">
        <v>2.3495948432653187E-3</v>
      </c>
      <c r="J143" s="4">
        <v>2.206182692816749E-3</v>
      </c>
      <c r="K143" s="4">
        <v>1.5315298154282536E-3</v>
      </c>
      <c r="L143" s="4">
        <v>1.6720574516806423E-3</v>
      </c>
      <c r="M143" s="4">
        <v>2.0043662548990555E-3</v>
      </c>
    </row>
    <row r="144" spans="1:13">
      <c r="A144" s="34" t="s">
        <v>398</v>
      </c>
      <c r="B144" s="4">
        <v>0</v>
      </c>
      <c r="D144" s="4">
        <v>0</v>
      </c>
      <c r="E144" s="4">
        <v>0</v>
      </c>
      <c r="F144" s="4"/>
      <c r="G144" s="4">
        <v>0</v>
      </c>
      <c r="H144" s="4">
        <v>0</v>
      </c>
      <c r="I144" s="4">
        <v>0</v>
      </c>
      <c r="J144" s="4">
        <v>0</v>
      </c>
      <c r="K144" s="4">
        <v>0</v>
      </c>
      <c r="L144" s="4">
        <v>0</v>
      </c>
      <c r="M144" s="4">
        <v>0</v>
      </c>
    </row>
    <row r="145" spans="1:13">
      <c r="A145" s="34" t="s">
        <v>399</v>
      </c>
      <c r="B145" s="4">
        <v>5.5658841701246107E-3</v>
      </c>
      <c r="D145" s="4">
        <v>6.9274403078247405E-3</v>
      </c>
      <c r="E145" s="4">
        <v>4.3086086692769804E-3</v>
      </c>
      <c r="F145" s="4"/>
      <c r="G145" s="4">
        <v>1.5610688806527126E-2</v>
      </c>
      <c r="H145" s="4">
        <v>1.1967620074737411E-2</v>
      </c>
      <c r="I145" s="4">
        <v>1.1192018089239444E-2</v>
      </c>
      <c r="J145" s="4">
        <v>4.6115136752673189E-3</v>
      </c>
      <c r="K145" s="4">
        <v>3.6499333076793527E-3</v>
      </c>
      <c r="L145" s="4">
        <v>1.4870599457583182E-3</v>
      </c>
      <c r="M145" s="4">
        <v>8.2935695023501945E-5</v>
      </c>
    </row>
    <row r="146" spans="1:13">
      <c r="A146" s="34" t="s">
        <v>400</v>
      </c>
      <c r="B146" s="4">
        <v>9.665879227483354E-4</v>
      </c>
      <c r="D146" s="4">
        <v>1.3312613869938274E-3</v>
      </c>
      <c r="E146" s="4">
        <v>6.2393871673684922E-4</v>
      </c>
      <c r="F146" s="4"/>
      <c r="G146" s="4">
        <v>0</v>
      </c>
      <c r="H146" s="4">
        <v>8.7771415169067308E-4</v>
      </c>
      <c r="I146" s="4">
        <v>1.5021324958345266E-3</v>
      </c>
      <c r="J146" s="4">
        <v>1.4121122885089831E-3</v>
      </c>
      <c r="K146" s="4">
        <v>1.6609743969861015E-3</v>
      </c>
      <c r="L146" s="4">
        <v>8.1748910222272661E-4</v>
      </c>
      <c r="M146" s="4">
        <v>0</v>
      </c>
    </row>
    <row r="147" spans="1:13">
      <c r="A147" s="34" t="s">
        <v>401</v>
      </c>
      <c r="B147" s="4">
        <v>3.5338589607633352E-3</v>
      </c>
      <c r="D147" s="4">
        <v>3.4587481935400271E-3</v>
      </c>
      <c r="E147" s="4">
        <v>3.594768133025178E-3</v>
      </c>
      <c r="F147" s="4"/>
      <c r="G147" s="4">
        <v>1.8184355457878225E-3</v>
      </c>
      <c r="H147" s="4">
        <v>3.2576019909727905E-3</v>
      </c>
      <c r="I147" s="4">
        <v>4.9332583748639353E-3</v>
      </c>
      <c r="J147" s="4">
        <v>3.7266333119066537E-3</v>
      </c>
      <c r="K147" s="4">
        <v>4.3456233418762988E-3</v>
      </c>
      <c r="L147" s="4">
        <v>3.8451601425016019E-3</v>
      </c>
      <c r="M147" s="4">
        <v>1.9037693781252722E-3</v>
      </c>
    </row>
    <row r="148" spans="1:13">
      <c r="A148" s="34" t="s">
        <v>402</v>
      </c>
      <c r="B148" s="4">
        <v>1.575149614107683E-3</v>
      </c>
      <c r="D148" s="4">
        <v>2.0912984500775214E-3</v>
      </c>
      <c r="E148" s="4">
        <v>1.0473690177110167E-3</v>
      </c>
      <c r="F148" s="4"/>
      <c r="G148" s="4">
        <v>9.0730201320193254E-3</v>
      </c>
      <c r="H148" s="4">
        <v>3.4968088451737506E-3</v>
      </c>
      <c r="I148" s="4">
        <v>1.6162018673217006E-3</v>
      </c>
      <c r="J148" s="4">
        <v>1.7115271294674539E-3</v>
      </c>
      <c r="K148" s="4">
        <v>9.8456979723209569E-4</v>
      </c>
      <c r="L148" s="4">
        <v>1.5987665158399117E-4</v>
      </c>
      <c r="M148" s="4">
        <v>1.8061552891398283E-4</v>
      </c>
    </row>
    <row r="149" spans="1:13">
      <c r="A149" s="34" t="s">
        <v>403</v>
      </c>
      <c r="B149" s="4">
        <v>8.6677456293666189E-3</v>
      </c>
      <c r="D149" s="4">
        <v>9.9467960492174556E-3</v>
      </c>
      <c r="E149" s="4">
        <v>7.4396409765803868E-3</v>
      </c>
      <c r="F149" s="4"/>
      <c r="G149" s="4">
        <v>6.9685845449460757E-2</v>
      </c>
      <c r="H149" s="4">
        <v>2.1911305614150549E-2</v>
      </c>
      <c r="I149" s="4">
        <v>1.0422407979904302E-2</v>
      </c>
      <c r="J149" s="4">
        <v>4.4193054190735893E-3</v>
      </c>
      <c r="K149" s="4">
        <v>2.0104565960714989E-3</v>
      </c>
      <c r="L149" s="4">
        <v>1.0684504932325092E-3</v>
      </c>
      <c r="M149" s="4">
        <v>4.6479643355167992E-4</v>
      </c>
    </row>
    <row r="150" spans="1:13">
      <c r="A150" s="34" t="s">
        <v>404</v>
      </c>
      <c r="B150" s="4">
        <v>4.2944862398760518E-2</v>
      </c>
      <c r="D150" s="4">
        <v>3.1933129321619222E-2</v>
      </c>
      <c r="E150" s="4">
        <v>5.3820448128725419E-2</v>
      </c>
      <c r="F150" s="4"/>
      <c r="G150" s="4">
        <v>4.3516243679078644E-2</v>
      </c>
      <c r="H150" s="4">
        <v>3.7012320324328614E-2</v>
      </c>
      <c r="I150" s="4">
        <v>4.3652264306257071E-2</v>
      </c>
      <c r="J150" s="4">
        <v>4.0396339536192802E-2</v>
      </c>
      <c r="K150" s="4">
        <v>4.5996739358803038E-2</v>
      </c>
      <c r="L150" s="4">
        <v>4.8558837091838648E-2</v>
      </c>
      <c r="M150" s="4">
        <v>4.1535367856750875E-2</v>
      </c>
    </row>
    <row r="151" spans="1:13">
      <c r="A151" s="34" t="s">
        <v>405</v>
      </c>
      <c r="B151" s="4">
        <v>8.402803860848028E-4</v>
      </c>
      <c r="D151" s="4">
        <v>1.2886001373255912E-3</v>
      </c>
      <c r="E151" s="4">
        <v>4.151154450748423E-4</v>
      </c>
      <c r="F151" s="4"/>
      <c r="G151" s="4">
        <v>1.9877065973234352E-3</v>
      </c>
      <c r="H151" s="4">
        <v>1.8536945092611724E-3</v>
      </c>
      <c r="I151" s="4">
        <v>1.1547947269443545E-3</v>
      </c>
      <c r="J151" s="4">
        <v>6.0349451374956914E-4</v>
      </c>
      <c r="K151" s="4">
        <v>8.2710853450326935E-4</v>
      </c>
      <c r="L151" s="4">
        <v>4.5678104453872841E-4</v>
      </c>
      <c r="M151" s="4">
        <v>2.5264960687243119E-4</v>
      </c>
    </row>
    <row r="152" spans="1:13">
      <c r="A152" s="34" t="s">
        <v>406</v>
      </c>
      <c r="B152" s="4">
        <v>4.101115157736831E-4</v>
      </c>
      <c r="D152" s="4">
        <v>5.9991573205357847E-4</v>
      </c>
      <c r="E152" s="4">
        <v>2.3072283825394764E-4</v>
      </c>
      <c r="F152" s="4"/>
      <c r="G152" s="4">
        <v>0</v>
      </c>
      <c r="H152" s="4">
        <v>6.2119666855350452E-4</v>
      </c>
      <c r="I152" s="4">
        <v>4.974050655273441E-4</v>
      </c>
      <c r="J152" s="4">
        <v>5.6059793923996697E-4</v>
      </c>
      <c r="K152" s="4">
        <v>5.2081617678183289E-4</v>
      </c>
      <c r="L152" s="4">
        <v>3.2727826315651358E-4</v>
      </c>
      <c r="M152" s="4">
        <v>1.6538451158990884E-4</v>
      </c>
    </row>
    <row r="153" spans="1:13">
      <c r="A153" s="34" t="s">
        <v>407</v>
      </c>
      <c r="B153" s="4">
        <v>3.2329634439471392E-3</v>
      </c>
      <c r="D153" s="4">
        <v>3.0194975429066267E-3</v>
      </c>
      <c r="E153" s="4">
        <v>3.3771513407578647E-3</v>
      </c>
      <c r="F153" s="4"/>
      <c r="G153" s="4">
        <v>0</v>
      </c>
      <c r="H153" s="4">
        <v>5.0717733331712292E-3</v>
      </c>
      <c r="I153" s="4">
        <v>6.8382815102512144E-3</v>
      </c>
      <c r="J153" s="4">
        <v>4.9485650355900607E-3</v>
      </c>
      <c r="K153" s="4">
        <v>1.414100825483993E-3</v>
      </c>
      <c r="L153" s="4">
        <v>1.7014460435989078E-3</v>
      </c>
      <c r="M153" s="4">
        <v>7.6585654480987287E-4</v>
      </c>
    </row>
    <row r="154" spans="1:13">
      <c r="A154" s="34" t="s">
        <v>408</v>
      </c>
      <c r="B154" s="4">
        <v>6.6839275615871626E-5</v>
      </c>
      <c r="D154" s="4">
        <v>4.9163386073445962E-5</v>
      </c>
      <c r="E154" s="4">
        <v>8.4728624784456531E-5</v>
      </c>
      <c r="F154" s="4"/>
      <c r="G154" s="4">
        <v>0</v>
      </c>
      <c r="H154" s="4">
        <v>2.2116172994514599E-4</v>
      </c>
      <c r="I154" s="4">
        <v>1.338976733356426E-4</v>
      </c>
      <c r="J154" s="4">
        <v>0</v>
      </c>
      <c r="K154" s="4">
        <v>0</v>
      </c>
      <c r="L154" s="4">
        <v>1.3563917066943017E-4</v>
      </c>
      <c r="M154" s="4">
        <v>0</v>
      </c>
    </row>
    <row r="155" spans="1:13">
      <c r="A155" s="34" t="s">
        <v>409</v>
      </c>
      <c r="B155" s="4">
        <v>2.1753540787972881E-5</v>
      </c>
      <c r="D155" s="4">
        <v>4.444494909969079E-5</v>
      </c>
      <c r="E155" s="4">
        <v>0</v>
      </c>
      <c r="F155" s="4"/>
      <c r="G155" s="4">
        <v>0</v>
      </c>
      <c r="H155" s="4">
        <v>1.9936085899309978E-4</v>
      </c>
      <c r="I155" s="4">
        <v>0</v>
      </c>
      <c r="J155" s="4">
        <v>0</v>
      </c>
      <c r="K155" s="4">
        <v>0</v>
      </c>
      <c r="L155" s="4">
        <v>0</v>
      </c>
      <c r="M155" s="4">
        <v>0</v>
      </c>
    </row>
    <row r="156" spans="1:13">
      <c r="A156" s="34" t="s">
        <v>410</v>
      </c>
      <c r="B156" s="4">
        <v>3.0508380614959043E-4</v>
      </c>
      <c r="D156" s="4">
        <v>4.9264509674985942E-4</v>
      </c>
      <c r="E156" s="4">
        <v>1.2668619637194064E-4</v>
      </c>
      <c r="F156" s="4"/>
      <c r="G156" s="4">
        <v>0</v>
      </c>
      <c r="H156" s="4">
        <v>6.8834448118666085E-4</v>
      </c>
      <c r="I156" s="4">
        <v>8.3048006157254196E-4</v>
      </c>
      <c r="J156" s="4">
        <v>2.704856310419671E-4</v>
      </c>
      <c r="K156" s="4">
        <v>2.3181961537423776E-4</v>
      </c>
      <c r="L156" s="4">
        <v>0</v>
      </c>
      <c r="M156" s="4">
        <v>0</v>
      </c>
    </row>
    <row r="157" spans="1:13">
      <c r="A157" s="118" t="s">
        <v>411</v>
      </c>
      <c r="B157" s="123">
        <v>2.818921456557685E-2</v>
      </c>
      <c r="C157" s="119"/>
      <c r="D157" s="123">
        <v>7.4103405398574657E-3</v>
      </c>
      <c r="E157" s="123">
        <v>4.8611686546866359E-2</v>
      </c>
      <c r="F157" s="123"/>
      <c r="G157" s="123">
        <v>1.2123788490005933E-2</v>
      </c>
      <c r="H157" s="123">
        <v>1.3808868868807667E-2</v>
      </c>
      <c r="I157" s="123">
        <v>3.6176812157850409E-2</v>
      </c>
      <c r="J157" s="123">
        <v>3.5531666309068122E-2</v>
      </c>
      <c r="K157" s="123">
        <v>3.2614722542046289E-2</v>
      </c>
      <c r="L157" s="123">
        <v>3.0962696711157648E-2</v>
      </c>
      <c r="M157" s="123">
        <v>2.1288526545945239E-2</v>
      </c>
    </row>
    <row r="158" spans="1:13">
      <c r="A158" s="67"/>
      <c r="B158" s="187" t="s">
        <v>147</v>
      </c>
      <c r="C158" s="187"/>
      <c r="D158" s="187"/>
      <c r="E158" s="187"/>
      <c r="F158" s="187"/>
      <c r="G158" s="187"/>
      <c r="H158" s="187"/>
      <c r="I158" s="187"/>
      <c r="J158" s="187"/>
      <c r="K158" s="187"/>
      <c r="L158" s="187"/>
      <c r="M158" s="187"/>
    </row>
    <row r="159" spans="1:13">
      <c r="A159" s="34" t="s">
        <v>270</v>
      </c>
      <c r="B159" s="45">
        <v>21633.983557844283</v>
      </c>
      <c r="D159" s="45">
        <v>14718.493674448928</v>
      </c>
      <c r="E159" s="45">
        <v>6426.9340111752317</v>
      </c>
      <c r="F159" s="45"/>
      <c r="G159" s="45">
        <v>1826.8264570852607</v>
      </c>
      <c r="H159" s="45">
        <v>3135.176987209411</v>
      </c>
      <c r="I159" s="45">
        <v>8178.5341139162038</v>
      </c>
      <c r="J159" s="45">
        <v>5322.4900048959717</v>
      </c>
      <c r="K159" s="45">
        <v>2837.600736088244</v>
      </c>
      <c r="L159" s="45">
        <v>333.35525864919072</v>
      </c>
      <c r="M159" s="45">
        <v>0</v>
      </c>
    </row>
    <row r="160" spans="1:13">
      <c r="A160" s="34" t="s">
        <v>271</v>
      </c>
      <c r="B160" s="45">
        <v>50126.101804138118</v>
      </c>
      <c r="D160" s="45">
        <v>28887.079897601943</v>
      </c>
      <c r="E160" s="45">
        <v>19268.096110700379</v>
      </c>
      <c r="F160" s="45"/>
      <c r="G160" s="45">
        <v>3628.6776300929155</v>
      </c>
      <c r="H160" s="45">
        <v>10681.499724569981</v>
      </c>
      <c r="I160" s="45">
        <v>17983.918219030795</v>
      </c>
      <c r="J160" s="45">
        <v>10659.152093720561</v>
      </c>
      <c r="K160" s="45">
        <v>1581.7944101659846</v>
      </c>
      <c r="L160" s="45">
        <v>3371.5847244670149</v>
      </c>
      <c r="M160" s="45">
        <v>2219.4750020908218</v>
      </c>
    </row>
    <row r="161" spans="1:13">
      <c r="A161" s="34" t="s">
        <v>272</v>
      </c>
      <c r="B161" s="45">
        <v>27110.177873350131</v>
      </c>
      <c r="D161" s="45">
        <v>16229.909190139819</v>
      </c>
      <c r="E161" s="45">
        <v>10880.268683210319</v>
      </c>
      <c r="F161" s="45"/>
      <c r="G161" s="45">
        <v>3644.1606725258534</v>
      </c>
      <c r="H161" s="45">
        <v>3018.5266723196205</v>
      </c>
      <c r="I161" s="45">
        <v>6089.7026823911792</v>
      </c>
      <c r="J161" s="45">
        <v>8024.0313344354718</v>
      </c>
      <c r="K161" s="45">
        <v>2072.413750867343</v>
      </c>
      <c r="L161" s="45">
        <v>2397.8796694030143</v>
      </c>
      <c r="M161" s="45">
        <v>1863.4630914076499</v>
      </c>
    </row>
    <row r="162" spans="1:13">
      <c r="A162" s="34" t="s">
        <v>273</v>
      </c>
      <c r="B162" s="45">
        <v>175018.48542949287</v>
      </c>
      <c r="D162" s="45">
        <v>120550.98430585348</v>
      </c>
      <c r="E162" s="45">
        <v>54467.501123639486</v>
      </c>
      <c r="F162" s="45"/>
      <c r="G162" s="45">
        <v>35389.012994441509</v>
      </c>
      <c r="H162" s="45">
        <v>53751.343887945201</v>
      </c>
      <c r="I162" s="45">
        <v>43888.858900880812</v>
      </c>
      <c r="J162" s="45">
        <v>24167.767331218798</v>
      </c>
      <c r="K162" s="45">
        <v>9779.3611691982551</v>
      </c>
      <c r="L162" s="45">
        <v>7050.4529685978341</v>
      </c>
      <c r="M162" s="45">
        <v>991.68817721056428</v>
      </c>
    </row>
    <row r="163" spans="1:13">
      <c r="A163" s="34" t="s">
        <v>274</v>
      </c>
      <c r="B163" s="45">
        <v>413135.61361357151</v>
      </c>
      <c r="D163" s="45">
        <v>310901.75702147564</v>
      </c>
      <c r="E163" s="45">
        <v>99150.596306311243</v>
      </c>
      <c r="F163" s="45"/>
      <c r="G163" s="45">
        <v>47031.265671847847</v>
      </c>
      <c r="H163" s="45">
        <v>101897.19949755151</v>
      </c>
      <c r="I163" s="45">
        <v>141463.86335043627</v>
      </c>
      <c r="J163" s="45">
        <v>73858.918999122325</v>
      </c>
      <c r="K163" s="45">
        <v>33819.998286290931</v>
      </c>
      <c r="L163" s="45">
        <v>14269.463319139299</v>
      </c>
      <c r="M163" s="45">
        <v>794.90448918227844</v>
      </c>
    </row>
    <row r="164" spans="1:13">
      <c r="A164" s="34" t="s">
        <v>275</v>
      </c>
      <c r="B164" s="45">
        <v>178277.26488001421</v>
      </c>
      <c r="D164" s="45">
        <v>104341.50913631971</v>
      </c>
      <c r="E164" s="45">
        <v>73935.75574369439</v>
      </c>
      <c r="F164" s="45"/>
      <c r="G164" s="45">
        <v>40677.568152991415</v>
      </c>
      <c r="H164" s="45">
        <v>42459.628989689227</v>
      </c>
      <c r="I164" s="45">
        <v>49068.54193004343</v>
      </c>
      <c r="J164" s="45">
        <v>24113.023245707296</v>
      </c>
      <c r="K164" s="45">
        <v>9199.2751186539535</v>
      </c>
      <c r="L164" s="45">
        <v>5755.0667589691548</v>
      </c>
      <c r="M164" s="45">
        <v>7004.1606839596279</v>
      </c>
    </row>
    <row r="165" spans="1:13">
      <c r="A165" s="34" t="s">
        <v>276</v>
      </c>
      <c r="B165" s="45">
        <v>57331.062621256882</v>
      </c>
      <c r="D165" s="45">
        <v>42151.552416978921</v>
      </c>
      <c r="E165" s="45">
        <v>15179.510204277967</v>
      </c>
      <c r="F165" s="45"/>
      <c r="G165" s="45">
        <v>9820.2796201234523</v>
      </c>
      <c r="H165" s="45">
        <v>8938.6972523132026</v>
      </c>
      <c r="I165" s="45">
        <v>14862.076553992349</v>
      </c>
      <c r="J165" s="45">
        <v>12123.302648317334</v>
      </c>
      <c r="K165" s="45">
        <v>8161.9287221037112</v>
      </c>
      <c r="L165" s="45">
        <v>1987.7800700578396</v>
      </c>
      <c r="M165" s="45">
        <v>1436.9977543489717</v>
      </c>
    </row>
    <row r="166" spans="1:13">
      <c r="A166" s="34" t="s">
        <v>277</v>
      </c>
      <c r="B166" s="45">
        <v>531412.1646076797</v>
      </c>
      <c r="D166" s="45">
        <v>367465.44009164633</v>
      </c>
      <c r="E166" s="45">
        <v>161743.87856920468</v>
      </c>
      <c r="F166" s="45"/>
      <c r="G166" s="45">
        <v>104598.24229993332</v>
      </c>
      <c r="H166" s="45">
        <v>140560.14645483744</v>
      </c>
      <c r="I166" s="45">
        <v>135489.9320936446</v>
      </c>
      <c r="J166" s="45">
        <v>90383.462595421428</v>
      </c>
      <c r="K166" s="45">
        <v>43799.612731642206</v>
      </c>
      <c r="L166" s="45">
        <v>8677.624837042491</v>
      </c>
      <c r="M166" s="45">
        <v>7903.1435951571748</v>
      </c>
    </row>
    <row r="167" spans="1:13">
      <c r="A167" s="34" t="s">
        <v>278</v>
      </c>
      <c r="B167" s="45">
        <v>3753.4721162611486</v>
      </c>
      <c r="D167" s="45">
        <v>1531.4625585872921</v>
      </c>
      <c r="E167" s="45">
        <v>2222.0095576738572</v>
      </c>
      <c r="F167" s="45"/>
      <c r="G167" s="45">
        <v>0</v>
      </c>
      <c r="H167" s="45">
        <v>513.43167893591385</v>
      </c>
      <c r="I167" s="45">
        <v>1839.7048600533737</v>
      </c>
      <c r="J167" s="45">
        <v>0</v>
      </c>
      <c r="K167" s="45">
        <v>1058.2160214234864</v>
      </c>
      <c r="L167" s="45">
        <v>0</v>
      </c>
      <c r="M167" s="45">
        <v>342.11955584837506</v>
      </c>
    </row>
    <row r="168" spans="1:13">
      <c r="A168" s="34" t="s">
        <v>279</v>
      </c>
      <c r="B168" s="45">
        <v>2072.5698464895809</v>
      </c>
      <c r="D168" s="45">
        <v>1436.2150291911571</v>
      </c>
      <c r="E168" s="45">
        <v>636.35481729842388</v>
      </c>
      <c r="F168" s="45"/>
      <c r="G168" s="45">
        <v>0</v>
      </c>
      <c r="H168" s="45">
        <v>0</v>
      </c>
      <c r="I168" s="45">
        <v>536.39263823500096</v>
      </c>
      <c r="J168" s="45">
        <v>1207.3479083070224</v>
      </c>
      <c r="K168" s="45">
        <v>0</v>
      </c>
      <c r="L168" s="45">
        <v>0</v>
      </c>
      <c r="M168" s="45">
        <v>328.82929994755739</v>
      </c>
    </row>
    <row r="169" spans="1:13">
      <c r="A169" s="34" t="s">
        <v>280</v>
      </c>
      <c r="B169" s="45">
        <v>19962.962645765547</v>
      </c>
      <c r="D169" s="45">
        <v>15881.277706650944</v>
      </c>
      <c r="E169" s="45">
        <v>4081.6849391146038</v>
      </c>
      <c r="F169" s="45"/>
      <c r="G169" s="45">
        <v>0</v>
      </c>
      <c r="H169" s="45">
        <v>3163.9546865602028</v>
      </c>
      <c r="I169" s="45">
        <v>7476.1233560334595</v>
      </c>
      <c r="J169" s="45">
        <v>5111.4167360084457</v>
      </c>
      <c r="K169" s="45">
        <v>584.98396475176321</v>
      </c>
      <c r="L169" s="45">
        <v>2510.9279250997911</v>
      </c>
      <c r="M169" s="45">
        <v>1115.5559773118871</v>
      </c>
    </row>
    <row r="170" spans="1:13">
      <c r="A170" s="34" t="s">
        <v>281</v>
      </c>
      <c r="B170" s="45">
        <v>2075.7409158476062</v>
      </c>
      <c r="D170" s="45">
        <v>1124.0865010904813</v>
      </c>
      <c r="E170" s="45">
        <v>951.65441475712487</v>
      </c>
      <c r="F170" s="45"/>
      <c r="G170" s="45">
        <v>0</v>
      </c>
      <c r="H170" s="45">
        <v>0</v>
      </c>
      <c r="I170" s="45">
        <v>1548.2667212384215</v>
      </c>
      <c r="J170" s="45">
        <v>527.47419460918479</v>
      </c>
      <c r="K170" s="45">
        <v>0</v>
      </c>
      <c r="L170" s="45">
        <v>0</v>
      </c>
      <c r="M170" s="45">
        <v>0</v>
      </c>
    </row>
    <row r="171" spans="1:13">
      <c r="A171" s="34" t="s">
        <v>282</v>
      </c>
      <c r="B171" s="45">
        <v>0</v>
      </c>
      <c r="D171" s="45">
        <v>0</v>
      </c>
      <c r="E171" s="45">
        <v>0</v>
      </c>
      <c r="F171" s="45"/>
      <c r="G171" s="45">
        <v>0</v>
      </c>
      <c r="H171" s="45">
        <v>0</v>
      </c>
      <c r="I171" s="45">
        <v>0</v>
      </c>
      <c r="J171" s="45">
        <v>0</v>
      </c>
      <c r="K171" s="45">
        <v>0</v>
      </c>
      <c r="L171" s="45">
        <v>0</v>
      </c>
      <c r="M171" s="45">
        <v>0</v>
      </c>
    </row>
    <row r="172" spans="1:13">
      <c r="A172" s="34" t="s">
        <v>283</v>
      </c>
      <c r="B172" s="45">
        <v>1677.612428370225</v>
      </c>
      <c r="D172" s="45">
        <v>1349.1925203240903</v>
      </c>
      <c r="E172" s="45">
        <v>328.41990804613465</v>
      </c>
      <c r="F172" s="45"/>
      <c r="G172" s="45">
        <v>0</v>
      </c>
      <c r="H172" s="45">
        <v>0</v>
      </c>
      <c r="I172" s="45">
        <v>0</v>
      </c>
      <c r="J172" s="45">
        <v>0</v>
      </c>
      <c r="K172" s="45">
        <v>547.35180090516383</v>
      </c>
      <c r="L172" s="45">
        <v>0</v>
      </c>
      <c r="M172" s="45">
        <v>1130.2606274650614</v>
      </c>
    </row>
    <row r="173" spans="1:13">
      <c r="A173" s="34" t="s">
        <v>284</v>
      </c>
      <c r="B173" s="45">
        <v>0</v>
      </c>
      <c r="D173" s="45">
        <v>0</v>
      </c>
      <c r="E173" s="45">
        <v>0</v>
      </c>
      <c r="F173" s="45"/>
      <c r="G173" s="45">
        <v>0</v>
      </c>
      <c r="H173" s="45">
        <v>0</v>
      </c>
      <c r="I173" s="45">
        <v>0</v>
      </c>
      <c r="J173" s="45">
        <v>0</v>
      </c>
      <c r="K173" s="45">
        <v>0</v>
      </c>
      <c r="L173" s="45">
        <v>0</v>
      </c>
      <c r="M173" s="45">
        <v>0</v>
      </c>
    </row>
    <row r="174" spans="1:13">
      <c r="A174" s="34" t="s">
        <v>285</v>
      </c>
      <c r="B174" s="45">
        <v>3613.5896093877586</v>
      </c>
      <c r="D174" s="45">
        <v>2640.8449813290508</v>
      </c>
      <c r="E174" s="45">
        <v>972.74462805870758</v>
      </c>
      <c r="F174" s="45"/>
      <c r="G174" s="45">
        <v>0</v>
      </c>
      <c r="H174" s="45">
        <v>1052.8934967770617</v>
      </c>
      <c r="I174" s="45">
        <v>2051.4720693116979</v>
      </c>
      <c r="J174" s="45">
        <v>0</v>
      </c>
      <c r="K174" s="45">
        <v>509.22404329899911</v>
      </c>
      <c r="L174" s="45">
        <v>0</v>
      </c>
      <c r="M174" s="45">
        <v>0</v>
      </c>
    </row>
    <row r="175" spans="1:13">
      <c r="A175" s="34" t="s">
        <v>286</v>
      </c>
      <c r="B175" s="45">
        <v>1540.5715620485589</v>
      </c>
      <c r="D175" s="45">
        <v>1540.5715620485589</v>
      </c>
      <c r="E175" s="45">
        <v>0</v>
      </c>
      <c r="F175" s="45"/>
      <c r="G175" s="45">
        <v>0</v>
      </c>
      <c r="H175" s="45">
        <v>490.83959562658805</v>
      </c>
      <c r="I175" s="45">
        <v>497.06927837709685</v>
      </c>
      <c r="J175" s="45">
        <v>0</v>
      </c>
      <c r="K175" s="45">
        <v>552.66268804487402</v>
      </c>
      <c r="L175" s="45">
        <v>0</v>
      </c>
      <c r="M175" s="45">
        <v>0</v>
      </c>
    </row>
    <row r="176" spans="1:13">
      <c r="A176" s="34" t="s">
        <v>287</v>
      </c>
      <c r="B176" s="45">
        <v>187367.34021360651</v>
      </c>
      <c r="D176" s="45">
        <v>121113.04880374686</v>
      </c>
      <c r="E176" s="45">
        <v>66254.291409859827</v>
      </c>
      <c r="F176" s="45"/>
      <c r="G176" s="45">
        <v>1405.0755266507961</v>
      </c>
      <c r="H176" s="45">
        <v>2878.0215823265016</v>
      </c>
      <c r="I176" s="45">
        <v>10772.354064229248</v>
      </c>
      <c r="J176" s="45">
        <v>7999.3113444674073</v>
      </c>
      <c r="K176" s="45">
        <v>10241.756853450826</v>
      </c>
      <c r="L176" s="45">
        <v>32236.688446228487</v>
      </c>
      <c r="M176" s="45">
        <v>121834.13239625342</v>
      </c>
    </row>
    <row r="177" spans="1:13">
      <c r="A177" s="34" t="s">
        <v>288</v>
      </c>
      <c r="B177" s="45">
        <v>138260.95413367703</v>
      </c>
      <c r="D177" s="45">
        <v>72691.581019725476</v>
      </c>
      <c r="E177" s="45">
        <v>64024.268567097322</v>
      </c>
      <c r="F177" s="45"/>
      <c r="G177" s="45">
        <v>8620.0043306525877</v>
      </c>
      <c r="H177" s="45">
        <v>31463.335965461938</v>
      </c>
      <c r="I177" s="45">
        <v>47861.487562288305</v>
      </c>
      <c r="J177" s="45">
        <v>26379.239432039889</v>
      </c>
      <c r="K177" s="45">
        <v>19180.461927823231</v>
      </c>
      <c r="L177" s="45">
        <v>3514.8483848593578</v>
      </c>
      <c r="M177" s="45">
        <v>1241.576530551843</v>
      </c>
    </row>
    <row r="178" spans="1:13">
      <c r="A178" s="34" t="s">
        <v>289</v>
      </c>
      <c r="B178" s="45">
        <v>1139.6213257213126</v>
      </c>
      <c r="D178" s="45">
        <v>1139.6213257213126</v>
      </c>
      <c r="E178" s="45">
        <v>0</v>
      </c>
      <c r="F178" s="45"/>
      <c r="G178" s="45">
        <v>0</v>
      </c>
      <c r="H178" s="45">
        <v>0</v>
      </c>
      <c r="I178" s="45">
        <v>597.96128281541507</v>
      </c>
      <c r="J178" s="45">
        <v>541.66004290589751</v>
      </c>
      <c r="K178" s="45">
        <v>0</v>
      </c>
      <c r="L178" s="45">
        <v>0</v>
      </c>
      <c r="M178" s="45">
        <v>0</v>
      </c>
    </row>
    <row r="179" spans="1:13">
      <c r="A179" s="34" t="s">
        <v>290</v>
      </c>
      <c r="B179" s="45">
        <v>481856.12461592397</v>
      </c>
      <c r="D179" s="45">
        <v>205889.85796248581</v>
      </c>
      <c r="E179" s="45">
        <v>275098.02592492924</v>
      </c>
      <c r="F179" s="45"/>
      <c r="G179" s="45">
        <v>24714.42534978412</v>
      </c>
      <c r="H179" s="45">
        <v>58588.297171192818</v>
      </c>
      <c r="I179" s="45">
        <v>98278.522739993248</v>
      </c>
      <c r="J179" s="45">
        <v>81450.87147886504</v>
      </c>
      <c r="K179" s="45">
        <v>63014.02572439357</v>
      </c>
      <c r="L179" s="45">
        <v>69255.19285708676</v>
      </c>
      <c r="M179" s="45">
        <v>86554.789294607559</v>
      </c>
    </row>
    <row r="180" spans="1:13">
      <c r="A180" s="34" t="s">
        <v>291</v>
      </c>
      <c r="B180" s="45">
        <v>13053.515562599539</v>
      </c>
      <c r="D180" s="45">
        <v>5471.7159335858687</v>
      </c>
      <c r="E180" s="45">
        <v>7581.7996290136725</v>
      </c>
      <c r="F180" s="45"/>
      <c r="G180" s="45">
        <v>0</v>
      </c>
      <c r="H180" s="45">
        <v>2165.8050604135383</v>
      </c>
      <c r="I180" s="45">
        <v>4025.5621431271179</v>
      </c>
      <c r="J180" s="45">
        <v>3228.1418375209655</v>
      </c>
      <c r="K180" s="45">
        <v>1932.8870178649515</v>
      </c>
      <c r="L180" s="45">
        <v>1364.7164125844761</v>
      </c>
      <c r="M180" s="45">
        <v>336.40309108848965</v>
      </c>
    </row>
    <row r="181" spans="1:13">
      <c r="A181" s="34" t="s">
        <v>292</v>
      </c>
      <c r="B181" s="45">
        <v>3453.9601380623581</v>
      </c>
      <c r="D181" s="45">
        <v>1030.9150905894835</v>
      </c>
      <c r="E181" s="45">
        <v>2423.0450474728741</v>
      </c>
      <c r="F181" s="45"/>
      <c r="G181" s="45">
        <v>0</v>
      </c>
      <c r="H181" s="45">
        <v>0</v>
      </c>
      <c r="I181" s="45">
        <v>1412.0976528027786</v>
      </c>
      <c r="J181" s="45">
        <v>1160.4877845891999</v>
      </c>
      <c r="K181" s="45">
        <v>488.79915640407273</v>
      </c>
      <c r="L181" s="45">
        <v>0</v>
      </c>
      <c r="M181" s="45">
        <v>392.57554426630651</v>
      </c>
    </row>
    <row r="182" spans="1:13">
      <c r="A182" s="34" t="s">
        <v>293</v>
      </c>
      <c r="B182" s="45">
        <v>56601.864127062399</v>
      </c>
      <c r="D182" s="45">
        <v>21299.936365573834</v>
      </c>
      <c r="E182" s="45">
        <v>35301.927761488543</v>
      </c>
      <c r="F182" s="45"/>
      <c r="G182" s="45">
        <v>7132.3230364123319</v>
      </c>
      <c r="H182" s="45">
        <v>3062.498278511679</v>
      </c>
      <c r="I182" s="45">
        <v>11333.316768563938</v>
      </c>
      <c r="J182" s="45">
        <v>7307.4813404755678</v>
      </c>
      <c r="K182" s="45">
        <v>14071.313500447121</v>
      </c>
      <c r="L182" s="45">
        <v>11157.838175723738</v>
      </c>
      <c r="M182" s="45">
        <v>2537.093026928007</v>
      </c>
    </row>
    <row r="183" spans="1:13">
      <c r="A183" s="34" t="s">
        <v>294</v>
      </c>
      <c r="B183" s="45">
        <v>8804.5457958107872</v>
      </c>
      <c r="D183" s="45">
        <v>2291.9493404882878</v>
      </c>
      <c r="E183" s="45">
        <v>6512.5964553224994</v>
      </c>
      <c r="F183" s="45"/>
      <c r="G183" s="45">
        <v>2074.1972019958926</v>
      </c>
      <c r="H183" s="45">
        <v>518.22462675739837</v>
      </c>
      <c r="I183" s="45">
        <v>3458.2073701969352</v>
      </c>
      <c r="J183" s="45">
        <v>2753.9165968605616</v>
      </c>
      <c r="K183" s="45">
        <v>0</v>
      </c>
      <c r="L183" s="45">
        <v>0</v>
      </c>
      <c r="M183" s="45">
        <v>0</v>
      </c>
    </row>
    <row r="184" spans="1:13">
      <c r="A184" s="34" t="s">
        <v>295</v>
      </c>
      <c r="B184" s="45">
        <v>364505.36312066048</v>
      </c>
      <c r="D184" s="45">
        <v>317797.24149523594</v>
      </c>
      <c r="E184" s="45">
        <v>46260.216142187404</v>
      </c>
      <c r="F184" s="45"/>
      <c r="G184" s="45">
        <v>42796.917427661865</v>
      </c>
      <c r="H184" s="45">
        <v>76361.226069841054</v>
      </c>
      <c r="I184" s="45">
        <v>100550.51547498941</v>
      </c>
      <c r="J184" s="45">
        <v>71868.165756140574</v>
      </c>
      <c r="K184" s="45">
        <v>47432.057389167458</v>
      </c>
      <c r="L184" s="45">
        <v>18503.815675422768</v>
      </c>
      <c r="M184" s="45">
        <v>6992.6653274368973</v>
      </c>
    </row>
    <row r="185" spans="1:13">
      <c r="A185" s="34" t="s">
        <v>296</v>
      </c>
      <c r="B185" s="45">
        <v>13872.746785147769</v>
      </c>
      <c r="D185" s="45">
        <v>6468.3377693655102</v>
      </c>
      <c r="E185" s="45">
        <v>7404.4090157822566</v>
      </c>
      <c r="F185" s="45"/>
      <c r="G185" s="45">
        <v>1826.8264570852607</v>
      </c>
      <c r="H185" s="45">
        <v>0</v>
      </c>
      <c r="I185" s="45">
        <v>500.04693427121646</v>
      </c>
      <c r="J185" s="45">
        <v>547.0946427490876</v>
      </c>
      <c r="K185" s="45">
        <v>0</v>
      </c>
      <c r="L185" s="45">
        <v>2868.56008350918</v>
      </c>
      <c r="M185" s="45">
        <v>8130.2186675330222</v>
      </c>
    </row>
    <row r="186" spans="1:13">
      <c r="A186" s="34" t="s">
        <v>297</v>
      </c>
      <c r="B186" s="45">
        <v>111103.9842922684</v>
      </c>
      <c r="D186" s="45">
        <v>42522.170760386864</v>
      </c>
      <c r="E186" s="45">
        <v>68581.813531881577</v>
      </c>
      <c r="F186" s="45"/>
      <c r="G186" s="45">
        <v>1620.1235900354534</v>
      </c>
      <c r="H186" s="45">
        <v>8338.7730940130423</v>
      </c>
      <c r="I186" s="45">
        <v>35379.167019039276</v>
      </c>
      <c r="J186" s="45">
        <v>36324.328982277286</v>
      </c>
      <c r="K186" s="45">
        <v>15554.434248110989</v>
      </c>
      <c r="L186" s="45">
        <v>10385.770495312738</v>
      </c>
      <c r="M186" s="45">
        <v>3501.3868634796404</v>
      </c>
    </row>
    <row r="187" spans="1:13">
      <c r="A187" s="34" t="s">
        <v>298</v>
      </c>
      <c r="B187" s="45">
        <v>1028.5319948040114</v>
      </c>
      <c r="D187" s="45">
        <v>1028.5319948040114</v>
      </c>
      <c r="E187" s="45">
        <v>0</v>
      </c>
      <c r="F187" s="45"/>
      <c r="G187" s="45">
        <v>0</v>
      </c>
      <c r="H187" s="45">
        <v>532.20996220221821</v>
      </c>
      <c r="I187" s="45">
        <v>0</v>
      </c>
      <c r="J187" s="45">
        <v>496.32203260179335</v>
      </c>
      <c r="K187" s="45">
        <v>0</v>
      </c>
      <c r="L187" s="45">
        <v>0</v>
      </c>
      <c r="M187" s="45">
        <v>0</v>
      </c>
    </row>
    <row r="188" spans="1:13">
      <c r="A188" s="34" t="s">
        <v>299</v>
      </c>
      <c r="B188" s="45">
        <v>230592.61812821016</v>
      </c>
      <c r="D188" s="45">
        <v>138738.99941883062</v>
      </c>
      <c r="E188" s="45">
        <v>89850.922676883521</v>
      </c>
      <c r="F188" s="45"/>
      <c r="G188" s="45">
        <v>5489.3695759986531</v>
      </c>
      <c r="H188" s="45">
        <v>25794.384553812717</v>
      </c>
      <c r="I188" s="45">
        <v>47379.989993548872</v>
      </c>
      <c r="J188" s="45">
        <v>36068.010111264404</v>
      </c>
      <c r="K188" s="45">
        <v>36143.702864349281</v>
      </c>
      <c r="L188" s="45">
        <v>51090.928323603621</v>
      </c>
      <c r="M188" s="45">
        <v>28626.232705632487</v>
      </c>
    </row>
    <row r="189" spans="1:13">
      <c r="A189" s="34" t="s">
        <v>300</v>
      </c>
      <c r="B189" s="45">
        <v>158489.21738328828</v>
      </c>
      <c r="D189" s="45">
        <v>23103.957005243949</v>
      </c>
      <c r="E189" s="45">
        <v>134008.1550352968</v>
      </c>
      <c r="F189" s="45"/>
      <c r="G189" s="45">
        <v>28330.350795897848</v>
      </c>
      <c r="H189" s="45">
        <v>36287.639092452278</v>
      </c>
      <c r="I189" s="45">
        <v>31360.800368790678</v>
      </c>
      <c r="J189" s="45">
        <v>29221.122367849774</v>
      </c>
      <c r="K189" s="45">
        <v>12312.015651853315</v>
      </c>
      <c r="L189" s="45">
        <v>11108.748167474547</v>
      </c>
      <c r="M189" s="45">
        <v>9868.5409389697998</v>
      </c>
    </row>
    <row r="190" spans="1:13">
      <c r="A190" s="34" t="s">
        <v>301</v>
      </c>
      <c r="B190" s="45">
        <v>251423.32671608153</v>
      </c>
      <c r="D190" s="45">
        <v>37922.33574925884</v>
      </c>
      <c r="E190" s="45">
        <v>208058.86698743916</v>
      </c>
      <c r="F190" s="45"/>
      <c r="G190" s="45">
        <v>25622.995865284545</v>
      </c>
      <c r="H190" s="45">
        <v>33771.703918655636</v>
      </c>
      <c r="I190" s="45">
        <v>40572.605142979526</v>
      </c>
      <c r="J190" s="45">
        <v>44800.592294229733</v>
      </c>
      <c r="K190" s="45">
        <v>20455.221792914475</v>
      </c>
      <c r="L190" s="45">
        <v>24119.148801323896</v>
      </c>
      <c r="M190" s="45">
        <v>62081.058900693737</v>
      </c>
    </row>
    <row r="191" spans="1:13">
      <c r="A191" s="34" t="s">
        <v>302</v>
      </c>
      <c r="B191" s="45">
        <v>13925.901757826316</v>
      </c>
      <c r="D191" s="45">
        <v>9097.8479861530886</v>
      </c>
      <c r="E191" s="45">
        <v>4291.5034483989029</v>
      </c>
      <c r="F191" s="45"/>
      <c r="G191" s="45">
        <v>1560.4209116645848</v>
      </c>
      <c r="H191" s="45">
        <v>596.12322643546975</v>
      </c>
      <c r="I191" s="45">
        <v>1205.9492438398217</v>
      </c>
      <c r="J191" s="45">
        <v>4330.0241392432745</v>
      </c>
      <c r="K191" s="45">
        <v>1068.509415161479</v>
      </c>
      <c r="L191" s="45">
        <v>2032.919493611781</v>
      </c>
      <c r="M191" s="45">
        <v>3131.9553278699054</v>
      </c>
    </row>
    <row r="192" spans="1:13">
      <c r="A192" s="34" t="s">
        <v>303</v>
      </c>
      <c r="B192" s="45">
        <v>5985.1111130388836</v>
      </c>
      <c r="D192" s="45">
        <v>2682.2101809656597</v>
      </c>
      <c r="E192" s="45">
        <v>3302.9009320732248</v>
      </c>
      <c r="F192" s="45"/>
      <c r="G192" s="45">
        <v>0</v>
      </c>
      <c r="H192" s="45">
        <v>1615.4213706218552</v>
      </c>
      <c r="I192" s="45">
        <v>875.57854688474981</v>
      </c>
      <c r="J192" s="45">
        <v>512.87183238909051</v>
      </c>
      <c r="K192" s="45">
        <v>1406.1879505793531</v>
      </c>
      <c r="L192" s="45">
        <v>1150.1989684382063</v>
      </c>
      <c r="M192" s="45">
        <v>424.85244412562969</v>
      </c>
    </row>
    <row r="193" spans="1:13">
      <c r="A193" s="34" t="s">
        <v>304</v>
      </c>
      <c r="B193" s="45">
        <v>13956.909559662712</v>
      </c>
      <c r="D193" s="45">
        <v>5561.5139815456487</v>
      </c>
      <c r="E193" s="45">
        <v>8395.3955781170644</v>
      </c>
      <c r="F193" s="45"/>
      <c r="G193" s="45">
        <v>5711.4035907791294</v>
      </c>
      <c r="H193" s="45">
        <v>1100.6944551530971</v>
      </c>
      <c r="I193" s="45">
        <v>3073.1244459444251</v>
      </c>
      <c r="J193" s="45">
        <v>3605.6206133256628</v>
      </c>
      <c r="K193" s="45">
        <v>0</v>
      </c>
      <c r="L193" s="45">
        <v>466.06645446039954</v>
      </c>
      <c r="M193" s="45">
        <v>0</v>
      </c>
    </row>
    <row r="194" spans="1:13">
      <c r="A194" s="34" t="s">
        <v>305</v>
      </c>
      <c r="B194" s="45">
        <v>15364.365648428435</v>
      </c>
      <c r="D194" s="45">
        <v>6291.5715478561688</v>
      </c>
      <c r="E194" s="45">
        <v>9072.7941005722605</v>
      </c>
      <c r="F194" s="45"/>
      <c r="G194" s="45">
        <v>0</v>
      </c>
      <c r="H194" s="45">
        <v>0</v>
      </c>
      <c r="I194" s="45">
        <v>2862.1666129954187</v>
      </c>
      <c r="J194" s="45">
        <v>1566.826952214803</v>
      </c>
      <c r="K194" s="45">
        <v>2549.2568388403106</v>
      </c>
      <c r="L194" s="45">
        <v>4844.5373460594483</v>
      </c>
      <c r="M194" s="45">
        <v>3541.5778983184468</v>
      </c>
    </row>
    <row r="195" spans="1:13">
      <c r="A195" s="34" t="s">
        <v>306</v>
      </c>
      <c r="B195" s="45">
        <v>2748.3884408491926</v>
      </c>
      <c r="D195" s="45">
        <v>1416.3470170138476</v>
      </c>
      <c r="E195" s="45">
        <v>1332.0414238353453</v>
      </c>
      <c r="F195" s="45"/>
      <c r="G195" s="45">
        <v>0</v>
      </c>
      <c r="H195" s="45">
        <v>539.63886179138058</v>
      </c>
      <c r="I195" s="45">
        <v>1817.4008636123067</v>
      </c>
      <c r="J195" s="45">
        <v>0</v>
      </c>
      <c r="K195" s="45">
        <v>0</v>
      </c>
      <c r="L195" s="45">
        <v>0</v>
      </c>
      <c r="M195" s="45">
        <v>391.34871544550526</v>
      </c>
    </row>
    <row r="196" spans="1:13">
      <c r="A196" s="34" t="s">
        <v>307</v>
      </c>
      <c r="B196" s="45">
        <v>64191.92577371584</v>
      </c>
      <c r="D196" s="45">
        <v>11647.628501994732</v>
      </c>
      <c r="E196" s="45">
        <v>52030.352168353391</v>
      </c>
      <c r="F196" s="45"/>
      <c r="G196" s="45">
        <v>1986.5027484424061</v>
      </c>
      <c r="H196" s="45">
        <v>7466.6365467353598</v>
      </c>
      <c r="I196" s="45">
        <v>20083.962018940379</v>
      </c>
      <c r="J196" s="45">
        <v>13749.955509666021</v>
      </c>
      <c r="K196" s="45">
        <v>10187.531059035782</v>
      </c>
      <c r="L196" s="45">
        <v>9190.6576390371702</v>
      </c>
      <c r="M196" s="45">
        <v>1526.6802518587865</v>
      </c>
    </row>
    <row r="197" spans="1:13">
      <c r="A197" s="34" t="s">
        <v>308</v>
      </c>
      <c r="B197" s="45">
        <v>21952.054525508887</v>
      </c>
      <c r="D197" s="45">
        <v>14412.598598194363</v>
      </c>
      <c r="E197" s="45">
        <v>7539.4559273145314</v>
      </c>
      <c r="F197" s="45"/>
      <c r="G197" s="45">
        <v>1726.1023539340597</v>
      </c>
      <c r="H197" s="45">
        <v>5024.399684905391</v>
      </c>
      <c r="I197" s="45">
        <v>6267.8617203946887</v>
      </c>
      <c r="J197" s="45">
        <v>7581.7296255356578</v>
      </c>
      <c r="K197" s="45">
        <v>868.64659090033911</v>
      </c>
      <c r="L197" s="45">
        <v>483.31454983875796</v>
      </c>
      <c r="M197" s="45">
        <v>0</v>
      </c>
    </row>
    <row r="198" spans="1:13">
      <c r="A198" s="34" t="s">
        <v>309</v>
      </c>
      <c r="B198" s="45">
        <v>11593.284117514562</v>
      </c>
      <c r="D198" s="45">
        <v>6708.9630606626743</v>
      </c>
      <c r="E198" s="45">
        <v>4884.3210568518844</v>
      </c>
      <c r="F198" s="45"/>
      <c r="G198" s="45">
        <v>3644.1606725258534</v>
      </c>
      <c r="H198" s="45">
        <v>1626.6356037516348</v>
      </c>
      <c r="I198" s="45">
        <v>1936.2697928007647</v>
      </c>
      <c r="J198" s="45">
        <v>1692.410329976748</v>
      </c>
      <c r="K198" s="45">
        <v>1667.439344471376</v>
      </c>
      <c r="L198" s="45">
        <v>0</v>
      </c>
      <c r="M198" s="45">
        <v>1026.3683739881822</v>
      </c>
    </row>
    <row r="199" spans="1:13">
      <c r="A199" s="34" t="s">
        <v>310</v>
      </c>
      <c r="B199" s="45">
        <v>28535.168738530883</v>
      </c>
      <c r="D199" s="45">
        <v>21901.133355509912</v>
      </c>
      <c r="E199" s="45">
        <v>6634.035383020966</v>
      </c>
      <c r="F199" s="45"/>
      <c r="G199" s="45">
        <v>0</v>
      </c>
      <c r="H199" s="45">
        <v>2626.0132467144404</v>
      </c>
      <c r="I199" s="45">
        <v>6039.8631590340428</v>
      </c>
      <c r="J199" s="45">
        <v>443.10083370914344</v>
      </c>
      <c r="K199" s="45">
        <v>8543.8814370785258</v>
      </c>
      <c r="L199" s="45">
        <v>4689.8218479991283</v>
      </c>
      <c r="M199" s="45">
        <v>6192.4882139955926</v>
      </c>
    </row>
    <row r="200" spans="1:13">
      <c r="A200" s="34" t="s">
        <v>311</v>
      </c>
      <c r="B200" s="45">
        <v>2847292.0222393745</v>
      </c>
      <c r="D200" s="45">
        <v>1053375.5910132502</v>
      </c>
      <c r="E200" s="45">
        <v>1785402.7243522354</v>
      </c>
      <c r="F200" s="45"/>
      <c r="G200" s="45">
        <v>90431.3126744076</v>
      </c>
      <c r="H200" s="45">
        <v>311832.02552136348</v>
      </c>
      <c r="I200" s="45">
        <v>596170.16223533801</v>
      </c>
      <c r="J200" s="45">
        <v>495313.05387204106</v>
      </c>
      <c r="K200" s="45">
        <v>391481.71111169999</v>
      </c>
      <c r="L200" s="45">
        <v>368633.61943354912</v>
      </c>
      <c r="M200" s="45">
        <v>593430.13739099284</v>
      </c>
    </row>
    <row r="201" spans="1:13">
      <c r="A201" s="34" t="s">
        <v>312</v>
      </c>
      <c r="B201" s="45">
        <v>2088.461219706227</v>
      </c>
      <c r="D201" s="45">
        <v>1523.5594092787128</v>
      </c>
      <c r="E201" s="45">
        <v>564.90181042751396</v>
      </c>
      <c r="F201" s="45"/>
      <c r="G201" s="45">
        <v>0</v>
      </c>
      <c r="H201" s="45">
        <v>552.96651133609021</v>
      </c>
      <c r="I201" s="45">
        <v>1034.1613662046557</v>
      </c>
      <c r="J201" s="45">
        <v>501.33334216548093</v>
      </c>
      <c r="K201" s="45">
        <v>0</v>
      </c>
      <c r="L201" s="45">
        <v>0</v>
      </c>
      <c r="M201" s="45">
        <v>0</v>
      </c>
    </row>
    <row r="202" spans="1:13">
      <c r="A202" s="34" t="s">
        <v>313</v>
      </c>
      <c r="B202" s="45">
        <v>24577.541753683545</v>
      </c>
      <c r="D202" s="45">
        <v>16081.584668561372</v>
      </c>
      <c r="E202" s="45">
        <v>8495.9570851221688</v>
      </c>
      <c r="F202" s="45"/>
      <c r="G202" s="45">
        <v>4886.4147707720458</v>
      </c>
      <c r="H202" s="45">
        <v>6917.3829900744058</v>
      </c>
      <c r="I202" s="45">
        <v>7129.990018091863</v>
      </c>
      <c r="J202" s="45">
        <v>3470.1990772695935</v>
      </c>
      <c r="K202" s="45">
        <v>845.81700792378683</v>
      </c>
      <c r="L202" s="45">
        <v>986.11873653167595</v>
      </c>
      <c r="M202" s="45">
        <v>341.61915302016843</v>
      </c>
    </row>
    <row r="203" spans="1:13">
      <c r="A203" s="34" t="s">
        <v>314</v>
      </c>
      <c r="B203" s="45">
        <v>783017.36363976158</v>
      </c>
      <c r="D203" s="45">
        <v>597582.69574641518</v>
      </c>
      <c r="E203" s="45">
        <v>181819.00589858336</v>
      </c>
      <c r="F203" s="45"/>
      <c r="G203" s="45">
        <v>121984.07468080656</v>
      </c>
      <c r="H203" s="45">
        <v>195601.1956571198</v>
      </c>
      <c r="I203" s="45">
        <v>215772.13419761951</v>
      </c>
      <c r="J203" s="45">
        <v>152962.56274660496</v>
      </c>
      <c r="K203" s="45">
        <v>70019.200361100462</v>
      </c>
      <c r="L203" s="45">
        <v>23154.777970196934</v>
      </c>
      <c r="M203" s="45">
        <v>3523.4180263142098</v>
      </c>
    </row>
    <row r="204" spans="1:13">
      <c r="A204" s="34" t="s">
        <v>315</v>
      </c>
      <c r="B204" s="45">
        <v>9779.4182741132718</v>
      </c>
      <c r="D204" s="45">
        <v>7631.456127099792</v>
      </c>
      <c r="E204" s="45">
        <v>2147.9621470134798</v>
      </c>
      <c r="F204" s="45"/>
      <c r="G204" s="45">
        <v>0</v>
      </c>
      <c r="H204" s="45">
        <v>1070.1701929906878</v>
      </c>
      <c r="I204" s="45">
        <v>7446.8601872395739</v>
      </c>
      <c r="J204" s="45">
        <v>0</v>
      </c>
      <c r="K204" s="45">
        <v>1262.3878938830089</v>
      </c>
      <c r="L204" s="45">
        <v>0</v>
      </c>
      <c r="M204" s="45">
        <v>0</v>
      </c>
    </row>
    <row r="205" spans="1:13">
      <c r="A205" s="34" t="s">
        <v>316</v>
      </c>
      <c r="B205" s="45">
        <v>2689.2168006046581</v>
      </c>
      <c r="D205" s="45">
        <v>2167.1094682607181</v>
      </c>
      <c r="E205" s="45">
        <v>522.10733234394013</v>
      </c>
      <c r="F205" s="45"/>
      <c r="G205" s="45">
        <v>0</v>
      </c>
      <c r="H205" s="45">
        <v>1175.5588572492434</v>
      </c>
      <c r="I205" s="45">
        <v>0</v>
      </c>
      <c r="J205" s="45">
        <v>522.10733234394013</v>
      </c>
      <c r="K205" s="45">
        <v>0</v>
      </c>
      <c r="L205" s="45">
        <v>991.55061101147476</v>
      </c>
      <c r="M205" s="45">
        <v>0</v>
      </c>
    </row>
    <row r="206" spans="1:13">
      <c r="A206" s="34" t="s">
        <v>317</v>
      </c>
      <c r="B206" s="45">
        <v>3827.5374292870174</v>
      </c>
      <c r="D206" s="45">
        <v>3453.3710467131577</v>
      </c>
      <c r="E206" s="45">
        <v>374.16638257385932</v>
      </c>
      <c r="F206" s="45"/>
      <c r="G206" s="45">
        <v>1686.4206408888419</v>
      </c>
      <c r="H206" s="45">
        <v>374.16638257385932</v>
      </c>
      <c r="I206" s="45">
        <v>1133.9669093682423</v>
      </c>
      <c r="J206" s="45">
        <v>632.98349645607323</v>
      </c>
      <c r="K206" s="45">
        <v>0</v>
      </c>
      <c r="L206" s="45">
        <v>0</v>
      </c>
      <c r="M206" s="45">
        <v>0</v>
      </c>
    </row>
    <row r="207" spans="1:13">
      <c r="A207" s="34" t="s">
        <v>318</v>
      </c>
      <c r="B207" s="45">
        <v>560120.80808871856</v>
      </c>
      <c r="D207" s="45">
        <v>450512.90569077706</v>
      </c>
      <c r="E207" s="45">
        <v>107807.83765509787</v>
      </c>
      <c r="F207" s="45"/>
      <c r="G207" s="45">
        <v>6710.7663644958466</v>
      </c>
      <c r="H207" s="45">
        <v>19404.936373928202</v>
      </c>
      <c r="I207" s="45">
        <v>57217.939565922527</v>
      </c>
      <c r="J207" s="45">
        <v>49235.97662368774</v>
      </c>
      <c r="K207" s="45">
        <v>90311.374788984031</v>
      </c>
      <c r="L207" s="45">
        <v>119899.46981442923</v>
      </c>
      <c r="M207" s="45">
        <v>217340.34455727006</v>
      </c>
    </row>
    <row r="208" spans="1:13">
      <c r="A208" s="34" t="s">
        <v>319</v>
      </c>
      <c r="B208" s="45">
        <v>7184.7528005951608</v>
      </c>
      <c r="D208" s="45">
        <v>4842.213855206126</v>
      </c>
      <c r="E208" s="45">
        <v>2342.5389453890361</v>
      </c>
      <c r="F208" s="45"/>
      <c r="G208" s="45">
        <v>0</v>
      </c>
      <c r="H208" s="45">
        <v>2655.2571916442475</v>
      </c>
      <c r="I208" s="45">
        <v>2842.1662713643204</v>
      </c>
      <c r="J208" s="45">
        <v>1687.3293375865928</v>
      </c>
      <c r="K208" s="45">
        <v>0</v>
      </c>
      <c r="L208" s="45">
        <v>0</v>
      </c>
      <c r="M208" s="45">
        <v>0</v>
      </c>
    </row>
    <row r="209" spans="1:13">
      <c r="A209" s="34" t="s">
        <v>320</v>
      </c>
      <c r="B209" s="45">
        <v>1482.3897205859664</v>
      </c>
      <c r="D209" s="45">
        <v>580.74995948905553</v>
      </c>
      <c r="E209" s="45">
        <v>901.63976109691112</v>
      </c>
      <c r="F209" s="45"/>
      <c r="G209" s="45">
        <v>0</v>
      </c>
      <c r="H209" s="45">
        <v>580.74995948905553</v>
      </c>
      <c r="I209" s="45">
        <v>348.37584586572149</v>
      </c>
      <c r="J209" s="45">
        <v>0</v>
      </c>
      <c r="K209" s="45">
        <v>553.26391523118957</v>
      </c>
      <c r="L209" s="45">
        <v>0</v>
      </c>
      <c r="M209" s="45">
        <v>0</v>
      </c>
    </row>
    <row r="210" spans="1:13">
      <c r="A210" s="34" t="s">
        <v>321</v>
      </c>
      <c r="B210" s="45">
        <v>69787.076130201109</v>
      </c>
      <c r="D210" s="45">
        <v>17216.940040705362</v>
      </c>
      <c r="E210" s="45">
        <v>51609.001945983568</v>
      </c>
      <c r="F210" s="45"/>
      <c r="G210" s="45">
        <v>9327.4834381080036</v>
      </c>
      <c r="H210" s="45">
        <v>20259.803750435905</v>
      </c>
      <c r="I210" s="45">
        <v>20103.264315670775</v>
      </c>
      <c r="J210" s="45">
        <v>14253.082724999898</v>
      </c>
      <c r="K210" s="45">
        <v>2462.6727071246878</v>
      </c>
      <c r="L210" s="45">
        <v>1417.1439087636877</v>
      </c>
      <c r="M210" s="45">
        <v>1963.6252850981584</v>
      </c>
    </row>
    <row r="211" spans="1:13">
      <c r="A211" s="34" t="s">
        <v>322</v>
      </c>
      <c r="B211" s="45">
        <v>15961.308780327845</v>
      </c>
      <c r="D211" s="45">
        <v>8365.8682850955174</v>
      </c>
      <c r="E211" s="45">
        <v>7595.4404952323275</v>
      </c>
      <c r="F211" s="45"/>
      <c r="G211" s="45">
        <v>5439.6186374412109</v>
      </c>
      <c r="H211" s="45">
        <v>3219.028220638842</v>
      </c>
      <c r="I211" s="45">
        <v>3842.6703073710901</v>
      </c>
      <c r="J211" s="45">
        <v>2451.4565702765153</v>
      </c>
      <c r="K211" s="45">
        <v>1008.5350446001875</v>
      </c>
      <c r="L211" s="45">
        <v>0</v>
      </c>
      <c r="M211" s="45">
        <v>0</v>
      </c>
    </row>
    <row r="212" spans="1:13">
      <c r="A212" s="34" t="s">
        <v>323</v>
      </c>
      <c r="B212" s="45">
        <v>2211.7090598251611</v>
      </c>
      <c r="D212" s="45">
        <v>1649.2265669596077</v>
      </c>
      <c r="E212" s="45">
        <v>562.48249286555335</v>
      </c>
      <c r="F212" s="45"/>
      <c r="G212" s="45">
        <v>0</v>
      </c>
      <c r="H212" s="45">
        <v>560.80158686892753</v>
      </c>
      <c r="I212" s="45">
        <v>0</v>
      </c>
      <c r="J212" s="45">
        <v>1098.2447849113594</v>
      </c>
      <c r="K212" s="45">
        <v>552.66268804487402</v>
      </c>
      <c r="L212" s="45">
        <v>0</v>
      </c>
      <c r="M212" s="45">
        <v>0</v>
      </c>
    </row>
    <row r="213" spans="1:13">
      <c r="A213" s="34" t="s">
        <v>324</v>
      </c>
      <c r="B213" s="45">
        <v>103141.50740600597</v>
      </c>
      <c r="D213" s="45">
        <v>51754.516266637635</v>
      </c>
      <c r="E213" s="45">
        <v>50884.556928872422</v>
      </c>
      <c r="F213" s="45"/>
      <c r="G213" s="45">
        <v>11279.430535682273</v>
      </c>
      <c r="H213" s="45">
        <v>22731.007914479826</v>
      </c>
      <c r="I213" s="45">
        <v>20021.594919342388</v>
      </c>
      <c r="J213" s="45">
        <v>23195.893341249528</v>
      </c>
      <c r="K213" s="45">
        <v>13291.851044515295</v>
      </c>
      <c r="L213" s="45">
        <v>10817.161703178164</v>
      </c>
      <c r="M213" s="45">
        <v>1804.5679475584939</v>
      </c>
    </row>
    <row r="214" spans="1:13">
      <c r="A214" s="34" t="s">
        <v>325</v>
      </c>
      <c r="B214" s="45">
        <v>6748.67365103472</v>
      </c>
      <c r="D214" s="45">
        <v>2304.5634440003928</v>
      </c>
      <c r="E214" s="45">
        <v>4444.1102070343268</v>
      </c>
      <c r="F214" s="45"/>
      <c r="G214" s="45">
        <v>1793.3968020992338</v>
      </c>
      <c r="H214" s="45">
        <v>0</v>
      </c>
      <c r="I214" s="45">
        <v>2157.2345476372911</v>
      </c>
      <c r="J214" s="45">
        <v>2342.0526125416695</v>
      </c>
      <c r="K214" s="45">
        <v>455.9896887565252</v>
      </c>
      <c r="L214" s="45">
        <v>0</v>
      </c>
      <c r="M214" s="45">
        <v>0</v>
      </c>
    </row>
    <row r="215" spans="1:13">
      <c r="A215" s="34" t="s">
        <v>326</v>
      </c>
      <c r="B215" s="45">
        <v>11628.766270779011</v>
      </c>
      <c r="D215" s="45">
        <v>7925.1774988258094</v>
      </c>
      <c r="E215" s="45">
        <v>3703.5887719532002</v>
      </c>
      <c r="F215" s="45"/>
      <c r="G215" s="45">
        <v>3570.2412813772448</v>
      </c>
      <c r="H215" s="45">
        <v>2199.7445348430156</v>
      </c>
      <c r="I215" s="45">
        <v>1034.2874869666011</v>
      </c>
      <c r="J215" s="45">
        <v>2883.5483390417503</v>
      </c>
      <c r="K215" s="45">
        <v>973.77942406406567</v>
      </c>
      <c r="L215" s="45">
        <v>967.16520448633196</v>
      </c>
      <c r="M215" s="45">
        <v>0</v>
      </c>
    </row>
    <row r="216" spans="1:13">
      <c r="A216" s="34" t="s">
        <v>327</v>
      </c>
      <c r="B216" s="45">
        <v>1016.7912756254527</v>
      </c>
      <c r="D216" s="45">
        <v>560.80158686892753</v>
      </c>
      <c r="E216" s="45">
        <v>455.9896887565252</v>
      </c>
      <c r="F216" s="45"/>
      <c r="G216" s="45">
        <v>0</v>
      </c>
      <c r="H216" s="45">
        <v>560.80158686892753</v>
      </c>
      <c r="I216" s="45">
        <v>0</v>
      </c>
      <c r="J216" s="45">
        <v>0</v>
      </c>
      <c r="K216" s="45">
        <v>455.9896887565252</v>
      </c>
      <c r="L216" s="45">
        <v>0</v>
      </c>
      <c r="M216" s="45">
        <v>0</v>
      </c>
    </row>
    <row r="217" spans="1:13">
      <c r="A217" s="34" t="s">
        <v>328</v>
      </c>
      <c r="B217" s="45">
        <v>19474.082551077681</v>
      </c>
      <c r="D217" s="45">
        <v>6048.9373084007839</v>
      </c>
      <c r="E217" s="45">
        <v>13066.481750720419</v>
      </c>
      <c r="F217" s="45"/>
      <c r="G217" s="45">
        <v>7554.2895376589904</v>
      </c>
      <c r="H217" s="45">
        <v>5547.6540829197183</v>
      </c>
      <c r="I217" s="45">
        <v>2116.7922810607661</v>
      </c>
      <c r="J217" s="45">
        <v>2322.1237045372886</v>
      </c>
      <c r="K217" s="45">
        <v>599.9016185832653</v>
      </c>
      <c r="L217" s="45">
        <v>1333.3213263176467</v>
      </c>
      <c r="M217" s="45">
        <v>0</v>
      </c>
    </row>
    <row r="218" spans="1:13">
      <c r="A218" s="34" t="s">
        <v>329</v>
      </c>
      <c r="B218" s="45">
        <v>6784.8888959502319</v>
      </c>
      <c r="D218" s="45">
        <v>3769.53809293416</v>
      </c>
      <c r="E218" s="45">
        <v>3015.3508030160719</v>
      </c>
      <c r="F218" s="45"/>
      <c r="G218" s="45">
        <v>0</v>
      </c>
      <c r="H218" s="45">
        <v>541.27165726563749</v>
      </c>
      <c r="I218" s="45">
        <v>3257.2090419658475</v>
      </c>
      <c r="J218" s="45">
        <v>994.34932666137809</v>
      </c>
      <c r="K218" s="45">
        <v>1557.6306361819231</v>
      </c>
      <c r="L218" s="45">
        <v>434.42823387544536</v>
      </c>
      <c r="M218" s="45">
        <v>0</v>
      </c>
    </row>
    <row r="219" spans="1:13">
      <c r="A219" s="34" t="s">
        <v>330</v>
      </c>
      <c r="B219" s="45">
        <v>10666.314484617253</v>
      </c>
      <c r="D219" s="45">
        <v>5316.8841609083047</v>
      </c>
      <c r="E219" s="45">
        <v>5349.4303237089471</v>
      </c>
      <c r="F219" s="45"/>
      <c r="G219" s="45">
        <v>1940.905940983962</v>
      </c>
      <c r="H219" s="45">
        <v>3346.8629277166001</v>
      </c>
      <c r="I219" s="45">
        <v>1635.0588027671679</v>
      </c>
      <c r="J219" s="45">
        <v>1801.3370151511385</v>
      </c>
      <c r="K219" s="45">
        <v>516.73357098055294</v>
      </c>
      <c r="L219" s="45">
        <v>1042.2952160084124</v>
      </c>
      <c r="M219" s="45">
        <v>383.12101100941817</v>
      </c>
    </row>
    <row r="220" spans="1:13">
      <c r="A220" s="34" t="s">
        <v>331</v>
      </c>
      <c r="B220" s="45">
        <v>39080.532875390003</v>
      </c>
      <c r="D220" s="45">
        <v>31776.487898674688</v>
      </c>
      <c r="E220" s="45">
        <v>7304.0449767153223</v>
      </c>
      <c r="F220" s="45"/>
      <c r="G220" s="45">
        <v>1472.7544148940417</v>
      </c>
      <c r="H220" s="45">
        <v>4686.5076271075141</v>
      </c>
      <c r="I220" s="45">
        <v>13880.222841780633</v>
      </c>
      <c r="J220" s="45">
        <v>14740.66898025593</v>
      </c>
      <c r="K220" s="45">
        <v>3425.2879257170844</v>
      </c>
      <c r="L220" s="45">
        <v>488.73132007987397</v>
      </c>
      <c r="M220" s="45">
        <v>386.35976555492527</v>
      </c>
    </row>
    <row r="221" spans="1:13">
      <c r="A221" s="34" t="s">
        <v>332</v>
      </c>
      <c r="B221" s="45">
        <v>37193.678117399482</v>
      </c>
      <c r="D221" s="45">
        <v>17438.7827943796</v>
      </c>
      <c r="E221" s="45">
        <v>18715.719520385508</v>
      </c>
      <c r="F221" s="45"/>
      <c r="G221" s="45">
        <v>0</v>
      </c>
      <c r="H221" s="45">
        <v>9725.4783469287504</v>
      </c>
      <c r="I221" s="45">
        <v>3464.4932248040791</v>
      </c>
      <c r="J221" s="45">
        <v>9175.1149734209521</v>
      </c>
      <c r="K221" s="45">
        <v>7299.1818226479145</v>
      </c>
      <c r="L221" s="45">
        <v>5675.7276932538498</v>
      </c>
      <c r="M221" s="45">
        <v>1853.6820563439401</v>
      </c>
    </row>
    <row r="222" spans="1:13">
      <c r="A222" s="34" t="s">
        <v>333</v>
      </c>
      <c r="B222" s="45">
        <v>3422.9000096389782</v>
      </c>
      <c r="D222" s="45">
        <v>2851.4949281345293</v>
      </c>
      <c r="E222" s="45">
        <v>571.40508150444884</v>
      </c>
      <c r="F222" s="45"/>
      <c r="G222" s="45">
        <v>0</v>
      </c>
      <c r="H222" s="45">
        <v>532.20996220221821</v>
      </c>
      <c r="I222" s="45">
        <v>1068.4743598815458</v>
      </c>
      <c r="J222" s="45">
        <v>1239.1670801062219</v>
      </c>
      <c r="K222" s="45">
        <v>583.04860744899258</v>
      </c>
      <c r="L222" s="45">
        <v>0</v>
      </c>
      <c r="M222" s="45">
        <v>0</v>
      </c>
    </row>
    <row r="223" spans="1:13">
      <c r="A223" s="34" t="s">
        <v>334</v>
      </c>
      <c r="B223" s="45">
        <v>881.36799770075277</v>
      </c>
      <c r="D223" s="45">
        <v>881.36799770075277</v>
      </c>
      <c r="E223" s="45">
        <v>0</v>
      </c>
      <c r="F223" s="45"/>
      <c r="G223" s="45">
        <v>0</v>
      </c>
      <c r="H223" s="45">
        <v>0</v>
      </c>
      <c r="I223" s="45">
        <v>0</v>
      </c>
      <c r="J223" s="45">
        <v>0</v>
      </c>
      <c r="K223" s="45">
        <v>0</v>
      </c>
      <c r="L223" s="45">
        <v>881.36799770075277</v>
      </c>
      <c r="M223" s="45">
        <v>0</v>
      </c>
    </row>
    <row r="224" spans="1:13">
      <c r="A224" s="34" t="s">
        <v>335</v>
      </c>
      <c r="B224" s="45">
        <v>571.40508150444884</v>
      </c>
      <c r="D224" s="45">
        <v>0</v>
      </c>
      <c r="E224" s="45">
        <v>571.40508150444884</v>
      </c>
      <c r="F224" s="45"/>
      <c r="G224" s="45">
        <v>0</v>
      </c>
      <c r="H224" s="45">
        <v>0</v>
      </c>
      <c r="I224" s="45">
        <v>571.40508150444884</v>
      </c>
      <c r="J224" s="45">
        <v>0</v>
      </c>
      <c r="K224" s="45">
        <v>0</v>
      </c>
      <c r="L224" s="45">
        <v>0</v>
      </c>
      <c r="M224" s="45">
        <v>0</v>
      </c>
    </row>
    <row r="225" spans="1:13">
      <c r="A225" s="34" t="s">
        <v>336</v>
      </c>
      <c r="B225" s="45">
        <v>1574.1806602048016</v>
      </c>
      <c r="D225" s="45">
        <v>1089.396317872131</v>
      </c>
      <c r="E225" s="45">
        <v>484.78434233267041</v>
      </c>
      <c r="F225" s="45"/>
      <c r="G225" s="45">
        <v>0</v>
      </c>
      <c r="H225" s="45">
        <v>484.78434233267041</v>
      </c>
      <c r="I225" s="45">
        <v>0</v>
      </c>
      <c r="J225" s="45">
        <v>567.44534424564142</v>
      </c>
      <c r="K225" s="45">
        <v>521.95097362648971</v>
      </c>
      <c r="L225" s="45">
        <v>0</v>
      </c>
      <c r="M225" s="45">
        <v>0</v>
      </c>
    </row>
    <row r="226" spans="1:13">
      <c r="A226" s="34" t="s">
        <v>337</v>
      </c>
      <c r="B226" s="45">
        <v>6679.5771409302924</v>
      </c>
      <c r="D226" s="45">
        <v>2005.4033568959599</v>
      </c>
      <c r="E226" s="45">
        <v>4674.1737840343321</v>
      </c>
      <c r="F226" s="45"/>
      <c r="G226" s="45">
        <v>3731.9490362530478</v>
      </c>
      <c r="H226" s="45">
        <v>474.34764360736324</v>
      </c>
      <c r="I226" s="45">
        <v>0</v>
      </c>
      <c r="J226" s="45">
        <v>558.67924333844962</v>
      </c>
      <c r="K226" s="45">
        <v>1413.2078511197665</v>
      </c>
      <c r="L226" s="45">
        <v>501.39336661166521</v>
      </c>
      <c r="M226" s="45">
        <v>0</v>
      </c>
    </row>
    <row r="227" spans="1:13">
      <c r="A227" s="34" t="s">
        <v>338</v>
      </c>
      <c r="B227" s="45">
        <v>0</v>
      </c>
      <c r="D227" s="45">
        <v>0</v>
      </c>
      <c r="E227" s="45">
        <v>0</v>
      </c>
      <c r="F227" s="45"/>
      <c r="G227" s="45">
        <v>0</v>
      </c>
      <c r="H227" s="45">
        <v>0</v>
      </c>
      <c r="I227" s="45">
        <v>0</v>
      </c>
      <c r="J227" s="45">
        <v>0</v>
      </c>
      <c r="K227" s="45">
        <v>0</v>
      </c>
      <c r="L227" s="45">
        <v>0</v>
      </c>
      <c r="M227" s="45">
        <v>0</v>
      </c>
    </row>
    <row r="228" spans="1:13">
      <c r="A228" s="34" t="s">
        <v>339</v>
      </c>
      <c r="B228" s="45">
        <v>25616.222454652187</v>
      </c>
      <c r="D228" s="45">
        <v>20880.947751417778</v>
      </c>
      <c r="E228" s="45">
        <v>4232.8404927384681</v>
      </c>
      <c r="F228" s="45"/>
      <c r="G228" s="45">
        <v>1970.9257958357605</v>
      </c>
      <c r="H228" s="45">
        <v>5483.0259573234707</v>
      </c>
      <c r="I228" s="45">
        <v>3577.1879313892559</v>
      </c>
      <c r="J228" s="45">
        <v>4500.7989912694384</v>
      </c>
      <c r="K228" s="45">
        <v>3882.0857778440304</v>
      </c>
      <c r="L228" s="45">
        <v>3412.6256929646806</v>
      </c>
      <c r="M228" s="45">
        <v>2789.5723080255484</v>
      </c>
    </row>
    <row r="229" spans="1:13">
      <c r="A229" s="34" t="s">
        <v>340</v>
      </c>
      <c r="B229" s="45">
        <v>0</v>
      </c>
      <c r="D229" s="45">
        <v>0</v>
      </c>
      <c r="E229" s="45">
        <v>0</v>
      </c>
      <c r="F229" s="45"/>
      <c r="G229" s="45">
        <v>0</v>
      </c>
      <c r="H229" s="45">
        <v>0</v>
      </c>
      <c r="I229" s="45">
        <v>0</v>
      </c>
      <c r="J229" s="45">
        <v>0</v>
      </c>
      <c r="K229" s="45">
        <v>0</v>
      </c>
      <c r="L229" s="45">
        <v>0</v>
      </c>
      <c r="M229" s="45">
        <v>0</v>
      </c>
    </row>
    <row r="230" spans="1:13">
      <c r="A230" s="34" t="s">
        <v>341</v>
      </c>
      <c r="B230" s="45">
        <v>644.05183610281483</v>
      </c>
      <c r="D230" s="45">
        <v>0</v>
      </c>
      <c r="E230" s="45">
        <v>644.05183610281483</v>
      </c>
      <c r="F230" s="45"/>
      <c r="G230" s="45">
        <v>0</v>
      </c>
      <c r="H230" s="45">
        <v>0</v>
      </c>
      <c r="I230" s="45">
        <v>0</v>
      </c>
      <c r="J230" s="45">
        <v>0</v>
      </c>
      <c r="K230" s="45">
        <v>644.05183610281483</v>
      </c>
      <c r="L230" s="45">
        <v>0</v>
      </c>
      <c r="M230" s="45">
        <v>0</v>
      </c>
    </row>
    <row r="231" spans="1:13">
      <c r="A231" s="34" t="s">
        <v>342</v>
      </c>
      <c r="B231" s="45">
        <v>95163.874464177978</v>
      </c>
      <c r="D231" s="45">
        <v>35505.815713227734</v>
      </c>
      <c r="E231" s="45">
        <v>59242.124253186383</v>
      </c>
      <c r="F231" s="45"/>
      <c r="G231" s="45">
        <v>5137.5115965389577</v>
      </c>
      <c r="H231" s="45">
        <v>8966.5555232510706</v>
      </c>
      <c r="I231" s="45">
        <v>14471.666160466848</v>
      </c>
      <c r="J231" s="45">
        <v>7816.701039773825</v>
      </c>
      <c r="K231" s="45">
        <v>12465.115776033519</v>
      </c>
      <c r="L231" s="45">
        <v>9029.2517802449474</v>
      </c>
      <c r="M231" s="45">
        <v>37277.072587868795</v>
      </c>
    </row>
    <row r="232" spans="1:13">
      <c r="A232" s="34" t="s">
        <v>343</v>
      </c>
      <c r="B232" s="45">
        <v>11055.210238512527</v>
      </c>
      <c r="D232" s="45">
        <v>7405.5872128169567</v>
      </c>
      <c r="E232" s="45">
        <v>3649.623025695571</v>
      </c>
      <c r="F232" s="45"/>
      <c r="G232" s="45">
        <v>0</v>
      </c>
      <c r="H232" s="45">
        <v>3890.8107086781124</v>
      </c>
      <c r="I232" s="45">
        <v>4071.2855060931079</v>
      </c>
      <c r="J232" s="45">
        <v>1585.3999594219449</v>
      </c>
      <c r="K232" s="45">
        <v>1507.7140643193616</v>
      </c>
      <c r="L232" s="45">
        <v>0</v>
      </c>
      <c r="M232" s="45">
        <v>0</v>
      </c>
    </row>
    <row r="233" spans="1:13">
      <c r="A233" s="34" t="s">
        <v>344</v>
      </c>
      <c r="B233" s="45">
        <v>542.40428361442548</v>
      </c>
      <c r="D233" s="45">
        <v>542.40428361442548</v>
      </c>
      <c r="E233" s="45">
        <v>0</v>
      </c>
      <c r="F233" s="45"/>
      <c r="G233" s="45">
        <v>0</v>
      </c>
      <c r="H233" s="45">
        <v>0</v>
      </c>
      <c r="I233" s="45">
        <v>542.40428361442548</v>
      </c>
      <c r="J233" s="45">
        <v>0</v>
      </c>
      <c r="K233" s="45">
        <v>0</v>
      </c>
      <c r="L233" s="45">
        <v>0</v>
      </c>
      <c r="M233" s="45">
        <v>0</v>
      </c>
    </row>
    <row r="234" spans="1:13">
      <c r="A234" s="34" t="s">
        <v>345</v>
      </c>
      <c r="B234" s="45">
        <v>77872.388881507519</v>
      </c>
      <c r="D234" s="45">
        <v>56588.666521224513</v>
      </c>
      <c r="E234" s="45">
        <v>20723.753578715467</v>
      </c>
      <c r="F234" s="45"/>
      <c r="G234" s="45">
        <v>3927.4086894263683</v>
      </c>
      <c r="H234" s="45">
        <v>14105.802153273025</v>
      </c>
      <c r="I234" s="45">
        <v>23552.387727172252</v>
      </c>
      <c r="J234" s="45">
        <v>12931.307028894516</v>
      </c>
      <c r="K234" s="45">
        <v>7650.616407447621</v>
      </c>
      <c r="L234" s="45">
        <v>9896.8530792387992</v>
      </c>
      <c r="M234" s="45">
        <v>5808.0137960549773</v>
      </c>
    </row>
    <row r="235" spans="1:13">
      <c r="A235" s="34" t="s">
        <v>346</v>
      </c>
      <c r="B235" s="45">
        <v>37359.591528803365</v>
      </c>
      <c r="D235" s="45">
        <v>29199.981116264382</v>
      </c>
      <c r="E235" s="45">
        <v>7806.5420663139303</v>
      </c>
      <c r="F235" s="45"/>
      <c r="G235" s="45">
        <v>1496.4186483270073</v>
      </c>
      <c r="H235" s="45">
        <v>6838.2454954751029</v>
      </c>
      <c r="I235" s="45">
        <v>11162.429855164924</v>
      </c>
      <c r="J235" s="45">
        <v>6732.2075550628679</v>
      </c>
      <c r="K235" s="45">
        <v>5398.1780471542525</v>
      </c>
      <c r="L235" s="45">
        <v>5001.9192930335903</v>
      </c>
      <c r="M235" s="45">
        <v>730.19263458562295</v>
      </c>
    </row>
    <row r="236" spans="1:13">
      <c r="A236" s="34" t="s">
        <v>347</v>
      </c>
      <c r="B236" s="45">
        <v>22517.91216291477</v>
      </c>
      <c r="D236" s="45">
        <v>14739.709903049365</v>
      </c>
      <c r="E236" s="45">
        <v>7778.2022598653966</v>
      </c>
      <c r="F236" s="45"/>
      <c r="G236" s="45">
        <v>1837.7020729769417</v>
      </c>
      <c r="H236" s="45">
        <v>2641.2933802175053</v>
      </c>
      <c r="I236" s="45">
        <v>3740.9136015534636</v>
      </c>
      <c r="J236" s="45">
        <v>4846.2091570477705</v>
      </c>
      <c r="K236" s="45">
        <v>5337.9721749998298</v>
      </c>
      <c r="L236" s="45">
        <v>3348.4390932031747</v>
      </c>
      <c r="M236" s="45">
        <v>765.38268291607642</v>
      </c>
    </row>
    <row r="237" spans="1:13">
      <c r="A237" s="34" t="s">
        <v>348</v>
      </c>
      <c r="B237" s="45">
        <v>8541.0744312202442</v>
      </c>
      <c r="D237" s="45">
        <v>4288.8983418236667</v>
      </c>
      <c r="E237" s="45">
        <v>4252.1760893965775</v>
      </c>
      <c r="F237" s="45"/>
      <c r="G237" s="45">
        <v>0</v>
      </c>
      <c r="H237" s="45">
        <v>898.83412555391124</v>
      </c>
      <c r="I237" s="45">
        <v>3290.1098724502604</v>
      </c>
      <c r="J237" s="45">
        <v>3170.5062505976707</v>
      </c>
      <c r="K237" s="45">
        <v>481.34399354131057</v>
      </c>
      <c r="L237" s="45">
        <v>0</v>
      </c>
      <c r="M237" s="45">
        <v>700.28018907709111</v>
      </c>
    </row>
    <row r="238" spans="1:13">
      <c r="A238" s="34" t="s">
        <v>349</v>
      </c>
      <c r="B238" s="45">
        <v>27073.3905382909</v>
      </c>
      <c r="D238" s="45">
        <v>13820.005375661329</v>
      </c>
      <c r="E238" s="45">
        <v>13253.385162629562</v>
      </c>
      <c r="F238" s="45"/>
      <c r="G238" s="45">
        <v>2108.7544649934875</v>
      </c>
      <c r="H238" s="45">
        <v>8608.9494034001582</v>
      </c>
      <c r="I238" s="45">
        <v>11235.003034423589</v>
      </c>
      <c r="J238" s="45">
        <v>3606.990011933307</v>
      </c>
      <c r="K238" s="45">
        <v>1096.7648431150656</v>
      </c>
      <c r="L238" s="45">
        <v>0</v>
      </c>
      <c r="M238" s="45">
        <v>416.92878042528321</v>
      </c>
    </row>
    <row r="239" spans="1:13">
      <c r="A239" s="34" t="s">
        <v>350</v>
      </c>
      <c r="B239" s="45">
        <v>415674.23235287779</v>
      </c>
      <c r="D239" s="45">
        <v>52992.378179391366</v>
      </c>
      <c r="E239" s="45">
        <v>362305.70838536898</v>
      </c>
      <c r="F239" s="45"/>
      <c r="G239" s="45">
        <v>72424.567505428684</v>
      </c>
      <c r="H239" s="45">
        <v>121991.37016421663</v>
      </c>
      <c r="I239" s="45">
        <v>127873.50535001456</v>
      </c>
      <c r="J239" s="45">
        <v>57956.96543829346</v>
      </c>
      <c r="K239" s="45">
        <v>28009.819354429812</v>
      </c>
      <c r="L239" s="45">
        <v>6032.5125788017122</v>
      </c>
      <c r="M239" s="45">
        <v>1385.4919616923196</v>
      </c>
    </row>
    <row r="240" spans="1:13">
      <c r="A240" s="34" t="s">
        <v>351</v>
      </c>
      <c r="B240" s="45">
        <v>6772.482636359593</v>
      </c>
      <c r="D240" s="45">
        <v>3075.549757348525</v>
      </c>
      <c r="E240" s="45">
        <v>3696.9328790110676</v>
      </c>
      <c r="F240" s="45"/>
      <c r="G240" s="45">
        <v>2074.1972019958926</v>
      </c>
      <c r="H240" s="45">
        <v>0</v>
      </c>
      <c r="I240" s="45">
        <v>1863.2516244248723</v>
      </c>
      <c r="J240" s="45">
        <v>2368.6292603218421</v>
      </c>
      <c r="K240" s="45">
        <v>466.40454961698646</v>
      </c>
      <c r="L240" s="45">
        <v>0</v>
      </c>
      <c r="M240" s="45">
        <v>0</v>
      </c>
    </row>
    <row r="241" spans="1:13">
      <c r="A241" s="34" t="s">
        <v>352</v>
      </c>
      <c r="B241" s="45">
        <v>8893.8352290036564</v>
      </c>
      <c r="D241" s="45">
        <v>4197.9478374733662</v>
      </c>
      <c r="E241" s="45">
        <v>4288.0310977790268</v>
      </c>
      <c r="F241" s="45"/>
      <c r="G241" s="45">
        <v>2074.1972019958926</v>
      </c>
      <c r="H241" s="45">
        <v>542.14470111442108</v>
      </c>
      <c r="I241" s="45">
        <v>884.5950977707887</v>
      </c>
      <c r="J241" s="45">
        <v>564.43568999269314</v>
      </c>
      <c r="K241" s="45">
        <v>3094.0151346383</v>
      </c>
      <c r="L241" s="45">
        <v>1147.4901183087964</v>
      </c>
      <c r="M241" s="45">
        <v>586.95728518276496</v>
      </c>
    </row>
    <row r="242" spans="1:13">
      <c r="A242" s="34" t="s">
        <v>353</v>
      </c>
      <c r="B242" s="45">
        <v>7815.3541200094569</v>
      </c>
      <c r="D242" s="45">
        <v>5432.1688541722115</v>
      </c>
      <c r="E242" s="45">
        <v>2383.1852658372459</v>
      </c>
      <c r="F242" s="45"/>
      <c r="G242" s="45">
        <v>0</v>
      </c>
      <c r="H242" s="45">
        <v>0</v>
      </c>
      <c r="I242" s="45">
        <v>0</v>
      </c>
      <c r="J242" s="45">
        <v>2558.6358646640274</v>
      </c>
      <c r="K242" s="45">
        <v>2165.1970090823816</v>
      </c>
      <c r="L242" s="45">
        <v>2065.8219059140706</v>
      </c>
      <c r="M242" s="45">
        <v>1025.6993403489769</v>
      </c>
    </row>
    <row r="243" spans="1:13">
      <c r="A243" s="34" t="s">
        <v>354</v>
      </c>
      <c r="B243" s="45">
        <v>53741.769600428423</v>
      </c>
      <c r="D243" s="45">
        <v>31346.420339447424</v>
      </c>
      <c r="E243" s="45">
        <v>22395.349260980991</v>
      </c>
      <c r="F243" s="45"/>
      <c r="G243" s="45">
        <v>11189.495338328756</v>
      </c>
      <c r="H243" s="45">
        <v>15710.219156967027</v>
      </c>
      <c r="I243" s="45">
        <v>19154.030896169686</v>
      </c>
      <c r="J243" s="45">
        <v>6173.3944385480299</v>
      </c>
      <c r="K243" s="45">
        <v>584.47353214308009</v>
      </c>
      <c r="L243" s="45">
        <v>535.96112026375476</v>
      </c>
      <c r="M243" s="45">
        <v>394.1951180080851</v>
      </c>
    </row>
    <row r="244" spans="1:13">
      <c r="A244" s="34" t="s">
        <v>355</v>
      </c>
      <c r="B244" s="45">
        <v>15838.174857336395</v>
      </c>
      <c r="D244" s="45">
        <v>8273.995780742498</v>
      </c>
      <c r="E244" s="45">
        <v>7564.1790765938995</v>
      </c>
      <c r="F244" s="45"/>
      <c r="G244" s="45">
        <v>0</v>
      </c>
      <c r="H244" s="45">
        <v>1616.0914256876072</v>
      </c>
      <c r="I244" s="45">
        <v>3023.4554230057456</v>
      </c>
      <c r="J244" s="45">
        <v>3914.2184061579219</v>
      </c>
      <c r="K244" s="45">
        <v>2035.7187920815716</v>
      </c>
      <c r="L244" s="45">
        <v>3195.934573573124</v>
      </c>
      <c r="M244" s="45">
        <v>2052.7562368304257</v>
      </c>
    </row>
    <row r="245" spans="1:13">
      <c r="A245" s="34" t="s">
        <v>356</v>
      </c>
      <c r="B245" s="45">
        <v>5314.2097666031723</v>
      </c>
      <c r="D245" s="45">
        <v>3785.2056257261447</v>
      </c>
      <c r="E245" s="45">
        <v>1529.004140877028</v>
      </c>
      <c r="F245" s="45"/>
      <c r="G245" s="45">
        <v>0</v>
      </c>
      <c r="H245" s="45">
        <v>635.84484732760052</v>
      </c>
      <c r="I245" s="45">
        <v>1065.985163247225</v>
      </c>
      <c r="J245" s="45">
        <v>537.59280244639206</v>
      </c>
      <c r="K245" s="45">
        <v>1550.9498477291581</v>
      </c>
      <c r="L245" s="45">
        <v>1523.8371058527971</v>
      </c>
      <c r="M245" s="45">
        <v>0</v>
      </c>
    </row>
    <row r="246" spans="1:13">
      <c r="A246" s="34" t="s">
        <v>357</v>
      </c>
      <c r="B246" s="45">
        <v>489.22613750904748</v>
      </c>
      <c r="D246" s="45">
        <v>489.22613750904748</v>
      </c>
      <c r="E246" s="45">
        <v>0</v>
      </c>
      <c r="F246" s="45"/>
      <c r="G246" s="45">
        <v>0</v>
      </c>
      <c r="H246" s="45">
        <v>0</v>
      </c>
      <c r="I246" s="45">
        <v>489.22613750904748</v>
      </c>
      <c r="J246" s="45">
        <v>0</v>
      </c>
      <c r="K246" s="45">
        <v>0</v>
      </c>
      <c r="L246" s="45">
        <v>0</v>
      </c>
      <c r="M246" s="45">
        <v>0</v>
      </c>
    </row>
    <row r="247" spans="1:13">
      <c r="A247" s="34" t="s">
        <v>358</v>
      </c>
      <c r="B247" s="45">
        <v>700.41752952637057</v>
      </c>
      <c r="D247" s="45">
        <v>360.61781302758351</v>
      </c>
      <c r="E247" s="45">
        <v>339.79971649878712</v>
      </c>
      <c r="F247" s="45"/>
      <c r="G247" s="45">
        <v>0</v>
      </c>
      <c r="H247" s="45">
        <v>0</v>
      </c>
      <c r="I247" s="45">
        <v>0</v>
      </c>
      <c r="J247" s="45">
        <v>0</v>
      </c>
      <c r="K247" s="45">
        <v>0</v>
      </c>
      <c r="L247" s="45">
        <v>0</v>
      </c>
      <c r="M247" s="45">
        <v>700.41752952637057</v>
      </c>
    </row>
    <row r="248" spans="1:13">
      <c r="A248" s="34" t="s">
        <v>359</v>
      </c>
      <c r="B248" s="45">
        <v>7953.9802733980459</v>
      </c>
      <c r="D248" s="45">
        <v>1267.6681799984981</v>
      </c>
      <c r="E248" s="45">
        <v>6686.3120933995478</v>
      </c>
      <c r="F248" s="45"/>
      <c r="G248" s="45">
        <v>0</v>
      </c>
      <c r="H248" s="45">
        <v>2024.6046512467183</v>
      </c>
      <c r="I248" s="45">
        <v>451.89927208434921</v>
      </c>
      <c r="J248" s="45">
        <v>2058.7110513197308</v>
      </c>
      <c r="K248" s="45">
        <v>1034.3801190007139</v>
      </c>
      <c r="L248" s="45">
        <v>852.64316678845375</v>
      </c>
      <c r="M248" s="45">
        <v>1531.7420129580805</v>
      </c>
    </row>
    <row r="249" spans="1:13">
      <c r="A249" s="34" t="s">
        <v>360</v>
      </c>
      <c r="B249" s="45">
        <v>137766.50854404591</v>
      </c>
      <c r="D249" s="45">
        <v>64482.770544696868</v>
      </c>
      <c r="E249" s="45">
        <v>72830.73625449519</v>
      </c>
      <c r="F249" s="45"/>
      <c r="G249" s="45">
        <v>6581.4001224093563</v>
      </c>
      <c r="H249" s="45">
        <v>10580.194110958239</v>
      </c>
      <c r="I249" s="45">
        <v>19462.225036661723</v>
      </c>
      <c r="J249" s="45">
        <v>20076.423098028437</v>
      </c>
      <c r="K249" s="45">
        <v>22777.766622623167</v>
      </c>
      <c r="L249" s="45">
        <v>30262.925558244828</v>
      </c>
      <c r="M249" s="45">
        <v>28025.573995120052</v>
      </c>
    </row>
    <row r="250" spans="1:13">
      <c r="A250" s="34" t="s">
        <v>361</v>
      </c>
      <c r="B250" s="45">
        <v>1103786.3415699343</v>
      </c>
      <c r="D250" s="45">
        <v>98697.018127561401</v>
      </c>
      <c r="E250" s="45">
        <v>1002803.8922570263</v>
      </c>
      <c r="F250" s="45"/>
      <c r="G250" s="45">
        <v>19481.114433118524</v>
      </c>
      <c r="H250" s="45">
        <v>138869.75364028497</v>
      </c>
      <c r="I250" s="45">
        <v>313972.78205312847</v>
      </c>
      <c r="J250" s="45">
        <v>226333.31048157107</v>
      </c>
      <c r="K250" s="45">
        <v>144032.35798242988</v>
      </c>
      <c r="L250" s="45">
        <v>136422.89408933205</v>
      </c>
      <c r="M250" s="45">
        <v>124674.12889007748</v>
      </c>
    </row>
    <row r="251" spans="1:13">
      <c r="A251" s="34" t="s">
        <v>362</v>
      </c>
      <c r="B251" s="45">
        <v>0</v>
      </c>
      <c r="D251" s="45">
        <v>0</v>
      </c>
      <c r="E251" s="45">
        <v>0</v>
      </c>
      <c r="F251" s="45"/>
      <c r="G251" s="45">
        <v>0</v>
      </c>
      <c r="H251" s="45">
        <v>0</v>
      </c>
      <c r="I251" s="45">
        <v>0</v>
      </c>
      <c r="J251" s="45">
        <v>0</v>
      </c>
      <c r="K251" s="45">
        <v>0</v>
      </c>
      <c r="L251" s="45">
        <v>0</v>
      </c>
      <c r="M251" s="45">
        <v>0</v>
      </c>
    </row>
    <row r="252" spans="1:13">
      <c r="A252" s="34" t="s">
        <v>363</v>
      </c>
      <c r="B252" s="45">
        <v>1007.9459456765678</v>
      </c>
      <c r="D252" s="45">
        <v>539.04925199432728</v>
      </c>
      <c r="E252" s="45">
        <v>468.89669368224054</v>
      </c>
      <c r="F252" s="45"/>
      <c r="G252" s="45">
        <v>0</v>
      </c>
      <c r="H252" s="45">
        <v>0</v>
      </c>
      <c r="I252" s="45">
        <v>0</v>
      </c>
      <c r="J252" s="45">
        <v>1007.9459456765678</v>
      </c>
      <c r="K252" s="45">
        <v>0</v>
      </c>
      <c r="L252" s="45">
        <v>0</v>
      </c>
      <c r="M252" s="45">
        <v>0</v>
      </c>
    </row>
    <row r="253" spans="1:13">
      <c r="A253" s="34" t="s">
        <v>364</v>
      </c>
      <c r="B253" s="45">
        <v>4770.7777404377339</v>
      </c>
      <c r="D253" s="45">
        <v>1409.6607941379034</v>
      </c>
      <c r="E253" s="45">
        <v>3361.1169462998296</v>
      </c>
      <c r="F253" s="45"/>
      <c r="G253" s="45">
        <v>0</v>
      </c>
      <c r="H253" s="45">
        <v>467.7907630544529</v>
      </c>
      <c r="I253" s="45">
        <v>1353.62769978656</v>
      </c>
      <c r="J253" s="45">
        <v>976.63812656000982</v>
      </c>
      <c r="K253" s="45">
        <v>1105.4646405132326</v>
      </c>
      <c r="L253" s="45">
        <v>0</v>
      </c>
      <c r="M253" s="45">
        <v>867.25651052347791</v>
      </c>
    </row>
    <row r="254" spans="1:13">
      <c r="A254" s="34" t="s">
        <v>365</v>
      </c>
      <c r="B254" s="45">
        <v>8937.0962331811224</v>
      </c>
      <c r="D254" s="45">
        <v>4783.4124687292451</v>
      </c>
      <c r="E254" s="45">
        <v>4153.6837644518764</v>
      </c>
      <c r="F254" s="45"/>
      <c r="G254" s="45">
        <v>0</v>
      </c>
      <c r="H254" s="45">
        <v>2131.601835893739</v>
      </c>
      <c r="I254" s="45">
        <v>3088.1851004265836</v>
      </c>
      <c r="J254" s="45">
        <v>2127.1652489084317</v>
      </c>
      <c r="K254" s="45">
        <v>1590.1440479523662</v>
      </c>
      <c r="L254" s="45">
        <v>0</v>
      </c>
      <c r="M254" s="45">
        <v>0</v>
      </c>
    </row>
    <row r="255" spans="1:13">
      <c r="A255" s="34" t="s">
        <v>366</v>
      </c>
      <c r="B255" s="45">
        <v>2291.8923683386097</v>
      </c>
      <c r="D255" s="45">
        <v>1256.2873562439506</v>
      </c>
      <c r="E255" s="45">
        <v>1035.6050120946588</v>
      </c>
      <c r="F255" s="45"/>
      <c r="G255" s="45">
        <v>0</v>
      </c>
      <c r="H255" s="45">
        <v>514.77258278537431</v>
      </c>
      <c r="I255" s="45">
        <v>685.2942652353521</v>
      </c>
      <c r="J255" s="45">
        <v>1091.8255203178833</v>
      </c>
      <c r="K255" s="45">
        <v>0</v>
      </c>
      <c r="L255" s="45">
        <v>0</v>
      </c>
      <c r="M255" s="45">
        <v>0</v>
      </c>
    </row>
    <row r="256" spans="1:13">
      <c r="A256" s="34" t="s">
        <v>367</v>
      </c>
      <c r="B256" s="45">
        <v>32100.452893673919</v>
      </c>
      <c r="D256" s="45">
        <v>16392.384313296785</v>
      </c>
      <c r="E256" s="45">
        <v>15708.06858037713</v>
      </c>
      <c r="F256" s="45"/>
      <c r="G256" s="45">
        <v>7041.1257189237167</v>
      </c>
      <c r="H256" s="45">
        <v>6169.0106855857257</v>
      </c>
      <c r="I256" s="45">
        <v>9092.5758864683157</v>
      </c>
      <c r="J256" s="45">
        <v>5056.1408129753036</v>
      </c>
      <c r="K256" s="45">
        <v>1891.1084831731362</v>
      </c>
      <c r="L256" s="45">
        <v>964.2485242968437</v>
      </c>
      <c r="M256" s="45">
        <v>1886.2427822508744</v>
      </c>
    </row>
    <row r="257" spans="1:13">
      <c r="A257" s="34" t="s">
        <v>368</v>
      </c>
      <c r="B257" s="45">
        <v>0</v>
      </c>
      <c r="D257" s="45">
        <v>0</v>
      </c>
      <c r="E257" s="45">
        <v>0</v>
      </c>
      <c r="F257" s="45"/>
      <c r="G257" s="45">
        <v>0</v>
      </c>
      <c r="H257" s="45">
        <v>0</v>
      </c>
      <c r="I257" s="45">
        <v>0</v>
      </c>
      <c r="J257" s="45">
        <v>0</v>
      </c>
      <c r="K257" s="45">
        <v>0</v>
      </c>
      <c r="L257" s="45">
        <v>0</v>
      </c>
      <c r="M257" s="45">
        <v>0</v>
      </c>
    </row>
    <row r="258" spans="1:13">
      <c r="A258" s="34" t="s">
        <v>369</v>
      </c>
      <c r="B258" s="45">
        <v>3189.8225192711416</v>
      </c>
      <c r="D258" s="45">
        <v>1284.5099513757593</v>
      </c>
      <c r="E258" s="45">
        <v>1905.312567895382</v>
      </c>
      <c r="F258" s="45"/>
      <c r="G258" s="45">
        <v>0</v>
      </c>
      <c r="H258" s="45">
        <v>0</v>
      </c>
      <c r="I258" s="45">
        <v>346.83624277045078</v>
      </c>
      <c r="J258" s="45">
        <v>641.67145827555669</v>
      </c>
      <c r="K258" s="45">
        <v>1003.4453232486028</v>
      </c>
      <c r="L258" s="45">
        <v>815.73562638276917</v>
      </c>
      <c r="M258" s="45">
        <v>382.13386859376192</v>
      </c>
    </row>
    <row r="259" spans="1:13">
      <c r="A259" s="34" t="s">
        <v>370</v>
      </c>
      <c r="B259" s="45">
        <v>2573.5446057156437</v>
      </c>
      <c r="D259" s="45">
        <v>1529.0655035212494</v>
      </c>
      <c r="E259" s="45">
        <v>537.85879360486456</v>
      </c>
      <c r="F259" s="45"/>
      <c r="G259" s="45">
        <v>0</v>
      </c>
      <c r="H259" s="45">
        <v>0</v>
      </c>
      <c r="I259" s="45">
        <v>506.62030858952943</v>
      </c>
      <c r="J259" s="45">
        <v>1713.8559509010579</v>
      </c>
      <c r="K259" s="45">
        <v>0</v>
      </c>
      <c r="L259" s="45">
        <v>353.06834622505613</v>
      </c>
      <c r="M259" s="45">
        <v>0</v>
      </c>
    </row>
    <row r="260" spans="1:13">
      <c r="A260" s="34" t="s">
        <v>371</v>
      </c>
      <c r="B260" s="45">
        <v>7375.8362079215776</v>
      </c>
      <c r="D260" s="45">
        <v>2913.7069785983458</v>
      </c>
      <c r="E260" s="45">
        <v>4462.1292293232309</v>
      </c>
      <c r="F260" s="45"/>
      <c r="G260" s="45">
        <v>1766.0439209372353</v>
      </c>
      <c r="H260" s="45">
        <v>1016.3551709652203</v>
      </c>
      <c r="I260" s="45">
        <v>1598.2075232900947</v>
      </c>
      <c r="J260" s="45">
        <v>2995.229592729027</v>
      </c>
      <c r="K260" s="45">
        <v>0</v>
      </c>
      <c r="L260" s="45">
        <v>0</v>
      </c>
      <c r="M260" s="45">
        <v>0</v>
      </c>
    </row>
    <row r="261" spans="1:13">
      <c r="A261" s="34" t="s">
        <v>372</v>
      </c>
      <c r="B261" s="45">
        <v>40170.423145395653</v>
      </c>
      <c r="D261" s="45">
        <v>24154.731040169376</v>
      </c>
      <c r="E261" s="45">
        <v>16015.692105226282</v>
      </c>
      <c r="F261" s="45"/>
      <c r="G261" s="45">
        <v>7144.6113153099577</v>
      </c>
      <c r="H261" s="45">
        <v>4991.1610050987929</v>
      </c>
      <c r="I261" s="45">
        <v>5677.8366970525503</v>
      </c>
      <c r="J261" s="45">
        <v>3595.8521931949695</v>
      </c>
      <c r="K261" s="45">
        <v>4935.3650545838682</v>
      </c>
      <c r="L261" s="45">
        <v>8235.3422081147201</v>
      </c>
      <c r="M261" s="45">
        <v>5590.2546720407954</v>
      </c>
    </row>
    <row r="262" spans="1:13">
      <c r="A262" s="34" t="s">
        <v>373</v>
      </c>
      <c r="B262" s="45">
        <v>115667.55232002657</v>
      </c>
      <c r="D262" s="45">
        <v>90128.724479311815</v>
      </c>
      <c r="E262" s="45">
        <v>25538.827840714788</v>
      </c>
      <c r="F262" s="45"/>
      <c r="G262" s="45">
        <v>19880.217530970884</v>
      </c>
      <c r="H262" s="45">
        <v>25598.703969278606</v>
      </c>
      <c r="I262" s="45">
        <v>41135.741648839379</v>
      </c>
      <c r="J262" s="45">
        <v>16555.910067640834</v>
      </c>
      <c r="K262" s="45">
        <v>9175.5489436016051</v>
      </c>
      <c r="L262" s="45">
        <v>2552.8592729651409</v>
      </c>
      <c r="M262" s="45">
        <v>768.57088673018666</v>
      </c>
    </row>
    <row r="263" spans="1:13">
      <c r="A263" s="34" t="s">
        <v>374</v>
      </c>
      <c r="B263" s="45">
        <v>67753.127958122612</v>
      </c>
      <c r="D263" s="45">
        <v>54602.138378253178</v>
      </c>
      <c r="E263" s="45">
        <v>13150.989579869432</v>
      </c>
      <c r="F263" s="45"/>
      <c r="G263" s="45">
        <v>10327.019329077493</v>
      </c>
      <c r="H263" s="45">
        <v>20521.533196282166</v>
      </c>
      <c r="I263" s="45">
        <v>21083.705680326897</v>
      </c>
      <c r="J263" s="45">
        <v>8057.3999397780508</v>
      </c>
      <c r="K263" s="45">
        <v>4199.3623862016793</v>
      </c>
      <c r="L263" s="45">
        <v>2746.9282980072467</v>
      </c>
      <c r="M263" s="45">
        <v>817.17912844906436</v>
      </c>
    </row>
    <row r="264" spans="1:13">
      <c r="A264" s="34" t="s">
        <v>375</v>
      </c>
      <c r="B264" s="45">
        <v>1081877.6603394558</v>
      </c>
      <c r="D264" s="45">
        <v>585223.05154894537</v>
      </c>
      <c r="E264" s="45">
        <v>494035.5102934452</v>
      </c>
      <c r="F264" s="45"/>
      <c r="G264" s="45">
        <v>82558.861998849519</v>
      </c>
      <c r="H264" s="45">
        <v>179324.9122651506</v>
      </c>
      <c r="I264" s="45">
        <v>339359.95696133637</v>
      </c>
      <c r="J264" s="45">
        <v>239995.54488331126</v>
      </c>
      <c r="K264" s="45">
        <v>144460.62117802491</v>
      </c>
      <c r="L264" s="45">
        <v>72792.596735210507</v>
      </c>
      <c r="M264" s="45">
        <v>23385.166317577467</v>
      </c>
    </row>
    <row r="265" spans="1:13">
      <c r="A265" s="34" t="s">
        <v>376</v>
      </c>
      <c r="B265" s="45">
        <v>39110.527849587575</v>
      </c>
      <c r="D265" s="45">
        <v>29100.88784705376</v>
      </c>
      <c r="E265" s="45">
        <v>10009.640002533813</v>
      </c>
      <c r="F265" s="45"/>
      <c r="G265" s="45">
        <v>1562.2744129891234</v>
      </c>
      <c r="H265" s="45">
        <v>2423.7239493936763</v>
      </c>
      <c r="I265" s="45">
        <v>3206.3405155928558</v>
      </c>
      <c r="J265" s="45">
        <v>5984.7219908222332</v>
      </c>
      <c r="K265" s="45">
        <v>5875.1825675329856</v>
      </c>
      <c r="L265" s="45">
        <v>11029.882765473314</v>
      </c>
      <c r="M265" s="45">
        <v>9028.401647783392</v>
      </c>
    </row>
    <row r="266" spans="1:13">
      <c r="A266" s="34" t="s">
        <v>377</v>
      </c>
      <c r="B266" s="45">
        <v>2764.5109399115677</v>
      </c>
      <c r="D266" s="45">
        <v>1739.9679595630846</v>
      </c>
      <c r="E266" s="45">
        <v>1024.5429803484831</v>
      </c>
      <c r="F266" s="45"/>
      <c r="G266" s="45">
        <v>0</v>
      </c>
      <c r="H266" s="45">
        <v>532.20996220221821</v>
      </c>
      <c r="I266" s="45">
        <v>1172.4272228464133</v>
      </c>
      <c r="J266" s="45">
        <v>1059.8737548629363</v>
      </c>
      <c r="K266" s="45">
        <v>0</v>
      </c>
      <c r="L266" s="45">
        <v>0</v>
      </c>
      <c r="M266" s="45">
        <v>0</v>
      </c>
    </row>
    <row r="267" spans="1:13">
      <c r="A267" s="34" t="s">
        <v>378</v>
      </c>
      <c r="B267" s="45">
        <v>2531.1879692707553</v>
      </c>
      <c r="D267" s="45">
        <v>2028.4734394987186</v>
      </c>
      <c r="E267" s="45">
        <v>502.71452977203694</v>
      </c>
      <c r="F267" s="45"/>
      <c r="G267" s="45">
        <v>1414.3117944289772</v>
      </c>
      <c r="H267" s="45">
        <v>1116.8761748417783</v>
      </c>
      <c r="I267" s="45">
        <v>0</v>
      </c>
      <c r="J267" s="45">
        <v>0</v>
      </c>
      <c r="K267" s="45">
        <v>0</v>
      </c>
      <c r="L267" s="45">
        <v>0</v>
      </c>
      <c r="M267" s="45">
        <v>0</v>
      </c>
    </row>
    <row r="268" spans="1:13">
      <c r="A268" s="34" t="s">
        <v>379</v>
      </c>
      <c r="B268" s="45">
        <v>596.90802760652321</v>
      </c>
      <c r="D268" s="45">
        <v>596.90802760652321</v>
      </c>
      <c r="E268" s="45">
        <v>0</v>
      </c>
      <c r="F268" s="45"/>
      <c r="G268" s="45">
        <v>0</v>
      </c>
      <c r="H268" s="45">
        <v>596.90802760652321</v>
      </c>
      <c r="I268" s="45">
        <v>0</v>
      </c>
      <c r="J268" s="45">
        <v>0</v>
      </c>
      <c r="K268" s="45">
        <v>0</v>
      </c>
      <c r="L268" s="45">
        <v>0</v>
      </c>
      <c r="M268" s="45">
        <v>0</v>
      </c>
    </row>
    <row r="269" spans="1:13">
      <c r="A269" s="34" t="s">
        <v>380</v>
      </c>
      <c r="B269" s="45">
        <v>22946.124623013151</v>
      </c>
      <c r="D269" s="45">
        <v>20341.398565139018</v>
      </c>
      <c r="E269" s="45">
        <v>2604.7260578741343</v>
      </c>
      <c r="F269" s="45"/>
      <c r="G269" s="45">
        <v>0</v>
      </c>
      <c r="H269" s="45">
        <v>1930.4500539711557</v>
      </c>
      <c r="I269" s="45">
        <v>1490.5880000835782</v>
      </c>
      <c r="J269" s="45">
        <v>6580.7470342533425</v>
      </c>
      <c r="K269" s="45">
        <v>4345.0375147221912</v>
      </c>
      <c r="L269" s="45">
        <v>1996.4941091939525</v>
      </c>
      <c r="M269" s="45">
        <v>6602.8079107889289</v>
      </c>
    </row>
    <row r="270" spans="1:13">
      <c r="A270" s="34" t="s">
        <v>381</v>
      </c>
      <c r="B270" s="45">
        <v>24947.562794307712</v>
      </c>
      <c r="D270" s="45">
        <v>22004.100331322079</v>
      </c>
      <c r="E270" s="45">
        <v>2943.462462985628</v>
      </c>
      <c r="F270" s="45"/>
      <c r="G270" s="45">
        <v>0</v>
      </c>
      <c r="H270" s="45">
        <v>1940.0967464658358</v>
      </c>
      <c r="I270" s="45">
        <v>3844.176151447783</v>
      </c>
      <c r="J270" s="45">
        <v>6090.7996407176661</v>
      </c>
      <c r="K270" s="45">
        <v>5202.0076624027115</v>
      </c>
      <c r="L270" s="45">
        <v>1990.3191237742824</v>
      </c>
      <c r="M270" s="45">
        <v>5880.1634694994318</v>
      </c>
    </row>
    <row r="271" spans="1:13">
      <c r="A271" s="34" t="s">
        <v>382</v>
      </c>
      <c r="B271" s="45">
        <v>18473.542247075267</v>
      </c>
      <c r="D271" s="45">
        <v>7187.1507581982141</v>
      </c>
      <c r="E271" s="45">
        <v>11286.391488877052</v>
      </c>
      <c r="F271" s="45"/>
      <c r="G271" s="45">
        <v>0</v>
      </c>
      <c r="H271" s="45">
        <v>3935.1518573702538</v>
      </c>
      <c r="I271" s="45">
        <v>5696.6973384555913</v>
      </c>
      <c r="J271" s="45">
        <v>5439.3632044779006</v>
      </c>
      <c r="K271" s="45">
        <v>1941.3722482239775</v>
      </c>
      <c r="L271" s="45">
        <v>1460.9575985475446</v>
      </c>
      <c r="M271" s="45">
        <v>0</v>
      </c>
    </row>
    <row r="272" spans="1:13">
      <c r="A272" s="34" t="s">
        <v>383</v>
      </c>
      <c r="B272" s="45">
        <v>0</v>
      </c>
      <c r="D272" s="45">
        <v>0</v>
      </c>
      <c r="E272" s="45">
        <v>0</v>
      </c>
      <c r="F272" s="45"/>
      <c r="G272" s="45">
        <v>0</v>
      </c>
      <c r="H272" s="45">
        <v>0</v>
      </c>
      <c r="I272" s="45">
        <v>0</v>
      </c>
      <c r="J272" s="45">
        <v>0</v>
      </c>
      <c r="K272" s="45">
        <v>0</v>
      </c>
      <c r="L272" s="45">
        <v>0</v>
      </c>
      <c r="M272" s="45">
        <v>0</v>
      </c>
    </row>
    <row r="273" spans="1:13">
      <c r="A273" s="34" t="s">
        <v>384</v>
      </c>
      <c r="B273" s="45">
        <v>37603.37471178038</v>
      </c>
      <c r="D273" s="45">
        <v>22165.01803760638</v>
      </c>
      <c r="E273" s="45">
        <v>15438.356674174001</v>
      </c>
      <c r="F273" s="45"/>
      <c r="G273" s="45">
        <v>3540.1245733191536</v>
      </c>
      <c r="H273" s="45">
        <v>4180.1927919510827</v>
      </c>
      <c r="I273" s="45">
        <v>5981.1932354804503</v>
      </c>
      <c r="J273" s="45">
        <v>7781.1404937402813</v>
      </c>
      <c r="K273" s="45">
        <v>6402.7002773366075</v>
      </c>
      <c r="L273" s="45">
        <v>5916.5785775079066</v>
      </c>
      <c r="M273" s="45">
        <v>3801.4447624449003</v>
      </c>
    </row>
    <row r="274" spans="1:13">
      <c r="A274" s="34" t="s">
        <v>385</v>
      </c>
      <c r="B274" s="45">
        <v>751.02573366059664</v>
      </c>
      <c r="D274" s="45">
        <v>751.02573366059664</v>
      </c>
      <c r="E274" s="45">
        <v>0</v>
      </c>
      <c r="F274" s="45"/>
      <c r="G274" s="45">
        <v>0</v>
      </c>
      <c r="H274" s="45">
        <v>0</v>
      </c>
      <c r="I274" s="45">
        <v>0</v>
      </c>
      <c r="J274" s="45">
        <v>751.02573366059664</v>
      </c>
      <c r="K274" s="45">
        <v>0</v>
      </c>
      <c r="L274" s="45">
        <v>0</v>
      </c>
      <c r="M274" s="45">
        <v>0</v>
      </c>
    </row>
    <row r="275" spans="1:13">
      <c r="A275" s="34" t="s">
        <v>386</v>
      </c>
      <c r="B275" s="45">
        <v>32298.247033462674</v>
      </c>
      <c r="D275" s="45">
        <v>11382.60579627781</v>
      </c>
      <c r="E275" s="45">
        <v>20915.641237184867</v>
      </c>
      <c r="F275" s="45"/>
      <c r="G275" s="45">
        <v>3503.7548563294349</v>
      </c>
      <c r="H275" s="45">
        <v>6624.1770640815475</v>
      </c>
      <c r="I275" s="45">
        <v>6105.2499343195223</v>
      </c>
      <c r="J275" s="45">
        <v>7372.4911386690701</v>
      </c>
      <c r="K275" s="45">
        <v>6198.6674605221597</v>
      </c>
      <c r="L275" s="45">
        <v>2493.9065795409451</v>
      </c>
      <c r="M275" s="45">
        <v>0</v>
      </c>
    </row>
    <row r="276" spans="1:13">
      <c r="A276" s="34" t="s">
        <v>387</v>
      </c>
      <c r="B276" s="45">
        <v>33331.90368143424</v>
      </c>
      <c r="D276" s="45">
        <v>19809.616631430556</v>
      </c>
      <c r="E276" s="45">
        <v>12511.616111730238</v>
      </c>
      <c r="F276" s="45"/>
      <c r="G276" s="45">
        <v>2169.7802051381495</v>
      </c>
      <c r="H276" s="45">
        <v>9750.005356876336</v>
      </c>
      <c r="I276" s="45">
        <v>15052.296353998157</v>
      </c>
      <c r="J276" s="45">
        <v>3708.8217704974782</v>
      </c>
      <c r="K276" s="45">
        <v>852.61561618894939</v>
      </c>
      <c r="L276" s="45">
        <v>1798.3843787351632</v>
      </c>
      <c r="M276" s="45">
        <v>0</v>
      </c>
    </row>
    <row r="277" spans="1:13">
      <c r="A277" s="34" t="s">
        <v>388</v>
      </c>
      <c r="B277" s="45">
        <v>38317.80410534799</v>
      </c>
      <c r="D277" s="45">
        <v>31201.301830215896</v>
      </c>
      <c r="E277" s="45">
        <v>7116.5022751320948</v>
      </c>
      <c r="F277" s="45"/>
      <c r="G277" s="45">
        <v>4829.6684262544059</v>
      </c>
      <c r="H277" s="45">
        <v>3287.421261702661</v>
      </c>
      <c r="I277" s="45">
        <v>8170.9478111718545</v>
      </c>
      <c r="J277" s="45">
        <v>5570.7230623739706</v>
      </c>
      <c r="K277" s="45">
        <v>7119.1398795599343</v>
      </c>
      <c r="L277" s="45">
        <v>5250.52374627264</v>
      </c>
      <c r="M277" s="45">
        <v>4089.3799180125288</v>
      </c>
    </row>
    <row r="278" spans="1:13">
      <c r="A278" s="34" t="s">
        <v>389</v>
      </c>
      <c r="B278" s="45">
        <v>38848.87170137366</v>
      </c>
      <c r="D278" s="45">
        <v>16578.925193227984</v>
      </c>
      <c r="E278" s="45">
        <v>22269.946508145673</v>
      </c>
      <c r="F278" s="45"/>
      <c r="G278" s="45">
        <v>1817.334215440593</v>
      </c>
      <c r="H278" s="45">
        <v>5800.7284964051059</v>
      </c>
      <c r="I278" s="45">
        <v>12967.93339088125</v>
      </c>
      <c r="J278" s="45">
        <v>8116.2147248176043</v>
      </c>
      <c r="K278" s="45">
        <v>3773.5400662560951</v>
      </c>
      <c r="L278" s="45">
        <v>2738.1763271002656</v>
      </c>
      <c r="M278" s="45">
        <v>3634.9444804727441</v>
      </c>
    </row>
    <row r="279" spans="1:13">
      <c r="A279" s="34" t="s">
        <v>390</v>
      </c>
      <c r="B279" s="45">
        <v>618996.30232950696</v>
      </c>
      <c r="D279" s="45">
        <v>281251.34243651229</v>
      </c>
      <c r="E279" s="45">
        <v>335057.9311845082</v>
      </c>
      <c r="F279" s="45"/>
      <c r="G279" s="45">
        <v>65183.074698258199</v>
      </c>
      <c r="H279" s="45">
        <v>89032.564327708867</v>
      </c>
      <c r="I279" s="45">
        <v>152710.68307754226</v>
      </c>
      <c r="J279" s="45">
        <v>126319.1857532678</v>
      </c>
      <c r="K279" s="45">
        <v>74486.347841935538</v>
      </c>
      <c r="L279" s="45">
        <v>54643.184330851014</v>
      </c>
      <c r="M279" s="45">
        <v>56621.262299943206</v>
      </c>
    </row>
    <row r="280" spans="1:13">
      <c r="A280" s="34" t="s">
        <v>391</v>
      </c>
      <c r="B280" s="45">
        <v>2051.9745851099688</v>
      </c>
      <c r="D280" s="45">
        <v>504.76401205821008</v>
      </c>
      <c r="E280" s="45">
        <v>1547.2105730517587</v>
      </c>
      <c r="F280" s="45"/>
      <c r="G280" s="45">
        <v>0</v>
      </c>
      <c r="H280" s="45">
        <v>1133.3532438671214</v>
      </c>
      <c r="I280" s="45">
        <v>918.62134124284739</v>
      </c>
      <c r="J280" s="45">
        <v>0</v>
      </c>
      <c r="K280" s="45">
        <v>0</v>
      </c>
      <c r="L280" s="45">
        <v>0</v>
      </c>
      <c r="M280" s="45">
        <v>0</v>
      </c>
    </row>
    <row r="281" spans="1:13">
      <c r="A281" s="34" t="s">
        <v>392</v>
      </c>
      <c r="B281" s="45">
        <v>9573.7612185180769</v>
      </c>
      <c r="D281" s="45">
        <v>5622.5702197892151</v>
      </c>
      <c r="E281" s="45">
        <v>3951.1909987288614</v>
      </c>
      <c r="F281" s="45"/>
      <c r="G281" s="45">
        <v>0</v>
      </c>
      <c r="H281" s="45">
        <v>2543.5312119138416</v>
      </c>
      <c r="I281" s="45">
        <v>3319.1308128716537</v>
      </c>
      <c r="J281" s="45">
        <v>2422.6808715923912</v>
      </c>
      <c r="K281" s="45">
        <v>1288.4183221401895</v>
      </c>
      <c r="L281" s="45">
        <v>0</v>
      </c>
      <c r="M281" s="45">
        <v>0</v>
      </c>
    </row>
    <row r="282" spans="1:13">
      <c r="A282" s="34" t="s">
        <v>393</v>
      </c>
      <c r="B282" s="45">
        <v>128311.44285386108</v>
      </c>
      <c r="D282" s="45">
        <v>90642.738925716971</v>
      </c>
      <c r="E282" s="45">
        <v>37668.703928144067</v>
      </c>
      <c r="F282" s="45"/>
      <c r="G282" s="45">
        <v>14054.426085151821</v>
      </c>
      <c r="H282" s="45">
        <v>26821.797274328481</v>
      </c>
      <c r="I282" s="45">
        <v>22906.389618251884</v>
      </c>
      <c r="J282" s="45">
        <v>19601.347898850403</v>
      </c>
      <c r="K282" s="45">
        <v>11140.305275905897</v>
      </c>
      <c r="L282" s="45">
        <v>9894.715537472257</v>
      </c>
      <c r="M282" s="45">
        <v>23892.461163900298</v>
      </c>
    </row>
    <row r="283" spans="1:13">
      <c r="A283" s="34" t="s">
        <v>394</v>
      </c>
      <c r="B283" s="45">
        <v>22277.940150717277</v>
      </c>
      <c r="D283" s="45">
        <v>12676.734994797527</v>
      </c>
      <c r="E283" s="45">
        <v>9601.2051559197553</v>
      </c>
      <c r="F283" s="45"/>
      <c r="G283" s="45">
        <v>5609.0265662749125</v>
      </c>
      <c r="H283" s="45">
        <v>5075.6924340823962</v>
      </c>
      <c r="I283" s="45">
        <v>1891.1465490524856</v>
      </c>
      <c r="J283" s="45">
        <v>3976.5355040984768</v>
      </c>
      <c r="K283" s="45">
        <v>3216.9515118200638</v>
      </c>
      <c r="L283" s="45">
        <v>2150.0865490996166</v>
      </c>
      <c r="M283" s="45">
        <v>358.50103628933255</v>
      </c>
    </row>
    <row r="284" spans="1:13">
      <c r="A284" s="34" t="s">
        <v>395</v>
      </c>
      <c r="B284" s="45">
        <v>3564.3027624461652</v>
      </c>
      <c r="D284" s="45">
        <v>3056.0660346686609</v>
      </c>
      <c r="E284" s="45">
        <v>508.23672777750426</v>
      </c>
      <c r="F284" s="45"/>
      <c r="G284" s="45">
        <v>0</v>
      </c>
      <c r="H284" s="45">
        <v>1664.0747728696097</v>
      </c>
      <c r="I284" s="45">
        <v>1583.0390761360507</v>
      </c>
      <c r="J284" s="45">
        <v>0</v>
      </c>
      <c r="K284" s="45">
        <v>317.18891344050451</v>
      </c>
      <c r="L284" s="45">
        <v>0</v>
      </c>
      <c r="M284" s="45">
        <v>0</v>
      </c>
    </row>
    <row r="285" spans="1:13">
      <c r="A285" s="34" t="s">
        <v>396</v>
      </c>
      <c r="B285" s="45">
        <v>466481.68569217046</v>
      </c>
      <c r="D285" s="45">
        <v>262952.34425007645</v>
      </c>
      <c r="E285" s="45">
        <v>202518.11813881545</v>
      </c>
      <c r="F285" s="45"/>
      <c r="G285" s="45">
        <v>60364.941855923345</v>
      </c>
      <c r="H285" s="45">
        <v>65638.81307887139</v>
      </c>
      <c r="I285" s="45">
        <v>86763.004276921522</v>
      </c>
      <c r="J285" s="45">
        <v>77292.334571854895</v>
      </c>
      <c r="K285" s="45">
        <v>69538.569125221868</v>
      </c>
      <c r="L285" s="45">
        <v>45387.516596083769</v>
      </c>
      <c r="M285" s="45">
        <v>61496.506187292944</v>
      </c>
    </row>
    <row r="286" spans="1:13">
      <c r="A286" s="34" t="s">
        <v>397</v>
      </c>
      <c r="B286" s="45">
        <v>45189.015013955272</v>
      </c>
      <c r="D286" s="45">
        <v>27699.840562052072</v>
      </c>
      <c r="E286" s="45">
        <v>17489.174451903189</v>
      </c>
      <c r="F286" s="45"/>
      <c r="G286" s="45">
        <v>3637.4067533803245</v>
      </c>
      <c r="H286" s="45">
        <v>3940.5084952585112</v>
      </c>
      <c r="I286" s="45">
        <v>9470.7533852054839</v>
      </c>
      <c r="J286" s="45">
        <v>8459.5352679932148</v>
      </c>
      <c r="K286" s="45">
        <v>5110.0639462724848</v>
      </c>
      <c r="L286" s="45">
        <v>5154.881675409516</v>
      </c>
      <c r="M286" s="45">
        <v>9415.8654904357209</v>
      </c>
    </row>
    <row r="287" spans="1:13">
      <c r="A287" s="34" t="s">
        <v>398</v>
      </c>
      <c r="B287" s="45">
        <v>0</v>
      </c>
      <c r="D287" s="45">
        <v>0</v>
      </c>
      <c r="E287" s="45">
        <v>0</v>
      </c>
      <c r="F287" s="45"/>
      <c r="G287" s="45">
        <v>0</v>
      </c>
      <c r="H287" s="45">
        <v>0</v>
      </c>
      <c r="I287" s="45">
        <v>0</v>
      </c>
      <c r="J287" s="45">
        <v>0</v>
      </c>
      <c r="K287" s="45">
        <v>0</v>
      </c>
      <c r="L287" s="45">
        <v>0</v>
      </c>
      <c r="M287" s="45">
        <v>0</v>
      </c>
    </row>
    <row r="288" spans="1:13">
      <c r="A288" s="34" t="s">
        <v>399</v>
      </c>
      <c r="B288" s="45">
        <v>124838.75020768408</v>
      </c>
      <c r="D288" s="45">
        <v>76049.363507163725</v>
      </c>
      <c r="E288" s="45">
        <v>48789.386700520314</v>
      </c>
      <c r="F288" s="45"/>
      <c r="G288" s="45">
        <v>15601.234236985956</v>
      </c>
      <c r="H288" s="45">
        <v>29289.577147842356</v>
      </c>
      <c r="I288" s="45">
        <v>45112.81743308466</v>
      </c>
      <c r="J288" s="45">
        <v>17682.698129115124</v>
      </c>
      <c r="K288" s="45">
        <v>12178.275874215316</v>
      </c>
      <c r="L288" s="45">
        <v>4584.5422697168979</v>
      </c>
      <c r="M288" s="45">
        <v>389.60511672375071</v>
      </c>
    </row>
    <row r="289" spans="1:13">
      <c r="A289" s="34" t="s">
        <v>400</v>
      </c>
      <c r="B289" s="45">
        <v>21679.866945388145</v>
      </c>
      <c r="D289" s="45">
        <v>14614.572864408417</v>
      </c>
      <c r="E289" s="45">
        <v>7065.2940809797174</v>
      </c>
      <c r="F289" s="45"/>
      <c r="G289" s="45">
        <v>0</v>
      </c>
      <c r="H289" s="45">
        <v>2148.119358665474</v>
      </c>
      <c r="I289" s="45">
        <v>6054.7998139888477</v>
      </c>
      <c r="J289" s="45">
        <v>5414.6983139263539</v>
      </c>
      <c r="K289" s="45">
        <v>5541.965488505356</v>
      </c>
      <c r="L289" s="45">
        <v>2520.2839703021054</v>
      </c>
      <c r="M289" s="45">
        <v>0</v>
      </c>
    </row>
    <row r="290" spans="1:13">
      <c r="A290" s="34" t="s">
        <v>401</v>
      </c>
      <c r="B290" s="45">
        <v>79261.896688382418</v>
      </c>
      <c r="D290" s="45">
        <v>37970.099627298878</v>
      </c>
      <c r="E290" s="45">
        <v>40706.071496231787</v>
      </c>
      <c r="F290" s="45"/>
      <c r="G290" s="45">
        <v>1817.334215440593</v>
      </c>
      <c r="H290" s="45">
        <v>7972.6615848185629</v>
      </c>
      <c r="I290" s="45">
        <v>19884.991485981085</v>
      </c>
      <c r="J290" s="45">
        <v>14289.653361708832</v>
      </c>
      <c r="K290" s="45">
        <v>14499.497783001218</v>
      </c>
      <c r="L290" s="45">
        <v>11854.464413093843</v>
      </c>
      <c r="M290" s="45">
        <v>8943.2938443382445</v>
      </c>
    </row>
    <row r="291" spans="1:13">
      <c r="A291" s="34" t="s">
        <v>402</v>
      </c>
      <c r="B291" s="45">
        <v>35329.464862168803</v>
      </c>
      <c r="D291" s="45">
        <v>22958.251383598523</v>
      </c>
      <c r="E291" s="45">
        <v>11860.091260462972</v>
      </c>
      <c r="F291" s="45"/>
      <c r="G291" s="45">
        <v>9067.5250830275909</v>
      </c>
      <c r="H291" s="45">
        <v>8558.096915039423</v>
      </c>
      <c r="I291" s="45">
        <v>6514.5909517064683</v>
      </c>
      <c r="J291" s="45">
        <v>6562.7947136922603</v>
      </c>
      <c r="K291" s="45">
        <v>3285.0908762867875</v>
      </c>
      <c r="L291" s="45">
        <v>492.89288519827551</v>
      </c>
      <c r="M291" s="45">
        <v>848.47343721799734</v>
      </c>
    </row>
    <row r="292" spans="1:13">
      <c r="A292" s="34" t="s">
        <v>403</v>
      </c>
      <c r="B292" s="45">
        <v>194411.25586054355</v>
      </c>
      <c r="D292" s="45">
        <v>109195.81762749069</v>
      </c>
      <c r="E292" s="45">
        <v>84244.253396149652</v>
      </c>
      <c r="F292" s="45"/>
      <c r="G292" s="45">
        <v>69643.640414179958</v>
      </c>
      <c r="H292" s="45">
        <v>53625.772892836037</v>
      </c>
      <c r="I292" s="45">
        <v>42010.67087825793</v>
      </c>
      <c r="J292" s="45">
        <v>16945.681866878775</v>
      </c>
      <c r="K292" s="45">
        <v>6708.0390232285026</v>
      </c>
      <c r="L292" s="45">
        <v>3293.9872150388769</v>
      </c>
      <c r="M292" s="45">
        <v>2183.4635701234511</v>
      </c>
    </row>
    <row r="293" spans="1:13">
      <c r="A293" s="34" t="s">
        <v>404</v>
      </c>
      <c r="B293" s="45">
        <v>963222.15587576642</v>
      </c>
      <c r="D293" s="45">
        <v>350561.54247305973</v>
      </c>
      <c r="E293" s="45">
        <v>609446.54242371034</v>
      </c>
      <c r="F293" s="45"/>
      <c r="G293" s="45">
        <v>43489.888189123434</v>
      </c>
      <c r="H293" s="45">
        <v>90584.026296795942</v>
      </c>
      <c r="I293" s="45">
        <v>175953.66755905197</v>
      </c>
      <c r="J293" s="45">
        <v>154898.44069438404</v>
      </c>
      <c r="K293" s="45">
        <v>153471.56619199557</v>
      </c>
      <c r="L293" s="45">
        <v>149704.81980288101</v>
      </c>
      <c r="M293" s="45">
        <v>195119.74714153723</v>
      </c>
    </row>
    <row r="294" spans="1:13">
      <c r="A294" s="34" t="s">
        <v>405</v>
      </c>
      <c r="B294" s="45">
        <v>18846.880390705024</v>
      </c>
      <c r="D294" s="45">
        <v>14146.238134764488</v>
      </c>
      <c r="E294" s="45">
        <v>4700.6422559405328</v>
      </c>
      <c r="F294" s="45"/>
      <c r="G294" s="45">
        <v>1986.5027484424061</v>
      </c>
      <c r="H294" s="45">
        <v>4536.735624833761</v>
      </c>
      <c r="I294" s="45">
        <v>4654.7497755938412</v>
      </c>
      <c r="J294" s="45">
        <v>2314.0799443887913</v>
      </c>
      <c r="K294" s="45">
        <v>2759.7095787766775</v>
      </c>
      <c r="L294" s="45">
        <v>1408.2364417564525</v>
      </c>
      <c r="M294" s="45">
        <v>1186.8662769130906</v>
      </c>
    </row>
    <row r="295" spans="1:13">
      <c r="A295" s="34" t="s">
        <v>406</v>
      </c>
      <c r="B295" s="45">
        <v>9198.5042286317075</v>
      </c>
      <c r="D295" s="45">
        <v>6585.8683082517664</v>
      </c>
      <c r="E295" s="45">
        <v>2612.6359203799402</v>
      </c>
      <c r="F295" s="45"/>
      <c r="G295" s="45">
        <v>0</v>
      </c>
      <c r="H295" s="45">
        <v>1520.3179607938671</v>
      </c>
      <c r="I295" s="45">
        <v>2004.9417122548143</v>
      </c>
      <c r="J295" s="45">
        <v>2149.5944345887106</v>
      </c>
      <c r="K295" s="45">
        <v>1737.7421848389722</v>
      </c>
      <c r="L295" s="45">
        <v>1008.9849004946705</v>
      </c>
      <c r="M295" s="45">
        <v>776.92303566067335</v>
      </c>
    </row>
    <row r="296" spans="1:13">
      <c r="A296" s="34" t="s">
        <v>407</v>
      </c>
      <c r="B296" s="45">
        <v>72513.028204188275</v>
      </c>
      <c r="D296" s="45">
        <v>33148.010815787064</v>
      </c>
      <c r="E296" s="45">
        <v>38241.844492706208</v>
      </c>
      <c r="F296" s="45"/>
      <c r="G296" s="45">
        <v>0</v>
      </c>
      <c r="H296" s="45">
        <v>12412.668132059474</v>
      </c>
      <c r="I296" s="45">
        <v>27563.764002901578</v>
      </c>
      <c r="J296" s="45">
        <v>18975.110529529218</v>
      </c>
      <c r="K296" s="45">
        <v>4718.2533254694117</v>
      </c>
      <c r="L296" s="45">
        <v>5245.4854484995394</v>
      </c>
      <c r="M296" s="45">
        <v>3597.7467657290972</v>
      </c>
    </row>
    <row r="297" spans="1:13">
      <c r="A297" s="34" t="s">
        <v>408</v>
      </c>
      <c r="B297" s="45">
        <v>1499.1565360738609</v>
      </c>
      <c r="D297" s="45">
        <v>539.71511158593341</v>
      </c>
      <c r="E297" s="45">
        <v>959.44142448792741</v>
      </c>
      <c r="F297" s="45"/>
      <c r="G297" s="45">
        <v>0</v>
      </c>
      <c r="H297" s="45">
        <v>541.27165726563749</v>
      </c>
      <c r="I297" s="45">
        <v>539.71511158593341</v>
      </c>
      <c r="J297" s="45">
        <v>0</v>
      </c>
      <c r="K297" s="45">
        <v>0</v>
      </c>
      <c r="L297" s="45">
        <v>418.16976722228992</v>
      </c>
      <c r="M297" s="45">
        <v>0</v>
      </c>
    </row>
    <row r="298" spans="1:13">
      <c r="A298" s="34" t="s">
        <v>409</v>
      </c>
      <c r="B298" s="45">
        <v>487.9161623842441</v>
      </c>
      <c r="D298" s="45">
        <v>487.9161623842441</v>
      </c>
      <c r="E298" s="45">
        <v>0</v>
      </c>
      <c r="F298" s="45"/>
      <c r="G298" s="45">
        <v>0</v>
      </c>
      <c r="H298" s="45">
        <v>487.9161623842441</v>
      </c>
      <c r="I298" s="45">
        <v>0</v>
      </c>
      <c r="J298" s="45">
        <v>0</v>
      </c>
      <c r="K298" s="45">
        <v>0</v>
      </c>
      <c r="L298" s="45">
        <v>0</v>
      </c>
      <c r="M298" s="45">
        <v>0</v>
      </c>
    </row>
    <row r="299" spans="1:13">
      <c r="A299" s="34" t="s">
        <v>410</v>
      </c>
      <c r="B299" s="45">
        <v>6842.8087800945996</v>
      </c>
      <c r="D299" s="45">
        <v>5408.2524537142144</v>
      </c>
      <c r="E299" s="45">
        <v>1434.5563263803854</v>
      </c>
      <c r="F299" s="45"/>
      <c r="G299" s="45">
        <v>0</v>
      </c>
      <c r="H299" s="45">
        <v>1684.6556508396343</v>
      </c>
      <c r="I299" s="45">
        <v>3347.5013264640779</v>
      </c>
      <c r="J299" s="45">
        <v>1037.1682919710872</v>
      </c>
      <c r="K299" s="45">
        <v>773.48351081980081</v>
      </c>
      <c r="L299" s="45">
        <v>0</v>
      </c>
      <c r="M299" s="45">
        <v>0</v>
      </c>
    </row>
    <row r="300" spans="1:13">
      <c r="A300" s="34" t="s">
        <v>411</v>
      </c>
      <c r="B300" s="45">
        <v>632263.66344308434</v>
      </c>
      <c r="D300" s="45">
        <v>81350.636943193094</v>
      </c>
      <c r="E300" s="45">
        <v>550464.09529170359</v>
      </c>
      <c r="F300" s="45"/>
      <c r="G300" s="45">
        <v>12116.445751783309</v>
      </c>
      <c r="H300" s="45">
        <v>33795.853104591071</v>
      </c>
      <c r="I300" s="45">
        <v>145821.59438763099</v>
      </c>
      <c r="J300" s="45">
        <v>136245.01055638329</v>
      </c>
      <c r="K300" s="45">
        <v>108821.46472165678</v>
      </c>
      <c r="L300" s="45">
        <v>95456.670903969556</v>
      </c>
      <c r="M300" s="45">
        <v>100006.624017069</v>
      </c>
    </row>
    <row r="301" spans="1:13">
      <c r="A301" s="118"/>
      <c r="B301" s="170"/>
      <c r="C301" s="119"/>
      <c r="D301" s="170"/>
      <c r="E301" s="170"/>
      <c r="F301" s="170"/>
      <c r="G301" s="170"/>
      <c r="H301" s="170"/>
      <c r="I301" s="170"/>
      <c r="J301" s="170"/>
      <c r="K301" s="170"/>
      <c r="L301" s="170"/>
      <c r="M301" s="170"/>
    </row>
    <row r="302" spans="1:13">
      <c r="A302" s="24" t="s">
        <v>117</v>
      </c>
      <c r="B302" s="45"/>
      <c r="D302" s="45"/>
      <c r="E302" s="45"/>
      <c r="F302" s="45"/>
      <c r="G302" s="45"/>
      <c r="H302" s="45"/>
      <c r="I302" s="45"/>
      <c r="J302" s="45"/>
      <c r="K302" s="45"/>
      <c r="L302" s="45"/>
      <c r="M302" s="45"/>
    </row>
    <row r="303" spans="1:13">
      <c r="A303" s="16" t="s">
        <v>121</v>
      </c>
      <c r="B303" s="45"/>
      <c r="D303" s="45"/>
      <c r="E303" s="45"/>
      <c r="F303" s="45"/>
      <c r="G303" s="45"/>
      <c r="H303" s="45"/>
      <c r="I303" s="45"/>
      <c r="J303" s="45"/>
      <c r="K303" s="45"/>
      <c r="L303" s="45"/>
      <c r="M303" s="45"/>
    </row>
    <row r="304" spans="1:13">
      <c r="A304" s="16" t="s">
        <v>122</v>
      </c>
      <c r="G304" s="2"/>
    </row>
    <row r="305" spans="1:7">
      <c r="A305" s="24" t="s">
        <v>120</v>
      </c>
    </row>
    <row r="317" spans="1:7">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B159&lt;'38'!$C$104</xm:f>
            <x14:dxf>
              <font>
                <color rgb="FFFF0000"/>
              </font>
              <numFmt numFmtId="172" formatCode="\*\*0.0%"/>
            </x14:dxf>
          </x14:cfRule>
          <x14:cfRule type="expression" priority="6" id="{13BD7B6E-8586-471F-B860-D92892121B20}">
            <xm:f>B159&lt;'38'!$C$103</xm:f>
            <x14:dxf>
              <font>
                <color rgb="FF00B050"/>
              </font>
              <numFmt numFmtId="171" formatCode="\*0.0%"/>
            </x14:dxf>
          </x14:cfRule>
          <xm:sqref>B16:M157</xm:sqref>
        </x14:conditionalFormatting>
        <x14:conditionalFormatting xmlns:xm="http://schemas.microsoft.com/office/excel/2006/main">
          <x14:cfRule type="expression" priority="1" id="{1B74E5F0-8EDD-4EBE-8C17-A1C68CFFA7CA}">
            <xm:f>B159&lt;'38'!$C$104</xm:f>
            <x14:dxf>
              <font>
                <color rgb="FFFF0000"/>
              </font>
              <numFmt numFmtId="174" formatCode="\*\*#,###,###,##0"/>
            </x14:dxf>
          </x14:cfRule>
          <x14:cfRule type="expression" priority="2" id="{206D6C66-1C2C-4EEB-B8E8-DF77C6BC4FA6}">
            <xm:f>B159&lt;'38'!$C$103</xm:f>
            <x14:dxf>
              <font>
                <color rgb="FF00B050"/>
              </font>
              <numFmt numFmtId="173" formatCode="\*#,###,###,##0"/>
            </x14:dxf>
          </x14:cfRule>
          <xm:sqref>B159:M300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10">
      <c r="A1" s="29"/>
      <c r="B1" s="29"/>
      <c r="C1" s="29"/>
      <c r="D1" s="29"/>
      <c r="E1" s="29"/>
      <c r="F1" s="29"/>
      <c r="G1" s="29"/>
      <c r="H1" s="29"/>
    </row>
    <row r="2" spans="1:10">
      <c r="A2" s="29"/>
      <c r="B2" s="29"/>
      <c r="C2" s="29"/>
      <c r="D2" s="29"/>
      <c r="E2" s="29"/>
      <c r="F2" s="29"/>
      <c r="G2" s="29"/>
      <c r="H2" s="29"/>
    </row>
    <row r="3" spans="1:10">
      <c r="A3" s="29"/>
      <c r="B3" s="29"/>
      <c r="C3" s="29"/>
      <c r="D3" s="29"/>
      <c r="E3" s="29"/>
      <c r="F3" s="29"/>
      <c r="G3" s="29"/>
      <c r="H3" s="29"/>
    </row>
    <row r="4" spans="1:10">
      <c r="A4" s="29"/>
      <c r="B4" s="29"/>
      <c r="C4" s="29"/>
      <c r="D4" s="29"/>
      <c r="E4" s="29"/>
      <c r="F4" s="29"/>
      <c r="G4" s="29"/>
      <c r="H4" s="29"/>
    </row>
    <row r="5" spans="1:10">
      <c r="A5" s="29"/>
      <c r="B5" s="29"/>
      <c r="C5" s="29"/>
      <c r="D5" s="29"/>
      <c r="E5" s="29"/>
      <c r="F5" s="29"/>
      <c r="G5" s="29"/>
      <c r="H5" s="29"/>
    </row>
    <row r="6" spans="1:10">
      <c r="A6" s="29"/>
      <c r="B6" s="29"/>
      <c r="C6" s="29"/>
      <c r="D6" s="29"/>
      <c r="E6" s="29"/>
      <c r="F6" s="29"/>
      <c r="G6" s="29"/>
      <c r="H6" s="29"/>
    </row>
    <row r="7" spans="1:10">
      <c r="A7" s="29"/>
      <c r="B7" s="29"/>
      <c r="C7" s="29"/>
      <c r="D7" s="29"/>
      <c r="E7" s="29"/>
      <c r="F7" s="29"/>
      <c r="G7" s="29"/>
      <c r="H7" s="29"/>
    </row>
    <row r="8" spans="1:10">
      <c r="A8" s="30" t="s">
        <v>0</v>
      </c>
      <c r="B8" s="29"/>
      <c r="C8" s="29"/>
      <c r="D8" s="29"/>
      <c r="E8" s="29"/>
      <c r="F8" s="29"/>
      <c r="G8" s="29"/>
      <c r="H8" s="29"/>
    </row>
    <row r="9" spans="1:10">
      <c r="A9" s="29" t="s">
        <v>1</v>
      </c>
      <c r="B9" s="90" t="s">
        <v>2</v>
      </c>
      <c r="C9" s="29"/>
      <c r="D9" s="29"/>
      <c r="E9" s="29"/>
      <c r="F9" s="29"/>
      <c r="G9" s="29"/>
      <c r="H9" s="29"/>
    </row>
    <row r="10" spans="1:10">
      <c r="A10" s="29" t="s">
        <v>49</v>
      </c>
      <c r="B10" s="31">
        <v>20</v>
      </c>
      <c r="C10" s="29"/>
      <c r="D10" s="29"/>
      <c r="E10" s="29"/>
      <c r="F10" s="29"/>
      <c r="G10" s="29"/>
      <c r="H10" s="29"/>
    </row>
    <row r="11" spans="1:10">
      <c r="A11" s="29" t="s">
        <v>3</v>
      </c>
      <c r="B11" s="30" t="s">
        <v>28</v>
      </c>
      <c r="C11" s="29"/>
      <c r="D11" s="29"/>
      <c r="E11" s="29"/>
      <c r="F11" s="107" t="s">
        <v>146</v>
      </c>
      <c r="G11" s="29"/>
      <c r="H11" s="29"/>
    </row>
    <row r="12" spans="1:10">
      <c r="A12" s="116" t="s">
        <v>50</v>
      </c>
      <c r="B12" s="117" t="s">
        <v>51</v>
      </c>
      <c r="C12" s="116"/>
      <c r="D12" s="116"/>
      <c r="E12" s="116"/>
      <c r="F12" s="116"/>
      <c r="G12" s="116"/>
      <c r="H12" s="116"/>
    </row>
    <row r="13" spans="1:10" ht="24.95" customHeight="1">
      <c r="A13" s="97"/>
      <c r="B13" s="33"/>
      <c r="C13" s="182" t="s">
        <v>162</v>
      </c>
      <c r="D13" s="182"/>
      <c r="E13" s="182"/>
      <c r="F13" s="182"/>
      <c r="G13" s="182"/>
      <c r="H13" s="182"/>
    </row>
    <row r="14" spans="1:10" ht="45">
      <c r="A14" s="38"/>
      <c r="B14" s="64" t="s">
        <v>413</v>
      </c>
      <c r="C14" s="64" t="s">
        <v>152</v>
      </c>
      <c r="D14" s="64" t="s">
        <v>414</v>
      </c>
      <c r="E14" s="64" t="s">
        <v>415</v>
      </c>
      <c r="F14" s="64" t="s">
        <v>416</v>
      </c>
      <c r="G14" s="64" t="s">
        <v>417</v>
      </c>
      <c r="H14" s="64" t="s">
        <v>418</v>
      </c>
      <c r="I14" s="106" t="s">
        <v>146</v>
      </c>
    </row>
    <row r="15" spans="1:10">
      <c r="A15" s="67"/>
      <c r="B15" s="187" t="s">
        <v>144</v>
      </c>
      <c r="C15" s="187"/>
      <c r="D15" s="187"/>
      <c r="E15" s="187"/>
      <c r="F15" s="187"/>
      <c r="G15" s="187"/>
      <c r="H15" s="187"/>
    </row>
    <row r="16" spans="1:10">
      <c r="A16" s="34" t="s">
        <v>270</v>
      </c>
      <c r="B16" s="4">
        <v>9.6454223084596364E-4</v>
      </c>
      <c r="C16" s="10">
        <v>1.6186240959628425E-4</v>
      </c>
      <c r="D16" s="4">
        <v>1.8637982297065118E-4</v>
      </c>
      <c r="E16" s="4">
        <v>1.2012032209045501E-4</v>
      </c>
      <c r="F16" s="4">
        <v>1.7122758925127121E-4</v>
      </c>
      <c r="G16" s="4">
        <v>1.3963741789406171E-4</v>
      </c>
      <c r="H16" s="4">
        <v>9.7812514048085529E-5</v>
      </c>
      <c r="I16" s="4"/>
      <c r="J16" s="4"/>
    </row>
    <row r="17" spans="1:10">
      <c r="A17" s="34" t="s">
        <v>271</v>
      </c>
      <c r="B17" s="4">
        <v>2.2348515671421249E-3</v>
      </c>
      <c r="C17" s="10">
        <v>5.8228263899425101E-4</v>
      </c>
      <c r="D17" s="4">
        <v>3.972455991180172E-4</v>
      </c>
      <c r="E17" s="4">
        <v>4.5674333208465661E-4</v>
      </c>
      <c r="F17" s="4">
        <v>8.9500675450091514E-4</v>
      </c>
      <c r="G17" s="4">
        <v>4.6544756798659853E-4</v>
      </c>
      <c r="H17" s="4">
        <v>1.9694168448616698E-4</v>
      </c>
      <c r="I17" s="4"/>
      <c r="J17" s="4"/>
    </row>
    <row r="18" spans="1:10">
      <c r="A18" s="34" t="s">
        <v>272</v>
      </c>
      <c r="B18" s="4">
        <v>1.2086960949506066E-3</v>
      </c>
      <c r="C18" s="10">
        <v>5.6164153291281499E-4</v>
      </c>
      <c r="D18" s="4">
        <v>2.5835958112745594E-4</v>
      </c>
      <c r="E18" s="4">
        <v>2.109735572884629E-5</v>
      </c>
      <c r="F18" s="4">
        <v>2.9522591423965938E-4</v>
      </c>
      <c r="G18" s="4">
        <v>8.749985509465216E-5</v>
      </c>
      <c r="H18" s="4">
        <v>1.5540895700240861E-4</v>
      </c>
      <c r="I18" s="4"/>
      <c r="J18" s="4"/>
    </row>
    <row r="19" spans="1:10">
      <c r="A19" s="34" t="s">
        <v>273</v>
      </c>
      <c r="B19" s="4">
        <v>7.8031269610646849E-3</v>
      </c>
      <c r="C19" s="10">
        <v>2.1252771708835023E-3</v>
      </c>
      <c r="D19" s="4">
        <v>1.1324694719696542E-3</v>
      </c>
      <c r="E19" s="4">
        <v>1.3961746826256756E-3</v>
      </c>
      <c r="F19" s="4">
        <v>1.1948285142106014E-3</v>
      </c>
      <c r="G19" s="4">
        <v>1.6369233361037217E-3</v>
      </c>
      <c r="H19" s="4">
        <v>2.4627143570213734E-3</v>
      </c>
      <c r="I19" s="4"/>
      <c r="J19" s="4"/>
    </row>
    <row r="20" spans="1:10">
      <c r="A20" s="34" t="s">
        <v>274</v>
      </c>
      <c r="B20" s="4">
        <v>1.8419480875137426E-2</v>
      </c>
      <c r="C20" s="10">
        <v>1.0646200600703253E-2</v>
      </c>
      <c r="D20" s="4">
        <v>2.6431915030951485E-3</v>
      </c>
      <c r="E20" s="4">
        <v>1.9023058188049067E-3</v>
      </c>
      <c r="F20" s="4">
        <v>1.384643634695003E-3</v>
      </c>
      <c r="G20" s="4">
        <v>1.4865600653000647E-3</v>
      </c>
      <c r="H20" s="4">
        <v>2.2278438265254303E-3</v>
      </c>
      <c r="I20" s="4"/>
      <c r="J20" s="4"/>
    </row>
    <row r="21" spans="1:10">
      <c r="A21" s="34" t="s">
        <v>275</v>
      </c>
      <c r="B21" s="4">
        <v>7.9484182983090065E-3</v>
      </c>
      <c r="C21" s="10">
        <v>1.8042472358186662E-3</v>
      </c>
      <c r="D21" s="4">
        <v>1.220093054361777E-3</v>
      </c>
      <c r="E21" s="4">
        <v>7.8799815327334447E-4</v>
      </c>
      <c r="F21" s="4">
        <v>5.2889849191576667E-4</v>
      </c>
      <c r="G21" s="4">
        <v>6.2254840786152635E-4</v>
      </c>
      <c r="H21" s="4">
        <v>2.158636828323898E-3</v>
      </c>
      <c r="I21" s="4"/>
      <c r="J21" s="4"/>
    </row>
    <row r="22" spans="1:10">
      <c r="A22" s="34" t="s">
        <v>276</v>
      </c>
      <c r="B22" s="4">
        <v>2.5560817724401999E-3</v>
      </c>
      <c r="C22" s="10">
        <v>1.3486833997617888E-3</v>
      </c>
      <c r="D22" s="4">
        <v>3.9334708954106E-4</v>
      </c>
      <c r="E22" s="4">
        <v>3.7120240378521794E-4</v>
      </c>
      <c r="F22" s="4">
        <v>2.0574755981091127E-4</v>
      </c>
      <c r="G22" s="4">
        <v>1.8695216840598598E-4</v>
      </c>
      <c r="H22" s="4">
        <v>4.3635208737965704E-4</v>
      </c>
      <c r="I22" s="4"/>
      <c r="J22" s="4"/>
    </row>
    <row r="23" spans="1:10">
      <c r="A23" s="34" t="s">
        <v>277</v>
      </c>
      <c r="B23" s="4">
        <v>2.369279210085749E-2</v>
      </c>
      <c r="C23" s="10">
        <v>9.9140288556264899E-3</v>
      </c>
      <c r="D23" s="4">
        <v>4.4529820987680947E-3</v>
      </c>
      <c r="E23" s="4">
        <v>3.190077745105381E-3</v>
      </c>
      <c r="F23" s="4">
        <v>1.4368465091487679E-3</v>
      </c>
      <c r="G23" s="4">
        <v>1.848939070038715E-3</v>
      </c>
      <c r="H23" s="4">
        <v>4.6602999379170241E-3</v>
      </c>
      <c r="I23" s="4"/>
      <c r="J23" s="4"/>
    </row>
    <row r="24" spans="1:10">
      <c r="A24" s="34" t="s">
        <v>278</v>
      </c>
      <c r="B24" s="4">
        <v>1.6734700563844754E-4</v>
      </c>
      <c r="C24" s="10">
        <v>6.4902219997039584E-5</v>
      </c>
      <c r="D24" s="4">
        <v>3.7459967380187743E-5</v>
      </c>
      <c r="E24" s="4">
        <v>1.8548067279668537E-5</v>
      </c>
      <c r="F24" s="4">
        <v>6.0351106946033916E-5</v>
      </c>
      <c r="G24" s="4">
        <v>6.0351106946033916E-5</v>
      </c>
      <c r="H24" s="4">
        <v>1.8548067279668537E-5</v>
      </c>
      <c r="I24" s="4"/>
      <c r="J24" s="4"/>
    </row>
    <row r="25" spans="1:10">
      <c r="A25" s="34" t="s">
        <v>279</v>
      </c>
      <c r="B25" s="4">
        <v>9.2404671473104094E-5</v>
      </c>
      <c r="C25" s="10">
        <v>1.4660718664729256E-5</v>
      </c>
      <c r="D25" s="4">
        <v>2.3914844462611463E-5</v>
      </c>
      <c r="E25" s="4">
        <v>2.3914844462611463E-5</v>
      </c>
      <c r="F25" s="4">
        <v>0</v>
      </c>
      <c r="G25" s="4">
        <v>2.8371616972226197E-5</v>
      </c>
      <c r="H25" s="4">
        <v>2.8371616972226197E-5</v>
      </c>
      <c r="I25" s="4"/>
      <c r="J25" s="4"/>
    </row>
    <row r="26" spans="1:10">
      <c r="A26" s="34" t="s">
        <v>280</v>
      </c>
      <c r="B26" s="4">
        <v>8.9004045293635307E-4</v>
      </c>
      <c r="C26" s="10">
        <v>3.5630802563220415E-4</v>
      </c>
      <c r="D26" s="4">
        <v>1.4964512711520644E-4</v>
      </c>
      <c r="E26" s="4">
        <v>2.1373784283204006E-4</v>
      </c>
      <c r="F26" s="4">
        <v>1.7719931948905813E-4</v>
      </c>
      <c r="G26" s="4">
        <v>9.1274503552612768E-5</v>
      </c>
      <c r="H26" s="4">
        <v>5.5608369733457521E-5</v>
      </c>
      <c r="I26" s="4"/>
      <c r="J26" s="4"/>
    </row>
    <row r="27" spans="1:10">
      <c r="A27" s="34" t="s">
        <v>281</v>
      </c>
      <c r="B27" s="4">
        <v>9.2546052292063262E-5</v>
      </c>
      <c r="C27" s="10">
        <v>5.0096654513610413E-5</v>
      </c>
      <c r="D27" s="4">
        <v>2.3537497677933632E-5</v>
      </c>
      <c r="E27" s="4">
        <v>2.657943518034781E-5</v>
      </c>
      <c r="F27" s="4">
        <v>2.657943518034781E-5</v>
      </c>
      <c r="G27" s="4">
        <v>2.657943518034781E-5</v>
      </c>
      <c r="H27" s="4">
        <v>1.8911900100519207E-5</v>
      </c>
      <c r="I27" s="4"/>
      <c r="J27" s="4"/>
    </row>
    <row r="28" spans="1:10">
      <c r="A28" s="34" t="s">
        <v>282</v>
      </c>
      <c r="B28" s="4">
        <v>0</v>
      </c>
      <c r="C28" s="10">
        <v>0</v>
      </c>
      <c r="D28" s="4">
        <v>0</v>
      </c>
      <c r="E28" s="4">
        <v>0</v>
      </c>
      <c r="F28" s="4">
        <v>0</v>
      </c>
      <c r="G28" s="4">
        <v>0</v>
      </c>
      <c r="H28" s="4">
        <v>0</v>
      </c>
      <c r="I28" s="4"/>
      <c r="J28" s="4"/>
    </row>
    <row r="29" spans="1:10">
      <c r="A29" s="34" t="s">
        <v>283</v>
      </c>
      <c r="B29" s="4">
        <v>7.4795657943837749E-5</v>
      </c>
      <c r="C29" s="10">
        <v>6.0153191848120247E-5</v>
      </c>
      <c r="D29" s="4">
        <v>2.4403454208561367E-5</v>
      </c>
      <c r="E29" s="4">
        <v>0</v>
      </c>
      <c r="F29" s="4">
        <v>0</v>
      </c>
      <c r="G29" s="4">
        <v>0</v>
      </c>
      <c r="H29" s="4">
        <v>0</v>
      </c>
      <c r="I29" s="4"/>
      <c r="J29" s="4"/>
    </row>
    <row r="30" spans="1:10">
      <c r="A30" s="34" t="s">
        <v>284</v>
      </c>
      <c r="B30" s="4">
        <v>0</v>
      </c>
      <c r="C30" s="10">
        <v>0</v>
      </c>
      <c r="D30" s="4">
        <v>0</v>
      </c>
      <c r="E30" s="4">
        <v>0</v>
      </c>
      <c r="F30" s="4">
        <v>0</v>
      </c>
      <c r="G30" s="4">
        <v>0</v>
      </c>
      <c r="H30" s="4">
        <v>0</v>
      </c>
      <c r="I30" s="4"/>
      <c r="J30" s="4"/>
    </row>
    <row r="31" spans="1:10">
      <c r="A31" s="34" t="s">
        <v>285</v>
      </c>
      <c r="B31" s="4">
        <v>1.6111040178436612E-4</v>
      </c>
      <c r="C31" s="10">
        <v>2.4125831698735212E-5</v>
      </c>
      <c r="D31" s="4">
        <v>1.8555006054286275E-5</v>
      </c>
      <c r="E31" s="4">
        <v>0</v>
      </c>
      <c r="F31" s="4">
        <v>6.7338204083737253E-5</v>
      </c>
      <c r="G31" s="4">
        <v>9.5944259688066327E-5</v>
      </c>
      <c r="H31" s="4">
        <v>4.6942822134868537E-5</v>
      </c>
      <c r="I31" s="4"/>
      <c r="J31" s="4"/>
    </row>
    <row r="32" spans="1:10">
      <c r="A32" s="34" t="s">
        <v>286</v>
      </c>
      <c r="B32" s="4">
        <v>6.8685747461307351E-5</v>
      </c>
      <c r="C32" s="10">
        <v>0</v>
      </c>
      <c r="D32" s="4">
        <v>0</v>
      </c>
      <c r="E32" s="4">
        <v>4.6524118773326017E-5</v>
      </c>
      <c r="F32" s="4">
        <v>0</v>
      </c>
      <c r="G32" s="4">
        <v>2.2161628687981334E-5</v>
      </c>
      <c r="H32" s="4">
        <v>2.1883880852887891E-5</v>
      </c>
      <c r="I32" s="4"/>
      <c r="J32" s="4"/>
    </row>
    <row r="33" spans="1:10">
      <c r="A33" s="34" t="s">
        <v>287</v>
      </c>
      <c r="B33" s="4">
        <v>8.3536955565346131E-3</v>
      </c>
      <c r="C33" s="10">
        <v>5.7374043776549036E-3</v>
      </c>
      <c r="D33" s="4">
        <v>2.1143162992234444E-3</v>
      </c>
      <c r="E33" s="4">
        <v>1.972645159519168E-4</v>
      </c>
      <c r="F33" s="4">
        <v>7.1479741978207022E-5</v>
      </c>
      <c r="G33" s="4">
        <v>3.7085389270433762E-4</v>
      </c>
      <c r="H33" s="4">
        <v>1.3887365546541927E-4</v>
      </c>
      <c r="I33" s="4"/>
      <c r="J33" s="4"/>
    </row>
    <row r="34" spans="1:10">
      <c r="A34" s="34" t="s">
        <v>288</v>
      </c>
      <c r="B34" s="4">
        <v>6.1643075942263868E-3</v>
      </c>
      <c r="C34" s="10">
        <v>1.1727153032281281E-3</v>
      </c>
      <c r="D34" s="4">
        <v>3.1707851828151855E-4</v>
      </c>
      <c r="E34" s="4">
        <v>2.3058642828802764E-3</v>
      </c>
      <c r="F34" s="4">
        <v>1.805664767024923E-3</v>
      </c>
      <c r="G34" s="4">
        <v>1.2379993587387794E-3</v>
      </c>
      <c r="H34" s="4">
        <v>1.8387379334926501E-4</v>
      </c>
      <c r="I34" s="4"/>
      <c r="J34" s="4"/>
    </row>
    <row r="35" spans="1:10">
      <c r="A35" s="34" t="s">
        <v>289</v>
      </c>
      <c r="B35" s="4">
        <v>5.0809546604851003E-5</v>
      </c>
      <c r="C35" s="10">
        <v>5.0809546604851003E-5</v>
      </c>
      <c r="D35" s="4">
        <v>0</v>
      </c>
      <c r="E35" s="4">
        <v>0</v>
      </c>
      <c r="F35" s="4">
        <v>0</v>
      </c>
      <c r="G35" s="4">
        <v>0</v>
      </c>
      <c r="H35" s="4">
        <v>0</v>
      </c>
      <c r="I35" s="4"/>
      <c r="J35" s="4"/>
    </row>
    <row r="36" spans="1:10">
      <c r="A36" s="34" t="s">
        <v>290</v>
      </c>
      <c r="B36" s="4">
        <v>2.1483356504415591E-2</v>
      </c>
      <c r="C36" s="10">
        <v>1.8453820498695545E-3</v>
      </c>
      <c r="D36" s="4">
        <v>3.2150524765759778E-3</v>
      </c>
      <c r="E36" s="4">
        <v>1.3530377841365175E-3</v>
      </c>
      <c r="F36" s="4">
        <v>3.413315006462718E-3</v>
      </c>
      <c r="G36" s="4">
        <v>1.420351418041419E-3</v>
      </c>
      <c r="H36" s="4">
        <v>2.0170287860482479E-3</v>
      </c>
      <c r="I36" s="4"/>
      <c r="J36" s="4"/>
    </row>
    <row r="37" spans="1:10">
      <c r="A37" s="34" t="s">
        <v>291</v>
      </c>
      <c r="B37" s="4">
        <v>5.8198560553897642E-4</v>
      </c>
      <c r="C37" s="10">
        <v>2.544468231788251E-4</v>
      </c>
      <c r="D37" s="4">
        <v>2.5644895381387171E-5</v>
      </c>
      <c r="E37" s="4">
        <v>9.4697783253154235E-5</v>
      </c>
      <c r="F37" s="4">
        <v>1.0495951844160776E-4</v>
      </c>
      <c r="G37" s="4">
        <v>1.3239793736956391E-4</v>
      </c>
      <c r="H37" s="4">
        <v>2.3747368423511694E-5</v>
      </c>
      <c r="I37" s="4"/>
      <c r="J37" s="4"/>
    </row>
    <row r="38" spans="1:10">
      <c r="A38" s="34" t="s">
        <v>292</v>
      </c>
      <c r="B38" s="4">
        <v>1.539933876676971E-4</v>
      </c>
      <c r="C38" s="10">
        <v>4.0363119353981931E-5</v>
      </c>
      <c r="D38" s="4">
        <v>2.3368252091846137E-5</v>
      </c>
      <c r="E38" s="4">
        <v>0</v>
      </c>
      <c r="F38" s="4">
        <v>2.8371616972226197E-5</v>
      </c>
      <c r="G38" s="4">
        <v>2.3801295275201721E-5</v>
      </c>
      <c r="H38" s="4">
        <v>2.2161628687981334E-5</v>
      </c>
      <c r="I38" s="4"/>
      <c r="J38" s="4"/>
    </row>
    <row r="39" spans="1:10">
      <c r="A39" s="34" t="s">
        <v>293</v>
      </c>
      <c r="B39" s="4">
        <v>2.52357075844043E-3</v>
      </c>
      <c r="C39" s="10">
        <v>3.5602626557324439E-4</v>
      </c>
      <c r="D39" s="4">
        <v>1.6749810939348657E-4</v>
      </c>
      <c r="E39" s="4">
        <v>8.5129654860067287E-5</v>
      </c>
      <c r="F39" s="4">
        <v>8.7250682531560297E-4</v>
      </c>
      <c r="G39" s="4">
        <v>1.1989595958102463E-4</v>
      </c>
      <c r="H39" s="4">
        <v>1.7068511190189453E-4</v>
      </c>
      <c r="I39" s="4"/>
      <c r="J39" s="4"/>
    </row>
    <row r="40" spans="1:10">
      <c r="A40" s="34" t="s">
        <v>294</v>
      </c>
      <c r="B40" s="4">
        <v>3.9254704159177086E-4</v>
      </c>
      <c r="C40" s="10">
        <v>4.9095386970182545E-5</v>
      </c>
      <c r="D40" s="4">
        <v>0</v>
      </c>
      <c r="E40" s="4">
        <v>0</v>
      </c>
      <c r="F40" s="4">
        <v>2.9962331553777413E-4</v>
      </c>
      <c r="G40" s="4">
        <v>7.5811652095597338E-5</v>
      </c>
      <c r="H40" s="4">
        <v>9.2477226446913727E-5</v>
      </c>
      <c r="I40" s="4"/>
      <c r="J40" s="4"/>
    </row>
    <row r="41" spans="1:10">
      <c r="A41" s="34" t="s">
        <v>295</v>
      </c>
      <c r="B41" s="4">
        <v>1.6251321221525099E-2</v>
      </c>
      <c r="C41" s="10">
        <v>9.1860622908526406E-3</v>
      </c>
      <c r="D41" s="4">
        <v>2.9067183584349809E-3</v>
      </c>
      <c r="E41" s="4">
        <v>1.558877669825861E-3</v>
      </c>
      <c r="F41" s="4">
        <v>1.1260298210483601E-3</v>
      </c>
      <c r="G41" s="4">
        <v>1.3253919844847595E-3</v>
      </c>
      <c r="H41" s="4">
        <v>2.2178903894269969E-3</v>
      </c>
      <c r="I41" s="4"/>
      <c r="J41" s="4"/>
    </row>
    <row r="42" spans="1:10">
      <c r="A42" s="34" t="s">
        <v>296</v>
      </c>
      <c r="B42" s="4">
        <v>6.1851069158531491E-4</v>
      </c>
      <c r="C42" s="10">
        <v>2.7014907385399878E-4</v>
      </c>
      <c r="D42" s="4">
        <v>1.4860927999734341E-4</v>
      </c>
      <c r="E42" s="4">
        <v>8.1448303849086635E-5</v>
      </c>
      <c r="F42" s="4">
        <v>4.540618209491739E-5</v>
      </c>
      <c r="G42" s="4">
        <v>1.8787665280379511E-5</v>
      </c>
      <c r="H42" s="4">
        <v>0</v>
      </c>
      <c r="I42" s="4"/>
      <c r="J42" s="4"/>
    </row>
    <row r="43" spans="1:10">
      <c r="A43" s="34" t="s">
        <v>297</v>
      </c>
      <c r="B43" s="4">
        <v>4.9535252986860397E-3</v>
      </c>
      <c r="C43" s="10">
        <v>2.6818771377833507E-4</v>
      </c>
      <c r="D43" s="4">
        <v>1.6514064761452771E-4</v>
      </c>
      <c r="E43" s="4">
        <v>2.4693710562667553E-3</v>
      </c>
      <c r="F43" s="4">
        <v>1.8098321225904644E-3</v>
      </c>
      <c r="G43" s="4">
        <v>5.0096757272571468E-4</v>
      </c>
      <c r="H43" s="4">
        <v>2.2793726723439899E-5</v>
      </c>
      <c r="I43" s="4"/>
      <c r="J43" s="4"/>
    </row>
    <row r="44" spans="1:10">
      <c r="A44" s="34" t="s">
        <v>298</v>
      </c>
      <c r="B44" s="4">
        <v>4.5856674620841967E-5</v>
      </c>
      <c r="C44" s="10">
        <v>2.2128313043399541E-5</v>
      </c>
      <c r="D44" s="4">
        <v>0</v>
      </c>
      <c r="E44" s="4">
        <v>2.3728361577442429E-5</v>
      </c>
      <c r="F44" s="4">
        <v>0</v>
      </c>
      <c r="G44" s="4">
        <v>0</v>
      </c>
      <c r="H44" s="4">
        <v>0</v>
      </c>
      <c r="I44" s="4"/>
      <c r="J44" s="4"/>
    </row>
    <row r="45" spans="1:10">
      <c r="A45" s="34" t="s">
        <v>299</v>
      </c>
      <c r="B45" s="4">
        <v>1.0280876737809534E-2</v>
      </c>
      <c r="C45" s="10">
        <v>1.5118202903412782E-3</v>
      </c>
      <c r="D45" s="4">
        <v>1.2400027286122264E-3</v>
      </c>
      <c r="E45" s="4">
        <v>2.2604807346586864E-3</v>
      </c>
      <c r="F45" s="4">
        <v>1.2381788427174934E-3</v>
      </c>
      <c r="G45" s="4">
        <v>8.2065035395938711E-4</v>
      </c>
      <c r="H45" s="4">
        <v>5.5156575540223172E-4</v>
      </c>
      <c r="I45" s="4"/>
      <c r="J45" s="4"/>
    </row>
    <row r="46" spans="1:10">
      <c r="A46" s="34" t="s">
        <v>300</v>
      </c>
      <c r="B46" s="4">
        <v>7.0661763651234111E-3</v>
      </c>
      <c r="C46" s="10">
        <v>9.5000675587595599E-4</v>
      </c>
      <c r="D46" s="4">
        <v>9.4660404511937696E-4</v>
      </c>
      <c r="E46" s="4">
        <v>8.3017203778065134E-4</v>
      </c>
      <c r="F46" s="4">
        <v>3.0289731941661961E-3</v>
      </c>
      <c r="G46" s="4">
        <v>8.9252881607114617E-4</v>
      </c>
      <c r="H46" s="4">
        <v>8.3177154693970384E-4</v>
      </c>
      <c r="I46" s="4"/>
      <c r="J46" s="4"/>
    </row>
    <row r="47" spans="1:10">
      <c r="A47" s="34" t="s">
        <v>301</v>
      </c>
      <c r="B47" s="4">
        <v>1.1209605285546754E-2</v>
      </c>
      <c r="C47" s="10">
        <v>9.5065927198780984E-4</v>
      </c>
      <c r="D47" s="4">
        <v>1.8141632702614447E-3</v>
      </c>
      <c r="E47" s="4">
        <v>1.126611800326488E-3</v>
      </c>
      <c r="F47" s="4">
        <v>5.3438936053268613E-3</v>
      </c>
      <c r="G47" s="4">
        <v>9.9363297522669621E-4</v>
      </c>
      <c r="H47" s="4">
        <v>1.0436282642693382E-3</v>
      </c>
      <c r="I47" s="4"/>
      <c r="J47" s="4"/>
    </row>
    <row r="48" spans="1:10">
      <c r="A48" s="34" t="s">
        <v>302</v>
      </c>
      <c r="B48" s="4">
        <v>6.2088058411069458E-4</v>
      </c>
      <c r="C48" s="10">
        <v>1.4702980583484841E-4</v>
      </c>
      <c r="D48" s="4">
        <v>1.7633309158432398E-4</v>
      </c>
      <c r="E48" s="4">
        <v>0</v>
      </c>
      <c r="F48" s="4">
        <v>5.4226038696689372E-5</v>
      </c>
      <c r="G48" s="4">
        <v>2.657943518034781E-5</v>
      </c>
      <c r="H48" s="4">
        <v>0</v>
      </c>
      <c r="I48" s="4"/>
      <c r="J48" s="4"/>
    </row>
    <row r="49" spans="1:10">
      <c r="A49" s="34" t="s">
        <v>303</v>
      </c>
      <c r="B49" s="4">
        <v>2.6684370954596089E-4</v>
      </c>
      <c r="C49" s="10">
        <v>5.086354187244024E-5</v>
      </c>
      <c r="D49" s="4">
        <v>4.0128164988432211E-5</v>
      </c>
      <c r="E49" s="4">
        <v>5.2062755048345438E-5</v>
      </c>
      <c r="F49" s="4">
        <v>1.0558933468097425E-4</v>
      </c>
      <c r="G49" s="4">
        <v>1.6780874007467303E-5</v>
      </c>
      <c r="H49" s="4">
        <v>1.8941870929208022E-5</v>
      </c>
      <c r="I49" s="4"/>
      <c r="J49" s="4"/>
    </row>
    <row r="50" spans="1:10">
      <c r="A50" s="34" t="s">
        <v>304</v>
      </c>
      <c r="B50" s="4">
        <v>6.2226305416189617E-4</v>
      </c>
      <c r="C50" s="10">
        <v>1.7539877249545297E-4</v>
      </c>
      <c r="D50" s="4">
        <v>0</v>
      </c>
      <c r="E50" s="4">
        <v>0</v>
      </c>
      <c r="F50" s="4">
        <v>0</v>
      </c>
      <c r="G50" s="4">
        <v>0</v>
      </c>
      <c r="H50" s="4">
        <v>2.9481672468196552E-4</v>
      </c>
      <c r="I50" s="4"/>
      <c r="J50" s="4"/>
    </row>
    <row r="51" spans="1:10">
      <c r="A51" s="34" t="s">
        <v>305</v>
      </c>
      <c r="B51" s="4">
        <v>6.8501390316971051E-4</v>
      </c>
      <c r="C51" s="10">
        <v>4.4429400050013116E-4</v>
      </c>
      <c r="D51" s="4">
        <v>1.5877263439715544E-4</v>
      </c>
      <c r="E51" s="4">
        <v>2.2351740212653643E-5</v>
      </c>
      <c r="F51" s="4">
        <v>2.467337333660679E-5</v>
      </c>
      <c r="G51" s="4">
        <v>0</v>
      </c>
      <c r="H51" s="4">
        <v>2.2351740212653643E-5</v>
      </c>
      <c r="I51" s="4"/>
      <c r="J51" s="4"/>
    </row>
    <row r="52" spans="1:10">
      <c r="A52" s="34" t="s">
        <v>306</v>
      </c>
      <c r="B52" s="4">
        <v>1.2253576466303336E-4</v>
      </c>
      <c r="C52" s="10">
        <v>6.0055764289651085E-5</v>
      </c>
      <c r="D52" s="4">
        <v>5.8866438965069475E-5</v>
      </c>
      <c r="E52" s="4">
        <v>1.8548067279668537E-5</v>
      </c>
      <c r="F52" s="4">
        <v>4.2607643280164515E-5</v>
      </c>
      <c r="G52" s="4">
        <v>1.8548067279668537E-5</v>
      </c>
      <c r="H52" s="4">
        <v>4.070969596764987E-5</v>
      </c>
      <c r="I52" s="4"/>
      <c r="J52" s="4"/>
    </row>
    <row r="53" spans="1:10">
      <c r="A53" s="34" t="s">
        <v>307</v>
      </c>
      <c r="B53" s="4">
        <v>2.8619705253325055E-3</v>
      </c>
      <c r="C53" s="10">
        <v>1.0113917299202891E-3</v>
      </c>
      <c r="D53" s="4">
        <v>3.4975551829250504E-4</v>
      </c>
      <c r="E53" s="4">
        <v>1.342333339466488E-4</v>
      </c>
      <c r="F53" s="4">
        <v>7.7300792220962446E-4</v>
      </c>
      <c r="G53" s="4">
        <v>1.2708302884329354E-3</v>
      </c>
      <c r="H53" s="4">
        <v>1.1384336556808266E-4</v>
      </c>
      <c r="I53" s="4"/>
      <c r="J53" s="4"/>
    </row>
    <row r="54" spans="1:10">
      <c r="A54" s="34" t="s">
        <v>308</v>
      </c>
      <c r="B54" s="4">
        <v>9.7872329370469503E-4</v>
      </c>
      <c r="C54" s="10">
        <v>2.3393528750665884E-4</v>
      </c>
      <c r="D54" s="4">
        <v>8.9564243594512696E-5</v>
      </c>
      <c r="E54" s="4">
        <v>2.2303854815635915E-4</v>
      </c>
      <c r="F54" s="4">
        <v>9.3394749865750962E-5</v>
      </c>
      <c r="G54" s="4">
        <v>2.5572092946634815E-4</v>
      </c>
      <c r="H54" s="4">
        <v>2.8430291511226966E-4</v>
      </c>
      <c r="I54" s="4"/>
      <c r="J54" s="4"/>
    </row>
    <row r="55" spans="1:10">
      <c r="A55" s="34" t="s">
        <v>309</v>
      </c>
      <c r="B55" s="4">
        <v>5.1688178904453345E-4</v>
      </c>
      <c r="C55" s="10">
        <v>2.166022336675458E-4</v>
      </c>
      <c r="D55" s="4">
        <v>1.0298552161717977E-4</v>
      </c>
      <c r="E55" s="4">
        <v>1.7663641760327562E-4</v>
      </c>
      <c r="F55" s="4">
        <v>7.6719721890092783E-5</v>
      </c>
      <c r="G55" s="4">
        <v>6.3194804665333271E-5</v>
      </c>
      <c r="H55" s="4">
        <v>1.6581097576425278E-5</v>
      </c>
      <c r="I55" s="4"/>
      <c r="J55" s="4"/>
    </row>
    <row r="56" spans="1:10">
      <c r="A56" s="34" t="s">
        <v>310</v>
      </c>
      <c r="B56" s="4">
        <v>1.2722287247301184E-3</v>
      </c>
      <c r="C56" s="10">
        <v>2.9477991377383839E-4</v>
      </c>
      <c r="D56" s="4">
        <v>2.8626344285905122E-4</v>
      </c>
      <c r="E56" s="4">
        <v>1.3659183280258198E-4</v>
      </c>
      <c r="F56" s="4">
        <v>2.1925625905873532E-4</v>
      </c>
      <c r="G56" s="4">
        <v>1.1332005603531478E-4</v>
      </c>
      <c r="H56" s="4">
        <v>2.298110506000028E-5</v>
      </c>
      <c r="I56" s="4"/>
      <c r="J56" s="4"/>
    </row>
    <row r="57" spans="1:10">
      <c r="A57" s="34" t="s">
        <v>311</v>
      </c>
      <c r="B57" s="4">
        <v>0.1269453400321591</v>
      </c>
      <c r="C57" s="10">
        <v>8.1216486701532944E-3</v>
      </c>
      <c r="D57" s="4">
        <v>5.2770416062075769E-3</v>
      </c>
      <c r="E57" s="4">
        <v>6.1190953028160008E-2</v>
      </c>
      <c r="F57" s="4">
        <v>2.9264242422868927E-2</v>
      </c>
      <c r="G57" s="4">
        <v>2.9479067580097371E-2</v>
      </c>
      <c r="H57" s="4">
        <v>4.15128887481771E-3</v>
      </c>
      <c r="I57" s="4"/>
      <c r="J57" s="4"/>
    </row>
    <row r="58" spans="1:10">
      <c r="A58" s="34" t="s">
        <v>312</v>
      </c>
      <c r="B58" s="4">
        <v>9.3113181791261936E-5</v>
      </c>
      <c r="C58" s="10">
        <v>4.5575527436544855E-5</v>
      </c>
      <c r="D58" s="4">
        <v>0</v>
      </c>
      <c r="E58" s="4">
        <v>2.5185914142063425E-5</v>
      </c>
      <c r="F58" s="4">
        <v>0</v>
      </c>
      <c r="G58" s="4">
        <v>0</v>
      </c>
      <c r="H58" s="4">
        <v>0</v>
      </c>
      <c r="I58" s="4"/>
      <c r="J58" s="4"/>
    </row>
    <row r="59" spans="1:10">
      <c r="A59" s="34" t="s">
        <v>313</v>
      </c>
      <c r="B59" s="4">
        <v>1.0957795585091004E-3</v>
      </c>
      <c r="C59" s="10">
        <v>3.1952039421342037E-4</v>
      </c>
      <c r="D59" s="4">
        <v>2.2115881309890805E-4</v>
      </c>
      <c r="E59" s="4">
        <v>2.2351740212653643E-5</v>
      </c>
      <c r="F59" s="4">
        <v>3.5357205141474405E-5</v>
      </c>
      <c r="G59" s="4">
        <v>4.5301799634418222E-5</v>
      </c>
      <c r="H59" s="4">
        <v>3.4997885304163953E-4</v>
      </c>
      <c r="I59" s="4"/>
      <c r="J59" s="4"/>
    </row>
    <row r="60" spans="1:10">
      <c r="A60" s="34" t="s">
        <v>314</v>
      </c>
      <c r="B60" s="4">
        <v>3.4910506088573448E-2</v>
      </c>
      <c r="C60" s="10">
        <v>1.7153242919382666E-2</v>
      </c>
      <c r="D60" s="4">
        <v>6.7089068539062605E-3</v>
      </c>
      <c r="E60" s="4">
        <v>3.819710485659821E-3</v>
      </c>
      <c r="F60" s="4">
        <v>1.9489633106838022E-3</v>
      </c>
      <c r="G60" s="4">
        <v>2.8740952694061143E-3</v>
      </c>
      <c r="H60" s="4">
        <v>6.7086056772624357E-3</v>
      </c>
      <c r="I60" s="4"/>
      <c r="J60" s="4"/>
    </row>
    <row r="61" spans="1:10">
      <c r="A61" s="34" t="s">
        <v>315</v>
      </c>
      <c r="B61" s="4">
        <v>4.3601132880905804E-4</v>
      </c>
      <c r="C61" s="10">
        <v>1.9004691784817979E-4</v>
      </c>
      <c r="D61" s="4">
        <v>1.2616813808083815E-4</v>
      </c>
      <c r="E61" s="4">
        <v>4.7934790524589737E-5</v>
      </c>
      <c r="F61" s="4">
        <v>8.0075253915468371E-5</v>
      </c>
      <c r="G61" s="4">
        <v>4.776715093846853E-5</v>
      </c>
      <c r="H61" s="4">
        <v>7.9185083093899378E-5</v>
      </c>
      <c r="I61" s="4"/>
      <c r="J61" s="4"/>
    </row>
    <row r="62" spans="1:10">
      <c r="A62" s="34" t="s">
        <v>316</v>
      </c>
      <c r="B62" s="4">
        <v>1.1989762149667305E-4</v>
      </c>
      <c r="C62" s="10">
        <v>0</v>
      </c>
      <c r="D62" s="4">
        <v>4.7536389911787075E-5</v>
      </c>
      <c r="E62" s="4">
        <v>0</v>
      </c>
      <c r="F62" s="4">
        <v>0</v>
      </c>
      <c r="G62" s="4">
        <v>4.7536389911787075E-5</v>
      </c>
      <c r="H62" s="4">
        <v>2.8153356702088121E-5</v>
      </c>
      <c r="I62" s="4"/>
      <c r="J62" s="4"/>
    </row>
    <row r="63" spans="1:10">
      <c r="A63" s="34" t="s">
        <v>317</v>
      </c>
      <c r="B63" s="4">
        <v>1.7064917706070384E-4</v>
      </c>
      <c r="C63" s="10">
        <v>1.668205378775449E-5</v>
      </c>
      <c r="D63" s="4">
        <v>2.5032750824118241E-5</v>
      </c>
      <c r="E63" s="4">
        <v>7.8778754808196344E-5</v>
      </c>
      <c r="F63" s="4">
        <v>2.8221308023461219E-5</v>
      </c>
      <c r="G63" s="4">
        <v>7.5188368464752971E-5</v>
      </c>
      <c r="H63" s="4">
        <v>0</v>
      </c>
      <c r="I63" s="4"/>
      <c r="J63" s="4"/>
    </row>
    <row r="64" spans="1:10">
      <c r="A64" s="34" t="s">
        <v>318</v>
      </c>
      <c r="B64" s="4">
        <v>2.4972755125407458E-2</v>
      </c>
      <c r="C64" s="10">
        <v>1.6143780531680346E-2</v>
      </c>
      <c r="D64" s="4">
        <v>4.1535493278034071E-3</v>
      </c>
      <c r="E64" s="4">
        <v>1.3141001294034809E-3</v>
      </c>
      <c r="F64" s="4">
        <v>2.008760004993562E-3</v>
      </c>
      <c r="G64" s="4">
        <v>2.127511245230826E-3</v>
      </c>
      <c r="H64" s="4">
        <v>5.5424257749808693E-4</v>
      </c>
      <c r="I64" s="4"/>
      <c r="J64" s="4"/>
    </row>
    <row r="65" spans="1:10">
      <c r="A65" s="34" t="s">
        <v>319</v>
      </c>
      <c r="B65" s="4">
        <v>3.2032923921910297E-4</v>
      </c>
      <c r="C65" s="10">
        <v>1.399586415787151E-4</v>
      </c>
      <c r="D65" s="4">
        <v>6.4885619983973204E-5</v>
      </c>
      <c r="E65" s="4">
        <v>4.9935461152914116E-5</v>
      </c>
      <c r="F65" s="4">
        <v>6.7662829569428264E-5</v>
      </c>
      <c r="G65" s="4">
        <v>2.137728633965717E-5</v>
      </c>
      <c r="H65" s="4">
        <v>2.1596077525064067E-5</v>
      </c>
      <c r="I65" s="4"/>
      <c r="J65" s="4"/>
    </row>
    <row r="66" spans="1:10">
      <c r="A66" s="34" t="s">
        <v>320</v>
      </c>
      <c r="B66" s="4">
        <v>6.6091734065253571E-5</v>
      </c>
      <c r="C66" s="10">
        <v>0</v>
      </c>
      <c r="D66" s="4">
        <v>0</v>
      </c>
      <c r="E66" s="4">
        <v>2.589249732910001E-5</v>
      </c>
      <c r="F66" s="4">
        <v>2.589249732910001E-5</v>
      </c>
      <c r="G66" s="4">
        <v>0</v>
      </c>
      <c r="H66" s="4">
        <v>0</v>
      </c>
      <c r="I66" s="4"/>
      <c r="J66" s="4"/>
    </row>
    <row r="67" spans="1:10">
      <c r="A67" s="34" t="s">
        <v>321</v>
      </c>
      <c r="B67" s="4">
        <v>3.1114279954435092E-3</v>
      </c>
      <c r="C67" s="10">
        <v>9.2763138997059688E-4</v>
      </c>
      <c r="D67" s="4">
        <v>4.8420192535846907E-4</v>
      </c>
      <c r="E67" s="4">
        <v>5.6705464207285712E-4</v>
      </c>
      <c r="F67" s="4">
        <v>9.1127953565480759E-4</v>
      </c>
      <c r="G67" s="4">
        <v>2.2595648281616428E-4</v>
      </c>
      <c r="H67" s="4">
        <v>4.426804641313213E-4</v>
      </c>
      <c r="I67" s="4"/>
      <c r="J67" s="4"/>
    </row>
    <row r="68" spans="1:10">
      <c r="A68" s="34" t="s">
        <v>322</v>
      </c>
      <c r="B68" s="4">
        <v>7.1162836640949894E-4</v>
      </c>
      <c r="C68" s="10">
        <v>8.1664952082168539E-5</v>
      </c>
      <c r="D68" s="4">
        <v>1.4286902975724471E-4</v>
      </c>
      <c r="E68" s="4">
        <v>1.2430328747280108E-4</v>
      </c>
      <c r="F68" s="4">
        <v>7.0470694805493665E-5</v>
      </c>
      <c r="G68" s="4">
        <v>7.0478174138518274E-5</v>
      </c>
      <c r="H68" s="4">
        <v>3.3626577115556652E-4</v>
      </c>
      <c r="I68" s="4"/>
      <c r="J68" s="4"/>
    </row>
    <row r="69" spans="1:10">
      <c r="A69" s="34" t="s">
        <v>323</v>
      </c>
      <c r="B69" s="4">
        <v>9.8608135891481704E-5</v>
      </c>
      <c r="C69" s="10">
        <v>0</v>
      </c>
      <c r="D69" s="4">
        <v>2.3886740737844097E-5</v>
      </c>
      <c r="E69" s="4">
        <v>0</v>
      </c>
      <c r="F69" s="4">
        <v>2.3886740737844097E-5</v>
      </c>
      <c r="G69" s="4">
        <v>2.5003107366436929E-5</v>
      </c>
      <c r="H69" s="4">
        <v>2.3886740737844097E-5</v>
      </c>
      <c r="I69" s="4"/>
      <c r="J69" s="4"/>
    </row>
    <row r="70" spans="1:10">
      <c r="A70" s="34" t="s">
        <v>324</v>
      </c>
      <c r="B70" s="4">
        <v>4.5985215519927843E-3</v>
      </c>
      <c r="C70" s="10">
        <v>3.3456990037295221E-3</v>
      </c>
      <c r="D70" s="4">
        <v>6.1336711320954999E-4</v>
      </c>
      <c r="E70" s="4">
        <v>1.6947697594047137E-4</v>
      </c>
      <c r="F70" s="4">
        <v>6.9644448917846458E-5</v>
      </c>
      <c r="G70" s="4">
        <v>1.8121508484033577E-4</v>
      </c>
      <c r="H70" s="4">
        <v>4.6979204426899246E-4</v>
      </c>
      <c r="I70" s="4"/>
      <c r="J70" s="4"/>
    </row>
    <row r="71" spans="1:10">
      <c r="A71" s="34" t="s">
        <v>325</v>
      </c>
      <c r="B71" s="4">
        <v>3.0088683026017007E-4</v>
      </c>
      <c r="C71" s="10">
        <v>8.2992189261155841E-5</v>
      </c>
      <c r="D71" s="4">
        <v>5.3220769993533773E-5</v>
      </c>
      <c r="E71" s="4">
        <v>2.0330112133994862E-5</v>
      </c>
      <c r="F71" s="4">
        <v>9.6738730481921365E-5</v>
      </c>
      <c r="G71" s="4">
        <v>0</v>
      </c>
      <c r="H71" s="4">
        <v>0</v>
      </c>
      <c r="I71" s="4"/>
      <c r="J71" s="4"/>
    </row>
    <row r="72" spans="1:10">
      <c r="A72" s="34" t="s">
        <v>326</v>
      </c>
      <c r="B72" s="4">
        <v>5.1846374620805828E-4</v>
      </c>
      <c r="C72" s="10">
        <v>2.0031392000000351E-4</v>
      </c>
      <c r="D72" s="4">
        <v>2.161018147528336E-4</v>
      </c>
      <c r="E72" s="4">
        <v>7.4074352026697352E-5</v>
      </c>
      <c r="F72" s="4">
        <v>2.0144585040451996E-5</v>
      </c>
      <c r="G72" s="4">
        <v>6.968293155898383E-5</v>
      </c>
      <c r="H72" s="4">
        <v>0</v>
      </c>
      <c r="I72" s="4"/>
      <c r="J72" s="4"/>
    </row>
    <row r="73" spans="1:10">
      <c r="A73" s="34" t="s">
        <v>327</v>
      </c>
      <c r="B73" s="4">
        <v>4.5333219500431795E-5</v>
      </c>
      <c r="C73" s="10">
        <v>4.5333219500431795E-5</v>
      </c>
      <c r="D73" s="4">
        <v>2.5003107366436929E-5</v>
      </c>
      <c r="E73" s="4">
        <v>0</v>
      </c>
      <c r="F73" s="4">
        <v>0</v>
      </c>
      <c r="G73" s="4">
        <v>4.5333219500431795E-5</v>
      </c>
      <c r="H73" s="4">
        <v>2.0330112133994862E-5</v>
      </c>
      <c r="I73" s="4"/>
      <c r="J73" s="4"/>
    </row>
    <row r="74" spans="1:10">
      <c r="A74" s="34" t="s">
        <v>328</v>
      </c>
      <c r="B74" s="4">
        <v>8.6824393562433722E-4</v>
      </c>
      <c r="C74" s="10">
        <v>1.6289099964573729E-4</v>
      </c>
      <c r="D74" s="4">
        <v>9.4017947759496268E-5</v>
      </c>
      <c r="E74" s="4">
        <v>2.2788173207675449E-5</v>
      </c>
      <c r="F74" s="4">
        <v>3.0976799109636548E-4</v>
      </c>
      <c r="G74" s="4">
        <v>1.0575772743050605E-4</v>
      </c>
      <c r="H74" s="4">
        <v>1.7923354890241863E-4</v>
      </c>
      <c r="I74" s="4"/>
      <c r="J74" s="4"/>
    </row>
    <row r="75" spans="1:10">
      <c r="A75" s="34" t="s">
        <v>329</v>
      </c>
      <c r="B75" s="4">
        <v>3.0250147201248736E-4</v>
      </c>
      <c r="C75" s="10">
        <v>1.936880356427745E-5</v>
      </c>
      <c r="D75" s="4">
        <v>9.2619618796934946E-5</v>
      </c>
      <c r="E75" s="4">
        <v>4.3910058668179918E-5</v>
      </c>
      <c r="F75" s="4">
        <v>1.8826924027846569E-4</v>
      </c>
      <c r="G75" s="4">
        <v>2.0389235479646589E-5</v>
      </c>
      <c r="H75" s="4">
        <v>2.3520823188533335E-5</v>
      </c>
      <c r="I75" s="4"/>
      <c r="J75" s="4"/>
    </row>
    <row r="76" spans="1:10">
      <c r="A76" s="34" t="s">
        <v>330</v>
      </c>
      <c r="B76" s="4">
        <v>4.755532304251459E-4</v>
      </c>
      <c r="C76" s="10">
        <v>2.2933833590854308E-4</v>
      </c>
      <c r="D76" s="4">
        <v>6.6399654092990639E-5</v>
      </c>
      <c r="E76" s="4">
        <v>6.9783128941228089E-5</v>
      </c>
      <c r="F76" s="4">
        <v>0</v>
      </c>
      <c r="G76" s="4">
        <v>0</v>
      </c>
      <c r="H76" s="4">
        <v>1.3905755483254031E-4</v>
      </c>
      <c r="I76" s="4"/>
      <c r="J76" s="4"/>
    </row>
    <row r="77" spans="1:10">
      <c r="A77" s="34" t="s">
        <v>331</v>
      </c>
      <c r="B77" s="4">
        <v>1.7423894338040162E-3</v>
      </c>
      <c r="C77" s="10">
        <v>6.26166247229641E-4</v>
      </c>
      <c r="D77" s="4">
        <v>1.0303613085475335E-4</v>
      </c>
      <c r="E77" s="4">
        <v>2.2647977571701379E-4</v>
      </c>
      <c r="F77" s="4">
        <v>7.8680381883678254E-4</v>
      </c>
      <c r="G77" s="4">
        <v>1.7155593388701201E-4</v>
      </c>
      <c r="H77" s="4">
        <v>6.0907815162388299E-5</v>
      </c>
      <c r="I77" s="4"/>
      <c r="J77" s="4"/>
    </row>
    <row r="78" spans="1:10">
      <c r="A78" s="34" t="s">
        <v>332</v>
      </c>
      <c r="B78" s="4">
        <v>1.6582647929264649E-3</v>
      </c>
      <c r="C78" s="10">
        <v>7.384016106313149E-4</v>
      </c>
      <c r="D78" s="4">
        <v>2.0609688967848064E-4</v>
      </c>
      <c r="E78" s="4">
        <v>1.1086788218028784E-4</v>
      </c>
      <c r="F78" s="4">
        <v>6.6392487711172557E-4</v>
      </c>
      <c r="G78" s="4">
        <v>1.5097720820098185E-4</v>
      </c>
      <c r="H78" s="4">
        <v>6.6482288000964716E-5</v>
      </c>
      <c r="I78" s="4"/>
      <c r="J78" s="4"/>
    </row>
    <row r="79" spans="1:10">
      <c r="A79" s="34" t="s">
        <v>333</v>
      </c>
      <c r="B79" s="4">
        <v>1.5260858465720455E-4</v>
      </c>
      <c r="C79" s="10">
        <v>7.188497186540615E-5</v>
      </c>
      <c r="D79" s="4">
        <v>0</v>
      </c>
      <c r="E79" s="4">
        <v>0</v>
      </c>
      <c r="F79" s="4">
        <v>8.072361279179839E-5</v>
      </c>
      <c r="G79" s="4">
        <v>0</v>
      </c>
      <c r="H79" s="4">
        <v>2.2161628687981334E-5</v>
      </c>
      <c r="I79" s="4"/>
      <c r="J79" s="4"/>
    </row>
    <row r="80" spans="1:10">
      <c r="A80" s="34" t="s">
        <v>334</v>
      </c>
      <c r="B80" s="4">
        <v>3.9295428529170708E-5</v>
      </c>
      <c r="C80" s="10">
        <v>0</v>
      </c>
      <c r="D80" s="4">
        <v>0</v>
      </c>
      <c r="E80" s="4">
        <v>0</v>
      </c>
      <c r="F80" s="4">
        <v>0</v>
      </c>
      <c r="G80" s="4">
        <v>2.3554021987076393E-5</v>
      </c>
      <c r="H80" s="4">
        <v>0</v>
      </c>
      <c r="I80" s="4"/>
      <c r="J80" s="4"/>
    </row>
    <row r="81" spans="1:10">
      <c r="A81" s="34" t="s">
        <v>335</v>
      </c>
      <c r="B81" s="4">
        <v>2.5475859799809311E-5</v>
      </c>
      <c r="C81" s="10">
        <v>2.5475859799809311E-5</v>
      </c>
      <c r="D81" s="4">
        <v>0</v>
      </c>
      <c r="E81" s="4">
        <v>0</v>
      </c>
      <c r="F81" s="4">
        <v>0</v>
      </c>
      <c r="G81" s="4">
        <v>0</v>
      </c>
      <c r="H81" s="4">
        <v>0</v>
      </c>
      <c r="I81" s="4"/>
      <c r="J81" s="4"/>
    </row>
    <row r="82" spans="1:10">
      <c r="A82" s="34" t="s">
        <v>336</v>
      </c>
      <c r="B82" s="4">
        <v>7.0184195235646583E-5</v>
      </c>
      <c r="C82" s="10">
        <v>0</v>
      </c>
      <c r="D82" s="4">
        <v>0</v>
      </c>
      <c r="E82" s="4">
        <v>0</v>
      </c>
      <c r="F82" s="4">
        <v>7.0184195235646583E-5</v>
      </c>
      <c r="G82" s="4">
        <v>0</v>
      </c>
      <c r="H82" s="4">
        <v>0</v>
      </c>
      <c r="I82" s="4"/>
      <c r="J82" s="4"/>
    </row>
    <row r="83" spans="1:10">
      <c r="A83" s="34" t="s">
        <v>337</v>
      </c>
      <c r="B83" s="4">
        <v>2.9780619086606136E-4</v>
      </c>
      <c r="C83" s="10">
        <v>1.7718491594202526E-4</v>
      </c>
      <c r="D83" s="4">
        <v>0</v>
      </c>
      <c r="E83" s="4">
        <v>0</v>
      </c>
      <c r="F83" s="4">
        <v>0</v>
      </c>
      <c r="G83" s="4">
        <v>7.3910181549694863E-5</v>
      </c>
      <c r="H83" s="4">
        <v>1.1362582042352683E-4</v>
      </c>
      <c r="I83" s="4"/>
      <c r="J83" s="4"/>
    </row>
    <row r="84" spans="1:10">
      <c r="A84" s="34" t="s">
        <v>338</v>
      </c>
      <c r="B84" s="4">
        <v>0</v>
      </c>
      <c r="C84" s="10">
        <v>0</v>
      </c>
      <c r="D84" s="4">
        <v>0</v>
      </c>
      <c r="E84" s="4">
        <v>0</v>
      </c>
      <c r="F84" s="4">
        <v>0</v>
      </c>
      <c r="G84" s="4">
        <v>0</v>
      </c>
      <c r="H84" s="4">
        <v>0</v>
      </c>
      <c r="I84" s="4"/>
      <c r="J84" s="4"/>
    </row>
    <row r="85" spans="1:10">
      <c r="A85" s="34" t="s">
        <v>339</v>
      </c>
      <c r="B85" s="4">
        <v>1.1420887090069836E-3</v>
      </c>
      <c r="C85" s="10">
        <v>6.1813077552481661E-4</v>
      </c>
      <c r="D85" s="4">
        <v>2.0786913767183513E-4</v>
      </c>
      <c r="E85" s="4">
        <v>7.2706127598597925E-5</v>
      </c>
      <c r="F85" s="4">
        <v>2.3914844462611463E-5</v>
      </c>
      <c r="G85" s="4">
        <v>1.2283588484237134E-4</v>
      </c>
      <c r="H85" s="4">
        <v>4.6925775482551067E-5</v>
      </c>
      <c r="I85" s="4"/>
      <c r="J85" s="4"/>
    </row>
    <row r="86" spans="1:10">
      <c r="A86" s="34" t="s">
        <v>340</v>
      </c>
      <c r="B86" s="4">
        <v>0</v>
      </c>
      <c r="C86" s="10">
        <v>0</v>
      </c>
      <c r="D86" s="4">
        <v>0</v>
      </c>
      <c r="E86" s="4">
        <v>0</v>
      </c>
      <c r="F86" s="4">
        <v>0</v>
      </c>
      <c r="G86" s="4">
        <v>0</v>
      </c>
      <c r="H86" s="4">
        <v>0</v>
      </c>
      <c r="I86" s="4"/>
      <c r="J86" s="4"/>
    </row>
    <row r="87" spans="1:10">
      <c r="A87" s="34" t="s">
        <v>341</v>
      </c>
      <c r="B87" s="4">
        <v>2.8714785379865976E-5</v>
      </c>
      <c r="C87" s="10">
        <v>2.8714785379865976E-5</v>
      </c>
      <c r="D87" s="4">
        <v>0</v>
      </c>
      <c r="E87" s="4">
        <v>0</v>
      </c>
      <c r="F87" s="4">
        <v>0</v>
      </c>
      <c r="G87" s="4">
        <v>0</v>
      </c>
      <c r="H87" s="4">
        <v>0</v>
      </c>
      <c r="I87" s="4"/>
      <c r="J87" s="4"/>
    </row>
    <row r="88" spans="1:10">
      <c r="A88" s="34" t="s">
        <v>342</v>
      </c>
      <c r="B88" s="4">
        <v>4.2428420788154569E-3</v>
      </c>
      <c r="C88" s="10">
        <v>8.0581555378746042E-4</v>
      </c>
      <c r="D88" s="4">
        <v>4.7469553861104457E-4</v>
      </c>
      <c r="E88" s="4">
        <v>6.6639954461434573E-4</v>
      </c>
      <c r="F88" s="4">
        <v>1.2647312315253363E-3</v>
      </c>
      <c r="G88" s="4">
        <v>6.2423127742406706E-4</v>
      </c>
      <c r="H88" s="4">
        <v>1.4338753311116985E-4</v>
      </c>
      <c r="I88" s="4"/>
      <c r="J88" s="4"/>
    </row>
    <row r="89" spans="1:10">
      <c r="A89" s="34" t="s">
        <v>343</v>
      </c>
      <c r="B89" s="4">
        <v>4.9289198715599591E-4</v>
      </c>
      <c r="C89" s="10">
        <v>1.8085330725648964E-4</v>
      </c>
      <c r="D89" s="4">
        <v>0</v>
      </c>
      <c r="E89" s="4">
        <v>6.9811793751349831E-5</v>
      </c>
      <c r="F89" s="4">
        <v>2.5935211233933913E-4</v>
      </c>
      <c r="G89" s="4">
        <v>1.1561851410933447E-4</v>
      </c>
      <c r="H89" s="4">
        <v>0</v>
      </c>
      <c r="I89" s="4"/>
      <c r="J89" s="4"/>
    </row>
    <row r="90" spans="1:10">
      <c r="A90" s="34" t="s">
        <v>344</v>
      </c>
      <c r="B90" s="4">
        <v>2.418287119147631E-5</v>
      </c>
      <c r="C90" s="10">
        <v>0</v>
      </c>
      <c r="D90" s="4">
        <v>2.418287119147631E-5</v>
      </c>
      <c r="E90" s="4">
        <v>0</v>
      </c>
      <c r="F90" s="4">
        <v>0</v>
      </c>
      <c r="G90" s="4">
        <v>0</v>
      </c>
      <c r="H90" s="4">
        <v>0</v>
      </c>
      <c r="I90" s="4"/>
      <c r="J90" s="4"/>
    </row>
    <row r="91" spans="1:10">
      <c r="A91" s="34" t="s">
        <v>345</v>
      </c>
      <c r="B91" s="4">
        <v>3.4719083284982456E-3</v>
      </c>
      <c r="C91" s="10">
        <v>1.0405485376305675E-3</v>
      </c>
      <c r="D91" s="4">
        <v>5.5520116420581015E-4</v>
      </c>
      <c r="E91" s="4">
        <v>6.1732076507546672E-4</v>
      </c>
      <c r="F91" s="4">
        <v>7.3260047421921687E-4</v>
      </c>
      <c r="G91" s="4">
        <v>3.8668904418716441E-4</v>
      </c>
      <c r="H91" s="4">
        <v>4.0590876980280881E-4</v>
      </c>
      <c r="I91" s="4"/>
      <c r="J91" s="4"/>
    </row>
    <row r="92" spans="1:10">
      <c r="A92" s="34" t="s">
        <v>346</v>
      </c>
      <c r="B92" s="4">
        <v>1.6656619739188088E-3</v>
      </c>
      <c r="C92" s="10">
        <v>6.8105784043304791E-4</v>
      </c>
      <c r="D92" s="4">
        <v>3.1957939016420234E-4</v>
      </c>
      <c r="E92" s="4">
        <v>1.7210577666861178E-4</v>
      </c>
      <c r="F92" s="4">
        <v>3.0078594684896666E-4</v>
      </c>
      <c r="G92" s="4">
        <v>1.004643968624597E-4</v>
      </c>
      <c r="H92" s="4">
        <v>7.6621032031420455E-5</v>
      </c>
      <c r="I92" s="4"/>
      <c r="J92" s="4"/>
    </row>
    <row r="93" spans="1:10">
      <c r="A93" s="34" t="s">
        <v>347</v>
      </c>
      <c r="B93" s="4">
        <v>1.0039518229982194E-3</v>
      </c>
      <c r="C93" s="10">
        <v>2.6753009431795382E-4</v>
      </c>
      <c r="D93" s="4">
        <v>1.8831226888020087E-4</v>
      </c>
      <c r="E93" s="4">
        <v>6.1064595189841894E-5</v>
      </c>
      <c r="F93" s="4">
        <v>9.9093383255657999E-5</v>
      </c>
      <c r="G93" s="4">
        <v>9.422047905196871E-5</v>
      </c>
      <c r="H93" s="4">
        <v>0</v>
      </c>
      <c r="I93" s="4"/>
      <c r="J93" s="4"/>
    </row>
    <row r="94" spans="1:10">
      <c r="A94" s="34" t="s">
        <v>348</v>
      </c>
      <c r="B94" s="4">
        <v>3.8080027950855539E-4</v>
      </c>
      <c r="C94" s="10">
        <v>0</v>
      </c>
      <c r="D94" s="4">
        <v>3.8519216206370219E-5</v>
      </c>
      <c r="E94" s="4">
        <v>5.316546238302113E-5</v>
      </c>
      <c r="F94" s="4">
        <v>1.8531974385297033E-4</v>
      </c>
      <c r="G94" s="4">
        <v>1.5463550780907493E-5</v>
      </c>
      <c r="H94" s="4">
        <v>2.2413319892220389E-5</v>
      </c>
      <c r="I94" s="4"/>
      <c r="J94" s="4"/>
    </row>
    <row r="95" spans="1:10">
      <c r="A95" s="34" t="s">
        <v>349</v>
      </c>
      <c r="B95" s="4">
        <v>1.2070559467952733E-3</v>
      </c>
      <c r="C95" s="10">
        <v>2.6831045361186184E-4</v>
      </c>
      <c r="D95" s="4">
        <v>2.2659524811861057E-5</v>
      </c>
      <c r="E95" s="4">
        <v>3.3076356819804469E-4</v>
      </c>
      <c r="F95" s="4">
        <v>5.8485530351887552E-4</v>
      </c>
      <c r="G95" s="4">
        <v>1.7714877249813763E-4</v>
      </c>
      <c r="H95" s="4">
        <v>2.2788173207675449E-5</v>
      </c>
      <c r="I95" s="4"/>
      <c r="J95" s="4"/>
    </row>
    <row r="96" spans="1:10">
      <c r="A96" s="34" t="s">
        <v>350</v>
      </c>
      <c r="B96" s="4">
        <v>1.8532664144207168E-2</v>
      </c>
      <c r="C96" s="10">
        <v>9.9213812566619174E-3</v>
      </c>
      <c r="D96" s="4">
        <v>3.5021002370733047E-3</v>
      </c>
      <c r="E96" s="4">
        <v>1.829284418051292E-3</v>
      </c>
      <c r="F96" s="4">
        <v>8.4346141779213725E-4</v>
      </c>
      <c r="G96" s="4">
        <v>3.9004364821165391E-4</v>
      </c>
      <c r="H96" s="4">
        <v>2.3435211529513225E-3</v>
      </c>
      <c r="I96" s="4"/>
      <c r="J96" s="4"/>
    </row>
    <row r="97" spans="1:10">
      <c r="A97" s="34" t="s">
        <v>351</v>
      </c>
      <c r="B97" s="4">
        <v>3.0194834404740343E-4</v>
      </c>
      <c r="C97" s="10">
        <v>9.2477226446913727E-5</v>
      </c>
      <c r="D97" s="4">
        <v>0</v>
      </c>
      <c r="E97" s="4">
        <v>0</v>
      </c>
      <c r="F97" s="4">
        <v>8.5882975111967289E-5</v>
      </c>
      <c r="G97" s="4">
        <v>0</v>
      </c>
      <c r="H97" s="4">
        <v>0</v>
      </c>
      <c r="I97" s="4"/>
      <c r="J97" s="4"/>
    </row>
    <row r="98" spans="1:10">
      <c r="A98" s="34" t="s">
        <v>352</v>
      </c>
      <c r="B98" s="4">
        <v>3.9652797413027203E-4</v>
      </c>
      <c r="C98" s="10">
        <v>1.7784004075326756E-4</v>
      </c>
      <c r="D98" s="4">
        <v>1.5040079247325832E-5</v>
      </c>
      <c r="E98" s="4">
        <v>2.1763613983793337E-5</v>
      </c>
      <c r="F98" s="4">
        <v>0</v>
      </c>
      <c r="G98" s="4">
        <v>0</v>
      </c>
      <c r="H98" s="4">
        <v>1.1664852425972987E-4</v>
      </c>
      <c r="I98" s="4"/>
      <c r="J98" s="4"/>
    </row>
    <row r="99" spans="1:10">
      <c r="A99" s="34" t="s">
        <v>353</v>
      </c>
      <c r="B99" s="4">
        <v>3.4844433886203164E-4</v>
      </c>
      <c r="C99" s="10">
        <v>2.3078805525585358E-4</v>
      </c>
      <c r="D99" s="4">
        <v>2.3735616004947425E-5</v>
      </c>
      <c r="E99" s="4">
        <v>4.8468367002199597E-5</v>
      </c>
      <c r="F99" s="4">
        <v>1.3830824695051241E-5</v>
      </c>
      <c r="G99" s="4">
        <v>0</v>
      </c>
      <c r="H99" s="4">
        <v>1.4998393017836887E-5</v>
      </c>
      <c r="I99" s="4"/>
      <c r="J99" s="4"/>
    </row>
    <row r="100" spans="1:10">
      <c r="A100" s="34" t="s">
        <v>354</v>
      </c>
      <c r="B100" s="4">
        <v>2.3960546240320911E-3</v>
      </c>
      <c r="C100" s="10">
        <v>1.1105675237221601E-3</v>
      </c>
      <c r="D100" s="4">
        <v>2.9791419469955176E-4</v>
      </c>
      <c r="E100" s="4">
        <v>1.1281162009421532E-4</v>
      </c>
      <c r="F100" s="4">
        <v>1.7971637099088172E-4</v>
      </c>
      <c r="G100" s="4">
        <v>1.0037829648766754E-4</v>
      </c>
      <c r="H100" s="4">
        <v>5.0383138225580844E-4</v>
      </c>
      <c r="I100" s="4"/>
      <c r="J100" s="4"/>
    </row>
    <row r="101" spans="1:10">
      <c r="A101" s="34" t="s">
        <v>355</v>
      </c>
      <c r="B101" s="4">
        <v>7.0613849125740632E-4</v>
      </c>
      <c r="C101" s="10">
        <v>2.480969074303185E-4</v>
      </c>
      <c r="D101" s="4">
        <v>4.6816215214916201E-5</v>
      </c>
      <c r="E101" s="4">
        <v>9.857184749820077E-5</v>
      </c>
      <c r="F101" s="4">
        <v>2.2788483355697762E-4</v>
      </c>
      <c r="G101" s="4">
        <v>3.2627264673457248E-5</v>
      </c>
      <c r="H101" s="4">
        <v>2.298110506000028E-5</v>
      </c>
      <c r="I101" s="4"/>
      <c r="J101" s="4"/>
    </row>
    <row r="102" spans="1:10">
      <c r="A102" s="34" t="s">
        <v>356</v>
      </c>
      <c r="B102" s="4">
        <v>2.3693184982588521E-4</v>
      </c>
      <c r="C102" s="10">
        <v>0</v>
      </c>
      <c r="D102" s="4">
        <v>2.5213996853746539E-5</v>
      </c>
      <c r="E102" s="4">
        <v>0</v>
      </c>
      <c r="F102" s="4">
        <v>1.138612496362309E-4</v>
      </c>
      <c r="G102" s="4">
        <v>2.3448453896310165E-5</v>
      </c>
      <c r="H102" s="4">
        <v>2.8348880171488265E-5</v>
      </c>
      <c r="I102" s="4"/>
      <c r="J102" s="4"/>
    </row>
    <row r="103" spans="1:10">
      <c r="A103" s="34" t="s">
        <v>357</v>
      </c>
      <c r="B103" s="4">
        <v>2.1811945488422623E-5</v>
      </c>
      <c r="C103" s="10">
        <v>2.1811945488422623E-5</v>
      </c>
      <c r="D103" s="4">
        <v>0</v>
      </c>
      <c r="E103" s="4">
        <v>0</v>
      </c>
      <c r="F103" s="4">
        <v>0</v>
      </c>
      <c r="G103" s="4">
        <v>0</v>
      </c>
      <c r="H103" s="4">
        <v>0</v>
      </c>
      <c r="I103" s="4"/>
      <c r="J103" s="4"/>
    </row>
    <row r="104" spans="1:10">
      <c r="A104" s="34" t="s">
        <v>358</v>
      </c>
      <c r="B104" s="4">
        <v>3.1227826564933493E-5</v>
      </c>
      <c r="C104" s="10">
        <v>1.5149830160323227E-5</v>
      </c>
      <c r="D104" s="4">
        <v>1.6077996404610268E-5</v>
      </c>
      <c r="E104" s="4">
        <v>0</v>
      </c>
      <c r="F104" s="4">
        <v>0</v>
      </c>
      <c r="G104" s="4">
        <v>0</v>
      </c>
      <c r="H104" s="4">
        <v>0</v>
      </c>
      <c r="I104" s="4"/>
      <c r="J104" s="4"/>
    </row>
    <row r="105" spans="1:10">
      <c r="A105" s="34" t="s">
        <v>359</v>
      </c>
      <c r="B105" s="4">
        <v>3.5462492871435878E-4</v>
      </c>
      <c r="C105" s="10">
        <v>3.0324754638261334E-4</v>
      </c>
      <c r="D105" s="4">
        <v>0</v>
      </c>
      <c r="E105" s="4">
        <v>0</v>
      </c>
      <c r="F105" s="4">
        <v>5.9627583041519602E-5</v>
      </c>
      <c r="G105" s="4">
        <v>1.7081292201916032E-5</v>
      </c>
      <c r="H105" s="4">
        <v>0</v>
      </c>
      <c r="I105" s="4"/>
      <c r="J105" s="4"/>
    </row>
    <row r="106" spans="1:10">
      <c r="A106" s="34" t="s">
        <v>360</v>
      </c>
      <c r="B106" s="4">
        <v>6.1422629416186232E-3</v>
      </c>
      <c r="C106" s="10">
        <v>1.8237623333723803E-3</v>
      </c>
      <c r="D106" s="4">
        <v>8.9098689559953342E-4</v>
      </c>
      <c r="E106" s="4">
        <v>1.1034902260626822E-3</v>
      </c>
      <c r="F106" s="4">
        <v>5.4294967448907238E-4</v>
      </c>
      <c r="G106" s="4">
        <v>2.3698394805267851E-4</v>
      </c>
      <c r="H106" s="4">
        <v>3.2689799941162842E-4</v>
      </c>
      <c r="I106" s="4"/>
      <c r="J106" s="4"/>
    </row>
    <row r="107" spans="1:10">
      <c r="A107" s="34" t="s">
        <v>361</v>
      </c>
      <c r="B107" s="4">
        <v>4.921185862180881E-2</v>
      </c>
      <c r="C107" s="10">
        <v>5.5710772292642168E-4</v>
      </c>
      <c r="D107" s="4">
        <v>6.3272676096799577E-4</v>
      </c>
      <c r="E107" s="4">
        <v>1.4468434598338674E-2</v>
      </c>
      <c r="F107" s="4">
        <v>3.2880502946774984E-2</v>
      </c>
      <c r="G107" s="4">
        <v>3.9366541891323074E-3</v>
      </c>
      <c r="H107" s="4">
        <v>4.4586646174773901E-4</v>
      </c>
      <c r="I107" s="4"/>
      <c r="J107" s="4"/>
    </row>
    <row r="108" spans="1:10">
      <c r="A108" s="34" t="s">
        <v>362</v>
      </c>
      <c r="B108" s="4">
        <v>0</v>
      </c>
      <c r="C108" s="10">
        <v>0</v>
      </c>
      <c r="D108" s="4">
        <v>0</v>
      </c>
      <c r="E108" s="4">
        <v>0</v>
      </c>
      <c r="F108" s="4">
        <v>0</v>
      </c>
      <c r="G108" s="4">
        <v>0</v>
      </c>
      <c r="H108" s="4">
        <v>0</v>
      </c>
      <c r="I108" s="4"/>
      <c r="J108" s="4"/>
    </row>
    <row r="109" spans="1:10">
      <c r="A109" s="34" t="s">
        <v>363</v>
      </c>
      <c r="B109" s="4">
        <v>4.4938854114202564E-5</v>
      </c>
      <c r="C109" s="10">
        <v>4.4938854114202564E-5</v>
      </c>
      <c r="D109" s="4">
        <v>0</v>
      </c>
      <c r="E109" s="4">
        <v>0</v>
      </c>
      <c r="F109" s="4">
        <v>0</v>
      </c>
      <c r="G109" s="4">
        <v>0</v>
      </c>
      <c r="H109" s="4">
        <v>0</v>
      </c>
      <c r="I109" s="4"/>
      <c r="J109" s="4"/>
    </row>
    <row r="110" spans="1:10">
      <c r="A110" s="34" t="s">
        <v>364</v>
      </c>
      <c r="B110" s="4">
        <v>2.1270315715681375E-4</v>
      </c>
      <c r="C110" s="10">
        <v>1.1021934516039118E-4</v>
      </c>
      <c r="D110" s="4">
        <v>6.0835482859645838E-5</v>
      </c>
      <c r="E110" s="4">
        <v>4.0603761982984316E-5</v>
      </c>
      <c r="F110" s="4">
        <v>0</v>
      </c>
      <c r="G110" s="4">
        <v>4.5088436814714275E-5</v>
      </c>
      <c r="H110" s="4">
        <v>2.418287119147631E-5</v>
      </c>
      <c r="I110" s="4"/>
      <c r="J110" s="4"/>
    </row>
    <row r="111" spans="1:10">
      <c r="A111" s="34" t="s">
        <v>365</v>
      </c>
      <c r="B111" s="4">
        <v>3.9845674815223618E-4</v>
      </c>
      <c r="C111" s="10">
        <v>4.7046403895334438E-5</v>
      </c>
      <c r="D111" s="4">
        <v>2.6612898129373903E-5</v>
      </c>
      <c r="E111" s="4">
        <v>1.1778411107898001E-4</v>
      </c>
      <c r="F111" s="4">
        <v>7.0624715390151489E-5</v>
      </c>
      <c r="G111" s="4">
        <v>3.0494693251955832E-4</v>
      </c>
      <c r="H111" s="4">
        <v>0</v>
      </c>
      <c r="I111" s="4"/>
      <c r="J111" s="4"/>
    </row>
    <row r="112" spans="1:10">
      <c r="A112" s="34" t="s">
        <v>366</v>
      </c>
      <c r="B112" s="4">
        <v>1.0218307561829539E-4</v>
      </c>
      <c r="C112" s="10">
        <v>2.5457491373537176E-5</v>
      </c>
      <c r="D112" s="4">
        <v>2.322109896772789E-5</v>
      </c>
      <c r="E112" s="4">
        <v>3.0553562066306608E-5</v>
      </c>
      <c r="F112" s="4">
        <v>0</v>
      </c>
      <c r="G112" s="4">
        <v>2.5457491373537176E-5</v>
      </c>
      <c r="H112" s="4">
        <v>0</v>
      </c>
      <c r="I112" s="4"/>
      <c r="J112" s="4"/>
    </row>
    <row r="113" spans="1:10">
      <c r="A113" s="34" t="s">
        <v>367</v>
      </c>
      <c r="B113" s="4">
        <v>1.4311854477675882E-3</v>
      </c>
      <c r="C113" s="10">
        <v>3.5115555996895409E-4</v>
      </c>
      <c r="D113" s="4">
        <v>1.0348129147288971E-4</v>
      </c>
      <c r="E113" s="4">
        <v>1.5794747534155331E-4</v>
      </c>
      <c r="F113" s="4">
        <v>4.5968361933637592E-4</v>
      </c>
      <c r="G113" s="4">
        <v>5.2630536445083893E-5</v>
      </c>
      <c r="H113" s="4">
        <v>2.2096296133194984E-4</v>
      </c>
      <c r="I113" s="4"/>
      <c r="J113" s="4"/>
    </row>
    <row r="114" spans="1:10">
      <c r="A114" s="34" t="s">
        <v>368</v>
      </c>
      <c r="B114" s="4">
        <v>0</v>
      </c>
      <c r="C114" s="10">
        <v>0</v>
      </c>
      <c r="D114" s="4">
        <v>0</v>
      </c>
      <c r="E114" s="4">
        <v>0</v>
      </c>
      <c r="F114" s="4">
        <v>0</v>
      </c>
      <c r="G114" s="4">
        <v>0</v>
      </c>
      <c r="H114" s="4">
        <v>0</v>
      </c>
      <c r="I114" s="4"/>
      <c r="J114" s="4"/>
    </row>
    <row r="115" spans="1:10">
      <c r="A115" s="34" t="s">
        <v>369</v>
      </c>
      <c r="B115" s="4">
        <v>1.4221692091583794E-4</v>
      </c>
      <c r="C115" s="10">
        <v>4.1805795418377117E-5</v>
      </c>
      <c r="D115" s="4">
        <v>0</v>
      </c>
      <c r="E115" s="4">
        <v>0</v>
      </c>
      <c r="F115" s="4">
        <v>0</v>
      </c>
      <c r="G115" s="4">
        <v>0</v>
      </c>
      <c r="H115" s="4">
        <v>0</v>
      </c>
      <c r="I115" s="4"/>
      <c r="J115" s="4"/>
    </row>
    <row r="116" spans="1:10">
      <c r="A116" s="34" t="s">
        <v>370</v>
      </c>
      <c r="B116" s="4">
        <v>1.1474042441335342E-4</v>
      </c>
      <c r="C116" s="10">
        <v>1.5741406542094308E-5</v>
      </c>
      <c r="D116" s="4">
        <v>7.6411560441966907E-5</v>
      </c>
      <c r="E116" s="4">
        <v>2.2587457429292204E-5</v>
      </c>
      <c r="F116" s="4">
        <v>0</v>
      </c>
      <c r="G116" s="4">
        <v>0</v>
      </c>
      <c r="H116" s="4">
        <v>0</v>
      </c>
      <c r="I116" s="4"/>
      <c r="J116" s="4"/>
    </row>
    <row r="117" spans="1:10">
      <c r="A117" s="34" t="s">
        <v>371</v>
      </c>
      <c r="B117" s="4">
        <v>3.2884861409463031E-4</v>
      </c>
      <c r="C117" s="10">
        <v>2.2128313043399541E-5</v>
      </c>
      <c r="D117" s="4">
        <v>5.5894121158140016E-5</v>
      </c>
      <c r="E117" s="4">
        <v>9.0957634266145807E-5</v>
      </c>
      <c r="F117" s="4">
        <v>5.3974730769727481E-5</v>
      </c>
      <c r="G117" s="4">
        <v>5.5894121158140016E-5</v>
      </c>
      <c r="H117" s="4">
        <v>7.8738339553517306E-5</v>
      </c>
      <c r="I117" s="4"/>
      <c r="J117" s="4"/>
    </row>
    <row r="118" spans="1:10">
      <c r="A118" s="34" t="s">
        <v>372</v>
      </c>
      <c r="B118" s="4">
        <v>1.7909817418085856E-3</v>
      </c>
      <c r="C118" s="10">
        <v>9.270992739719041E-4</v>
      </c>
      <c r="D118" s="4">
        <v>2.4237812057055106E-4</v>
      </c>
      <c r="E118" s="4">
        <v>3.2705412737246719E-4</v>
      </c>
      <c r="F118" s="4">
        <v>9.1937709640875764E-5</v>
      </c>
      <c r="G118" s="4">
        <v>2.1753774915508897E-4</v>
      </c>
      <c r="H118" s="4">
        <v>2.6744216493271848E-4</v>
      </c>
      <c r="I118" s="4"/>
      <c r="J118" s="4"/>
    </row>
    <row r="119" spans="1:10">
      <c r="A119" s="34" t="s">
        <v>373</v>
      </c>
      <c r="B119" s="4">
        <v>5.1569900962967936E-3</v>
      </c>
      <c r="C119" s="10">
        <v>2.5709167225492179E-3</v>
      </c>
      <c r="D119" s="4">
        <v>9.4934957178522122E-4</v>
      </c>
      <c r="E119" s="4">
        <v>8.5462295176518563E-4</v>
      </c>
      <c r="F119" s="4">
        <v>5.2124329024039033E-4</v>
      </c>
      <c r="G119" s="4">
        <v>5.9729664813247389E-4</v>
      </c>
      <c r="H119" s="4">
        <v>1.0523131548007983E-3</v>
      </c>
      <c r="I119" s="4"/>
      <c r="J119" s="4"/>
    </row>
    <row r="120" spans="1:10">
      <c r="A120" s="34" t="s">
        <v>374</v>
      </c>
      <c r="B120" s="4">
        <v>3.020745255388901E-3</v>
      </c>
      <c r="C120" s="10">
        <v>1.8194163541061434E-3</v>
      </c>
      <c r="D120" s="4">
        <v>3.7258399719473619E-4</v>
      </c>
      <c r="E120" s="4">
        <v>2.5393521090013237E-4</v>
      </c>
      <c r="F120" s="4">
        <v>1.7571838342799546E-4</v>
      </c>
      <c r="G120" s="4">
        <v>2.6139519239837131E-4</v>
      </c>
      <c r="H120" s="4">
        <v>6.4109385382182837E-4</v>
      </c>
      <c r="I120" s="4"/>
      <c r="J120" s="4"/>
    </row>
    <row r="121" spans="1:10">
      <c r="A121" s="34" t="s">
        <v>375</v>
      </c>
      <c r="B121" s="4">
        <v>4.8235069108567424E-2</v>
      </c>
      <c r="C121" s="10">
        <v>7.1273077239776481E-3</v>
      </c>
      <c r="D121" s="4">
        <v>4.3484695442612244E-3</v>
      </c>
      <c r="E121" s="4">
        <v>6.0733735488988734E-3</v>
      </c>
      <c r="F121" s="4">
        <v>3.2768052354805017E-3</v>
      </c>
      <c r="G121" s="4">
        <v>3.9364717237989457E-3</v>
      </c>
      <c r="H121" s="4">
        <v>5.0088872695673902E-3</v>
      </c>
      <c r="I121" s="4"/>
      <c r="J121" s="4"/>
    </row>
    <row r="122" spans="1:10">
      <c r="A122" s="34" t="s">
        <v>376</v>
      </c>
      <c r="B122" s="4">
        <v>1.7437267473528286E-3</v>
      </c>
      <c r="C122" s="10">
        <v>1.1574986045434282E-3</v>
      </c>
      <c r="D122" s="4">
        <v>1.6568311871790681E-4</v>
      </c>
      <c r="E122" s="4">
        <v>5.854571227069541E-5</v>
      </c>
      <c r="F122" s="4">
        <v>1.6821478867528426E-4</v>
      </c>
      <c r="G122" s="4">
        <v>2.5462053567754668E-5</v>
      </c>
      <c r="H122" s="4">
        <v>1.6631249856784879E-4</v>
      </c>
      <c r="I122" s="4"/>
      <c r="J122" s="4"/>
    </row>
    <row r="123" spans="1:10">
      <c r="A123" s="34" t="s">
        <v>377</v>
      </c>
      <c r="B123" s="4">
        <v>1.2325457963166157E-4</v>
      </c>
      <c r="C123" s="10">
        <v>0</v>
      </c>
      <c r="D123" s="4">
        <v>0</v>
      </c>
      <c r="E123" s="4">
        <v>0</v>
      </c>
      <c r="F123" s="4">
        <v>0</v>
      </c>
      <c r="G123" s="4">
        <v>4.7006301570951401E-5</v>
      </c>
      <c r="H123" s="4">
        <v>0</v>
      </c>
      <c r="I123" s="4"/>
      <c r="J123" s="4"/>
    </row>
    <row r="124" spans="1:10">
      <c r="A124" s="34" t="s">
        <v>378</v>
      </c>
      <c r="B124" s="4">
        <v>1.1285197125360835E-4</v>
      </c>
      <c r="C124" s="10">
        <v>0</v>
      </c>
      <c r="D124" s="4">
        <v>2.2413319892220389E-5</v>
      </c>
      <c r="E124" s="4">
        <v>0</v>
      </c>
      <c r="F124" s="4">
        <v>0</v>
      </c>
      <c r="G124" s="4">
        <v>0</v>
      </c>
      <c r="H124" s="4">
        <v>0</v>
      </c>
      <c r="I124" s="4"/>
      <c r="J124" s="4"/>
    </row>
    <row r="125" spans="1:10">
      <c r="A125" s="34" t="s">
        <v>379</v>
      </c>
      <c r="B125" s="4">
        <v>2.6612898129373903E-5</v>
      </c>
      <c r="C125" s="10">
        <v>0</v>
      </c>
      <c r="D125" s="4">
        <v>0</v>
      </c>
      <c r="E125" s="4">
        <v>2.6612898129373903E-5</v>
      </c>
      <c r="F125" s="4">
        <v>0</v>
      </c>
      <c r="G125" s="4">
        <v>0</v>
      </c>
      <c r="H125" s="4">
        <v>0</v>
      </c>
      <c r="I125" s="4"/>
      <c r="J125" s="4"/>
    </row>
    <row r="126" spans="1:10">
      <c r="A126" s="34" t="s">
        <v>380</v>
      </c>
      <c r="B126" s="4">
        <v>1.0230434988532456E-3</v>
      </c>
      <c r="C126" s="10">
        <v>6.930743776078339E-4</v>
      </c>
      <c r="D126" s="4">
        <v>2.3918314684626013E-4</v>
      </c>
      <c r="E126" s="4">
        <v>5.8549737371638932E-5</v>
      </c>
      <c r="F126" s="4">
        <v>2.4634693309042462E-5</v>
      </c>
      <c r="G126" s="4">
        <v>3.7993157993318366E-5</v>
      </c>
      <c r="H126" s="4">
        <v>1.8173915804365695E-5</v>
      </c>
      <c r="I126" s="4"/>
      <c r="J126" s="4"/>
    </row>
    <row r="127" spans="1:10">
      <c r="A127" s="34" t="s">
        <v>381</v>
      </c>
      <c r="B127" s="4">
        <v>1.1122767939363764E-3</v>
      </c>
      <c r="C127" s="10">
        <v>8.4964556212884131E-4</v>
      </c>
      <c r="D127" s="4">
        <v>2.1037421582476405E-4</v>
      </c>
      <c r="E127" s="4">
        <v>4.6361196211550214E-5</v>
      </c>
      <c r="F127" s="4">
        <v>5.2965768539542389E-5</v>
      </c>
      <c r="G127" s="4">
        <v>7.8453738728384375E-5</v>
      </c>
      <c r="H127" s="4">
        <v>5.1600513668428275E-5</v>
      </c>
      <c r="I127" s="4"/>
      <c r="J127" s="4"/>
    </row>
    <row r="128" spans="1:10">
      <c r="A128" s="34" t="s">
        <v>382</v>
      </c>
      <c r="B128" s="4">
        <v>8.2363525898864365E-4</v>
      </c>
      <c r="C128" s="10">
        <v>1.5774964478275488E-4</v>
      </c>
      <c r="D128" s="4">
        <v>1.567254040710699E-4</v>
      </c>
      <c r="E128" s="4">
        <v>7.5776629345483402E-5</v>
      </c>
      <c r="F128" s="4">
        <v>1.9051439123756529E-4</v>
      </c>
      <c r="G128" s="4">
        <v>7.0009572066446121E-5</v>
      </c>
      <c r="H128" s="4">
        <v>2.5831256030127723E-5</v>
      </c>
      <c r="I128" s="4"/>
      <c r="J128" s="4"/>
    </row>
    <row r="129" spans="1:10">
      <c r="A129" s="34" t="s">
        <v>383</v>
      </c>
      <c r="B129" s="4">
        <v>0</v>
      </c>
      <c r="C129" s="10">
        <v>0</v>
      </c>
      <c r="D129" s="4">
        <v>0</v>
      </c>
      <c r="E129" s="4">
        <v>0</v>
      </c>
      <c r="F129" s="4">
        <v>0</v>
      </c>
      <c r="G129" s="4">
        <v>0</v>
      </c>
      <c r="H129" s="4">
        <v>0</v>
      </c>
      <c r="I129" s="4"/>
      <c r="J129" s="4"/>
    </row>
    <row r="130" spans="1:10">
      <c r="A130" s="34" t="s">
        <v>384</v>
      </c>
      <c r="B130" s="4">
        <v>1.6765309465480369E-3</v>
      </c>
      <c r="C130" s="10">
        <v>2.0229583891058378E-4</v>
      </c>
      <c r="D130" s="4">
        <v>1.1348603733824457E-4</v>
      </c>
      <c r="E130" s="4">
        <v>1.1810653298349561E-4</v>
      </c>
      <c r="F130" s="4">
        <v>3.6047679444963247E-4</v>
      </c>
      <c r="G130" s="4">
        <v>3.8914069664846337E-4</v>
      </c>
      <c r="H130" s="4">
        <v>1.6722675214816079E-4</v>
      </c>
      <c r="I130" s="4"/>
      <c r="J130" s="4"/>
    </row>
    <row r="131" spans="1:10">
      <c r="A131" s="34" t="s">
        <v>385</v>
      </c>
      <c r="B131" s="4">
        <v>3.3484172465549417E-5</v>
      </c>
      <c r="C131" s="10">
        <v>0</v>
      </c>
      <c r="D131" s="4">
        <v>3.3484172465549417E-5</v>
      </c>
      <c r="E131" s="4">
        <v>0</v>
      </c>
      <c r="F131" s="4">
        <v>3.3484172465549417E-5</v>
      </c>
      <c r="G131" s="4">
        <v>0</v>
      </c>
      <c r="H131" s="4">
        <v>0</v>
      </c>
      <c r="I131" s="4"/>
      <c r="J131" s="4"/>
    </row>
    <row r="132" spans="1:10">
      <c r="A132" s="34" t="s">
        <v>386</v>
      </c>
      <c r="B132" s="4">
        <v>1.4400040178811321E-3</v>
      </c>
      <c r="C132" s="10">
        <v>1.1427925707908828E-3</v>
      </c>
      <c r="D132" s="4">
        <v>1.3586956745563285E-4</v>
      </c>
      <c r="E132" s="4">
        <v>1.1864514340970711E-4</v>
      </c>
      <c r="F132" s="4">
        <v>3.6480869941239145E-5</v>
      </c>
      <c r="G132" s="4">
        <v>8.7072664853514944E-5</v>
      </c>
      <c r="H132" s="4">
        <v>8.8999923796549138E-5</v>
      </c>
      <c r="I132" s="4"/>
      <c r="J132" s="4"/>
    </row>
    <row r="133" spans="1:10">
      <c r="A133" s="34" t="s">
        <v>387</v>
      </c>
      <c r="B133" s="4">
        <v>1.4860891730490414E-3</v>
      </c>
      <c r="C133" s="10">
        <v>2.0004598732963072E-4</v>
      </c>
      <c r="D133" s="4">
        <v>7.1705593783114331E-5</v>
      </c>
      <c r="E133" s="4">
        <v>3.7976208822917729E-4</v>
      </c>
      <c r="F133" s="4">
        <v>5.8213107436195545E-4</v>
      </c>
      <c r="G133" s="4">
        <v>1.2324824302425858E-4</v>
      </c>
      <c r="H133" s="4">
        <v>1.1692289771385872E-4</v>
      </c>
      <c r="I133" s="4"/>
      <c r="J133" s="4"/>
    </row>
    <row r="134" spans="1:10">
      <c r="A134" s="34" t="s">
        <v>388</v>
      </c>
      <c r="B134" s="4">
        <v>1.7083834862900195E-3</v>
      </c>
      <c r="C134" s="10">
        <v>8.6564563865456235E-4</v>
      </c>
      <c r="D134" s="4">
        <v>3.014983086869287E-4</v>
      </c>
      <c r="E134" s="4">
        <v>1.7479449020673451E-4</v>
      </c>
      <c r="F134" s="4">
        <v>7.8936730964347229E-5</v>
      </c>
      <c r="G134" s="4">
        <v>1.1438331168033714E-4</v>
      </c>
      <c r="H134" s="4">
        <v>1.9339951002532487E-4</v>
      </c>
      <c r="I134" s="4"/>
      <c r="J134" s="4"/>
    </row>
    <row r="135" spans="1:10">
      <c r="A135" s="34" t="s">
        <v>389</v>
      </c>
      <c r="B135" s="4">
        <v>1.7320609159428154E-3</v>
      </c>
      <c r="C135" s="10">
        <v>2.1767983451892196E-4</v>
      </c>
      <c r="D135" s="4">
        <v>1.8580038856178002E-4</v>
      </c>
      <c r="E135" s="4">
        <v>1.2645160930301093E-4</v>
      </c>
      <c r="F135" s="4">
        <v>4.7800751418394517E-4</v>
      </c>
      <c r="G135" s="4">
        <v>2.8799366298103672E-4</v>
      </c>
      <c r="H135" s="4">
        <v>7.9791240924933834E-5</v>
      </c>
      <c r="I135" s="4"/>
      <c r="J135" s="4"/>
    </row>
    <row r="136" spans="1:10">
      <c r="A136" s="34" t="s">
        <v>390</v>
      </c>
      <c r="B136" s="4">
        <v>2.75976947443792E-2</v>
      </c>
      <c r="C136" s="10">
        <v>5.1966745209404827E-3</v>
      </c>
      <c r="D136" s="4">
        <v>2.8867943251078593E-3</v>
      </c>
      <c r="E136" s="4">
        <v>7.1364610562891324E-3</v>
      </c>
      <c r="F136" s="4">
        <v>3.8926157139601717E-3</v>
      </c>
      <c r="G136" s="4">
        <v>3.6087173608444992E-3</v>
      </c>
      <c r="H136" s="4">
        <v>3.461544066278546E-3</v>
      </c>
      <c r="I136" s="4"/>
      <c r="J136" s="4"/>
    </row>
    <row r="137" spans="1:10">
      <c r="A137" s="34" t="s">
        <v>391</v>
      </c>
      <c r="B137" s="4">
        <v>9.1486440242002695E-5</v>
      </c>
      <c r="C137" s="10">
        <v>7.3034781975905773E-5</v>
      </c>
      <c r="D137" s="4">
        <v>0</v>
      </c>
      <c r="E137" s="4">
        <v>0</v>
      </c>
      <c r="F137" s="4">
        <v>1.8451658266096925E-5</v>
      </c>
      <c r="G137" s="4">
        <v>0</v>
      </c>
      <c r="H137" s="4">
        <v>0</v>
      </c>
      <c r="I137" s="4"/>
      <c r="J137" s="4"/>
    </row>
    <row r="138" spans="1:10">
      <c r="A138" s="34" t="s">
        <v>392</v>
      </c>
      <c r="B138" s="4">
        <v>4.2684219383848642E-4</v>
      </c>
      <c r="C138" s="10">
        <v>1.679726146698562E-4</v>
      </c>
      <c r="D138" s="4">
        <v>7.5109570125275022E-5</v>
      </c>
      <c r="E138" s="4">
        <v>6.3240470923451531E-5</v>
      </c>
      <c r="F138" s="4">
        <v>9.7034383744834676E-5</v>
      </c>
      <c r="G138" s="4">
        <v>0</v>
      </c>
      <c r="H138" s="4">
        <v>2.9586562894575336E-5</v>
      </c>
      <c r="I138" s="4"/>
      <c r="J138" s="4"/>
    </row>
    <row r="139" spans="1:10">
      <c r="A139" s="34" t="s">
        <v>393</v>
      </c>
      <c r="B139" s="4">
        <v>5.7207127389376543E-3</v>
      </c>
      <c r="C139" s="10">
        <v>1.6970568060191529E-3</v>
      </c>
      <c r="D139" s="4">
        <v>9.7177967309321342E-4</v>
      </c>
      <c r="E139" s="4">
        <v>5.7669239569275695E-4</v>
      </c>
      <c r="F139" s="4">
        <v>2.9167545123132198E-4</v>
      </c>
      <c r="G139" s="4">
        <v>5.4274911419790453E-4</v>
      </c>
      <c r="H139" s="4">
        <v>1.0556273137283078E-3</v>
      </c>
      <c r="I139" s="4"/>
      <c r="J139" s="4"/>
    </row>
    <row r="140" spans="1:10">
      <c r="A140" s="34" t="s">
        <v>394</v>
      </c>
      <c r="B140" s="4">
        <v>9.9325276984572495E-4</v>
      </c>
      <c r="C140" s="10">
        <v>4.5731781545979946E-4</v>
      </c>
      <c r="D140" s="4">
        <v>6.6979793166007222E-5</v>
      </c>
      <c r="E140" s="4">
        <v>7.2944488579704429E-5</v>
      </c>
      <c r="F140" s="4">
        <v>4.740912457641748E-4</v>
      </c>
      <c r="G140" s="4">
        <v>3.3529674701984275E-5</v>
      </c>
      <c r="H140" s="4">
        <v>2.1148593976613091E-5</v>
      </c>
      <c r="I140" s="4"/>
      <c r="J140" s="4"/>
    </row>
    <row r="141" spans="1:10">
      <c r="A141" s="34" t="s">
        <v>395</v>
      </c>
      <c r="B141" s="4">
        <v>1.5891296804899791E-4</v>
      </c>
      <c r="C141" s="10">
        <v>0</v>
      </c>
      <c r="D141" s="4">
        <v>6.1058440157982067E-5</v>
      </c>
      <c r="E141" s="4">
        <v>2.3379205644967049E-5</v>
      </c>
      <c r="F141" s="4">
        <v>2.3520823188533335E-5</v>
      </c>
      <c r="G141" s="4">
        <v>4.603873045682811E-5</v>
      </c>
      <c r="H141" s="4">
        <v>5.1674179890621456E-5</v>
      </c>
      <c r="I141" s="4"/>
      <c r="J141" s="4"/>
    </row>
    <row r="142" spans="1:10">
      <c r="A142" s="34" t="s">
        <v>396</v>
      </c>
      <c r="B142" s="4">
        <v>2.07978934884217E-2</v>
      </c>
      <c r="C142" s="10">
        <v>9.844869862108795E-3</v>
      </c>
      <c r="D142" s="4">
        <v>3.0324561100572643E-3</v>
      </c>
      <c r="E142" s="4">
        <v>1.7399877430752258E-3</v>
      </c>
      <c r="F142" s="4">
        <v>1.9176127567266993E-3</v>
      </c>
      <c r="G142" s="4">
        <v>3.5456549778942661E-3</v>
      </c>
      <c r="H142" s="4">
        <v>1.9371514506577141E-3</v>
      </c>
      <c r="I142" s="4"/>
      <c r="J142" s="4"/>
    </row>
    <row r="143" spans="1:10">
      <c r="A143" s="34" t="s">
        <v>397</v>
      </c>
      <c r="B143" s="4">
        <v>2.0147335896207623E-3</v>
      </c>
      <c r="C143" s="10">
        <v>5.0240370154802129E-4</v>
      </c>
      <c r="D143" s="4">
        <v>2.8767896483769474E-4</v>
      </c>
      <c r="E143" s="4">
        <v>1.966738190643419E-4</v>
      </c>
      <c r="F143" s="4">
        <v>2.6843192248218587E-4</v>
      </c>
      <c r="G143" s="4">
        <v>7.8544249421567898E-5</v>
      </c>
      <c r="H143" s="4">
        <v>1.3207091014787959E-4</v>
      </c>
      <c r="I143" s="4"/>
      <c r="J143" s="4"/>
    </row>
    <row r="144" spans="1:10">
      <c r="A144" s="34" t="s">
        <v>398</v>
      </c>
      <c r="B144" s="4">
        <v>0</v>
      </c>
      <c r="C144" s="10">
        <v>0</v>
      </c>
      <c r="D144" s="4">
        <v>0</v>
      </c>
      <c r="E144" s="4">
        <v>0</v>
      </c>
      <c r="F144" s="4">
        <v>0</v>
      </c>
      <c r="G144" s="4">
        <v>0</v>
      </c>
      <c r="H144" s="4">
        <v>0</v>
      </c>
      <c r="I144" s="4"/>
      <c r="J144" s="4"/>
    </row>
    <row r="145" spans="1:10">
      <c r="A145" s="34" t="s">
        <v>399</v>
      </c>
      <c r="B145" s="4">
        <v>5.5658841701246107E-3</v>
      </c>
      <c r="C145" s="10">
        <v>2.8640920899515527E-3</v>
      </c>
      <c r="D145" s="4">
        <v>7.5271662036810645E-4</v>
      </c>
      <c r="E145" s="4">
        <v>2.6596459797194138E-4</v>
      </c>
      <c r="F145" s="4">
        <v>9.3687643106444467E-5</v>
      </c>
      <c r="G145" s="4">
        <v>5.7164302852447693E-5</v>
      </c>
      <c r="H145" s="4">
        <v>9.0135600711131519E-4</v>
      </c>
      <c r="I145" s="4"/>
      <c r="J145" s="4"/>
    </row>
    <row r="146" spans="1:10">
      <c r="A146" s="34" t="s">
        <v>400</v>
      </c>
      <c r="B146" s="4">
        <v>9.665879227483354E-4</v>
      </c>
      <c r="C146" s="10">
        <v>2.6082094492088176E-4</v>
      </c>
      <c r="D146" s="4">
        <v>1.001119317119876E-4</v>
      </c>
      <c r="E146" s="4">
        <v>0</v>
      </c>
      <c r="F146" s="4">
        <v>2.2935511101019464E-5</v>
      </c>
      <c r="G146" s="4">
        <v>5.0344052634362327E-5</v>
      </c>
      <c r="H146" s="4">
        <v>2.5003107366436929E-5</v>
      </c>
      <c r="I146" s="4"/>
      <c r="J146" s="4"/>
    </row>
    <row r="147" spans="1:10">
      <c r="A147" s="34" t="s">
        <v>401</v>
      </c>
      <c r="B147" s="4">
        <v>3.5338589607633352E-3</v>
      </c>
      <c r="C147" s="10">
        <v>3.3107438106273561E-4</v>
      </c>
      <c r="D147" s="4">
        <v>3.6428440152691381E-4</v>
      </c>
      <c r="E147" s="4">
        <v>1.4784001678988496E-4</v>
      </c>
      <c r="F147" s="4">
        <v>2.3614153557959903E-3</v>
      </c>
      <c r="G147" s="4">
        <v>2.3532819479286755E-4</v>
      </c>
      <c r="H147" s="4">
        <v>6.8949962272354457E-5</v>
      </c>
      <c r="I147" s="4"/>
      <c r="J147" s="4"/>
    </row>
    <row r="148" spans="1:10">
      <c r="A148" s="34" t="s">
        <v>402</v>
      </c>
      <c r="B148" s="4">
        <v>1.575149614107683E-3</v>
      </c>
      <c r="C148" s="10">
        <v>2.3516439855459308E-4</v>
      </c>
      <c r="D148" s="4">
        <v>4.1743881115154395E-4</v>
      </c>
      <c r="E148" s="4">
        <v>2.1082701368272199E-4</v>
      </c>
      <c r="F148" s="4">
        <v>2.5757080109355221E-4</v>
      </c>
      <c r="G148" s="4">
        <v>3.2879619388889849E-4</v>
      </c>
      <c r="H148" s="4">
        <v>8.3240279633621579E-5</v>
      </c>
      <c r="I148" s="4"/>
      <c r="J148" s="4"/>
    </row>
    <row r="149" spans="1:10">
      <c r="A149" s="34" t="s">
        <v>403</v>
      </c>
      <c r="B149" s="4">
        <v>8.6677456293666189E-3</v>
      </c>
      <c r="C149" s="10">
        <v>2.7739104873127605E-3</v>
      </c>
      <c r="D149" s="4">
        <v>1.2685549607603162E-3</v>
      </c>
      <c r="E149" s="4">
        <v>9.1059737612737975E-4</v>
      </c>
      <c r="F149" s="4">
        <v>5.911998361430188E-4</v>
      </c>
      <c r="G149" s="4">
        <v>2.0743376952831523E-4</v>
      </c>
      <c r="H149" s="4">
        <v>3.5879847403135433E-3</v>
      </c>
      <c r="I149" s="4"/>
      <c r="J149" s="4"/>
    </row>
    <row r="150" spans="1:10">
      <c r="A150" s="34" t="s">
        <v>404</v>
      </c>
      <c r="B150" s="4">
        <v>4.2944862398760518E-2</v>
      </c>
      <c r="C150" s="10">
        <v>3.0323837654954219E-3</v>
      </c>
      <c r="D150" s="4">
        <v>3.3914860056890612E-3</v>
      </c>
      <c r="E150" s="4">
        <v>3.5037550597508895E-3</v>
      </c>
      <c r="F150" s="4">
        <v>1.7660770228596838E-3</v>
      </c>
      <c r="G150" s="4">
        <v>2.5306278218437833E-3</v>
      </c>
      <c r="H150" s="4">
        <v>3.6251489055277903E-3</v>
      </c>
      <c r="I150" s="4"/>
      <c r="J150" s="4"/>
    </row>
    <row r="151" spans="1:10">
      <c r="A151" s="34" t="s">
        <v>405</v>
      </c>
      <c r="B151" s="4">
        <v>8.402803860848028E-4</v>
      </c>
      <c r="C151" s="10">
        <v>5.4293718365227054E-4</v>
      </c>
      <c r="D151" s="4">
        <v>8.0635437139077191E-5</v>
      </c>
      <c r="E151" s="4">
        <v>1.3220223706341967E-4</v>
      </c>
      <c r="F151" s="4">
        <v>0</v>
      </c>
      <c r="G151" s="4">
        <v>6.1834970371298307E-5</v>
      </c>
      <c r="H151" s="4">
        <v>1.9008478307606816E-4</v>
      </c>
      <c r="I151" s="4"/>
      <c r="J151" s="4"/>
    </row>
    <row r="152" spans="1:10">
      <c r="A152" s="34" t="s">
        <v>406</v>
      </c>
      <c r="B152" s="4">
        <v>4.101115157736831E-4</v>
      </c>
      <c r="C152" s="10">
        <v>1.3849524599297085E-4</v>
      </c>
      <c r="D152" s="4">
        <v>3.9564513474456668E-5</v>
      </c>
      <c r="E152" s="4">
        <v>6.8322679121821049E-5</v>
      </c>
      <c r="F152" s="4">
        <v>9.100583832402691E-5</v>
      </c>
      <c r="G152" s="4">
        <v>2.4148141629850409E-5</v>
      </c>
      <c r="H152" s="4">
        <v>2.298110506000028E-5</v>
      </c>
      <c r="I152" s="4"/>
      <c r="J152" s="4"/>
    </row>
    <row r="153" spans="1:10">
      <c r="A153" s="34" t="s">
        <v>407</v>
      </c>
      <c r="B153" s="4">
        <v>3.2329634439471392E-3</v>
      </c>
      <c r="C153" s="10">
        <v>4.1576405174613006E-4</v>
      </c>
      <c r="D153" s="4">
        <v>1.5203400267137853E-4</v>
      </c>
      <c r="E153" s="4">
        <v>9.8292681465533219E-4</v>
      </c>
      <c r="F153" s="4">
        <v>7.464868866608284E-4</v>
      </c>
      <c r="G153" s="4">
        <v>9.1277216281651153E-4</v>
      </c>
      <c r="H153" s="4">
        <v>2.877945221540159E-4</v>
      </c>
      <c r="I153" s="4"/>
      <c r="J153" s="4"/>
    </row>
    <row r="154" spans="1:10">
      <c r="A154" s="34" t="s">
        <v>408</v>
      </c>
      <c r="B154" s="4">
        <v>6.6839275615871626E-5</v>
      </c>
      <c r="C154" s="10">
        <v>2.4062975566125805E-5</v>
      </c>
      <c r="D154" s="4">
        <v>2.4132373513031938E-5</v>
      </c>
      <c r="E154" s="4">
        <v>2.4062975566125805E-5</v>
      </c>
      <c r="F154" s="4">
        <v>0</v>
      </c>
      <c r="G154" s="4">
        <v>0</v>
      </c>
      <c r="H154" s="4">
        <v>0</v>
      </c>
      <c r="I154" s="4"/>
      <c r="J154" s="4"/>
    </row>
    <row r="155" spans="1:10">
      <c r="A155" s="34" t="s">
        <v>409</v>
      </c>
      <c r="B155" s="4">
        <v>2.1753540787972881E-5</v>
      </c>
      <c r="C155" s="10">
        <v>0</v>
      </c>
      <c r="D155" s="4">
        <v>0</v>
      </c>
      <c r="E155" s="4">
        <v>0</v>
      </c>
      <c r="F155" s="4">
        <v>0</v>
      </c>
      <c r="G155" s="4">
        <v>0</v>
      </c>
      <c r="H155" s="4">
        <v>0</v>
      </c>
      <c r="I155" s="4"/>
      <c r="J155" s="4"/>
    </row>
    <row r="156" spans="1:10">
      <c r="A156" s="34" t="s">
        <v>410</v>
      </c>
      <c r="B156" s="4">
        <v>3.0508380614959043E-4</v>
      </c>
      <c r="C156" s="10">
        <v>1.4890729647842679E-4</v>
      </c>
      <c r="D156" s="4">
        <v>2.1696369988354563E-5</v>
      </c>
      <c r="E156" s="4">
        <v>9.112673261436164E-5</v>
      </c>
      <c r="F156" s="4">
        <v>6.9450569609798233E-5</v>
      </c>
      <c r="G156" s="4">
        <v>2.3277939993508972E-5</v>
      </c>
      <c r="H156" s="4">
        <v>2.1883880852887891E-5</v>
      </c>
      <c r="I156" s="4"/>
      <c r="J156" s="4"/>
    </row>
    <row r="157" spans="1:10">
      <c r="A157" s="118" t="s">
        <v>411</v>
      </c>
      <c r="B157" s="123">
        <v>2.818921456557685E-2</v>
      </c>
      <c r="C157" s="126">
        <v>8.3293358317850907E-4</v>
      </c>
      <c r="D157" s="123">
        <v>1.233062056456522E-3</v>
      </c>
      <c r="E157" s="123">
        <v>8.6384011132339209E-3</v>
      </c>
      <c r="F157" s="123">
        <v>1.4663276145042394E-2</v>
      </c>
      <c r="G157" s="123">
        <v>1.5108733203423274E-3</v>
      </c>
      <c r="H157" s="123">
        <v>9.8064319298788328E-4</v>
      </c>
      <c r="I157" s="4"/>
      <c r="J157" s="4"/>
    </row>
    <row r="158" spans="1:10">
      <c r="A158" s="67"/>
      <c r="B158" s="187" t="s">
        <v>147</v>
      </c>
      <c r="C158" s="187"/>
      <c r="D158" s="187"/>
      <c r="E158" s="187"/>
      <c r="F158" s="187"/>
      <c r="G158" s="187"/>
      <c r="H158" s="187"/>
    </row>
    <row r="159" spans="1:10">
      <c r="A159" s="34" t="s">
        <v>270</v>
      </c>
      <c r="B159" s="45">
        <v>21633.983557844283</v>
      </c>
      <c r="C159" s="11">
        <v>3630.4565998814128</v>
      </c>
      <c r="D159" s="45">
        <v>4180.364422327636</v>
      </c>
      <c r="E159" s="45">
        <v>2694.2118136068111</v>
      </c>
      <c r="F159" s="45">
        <v>3840.5107957402583</v>
      </c>
      <c r="G159" s="45">
        <v>3131.966134992796</v>
      </c>
      <c r="H159" s="45">
        <v>2193.8638381979049</v>
      </c>
    </row>
    <row r="160" spans="1:10">
      <c r="A160" s="34" t="s">
        <v>271</v>
      </c>
      <c r="B160" s="45">
        <v>50126.101804138118</v>
      </c>
      <c r="C160" s="11">
        <v>13060.177807840895</v>
      </c>
      <c r="D160" s="45">
        <v>8909.9310376568046</v>
      </c>
      <c r="E160" s="45">
        <v>10244.422090060343</v>
      </c>
      <c r="F160" s="45">
        <v>20074.353192446742</v>
      </c>
      <c r="G160" s="45">
        <v>10439.651796302496</v>
      </c>
      <c r="H160" s="45">
        <v>4417.2593254844342</v>
      </c>
    </row>
    <row r="161" spans="1:8">
      <c r="A161" s="34" t="s">
        <v>272</v>
      </c>
      <c r="B161" s="45">
        <v>27110.177873350131</v>
      </c>
      <c r="C161" s="11">
        <v>12597.212750116201</v>
      </c>
      <c r="D161" s="45">
        <v>5794.8182582122017</v>
      </c>
      <c r="E161" s="45">
        <v>473.19840682511523</v>
      </c>
      <c r="F161" s="45">
        <v>6621.7034052605632</v>
      </c>
      <c r="G161" s="45">
        <v>1962.5583679951569</v>
      </c>
      <c r="H161" s="45">
        <v>3485.7103328519406</v>
      </c>
    </row>
    <row r="162" spans="1:8">
      <c r="A162" s="34" t="s">
        <v>273</v>
      </c>
      <c r="B162" s="45">
        <v>175018.48542949287</v>
      </c>
      <c r="C162" s="11">
        <v>47668.427467846326</v>
      </c>
      <c r="D162" s="45">
        <v>25400.469935737518</v>
      </c>
      <c r="E162" s="45">
        <v>31315.186792091848</v>
      </c>
      <c r="F162" s="45">
        <v>26799.138082533274</v>
      </c>
      <c r="G162" s="45">
        <v>36715.004699856392</v>
      </c>
      <c r="H162" s="45">
        <v>55236.899125442171</v>
      </c>
    </row>
    <row r="163" spans="1:8">
      <c r="A163" s="34" t="s">
        <v>274</v>
      </c>
      <c r="B163" s="45">
        <v>413135.61361357151</v>
      </c>
      <c r="C163" s="11">
        <v>238786.56774532449</v>
      </c>
      <c r="D163" s="45">
        <v>59284.870780661739</v>
      </c>
      <c r="E163" s="45">
        <v>42667.341553227627</v>
      </c>
      <c r="F163" s="45">
        <v>31056.553739687195</v>
      </c>
      <c r="G163" s="45">
        <v>33342.465453527118</v>
      </c>
      <c r="H163" s="45">
        <v>49968.923258263312</v>
      </c>
    </row>
    <row r="164" spans="1:8">
      <c r="A164" s="34" t="s">
        <v>275</v>
      </c>
      <c r="B164" s="45">
        <v>178277.26488001421</v>
      </c>
      <c r="C164" s="11">
        <v>40467.958566990477</v>
      </c>
      <c r="D164" s="45">
        <v>27365.803417391297</v>
      </c>
      <c r="E164" s="45">
        <v>17674.227780130932</v>
      </c>
      <c r="F164" s="45">
        <v>11862.810058444853</v>
      </c>
      <c r="G164" s="45">
        <v>13963.309836445364</v>
      </c>
      <c r="H164" s="45">
        <v>48416.660419686974</v>
      </c>
    </row>
    <row r="165" spans="1:8">
      <c r="A165" s="34" t="s">
        <v>276</v>
      </c>
      <c r="B165" s="45">
        <v>57331.062621256882</v>
      </c>
      <c r="C165" s="11">
        <v>30249.99171844832</v>
      </c>
      <c r="D165" s="45">
        <v>8822.4902917871095</v>
      </c>
      <c r="E165" s="45">
        <v>8325.8010311050402</v>
      </c>
      <c r="F165" s="45">
        <v>4614.7687303560688</v>
      </c>
      <c r="G165" s="45">
        <v>4193.2017158555518</v>
      </c>
      <c r="H165" s="45">
        <v>9787.0612420184389</v>
      </c>
    </row>
    <row r="166" spans="1:8">
      <c r="A166" s="34" t="s">
        <v>277</v>
      </c>
      <c r="B166" s="45">
        <v>531412.1646076797</v>
      </c>
      <c r="C166" s="11">
        <v>222364.48586238155</v>
      </c>
      <c r="D166" s="45">
        <v>99877.16289377131</v>
      </c>
      <c r="E166" s="45">
        <v>71551.133044040092</v>
      </c>
      <c r="F166" s="45">
        <v>32227.426399782587</v>
      </c>
      <c r="G166" s="45">
        <v>41470.36403537359</v>
      </c>
      <c r="H166" s="45">
        <v>104527.15185222472</v>
      </c>
    </row>
    <row r="167" spans="1:8">
      <c r="A167" s="34" t="s">
        <v>278</v>
      </c>
      <c r="B167" s="45">
        <v>3753.4721162611486</v>
      </c>
      <c r="C167" s="11">
        <v>1455.7097816775417</v>
      </c>
      <c r="D167" s="45">
        <v>840.19993367173379</v>
      </c>
      <c r="E167" s="45">
        <v>416.01971352379371</v>
      </c>
      <c r="F167" s="45">
        <v>1353.6316126076476</v>
      </c>
      <c r="G167" s="45">
        <v>1353.6316126076476</v>
      </c>
      <c r="H167" s="45">
        <v>416.01971352379371</v>
      </c>
    </row>
    <row r="168" spans="1:8">
      <c r="A168" s="34" t="s">
        <v>279</v>
      </c>
      <c r="B168" s="45">
        <v>2072.5698464895809</v>
      </c>
      <c r="C168" s="11">
        <v>328.82929994755739</v>
      </c>
      <c r="D168" s="45">
        <v>536.39263823500096</v>
      </c>
      <c r="E168" s="45">
        <v>536.39263823500096</v>
      </c>
      <c r="F168" s="45">
        <v>0</v>
      </c>
      <c r="G168" s="45">
        <v>636.35481729842388</v>
      </c>
      <c r="H168" s="45">
        <v>636.35481729842388</v>
      </c>
    </row>
    <row r="169" spans="1:8">
      <c r="A169" s="34" t="s">
        <v>280</v>
      </c>
      <c r="B169" s="45">
        <v>19962.962645765547</v>
      </c>
      <c r="C169" s="11">
        <v>7991.7309180898692</v>
      </c>
      <c r="D169" s="45">
        <v>3356.4318035950323</v>
      </c>
      <c r="E169" s="45">
        <v>4793.9849906436166</v>
      </c>
      <c r="F169" s="45">
        <v>3974.4523792651748</v>
      </c>
      <c r="G169" s="45">
        <v>2047.2209986863404</v>
      </c>
      <c r="H169" s="45">
        <v>1247.2554523994381</v>
      </c>
    </row>
    <row r="170" spans="1:8">
      <c r="A170" s="34" t="s">
        <v>281</v>
      </c>
      <c r="B170" s="45">
        <v>2075.7409158476062</v>
      </c>
      <c r="C170" s="11">
        <v>1123.6316725084207</v>
      </c>
      <c r="D170" s="45">
        <v>527.92902319124528</v>
      </c>
      <c r="E170" s="45">
        <v>596.15747789923603</v>
      </c>
      <c r="F170" s="45">
        <v>596.15747789923603</v>
      </c>
      <c r="G170" s="45">
        <v>596.15747789923603</v>
      </c>
      <c r="H170" s="45">
        <v>424.18022014794013</v>
      </c>
    </row>
    <row r="171" spans="1:8">
      <c r="A171" s="34" t="s">
        <v>282</v>
      </c>
      <c r="B171" s="45">
        <v>0</v>
      </c>
      <c r="C171" s="11">
        <v>0</v>
      </c>
      <c r="D171" s="45">
        <v>0</v>
      </c>
      <c r="E171" s="45">
        <v>0</v>
      </c>
      <c r="F171" s="45">
        <v>0</v>
      </c>
      <c r="G171" s="45">
        <v>0</v>
      </c>
      <c r="H171" s="45">
        <v>0</v>
      </c>
    </row>
    <row r="172" spans="1:8">
      <c r="A172" s="34" t="s">
        <v>283</v>
      </c>
      <c r="B172" s="45">
        <v>1677.612428370225</v>
      </c>
      <c r="C172" s="11">
        <v>1349.1925203240903</v>
      </c>
      <c r="D172" s="45">
        <v>547.35180090516383</v>
      </c>
      <c r="E172" s="45">
        <v>0</v>
      </c>
      <c r="F172" s="45">
        <v>0</v>
      </c>
      <c r="G172" s="45">
        <v>0</v>
      </c>
      <c r="H172" s="45">
        <v>0</v>
      </c>
    </row>
    <row r="173" spans="1:8">
      <c r="A173" s="34" t="s">
        <v>284</v>
      </c>
      <c r="B173" s="45">
        <v>0</v>
      </c>
      <c r="C173" s="11">
        <v>0</v>
      </c>
      <c r="D173" s="45">
        <v>0</v>
      </c>
      <c r="E173" s="45">
        <v>0</v>
      </c>
      <c r="F173" s="45">
        <v>0</v>
      </c>
      <c r="G173" s="45">
        <v>0</v>
      </c>
      <c r="H173" s="45">
        <v>0</v>
      </c>
    </row>
    <row r="174" spans="1:8">
      <c r="A174" s="34" t="s">
        <v>285</v>
      </c>
      <c r="B174" s="45">
        <v>3613.5896093877586</v>
      </c>
      <c r="C174" s="11">
        <v>541.12492910961919</v>
      </c>
      <c r="D174" s="45">
        <v>416.17534521226838</v>
      </c>
      <c r="E174" s="45">
        <v>0</v>
      </c>
      <c r="F174" s="45">
        <v>1510.3471402020789</v>
      </c>
      <c r="G174" s="45">
        <v>2151.9602461995769</v>
      </c>
      <c r="H174" s="45">
        <v>1052.8934967770617</v>
      </c>
    </row>
    <row r="175" spans="1:8">
      <c r="A175" s="34" t="s">
        <v>286</v>
      </c>
      <c r="B175" s="45">
        <v>1540.5715620485589</v>
      </c>
      <c r="C175" s="11">
        <v>0</v>
      </c>
      <c r="D175" s="45">
        <v>0</v>
      </c>
      <c r="E175" s="45">
        <v>1043.502283671462</v>
      </c>
      <c r="F175" s="45">
        <v>0</v>
      </c>
      <c r="G175" s="45">
        <v>497.06927837709685</v>
      </c>
      <c r="H175" s="45">
        <v>490.83959562658805</v>
      </c>
    </row>
    <row r="176" spans="1:8">
      <c r="A176" s="34" t="s">
        <v>287</v>
      </c>
      <c r="B176" s="45">
        <v>187367.34021360651</v>
      </c>
      <c r="C176" s="11">
        <v>128685.82421946053</v>
      </c>
      <c r="D176" s="45">
        <v>47422.583056176183</v>
      </c>
      <c r="E176" s="45">
        <v>4424.5002014135898</v>
      </c>
      <c r="F176" s="45">
        <v>1603.2388351925254</v>
      </c>
      <c r="G176" s="45">
        <v>8317.9841800099057</v>
      </c>
      <c r="H176" s="45">
        <v>3114.8354969606412</v>
      </c>
    </row>
    <row r="177" spans="1:8">
      <c r="A177" s="34" t="s">
        <v>288</v>
      </c>
      <c r="B177" s="45">
        <v>138260.95413367703</v>
      </c>
      <c r="C177" s="11">
        <v>26303.154778218664</v>
      </c>
      <c r="D177" s="45">
        <v>7111.8414846715841</v>
      </c>
      <c r="E177" s="45">
        <v>51718.865579063364</v>
      </c>
      <c r="F177" s="45">
        <v>40499.75276513771</v>
      </c>
      <c r="G177" s="45">
        <v>27767.428853878471</v>
      </c>
      <c r="H177" s="45">
        <v>4124.1559931985257</v>
      </c>
    </row>
    <row r="178" spans="1:8">
      <c r="A178" s="34" t="s">
        <v>289</v>
      </c>
      <c r="B178" s="45">
        <v>1139.6213257213126</v>
      </c>
      <c r="C178" s="11">
        <v>1139.6213257213126</v>
      </c>
      <c r="D178" s="45">
        <v>0</v>
      </c>
      <c r="E178" s="45">
        <v>0</v>
      </c>
      <c r="F178" s="45">
        <v>0</v>
      </c>
      <c r="G178" s="45">
        <v>0</v>
      </c>
      <c r="H178" s="45">
        <v>0</v>
      </c>
    </row>
    <row r="179" spans="1:8">
      <c r="A179" s="34" t="s">
        <v>290</v>
      </c>
      <c r="B179" s="45">
        <v>481856.12461592397</v>
      </c>
      <c r="C179" s="11">
        <v>41390.582649558011</v>
      </c>
      <c r="D179" s="45">
        <v>72111.298180119818</v>
      </c>
      <c r="E179" s="45">
        <v>30347.657405812566</v>
      </c>
      <c r="F179" s="45">
        <v>76558.183111165752</v>
      </c>
      <c r="G179" s="45">
        <v>31857.453454701121</v>
      </c>
      <c r="H179" s="45">
        <v>45240.494607265246</v>
      </c>
    </row>
    <row r="180" spans="1:8">
      <c r="A180" s="34" t="s">
        <v>291</v>
      </c>
      <c r="B180" s="45">
        <v>13053.515562599539</v>
      </c>
      <c r="C180" s="11">
        <v>5707.0579316868789</v>
      </c>
      <c r="D180" s="45">
        <v>575.19642715588679</v>
      </c>
      <c r="E180" s="45">
        <v>2124.002682667623</v>
      </c>
      <c r="F180" s="45">
        <v>2354.1659697092341</v>
      </c>
      <c r="G180" s="45">
        <v>2969.5898308500996</v>
      </c>
      <c r="H180" s="45">
        <v>532.63627199166967</v>
      </c>
    </row>
    <row r="181" spans="1:8">
      <c r="A181" s="34" t="s">
        <v>292</v>
      </c>
      <c r="B181" s="45">
        <v>3453.9601380623581</v>
      </c>
      <c r="C181" s="11">
        <v>905.31552950407104</v>
      </c>
      <c r="D181" s="45">
        <v>524.13296729077604</v>
      </c>
      <c r="E181" s="45">
        <v>0</v>
      </c>
      <c r="F181" s="45">
        <v>636.35481729842388</v>
      </c>
      <c r="G181" s="45">
        <v>533.8458122123867</v>
      </c>
      <c r="H181" s="45">
        <v>497.06927837709685</v>
      </c>
    </row>
    <row r="182" spans="1:8">
      <c r="A182" s="34" t="s">
        <v>293</v>
      </c>
      <c r="B182" s="45">
        <v>56601.864127062399</v>
      </c>
      <c r="C182" s="11">
        <v>7985.4112440643512</v>
      </c>
      <c r="D182" s="45">
        <v>3756.8612640324973</v>
      </c>
      <c r="E182" s="45">
        <v>1909.3964936220309</v>
      </c>
      <c r="F182" s="45">
        <v>19569.696078967343</v>
      </c>
      <c r="G182" s="45">
        <v>2689.1795250404966</v>
      </c>
      <c r="H182" s="45">
        <v>3828.3434217450058</v>
      </c>
    </row>
    <row r="183" spans="1:8">
      <c r="A183" s="34" t="s">
        <v>294</v>
      </c>
      <c r="B183" s="45">
        <v>8804.5457958107872</v>
      </c>
      <c r="C183" s="11">
        <v>1101.1739667918723</v>
      </c>
      <c r="D183" s="45">
        <v>0</v>
      </c>
      <c r="E183" s="45">
        <v>0</v>
      </c>
      <c r="F183" s="45">
        <v>6720.3339310564315</v>
      </c>
      <c r="G183" s="45">
        <v>1700.4004412442232</v>
      </c>
      <c r="H183" s="45">
        <v>2074.1972019958926</v>
      </c>
    </row>
    <row r="184" spans="1:8">
      <c r="A184" s="34" t="s">
        <v>295</v>
      </c>
      <c r="B184" s="45">
        <v>364505.36312066048</v>
      </c>
      <c r="C184" s="11">
        <v>206036.72312755021</v>
      </c>
      <c r="D184" s="45">
        <v>65195.587256468185</v>
      </c>
      <c r="E184" s="45">
        <v>34964.496938744291</v>
      </c>
      <c r="F184" s="45">
        <v>25256.033230226611</v>
      </c>
      <c r="G184" s="45">
        <v>29727.582145256034</v>
      </c>
      <c r="H184" s="45">
        <v>49745.6748740607</v>
      </c>
    </row>
    <row r="185" spans="1:8">
      <c r="A185" s="34" t="s">
        <v>296</v>
      </c>
      <c r="B185" s="45">
        <v>13872.746785147769</v>
      </c>
      <c r="C185" s="11">
        <v>6059.2480401800212</v>
      </c>
      <c r="D185" s="45">
        <v>3333.1985030721153</v>
      </c>
      <c r="E185" s="45">
        <v>1826.8264570852607</v>
      </c>
      <c r="F185" s="45">
        <v>1018.4277737682605</v>
      </c>
      <c r="G185" s="45">
        <v>421.39372312348468</v>
      </c>
      <c r="H185" s="45">
        <v>0</v>
      </c>
    </row>
    <row r="186" spans="1:8">
      <c r="A186" s="34" t="s">
        <v>297</v>
      </c>
      <c r="B186" s="45">
        <v>111103.9842922684</v>
      </c>
      <c r="C186" s="11">
        <v>6015.2561544222499</v>
      </c>
      <c r="D186" s="45">
        <v>3703.9851039917789</v>
      </c>
      <c r="E186" s="45">
        <v>55386.204067640298</v>
      </c>
      <c r="F186" s="45">
        <v>40593.223531788892</v>
      </c>
      <c r="G186" s="45">
        <v>11236.339773174821</v>
      </c>
      <c r="H186" s="45">
        <v>511.24677944313385</v>
      </c>
    </row>
    <row r="187" spans="1:8">
      <c r="A187" s="34" t="s">
        <v>298</v>
      </c>
      <c r="B187" s="45">
        <v>1028.5319948040114</v>
      </c>
      <c r="C187" s="11">
        <v>496.32203260179335</v>
      </c>
      <c r="D187" s="45">
        <v>0</v>
      </c>
      <c r="E187" s="45">
        <v>532.20996220221821</v>
      </c>
      <c r="F187" s="45">
        <v>0</v>
      </c>
      <c r="G187" s="45">
        <v>0</v>
      </c>
      <c r="H187" s="45">
        <v>0</v>
      </c>
    </row>
    <row r="188" spans="1:8">
      <c r="A188" s="34" t="s">
        <v>299</v>
      </c>
      <c r="B188" s="45">
        <v>230592.61812821016</v>
      </c>
      <c r="C188" s="11">
        <v>33909.034003594403</v>
      </c>
      <c r="D188" s="45">
        <v>27812.362988970119</v>
      </c>
      <c r="E188" s="45">
        <v>50700.945466678662</v>
      </c>
      <c r="F188" s="45">
        <v>27771.454549509224</v>
      </c>
      <c r="G188" s="45">
        <v>18406.592989427911</v>
      </c>
      <c r="H188" s="45">
        <v>12371.220359088104</v>
      </c>
    </row>
    <row r="189" spans="1:8">
      <c r="A189" s="34" t="s">
        <v>300</v>
      </c>
      <c r="B189" s="45">
        <v>158489.21738328828</v>
      </c>
      <c r="C189" s="11">
        <v>21307.963383247261</v>
      </c>
      <c r="D189" s="45">
        <v>21231.643045779645</v>
      </c>
      <c r="E189" s="45">
        <v>18620.157460370312</v>
      </c>
      <c r="F189" s="45">
        <v>67937.674664871607</v>
      </c>
      <c r="G189" s="45">
        <v>20018.774828397349</v>
      </c>
      <c r="H189" s="45">
        <v>18656.033292180407</v>
      </c>
    </row>
    <row r="190" spans="1:8">
      <c r="A190" s="34" t="s">
        <v>301</v>
      </c>
      <c r="B190" s="45">
        <v>251423.32671608153</v>
      </c>
      <c r="C190" s="11">
        <v>21322.598846976718</v>
      </c>
      <c r="D190" s="45">
        <v>40690.368036719905</v>
      </c>
      <c r="E190" s="45">
        <v>25269.086603869961</v>
      </c>
      <c r="F190" s="45">
        <v>119859.66264132739</v>
      </c>
      <c r="G190" s="45">
        <v>22286.467882005229</v>
      </c>
      <c r="H190" s="45">
        <v>23407.826000425364</v>
      </c>
    </row>
    <row r="191" spans="1:8">
      <c r="A191" s="34" t="s">
        <v>302</v>
      </c>
      <c r="B191" s="45">
        <v>13925.901757826316</v>
      </c>
      <c r="C191" s="11">
        <v>3297.7720417221681</v>
      </c>
      <c r="D191" s="45">
        <v>3955.0235148266229</v>
      </c>
      <c r="E191" s="45">
        <v>0</v>
      </c>
      <c r="F191" s="45">
        <v>1216.2507685560868</v>
      </c>
      <c r="G191" s="45">
        <v>596.15747789923603</v>
      </c>
      <c r="H191" s="45">
        <v>0</v>
      </c>
    </row>
    <row r="192" spans="1:8">
      <c r="A192" s="34" t="s">
        <v>303</v>
      </c>
      <c r="B192" s="45">
        <v>5985.1111130388836</v>
      </c>
      <c r="C192" s="11">
        <v>1140.8324004610909</v>
      </c>
      <c r="D192" s="45">
        <v>900.04567327736299</v>
      </c>
      <c r="E192" s="45">
        <v>1167.7298833293412</v>
      </c>
      <c r="F192" s="45">
        <v>2368.2922917417777</v>
      </c>
      <c r="G192" s="45">
        <v>376.38284852017102</v>
      </c>
      <c r="H192" s="45">
        <v>424.85244412562969</v>
      </c>
    </row>
    <row r="193" spans="1:8">
      <c r="A193" s="34" t="s">
        <v>304</v>
      </c>
      <c r="B193" s="45">
        <v>13956.909559662712</v>
      </c>
      <c r="C193" s="11">
        <v>3934.0674144507097</v>
      </c>
      <c r="D193" s="45">
        <v>0</v>
      </c>
      <c r="E193" s="45">
        <v>0</v>
      </c>
      <c r="F193" s="45">
        <v>0</v>
      </c>
      <c r="G193" s="45">
        <v>0</v>
      </c>
      <c r="H193" s="45">
        <v>6612.525579883828</v>
      </c>
    </row>
    <row r="194" spans="1:8">
      <c r="A194" s="34" t="s">
        <v>305</v>
      </c>
      <c r="B194" s="45">
        <v>15364.365648428435</v>
      </c>
      <c r="C194" s="11">
        <v>9965.1926004717352</v>
      </c>
      <c r="D194" s="45">
        <v>3561.1551802880363</v>
      </c>
      <c r="E194" s="45">
        <v>501.33334216548093</v>
      </c>
      <c r="F194" s="45">
        <v>553.40589142742203</v>
      </c>
      <c r="G194" s="45">
        <v>0</v>
      </c>
      <c r="H194" s="45">
        <v>501.33334216548093</v>
      </c>
    </row>
    <row r="195" spans="1:8">
      <c r="A195" s="34" t="s">
        <v>306</v>
      </c>
      <c r="B195" s="45">
        <v>2748.3884408491926</v>
      </c>
      <c r="C195" s="11">
        <v>1347.0072907606796</v>
      </c>
      <c r="D195" s="45">
        <v>1320.33158523521</v>
      </c>
      <c r="E195" s="45">
        <v>416.01971352379371</v>
      </c>
      <c r="F195" s="45">
        <v>955.65857531517429</v>
      </c>
      <c r="G195" s="45">
        <v>416.01971352379371</v>
      </c>
      <c r="H195" s="45">
        <v>913.08899190089051</v>
      </c>
    </row>
    <row r="196" spans="1:8">
      <c r="A196" s="34" t="s">
        <v>307</v>
      </c>
      <c r="B196" s="45">
        <v>64191.92577371584</v>
      </c>
      <c r="C196" s="11">
        <v>22684.783885973262</v>
      </c>
      <c r="D196" s="45">
        <v>7844.7629248633057</v>
      </c>
      <c r="E196" s="45">
        <v>3010.7564465782184</v>
      </c>
      <c r="F196" s="45">
        <v>17338.007755761057</v>
      </c>
      <c r="G196" s="45">
        <v>28503.802825362505</v>
      </c>
      <c r="H196" s="45">
        <v>2553.4242256136904</v>
      </c>
    </row>
    <row r="197" spans="1:8">
      <c r="A197" s="34" t="s">
        <v>308</v>
      </c>
      <c r="B197" s="45">
        <v>21952.054525508887</v>
      </c>
      <c r="C197" s="11">
        <v>5246.9990443859178</v>
      </c>
      <c r="D197" s="45">
        <v>2008.861106677542</v>
      </c>
      <c r="E197" s="45">
        <v>5002.59307396849</v>
      </c>
      <c r="F197" s="45">
        <v>2094.7765876591334</v>
      </c>
      <c r="G197" s="45">
        <v>5735.6352127988166</v>
      </c>
      <c r="H197" s="45">
        <v>6376.7084470646532</v>
      </c>
    </row>
    <row r="198" spans="1:8">
      <c r="A198" s="34" t="s">
        <v>309</v>
      </c>
      <c r="B198" s="45">
        <v>11593.284117514562</v>
      </c>
      <c r="C198" s="11">
        <v>4858.2312022213318</v>
      </c>
      <c r="D198" s="45">
        <v>2309.8906508302912</v>
      </c>
      <c r="E198" s="45">
        <v>3961.8268977131461</v>
      </c>
      <c r="F198" s="45">
        <v>1720.7677889613465</v>
      </c>
      <c r="G198" s="45">
        <v>1417.4136925782095</v>
      </c>
      <c r="H198" s="45">
        <v>371.90200788282806</v>
      </c>
    </row>
    <row r="199" spans="1:8">
      <c r="A199" s="34" t="s">
        <v>310</v>
      </c>
      <c r="B199" s="45">
        <v>28535.168738530883</v>
      </c>
      <c r="C199" s="11">
        <v>6611.699937879047</v>
      </c>
      <c r="D199" s="45">
        <v>6420.6816642885069</v>
      </c>
      <c r="E199" s="45">
        <v>3063.6558675042488</v>
      </c>
      <c r="F199" s="45">
        <v>4917.759069264268</v>
      </c>
      <c r="G199" s="45">
        <v>2541.6867718604899</v>
      </c>
      <c r="H199" s="45">
        <v>515.44953980199136</v>
      </c>
    </row>
    <row r="200" spans="1:8">
      <c r="A200" s="34" t="s">
        <v>311</v>
      </c>
      <c r="B200" s="45">
        <v>2847292.0222393745</v>
      </c>
      <c r="C200" s="11">
        <v>182162.69663857148</v>
      </c>
      <c r="D200" s="45">
        <v>118360.22072628843</v>
      </c>
      <c r="E200" s="45">
        <v>1372468.751875153</v>
      </c>
      <c r="F200" s="45">
        <v>656375.75957026321</v>
      </c>
      <c r="G200" s="45">
        <v>661194.13223520631</v>
      </c>
      <c r="H200" s="45">
        <v>93110.402416387937</v>
      </c>
    </row>
    <row r="201" spans="1:8">
      <c r="A201" s="34" t="s">
        <v>312</v>
      </c>
      <c r="B201" s="45">
        <v>2088.461219706227</v>
      </c>
      <c r="C201" s="11">
        <v>1022.2260671132319</v>
      </c>
      <c r="D201" s="45">
        <v>0</v>
      </c>
      <c r="E201" s="45">
        <v>564.90181042751396</v>
      </c>
      <c r="F201" s="45">
        <v>0</v>
      </c>
      <c r="G201" s="45">
        <v>0</v>
      </c>
      <c r="H201" s="45">
        <v>0</v>
      </c>
    </row>
    <row r="202" spans="1:8">
      <c r="A202" s="34" t="s">
        <v>313</v>
      </c>
      <c r="B202" s="45">
        <v>24577.541753683545</v>
      </c>
      <c r="C202" s="11">
        <v>7166.6109930162083</v>
      </c>
      <c r="D202" s="45">
        <v>4960.4319782429729</v>
      </c>
      <c r="E202" s="45">
        <v>501.33334216548093</v>
      </c>
      <c r="F202" s="45">
        <v>793.0364998234495</v>
      </c>
      <c r="G202" s="45">
        <v>1016.0865507901999</v>
      </c>
      <c r="H202" s="45">
        <v>7849.7721615106566</v>
      </c>
    </row>
    <row r="203" spans="1:8">
      <c r="A203" s="34" t="s">
        <v>314</v>
      </c>
      <c r="B203" s="45">
        <v>783017.36363976158</v>
      </c>
      <c r="C203" s="11">
        <v>384734.81348365825</v>
      </c>
      <c r="D203" s="45">
        <v>150475.92103999396</v>
      </c>
      <c r="E203" s="45">
        <v>85673.339331149284</v>
      </c>
      <c r="F203" s="45">
        <v>43713.835299046288</v>
      </c>
      <c r="G203" s="45">
        <v>64463.875000554217</v>
      </c>
      <c r="H203" s="45">
        <v>150469.1658660346</v>
      </c>
    </row>
    <row r="204" spans="1:8">
      <c r="A204" s="34" t="s">
        <v>315</v>
      </c>
      <c r="B204" s="45">
        <v>9779.4182741132718</v>
      </c>
      <c r="C204" s="11">
        <v>4262.6147041177119</v>
      </c>
      <c r="D204" s="45">
        <v>2829.8599454486516</v>
      </c>
      <c r="E204" s="45">
        <v>1075.1426292119452</v>
      </c>
      <c r="F204" s="45">
        <v>1796.0299416626608</v>
      </c>
      <c r="G204" s="45">
        <v>1071.3825947273906</v>
      </c>
      <c r="H204" s="45">
        <v>1776.0640549428995</v>
      </c>
    </row>
    <row r="205" spans="1:8">
      <c r="A205" s="34" t="s">
        <v>316</v>
      </c>
      <c r="B205" s="45">
        <v>2689.2168006046581</v>
      </c>
      <c r="C205" s="11">
        <v>0</v>
      </c>
      <c r="D205" s="45">
        <v>1066.2067920539926</v>
      </c>
      <c r="E205" s="45">
        <v>0</v>
      </c>
      <c r="F205" s="45">
        <v>0</v>
      </c>
      <c r="G205" s="45">
        <v>1066.2067920539926</v>
      </c>
      <c r="H205" s="45">
        <v>631.45939753919106</v>
      </c>
    </row>
    <row r="206" spans="1:8">
      <c r="A206" s="34" t="s">
        <v>317</v>
      </c>
      <c r="B206" s="45">
        <v>3827.5374292870174</v>
      </c>
      <c r="C206" s="11">
        <v>374.16638257385932</v>
      </c>
      <c r="D206" s="45">
        <v>561.46646815205463</v>
      </c>
      <c r="E206" s="45">
        <v>1766.9504058243156</v>
      </c>
      <c r="F206" s="45">
        <v>632.98349645607323</v>
      </c>
      <c r="G206" s="45">
        <v>1686.4206408888419</v>
      </c>
      <c r="H206" s="45">
        <v>0</v>
      </c>
    </row>
    <row r="207" spans="1:8">
      <c r="A207" s="34" t="s">
        <v>318</v>
      </c>
      <c r="B207" s="45">
        <v>560120.80808871856</v>
      </c>
      <c r="C207" s="11">
        <v>362093.30334608722</v>
      </c>
      <c r="D207" s="45">
        <v>93161.10273946551</v>
      </c>
      <c r="E207" s="45">
        <v>29474.314015200511</v>
      </c>
      <c r="F207" s="45">
        <v>45055.031837819064</v>
      </c>
      <c r="G207" s="45">
        <v>47718.536137172923</v>
      </c>
      <c r="H207" s="45">
        <v>12431.259539703571</v>
      </c>
    </row>
    <row r="208" spans="1:8">
      <c r="A208" s="34" t="s">
        <v>319</v>
      </c>
      <c r="B208" s="45">
        <v>7184.7528005951608</v>
      </c>
      <c r="C208" s="11">
        <v>3139.1709495565779</v>
      </c>
      <c r="D208" s="45">
        <v>1455.337455408921</v>
      </c>
      <c r="E208" s="45">
        <v>1120.0162221907308</v>
      </c>
      <c r="F208" s="45">
        <v>1517.628254698991</v>
      </c>
      <c r="G208" s="45">
        <v>479.47704765384123</v>
      </c>
      <c r="H208" s="45">
        <v>484.38437545797751</v>
      </c>
    </row>
    <row r="209" spans="1:8">
      <c r="A209" s="34" t="s">
        <v>320</v>
      </c>
      <c r="B209" s="45">
        <v>1482.3897205859664</v>
      </c>
      <c r="C209" s="11">
        <v>0</v>
      </c>
      <c r="D209" s="45">
        <v>0</v>
      </c>
      <c r="E209" s="45">
        <v>580.74995948905553</v>
      </c>
      <c r="F209" s="45">
        <v>580.74995948905553</v>
      </c>
      <c r="G209" s="45">
        <v>0</v>
      </c>
      <c r="H209" s="45">
        <v>0</v>
      </c>
    </row>
    <row r="210" spans="1:8">
      <c r="A210" s="34" t="s">
        <v>321</v>
      </c>
      <c r="B210" s="45">
        <v>69787.076130201109</v>
      </c>
      <c r="C210" s="11">
        <v>20806.100133908007</v>
      </c>
      <c r="D210" s="45">
        <v>10860.298447165187</v>
      </c>
      <c r="E210" s="45">
        <v>12718.62486751251</v>
      </c>
      <c r="F210" s="45">
        <v>20439.339886305592</v>
      </c>
      <c r="G210" s="45">
        <v>5068.0402347400013</v>
      </c>
      <c r="H210" s="45">
        <v>9929.002148507594</v>
      </c>
    </row>
    <row r="211" spans="1:8">
      <c r="A211" s="34" t="s">
        <v>322</v>
      </c>
      <c r="B211" s="45">
        <v>15961.308780327845</v>
      </c>
      <c r="C211" s="11">
        <v>1831.6857200210259</v>
      </c>
      <c r="D211" s="45">
        <v>3204.448848219482</v>
      </c>
      <c r="E211" s="45">
        <v>2788.0326971417262</v>
      </c>
      <c r="F211" s="45">
        <v>1580.6066380263896</v>
      </c>
      <c r="G211" s="45">
        <v>1580.7743940483692</v>
      </c>
      <c r="H211" s="45">
        <v>7542.1976680740354</v>
      </c>
    </row>
    <row r="212" spans="1:8">
      <c r="A212" s="34" t="s">
        <v>323</v>
      </c>
      <c r="B212" s="45">
        <v>2211.7090598251611</v>
      </c>
      <c r="C212" s="11">
        <v>0</v>
      </c>
      <c r="D212" s="45">
        <v>535.76229204580602</v>
      </c>
      <c r="E212" s="45">
        <v>0</v>
      </c>
      <c r="F212" s="45">
        <v>535.76229204580602</v>
      </c>
      <c r="G212" s="45">
        <v>560.80158686892753</v>
      </c>
      <c r="H212" s="45">
        <v>535.76229204580602</v>
      </c>
    </row>
    <row r="213" spans="1:8">
      <c r="A213" s="34" t="s">
        <v>324</v>
      </c>
      <c r="B213" s="45">
        <v>103141.50740600597</v>
      </c>
      <c r="C213" s="11">
        <v>75041.605148483766</v>
      </c>
      <c r="D213" s="45">
        <v>13757.380048004301</v>
      </c>
      <c r="E213" s="45">
        <v>3801.2458072609356</v>
      </c>
      <c r="F213" s="45">
        <v>1562.0745412695492</v>
      </c>
      <c r="G213" s="45">
        <v>4064.5230872169714</v>
      </c>
      <c r="H213" s="45">
        <v>10537.095252332743</v>
      </c>
    </row>
    <row r="214" spans="1:8">
      <c r="A214" s="34" t="s">
        <v>325</v>
      </c>
      <c r="B214" s="45">
        <v>6748.67365103472</v>
      </c>
      <c r="C214" s="11">
        <v>1861.4546885423806</v>
      </c>
      <c r="D214" s="45">
        <v>1193.703319725143</v>
      </c>
      <c r="E214" s="45">
        <v>455.9896887565252</v>
      </c>
      <c r="F214" s="45">
        <v>2169.7796506194049</v>
      </c>
      <c r="G214" s="45">
        <v>0</v>
      </c>
      <c r="H214" s="45">
        <v>0</v>
      </c>
    </row>
    <row r="215" spans="1:8">
      <c r="A215" s="34" t="s">
        <v>326</v>
      </c>
      <c r="B215" s="45">
        <v>11628.766270779011</v>
      </c>
      <c r="C215" s="11">
        <v>4492.896125332516</v>
      </c>
      <c r="D215" s="45">
        <v>4847.0071684499717</v>
      </c>
      <c r="E215" s="45">
        <v>1661.4340591370758</v>
      </c>
      <c r="F215" s="45">
        <v>451.82845043757595</v>
      </c>
      <c r="G215" s="45">
        <v>1562.9376790348063</v>
      </c>
      <c r="H215" s="45">
        <v>0</v>
      </c>
    </row>
    <row r="216" spans="1:8">
      <c r="A216" s="34" t="s">
        <v>327</v>
      </c>
      <c r="B216" s="45">
        <v>1016.7912756254527</v>
      </c>
      <c r="C216" s="11">
        <v>1016.7912756254527</v>
      </c>
      <c r="D216" s="45">
        <v>560.80158686892753</v>
      </c>
      <c r="E216" s="45">
        <v>0</v>
      </c>
      <c r="F216" s="45">
        <v>0</v>
      </c>
      <c r="G216" s="45">
        <v>1016.7912756254527</v>
      </c>
      <c r="H216" s="45">
        <v>455.9896887565252</v>
      </c>
    </row>
    <row r="217" spans="1:8">
      <c r="A217" s="34" t="s">
        <v>328</v>
      </c>
      <c r="B217" s="45">
        <v>19474.082551077681</v>
      </c>
      <c r="C217" s="11">
        <v>3653.5271296166557</v>
      </c>
      <c r="D217" s="45">
        <v>2108.7544649934875</v>
      </c>
      <c r="E217" s="45">
        <v>511.12221810730614</v>
      </c>
      <c r="F217" s="45">
        <v>6947.8716553940603</v>
      </c>
      <c r="G217" s="45">
        <v>2372.0692191360672</v>
      </c>
      <c r="H217" s="45">
        <v>4020.0786714835322</v>
      </c>
    </row>
    <row r="218" spans="1:8">
      <c r="A218" s="34" t="s">
        <v>329</v>
      </c>
      <c r="B218" s="45">
        <v>6784.8888959502319</v>
      </c>
      <c r="C218" s="11">
        <v>434.42823387544536</v>
      </c>
      <c r="D218" s="45">
        <v>2077.3909592629229</v>
      </c>
      <c r="E218" s="45">
        <v>984.87080904505069</v>
      </c>
      <c r="F218" s="45">
        <v>4222.7426839153268</v>
      </c>
      <c r="G218" s="45">
        <v>457.31578257264806</v>
      </c>
      <c r="H218" s="45">
        <v>527.55502647240269</v>
      </c>
    </row>
    <row r="219" spans="1:8">
      <c r="A219" s="34" t="s">
        <v>330</v>
      </c>
      <c r="B219" s="45">
        <v>10666.314484617253</v>
      </c>
      <c r="C219" s="11">
        <v>5143.8927499081547</v>
      </c>
      <c r="D219" s="45">
        <v>1489.2961437618103</v>
      </c>
      <c r="E219" s="45">
        <v>1565.1850337391306</v>
      </c>
      <c r="F219" s="45">
        <v>0</v>
      </c>
      <c r="G219" s="45">
        <v>0</v>
      </c>
      <c r="H219" s="45">
        <v>3118.9602265550157</v>
      </c>
    </row>
    <row r="220" spans="1:8">
      <c r="A220" s="34" t="s">
        <v>331</v>
      </c>
      <c r="B220" s="45">
        <v>39080.532875390003</v>
      </c>
      <c r="C220" s="11">
        <v>14044.45535283822</v>
      </c>
      <c r="D220" s="45">
        <v>2311.0257793695382</v>
      </c>
      <c r="E220" s="45">
        <v>5079.7773154513206</v>
      </c>
      <c r="F220" s="45">
        <v>17647.439723852167</v>
      </c>
      <c r="G220" s="45">
        <v>3847.8753280787678</v>
      </c>
      <c r="H220" s="45">
        <v>1366.118174640877</v>
      </c>
    </row>
    <row r="221" spans="1:8">
      <c r="A221" s="34" t="s">
        <v>332</v>
      </c>
      <c r="B221" s="45">
        <v>37193.678117399482</v>
      </c>
      <c r="C221" s="11">
        <v>16561.813254638848</v>
      </c>
      <c r="D221" s="45">
        <v>4622.6039462435383</v>
      </c>
      <c r="E221" s="45">
        <v>2486.6862885596188</v>
      </c>
      <c r="F221" s="45">
        <v>14891.354070087022</v>
      </c>
      <c r="G221" s="45">
        <v>3386.3094174368907</v>
      </c>
      <c r="H221" s="45">
        <v>1491.1495624606096</v>
      </c>
    </row>
    <row r="222" spans="1:8">
      <c r="A222" s="34" t="s">
        <v>333</v>
      </c>
      <c r="B222" s="45">
        <v>3422.9000096389782</v>
      </c>
      <c r="C222" s="11">
        <v>1612.3278480283075</v>
      </c>
      <c r="D222" s="45">
        <v>0</v>
      </c>
      <c r="E222" s="45">
        <v>0</v>
      </c>
      <c r="F222" s="45">
        <v>1810.5721616106707</v>
      </c>
      <c r="G222" s="45">
        <v>0</v>
      </c>
      <c r="H222" s="45">
        <v>497.06927837709685</v>
      </c>
    </row>
    <row r="223" spans="1:8">
      <c r="A223" s="34" t="s">
        <v>334</v>
      </c>
      <c r="B223" s="45">
        <v>881.36799770075277</v>
      </c>
      <c r="C223" s="11">
        <v>0</v>
      </c>
      <c r="D223" s="45">
        <v>0</v>
      </c>
      <c r="E223" s="45">
        <v>0</v>
      </c>
      <c r="F223" s="45">
        <v>0</v>
      </c>
      <c r="G223" s="45">
        <v>528.29965147569658</v>
      </c>
      <c r="H223" s="45">
        <v>0</v>
      </c>
    </row>
    <row r="224" spans="1:8">
      <c r="A224" s="34" t="s">
        <v>335</v>
      </c>
      <c r="B224" s="45">
        <v>571.40508150444884</v>
      </c>
      <c r="C224" s="11">
        <v>571.40508150444884</v>
      </c>
      <c r="D224" s="45">
        <v>0</v>
      </c>
      <c r="E224" s="45">
        <v>0</v>
      </c>
      <c r="F224" s="45">
        <v>0</v>
      </c>
      <c r="G224" s="45">
        <v>0</v>
      </c>
      <c r="H224" s="45">
        <v>0</v>
      </c>
    </row>
    <row r="225" spans="1:8">
      <c r="A225" s="34" t="s">
        <v>336</v>
      </c>
      <c r="B225" s="45">
        <v>1574.1806602048016</v>
      </c>
      <c r="C225" s="11">
        <v>0</v>
      </c>
      <c r="D225" s="45">
        <v>0</v>
      </c>
      <c r="E225" s="45">
        <v>0</v>
      </c>
      <c r="F225" s="45">
        <v>1574.1806602048016</v>
      </c>
      <c r="G225" s="45">
        <v>0</v>
      </c>
      <c r="H225" s="45">
        <v>0</v>
      </c>
    </row>
    <row r="226" spans="1:8">
      <c r="A226" s="34" t="s">
        <v>337</v>
      </c>
      <c r="B226" s="45">
        <v>6679.5771409302924</v>
      </c>
      <c r="C226" s="11">
        <v>3974.1293181386441</v>
      </c>
      <c r="D226" s="45">
        <v>0</v>
      </c>
      <c r="E226" s="45">
        <v>0</v>
      </c>
      <c r="F226" s="45">
        <v>0</v>
      </c>
      <c r="G226" s="45">
        <v>1657.751834257155</v>
      </c>
      <c r="H226" s="45">
        <v>2548.5448456032559</v>
      </c>
    </row>
    <row r="227" spans="1:8">
      <c r="A227" s="34" t="s">
        <v>338</v>
      </c>
      <c r="B227" s="45">
        <v>0</v>
      </c>
      <c r="C227" s="11">
        <v>0</v>
      </c>
      <c r="D227" s="45">
        <v>0</v>
      </c>
      <c r="E227" s="45">
        <v>0</v>
      </c>
      <c r="F227" s="45">
        <v>0</v>
      </c>
      <c r="G227" s="45">
        <v>0</v>
      </c>
      <c r="H227" s="45">
        <v>0</v>
      </c>
    </row>
    <row r="228" spans="1:8">
      <c r="A228" s="34" t="s">
        <v>339</v>
      </c>
      <c r="B228" s="45">
        <v>25616.222454652187</v>
      </c>
      <c r="C228" s="11">
        <v>13864.225543108452</v>
      </c>
      <c r="D228" s="45">
        <v>4662.3541849811681</v>
      </c>
      <c r="E228" s="45">
        <v>1630.7457763078392</v>
      </c>
      <c r="F228" s="45">
        <v>536.39263823500096</v>
      </c>
      <c r="G228" s="45">
        <v>2755.1199190753778</v>
      </c>
      <c r="H228" s="45">
        <v>1052.5111527135687</v>
      </c>
    </row>
    <row r="229" spans="1:8">
      <c r="A229" s="34" t="s">
        <v>340</v>
      </c>
      <c r="B229" s="45">
        <v>0</v>
      </c>
      <c r="C229" s="11">
        <v>0</v>
      </c>
      <c r="D229" s="45">
        <v>0</v>
      </c>
      <c r="E229" s="45">
        <v>0</v>
      </c>
      <c r="F229" s="45">
        <v>0</v>
      </c>
      <c r="G229" s="45">
        <v>0</v>
      </c>
      <c r="H229" s="45">
        <v>0</v>
      </c>
    </row>
    <row r="230" spans="1:8">
      <c r="A230" s="34" t="s">
        <v>341</v>
      </c>
      <c r="B230" s="45">
        <v>644.05183610281483</v>
      </c>
      <c r="C230" s="11">
        <v>644.05183610281483</v>
      </c>
      <c r="D230" s="45">
        <v>0</v>
      </c>
      <c r="E230" s="45">
        <v>0</v>
      </c>
      <c r="F230" s="45">
        <v>0</v>
      </c>
      <c r="G230" s="45">
        <v>0</v>
      </c>
      <c r="H230" s="45">
        <v>0</v>
      </c>
    </row>
    <row r="231" spans="1:8">
      <c r="A231" s="34" t="s">
        <v>342</v>
      </c>
      <c r="B231" s="45">
        <v>95163.874464177978</v>
      </c>
      <c r="C231" s="11">
        <v>18073.859167372357</v>
      </c>
      <c r="D231" s="45">
        <v>10647.077078508355</v>
      </c>
      <c r="E231" s="45">
        <v>14946.859069609813</v>
      </c>
      <c r="F231" s="45">
        <v>28367.005396864606</v>
      </c>
      <c r="G231" s="45">
        <v>14001.055381722392</v>
      </c>
      <c r="H231" s="45">
        <v>3216.0785028626642</v>
      </c>
    </row>
    <row r="232" spans="1:8">
      <c r="A232" s="34" t="s">
        <v>343</v>
      </c>
      <c r="B232" s="45">
        <v>11055.210238512527</v>
      </c>
      <c r="C232" s="11">
        <v>4056.4086780700964</v>
      </c>
      <c r="D232" s="45">
        <v>0</v>
      </c>
      <c r="E232" s="45">
        <v>1565.8279646663941</v>
      </c>
      <c r="F232" s="45">
        <v>5817.0800143404904</v>
      </c>
      <c r="G232" s="45">
        <v>2593.2395215396041</v>
      </c>
      <c r="H232" s="45">
        <v>0</v>
      </c>
    </row>
    <row r="233" spans="1:8">
      <c r="A233" s="34" t="s">
        <v>344</v>
      </c>
      <c r="B233" s="45">
        <v>542.40428361442548</v>
      </c>
      <c r="C233" s="11">
        <v>0</v>
      </c>
      <c r="D233" s="45">
        <v>542.40428361442548</v>
      </c>
      <c r="E233" s="45">
        <v>0</v>
      </c>
      <c r="F233" s="45">
        <v>0</v>
      </c>
      <c r="G233" s="45">
        <v>0</v>
      </c>
      <c r="H233" s="45">
        <v>0</v>
      </c>
    </row>
    <row r="234" spans="1:8">
      <c r="A234" s="34" t="s">
        <v>345</v>
      </c>
      <c r="B234" s="45">
        <v>77872.388881507519</v>
      </c>
      <c r="C234" s="11">
        <v>23338.749962762002</v>
      </c>
      <c r="D234" s="45">
        <v>12452.759945191739</v>
      </c>
      <c r="E234" s="45">
        <v>13846.057595472248</v>
      </c>
      <c r="F234" s="45">
        <v>16431.697967052041</v>
      </c>
      <c r="G234" s="45">
        <v>8673.1551573500965</v>
      </c>
      <c r="H234" s="45">
        <v>9104.2396808244575</v>
      </c>
    </row>
    <row r="235" spans="1:8">
      <c r="A235" s="34" t="s">
        <v>346</v>
      </c>
      <c r="B235" s="45">
        <v>37359.591528803365</v>
      </c>
      <c r="C235" s="11">
        <v>15275.634026876007</v>
      </c>
      <c r="D235" s="45">
        <v>7167.9342294576818</v>
      </c>
      <c r="E235" s="45">
        <v>3860.2079033835271</v>
      </c>
      <c r="F235" s="45">
        <v>6746.4109091977762</v>
      </c>
      <c r="G235" s="45">
        <v>2253.3436487948788</v>
      </c>
      <c r="H235" s="45">
        <v>1718.554246918744</v>
      </c>
    </row>
    <row r="236" spans="1:8">
      <c r="A236" s="34" t="s">
        <v>347</v>
      </c>
      <c r="B236" s="45">
        <v>22517.91216291477</v>
      </c>
      <c r="C236" s="11">
        <v>6000.5062262820084</v>
      </c>
      <c r="D236" s="45">
        <v>4223.7077842838607</v>
      </c>
      <c r="E236" s="45">
        <v>1369.6346370907943</v>
      </c>
      <c r="F236" s="45">
        <v>2222.5928067077316</v>
      </c>
      <c r="G236" s="45">
        <v>2113.2970951771913</v>
      </c>
      <c r="H236" s="45">
        <v>0</v>
      </c>
    </row>
    <row r="237" spans="1:8">
      <c r="A237" s="34" t="s">
        <v>348</v>
      </c>
      <c r="B237" s="45">
        <v>8541.0744312202442</v>
      </c>
      <c r="C237" s="11">
        <v>0</v>
      </c>
      <c r="D237" s="45">
        <v>863.95811756089233</v>
      </c>
      <c r="E237" s="45">
        <v>1192.4628100842071</v>
      </c>
      <c r="F237" s="45">
        <v>4156.587615601602</v>
      </c>
      <c r="G237" s="45">
        <v>346.83624277045078</v>
      </c>
      <c r="H237" s="45">
        <v>502.71452977203694</v>
      </c>
    </row>
    <row r="238" spans="1:8">
      <c r="A238" s="34" t="s">
        <v>349</v>
      </c>
      <c r="B238" s="45">
        <v>27073.3905382909</v>
      </c>
      <c r="C238" s="11">
        <v>6018.0091199798935</v>
      </c>
      <c r="D238" s="45">
        <v>508.23672777750426</v>
      </c>
      <c r="E238" s="45">
        <v>7418.7872413366294</v>
      </c>
      <c r="F238" s="45">
        <v>13117.880809581691</v>
      </c>
      <c r="G238" s="45">
        <v>3973.3186468732674</v>
      </c>
      <c r="H238" s="45">
        <v>511.12221810730614</v>
      </c>
    </row>
    <row r="239" spans="1:8">
      <c r="A239" s="34" t="s">
        <v>350</v>
      </c>
      <c r="B239" s="45">
        <v>415674.23235287779</v>
      </c>
      <c r="C239" s="11">
        <v>222529.3948917888</v>
      </c>
      <c r="D239" s="45">
        <v>78549.57152090309</v>
      </c>
      <c r="E239" s="45">
        <v>41029.5244284254</v>
      </c>
      <c r="F239" s="45">
        <v>18918.228627674489</v>
      </c>
      <c r="G239" s="45">
        <v>8748.3964956637465</v>
      </c>
      <c r="H239" s="45">
        <v>52563.481897461759</v>
      </c>
    </row>
    <row r="240" spans="1:8">
      <c r="A240" s="34" t="s">
        <v>351</v>
      </c>
      <c r="B240" s="45">
        <v>6772.482636359593</v>
      </c>
      <c r="C240" s="11">
        <v>2074.1972019958926</v>
      </c>
      <c r="D240" s="45">
        <v>0</v>
      </c>
      <c r="E240" s="45">
        <v>0</v>
      </c>
      <c r="F240" s="45">
        <v>1926.292921193794</v>
      </c>
      <c r="G240" s="45">
        <v>0</v>
      </c>
      <c r="H240" s="45">
        <v>0</v>
      </c>
    </row>
    <row r="241" spans="1:8">
      <c r="A241" s="34" t="s">
        <v>352</v>
      </c>
      <c r="B241" s="45">
        <v>8893.8352290036564</v>
      </c>
      <c r="C241" s="11">
        <v>3988.8232931057337</v>
      </c>
      <c r="D241" s="45">
        <v>337.33808301990712</v>
      </c>
      <c r="E241" s="45">
        <v>488.14209686983276</v>
      </c>
      <c r="F241" s="45">
        <v>0</v>
      </c>
      <c r="G241" s="45">
        <v>0</v>
      </c>
      <c r="H241" s="45">
        <v>2616.3419031103135</v>
      </c>
    </row>
    <row r="242" spans="1:8">
      <c r="A242" s="34" t="s">
        <v>353</v>
      </c>
      <c r="B242" s="45">
        <v>7815.3541200094569</v>
      </c>
      <c r="C242" s="11">
        <v>5176.4089047432799</v>
      </c>
      <c r="D242" s="45">
        <v>532.37267375630643</v>
      </c>
      <c r="E242" s="45">
        <v>1087.1103631009423</v>
      </c>
      <c r="F242" s="45">
        <v>310.21537935330656</v>
      </c>
      <c r="G242" s="45">
        <v>0</v>
      </c>
      <c r="H242" s="45">
        <v>336.40309108848965</v>
      </c>
    </row>
    <row r="243" spans="1:8">
      <c r="A243" s="34" t="s">
        <v>354</v>
      </c>
      <c r="B243" s="45">
        <v>53741.769600428423</v>
      </c>
      <c r="C243" s="11">
        <v>24909.225101537289</v>
      </c>
      <c r="D243" s="45">
        <v>6681.9995886813531</v>
      </c>
      <c r="E243" s="45">
        <v>2530.282921994512</v>
      </c>
      <c r="F243" s="45">
        <v>4030.9080211886385</v>
      </c>
      <c r="G243" s="45">
        <v>2251.412479756335</v>
      </c>
      <c r="H243" s="45">
        <v>11300.572946493223</v>
      </c>
    </row>
    <row r="244" spans="1:8">
      <c r="A244" s="34" t="s">
        <v>355</v>
      </c>
      <c r="B244" s="45">
        <v>15838.174857336395</v>
      </c>
      <c r="C244" s="11">
        <v>5564.6339211006325</v>
      </c>
      <c r="D244" s="45">
        <v>1050.0537952720733</v>
      </c>
      <c r="E244" s="45">
        <v>2210.8951374498893</v>
      </c>
      <c r="F244" s="45">
        <v>5111.2917450278646</v>
      </c>
      <c r="G244" s="45">
        <v>731.80591259744688</v>
      </c>
      <c r="H244" s="45">
        <v>515.44953980199136</v>
      </c>
    </row>
    <row r="245" spans="1:8">
      <c r="A245" s="34" t="s">
        <v>356</v>
      </c>
      <c r="B245" s="45">
        <v>5314.2097666031723</v>
      </c>
      <c r="C245" s="11">
        <v>0</v>
      </c>
      <c r="D245" s="45">
        <v>565.53168530845028</v>
      </c>
      <c r="E245" s="45">
        <v>0</v>
      </c>
      <c r="F245" s="45">
        <v>2553.8253523076737</v>
      </c>
      <c r="G245" s="45">
        <v>525.93183566957418</v>
      </c>
      <c r="H245" s="45">
        <v>635.84484732760052</v>
      </c>
    </row>
    <row r="246" spans="1:8">
      <c r="A246" s="34" t="s">
        <v>357</v>
      </c>
      <c r="B246" s="45">
        <v>489.22613750904748</v>
      </c>
      <c r="C246" s="11">
        <v>489.22613750904748</v>
      </c>
      <c r="D246" s="45">
        <v>0</v>
      </c>
      <c r="E246" s="45">
        <v>0</v>
      </c>
      <c r="F246" s="45">
        <v>0</v>
      </c>
      <c r="G246" s="45">
        <v>0</v>
      </c>
      <c r="H246" s="45">
        <v>0</v>
      </c>
    </row>
    <row r="247" spans="1:8">
      <c r="A247" s="34" t="s">
        <v>358</v>
      </c>
      <c r="B247" s="45">
        <v>700.41752952637057</v>
      </c>
      <c r="C247" s="11">
        <v>339.79971649878712</v>
      </c>
      <c r="D247" s="45">
        <v>360.61781302758351</v>
      </c>
      <c r="E247" s="45">
        <v>0</v>
      </c>
      <c r="F247" s="45">
        <v>0</v>
      </c>
      <c r="G247" s="45">
        <v>0</v>
      </c>
      <c r="H247" s="45">
        <v>0</v>
      </c>
    </row>
    <row r="248" spans="1:8">
      <c r="A248" s="34" t="s">
        <v>359</v>
      </c>
      <c r="B248" s="45">
        <v>7953.9802733980459</v>
      </c>
      <c r="C248" s="11">
        <v>6801.6228036424627</v>
      </c>
      <c r="D248" s="45">
        <v>0</v>
      </c>
      <c r="E248" s="45">
        <v>0</v>
      </c>
      <c r="F248" s="45">
        <v>1337.4034955243328</v>
      </c>
      <c r="G248" s="45">
        <v>383.12101100941817</v>
      </c>
      <c r="H248" s="45">
        <v>0</v>
      </c>
    </row>
    <row r="249" spans="1:8">
      <c r="A249" s="34" t="s">
        <v>360</v>
      </c>
      <c r="B249" s="45">
        <v>137766.50854404591</v>
      </c>
      <c r="C249" s="11">
        <v>40905.668069078834</v>
      </c>
      <c r="D249" s="45">
        <v>19984.190669131334</v>
      </c>
      <c r="E249" s="45">
        <v>24750.486441577497</v>
      </c>
      <c r="F249" s="45">
        <v>12177.96790538801</v>
      </c>
      <c r="G249" s="45">
        <v>5315.3782920920466</v>
      </c>
      <c r="H249" s="45">
        <v>7332.0853335376323</v>
      </c>
    </row>
    <row r="250" spans="1:8">
      <c r="A250" s="34" t="s">
        <v>361</v>
      </c>
      <c r="B250" s="45">
        <v>1103786.3415699343</v>
      </c>
      <c r="C250" s="11">
        <v>12495.52267625184</v>
      </c>
      <c r="D250" s="45">
        <v>14191.602923787081</v>
      </c>
      <c r="E250" s="45">
        <v>324516.5076221443</v>
      </c>
      <c r="F250" s="45">
        <v>737485.86363118002</v>
      </c>
      <c r="G250" s="45">
        <v>88296.301890184419</v>
      </c>
      <c r="H250" s="45">
        <v>10000.46176722067</v>
      </c>
    </row>
    <row r="251" spans="1:8">
      <c r="A251" s="34" t="s">
        <v>362</v>
      </c>
      <c r="B251" s="45">
        <v>0</v>
      </c>
      <c r="C251" s="11">
        <v>0</v>
      </c>
      <c r="D251" s="45">
        <v>0</v>
      </c>
      <c r="E251" s="45">
        <v>0</v>
      </c>
      <c r="F251" s="45">
        <v>0</v>
      </c>
      <c r="G251" s="45">
        <v>0</v>
      </c>
      <c r="H251" s="45">
        <v>0</v>
      </c>
    </row>
    <row r="252" spans="1:8">
      <c r="A252" s="34" t="s">
        <v>363</v>
      </c>
      <c r="B252" s="45">
        <v>1007.9459456765678</v>
      </c>
      <c r="C252" s="11">
        <v>1007.9459456765678</v>
      </c>
      <c r="D252" s="45">
        <v>0</v>
      </c>
      <c r="E252" s="45">
        <v>0</v>
      </c>
      <c r="F252" s="45">
        <v>0</v>
      </c>
      <c r="G252" s="45">
        <v>0</v>
      </c>
      <c r="H252" s="45">
        <v>0</v>
      </c>
    </row>
    <row r="253" spans="1:8">
      <c r="A253" s="34" t="s">
        <v>364</v>
      </c>
      <c r="B253" s="45">
        <v>4770.7777404377339</v>
      </c>
      <c r="C253" s="11">
        <v>2472.14007298045</v>
      </c>
      <c r="D253" s="45">
        <v>1364.4958134853068</v>
      </c>
      <c r="E253" s="45">
        <v>910.71296935964688</v>
      </c>
      <c r="F253" s="45">
        <v>0</v>
      </c>
      <c r="G253" s="45">
        <v>1011.300977296666</v>
      </c>
      <c r="H253" s="45">
        <v>542.40428361442548</v>
      </c>
    </row>
    <row r="254" spans="1:8">
      <c r="A254" s="34" t="s">
        <v>365</v>
      </c>
      <c r="B254" s="45">
        <v>8937.0962331811224</v>
      </c>
      <c r="C254" s="11">
        <v>1055.2167606333746</v>
      </c>
      <c r="D254" s="45">
        <v>596.90802760652321</v>
      </c>
      <c r="E254" s="45">
        <v>2641.8122928874573</v>
      </c>
      <c r="F254" s="45">
        <v>1584.0612081732402</v>
      </c>
      <c r="G254" s="45">
        <v>6839.7388037193614</v>
      </c>
      <c r="H254" s="45">
        <v>0</v>
      </c>
    </row>
    <row r="255" spans="1:8">
      <c r="A255" s="34" t="s">
        <v>366</v>
      </c>
      <c r="B255" s="45">
        <v>2291.8923683386097</v>
      </c>
      <c r="C255" s="11">
        <v>570.99309100859853</v>
      </c>
      <c r="D255" s="45">
        <v>520.83242930928463</v>
      </c>
      <c r="E255" s="45">
        <v>685.2942652353521</v>
      </c>
      <c r="F255" s="45">
        <v>0</v>
      </c>
      <c r="G255" s="45">
        <v>570.99309100859853</v>
      </c>
      <c r="H255" s="45">
        <v>0</v>
      </c>
    </row>
    <row r="256" spans="1:8">
      <c r="A256" s="34" t="s">
        <v>367</v>
      </c>
      <c r="B256" s="45">
        <v>32100.452893673919</v>
      </c>
      <c r="C256" s="11">
        <v>7876.1648455257437</v>
      </c>
      <c r="D256" s="45">
        <v>2321.0104095758434</v>
      </c>
      <c r="E256" s="45">
        <v>3542.6474603867046</v>
      </c>
      <c r="F256" s="45">
        <v>10310.370603277068</v>
      </c>
      <c r="G256" s="45">
        <v>1180.4648087775679</v>
      </c>
      <c r="H256" s="45">
        <v>4956.0391649781432</v>
      </c>
    </row>
    <row r="257" spans="1:8">
      <c r="A257" s="34" t="s">
        <v>368</v>
      </c>
      <c r="B257" s="45">
        <v>0</v>
      </c>
      <c r="C257" s="11">
        <v>0</v>
      </c>
      <c r="D257" s="45">
        <v>0</v>
      </c>
      <c r="E257" s="45">
        <v>0</v>
      </c>
      <c r="F257" s="45">
        <v>0</v>
      </c>
      <c r="G257" s="45">
        <v>0</v>
      </c>
      <c r="H257" s="45">
        <v>0</v>
      </c>
    </row>
    <row r="258" spans="1:8">
      <c r="A258" s="34" t="s">
        <v>369</v>
      </c>
      <c r="B258" s="45">
        <v>3189.8225192711416</v>
      </c>
      <c r="C258" s="11">
        <v>937.67370860530855</v>
      </c>
      <c r="D258" s="45">
        <v>0</v>
      </c>
      <c r="E258" s="45">
        <v>0</v>
      </c>
      <c r="F258" s="45">
        <v>0</v>
      </c>
      <c r="G258" s="45">
        <v>0</v>
      </c>
      <c r="H258" s="45">
        <v>0</v>
      </c>
    </row>
    <row r="259" spans="1:8">
      <c r="A259" s="34" t="s">
        <v>370</v>
      </c>
      <c r="B259" s="45">
        <v>2573.5446057156437</v>
      </c>
      <c r="C259" s="11">
        <v>353.06834622505613</v>
      </c>
      <c r="D259" s="45">
        <v>1713.8559509010579</v>
      </c>
      <c r="E259" s="45">
        <v>506.62030858952943</v>
      </c>
      <c r="F259" s="45">
        <v>0</v>
      </c>
      <c r="G259" s="45">
        <v>0</v>
      </c>
      <c r="H259" s="45">
        <v>0</v>
      </c>
    </row>
    <row r="260" spans="1:8">
      <c r="A260" s="34" t="s">
        <v>371</v>
      </c>
      <c r="B260" s="45">
        <v>7375.8362079215776</v>
      </c>
      <c r="C260" s="11">
        <v>496.32203260179335</v>
      </c>
      <c r="D260" s="45">
        <v>1253.6646498669143</v>
      </c>
      <c r="E260" s="45">
        <v>2040.1138501197092</v>
      </c>
      <c r="F260" s="45">
        <v>1210.6141137928412</v>
      </c>
      <c r="G260" s="45">
        <v>1253.6646498669143</v>
      </c>
      <c r="H260" s="45">
        <v>1766.0439209372353</v>
      </c>
    </row>
    <row r="261" spans="1:8">
      <c r="A261" s="34" t="s">
        <v>372</v>
      </c>
      <c r="B261" s="45">
        <v>40170.423145395653</v>
      </c>
      <c r="C261" s="11">
        <v>20794.165157503201</v>
      </c>
      <c r="D261" s="45">
        <v>5436.3656743215206</v>
      </c>
      <c r="E261" s="45">
        <v>7335.5871706057133</v>
      </c>
      <c r="F261" s="45">
        <v>2062.0962308432154</v>
      </c>
      <c r="G261" s="45">
        <v>4879.2141369528335</v>
      </c>
      <c r="H261" s="45">
        <v>5998.5340338640945</v>
      </c>
    </row>
    <row r="262" spans="1:8">
      <c r="A262" s="34" t="s">
        <v>373</v>
      </c>
      <c r="B262" s="45">
        <v>115667.55232002657</v>
      </c>
      <c r="C262" s="11">
        <v>57663.799806292787</v>
      </c>
      <c r="D262" s="45">
        <v>21293.223220132822</v>
      </c>
      <c r="E262" s="45">
        <v>19168.573749672378</v>
      </c>
      <c r="F262" s="45">
        <v>11691.109430021541</v>
      </c>
      <c r="G262" s="45">
        <v>13396.931157197883</v>
      </c>
      <c r="H262" s="45">
        <v>23602.62180402071</v>
      </c>
    </row>
    <row r="263" spans="1:8">
      <c r="A263" s="34" t="s">
        <v>374</v>
      </c>
      <c r="B263" s="45">
        <v>67753.127958122612</v>
      </c>
      <c r="C263" s="11">
        <v>40808.190902209695</v>
      </c>
      <c r="D263" s="45">
        <v>8356.7891705034872</v>
      </c>
      <c r="E263" s="45">
        <v>5695.5828388695109</v>
      </c>
      <c r="F263" s="45">
        <v>3941.236056152864</v>
      </c>
      <c r="G263" s="45">
        <v>5862.9048201301703</v>
      </c>
      <c r="H263" s="45">
        <v>14379.270755674555</v>
      </c>
    </row>
    <row r="264" spans="1:8">
      <c r="A264" s="34" t="s">
        <v>375</v>
      </c>
      <c r="B264" s="45">
        <v>1081877.6603394558</v>
      </c>
      <c r="C264" s="11">
        <v>159860.34948101023</v>
      </c>
      <c r="D264" s="45">
        <v>97533.0220013535</v>
      </c>
      <c r="E264" s="45">
        <v>136221.36936636386</v>
      </c>
      <c r="F264" s="45">
        <v>73496.367830849646</v>
      </c>
      <c r="G264" s="45">
        <v>88292.20932492851</v>
      </c>
      <c r="H264" s="45">
        <v>112345.71319689765</v>
      </c>
    </row>
    <row r="265" spans="1:8">
      <c r="A265" s="34" t="s">
        <v>376</v>
      </c>
      <c r="B265" s="45">
        <v>39110.527849587575</v>
      </c>
      <c r="C265" s="11">
        <v>25961.855249155284</v>
      </c>
      <c r="D265" s="45">
        <v>3716.15233789383</v>
      </c>
      <c r="E265" s="45">
        <v>1313.1379178033915</v>
      </c>
      <c r="F265" s="45">
        <v>3772.935861186279</v>
      </c>
      <c r="G265" s="45">
        <v>571.09541772020589</v>
      </c>
      <c r="H265" s="45">
        <v>3730.2688720276869</v>
      </c>
    </row>
    <row r="266" spans="1:8">
      <c r="A266" s="34" t="s">
        <v>377</v>
      </c>
      <c r="B266" s="45">
        <v>2764.5109399115677</v>
      </c>
      <c r="C266" s="11">
        <v>0</v>
      </c>
      <c r="D266" s="45">
        <v>0</v>
      </c>
      <c r="E266" s="45">
        <v>0</v>
      </c>
      <c r="F266" s="45">
        <v>0</v>
      </c>
      <c r="G266" s="45">
        <v>1054.3172945461583</v>
      </c>
      <c r="H266" s="45">
        <v>0</v>
      </c>
    </row>
    <row r="267" spans="1:8">
      <c r="A267" s="34" t="s">
        <v>378</v>
      </c>
      <c r="B267" s="45">
        <v>2531.1879692707553</v>
      </c>
      <c r="C267" s="11">
        <v>0</v>
      </c>
      <c r="D267" s="45">
        <v>502.71452977203694</v>
      </c>
      <c r="E267" s="45">
        <v>0</v>
      </c>
      <c r="F267" s="45">
        <v>0</v>
      </c>
      <c r="G267" s="45">
        <v>0</v>
      </c>
      <c r="H267" s="45">
        <v>0</v>
      </c>
    </row>
    <row r="268" spans="1:8">
      <c r="A268" s="34" t="s">
        <v>379</v>
      </c>
      <c r="B268" s="45">
        <v>596.90802760652321</v>
      </c>
      <c r="C268" s="11">
        <v>0</v>
      </c>
      <c r="D268" s="45">
        <v>0</v>
      </c>
      <c r="E268" s="45">
        <v>596.90802760652321</v>
      </c>
      <c r="F268" s="45">
        <v>0</v>
      </c>
      <c r="G268" s="45">
        <v>0</v>
      </c>
      <c r="H268" s="45">
        <v>0</v>
      </c>
    </row>
    <row r="269" spans="1:8">
      <c r="A269" s="34" t="s">
        <v>380</v>
      </c>
      <c r="B269" s="45">
        <v>22946.124623013151</v>
      </c>
      <c r="C269" s="11">
        <v>15545.156251355009</v>
      </c>
      <c r="D269" s="45">
        <v>5364.7047280108218</v>
      </c>
      <c r="E269" s="45">
        <v>1313.2281979019149</v>
      </c>
      <c r="F269" s="45">
        <v>552.53832642758823</v>
      </c>
      <c r="G269" s="45">
        <v>852.15901289996827</v>
      </c>
      <c r="H269" s="45">
        <v>407.62776695475071</v>
      </c>
    </row>
    <row r="270" spans="1:8">
      <c r="A270" s="34" t="s">
        <v>381</v>
      </c>
      <c r="B270" s="45">
        <v>24947.562794307712</v>
      </c>
      <c r="C270" s="11">
        <v>19056.93450557291</v>
      </c>
      <c r="D270" s="45">
        <v>4718.5412733619924</v>
      </c>
      <c r="E270" s="45">
        <v>1039.8480486261305</v>
      </c>
      <c r="F270" s="45">
        <v>1187.9838218260852</v>
      </c>
      <c r="G270" s="45">
        <v>1759.6605305842027</v>
      </c>
      <c r="H270" s="45">
        <v>1157.3621440089878</v>
      </c>
    </row>
    <row r="271" spans="1:8">
      <c r="A271" s="34" t="s">
        <v>382</v>
      </c>
      <c r="B271" s="45">
        <v>18473.542247075267</v>
      </c>
      <c r="C271" s="11">
        <v>3538.210264254265</v>
      </c>
      <c r="D271" s="45">
        <v>3515.2372870146546</v>
      </c>
      <c r="E271" s="45">
        <v>1699.6149063284001</v>
      </c>
      <c r="F271" s="45">
        <v>4273.0997936205586</v>
      </c>
      <c r="G271" s="45">
        <v>1570.2639890104381</v>
      </c>
      <c r="H271" s="45">
        <v>579.37636151412244</v>
      </c>
    </row>
    <row r="272" spans="1:8">
      <c r="A272" s="34" t="s">
        <v>383</v>
      </c>
      <c r="B272" s="45">
        <v>0</v>
      </c>
      <c r="C272" s="11">
        <v>0</v>
      </c>
      <c r="D272" s="45">
        <v>0</v>
      </c>
      <c r="E272" s="45">
        <v>0</v>
      </c>
      <c r="F272" s="45">
        <v>0</v>
      </c>
      <c r="G272" s="45">
        <v>0</v>
      </c>
      <c r="H272" s="45">
        <v>0</v>
      </c>
    </row>
    <row r="273" spans="1:8">
      <c r="A273" s="34" t="s">
        <v>384</v>
      </c>
      <c r="B273" s="45">
        <v>37603.37471178038</v>
      </c>
      <c r="C273" s="11">
        <v>4537.3491308653774</v>
      </c>
      <c r="D273" s="45">
        <v>2545.4096122542624</v>
      </c>
      <c r="E273" s="45">
        <v>2649.0439826548004</v>
      </c>
      <c r="F273" s="45">
        <v>8085.2333829571662</v>
      </c>
      <c r="G273" s="45">
        <v>8728.1439461673272</v>
      </c>
      <c r="H273" s="45">
        <v>3750.7749175813615</v>
      </c>
    </row>
    <row r="274" spans="1:8">
      <c r="A274" s="34" t="s">
        <v>385</v>
      </c>
      <c r="B274" s="45">
        <v>751.02573366059664</v>
      </c>
      <c r="C274" s="11">
        <v>0</v>
      </c>
      <c r="D274" s="45">
        <v>751.02573366059664</v>
      </c>
      <c r="E274" s="45">
        <v>0</v>
      </c>
      <c r="F274" s="45">
        <v>751.02573366059664</v>
      </c>
      <c r="G274" s="45">
        <v>0</v>
      </c>
      <c r="H274" s="45">
        <v>0</v>
      </c>
    </row>
    <row r="275" spans="1:8">
      <c r="A275" s="34" t="s">
        <v>386</v>
      </c>
      <c r="B275" s="45">
        <v>32298.247033462674</v>
      </c>
      <c r="C275" s="11">
        <v>25632.009564612643</v>
      </c>
      <c r="D275" s="45">
        <v>3047.4559789554669</v>
      </c>
      <c r="E275" s="45">
        <v>2661.1246243645196</v>
      </c>
      <c r="F275" s="45">
        <v>818.23948733942166</v>
      </c>
      <c r="G275" s="45">
        <v>1952.9768003278414</v>
      </c>
      <c r="H275" s="45">
        <v>1996.2038223823774</v>
      </c>
    </row>
    <row r="276" spans="1:8">
      <c r="A276" s="34" t="s">
        <v>387</v>
      </c>
      <c r="B276" s="45">
        <v>33331.90368143424</v>
      </c>
      <c r="C276" s="11">
        <v>4486.8865896169355</v>
      </c>
      <c r="D276" s="45">
        <v>1608.3045275775944</v>
      </c>
      <c r="E276" s="45">
        <v>8517.7885528525712</v>
      </c>
      <c r="F276" s="45">
        <v>13056.778322926526</v>
      </c>
      <c r="G276" s="45">
        <v>2764.3688143975314</v>
      </c>
      <c r="H276" s="45">
        <v>2622.4959009400682</v>
      </c>
    </row>
    <row r="277" spans="1:8">
      <c r="A277" s="34" t="s">
        <v>388</v>
      </c>
      <c r="B277" s="45">
        <v>38317.80410534799</v>
      </c>
      <c r="C277" s="11">
        <v>19415.804632159394</v>
      </c>
      <c r="D277" s="45">
        <v>6762.3886692137276</v>
      </c>
      <c r="E277" s="45">
        <v>3920.5138004353171</v>
      </c>
      <c r="F277" s="45">
        <v>1770.4936965744801</v>
      </c>
      <c r="G277" s="45">
        <v>2565.5348257938304</v>
      </c>
      <c r="H277" s="45">
        <v>4337.810918152737</v>
      </c>
    </row>
    <row r="278" spans="1:8">
      <c r="A278" s="34" t="s">
        <v>389</v>
      </c>
      <c r="B278" s="45">
        <v>38848.87170137366</v>
      </c>
      <c r="C278" s="11">
        <v>4882.4010087420311</v>
      </c>
      <c r="D278" s="45">
        <v>4167.3681282582993</v>
      </c>
      <c r="E278" s="45">
        <v>2836.2179996255327</v>
      </c>
      <c r="F278" s="45">
        <v>10721.362291531399</v>
      </c>
      <c r="G278" s="45">
        <v>6459.4892483148233</v>
      </c>
      <c r="H278" s="45">
        <v>1789.6597360138637</v>
      </c>
    </row>
    <row r="279" spans="1:8">
      <c r="A279" s="34" t="s">
        <v>390</v>
      </c>
      <c r="B279" s="45">
        <v>618996.30232950696</v>
      </c>
      <c r="C279" s="11">
        <v>116557.64521880103</v>
      </c>
      <c r="D279" s="45">
        <v>64748.70562120081</v>
      </c>
      <c r="E279" s="45">
        <v>160065.65209440899</v>
      </c>
      <c r="F279" s="45">
        <v>87308.550791975984</v>
      </c>
      <c r="G279" s="45">
        <v>80940.916377444708</v>
      </c>
      <c r="H279" s="45">
        <v>77639.925987421986</v>
      </c>
    </row>
    <row r="280" spans="1:8">
      <c r="A280" s="34" t="s">
        <v>391</v>
      </c>
      <c r="B280" s="45">
        <v>2051.9745851099688</v>
      </c>
      <c r="C280" s="11">
        <v>1638.1172559253314</v>
      </c>
      <c r="D280" s="45">
        <v>0</v>
      </c>
      <c r="E280" s="45">
        <v>0</v>
      </c>
      <c r="F280" s="45">
        <v>413.85732918463731</v>
      </c>
      <c r="G280" s="45">
        <v>0</v>
      </c>
      <c r="H280" s="45">
        <v>0</v>
      </c>
    </row>
    <row r="281" spans="1:8">
      <c r="A281" s="34" t="s">
        <v>392</v>
      </c>
      <c r="B281" s="45">
        <v>9573.7612185180769</v>
      </c>
      <c r="C281" s="11">
        <v>3767.5040736667497</v>
      </c>
      <c r="D281" s="45">
        <v>1684.6532512130616</v>
      </c>
      <c r="E281" s="45">
        <v>1418.4379536687916</v>
      </c>
      <c r="F281" s="45">
        <v>2176.4109391458592</v>
      </c>
      <c r="G281" s="45">
        <v>0</v>
      </c>
      <c r="H281" s="45">
        <v>663.60517427317075</v>
      </c>
    </row>
    <row r="282" spans="1:8">
      <c r="A282" s="34" t="s">
        <v>393</v>
      </c>
      <c r="B282" s="45">
        <v>128311.44285386108</v>
      </c>
      <c r="C282" s="11">
        <v>38063.754871516132</v>
      </c>
      <c r="D282" s="45">
        <v>21796.314144904762</v>
      </c>
      <c r="E282" s="45">
        <v>12934.792699961483</v>
      </c>
      <c r="F282" s="45">
        <v>6542.0690918124747</v>
      </c>
      <c r="G282" s="45">
        <v>12173.469483335844</v>
      </c>
      <c r="H282" s="45">
        <v>23676.955988106085</v>
      </c>
    </row>
    <row r="283" spans="1:8">
      <c r="A283" s="34" t="s">
        <v>394</v>
      </c>
      <c r="B283" s="45">
        <v>22277.940150717277</v>
      </c>
      <c r="C283" s="11">
        <v>10257.307336029506</v>
      </c>
      <c r="D283" s="45">
        <v>1502.3082429374949</v>
      </c>
      <c r="E283" s="45">
        <v>1636.0920404538549</v>
      </c>
      <c r="F283" s="45">
        <v>10633.523227681277</v>
      </c>
      <c r="G283" s="45">
        <v>752.04631586363143</v>
      </c>
      <c r="H283" s="45">
        <v>474.34764360736324</v>
      </c>
    </row>
    <row r="284" spans="1:8">
      <c r="A284" s="34" t="s">
        <v>395</v>
      </c>
      <c r="B284" s="45">
        <v>3564.3027624461652</v>
      </c>
      <c r="C284" s="11">
        <v>0</v>
      </c>
      <c r="D284" s="45">
        <v>1369.4965841846642</v>
      </c>
      <c r="E284" s="45">
        <v>524.37864755291446</v>
      </c>
      <c r="F284" s="45">
        <v>527.55502647240269</v>
      </c>
      <c r="G284" s="45">
        <v>1032.6153753304188</v>
      </c>
      <c r="H284" s="45">
        <v>1159.0144240115937</v>
      </c>
    </row>
    <row r="285" spans="1:8">
      <c r="A285" s="34" t="s">
        <v>396</v>
      </c>
      <c r="B285" s="45">
        <v>466481.68569217046</v>
      </c>
      <c r="C285" s="11">
        <v>220813.29973409083</v>
      </c>
      <c r="D285" s="45">
        <v>68015.793945408077</v>
      </c>
      <c r="E285" s="45">
        <v>39026.664692042439</v>
      </c>
      <c r="F285" s="45">
        <v>43010.665083012907</v>
      </c>
      <c r="G285" s="45">
        <v>79526.472808014616</v>
      </c>
      <c r="H285" s="45">
        <v>43448.903834751742</v>
      </c>
    </row>
    <row r="286" spans="1:8">
      <c r="A286" s="34" t="s">
        <v>397</v>
      </c>
      <c r="B286" s="45">
        <v>45189.015013955272</v>
      </c>
      <c r="C286" s="11">
        <v>11268.551102378602</v>
      </c>
      <c r="D286" s="45">
        <v>6452.4307969157862</v>
      </c>
      <c r="E286" s="45">
        <v>4411.2512981050668</v>
      </c>
      <c r="F286" s="45">
        <v>6020.7335787535385</v>
      </c>
      <c r="G286" s="45">
        <v>1761.6906198695874</v>
      </c>
      <c r="H286" s="45">
        <v>2962.2548471545892</v>
      </c>
    </row>
    <row r="287" spans="1:8">
      <c r="A287" s="34" t="s">
        <v>398</v>
      </c>
      <c r="B287" s="45">
        <v>0</v>
      </c>
      <c r="C287" s="11">
        <v>0</v>
      </c>
      <c r="D287" s="45">
        <v>0</v>
      </c>
      <c r="E287" s="45">
        <v>0</v>
      </c>
      <c r="F287" s="45">
        <v>0</v>
      </c>
      <c r="G287" s="45">
        <v>0</v>
      </c>
      <c r="H287" s="45">
        <v>0</v>
      </c>
    </row>
    <row r="288" spans="1:8">
      <c r="A288" s="34" t="s">
        <v>399</v>
      </c>
      <c r="B288" s="45">
        <v>124838.75020768408</v>
      </c>
      <c r="C288" s="11">
        <v>64239.510931335244</v>
      </c>
      <c r="D288" s="45">
        <v>16882.888553751993</v>
      </c>
      <c r="E288" s="45">
        <v>5965.3932772307326</v>
      </c>
      <c r="F288" s="45">
        <v>2101.3459708864593</v>
      </c>
      <c r="G288" s="45">
        <v>1282.1539051958657</v>
      </c>
      <c r="H288" s="45">
        <v>20216.762329325615</v>
      </c>
    </row>
    <row r="289" spans="1:8">
      <c r="A289" s="34" t="s">
        <v>400</v>
      </c>
      <c r="B289" s="45">
        <v>21679.866945388145</v>
      </c>
      <c r="C289" s="11">
        <v>5850.0248651744951</v>
      </c>
      <c r="D289" s="45">
        <v>2245.4381107829881</v>
      </c>
      <c r="E289" s="45">
        <v>0</v>
      </c>
      <c r="F289" s="45">
        <v>514.42690032869132</v>
      </c>
      <c r="G289" s="45">
        <v>1129.1806331505009</v>
      </c>
      <c r="H289" s="45">
        <v>560.80158686892753</v>
      </c>
    </row>
    <row r="290" spans="1:8">
      <c r="A290" s="34" t="s">
        <v>401</v>
      </c>
      <c r="B290" s="45">
        <v>79261.896688382418</v>
      </c>
      <c r="C290" s="11">
        <v>7425.75854874988</v>
      </c>
      <c r="D290" s="45">
        <v>8170.6352516056631</v>
      </c>
      <c r="E290" s="45">
        <v>3315.9444865556852</v>
      </c>
      <c r="F290" s="45">
        <v>52964.835905344589</v>
      </c>
      <c r="G290" s="45">
        <v>5278.240945843163</v>
      </c>
      <c r="H290" s="45">
        <v>1546.4977088725489</v>
      </c>
    </row>
    <row r="291" spans="1:8">
      <c r="A291" s="34" t="s">
        <v>402</v>
      </c>
      <c r="B291" s="45">
        <v>35329.464862168803</v>
      </c>
      <c r="C291" s="11">
        <v>5274.5671148668262</v>
      </c>
      <c r="D291" s="45">
        <v>9362.8501563253849</v>
      </c>
      <c r="E291" s="45">
        <v>4728.6972013253517</v>
      </c>
      <c r="F291" s="45">
        <v>5777.1264934158971</v>
      </c>
      <c r="G291" s="45">
        <v>7374.660460678343</v>
      </c>
      <c r="H291" s="45">
        <v>1867.0191758889596</v>
      </c>
    </row>
    <row r="292" spans="1:8">
      <c r="A292" s="34" t="s">
        <v>403</v>
      </c>
      <c r="B292" s="45">
        <v>194411.25586054355</v>
      </c>
      <c r="C292" s="11">
        <v>62216.802908487414</v>
      </c>
      <c r="D292" s="45">
        <v>28452.768873831967</v>
      </c>
      <c r="E292" s="45">
        <v>20424.039542237446</v>
      </c>
      <c r="F292" s="45">
        <v>13260.184080587813</v>
      </c>
      <c r="G292" s="45">
        <v>4652.5891928871906</v>
      </c>
      <c r="H292" s="45">
        <v>80475.89871690709</v>
      </c>
    </row>
    <row r="293" spans="1:8">
      <c r="A293" s="34" t="s">
        <v>404</v>
      </c>
      <c r="B293" s="45">
        <v>963222.15587576642</v>
      </c>
      <c r="C293" s="11">
        <v>68014.17130928977</v>
      </c>
      <c r="D293" s="45">
        <v>76068.57443596315</v>
      </c>
      <c r="E293" s="45">
        <v>78586.687994866719</v>
      </c>
      <c r="F293" s="45">
        <v>39611.828339462976</v>
      </c>
      <c r="G293" s="45">
        <v>56760.148947314286</v>
      </c>
      <c r="H293" s="45">
        <v>81309.464022265325</v>
      </c>
    </row>
    <row r="294" spans="1:8">
      <c r="A294" s="34" t="s">
        <v>405</v>
      </c>
      <c r="B294" s="45">
        <v>18846.880390705024</v>
      </c>
      <c r="C294" s="11">
        <v>12177.687744966461</v>
      </c>
      <c r="D294" s="45">
        <v>1808.5944455914357</v>
      </c>
      <c r="E294" s="45">
        <v>2965.2004147416142</v>
      </c>
      <c r="F294" s="45">
        <v>0</v>
      </c>
      <c r="G294" s="45">
        <v>1386.9135943785245</v>
      </c>
      <c r="H294" s="45">
        <v>4263.4639937510256</v>
      </c>
    </row>
    <row r="295" spans="1:8">
      <c r="A295" s="34" t="s">
        <v>406</v>
      </c>
      <c r="B295" s="45">
        <v>9198.5042286317075</v>
      </c>
      <c r="C295" s="11">
        <v>3106.3480465999642</v>
      </c>
      <c r="D295" s="45">
        <v>887.40337810796859</v>
      </c>
      <c r="E295" s="45">
        <v>1532.4282021876522</v>
      </c>
      <c r="F295" s="45">
        <v>2041.1950322206801</v>
      </c>
      <c r="G295" s="45">
        <v>541.62532470401368</v>
      </c>
      <c r="H295" s="45">
        <v>515.44953980199136</v>
      </c>
    </row>
    <row r="296" spans="1:8">
      <c r="A296" s="34" t="s">
        <v>407</v>
      </c>
      <c r="B296" s="45">
        <v>72513.028204188275</v>
      </c>
      <c r="C296" s="11">
        <v>9325.2865159980029</v>
      </c>
      <c r="D296" s="45">
        <v>3410.0125519036219</v>
      </c>
      <c r="E296" s="45">
        <v>22046.336455550852</v>
      </c>
      <c r="F296" s="45">
        <v>16743.160139294912</v>
      </c>
      <c r="G296" s="45">
        <v>20472.81843233667</v>
      </c>
      <c r="H296" s="45">
        <v>6455.0226638152672</v>
      </c>
    </row>
    <row r="297" spans="1:8">
      <c r="A297" s="34" t="s">
        <v>408</v>
      </c>
      <c r="B297" s="45">
        <v>1499.1565360738609</v>
      </c>
      <c r="C297" s="11">
        <v>539.71511158593341</v>
      </c>
      <c r="D297" s="45">
        <v>541.27165726563749</v>
      </c>
      <c r="E297" s="45">
        <v>539.71511158593341</v>
      </c>
      <c r="F297" s="45">
        <v>0</v>
      </c>
      <c r="G297" s="45">
        <v>0</v>
      </c>
      <c r="H297" s="45">
        <v>0</v>
      </c>
    </row>
    <row r="298" spans="1:8">
      <c r="A298" s="34" t="s">
        <v>409</v>
      </c>
      <c r="B298" s="45">
        <v>487.9161623842441</v>
      </c>
      <c r="C298" s="11">
        <v>0</v>
      </c>
      <c r="D298" s="45">
        <v>0</v>
      </c>
      <c r="E298" s="45">
        <v>0</v>
      </c>
      <c r="F298" s="45">
        <v>0</v>
      </c>
      <c r="G298" s="45">
        <v>0</v>
      </c>
      <c r="H298" s="45">
        <v>0</v>
      </c>
    </row>
    <row r="299" spans="1:8">
      <c r="A299" s="34" t="s">
        <v>410</v>
      </c>
      <c r="B299" s="45">
        <v>6842.8087800945996</v>
      </c>
      <c r="C299" s="11">
        <v>3339.8827968702931</v>
      </c>
      <c r="D299" s="45">
        <v>486.6338627612958</v>
      </c>
      <c r="E299" s="45">
        <v>2043.906603581371</v>
      </c>
      <c r="F299" s="45">
        <v>1557.7259688292916</v>
      </c>
      <c r="G299" s="45">
        <v>522.10733234394013</v>
      </c>
      <c r="H299" s="45">
        <v>490.83959562658805</v>
      </c>
    </row>
    <row r="300" spans="1:8">
      <c r="A300" s="34" t="s">
        <v>411</v>
      </c>
      <c r="B300" s="45">
        <v>632263.66344308434</v>
      </c>
      <c r="C300" s="11">
        <v>18682.096923279154</v>
      </c>
      <c r="D300" s="45">
        <v>27656.688740093323</v>
      </c>
      <c r="E300" s="45">
        <v>193753.07961980923</v>
      </c>
      <c r="F300" s="45">
        <v>328886.66237843345</v>
      </c>
      <c r="G300" s="45">
        <v>33887.794152469265</v>
      </c>
      <c r="H300" s="45">
        <v>21995.116475724153</v>
      </c>
    </row>
    <row r="301" spans="1:8">
      <c r="A301" s="118"/>
      <c r="B301" s="119"/>
      <c r="C301" s="119"/>
      <c r="D301" s="119"/>
      <c r="E301" s="119"/>
      <c r="F301" s="119"/>
      <c r="G301" s="119"/>
      <c r="H301" s="119"/>
    </row>
    <row r="302" spans="1:8">
      <c r="A302" s="24" t="s">
        <v>117</v>
      </c>
    </row>
    <row r="303" spans="1:8">
      <c r="A303" s="16" t="s">
        <v>121</v>
      </c>
    </row>
    <row r="304" spans="1:8">
      <c r="A304" s="16" t="s">
        <v>122</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B159&lt;'38'!$C$104</xm:f>
            <x14:dxf>
              <font>
                <color rgb="FFFF0000"/>
              </font>
              <numFmt numFmtId="172" formatCode="\*\*0.0%"/>
            </x14:dxf>
          </x14:cfRule>
          <x14:cfRule type="expression" priority="4" id="{F21496D9-2B6E-4F74-B1F7-AA89522F249C}">
            <xm:f>B159&lt;'38'!$C$103</xm:f>
            <x14:dxf>
              <font>
                <color rgb="FF00B050"/>
              </font>
              <numFmt numFmtId="171" formatCode="\*0.0%"/>
            </x14:dxf>
          </x14:cfRule>
          <xm:sqref>B16:H157</xm:sqref>
        </x14:conditionalFormatting>
        <x14:conditionalFormatting xmlns:xm="http://schemas.microsoft.com/office/excel/2006/main">
          <x14:cfRule type="expression" priority="1" id="{71EB8C14-2491-4F1A-9873-8E6392295B92}">
            <xm:f>B159&lt;'38'!$C$104</xm:f>
            <x14:dxf>
              <font>
                <color rgb="FFFF0000"/>
              </font>
              <numFmt numFmtId="174" formatCode="\*\*#,###,###,##0"/>
            </x14:dxf>
          </x14:cfRule>
          <x14:cfRule type="expression" priority="2" id="{C526C75A-03EC-46CB-8006-F1B9253BC6BE}">
            <xm:f>B159&lt;'38'!$C$103</xm:f>
            <x14:dxf>
              <font>
                <color rgb="FF00B050"/>
              </font>
              <numFmt numFmtId="173"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30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9">
      <c r="A1" s="30"/>
      <c r="B1" s="30"/>
      <c r="C1" s="30"/>
      <c r="D1" s="30"/>
      <c r="E1" s="30"/>
      <c r="F1" s="30"/>
      <c r="G1" s="30"/>
      <c r="H1" s="30"/>
    </row>
    <row r="2" spans="1:9">
      <c r="A2" s="30"/>
      <c r="B2" s="30"/>
      <c r="C2" s="30"/>
      <c r="D2" s="30"/>
      <c r="E2" s="30"/>
      <c r="F2" s="30"/>
      <c r="G2" s="30"/>
      <c r="H2" s="30"/>
    </row>
    <row r="3" spans="1:9">
      <c r="A3" s="30"/>
      <c r="B3" s="30"/>
      <c r="C3" s="30"/>
      <c r="D3" s="30"/>
      <c r="E3" s="30"/>
      <c r="F3" s="30"/>
      <c r="G3" s="30"/>
      <c r="H3" s="30"/>
    </row>
    <row r="4" spans="1:9">
      <c r="A4" s="30"/>
      <c r="B4" s="30"/>
      <c r="C4" s="30"/>
      <c r="D4" s="30"/>
      <c r="E4" s="30"/>
      <c r="F4" s="30"/>
      <c r="G4" s="30"/>
      <c r="H4" s="30"/>
    </row>
    <row r="5" spans="1:9">
      <c r="A5" s="30"/>
      <c r="B5" s="30"/>
      <c r="C5" s="30"/>
      <c r="D5" s="30"/>
      <c r="E5" s="30"/>
      <c r="F5" s="30"/>
      <c r="G5" s="30"/>
      <c r="H5" s="30"/>
    </row>
    <row r="6" spans="1:9">
      <c r="A6" s="30"/>
      <c r="B6" s="30"/>
      <c r="C6" s="30"/>
      <c r="D6" s="30"/>
      <c r="E6" s="30"/>
      <c r="F6" s="30"/>
      <c r="G6" s="30"/>
      <c r="H6" s="30"/>
    </row>
    <row r="7" spans="1:9">
      <c r="A7" s="30"/>
      <c r="B7" s="30"/>
      <c r="C7" s="30"/>
      <c r="D7" s="30"/>
      <c r="E7" s="30"/>
      <c r="F7" s="30"/>
      <c r="G7" s="30"/>
      <c r="H7" s="30"/>
    </row>
    <row r="8" spans="1:9">
      <c r="A8" s="30" t="s">
        <v>0</v>
      </c>
      <c r="B8" s="30"/>
      <c r="C8" s="30"/>
      <c r="D8" s="30"/>
      <c r="E8" s="30"/>
      <c r="F8" s="30"/>
      <c r="G8" s="30"/>
      <c r="H8" s="30"/>
    </row>
    <row r="9" spans="1:9">
      <c r="A9" s="29" t="s">
        <v>1</v>
      </c>
      <c r="B9" s="90" t="s">
        <v>2</v>
      </c>
      <c r="C9" s="30"/>
      <c r="D9" s="30"/>
      <c r="E9" s="30"/>
      <c r="F9" s="30"/>
      <c r="G9" s="30"/>
      <c r="H9" s="30"/>
    </row>
    <row r="10" spans="1:9">
      <c r="A10" s="29" t="s">
        <v>49</v>
      </c>
      <c r="B10" s="31">
        <v>21</v>
      </c>
      <c r="C10" s="30"/>
      <c r="D10" s="30"/>
      <c r="E10" s="30"/>
      <c r="F10" s="30"/>
      <c r="G10" s="30"/>
      <c r="H10" s="30"/>
    </row>
    <row r="11" spans="1:9">
      <c r="A11" s="29" t="s">
        <v>3</v>
      </c>
      <c r="B11" s="30" t="s">
        <v>29</v>
      </c>
      <c r="C11" s="30"/>
      <c r="D11" s="30"/>
      <c r="E11" s="30"/>
      <c r="F11" s="108" t="s">
        <v>146</v>
      </c>
      <c r="G11" s="30"/>
      <c r="H11" s="30"/>
    </row>
    <row r="12" spans="1:9">
      <c r="A12" s="116" t="s">
        <v>50</v>
      </c>
      <c r="B12" s="117" t="s">
        <v>123</v>
      </c>
      <c r="C12" s="117"/>
      <c r="D12" s="117"/>
      <c r="E12" s="117"/>
      <c r="F12" s="117"/>
      <c r="G12" s="117"/>
      <c r="H12" s="117"/>
    </row>
    <row r="13" spans="1:9" ht="24.95" customHeight="1">
      <c r="A13" s="42"/>
      <c r="B13" s="33"/>
      <c r="C13" s="182" t="s">
        <v>162</v>
      </c>
      <c r="D13" s="182"/>
      <c r="E13" s="182"/>
      <c r="F13" s="182"/>
      <c r="G13" s="182"/>
      <c r="H13" s="182"/>
    </row>
    <row r="14" spans="1:9" ht="45">
      <c r="A14" s="38"/>
      <c r="B14" s="37" t="s">
        <v>57</v>
      </c>
      <c r="C14" s="64" t="s">
        <v>152</v>
      </c>
      <c r="D14" s="64" t="s">
        <v>414</v>
      </c>
      <c r="E14" s="64" t="s">
        <v>415</v>
      </c>
      <c r="F14" s="64" t="s">
        <v>416</v>
      </c>
      <c r="G14" s="64" t="s">
        <v>417</v>
      </c>
      <c r="H14" s="64" t="s">
        <v>161</v>
      </c>
      <c r="I14" s="106" t="s">
        <v>146</v>
      </c>
    </row>
    <row r="15" spans="1:9">
      <c r="A15" s="67"/>
      <c r="B15" s="187" t="s">
        <v>144</v>
      </c>
      <c r="C15" s="187"/>
      <c r="D15" s="187"/>
      <c r="E15" s="187"/>
      <c r="F15" s="187"/>
      <c r="G15" s="187"/>
      <c r="H15" s="187"/>
    </row>
    <row r="16" spans="1:9">
      <c r="A16" s="34" t="s">
        <v>270</v>
      </c>
      <c r="B16" s="4">
        <v>2.2387195705872612E-3</v>
      </c>
      <c r="C16" s="10">
        <v>3.2388941839226577E-4</v>
      </c>
      <c r="D16" s="4">
        <v>4.7711712870720461E-4</v>
      </c>
      <c r="E16" s="4">
        <v>3.049859103019816E-4</v>
      </c>
      <c r="F16" s="4">
        <v>2.9347983585207757E-4</v>
      </c>
      <c r="G16" s="4">
        <v>5.07555413986753E-4</v>
      </c>
      <c r="H16" s="4">
        <v>1.3899934916647647E-4</v>
      </c>
    </row>
    <row r="17" spans="1:8">
      <c r="A17" s="34" t="s">
        <v>271</v>
      </c>
      <c r="B17" s="4">
        <v>2.589221231325674E-3</v>
      </c>
      <c r="C17" s="10">
        <v>1.3541671198194663E-3</v>
      </c>
      <c r="D17" s="4">
        <v>8.8442145323884319E-4</v>
      </c>
      <c r="E17" s="4">
        <v>8.9864219336878307E-4</v>
      </c>
      <c r="F17" s="4">
        <v>8.8605442595921381E-4</v>
      </c>
      <c r="G17" s="4">
        <v>7.9235393750360847E-4</v>
      </c>
      <c r="H17" s="4">
        <v>1.1554469248501946E-3</v>
      </c>
    </row>
    <row r="18" spans="1:8">
      <c r="A18" s="34" t="s">
        <v>272</v>
      </c>
      <c r="B18" s="4">
        <v>1.4805981887909497E-3</v>
      </c>
      <c r="C18" s="10">
        <v>2.1219634092627264E-4</v>
      </c>
      <c r="D18" s="4">
        <v>5.6990945745511812E-4</v>
      </c>
      <c r="E18" s="4">
        <v>8.4353612971507016E-4</v>
      </c>
      <c r="F18" s="4">
        <v>4.9954120917640715E-4</v>
      </c>
      <c r="G18" s="4">
        <v>5.4115587861089138E-4</v>
      </c>
      <c r="H18" s="4">
        <v>2.0052169717052327E-4</v>
      </c>
    </row>
    <row r="19" spans="1:8">
      <c r="A19" s="34" t="s">
        <v>273</v>
      </c>
      <c r="B19" s="4">
        <v>3.2401788247803605E-2</v>
      </c>
      <c r="C19" s="10">
        <v>1.4843021753945052E-2</v>
      </c>
      <c r="D19" s="4">
        <v>5.0761666465106454E-3</v>
      </c>
      <c r="E19" s="4">
        <v>3.3473843611182925E-3</v>
      </c>
      <c r="F19" s="4">
        <v>2.082334397003636E-3</v>
      </c>
      <c r="G19" s="4">
        <v>4.2607438686163446E-3</v>
      </c>
      <c r="H19" s="4">
        <v>8.2297099214360247E-3</v>
      </c>
    </row>
    <row r="20" spans="1:8">
      <c r="A20" s="34" t="s">
        <v>274</v>
      </c>
      <c r="B20" s="4">
        <v>6.3025656403494154E-2</v>
      </c>
      <c r="C20" s="10">
        <v>3.884924791056419E-2</v>
      </c>
      <c r="D20" s="4">
        <v>7.9281625833061108E-3</v>
      </c>
      <c r="E20" s="4">
        <v>4.2384335747854647E-3</v>
      </c>
      <c r="F20" s="4">
        <v>1.9310311161899248E-3</v>
      </c>
      <c r="G20" s="4">
        <v>3.4159831377568932E-3</v>
      </c>
      <c r="H20" s="4">
        <v>1.1293733919989671E-2</v>
      </c>
    </row>
    <row r="21" spans="1:8">
      <c r="A21" s="34" t="s">
        <v>275</v>
      </c>
      <c r="B21" s="4">
        <v>7.5051998862006968E-3</v>
      </c>
      <c r="C21" s="10">
        <v>1.3311164619872712E-3</v>
      </c>
      <c r="D21" s="4">
        <v>1.6167020863277219E-3</v>
      </c>
      <c r="E21" s="4">
        <v>1.2520152691652923E-3</v>
      </c>
      <c r="F21" s="4">
        <v>1.0219335110807561E-3</v>
      </c>
      <c r="G21" s="4">
        <v>1.3996478956521709E-3</v>
      </c>
      <c r="H21" s="4">
        <v>2.1842729359744704E-3</v>
      </c>
    </row>
    <row r="22" spans="1:8">
      <c r="A22" s="34" t="s">
        <v>276</v>
      </c>
      <c r="B22" s="4">
        <v>6.1168926020933011E-3</v>
      </c>
      <c r="C22" s="10">
        <v>2.5256488957868424E-3</v>
      </c>
      <c r="D22" s="4">
        <v>1.1137661628745214E-3</v>
      </c>
      <c r="E22" s="4">
        <v>6.3551503669382616E-4</v>
      </c>
      <c r="F22" s="4">
        <v>5.7797562544708019E-4</v>
      </c>
      <c r="G22" s="4">
        <v>9.9382532748171389E-4</v>
      </c>
      <c r="H22" s="4">
        <v>6.4968499256615544E-4</v>
      </c>
    </row>
    <row r="23" spans="1:8">
      <c r="A23" s="34" t="s">
        <v>277</v>
      </c>
      <c r="B23" s="4">
        <v>7.0958279580564276E-2</v>
      </c>
      <c r="C23" s="10">
        <v>3.8309245088303655E-2</v>
      </c>
      <c r="D23" s="4">
        <v>9.3457171814871325E-3</v>
      </c>
      <c r="E23" s="4">
        <v>7.6257799314846378E-3</v>
      </c>
      <c r="F23" s="4">
        <v>3.2279993584265003E-3</v>
      </c>
      <c r="G23" s="4">
        <v>6.3352698920833752E-3</v>
      </c>
      <c r="H23" s="4">
        <v>1.5215058938637156E-2</v>
      </c>
    </row>
    <row r="24" spans="1:8">
      <c r="A24" s="34" t="s">
        <v>278</v>
      </c>
      <c r="B24" s="4">
        <v>6.7124682925024E-4</v>
      </c>
      <c r="C24" s="10">
        <v>1.0937139633490261E-4</v>
      </c>
      <c r="D24" s="4">
        <v>3.2041989416433389E-4</v>
      </c>
      <c r="E24" s="4">
        <v>2.2683558842376413E-4</v>
      </c>
      <c r="F24" s="4">
        <v>2.3772774643199707E-4</v>
      </c>
      <c r="G24" s="4">
        <v>1.7705554156290489E-4</v>
      </c>
      <c r="H24" s="4">
        <v>2.7951173114743185E-4</v>
      </c>
    </row>
    <row r="25" spans="1:8">
      <c r="A25" s="34" t="s">
        <v>279</v>
      </c>
      <c r="B25" s="4">
        <v>1.3735079466823045E-4</v>
      </c>
      <c r="C25" s="10">
        <v>0</v>
      </c>
      <c r="D25" s="4">
        <v>0</v>
      </c>
      <c r="E25" s="4">
        <v>0</v>
      </c>
      <c r="F25" s="4">
        <v>1.3735079466823045E-4</v>
      </c>
      <c r="G25" s="4">
        <v>0</v>
      </c>
      <c r="H25" s="4">
        <v>0</v>
      </c>
    </row>
    <row r="26" spans="1:8">
      <c r="A26" s="34" t="s">
        <v>280</v>
      </c>
      <c r="B26" s="4">
        <v>4.4722854101830598E-4</v>
      </c>
      <c r="C26" s="10">
        <v>1.2416912573105698E-4</v>
      </c>
      <c r="D26" s="4">
        <v>1.1086614556733331E-4</v>
      </c>
      <c r="E26" s="4">
        <v>1.1086614556733331E-4</v>
      </c>
      <c r="F26" s="4">
        <v>1.2416912573105698E-4</v>
      </c>
      <c r="G26" s="4">
        <v>1.2416912573105698E-4</v>
      </c>
      <c r="H26" s="4">
        <v>0</v>
      </c>
    </row>
    <row r="27" spans="1:8">
      <c r="A27" s="34" t="s">
        <v>281</v>
      </c>
      <c r="B27" s="4">
        <v>1.6260329765845668E-3</v>
      </c>
      <c r="C27" s="10">
        <v>6.6430073749555176E-4</v>
      </c>
      <c r="D27" s="4">
        <v>2.3535192478402089E-4</v>
      </c>
      <c r="E27" s="4">
        <v>9.9616422356509375E-5</v>
      </c>
      <c r="F27" s="4">
        <v>1.3198299602379081E-4</v>
      </c>
      <c r="G27" s="4">
        <v>4.2383998957056456E-4</v>
      </c>
      <c r="H27" s="4">
        <v>2.7092740275197643E-4</v>
      </c>
    </row>
    <row r="28" spans="1:8">
      <c r="A28" s="34" t="s">
        <v>282</v>
      </c>
      <c r="B28" s="4">
        <v>0</v>
      </c>
      <c r="C28" s="10">
        <v>0</v>
      </c>
      <c r="D28" s="4">
        <v>0</v>
      </c>
      <c r="E28" s="4">
        <v>0</v>
      </c>
      <c r="F28" s="4">
        <v>0</v>
      </c>
      <c r="G28" s="4">
        <v>0</v>
      </c>
      <c r="H28" s="4">
        <v>0</v>
      </c>
    </row>
    <row r="29" spans="1:8">
      <c r="A29" s="34" t="s">
        <v>283</v>
      </c>
      <c r="B29" s="4">
        <v>0</v>
      </c>
      <c r="C29" s="10">
        <v>0</v>
      </c>
      <c r="D29" s="4">
        <v>0</v>
      </c>
      <c r="E29" s="4">
        <v>0</v>
      </c>
      <c r="F29" s="4">
        <v>0</v>
      </c>
      <c r="G29" s="4">
        <v>0</v>
      </c>
      <c r="H29" s="4">
        <v>0</v>
      </c>
    </row>
    <row r="30" spans="1:8">
      <c r="A30" s="34" t="s">
        <v>284</v>
      </c>
      <c r="B30" s="4">
        <v>1.1525884795863259E-4</v>
      </c>
      <c r="C30" s="10">
        <v>0</v>
      </c>
      <c r="D30" s="4">
        <v>0</v>
      </c>
      <c r="E30" s="4">
        <v>0</v>
      </c>
      <c r="F30" s="4">
        <v>0</v>
      </c>
      <c r="G30" s="4">
        <v>0</v>
      </c>
      <c r="H30" s="4">
        <v>1.1525884795863259E-4</v>
      </c>
    </row>
    <row r="31" spans="1:8">
      <c r="A31" s="34" t="s">
        <v>285</v>
      </c>
      <c r="B31" s="4">
        <v>0</v>
      </c>
      <c r="C31" s="10">
        <v>0</v>
      </c>
      <c r="D31" s="4">
        <v>0</v>
      </c>
      <c r="E31" s="4">
        <v>0</v>
      </c>
      <c r="F31" s="4">
        <v>0</v>
      </c>
      <c r="G31" s="4">
        <v>0</v>
      </c>
      <c r="H31" s="4">
        <v>0</v>
      </c>
    </row>
    <row r="32" spans="1:8">
      <c r="A32" s="34" t="s">
        <v>286</v>
      </c>
      <c r="B32" s="4">
        <v>4.949176005088275E-5</v>
      </c>
      <c r="C32" s="10">
        <v>0</v>
      </c>
      <c r="D32" s="4">
        <v>4.949176005088275E-5</v>
      </c>
      <c r="E32" s="4">
        <v>0</v>
      </c>
      <c r="F32" s="4">
        <v>0</v>
      </c>
      <c r="G32" s="4">
        <v>0</v>
      </c>
      <c r="H32" s="4">
        <v>0</v>
      </c>
    </row>
    <row r="33" spans="1:8">
      <c r="A33" s="34" t="s">
        <v>287</v>
      </c>
      <c r="B33" s="4">
        <v>2.3621989916046816E-4</v>
      </c>
      <c r="C33" s="10">
        <v>1.1161914674775796E-4</v>
      </c>
      <c r="D33" s="4">
        <v>1.1161914674775796E-4</v>
      </c>
      <c r="E33" s="4">
        <v>0</v>
      </c>
      <c r="F33" s="4">
        <v>1.246007524127102E-4</v>
      </c>
      <c r="G33" s="4">
        <v>0</v>
      </c>
      <c r="H33" s="4">
        <v>1.246007524127102E-4</v>
      </c>
    </row>
    <row r="34" spans="1:8">
      <c r="A34" s="34" t="s">
        <v>288</v>
      </c>
      <c r="B34" s="4">
        <v>3.6317368771287654E-3</v>
      </c>
      <c r="C34" s="10">
        <v>7.0910111803857171E-4</v>
      </c>
      <c r="D34" s="4">
        <v>2.5723532295902392E-4</v>
      </c>
      <c r="E34" s="4">
        <v>4.6415541941460407E-4</v>
      </c>
      <c r="F34" s="4">
        <v>1.3802787420505479E-3</v>
      </c>
      <c r="G34" s="4">
        <v>1.0528688457426799E-3</v>
      </c>
      <c r="H34" s="4">
        <v>7.8579039049739551E-5</v>
      </c>
    </row>
    <row r="35" spans="1:8">
      <c r="A35" s="34" t="s">
        <v>289</v>
      </c>
      <c r="B35" s="4">
        <v>0</v>
      </c>
      <c r="C35" s="10">
        <v>0</v>
      </c>
      <c r="D35" s="4">
        <v>0</v>
      </c>
      <c r="E35" s="4">
        <v>0</v>
      </c>
      <c r="F35" s="4">
        <v>0</v>
      </c>
      <c r="G35" s="4">
        <v>0</v>
      </c>
      <c r="H35" s="4">
        <v>0</v>
      </c>
    </row>
    <row r="36" spans="1:8">
      <c r="A36" s="34" t="s">
        <v>290</v>
      </c>
      <c r="B36" s="4">
        <v>1.1631013470349106E-2</v>
      </c>
      <c r="C36" s="10">
        <v>9.1862139443757971E-4</v>
      </c>
      <c r="D36" s="4">
        <v>5.7013301036219679E-4</v>
      </c>
      <c r="E36" s="4">
        <v>3.6072687745858015E-4</v>
      </c>
      <c r="F36" s="4">
        <v>6.7884504393634683E-4</v>
      </c>
      <c r="G36" s="4">
        <v>6.5369100589826015E-4</v>
      </c>
      <c r="H36" s="4">
        <v>1.8592028135753422E-3</v>
      </c>
    </row>
    <row r="37" spans="1:8">
      <c r="A37" s="34" t="s">
        <v>291</v>
      </c>
      <c r="B37" s="4">
        <v>1.6849244798834134E-3</v>
      </c>
      <c r="C37" s="10">
        <v>1.1863605185550409E-3</v>
      </c>
      <c r="D37" s="4">
        <v>1.796467112884306E-4</v>
      </c>
      <c r="E37" s="4">
        <v>0</v>
      </c>
      <c r="F37" s="4">
        <v>1.796467112884306E-4</v>
      </c>
      <c r="G37" s="4">
        <v>0</v>
      </c>
      <c r="H37" s="4">
        <v>1.3800535813645841E-4</v>
      </c>
    </row>
    <row r="38" spans="1:8">
      <c r="A38" s="34" t="s">
        <v>292</v>
      </c>
      <c r="B38" s="4">
        <v>2.0491854931948829E-4</v>
      </c>
      <c r="C38" s="10">
        <v>0</v>
      </c>
      <c r="D38" s="4">
        <v>1.1915280069478985E-4</v>
      </c>
      <c r="E38" s="4">
        <v>0</v>
      </c>
      <c r="F38" s="4">
        <v>0</v>
      </c>
      <c r="G38" s="4">
        <v>0</v>
      </c>
      <c r="H38" s="4">
        <v>8.5765748624698422E-5</v>
      </c>
    </row>
    <row r="39" spans="1:8">
      <c r="A39" s="34" t="s">
        <v>293</v>
      </c>
      <c r="B39" s="4">
        <v>1.2257152931435694E-3</v>
      </c>
      <c r="C39" s="10">
        <v>1.4975094373325716E-4</v>
      </c>
      <c r="D39" s="4">
        <v>5.8524171171122609E-5</v>
      </c>
      <c r="E39" s="4">
        <v>0</v>
      </c>
      <c r="F39" s="4">
        <v>0</v>
      </c>
      <c r="G39" s="4">
        <v>2.2959400811593049E-4</v>
      </c>
      <c r="H39" s="4">
        <v>1.7305644402167004E-4</v>
      </c>
    </row>
    <row r="40" spans="1:8">
      <c r="A40" s="34" t="s">
        <v>294</v>
      </c>
      <c r="B40" s="4">
        <v>1.7016945145710682E-3</v>
      </c>
      <c r="C40" s="10">
        <v>3.4710738839253887E-4</v>
      </c>
      <c r="D40" s="4">
        <v>1.1086614556733331E-4</v>
      </c>
      <c r="E40" s="4">
        <v>1.9739486391665814E-4</v>
      </c>
      <c r="F40" s="4">
        <v>1.164019605431115E-3</v>
      </c>
      <c r="G40" s="4">
        <v>0</v>
      </c>
      <c r="H40" s="4">
        <v>1.0403880239808939E-4</v>
      </c>
    </row>
    <row r="41" spans="1:8">
      <c r="A41" s="34" t="s">
        <v>295</v>
      </c>
      <c r="B41" s="4">
        <v>3.3703554215216265E-2</v>
      </c>
      <c r="C41" s="10">
        <v>2.0689922112128768E-2</v>
      </c>
      <c r="D41" s="4">
        <v>3.8914304843632873E-3</v>
      </c>
      <c r="E41" s="4">
        <v>2.0803713769610901E-3</v>
      </c>
      <c r="F41" s="4">
        <v>1.2286429433628447E-3</v>
      </c>
      <c r="G41" s="4">
        <v>2.4852349664104588E-3</v>
      </c>
      <c r="H41" s="4">
        <v>5.9286779976945357E-3</v>
      </c>
    </row>
    <row r="42" spans="1:8">
      <c r="A42" s="34" t="s">
        <v>296</v>
      </c>
      <c r="B42" s="4">
        <v>0</v>
      </c>
      <c r="C42" s="10">
        <v>0</v>
      </c>
      <c r="D42" s="4">
        <v>0</v>
      </c>
      <c r="E42" s="4">
        <v>0</v>
      </c>
      <c r="F42" s="4">
        <v>0</v>
      </c>
      <c r="G42" s="4">
        <v>0</v>
      </c>
      <c r="H42" s="4">
        <v>0</v>
      </c>
    </row>
    <row r="43" spans="1:8">
      <c r="A43" s="34" t="s">
        <v>297</v>
      </c>
      <c r="B43" s="4">
        <v>1.4902752464856033E-3</v>
      </c>
      <c r="C43" s="10">
        <v>1.1610373423964479E-4</v>
      </c>
      <c r="D43" s="4">
        <v>0</v>
      </c>
      <c r="E43" s="4">
        <v>5.1840146601832488E-4</v>
      </c>
      <c r="F43" s="4">
        <v>4.9682789865015497E-4</v>
      </c>
      <c r="G43" s="4">
        <v>4.6149421371031177E-4</v>
      </c>
      <c r="H43" s="4">
        <v>7.7231347635484031E-5</v>
      </c>
    </row>
    <row r="44" spans="1:8">
      <c r="A44" s="34" t="s">
        <v>298</v>
      </c>
      <c r="B44" s="4">
        <v>0</v>
      </c>
      <c r="C44" s="10">
        <v>0</v>
      </c>
      <c r="D44" s="4">
        <v>0</v>
      </c>
      <c r="E44" s="4">
        <v>0</v>
      </c>
      <c r="F44" s="4">
        <v>0</v>
      </c>
      <c r="G44" s="4">
        <v>0</v>
      </c>
      <c r="H44" s="4">
        <v>0</v>
      </c>
    </row>
    <row r="45" spans="1:8">
      <c r="A45" s="34" t="s">
        <v>299</v>
      </c>
      <c r="B45" s="4">
        <v>1.7208384160979862E-2</v>
      </c>
      <c r="C45" s="10">
        <v>1.0920695127497047E-3</v>
      </c>
      <c r="D45" s="4">
        <v>2.9572251535013605E-4</v>
      </c>
      <c r="E45" s="4">
        <v>2.754241051399333E-4</v>
      </c>
      <c r="F45" s="4">
        <v>6.7147779623352461E-4</v>
      </c>
      <c r="G45" s="4">
        <v>6.6937010889447858E-4</v>
      </c>
      <c r="H45" s="4">
        <v>1.2890965897569481E-3</v>
      </c>
    </row>
    <row r="46" spans="1:8">
      <c r="A46" s="34" t="s">
        <v>300</v>
      </c>
      <c r="B46" s="4">
        <v>2.4723621597619896E-2</v>
      </c>
      <c r="C46" s="10">
        <v>3.2028290584148133E-3</v>
      </c>
      <c r="D46" s="4">
        <v>1.7524458958628735E-3</v>
      </c>
      <c r="E46" s="4">
        <v>1.4958720266604749E-3</v>
      </c>
      <c r="F46" s="4">
        <v>1.4422614495623031E-2</v>
      </c>
      <c r="G46" s="4">
        <v>2.367509908031249E-3</v>
      </c>
      <c r="H46" s="4">
        <v>3.374493613047036E-3</v>
      </c>
    </row>
    <row r="47" spans="1:8">
      <c r="A47" s="34" t="s">
        <v>301</v>
      </c>
      <c r="B47" s="4">
        <v>5.4371932446097795E-2</v>
      </c>
      <c r="C47" s="10">
        <v>5.9111434446112608E-3</v>
      </c>
      <c r="D47" s="4">
        <v>4.2011016061699472E-3</v>
      </c>
      <c r="E47" s="4">
        <v>3.593348849371646E-3</v>
      </c>
      <c r="F47" s="4">
        <v>3.6425958862816445E-2</v>
      </c>
      <c r="G47" s="4">
        <v>4.121720635112824E-3</v>
      </c>
      <c r="H47" s="4">
        <v>6.2416705187902368E-3</v>
      </c>
    </row>
    <row r="48" spans="1:8">
      <c r="A48" s="34" t="s">
        <v>302</v>
      </c>
      <c r="B48" s="4">
        <v>2.453865776487956E-4</v>
      </c>
      <c r="C48" s="10">
        <v>6.5739866360364974E-5</v>
      </c>
      <c r="D48" s="4">
        <v>0</v>
      </c>
      <c r="E48" s="4">
        <v>0</v>
      </c>
      <c r="F48" s="4">
        <v>0</v>
      </c>
      <c r="G48" s="4">
        <v>2.453865776487956E-4</v>
      </c>
      <c r="H48" s="4">
        <v>0</v>
      </c>
    </row>
    <row r="49" spans="1:8">
      <c r="A49" s="34" t="s">
        <v>303</v>
      </c>
      <c r="B49" s="4">
        <v>7.712729214625028E-4</v>
      </c>
      <c r="C49" s="10">
        <v>2.6364878701284596E-4</v>
      </c>
      <c r="D49" s="4">
        <v>0</v>
      </c>
      <c r="E49" s="4">
        <v>0</v>
      </c>
      <c r="F49" s="4">
        <v>0</v>
      </c>
      <c r="G49" s="4">
        <v>2.3372180910270272E-4</v>
      </c>
      <c r="H49" s="4">
        <v>1.3331751671997305E-4</v>
      </c>
    </row>
    <row r="50" spans="1:8">
      <c r="A50" s="34" t="s">
        <v>304</v>
      </c>
      <c r="B50" s="4">
        <v>2.3199595801088344E-4</v>
      </c>
      <c r="C50" s="10">
        <v>1.1093976563405056E-4</v>
      </c>
      <c r="D50" s="4">
        <v>1.1093976563405056E-4</v>
      </c>
      <c r="E50" s="4">
        <v>0</v>
      </c>
      <c r="F50" s="4">
        <v>0</v>
      </c>
      <c r="G50" s="4">
        <v>0</v>
      </c>
      <c r="H50" s="4">
        <v>0</v>
      </c>
    </row>
    <row r="51" spans="1:8">
      <c r="A51" s="34" t="s">
        <v>305</v>
      </c>
      <c r="B51" s="4">
        <v>0</v>
      </c>
      <c r="C51" s="10">
        <v>0</v>
      </c>
      <c r="D51" s="4">
        <v>0</v>
      </c>
      <c r="E51" s="4">
        <v>0</v>
      </c>
      <c r="F51" s="4">
        <v>0</v>
      </c>
      <c r="G51" s="4">
        <v>0</v>
      </c>
      <c r="H51" s="4">
        <v>0</v>
      </c>
    </row>
    <row r="52" spans="1:8">
      <c r="A52" s="34" t="s">
        <v>306</v>
      </c>
      <c r="B52" s="4">
        <v>4.2734835803171981E-4</v>
      </c>
      <c r="C52" s="10">
        <v>0</v>
      </c>
      <c r="D52" s="4">
        <v>0</v>
      </c>
      <c r="E52" s="4">
        <v>1.0751264895862608E-4</v>
      </c>
      <c r="F52" s="4">
        <v>0</v>
      </c>
      <c r="G52" s="4">
        <v>0</v>
      </c>
      <c r="H52" s="4">
        <v>1.1490791772264801E-4</v>
      </c>
    </row>
    <row r="53" spans="1:8">
      <c r="A53" s="34" t="s">
        <v>307</v>
      </c>
      <c r="B53" s="4">
        <v>2.9477303982620062E-3</v>
      </c>
      <c r="C53" s="10">
        <v>6.8062345486100248E-4</v>
      </c>
      <c r="D53" s="4">
        <v>4.882488690720733E-4</v>
      </c>
      <c r="E53" s="4">
        <v>3.5282868964669041E-4</v>
      </c>
      <c r="F53" s="4">
        <v>1.257153564891329E-3</v>
      </c>
      <c r="G53" s="4">
        <v>9.26198427292976E-4</v>
      </c>
      <c r="H53" s="4">
        <v>9.5363424254389176E-5</v>
      </c>
    </row>
    <row r="54" spans="1:8">
      <c r="A54" s="34" t="s">
        <v>308</v>
      </c>
      <c r="B54" s="4">
        <v>1.2234923865436843E-3</v>
      </c>
      <c r="C54" s="10">
        <v>2.7972326035500096E-4</v>
      </c>
      <c r="D54" s="4">
        <v>4.9919806820548733E-4</v>
      </c>
      <c r="E54" s="4">
        <v>1.0937139633490261E-4</v>
      </c>
      <c r="F54" s="4">
        <v>2.8868488989857122E-4</v>
      </c>
      <c r="G54" s="4">
        <v>1.8823507157172419E-4</v>
      </c>
      <c r="H54" s="4">
        <v>6.3955198513135976E-4</v>
      </c>
    </row>
    <row r="55" spans="1:8">
      <c r="A55" s="34" t="s">
        <v>309</v>
      </c>
      <c r="B55" s="4">
        <v>9.4845661388059585E-4</v>
      </c>
      <c r="C55" s="10">
        <v>4.1248895997886086E-4</v>
      </c>
      <c r="D55" s="4">
        <v>1.0937139633490261E-4</v>
      </c>
      <c r="E55" s="4">
        <v>2.1874279266980522E-4</v>
      </c>
      <c r="F55" s="4">
        <v>3.6846041788275762E-4</v>
      </c>
      <c r="G55" s="4">
        <v>3.8346807338769179E-4</v>
      </c>
      <c r="H55" s="4">
        <v>2.0419463135953788E-4</v>
      </c>
    </row>
    <row r="56" spans="1:8">
      <c r="A56" s="34" t="s">
        <v>310</v>
      </c>
      <c r="B56" s="4">
        <v>1.8100981214743419E-3</v>
      </c>
      <c r="C56" s="10">
        <v>1.3963919188823574E-4</v>
      </c>
      <c r="D56" s="4">
        <v>7.1828395290247303E-5</v>
      </c>
      <c r="E56" s="4">
        <v>0</v>
      </c>
      <c r="F56" s="4">
        <v>0</v>
      </c>
      <c r="G56" s="4">
        <v>1.5495443237447464E-4</v>
      </c>
      <c r="H56" s="4">
        <v>7.1828395290247303E-5</v>
      </c>
    </row>
    <row r="57" spans="1:8">
      <c r="A57" s="34" t="s">
        <v>311</v>
      </c>
      <c r="B57" s="4">
        <v>1.6062222702333432E-2</v>
      </c>
      <c r="C57" s="10">
        <v>2.426868780474946E-3</v>
      </c>
      <c r="D57" s="4">
        <v>1.6652408340994914E-3</v>
      </c>
      <c r="E57" s="4">
        <v>3.8037995171412531E-3</v>
      </c>
      <c r="F57" s="4">
        <v>4.3946714623317902E-3</v>
      </c>
      <c r="G57" s="4">
        <v>2.9791927961779043E-3</v>
      </c>
      <c r="H57" s="4">
        <v>2.5735074274762931E-3</v>
      </c>
    </row>
    <row r="58" spans="1:8">
      <c r="A58" s="34" t="s">
        <v>312</v>
      </c>
      <c r="B58" s="4">
        <v>4.4223807062028188E-4</v>
      </c>
      <c r="C58" s="10">
        <v>0</v>
      </c>
      <c r="D58" s="4">
        <v>0</v>
      </c>
      <c r="E58" s="4">
        <v>2.1312356948810271E-4</v>
      </c>
      <c r="F58" s="4">
        <v>2.027005613592563E-4</v>
      </c>
      <c r="G58" s="4">
        <v>1.0790377658707388E-4</v>
      </c>
      <c r="H58" s="4">
        <v>1.3431771635999675E-4</v>
      </c>
    </row>
    <row r="59" spans="1:8">
      <c r="A59" s="34" t="s">
        <v>313</v>
      </c>
      <c r="B59" s="4">
        <v>6.0630443503256802E-4</v>
      </c>
      <c r="C59" s="10">
        <v>1.1086614556733331E-4</v>
      </c>
      <c r="D59" s="4">
        <v>1.0564059917104649E-4</v>
      </c>
      <c r="E59" s="4">
        <v>1.0564059917104649E-4</v>
      </c>
      <c r="F59" s="4">
        <v>1.1086614556733331E-4</v>
      </c>
      <c r="G59" s="4">
        <v>1.1086614556733331E-4</v>
      </c>
      <c r="H59" s="4">
        <v>6.7684145228002283E-5</v>
      </c>
    </row>
    <row r="60" spans="1:8">
      <c r="A60" s="34" t="s">
        <v>314</v>
      </c>
      <c r="B60" s="4">
        <v>0.14530793496998565</v>
      </c>
      <c r="C60" s="10">
        <v>7.6120801776593999E-2</v>
      </c>
      <c r="D60" s="4">
        <v>2.2648036834391636E-2</v>
      </c>
      <c r="E60" s="4">
        <v>9.0983675897667819E-3</v>
      </c>
      <c r="F60" s="4">
        <v>1.210662235013084E-2</v>
      </c>
      <c r="G60" s="4">
        <v>8.9436837735870894E-3</v>
      </c>
      <c r="H60" s="4">
        <v>2.7081359130569319E-2</v>
      </c>
    </row>
    <row r="61" spans="1:8">
      <c r="A61" s="34" t="s">
        <v>315</v>
      </c>
      <c r="B61" s="4">
        <v>4.3172770565749595E-4</v>
      </c>
      <c r="C61" s="10">
        <v>2.0707196387180314E-4</v>
      </c>
      <c r="D61" s="4">
        <v>1.039175655433844E-4</v>
      </c>
      <c r="E61" s="4">
        <v>0</v>
      </c>
      <c r="F61" s="4">
        <v>1.039175655433844E-4</v>
      </c>
      <c r="G61" s="4">
        <v>0</v>
      </c>
      <c r="H61" s="4">
        <v>2.0783513108676879E-4</v>
      </c>
    </row>
    <row r="62" spans="1:8">
      <c r="A62" s="34" t="s">
        <v>316</v>
      </c>
      <c r="B62" s="4">
        <v>4.9835646383568268E-4</v>
      </c>
      <c r="C62" s="10">
        <v>0</v>
      </c>
      <c r="D62" s="4">
        <v>0</v>
      </c>
      <c r="E62" s="4">
        <v>2.3422489631609762E-4</v>
      </c>
      <c r="F62" s="4">
        <v>0</v>
      </c>
      <c r="G62" s="4">
        <v>0</v>
      </c>
      <c r="H62" s="4">
        <v>7.0295358101962827E-5</v>
      </c>
    </row>
    <row r="63" spans="1:8">
      <c r="A63" s="34" t="s">
        <v>317</v>
      </c>
      <c r="B63" s="4">
        <v>0</v>
      </c>
      <c r="C63" s="10">
        <v>0</v>
      </c>
      <c r="D63" s="4">
        <v>0</v>
      </c>
      <c r="E63" s="4">
        <v>0</v>
      </c>
      <c r="F63" s="4">
        <v>0</v>
      </c>
      <c r="G63" s="4">
        <v>0</v>
      </c>
      <c r="H63" s="4">
        <v>0</v>
      </c>
    </row>
    <row r="64" spans="1:8">
      <c r="A64" s="34" t="s">
        <v>318</v>
      </c>
      <c r="B64" s="4">
        <v>5.0728650253146525E-3</v>
      </c>
      <c r="C64" s="10">
        <v>1.3590449363116216E-3</v>
      </c>
      <c r="D64" s="4">
        <v>5.801282641970379E-4</v>
      </c>
      <c r="E64" s="4">
        <v>9.5061681056011658E-4</v>
      </c>
      <c r="F64" s="4">
        <v>8.5648726405479828E-4</v>
      </c>
      <c r="G64" s="4">
        <v>9.9036815574763738E-4</v>
      </c>
      <c r="H64" s="4">
        <v>4.8753204792658273E-4</v>
      </c>
    </row>
    <row r="65" spans="1:8">
      <c r="A65" s="34" t="s">
        <v>319</v>
      </c>
      <c r="B65" s="4">
        <v>1.40768551197589E-4</v>
      </c>
      <c r="C65" s="10">
        <v>1.40768551197589E-4</v>
      </c>
      <c r="D65" s="4">
        <v>0</v>
      </c>
      <c r="E65" s="4">
        <v>0</v>
      </c>
      <c r="F65" s="4">
        <v>0</v>
      </c>
      <c r="G65" s="4">
        <v>0</v>
      </c>
      <c r="H65" s="4">
        <v>0</v>
      </c>
    </row>
    <row r="66" spans="1:8">
      <c r="A66" s="34" t="s">
        <v>320</v>
      </c>
      <c r="B66" s="4">
        <v>8.1588752124099064E-4</v>
      </c>
      <c r="C66" s="10">
        <v>1.3799887197175241E-4</v>
      </c>
      <c r="D66" s="4">
        <v>1.3799887197175241E-4</v>
      </c>
      <c r="E66" s="4">
        <v>0</v>
      </c>
      <c r="F66" s="4">
        <v>1.429348884569971E-4</v>
      </c>
      <c r="G66" s="4">
        <v>0</v>
      </c>
      <c r="H66" s="4">
        <v>0</v>
      </c>
    </row>
    <row r="67" spans="1:8">
      <c r="A67" s="34" t="s">
        <v>321</v>
      </c>
      <c r="B67" s="4">
        <v>7.0880262438263064E-2</v>
      </c>
      <c r="C67" s="10">
        <v>1.5540249697002639E-2</v>
      </c>
      <c r="D67" s="4">
        <v>5.9758717907859027E-3</v>
      </c>
      <c r="E67" s="4">
        <v>1.2413984137184003E-2</v>
      </c>
      <c r="F67" s="4">
        <v>3.0625511597502587E-2</v>
      </c>
      <c r="G67" s="4">
        <v>3.2135606671103191E-3</v>
      </c>
      <c r="H67" s="4">
        <v>2.3944323216170643E-3</v>
      </c>
    </row>
    <row r="68" spans="1:8">
      <c r="A68" s="34" t="s">
        <v>322</v>
      </c>
      <c r="B68" s="4">
        <v>1.1144778053641027E-3</v>
      </c>
      <c r="C68" s="10">
        <v>2.2497375792021723E-4</v>
      </c>
      <c r="D68" s="4">
        <v>1.039175655433844E-4</v>
      </c>
      <c r="E68" s="4">
        <v>1.8651131701427466E-4</v>
      </c>
      <c r="F68" s="4">
        <v>9.2746948286213181E-5</v>
      </c>
      <c r="G68" s="4">
        <v>0</v>
      </c>
      <c r="H68" s="4">
        <v>6.102457821433975E-4</v>
      </c>
    </row>
    <row r="69" spans="1:8">
      <c r="A69" s="34" t="s">
        <v>323</v>
      </c>
      <c r="B69" s="4">
        <v>0</v>
      </c>
      <c r="C69" s="10">
        <v>0</v>
      </c>
      <c r="D69" s="4">
        <v>0</v>
      </c>
      <c r="E69" s="4">
        <v>0</v>
      </c>
      <c r="F69" s="4">
        <v>0</v>
      </c>
      <c r="G69" s="4">
        <v>0</v>
      </c>
      <c r="H69" s="4">
        <v>0</v>
      </c>
    </row>
    <row r="70" spans="1:8">
      <c r="A70" s="34" t="s">
        <v>324</v>
      </c>
      <c r="B70" s="4">
        <v>9.5997318135328837E-3</v>
      </c>
      <c r="C70" s="10">
        <v>6.2968247141036108E-3</v>
      </c>
      <c r="D70" s="4">
        <v>1.0958212278790941E-3</v>
      </c>
      <c r="E70" s="4">
        <v>5.0829014143384044E-4</v>
      </c>
      <c r="F70" s="4">
        <v>7.7012280542200406E-5</v>
      </c>
      <c r="G70" s="4">
        <v>4.3797728193465014E-4</v>
      </c>
      <c r="H70" s="4">
        <v>1.9405877206575479E-3</v>
      </c>
    </row>
    <row r="71" spans="1:8">
      <c r="A71" s="34" t="s">
        <v>325</v>
      </c>
      <c r="B71" s="4">
        <v>1.3799887197175241E-4</v>
      </c>
      <c r="C71" s="10">
        <v>0</v>
      </c>
      <c r="D71" s="4">
        <v>0</v>
      </c>
      <c r="E71" s="4">
        <v>0</v>
      </c>
      <c r="F71" s="4">
        <v>1.3799887197175241E-4</v>
      </c>
      <c r="G71" s="4">
        <v>0</v>
      </c>
      <c r="H71" s="4">
        <v>0</v>
      </c>
    </row>
    <row r="72" spans="1:8">
      <c r="A72" s="34" t="s">
        <v>326</v>
      </c>
      <c r="B72" s="4">
        <v>5.1664039170685441E-4</v>
      </c>
      <c r="C72" s="10">
        <v>1.3712739833087067E-4</v>
      </c>
      <c r="D72" s="4">
        <v>6.5669283152338867E-5</v>
      </c>
      <c r="E72" s="4">
        <v>0</v>
      </c>
      <c r="F72" s="4">
        <v>0</v>
      </c>
      <c r="G72" s="4">
        <v>1.1632449881110598E-4</v>
      </c>
      <c r="H72" s="4">
        <v>1.1292133048829364E-4</v>
      </c>
    </row>
    <row r="73" spans="1:8">
      <c r="A73" s="34" t="s">
        <v>327</v>
      </c>
      <c r="B73" s="4">
        <v>1.3106809389815734E-4</v>
      </c>
      <c r="C73" s="10">
        <v>0</v>
      </c>
      <c r="D73" s="4">
        <v>1.3106809389815734E-4</v>
      </c>
      <c r="E73" s="4">
        <v>0</v>
      </c>
      <c r="F73" s="4">
        <v>0</v>
      </c>
      <c r="G73" s="4">
        <v>0</v>
      </c>
      <c r="H73" s="4">
        <v>0</v>
      </c>
    </row>
    <row r="74" spans="1:8">
      <c r="A74" s="34" t="s">
        <v>328</v>
      </c>
      <c r="B74" s="4">
        <v>2.0997832968914199E-3</v>
      </c>
      <c r="C74" s="10">
        <v>3.257566644191657E-4</v>
      </c>
      <c r="D74" s="4">
        <v>0</v>
      </c>
      <c r="E74" s="4">
        <v>2.6240396630649747E-4</v>
      </c>
      <c r="F74" s="4">
        <v>9.6508219035736846E-4</v>
      </c>
      <c r="G74" s="4">
        <v>3.9361162374646657E-4</v>
      </c>
      <c r="H74" s="4">
        <v>0</v>
      </c>
    </row>
    <row r="75" spans="1:8">
      <c r="A75" s="34" t="s">
        <v>329</v>
      </c>
      <c r="B75" s="4">
        <v>0</v>
      </c>
      <c r="C75" s="10">
        <v>0</v>
      </c>
      <c r="D75" s="4">
        <v>0</v>
      </c>
      <c r="E75" s="4">
        <v>0</v>
      </c>
      <c r="F75" s="4">
        <v>0</v>
      </c>
      <c r="G75" s="4">
        <v>0</v>
      </c>
      <c r="H75" s="4">
        <v>0</v>
      </c>
    </row>
    <row r="76" spans="1:8">
      <c r="A76" s="34" t="s">
        <v>330</v>
      </c>
      <c r="B76" s="4">
        <v>1.5551822723788508E-3</v>
      </c>
      <c r="C76" s="10">
        <v>5.8036157093609706E-4</v>
      </c>
      <c r="D76" s="4">
        <v>2.7477656668906309E-4</v>
      </c>
      <c r="E76" s="4">
        <v>1.3346226964786739E-4</v>
      </c>
      <c r="F76" s="4">
        <v>5.5049806123102553E-4</v>
      </c>
      <c r="G76" s="4">
        <v>2.1528593988303006E-4</v>
      </c>
      <c r="H76" s="4">
        <v>1.9920213600823237E-4</v>
      </c>
    </row>
    <row r="77" spans="1:8">
      <c r="A77" s="34" t="s">
        <v>331</v>
      </c>
      <c r="B77" s="4">
        <v>8.0132912020143224E-3</v>
      </c>
      <c r="C77" s="10">
        <v>1.6997458127585947E-3</v>
      </c>
      <c r="D77" s="4">
        <v>6.1264431529202347E-4</v>
      </c>
      <c r="E77" s="4">
        <v>6.3614868671718193E-4</v>
      </c>
      <c r="F77" s="4">
        <v>5.08141813849793E-3</v>
      </c>
      <c r="G77" s="4">
        <v>2.187079733301405E-4</v>
      </c>
      <c r="H77" s="4">
        <v>1.2235790758108686E-4</v>
      </c>
    </row>
    <row r="78" spans="1:8">
      <c r="A78" s="34" t="s">
        <v>332</v>
      </c>
      <c r="B78" s="4">
        <v>1.7923851536145077E-2</v>
      </c>
      <c r="C78" s="10">
        <v>3.7195807932968185E-3</v>
      </c>
      <c r="D78" s="4">
        <v>2.1106924893989848E-3</v>
      </c>
      <c r="E78" s="4">
        <v>1.2783084207923354E-3</v>
      </c>
      <c r="F78" s="4">
        <v>9.1927997457804823E-3</v>
      </c>
      <c r="G78" s="4">
        <v>1.8870879164135635E-3</v>
      </c>
      <c r="H78" s="4">
        <v>8.1846957806661622E-4</v>
      </c>
    </row>
    <row r="79" spans="1:8">
      <c r="A79" s="34" t="s">
        <v>333</v>
      </c>
      <c r="B79" s="4">
        <v>1.9902271153268003E-4</v>
      </c>
      <c r="C79" s="10">
        <v>1.9902271153268003E-4</v>
      </c>
      <c r="D79" s="4">
        <v>0</v>
      </c>
      <c r="E79" s="4">
        <v>0</v>
      </c>
      <c r="F79" s="4">
        <v>6.5669283152338867E-5</v>
      </c>
      <c r="G79" s="4">
        <v>0</v>
      </c>
      <c r="H79" s="4">
        <v>6.5669283152338867E-5</v>
      </c>
    </row>
    <row r="80" spans="1:8">
      <c r="A80" s="34" t="s">
        <v>334</v>
      </c>
      <c r="B80" s="4">
        <v>6.5669283152338867E-5</v>
      </c>
      <c r="C80" s="10">
        <v>6.5669283152338867E-5</v>
      </c>
      <c r="D80" s="4">
        <v>0</v>
      </c>
      <c r="E80" s="4">
        <v>0</v>
      </c>
      <c r="F80" s="4">
        <v>6.5669283152338867E-5</v>
      </c>
      <c r="G80" s="4">
        <v>0</v>
      </c>
      <c r="H80" s="4">
        <v>6.5669283152338867E-5</v>
      </c>
    </row>
    <row r="81" spans="1:8">
      <c r="A81" s="34" t="s">
        <v>335</v>
      </c>
      <c r="B81" s="4">
        <v>0</v>
      </c>
      <c r="C81" s="10">
        <v>0</v>
      </c>
      <c r="D81" s="4">
        <v>0</v>
      </c>
      <c r="E81" s="4">
        <v>0</v>
      </c>
      <c r="F81" s="4">
        <v>0</v>
      </c>
      <c r="G81" s="4">
        <v>0</v>
      </c>
      <c r="H81" s="4">
        <v>0</v>
      </c>
    </row>
    <row r="82" spans="1:8">
      <c r="A82" s="34" t="s">
        <v>336</v>
      </c>
      <c r="B82" s="4">
        <v>4.4631957529456956E-4</v>
      </c>
      <c r="C82" s="10">
        <v>1.1826641798866062E-4</v>
      </c>
      <c r="D82" s="4">
        <v>0</v>
      </c>
      <c r="E82" s="4">
        <v>1.2844337370349003E-4</v>
      </c>
      <c r="F82" s="4">
        <v>1.9960978360241888E-4</v>
      </c>
      <c r="G82" s="4">
        <v>1.1826641798866062E-4</v>
      </c>
      <c r="H82" s="4">
        <v>0</v>
      </c>
    </row>
    <row r="83" spans="1:8">
      <c r="A83" s="34" t="s">
        <v>337</v>
      </c>
      <c r="B83" s="4">
        <v>8.1230481643283499E-4</v>
      </c>
      <c r="C83" s="10">
        <v>4.0421737445460421E-4</v>
      </c>
      <c r="D83" s="4">
        <v>8.8447129961698157E-5</v>
      </c>
      <c r="E83" s="4">
        <v>1.1998186390663141E-4</v>
      </c>
      <c r="F83" s="4">
        <v>2.3709066558782582E-4</v>
      </c>
      <c r="G83" s="4">
        <v>0</v>
      </c>
      <c r="H83" s="4">
        <v>1.7876385910388744E-4</v>
      </c>
    </row>
    <row r="84" spans="1:8">
      <c r="A84" s="34" t="s">
        <v>338</v>
      </c>
      <c r="B84" s="4">
        <v>0</v>
      </c>
      <c r="C84" s="10">
        <v>0</v>
      </c>
      <c r="D84" s="4">
        <v>0</v>
      </c>
      <c r="E84" s="4">
        <v>0</v>
      </c>
      <c r="F84" s="4">
        <v>0</v>
      </c>
      <c r="G84" s="4">
        <v>0</v>
      </c>
      <c r="H84" s="4">
        <v>0</v>
      </c>
    </row>
    <row r="85" spans="1:8">
      <c r="A85" s="34" t="s">
        <v>339</v>
      </c>
      <c r="B85" s="4">
        <v>7.3314208574463717E-3</v>
      </c>
      <c r="C85" s="10">
        <v>4.9822371914901914E-3</v>
      </c>
      <c r="D85" s="4">
        <v>8.4526216574284203E-4</v>
      </c>
      <c r="E85" s="4">
        <v>3.6444298541902544E-4</v>
      </c>
      <c r="F85" s="4">
        <v>1.4963447858214746E-4</v>
      </c>
      <c r="G85" s="4">
        <v>8.2549646428706786E-5</v>
      </c>
      <c r="H85" s="4">
        <v>0</v>
      </c>
    </row>
    <row r="86" spans="1:8">
      <c r="A86" s="34" t="s">
        <v>340</v>
      </c>
      <c r="B86" s="4">
        <v>0</v>
      </c>
      <c r="C86" s="10">
        <v>0</v>
      </c>
      <c r="D86" s="4">
        <v>0</v>
      </c>
      <c r="E86" s="4">
        <v>0</v>
      </c>
      <c r="F86" s="4">
        <v>0</v>
      </c>
      <c r="G86" s="4">
        <v>0</v>
      </c>
      <c r="H86" s="4">
        <v>0</v>
      </c>
    </row>
    <row r="87" spans="1:8">
      <c r="A87" s="34" t="s">
        <v>341</v>
      </c>
      <c r="B87" s="4">
        <v>6.8680449327199457E-5</v>
      </c>
      <c r="C87" s="10">
        <v>0</v>
      </c>
      <c r="D87" s="4">
        <v>6.8680449327199457E-5</v>
      </c>
      <c r="E87" s="4">
        <v>0</v>
      </c>
      <c r="F87" s="4">
        <v>0</v>
      </c>
      <c r="G87" s="4">
        <v>0</v>
      </c>
      <c r="H87" s="4">
        <v>0</v>
      </c>
    </row>
    <row r="88" spans="1:8">
      <c r="A88" s="34" t="s">
        <v>342</v>
      </c>
      <c r="B88" s="4">
        <v>7.0015146487933085E-3</v>
      </c>
      <c r="C88" s="10">
        <v>9.6114240228967153E-4</v>
      </c>
      <c r="D88" s="4">
        <v>3.8763947757118361E-4</v>
      </c>
      <c r="E88" s="4">
        <v>4.6080865523558324E-4</v>
      </c>
      <c r="F88" s="4">
        <v>4.3857599820349208E-3</v>
      </c>
      <c r="G88" s="4">
        <v>5.8704432776312523E-4</v>
      </c>
      <c r="H88" s="4">
        <v>1.4199734707733122E-4</v>
      </c>
    </row>
    <row r="89" spans="1:8">
      <c r="A89" s="34" t="s">
        <v>343</v>
      </c>
      <c r="B89" s="4">
        <v>1.5055887239206153E-3</v>
      </c>
      <c r="C89" s="10">
        <v>6.3241635354135842E-4</v>
      </c>
      <c r="D89" s="4">
        <v>7.8163789589436413E-5</v>
      </c>
      <c r="E89" s="4">
        <v>7.8163789589436413E-5</v>
      </c>
      <c r="F89" s="4">
        <v>8.0449192105205706E-4</v>
      </c>
      <c r="G89" s="4">
        <v>0</v>
      </c>
      <c r="H89" s="4">
        <v>0</v>
      </c>
    </row>
    <row r="90" spans="1:8">
      <c r="A90" s="34" t="s">
        <v>344</v>
      </c>
      <c r="B90" s="4">
        <v>0</v>
      </c>
      <c r="C90" s="10">
        <v>0</v>
      </c>
      <c r="D90" s="4">
        <v>0</v>
      </c>
      <c r="E90" s="4">
        <v>0</v>
      </c>
      <c r="F90" s="4">
        <v>0</v>
      </c>
      <c r="G90" s="4">
        <v>0</v>
      </c>
      <c r="H90" s="4">
        <v>0</v>
      </c>
    </row>
    <row r="91" spans="1:8">
      <c r="A91" s="34" t="s">
        <v>345</v>
      </c>
      <c r="B91" s="4">
        <v>4.7412321048534893E-3</v>
      </c>
      <c r="C91" s="10">
        <v>9.6611399074120327E-4</v>
      </c>
      <c r="D91" s="4">
        <v>5.4657358897081121E-4</v>
      </c>
      <c r="E91" s="4">
        <v>3.2648620113900689E-4</v>
      </c>
      <c r="F91" s="4">
        <v>6.60358674885971E-4</v>
      </c>
      <c r="G91" s="4">
        <v>3.1974784017216632E-4</v>
      </c>
      <c r="H91" s="4">
        <v>1.4203076757058301E-4</v>
      </c>
    </row>
    <row r="92" spans="1:8">
      <c r="A92" s="34" t="s">
        <v>346</v>
      </c>
      <c r="B92" s="4">
        <v>4.8994331866589311E-4</v>
      </c>
      <c r="C92" s="10">
        <v>2.3084696377429151E-4</v>
      </c>
      <c r="D92" s="4">
        <v>1.6270466705844787E-4</v>
      </c>
      <c r="E92" s="4">
        <v>2.3364758916070185E-4</v>
      </c>
      <c r="F92" s="4">
        <v>1.6270466705844787E-4</v>
      </c>
      <c r="G92" s="4">
        <v>1.5222468955943449E-4</v>
      </c>
      <c r="H92" s="4">
        <v>7.8163789589436413E-5</v>
      </c>
    </row>
    <row r="93" spans="1:8">
      <c r="A93" s="34" t="s">
        <v>347</v>
      </c>
      <c r="B93" s="4">
        <v>2.0071146859408509E-3</v>
      </c>
      <c r="C93" s="10">
        <v>3.457360688870493E-4</v>
      </c>
      <c r="D93" s="4">
        <v>6.3171097352965528E-5</v>
      </c>
      <c r="E93" s="4">
        <v>1.8696054182967863E-4</v>
      </c>
      <c r="F93" s="4">
        <v>6.4283334221405076E-5</v>
      </c>
      <c r="G93" s="4">
        <v>0</v>
      </c>
      <c r="H93" s="4">
        <v>0</v>
      </c>
    </row>
    <row r="94" spans="1:8">
      <c r="A94" s="34" t="s">
        <v>348</v>
      </c>
      <c r="B94" s="4">
        <v>0</v>
      </c>
      <c r="C94" s="10">
        <v>0</v>
      </c>
      <c r="D94" s="4">
        <v>0</v>
      </c>
      <c r="E94" s="4">
        <v>0</v>
      </c>
      <c r="F94" s="4">
        <v>0</v>
      </c>
      <c r="G94" s="4">
        <v>0</v>
      </c>
      <c r="H94" s="4">
        <v>0</v>
      </c>
    </row>
    <row r="95" spans="1:8">
      <c r="A95" s="34" t="s">
        <v>349</v>
      </c>
      <c r="B95" s="4">
        <v>1.32429721695999E-3</v>
      </c>
      <c r="C95" s="10">
        <v>2.5142651804119118E-4</v>
      </c>
      <c r="D95" s="4">
        <v>0</v>
      </c>
      <c r="E95" s="4">
        <v>1.2844337370349003E-4</v>
      </c>
      <c r="F95" s="4">
        <v>7.9452586128497642E-4</v>
      </c>
      <c r="G95" s="4">
        <v>3.6946645519605353E-4</v>
      </c>
      <c r="H95" s="4">
        <v>1.1710880168119443E-4</v>
      </c>
    </row>
    <row r="96" spans="1:8">
      <c r="A96" s="34" t="s">
        <v>350</v>
      </c>
      <c r="B96" s="4">
        <v>4.6824679061891236E-2</v>
      </c>
      <c r="C96" s="10">
        <v>2.6905649016893466E-2</v>
      </c>
      <c r="D96" s="4">
        <v>6.3699498349171794E-3</v>
      </c>
      <c r="E96" s="4">
        <v>2.1149241560076042E-3</v>
      </c>
      <c r="F96" s="4">
        <v>1.1796601698100429E-3</v>
      </c>
      <c r="G96" s="4">
        <v>2.0193009627165093E-3</v>
      </c>
      <c r="H96" s="4">
        <v>1.1195803075879399E-2</v>
      </c>
    </row>
    <row r="97" spans="1:8">
      <c r="A97" s="34" t="s">
        <v>351</v>
      </c>
      <c r="B97" s="4">
        <v>9.3274642962566754E-4</v>
      </c>
      <c r="C97" s="10">
        <v>2.295317293951537E-4</v>
      </c>
      <c r="D97" s="4">
        <v>1.413563347551882E-4</v>
      </c>
      <c r="E97" s="4">
        <v>2.2922244711198124E-4</v>
      </c>
      <c r="F97" s="4">
        <v>3.3263591836334448E-4</v>
      </c>
      <c r="G97" s="4">
        <v>0</v>
      </c>
      <c r="H97" s="4">
        <v>0</v>
      </c>
    </row>
    <row r="98" spans="1:8">
      <c r="A98" s="34" t="s">
        <v>352</v>
      </c>
      <c r="B98" s="4">
        <v>1.2867355342560861E-4</v>
      </c>
      <c r="C98" s="10">
        <v>0</v>
      </c>
      <c r="D98" s="4">
        <v>0</v>
      </c>
      <c r="E98" s="4">
        <v>0</v>
      </c>
      <c r="F98" s="4">
        <v>0</v>
      </c>
      <c r="G98" s="4">
        <v>0</v>
      </c>
      <c r="H98" s="4">
        <v>1.2867355342560861E-4</v>
      </c>
    </row>
    <row r="99" spans="1:8">
      <c r="A99" s="34" t="s">
        <v>353</v>
      </c>
      <c r="B99" s="4">
        <v>0</v>
      </c>
      <c r="C99" s="10">
        <v>0</v>
      </c>
      <c r="D99" s="4">
        <v>0</v>
      </c>
      <c r="E99" s="4">
        <v>0</v>
      </c>
      <c r="F99" s="4">
        <v>0</v>
      </c>
      <c r="G99" s="4">
        <v>0</v>
      </c>
      <c r="H99" s="4">
        <v>0</v>
      </c>
    </row>
    <row r="100" spans="1:8">
      <c r="A100" s="34" t="s">
        <v>354</v>
      </c>
      <c r="B100" s="4">
        <v>5.1125941292184509E-3</v>
      </c>
      <c r="C100" s="10">
        <v>3.4762353702255059E-3</v>
      </c>
      <c r="D100" s="4">
        <v>7.8489332440391773E-4</v>
      </c>
      <c r="E100" s="4">
        <v>0</v>
      </c>
      <c r="F100" s="4">
        <v>2.3235732299006632E-4</v>
      </c>
      <c r="G100" s="4">
        <v>1.8268212727685939E-4</v>
      </c>
      <c r="H100" s="4">
        <v>8.706623491114906E-4</v>
      </c>
    </row>
    <row r="101" spans="1:8">
      <c r="A101" s="34" t="s">
        <v>355</v>
      </c>
      <c r="B101" s="4">
        <v>2.0461846121897059E-4</v>
      </c>
      <c r="C101" s="10">
        <v>0</v>
      </c>
      <c r="D101" s="4">
        <v>0</v>
      </c>
      <c r="E101" s="4">
        <v>6.9902045693251303E-5</v>
      </c>
      <c r="F101" s="4">
        <v>0</v>
      </c>
      <c r="G101" s="4">
        <v>0</v>
      </c>
      <c r="H101" s="4">
        <v>6.9902045693251303E-5</v>
      </c>
    </row>
    <row r="102" spans="1:8">
      <c r="A102" s="34" t="s">
        <v>356</v>
      </c>
      <c r="B102" s="4">
        <v>3.0906542288129782E-4</v>
      </c>
      <c r="C102" s="10">
        <v>0</v>
      </c>
      <c r="D102" s="4">
        <v>1.40768551197589E-4</v>
      </c>
      <c r="E102" s="4">
        <v>6.8680449327199457E-5</v>
      </c>
      <c r="F102" s="4">
        <v>2.0944900052478844E-4</v>
      </c>
      <c r="G102" s="4">
        <v>1.6829687168370885E-4</v>
      </c>
      <c r="H102" s="4">
        <v>2.0944900052478844E-4</v>
      </c>
    </row>
    <row r="103" spans="1:8">
      <c r="A103" s="34" t="s">
        <v>357</v>
      </c>
      <c r="B103" s="4">
        <v>2.1450151932612183E-3</v>
      </c>
      <c r="C103" s="10">
        <v>3.279438849323774E-4</v>
      </c>
      <c r="D103" s="4">
        <v>1.3307314304621684E-4</v>
      </c>
      <c r="E103" s="4">
        <v>7.1570461331618121E-4</v>
      </c>
      <c r="F103" s="4">
        <v>1.0483534480503454E-3</v>
      </c>
      <c r="G103" s="4">
        <v>0</v>
      </c>
      <c r="H103" s="4">
        <v>0</v>
      </c>
    </row>
    <row r="104" spans="1:8">
      <c r="A104" s="34" t="s">
        <v>358</v>
      </c>
      <c r="B104" s="4">
        <v>0</v>
      </c>
      <c r="C104" s="10">
        <v>0</v>
      </c>
      <c r="D104" s="4">
        <v>0</v>
      </c>
      <c r="E104" s="4">
        <v>0</v>
      </c>
      <c r="F104" s="4">
        <v>0</v>
      </c>
      <c r="G104" s="4">
        <v>0</v>
      </c>
      <c r="H104" s="4">
        <v>0</v>
      </c>
    </row>
    <row r="105" spans="1:8">
      <c r="A105" s="34" t="s">
        <v>359</v>
      </c>
      <c r="B105" s="4">
        <v>6.721398752998455E-4</v>
      </c>
      <c r="C105" s="10">
        <v>3.7231709554904865E-4</v>
      </c>
      <c r="D105" s="4">
        <v>7.0061352747902888E-5</v>
      </c>
      <c r="E105" s="4">
        <v>0</v>
      </c>
      <c r="F105" s="4">
        <v>2.2976142700289388E-4</v>
      </c>
      <c r="G105" s="4">
        <v>0</v>
      </c>
      <c r="H105" s="4">
        <v>0</v>
      </c>
    </row>
    <row r="106" spans="1:8">
      <c r="A106" s="34" t="s">
        <v>360</v>
      </c>
      <c r="B106" s="4">
        <v>3.573887838733326E-4</v>
      </c>
      <c r="C106" s="10">
        <v>2.6096651377890007E-4</v>
      </c>
      <c r="D106" s="4">
        <v>0</v>
      </c>
      <c r="E106" s="4">
        <v>1.0798041868435724E-4</v>
      </c>
      <c r="F106" s="4">
        <v>9.642227009443253E-5</v>
      </c>
      <c r="G106" s="4">
        <v>0</v>
      </c>
      <c r="H106" s="4">
        <v>1.0798041868435724E-4</v>
      </c>
    </row>
    <row r="107" spans="1:8">
      <c r="A107" s="34" t="s">
        <v>361</v>
      </c>
      <c r="B107" s="4">
        <v>4.6211988018615008E-4</v>
      </c>
      <c r="C107" s="10">
        <v>1.1710880168119443E-4</v>
      </c>
      <c r="D107" s="4">
        <v>0</v>
      </c>
      <c r="E107" s="4">
        <v>0</v>
      </c>
      <c r="F107" s="4">
        <v>0</v>
      </c>
      <c r="G107" s="4">
        <v>1.9729713448643439E-4</v>
      </c>
      <c r="H107" s="4">
        <v>1.1710880168119443E-4</v>
      </c>
    </row>
    <row r="108" spans="1:8">
      <c r="A108" s="34" t="s">
        <v>362</v>
      </c>
      <c r="B108" s="4">
        <v>1.0315439832841875E-4</v>
      </c>
      <c r="C108" s="10">
        <v>0</v>
      </c>
      <c r="D108" s="4">
        <v>0</v>
      </c>
      <c r="E108" s="4">
        <v>1.0315439832841875E-4</v>
      </c>
      <c r="F108" s="4">
        <v>1.0315439832841875E-4</v>
      </c>
      <c r="G108" s="4">
        <v>0</v>
      </c>
      <c r="H108" s="4">
        <v>0</v>
      </c>
    </row>
    <row r="109" spans="1:8">
      <c r="A109" s="34" t="s">
        <v>363</v>
      </c>
      <c r="B109" s="4">
        <v>1.6109645917947017E-4</v>
      </c>
      <c r="C109" s="10">
        <v>1.6109645917947017E-4</v>
      </c>
      <c r="D109" s="4">
        <v>0</v>
      </c>
      <c r="E109" s="4">
        <v>0</v>
      </c>
      <c r="F109" s="4">
        <v>0</v>
      </c>
      <c r="G109" s="4">
        <v>0</v>
      </c>
      <c r="H109" s="4">
        <v>0</v>
      </c>
    </row>
    <row r="110" spans="1:8">
      <c r="A110" s="34" t="s">
        <v>364</v>
      </c>
      <c r="B110" s="4">
        <v>1.2287418944759659E-3</v>
      </c>
      <c r="C110" s="10">
        <v>5.1945097904444314E-4</v>
      </c>
      <c r="D110" s="4">
        <v>1.0923286537040917E-4</v>
      </c>
      <c r="E110" s="4">
        <v>1.2416912573105698E-4</v>
      </c>
      <c r="F110" s="4">
        <v>2.4362123122816001E-4</v>
      </c>
      <c r="G110" s="4">
        <v>3.3817035553452429E-4</v>
      </c>
      <c r="H110" s="4">
        <v>2.4817336211287985E-4</v>
      </c>
    </row>
    <row r="111" spans="1:8">
      <c r="A111" s="34" t="s">
        <v>365</v>
      </c>
      <c r="B111" s="4">
        <v>1.275821848666666E-4</v>
      </c>
      <c r="C111" s="10">
        <v>1.275821848666666E-4</v>
      </c>
      <c r="D111" s="4">
        <v>0</v>
      </c>
      <c r="E111" s="4">
        <v>0</v>
      </c>
      <c r="F111" s="4">
        <v>0</v>
      </c>
      <c r="G111" s="4">
        <v>0</v>
      </c>
      <c r="H111" s="4">
        <v>0</v>
      </c>
    </row>
    <row r="112" spans="1:8">
      <c r="A112" s="34" t="s">
        <v>366</v>
      </c>
      <c r="B112" s="4">
        <v>3.0563303398417978E-3</v>
      </c>
      <c r="C112" s="10">
        <v>4.3961852991643475E-4</v>
      </c>
      <c r="D112" s="4">
        <v>1.0468742791415246E-4</v>
      </c>
      <c r="E112" s="4">
        <v>5.1088903373490066E-4</v>
      </c>
      <c r="F112" s="4">
        <v>1.4970571568338324E-3</v>
      </c>
      <c r="G112" s="4">
        <v>0</v>
      </c>
      <c r="H112" s="4">
        <v>1.11858851070368E-4</v>
      </c>
    </row>
    <row r="113" spans="1:8">
      <c r="A113" s="34" t="s">
        <v>367</v>
      </c>
      <c r="B113" s="4">
        <v>1.3430162010388291E-3</v>
      </c>
      <c r="C113" s="10">
        <v>0</v>
      </c>
      <c r="D113" s="4">
        <v>1.1710880168119443E-4</v>
      </c>
      <c r="E113" s="4">
        <v>7.0295358101962827E-5</v>
      </c>
      <c r="F113" s="4">
        <v>6.3083630630565051E-4</v>
      </c>
      <c r="G113" s="4">
        <v>1.4018160139156534E-4</v>
      </c>
      <c r="H113" s="4">
        <v>8.7452981649207209E-5</v>
      </c>
    </row>
    <row r="114" spans="1:8">
      <c r="A114" s="34" t="s">
        <v>368</v>
      </c>
      <c r="B114" s="4">
        <v>0</v>
      </c>
      <c r="C114" s="10">
        <v>0</v>
      </c>
      <c r="D114" s="4">
        <v>0</v>
      </c>
      <c r="E114" s="4">
        <v>0</v>
      </c>
      <c r="F114" s="4">
        <v>0</v>
      </c>
      <c r="G114" s="4">
        <v>0</v>
      </c>
      <c r="H114" s="4">
        <v>0</v>
      </c>
    </row>
    <row r="115" spans="1:8">
      <c r="A115" s="34" t="s">
        <v>369</v>
      </c>
      <c r="B115" s="4">
        <v>0</v>
      </c>
      <c r="C115" s="10">
        <v>0</v>
      </c>
      <c r="D115" s="4">
        <v>0</v>
      </c>
      <c r="E115" s="4">
        <v>0</v>
      </c>
      <c r="F115" s="4">
        <v>0</v>
      </c>
      <c r="G115" s="4">
        <v>0</v>
      </c>
      <c r="H115" s="4">
        <v>0</v>
      </c>
    </row>
    <row r="116" spans="1:8">
      <c r="A116" s="34" t="s">
        <v>370</v>
      </c>
      <c r="B116" s="4">
        <v>9.7415142391819623E-5</v>
      </c>
      <c r="C116" s="10">
        <v>9.7415142391819623E-5</v>
      </c>
      <c r="D116" s="4">
        <v>0</v>
      </c>
      <c r="E116" s="4">
        <v>0</v>
      </c>
      <c r="F116" s="4">
        <v>0</v>
      </c>
      <c r="G116" s="4">
        <v>0</v>
      </c>
      <c r="H116" s="4">
        <v>0</v>
      </c>
    </row>
    <row r="117" spans="1:8">
      <c r="A117" s="34" t="s">
        <v>371</v>
      </c>
      <c r="B117" s="4">
        <v>1.2905746436672298E-3</v>
      </c>
      <c r="C117" s="10">
        <v>0</v>
      </c>
      <c r="D117" s="4">
        <v>2.887067272065374E-4</v>
      </c>
      <c r="E117" s="4">
        <v>3.4330396455919498E-4</v>
      </c>
      <c r="F117" s="4">
        <v>8.8447129961698157E-5</v>
      </c>
      <c r="G117" s="4">
        <v>8.8447129961698157E-5</v>
      </c>
      <c r="H117" s="4">
        <v>4.3251955927544526E-4</v>
      </c>
    </row>
    <row r="118" spans="1:8">
      <c r="A118" s="34" t="s">
        <v>372</v>
      </c>
      <c r="B118" s="4">
        <v>1.1403308122935783E-3</v>
      </c>
      <c r="C118" s="10">
        <v>9.6214212675180632E-5</v>
      </c>
      <c r="D118" s="4">
        <v>7.7278451643865469E-5</v>
      </c>
      <c r="E118" s="4">
        <v>0</v>
      </c>
      <c r="F118" s="4">
        <v>0</v>
      </c>
      <c r="G118" s="4">
        <v>0</v>
      </c>
      <c r="H118" s="4">
        <v>9.9046715558374476E-4</v>
      </c>
    </row>
    <row r="119" spans="1:8">
      <c r="A119" s="34" t="s">
        <v>373</v>
      </c>
      <c r="B119" s="4">
        <v>1.6785330133997908E-2</v>
      </c>
      <c r="C119" s="10">
        <v>1.0825220529941641E-2</v>
      </c>
      <c r="D119" s="4">
        <v>2.7985104189012832E-3</v>
      </c>
      <c r="E119" s="4">
        <v>1.4178201496925676E-3</v>
      </c>
      <c r="F119" s="4">
        <v>3.6146958273139954E-4</v>
      </c>
      <c r="G119" s="4">
        <v>9.5466088351859886E-4</v>
      </c>
      <c r="H119" s="4">
        <v>2.6310966034012277E-3</v>
      </c>
    </row>
    <row r="120" spans="1:8">
      <c r="A120" s="34" t="s">
        <v>374</v>
      </c>
      <c r="B120" s="4">
        <v>6.2484769193725089E-3</v>
      </c>
      <c r="C120" s="10">
        <v>3.5220019352609567E-3</v>
      </c>
      <c r="D120" s="4">
        <v>7.683565564085683E-4</v>
      </c>
      <c r="E120" s="4">
        <v>3.0477035139113309E-4</v>
      </c>
      <c r="F120" s="4">
        <v>6.6923373467630298E-5</v>
      </c>
      <c r="G120" s="4">
        <v>4.0497365006742772E-4</v>
      </c>
      <c r="H120" s="4">
        <v>2.1056867714761385E-3</v>
      </c>
    </row>
    <row r="121" spans="1:8">
      <c r="A121" s="34" t="s">
        <v>375</v>
      </c>
      <c r="B121" s="4">
        <v>3.0488476405655815E-2</v>
      </c>
      <c r="C121" s="10">
        <v>3.2472830003272561E-3</v>
      </c>
      <c r="D121" s="4">
        <v>2.7521763473184382E-3</v>
      </c>
      <c r="E121" s="4">
        <v>2.0853298976436681E-3</v>
      </c>
      <c r="F121" s="4">
        <v>1.0709594116303579E-3</v>
      </c>
      <c r="G121" s="4">
        <v>2.6345661331412798E-3</v>
      </c>
      <c r="H121" s="4">
        <v>8.8052958892754479E-3</v>
      </c>
    </row>
    <row r="122" spans="1:8">
      <c r="A122" s="34" t="s">
        <v>376</v>
      </c>
      <c r="B122" s="4">
        <v>1.0186428889337258E-3</v>
      </c>
      <c r="C122" s="10">
        <v>7.1992514345666306E-4</v>
      </c>
      <c r="D122" s="4">
        <v>2.0887931213187691E-4</v>
      </c>
      <c r="E122" s="4">
        <v>0</v>
      </c>
      <c r="F122" s="4">
        <v>0</v>
      </c>
      <c r="G122" s="4">
        <v>0</v>
      </c>
      <c r="H122" s="4">
        <v>8.9838433345185788E-5</v>
      </c>
    </row>
    <row r="123" spans="1:8">
      <c r="A123" s="34" t="s">
        <v>377</v>
      </c>
      <c r="B123" s="4">
        <v>3.3233413884558066E-3</v>
      </c>
      <c r="C123" s="10">
        <v>9.7415142391819623E-5</v>
      </c>
      <c r="D123" s="4">
        <v>0</v>
      </c>
      <c r="E123" s="4">
        <v>1.6509928761982191E-4</v>
      </c>
      <c r="F123" s="4">
        <v>1.2055533073162073E-4</v>
      </c>
      <c r="G123" s="4">
        <v>1.2400423638182288E-4</v>
      </c>
      <c r="H123" s="4">
        <v>2.8381669119269932E-4</v>
      </c>
    </row>
    <row r="124" spans="1:8">
      <c r="A124" s="34" t="s">
        <v>378</v>
      </c>
      <c r="B124" s="4">
        <v>2.7597845462204928E-3</v>
      </c>
      <c r="C124" s="10">
        <v>7.1247234197703449E-4</v>
      </c>
      <c r="D124" s="4">
        <v>5.8984564937988317E-4</v>
      </c>
      <c r="E124" s="4">
        <v>1.2055533073162073E-4</v>
      </c>
      <c r="F124" s="4">
        <v>0</v>
      </c>
      <c r="G124" s="4">
        <v>0</v>
      </c>
      <c r="H124" s="4">
        <v>1.4638983564772799E-4</v>
      </c>
    </row>
    <row r="125" spans="1:8">
      <c r="A125" s="34" t="s">
        <v>379</v>
      </c>
      <c r="B125" s="4">
        <v>0</v>
      </c>
      <c r="C125" s="10">
        <v>0</v>
      </c>
      <c r="D125" s="4">
        <v>0</v>
      </c>
      <c r="E125" s="4">
        <v>0</v>
      </c>
      <c r="F125" s="4">
        <v>0</v>
      </c>
      <c r="G125" s="4">
        <v>0</v>
      </c>
      <c r="H125" s="4">
        <v>0</v>
      </c>
    </row>
    <row r="126" spans="1:8">
      <c r="A126" s="34" t="s">
        <v>380</v>
      </c>
      <c r="B126" s="4">
        <v>2.9488018742288301E-4</v>
      </c>
      <c r="C126" s="10">
        <v>8.1975071576389862E-5</v>
      </c>
      <c r="D126" s="4">
        <v>0</v>
      </c>
      <c r="E126" s="4">
        <v>0</v>
      </c>
      <c r="F126" s="4">
        <v>0</v>
      </c>
      <c r="G126" s="4">
        <v>0</v>
      </c>
      <c r="H126" s="4">
        <v>0</v>
      </c>
    </row>
    <row r="127" spans="1:8">
      <c r="A127" s="34" t="s">
        <v>381</v>
      </c>
      <c r="B127" s="4">
        <v>3.9363585466917244E-4</v>
      </c>
      <c r="C127" s="10">
        <v>2.9048145634075374E-4</v>
      </c>
      <c r="D127" s="4">
        <v>1.0315439832841875E-4</v>
      </c>
      <c r="E127" s="4">
        <v>1.0158450805220853E-4</v>
      </c>
      <c r="F127" s="4">
        <v>0</v>
      </c>
      <c r="G127" s="4">
        <v>0</v>
      </c>
      <c r="H127" s="4">
        <v>2.0473890638062731E-4</v>
      </c>
    </row>
    <row r="128" spans="1:8">
      <c r="A128" s="34" t="s">
        <v>382</v>
      </c>
      <c r="B128" s="4">
        <v>4.5330384817606709E-3</v>
      </c>
      <c r="C128" s="10">
        <v>6.5799406362072855E-4</v>
      </c>
      <c r="D128" s="4">
        <v>2.6870510580062433E-4</v>
      </c>
      <c r="E128" s="4">
        <v>2.7870712942341865E-4</v>
      </c>
      <c r="F128" s="4">
        <v>9.6563455735461227E-4</v>
      </c>
      <c r="G128" s="4">
        <v>7.5206989466531022E-4</v>
      </c>
      <c r="H128" s="4">
        <v>3.6949251591259337E-4</v>
      </c>
    </row>
    <row r="129" spans="1:8">
      <c r="A129" s="34" t="s">
        <v>383</v>
      </c>
      <c r="B129" s="4">
        <v>0</v>
      </c>
      <c r="C129" s="10">
        <v>0</v>
      </c>
      <c r="D129" s="4">
        <v>0</v>
      </c>
      <c r="E129" s="4">
        <v>0</v>
      </c>
      <c r="F129" s="4">
        <v>0</v>
      </c>
      <c r="G129" s="4">
        <v>0</v>
      </c>
      <c r="H129" s="4">
        <v>0</v>
      </c>
    </row>
    <row r="130" spans="1:8">
      <c r="A130" s="34" t="s">
        <v>384</v>
      </c>
      <c r="B130" s="4">
        <v>1.9280397501010354E-3</v>
      </c>
      <c r="C130" s="10">
        <v>1.885762017090616E-4</v>
      </c>
      <c r="D130" s="4">
        <v>7.4658797171508399E-5</v>
      </c>
      <c r="E130" s="4">
        <v>7.4658797171508399E-5</v>
      </c>
      <c r="F130" s="4">
        <v>8.2723033298956754E-4</v>
      </c>
      <c r="G130" s="4">
        <v>2.3590946348970454E-4</v>
      </c>
      <c r="H130" s="4">
        <v>1.572084436002152E-4</v>
      </c>
    </row>
    <row r="131" spans="1:8">
      <c r="A131" s="34" t="s">
        <v>385</v>
      </c>
      <c r="B131" s="4">
        <v>0</v>
      </c>
      <c r="C131" s="10">
        <v>0</v>
      </c>
      <c r="D131" s="4">
        <v>0</v>
      </c>
      <c r="E131" s="4">
        <v>0</v>
      </c>
      <c r="F131" s="4">
        <v>0</v>
      </c>
      <c r="G131" s="4">
        <v>0</v>
      </c>
      <c r="H131" s="4">
        <v>0</v>
      </c>
    </row>
    <row r="132" spans="1:8">
      <c r="A132" s="34" t="s">
        <v>386</v>
      </c>
      <c r="B132" s="4">
        <v>2.1011360834541489E-3</v>
      </c>
      <c r="C132" s="10">
        <v>1.0939871122525721E-3</v>
      </c>
      <c r="D132" s="4">
        <v>2.3585157687758851E-4</v>
      </c>
      <c r="E132" s="4">
        <v>7.0295358101962827E-5</v>
      </c>
      <c r="F132" s="4">
        <v>0</v>
      </c>
      <c r="G132" s="4">
        <v>2.2830163643430205E-4</v>
      </c>
      <c r="H132" s="4">
        <v>6.2994105956880049E-4</v>
      </c>
    </row>
    <row r="133" spans="1:8">
      <c r="A133" s="34" t="s">
        <v>387</v>
      </c>
      <c r="B133" s="4">
        <v>1.4491071418540578E-3</v>
      </c>
      <c r="C133" s="10">
        <v>3.6738827581482032E-4</v>
      </c>
      <c r="D133" s="4">
        <v>1.9498403484927973E-4</v>
      </c>
      <c r="E133" s="4">
        <v>3.1173948469218743E-4</v>
      </c>
      <c r="F133" s="4">
        <v>4.4835791282592122E-4</v>
      </c>
      <c r="G133" s="4">
        <v>1.6528570550884824E-4</v>
      </c>
      <c r="H133" s="4">
        <v>6.5669283152338867E-5</v>
      </c>
    </row>
    <row r="134" spans="1:8">
      <c r="A134" s="34" t="s">
        <v>388</v>
      </c>
      <c r="B134" s="4">
        <v>5.3631490630107995E-4</v>
      </c>
      <c r="C134" s="10">
        <v>2.3377852311582488E-4</v>
      </c>
      <c r="D134" s="4">
        <v>2.2437259359581868E-4</v>
      </c>
      <c r="E134" s="4">
        <v>1.1915280069478985E-4</v>
      </c>
      <c r="F134" s="4">
        <v>7.8163789589436413E-5</v>
      </c>
      <c r="G134" s="4">
        <v>0</v>
      </c>
      <c r="H134" s="4">
        <v>0</v>
      </c>
    </row>
    <row r="135" spans="1:8">
      <c r="A135" s="34" t="s">
        <v>389</v>
      </c>
      <c r="B135" s="4">
        <v>4.7388394452949631E-3</v>
      </c>
      <c r="C135" s="10">
        <v>6.838811407554197E-4</v>
      </c>
      <c r="D135" s="4">
        <v>4.9896808473539765E-4</v>
      </c>
      <c r="E135" s="4">
        <v>0</v>
      </c>
      <c r="F135" s="4">
        <v>1.3800535813645841E-4</v>
      </c>
      <c r="G135" s="4">
        <v>1.230767426564762E-3</v>
      </c>
      <c r="H135" s="4">
        <v>5.2482656628421618E-4</v>
      </c>
    </row>
    <row r="136" spans="1:8">
      <c r="A136" s="34" t="s">
        <v>390</v>
      </c>
      <c r="B136" s="4">
        <v>0.23563747515380379</v>
      </c>
      <c r="C136" s="10">
        <v>3.0763786813456925E-2</v>
      </c>
      <c r="D136" s="4">
        <v>1.6959571485112439E-2</v>
      </c>
      <c r="E136" s="4">
        <v>8.6633897012429711E-2</v>
      </c>
      <c r="F136" s="4">
        <v>5.5241758879965561E-2</v>
      </c>
      <c r="G136" s="4">
        <v>2.5943816816133697E-2</v>
      </c>
      <c r="H136" s="4">
        <v>2.4163704992351463E-2</v>
      </c>
    </row>
    <row r="137" spans="1:8">
      <c r="A137" s="34" t="s">
        <v>391</v>
      </c>
      <c r="B137" s="4">
        <v>0</v>
      </c>
      <c r="C137" s="10">
        <v>0</v>
      </c>
      <c r="D137" s="4">
        <v>0</v>
      </c>
      <c r="E137" s="4">
        <v>0</v>
      </c>
      <c r="F137" s="4">
        <v>0</v>
      </c>
      <c r="G137" s="4">
        <v>0</v>
      </c>
      <c r="H137" s="4">
        <v>0</v>
      </c>
    </row>
    <row r="138" spans="1:8">
      <c r="A138" s="34" t="s">
        <v>392</v>
      </c>
      <c r="B138" s="4">
        <v>9.6350305972522357E-4</v>
      </c>
      <c r="C138" s="10">
        <v>3.2405920263248574E-4</v>
      </c>
      <c r="D138" s="4">
        <v>8.4540877469011473E-5</v>
      </c>
      <c r="E138" s="4">
        <v>3.4606312396568415E-4</v>
      </c>
      <c r="F138" s="4">
        <v>2.0280729545767208E-4</v>
      </c>
      <c r="G138" s="4">
        <v>4.577782513652106E-4</v>
      </c>
      <c r="H138" s="4">
        <v>8.4540877469011473E-5</v>
      </c>
    </row>
    <row r="139" spans="1:8">
      <c r="A139" s="34" t="s">
        <v>393</v>
      </c>
      <c r="B139" s="4">
        <v>4.450485879268439E-3</v>
      </c>
      <c r="C139" s="10">
        <v>1.3797551921936506E-3</v>
      </c>
      <c r="D139" s="4">
        <v>9.0919099703122878E-4</v>
      </c>
      <c r="E139" s="4">
        <v>5.659307759523168E-4</v>
      </c>
      <c r="F139" s="4">
        <v>5.8282607253702494E-4</v>
      </c>
      <c r="G139" s="4">
        <v>5.744932815687641E-4</v>
      </c>
      <c r="H139" s="4">
        <v>1.3218652371969359E-3</v>
      </c>
    </row>
    <row r="140" spans="1:8">
      <c r="A140" s="34" t="s">
        <v>394</v>
      </c>
      <c r="B140" s="4">
        <v>8.273670712176124E-3</v>
      </c>
      <c r="C140" s="10">
        <v>2.0923824543964157E-3</v>
      </c>
      <c r="D140" s="4">
        <v>6.5508766655130769E-4</v>
      </c>
      <c r="E140" s="4">
        <v>6.3323939388154648E-4</v>
      </c>
      <c r="F140" s="4">
        <v>4.5162083642493822E-3</v>
      </c>
      <c r="G140" s="4">
        <v>4.5921126662963699E-4</v>
      </c>
      <c r="H140" s="4">
        <v>8.9813429689571998E-5</v>
      </c>
    </row>
    <row r="141" spans="1:8">
      <c r="A141" s="34" t="s">
        <v>395</v>
      </c>
      <c r="B141" s="4">
        <v>2.3927551167041146E-3</v>
      </c>
      <c r="C141" s="10">
        <v>2.0645321010161278E-3</v>
      </c>
      <c r="D141" s="4">
        <v>4.592911095861441E-4</v>
      </c>
      <c r="E141" s="4">
        <v>1.4954607352266506E-4</v>
      </c>
      <c r="F141" s="4">
        <v>1.4954607352266506E-4</v>
      </c>
      <c r="G141" s="4">
        <v>1.2315563955903245E-4</v>
      </c>
      <c r="H141" s="4">
        <v>0</v>
      </c>
    </row>
    <row r="142" spans="1:8">
      <c r="A142" s="34" t="s">
        <v>396</v>
      </c>
      <c r="B142" s="4">
        <v>3.9847832430036728E-2</v>
      </c>
      <c r="C142" s="10">
        <v>1.6080059591493556E-2</v>
      </c>
      <c r="D142" s="4">
        <v>4.2409421216543109E-3</v>
      </c>
      <c r="E142" s="4">
        <v>2.5067490890235905E-3</v>
      </c>
      <c r="F142" s="4">
        <v>5.2456238884701183E-3</v>
      </c>
      <c r="G142" s="4">
        <v>1.0584797291440592E-2</v>
      </c>
      <c r="H142" s="4">
        <v>6.0906148657368896E-3</v>
      </c>
    </row>
    <row r="143" spans="1:8">
      <c r="A143" s="34" t="s">
        <v>397</v>
      </c>
      <c r="B143" s="4">
        <v>9.8422744178176922E-4</v>
      </c>
      <c r="C143" s="10">
        <v>7.7012280542200406E-5</v>
      </c>
      <c r="D143" s="4">
        <v>0</v>
      </c>
      <c r="E143" s="4">
        <v>1.3950867238054392E-4</v>
      </c>
      <c r="F143" s="4">
        <v>2.2851893055019073E-4</v>
      </c>
      <c r="G143" s="4">
        <v>7.7278451643865469E-5</v>
      </c>
      <c r="H143" s="4">
        <v>0</v>
      </c>
    </row>
    <row r="144" spans="1:8">
      <c r="A144" s="34" t="s">
        <v>398</v>
      </c>
      <c r="B144" s="4">
        <v>0</v>
      </c>
      <c r="C144" s="10">
        <v>0</v>
      </c>
      <c r="D144" s="4">
        <v>0</v>
      </c>
      <c r="E144" s="4">
        <v>0</v>
      </c>
      <c r="F144" s="4">
        <v>0</v>
      </c>
      <c r="G144" s="4">
        <v>0</v>
      </c>
      <c r="H144" s="4">
        <v>0</v>
      </c>
    </row>
    <row r="145" spans="1:8">
      <c r="A145" s="34" t="s">
        <v>399</v>
      </c>
      <c r="B145" s="4">
        <v>9.5470906549253373E-3</v>
      </c>
      <c r="C145" s="10">
        <v>5.2934838361740344E-3</v>
      </c>
      <c r="D145" s="4">
        <v>1.0809596005361499E-3</v>
      </c>
      <c r="E145" s="4">
        <v>1.9987667419934521E-4</v>
      </c>
      <c r="F145" s="4">
        <v>3.0050296328442376E-4</v>
      </c>
      <c r="G145" s="4">
        <v>2.4375524031027853E-4</v>
      </c>
      <c r="H145" s="4">
        <v>2.4593922658354343E-3</v>
      </c>
    </row>
    <row r="146" spans="1:8">
      <c r="A146" s="34" t="s">
        <v>400</v>
      </c>
      <c r="B146" s="4">
        <v>2.8429127719415846E-4</v>
      </c>
      <c r="C146" s="10">
        <v>0</v>
      </c>
      <c r="D146" s="4">
        <v>0</v>
      </c>
      <c r="E146" s="4">
        <v>0</v>
      </c>
      <c r="F146" s="4">
        <v>0</v>
      </c>
      <c r="G146" s="4">
        <v>0</v>
      </c>
      <c r="H146" s="4">
        <v>8.9972251640809195E-5</v>
      </c>
    </row>
    <row r="147" spans="1:8">
      <c r="A147" s="34" t="s">
        <v>401</v>
      </c>
      <c r="B147" s="4">
        <v>3.4746511530023749E-4</v>
      </c>
      <c r="C147" s="10">
        <v>1.9228904516860069E-4</v>
      </c>
      <c r="D147" s="4">
        <v>1.8902993515676971E-4</v>
      </c>
      <c r="E147" s="4">
        <v>8.1422899601267388E-5</v>
      </c>
      <c r="F147" s="4">
        <v>0</v>
      </c>
      <c r="G147" s="4">
        <v>1.8902993515676971E-4</v>
      </c>
      <c r="H147" s="4">
        <v>1.1086614556733331E-4</v>
      </c>
    </row>
    <row r="148" spans="1:8">
      <c r="A148" s="34" t="s">
        <v>402</v>
      </c>
      <c r="B148" s="4">
        <v>3.7200601150662806E-3</v>
      </c>
      <c r="C148" s="10">
        <v>3.0834539432303117E-4</v>
      </c>
      <c r="D148" s="4">
        <v>5.0949475044990739E-4</v>
      </c>
      <c r="E148" s="4">
        <v>2.1788284034516999E-4</v>
      </c>
      <c r="F148" s="4">
        <v>1.4687980174892023E-4</v>
      </c>
      <c r="G148" s="4">
        <v>4.7253522564093703E-4</v>
      </c>
      <c r="H148" s="4">
        <v>4.195219354052241E-4</v>
      </c>
    </row>
    <row r="149" spans="1:8">
      <c r="A149" s="34" t="s">
        <v>403</v>
      </c>
      <c r="B149" s="4">
        <v>7.3881224290025692E-3</v>
      </c>
      <c r="C149" s="10">
        <v>1.7811971008835394E-3</v>
      </c>
      <c r="D149" s="4">
        <v>1.1765691597454173E-3</v>
      </c>
      <c r="E149" s="4">
        <v>7.1082149442607304E-4</v>
      </c>
      <c r="F149" s="4">
        <v>5.1346128632189219E-4</v>
      </c>
      <c r="G149" s="4">
        <v>2.8661144861186221E-4</v>
      </c>
      <c r="H149" s="4">
        <v>4.1805372338355948E-3</v>
      </c>
    </row>
    <row r="150" spans="1:8">
      <c r="A150" s="34" t="s">
        <v>404</v>
      </c>
      <c r="B150" s="4">
        <v>3.1032286094472658E-2</v>
      </c>
      <c r="C150" s="10">
        <v>8.3918363897583E-4</v>
      </c>
      <c r="D150" s="4">
        <v>9.4296821963001218E-4</v>
      </c>
      <c r="E150" s="4">
        <v>5.3752670979046997E-4</v>
      </c>
      <c r="F150" s="4">
        <v>6.1101927356757384E-4</v>
      </c>
      <c r="G150" s="4">
        <v>1.2824483290669489E-3</v>
      </c>
      <c r="H150" s="4">
        <v>2.4542165852239981E-3</v>
      </c>
    </row>
    <row r="151" spans="1:8">
      <c r="A151" s="34" t="s">
        <v>405</v>
      </c>
      <c r="B151" s="4">
        <v>1.7532109915622917E-3</v>
      </c>
      <c r="C151" s="10">
        <v>9.956057193014887E-4</v>
      </c>
      <c r="D151" s="4">
        <v>1.1161914674775796E-4</v>
      </c>
      <c r="E151" s="4">
        <v>3.2208869314478207E-4</v>
      </c>
      <c r="F151" s="4">
        <v>0</v>
      </c>
      <c r="G151" s="4">
        <v>0</v>
      </c>
      <c r="H151" s="4">
        <v>1.5751433439711008E-4</v>
      </c>
    </row>
    <row r="152" spans="1:8">
      <c r="A152" s="34" t="s">
        <v>406</v>
      </c>
      <c r="B152" s="4">
        <v>2.603526251589888E-4</v>
      </c>
      <c r="C152" s="10">
        <v>7.8579039049739551E-5</v>
      </c>
      <c r="D152" s="4">
        <v>7.8579039049739551E-5</v>
      </c>
      <c r="E152" s="4">
        <v>0</v>
      </c>
      <c r="F152" s="4">
        <v>1.0842326786586567E-4</v>
      </c>
      <c r="G152" s="4">
        <v>0</v>
      </c>
      <c r="H152" s="4">
        <v>0</v>
      </c>
    </row>
    <row r="153" spans="1:8">
      <c r="A153" s="34" t="s">
        <v>407</v>
      </c>
      <c r="B153" s="4">
        <v>2.4386213464123684E-4</v>
      </c>
      <c r="C153" s="10">
        <v>0</v>
      </c>
      <c r="D153" s="4">
        <v>0</v>
      </c>
      <c r="E153" s="4">
        <v>1.3114706652000567E-4</v>
      </c>
      <c r="F153" s="4">
        <v>0</v>
      </c>
      <c r="G153" s="4">
        <v>0</v>
      </c>
      <c r="H153" s="4">
        <v>0</v>
      </c>
    </row>
    <row r="154" spans="1:8">
      <c r="A154" s="34" t="s">
        <v>408</v>
      </c>
      <c r="B154" s="4">
        <v>0</v>
      </c>
      <c r="C154" s="10">
        <v>0</v>
      </c>
      <c r="D154" s="4">
        <v>0</v>
      </c>
      <c r="E154" s="4">
        <v>0</v>
      </c>
      <c r="F154" s="4">
        <v>0</v>
      </c>
      <c r="G154" s="4">
        <v>0</v>
      </c>
      <c r="H154" s="4">
        <v>0</v>
      </c>
    </row>
    <row r="155" spans="1:8">
      <c r="A155" s="34" t="s">
        <v>409</v>
      </c>
      <c r="B155" s="4">
        <v>0</v>
      </c>
      <c r="C155" s="10">
        <v>0</v>
      </c>
      <c r="D155" s="4">
        <v>0</v>
      </c>
      <c r="E155" s="4">
        <v>0</v>
      </c>
      <c r="F155" s="4">
        <v>0</v>
      </c>
      <c r="G155" s="4">
        <v>0</v>
      </c>
      <c r="H155" s="4">
        <v>0</v>
      </c>
    </row>
    <row r="156" spans="1:8">
      <c r="A156" s="34" t="s">
        <v>410</v>
      </c>
      <c r="B156" s="4">
        <v>6.9902045693251303E-5</v>
      </c>
      <c r="C156" s="10">
        <v>6.9902045693251303E-5</v>
      </c>
      <c r="D156" s="4">
        <v>6.9902045693251303E-5</v>
      </c>
      <c r="E156" s="4">
        <v>0</v>
      </c>
      <c r="F156" s="4">
        <v>0</v>
      </c>
      <c r="G156" s="4">
        <v>0</v>
      </c>
      <c r="H156" s="4">
        <v>0</v>
      </c>
    </row>
    <row r="157" spans="1:8">
      <c r="A157" s="118" t="s">
        <v>411</v>
      </c>
      <c r="B157" s="123">
        <v>2.1917126491882138E-3</v>
      </c>
      <c r="C157" s="126">
        <v>3.6809715660642434E-4</v>
      </c>
      <c r="D157" s="123">
        <v>7.028114520205897E-4</v>
      </c>
      <c r="E157" s="123">
        <v>5.0760582898696821E-4</v>
      </c>
      <c r="F157" s="123">
        <v>5.7292125539964316E-4</v>
      </c>
      <c r="G157" s="123">
        <v>1.9355309969354087E-4</v>
      </c>
      <c r="H157" s="123">
        <v>2.2229272682319624E-4</v>
      </c>
    </row>
    <row r="158" spans="1:8">
      <c r="A158" s="67"/>
      <c r="B158" s="187" t="s">
        <v>147</v>
      </c>
      <c r="C158" s="187"/>
      <c r="D158" s="187"/>
      <c r="E158" s="187"/>
      <c r="F158" s="187"/>
      <c r="G158" s="187"/>
      <c r="H158" s="187"/>
    </row>
    <row r="159" spans="1:8">
      <c r="A159" s="34" t="s">
        <v>270</v>
      </c>
      <c r="B159" s="45">
        <v>10801.585989642552</v>
      </c>
      <c r="C159" s="11">
        <v>1562.7323090679197</v>
      </c>
      <c r="D159" s="45">
        <v>2302.039862683795</v>
      </c>
      <c r="E159" s="45">
        <v>1471.5248747712046</v>
      </c>
      <c r="F159" s="45">
        <v>1416.0092781745011</v>
      </c>
      <c r="G159" s="45">
        <v>2448.9013812696476</v>
      </c>
      <c r="H159" s="45">
        <v>670.6572106001621</v>
      </c>
    </row>
    <row r="160" spans="1:8">
      <c r="A160" s="34" t="s">
        <v>271</v>
      </c>
      <c r="B160" s="45">
        <v>12492.719563368961</v>
      </c>
      <c r="C160" s="11">
        <v>6533.7136375859518</v>
      </c>
      <c r="D160" s="45">
        <v>4267.2403027852251</v>
      </c>
      <c r="E160" s="45">
        <v>4335.8538751897458</v>
      </c>
      <c r="F160" s="45">
        <v>4275.1192240621749</v>
      </c>
      <c r="G160" s="45">
        <v>3823.0242423493773</v>
      </c>
      <c r="H160" s="45">
        <v>5574.9096399615182</v>
      </c>
    </row>
    <row r="161" spans="1:8">
      <c r="A161" s="34" t="s">
        <v>272</v>
      </c>
      <c r="B161" s="45">
        <v>7143.7302208151177</v>
      </c>
      <c r="C161" s="11">
        <v>1023.8249816172324</v>
      </c>
      <c r="D161" s="45">
        <v>2749.7530695178443</v>
      </c>
      <c r="E161" s="45">
        <v>4069.972925683348</v>
      </c>
      <c r="F161" s="45">
        <v>2410.233687676006</v>
      </c>
      <c r="G161" s="45">
        <v>2611.0200819313691</v>
      </c>
      <c r="H161" s="45">
        <v>967.49605588532813</v>
      </c>
    </row>
    <row r="162" spans="1:8">
      <c r="A162" s="34" t="s">
        <v>273</v>
      </c>
      <c r="B162" s="45">
        <v>156335.21347429437</v>
      </c>
      <c r="C162" s="11">
        <v>71616.015658144795</v>
      </c>
      <c r="D162" s="45">
        <v>24491.969092697494</v>
      </c>
      <c r="E162" s="45">
        <v>16150.776761878758</v>
      </c>
      <c r="F162" s="45">
        <v>10047.044008520017</v>
      </c>
      <c r="G162" s="45">
        <v>20557.640126685903</v>
      </c>
      <c r="H162" s="45">
        <v>39707.483042588945</v>
      </c>
    </row>
    <row r="163" spans="1:8">
      <c r="A163" s="34" t="s">
        <v>274</v>
      </c>
      <c r="B163" s="45">
        <v>304092.1498789714</v>
      </c>
      <c r="C163" s="11">
        <v>187443.52684995826</v>
      </c>
      <c r="D163" s="45">
        <v>38252.548916157175</v>
      </c>
      <c r="E163" s="45">
        <v>20449.995310231636</v>
      </c>
      <c r="F163" s="45">
        <v>9317.0216244321236</v>
      </c>
      <c r="G163" s="45">
        <v>16481.758629541513</v>
      </c>
      <c r="H163" s="45">
        <v>54491.075918414739</v>
      </c>
    </row>
    <row r="164" spans="1:8">
      <c r="A164" s="34" t="s">
        <v>275</v>
      </c>
      <c r="B164" s="45">
        <v>36211.798478621662</v>
      </c>
      <c r="C164" s="11">
        <v>6422.4966428522303</v>
      </c>
      <c r="D164" s="45">
        <v>7800.4171824533259</v>
      </c>
      <c r="E164" s="45">
        <v>6040.8417239533119</v>
      </c>
      <c r="F164" s="45">
        <v>4930.721489489858</v>
      </c>
      <c r="G164" s="45">
        <v>6753.1535877641454</v>
      </c>
      <c r="H164" s="45">
        <v>10538.88671576144</v>
      </c>
    </row>
    <row r="165" spans="1:8">
      <c r="A165" s="34" t="s">
        <v>276</v>
      </c>
      <c r="B165" s="45">
        <v>29513.362146375093</v>
      </c>
      <c r="C165" s="11">
        <v>12185.989744276449</v>
      </c>
      <c r="D165" s="45">
        <v>5373.8043561604045</v>
      </c>
      <c r="E165" s="45">
        <v>3066.2930751789022</v>
      </c>
      <c r="F165" s="45">
        <v>2788.6714799863898</v>
      </c>
      <c r="G165" s="45">
        <v>4795.1024659432551</v>
      </c>
      <c r="H165" s="45">
        <v>3134.6616188926</v>
      </c>
    </row>
    <row r="166" spans="1:8">
      <c r="A166" s="34" t="s">
        <v>277</v>
      </c>
      <c r="B166" s="45">
        <v>342366.22068993835</v>
      </c>
      <c r="C166" s="11">
        <v>184838.07014339688</v>
      </c>
      <c r="D166" s="45">
        <v>45092.100456437358</v>
      </c>
      <c r="E166" s="45">
        <v>36793.584489197259</v>
      </c>
      <c r="F166" s="45">
        <v>15574.756705864855</v>
      </c>
      <c r="G166" s="45">
        <v>30567.009555815537</v>
      </c>
      <c r="H166" s="45">
        <v>73411.055865320959</v>
      </c>
    </row>
    <row r="167" spans="1:8">
      <c r="A167" s="34" t="s">
        <v>278</v>
      </c>
      <c r="B167" s="45">
        <v>3238.695208493406</v>
      </c>
      <c r="C167" s="11">
        <v>527.70546067492762</v>
      </c>
      <c r="D167" s="45">
        <v>1545.9922203209744</v>
      </c>
      <c r="E167" s="45">
        <v>1094.4578079637381</v>
      </c>
      <c r="F167" s="45">
        <v>1147.0113224299735</v>
      </c>
      <c r="G167" s="45">
        <v>854.27432817445992</v>
      </c>
      <c r="H167" s="45">
        <v>1348.6146450718018</v>
      </c>
    </row>
    <row r="168" spans="1:8">
      <c r="A168" s="34" t="s">
        <v>279</v>
      </c>
      <c r="B168" s="45">
        <v>662.70310888712561</v>
      </c>
      <c r="C168" s="11">
        <v>0</v>
      </c>
      <c r="D168" s="45">
        <v>0</v>
      </c>
      <c r="E168" s="45">
        <v>0</v>
      </c>
      <c r="F168" s="45">
        <v>662.70310888712561</v>
      </c>
      <c r="G168" s="45">
        <v>0</v>
      </c>
      <c r="H168" s="45">
        <v>0</v>
      </c>
    </row>
    <row r="169" spans="1:8">
      <c r="A169" s="34" t="s">
        <v>280</v>
      </c>
      <c r="B169" s="45">
        <v>2157.8305770402512</v>
      </c>
      <c r="C169" s="11">
        <v>599.1029454800896</v>
      </c>
      <c r="D169" s="45">
        <v>534.91746818992738</v>
      </c>
      <c r="E169" s="45">
        <v>534.91746818992738</v>
      </c>
      <c r="F169" s="45">
        <v>599.1029454800896</v>
      </c>
      <c r="G169" s="45">
        <v>599.1029454800896</v>
      </c>
      <c r="H169" s="45">
        <v>0</v>
      </c>
    </row>
    <row r="170" spans="1:8">
      <c r="A170" s="34" t="s">
        <v>281</v>
      </c>
      <c r="B170" s="45">
        <v>7845.4377445609734</v>
      </c>
      <c r="C170" s="11">
        <v>3205.1810478249799</v>
      </c>
      <c r="D170" s="45">
        <v>1135.5482333661041</v>
      </c>
      <c r="E170" s="45">
        <v>480.63873930495294</v>
      </c>
      <c r="F170" s="45">
        <v>636.80404613948906</v>
      </c>
      <c r="G170" s="45">
        <v>2044.9832812220943</v>
      </c>
      <c r="H170" s="45">
        <v>1307.1961652652762</v>
      </c>
    </row>
    <row r="171" spans="1:8">
      <c r="A171" s="34" t="s">
        <v>282</v>
      </c>
      <c r="B171" s="45">
        <v>0</v>
      </c>
      <c r="C171" s="11">
        <v>0</v>
      </c>
      <c r="D171" s="45">
        <v>0</v>
      </c>
      <c r="E171" s="45">
        <v>0</v>
      </c>
      <c r="F171" s="45">
        <v>0</v>
      </c>
      <c r="G171" s="45">
        <v>0</v>
      </c>
      <c r="H171" s="45">
        <v>0</v>
      </c>
    </row>
    <row r="172" spans="1:8">
      <c r="A172" s="34" t="s">
        <v>283</v>
      </c>
      <c r="B172" s="45">
        <v>0</v>
      </c>
      <c r="C172" s="11">
        <v>0</v>
      </c>
      <c r="D172" s="45">
        <v>0</v>
      </c>
      <c r="E172" s="45">
        <v>0</v>
      </c>
      <c r="F172" s="45">
        <v>0</v>
      </c>
      <c r="G172" s="45">
        <v>0</v>
      </c>
      <c r="H172" s="45">
        <v>0</v>
      </c>
    </row>
    <row r="173" spans="1:8">
      <c r="A173" s="34" t="s">
        <v>284</v>
      </c>
      <c r="B173" s="45">
        <v>556.11179428146238</v>
      </c>
      <c r="C173" s="11">
        <v>0</v>
      </c>
      <c r="D173" s="45">
        <v>0</v>
      </c>
      <c r="E173" s="45">
        <v>0</v>
      </c>
      <c r="F173" s="45">
        <v>0</v>
      </c>
      <c r="G173" s="45">
        <v>0</v>
      </c>
      <c r="H173" s="45">
        <v>556.11179428146238</v>
      </c>
    </row>
    <row r="174" spans="1:8">
      <c r="A174" s="34" t="s">
        <v>285</v>
      </c>
      <c r="B174" s="45">
        <v>0</v>
      </c>
      <c r="C174" s="11">
        <v>0</v>
      </c>
      <c r="D174" s="45">
        <v>0</v>
      </c>
      <c r="E174" s="45">
        <v>0</v>
      </c>
      <c r="F174" s="45">
        <v>0</v>
      </c>
      <c r="G174" s="45">
        <v>0</v>
      </c>
      <c r="H174" s="45">
        <v>0</v>
      </c>
    </row>
    <row r="175" spans="1:8">
      <c r="A175" s="34" t="s">
        <v>286</v>
      </c>
      <c r="B175" s="45">
        <v>238.79252631366083</v>
      </c>
      <c r="C175" s="11">
        <v>0</v>
      </c>
      <c r="D175" s="45">
        <v>238.79252631366083</v>
      </c>
      <c r="E175" s="45">
        <v>0</v>
      </c>
      <c r="F175" s="45">
        <v>0</v>
      </c>
      <c r="G175" s="45">
        <v>0</v>
      </c>
      <c r="H175" s="45">
        <v>0</v>
      </c>
    </row>
    <row r="176" spans="1:8">
      <c r="A176" s="34" t="s">
        <v>287</v>
      </c>
      <c r="B176" s="45">
        <v>1139.7361182567258</v>
      </c>
      <c r="C176" s="11">
        <v>538.55061952675408</v>
      </c>
      <c r="D176" s="45">
        <v>538.55061952675408</v>
      </c>
      <c r="E176" s="45">
        <v>0</v>
      </c>
      <c r="F176" s="45">
        <v>601.18549872997175</v>
      </c>
      <c r="G176" s="45">
        <v>0</v>
      </c>
      <c r="H176" s="45">
        <v>601.18549872997175</v>
      </c>
    </row>
    <row r="177" spans="1:8">
      <c r="A177" s="34" t="s">
        <v>288</v>
      </c>
      <c r="B177" s="45">
        <v>17522.747683744881</v>
      </c>
      <c r="C177" s="11">
        <v>3421.3381624372391</v>
      </c>
      <c r="D177" s="45">
        <v>1241.1333232712575</v>
      </c>
      <c r="E177" s="45">
        <v>2239.5009813802976</v>
      </c>
      <c r="F177" s="45">
        <v>6659.6994629495557</v>
      </c>
      <c r="G177" s="45">
        <v>5079.981218961686</v>
      </c>
      <c r="H177" s="45">
        <v>379.13558197759897</v>
      </c>
    </row>
    <row r="178" spans="1:8">
      <c r="A178" s="34" t="s">
        <v>289</v>
      </c>
      <c r="B178" s="45">
        <v>0</v>
      </c>
      <c r="C178" s="11">
        <v>0</v>
      </c>
      <c r="D178" s="45">
        <v>0</v>
      </c>
      <c r="E178" s="45">
        <v>0</v>
      </c>
      <c r="F178" s="45">
        <v>0</v>
      </c>
      <c r="G178" s="45">
        <v>0</v>
      </c>
      <c r="H178" s="45">
        <v>0</v>
      </c>
    </row>
    <row r="179" spans="1:8">
      <c r="A179" s="34" t="s">
        <v>290</v>
      </c>
      <c r="B179" s="45">
        <v>56118.414203039523</v>
      </c>
      <c r="C179" s="11">
        <v>4432.2514147406036</v>
      </c>
      <c r="D179" s="45">
        <v>2750.8316887342794</v>
      </c>
      <c r="E179" s="45">
        <v>1740.4691667666061</v>
      </c>
      <c r="F179" s="45">
        <v>3275.3557935787539</v>
      </c>
      <c r="G179" s="45">
        <v>3153.9902110266439</v>
      </c>
      <c r="H179" s="45">
        <v>8970.4576342946912</v>
      </c>
    </row>
    <row r="180" spans="1:8">
      <c r="A180" s="34" t="s">
        <v>291</v>
      </c>
      <c r="B180" s="45">
        <v>8129.5830414080192</v>
      </c>
      <c r="C180" s="11">
        <v>5724.0644716067236</v>
      </c>
      <c r="D180" s="45">
        <v>866.7764490169925</v>
      </c>
      <c r="E180" s="45">
        <v>0</v>
      </c>
      <c r="F180" s="45">
        <v>866.7764490169925</v>
      </c>
      <c r="G180" s="45">
        <v>0</v>
      </c>
      <c r="H180" s="45">
        <v>665.86130863694439</v>
      </c>
    </row>
    <row r="181" spans="1:8">
      <c r="A181" s="34" t="s">
        <v>292</v>
      </c>
      <c r="B181" s="45">
        <v>988.71040412025775</v>
      </c>
      <c r="C181" s="11">
        <v>0</v>
      </c>
      <c r="D181" s="45">
        <v>574.89970585011554</v>
      </c>
      <c r="E181" s="45">
        <v>0</v>
      </c>
      <c r="F181" s="45">
        <v>0</v>
      </c>
      <c r="G181" s="45">
        <v>0</v>
      </c>
      <c r="H181" s="45">
        <v>413.81069827014221</v>
      </c>
    </row>
    <row r="182" spans="1:8">
      <c r="A182" s="34" t="s">
        <v>293</v>
      </c>
      <c r="B182" s="45">
        <v>5913.9471114004509</v>
      </c>
      <c r="C182" s="11">
        <v>722.53252127535802</v>
      </c>
      <c r="D182" s="45">
        <v>282.37295804387588</v>
      </c>
      <c r="E182" s="45">
        <v>0</v>
      </c>
      <c r="F182" s="45">
        <v>0</v>
      </c>
      <c r="G182" s="45">
        <v>1107.7668922688538</v>
      </c>
      <c r="H182" s="45">
        <v>834.97910400250839</v>
      </c>
    </row>
    <row r="183" spans="1:8">
      <c r="A183" s="34" t="s">
        <v>294</v>
      </c>
      <c r="B183" s="45">
        <v>8210.4966913836051</v>
      </c>
      <c r="C183" s="11">
        <v>1674.7565673796043</v>
      </c>
      <c r="D183" s="45">
        <v>534.91746818992738</v>
      </c>
      <c r="E183" s="45">
        <v>952.40941497208587</v>
      </c>
      <c r="F183" s="45">
        <v>5616.2719202904746</v>
      </c>
      <c r="G183" s="45">
        <v>0</v>
      </c>
      <c r="H183" s="45">
        <v>501.97625693136774</v>
      </c>
    </row>
    <row r="184" spans="1:8">
      <c r="A184" s="34" t="s">
        <v>295</v>
      </c>
      <c r="B184" s="45">
        <v>162616.09707406993</v>
      </c>
      <c r="C184" s="11">
        <v>99826.693682112847</v>
      </c>
      <c r="D184" s="45">
        <v>18775.741969567072</v>
      </c>
      <c r="E184" s="45">
        <v>10037.572643697227</v>
      </c>
      <c r="F184" s="45">
        <v>5928.0727151636793</v>
      </c>
      <c r="G184" s="45">
        <v>11990.996794255541</v>
      </c>
      <c r="H184" s="45">
        <v>28605.246516070169</v>
      </c>
    </row>
    <row r="185" spans="1:8">
      <c r="A185" s="34" t="s">
        <v>296</v>
      </c>
      <c r="B185" s="45">
        <v>0</v>
      </c>
      <c r="C185" s="11">
        <v>0</v>
      </c>
      <c r="D185" s="45">
        <v>0</v>
      </c>
      <c r="E185" s="45">
        <v>0</v>
      </c>
      <c r="F185" s="45">
        <v>0</v>
      </c>
      <c r="G185" s="45">
        <v>0</v>
      </c>
      <c r="H185" s="45">
        <v>0</v>
      </c>
    </row>
    <row r="186" spans="1:8">
      <c r="A186" s="34" t="s">
        <v>297</v>
      </c>
      <c r="B186" s="45">
        <v>7190.421004327638</v>
      </c>
      <c r="C186" s="11">
        <v>560.18828154486209</v>
      </c>
      <c r="D186" s="45">
        <v>0</v>
      </c>
      <c r="E186" s="45">
        <v>2501.2324392575979</v>
      </c>
      <c r="F186" s="45">
        <v>2397.1422503423755</v>
      </c>
      <c r="G186" s="45">
        <v>2226.6609443213015</v>
      </c>
      <c r="H186" s="45">
        <v>372.63311293688508</v>
      </c>
    </row>
    <row r="187" spans="1:8">
      <c r="A187" s="34" t="s">
        <v>298</v>
      </c>
      <c r="B187" s="45">
        <v>0</v>
      </c>
      <c r="C187" s="11">
        <v>0</v>
      </c>
      <c r="D187" s="45">
        <v>0</v>
      </c>
      <c r="E187" s="45">
        <v>0</v>
      </c>
      <c r="F187" s="45">
        <v>0</v>
      </c>
      <c r="G187" s="45">
        <v>0</v>
      </c>
      <c r="H187" s="45">
        <v>0</v>
      </c>
    </row>
    <row r="188" spans="1:8">
      <c r="A188" s="34" t="s">
        <v>299</v>
      </c>
      <c r="B188" s="45">
        <v>83028.639986770373</v>
      </c>
      <c r="C188" s="11">
        <v>5269.1203059160416</v>
      </c>
      <c r="D188" s="45">
        <v>1426.829970396856</v>
      </c>
      <c r="E188" s="45">
        <v>1328.8922803801343</v>
      </c>
      <c r="F188" s="45">
        <v>3239.8095998461663</v>
      </c>
      <c r="G188" s="45">
        <v>3229.6402305642359</v>
      </c>
      <c r="H188" s="45">
        <v>6219.7551878112281</v>
      </c>
    </row>
    <row r="189" spans="1:8">
      <c r="A189" s="34" t="s">
        <v>300</v>
      </c>
      <c r="B189" s="45">
        <v>119288.86858840536</v>
      </c>
      <c r="C189" s="11">
        <v>15453.312661003969</v>
      </c>
      <c r="D189" s="45">
        <v>8455.3667574333558</v>
      </c>
      <c r="E189" s="45">
        <v>7217.4248788272671</v>
      </c>
      <c r="F189" s="45">
        <v>69587.594943421704</v>
      </c>
      <c r="G189" s="45">
        <v>11422.985794608474</v>
      </c>
      <c r="H189" s="45">
        <v>16281.576045393484</v>
      </c>
    </row>
    <row r="190" spans="1:8">
      <c r="A190" s="34" t="s">
        <v>301</v>
      </c>
      <c r="B190" s="45">
        <v>262338.84379967244</v>
      </c>
      <c r="C190" s="11">
        <v>28520.644145408234</v>
      </c>
      <c r="D190" s="45">
        <v>20269.87249607436</v>
      </c>
      <c r="E190" s="45">
        <v>17337.529495527346</v>
      </c>
      <c r="F190" s="45">
        <v>175751.41258477588</v>
      </c>
      <c r="G190" s="45">
        <v>19886.867676676669</v>
      </c>
      <c r="H190" s="45">
        <v>30115.402444105126</v>
      </c>
    </row>
    <row r="191" spans="1:8">
      <c r="A191" s="34" t="s">
        <v>302</v>
      </c>
      <c r="B191" s="45">
        <v>1183.9643758875384</v>
      </c>
      <c r="C191" s="11">
        <v>317.18792687054588</v>
      </c>
      <c r="D191" s="45">
        <v>0</v>
      </c>
      <c r="E191" s="45">
        <v>0</v>
      </c>
      <c r="F191" s="45">
        <v>0</v>
      </c>
      <c r="G191" s="45">
        <v>1183.9643758875384</v>
      </c>
      <c r="H191" s="45">
        <v>0</v>
      </c>
    </row>
    <row r="192" spans="1:8">
      <c r="A192" s="34" t="s">
        <v>303</v>
      </c>
      <c r="B192" s="45">
        <v>3721.3105616773028</v>
      </c>
      <c r="C192" s="11">
        <v>1272.0776114165867</v>
      </c>
      <c r="D192" s="45">
        <v>0</v>
      </c>
      <c r="E192" s="45">
        <v>0</v>
      </c>
      <c r="F192" s="45">
        <v>0</v>
      </c>
      <c r="G192" s="45">
        <v>1127.6830970014794</v>
      </c>
      <c r="H192" s="45">
        <v>643.24296785356012</v>
      </c>
    </row>
    <row r="193" spans="1:8">
      <c r="A193" s="34" t="s">
        <v>304</v>
      </c>
      <c r="B193" s="45">
        <v>1119.3560473707325</v>
      </c>
      <c r="C193" s="11">
        <v>535.27267725302636</v>
      </c>
      <c r="D193" s="45">
        <v>535.27267725302636</v>
      </c>
      <c r="E193" s="45">
        <v>0</v>
      </c>
      <c r="F193" s="45">
        <v>0</v>
      </c>
      <c r="G193" s="45">
        <v>0</v>
      </c>
      <c r="H193" s="45">
        <v>0</v>
      </c>
    </row>
    <row r="194" spans="1:8">
      <c r="A194" s="34" t="s">
        <v>305</v>
      </c>
      <c r="B194" s="45">
        <v>0</v>
      </c>
      <c r="C194" s="11">
        <v>0</v>
      </c>
      <c r="D194" s="45">
        <v>0</v>
      </c>
      <c r="E194" s="45">
        <v>0</v>
      </c>
      <c r="F194" s="45">
        <v>0</v>
      </c>
      <c r="G194" s="45">
        <v>0</v>
      </c>
      <c r="H194" s="45">
        <v>0</v>
      </c>
    </row>
    <row r="195" spans="1:8">
      <c r="A195" s="34" t="s">
        <v>306</v>
      </c>
      <c r="B195" s="45">
        <v>2061.9107893005526</v>
      </c>
      <c r="C195" s="11">
        <v>0</v>
      </c>
      <c r="D195" s="45">
        <v>0</v>
      </c>
      <c r="E195" s="45">
        <v>518.73720047760116</v>
      </c>
      <c r="F195" s="45">
        <v>0</v>
      </c>
      <c r="G195" s="45">
        <v>0</v>
      </c>
      <c r="H195" s="45">
        <v>554.41859287734076</v>
      </c>
    </row>
    <row r="196" spans="1:8">
      <c r="A196" s="34" t="s">
        <v>307</v>
      </c>
      <c r="B196" s="45">
        <v>14222.488510590021</v>
      </c>
      <c r="C196" s="11">
        <v>3283.9364388636609</v>
      </c>
      <c r="D196" s="45">
        <v>2355.7493367712364</v>
      </c>
      <c r="E196" s="45">
        <v>1702.3612429634948</v>
      </c>
      <c r="F196" s="45">
        <v>6065.633459306945</v>
      </c>
      <c r="G196" s="45">
        <v>4468.8097997251243</v>
      </c>
      <c r="H196" s="45">
        <v>460.11847168528533</v>
      </c>
    </row>
    <row r="197" spans="1:8">
      <c r="A197" s="34" t="s">
        <v>308</v>
      </c>
      <c r="B197" s="45">
        <v>5903.2218213279193</v>
      </c>
      <c r="C197" s="11">
        <v>1349.6352512052797</v>
      </c>
      <c r="D197" s="45">
        <v>2408.5780686549119</v>
      </c>
      <c r="E197" s="45">
        <v>527.70546067492762</v>
      </c>
      <c r="F197" s="45">
        <v>1392.8741692877275</v>
      </c>
      <c r="G197" s="45">
        <v>908.2143822574169</v>
      </c>
      <c r="H197" s="45">
        <v>3085.7709259363933</v>
      </c>
    </row>
    <row r="198" spans="1:8">
      <c r="A198" s="34" t="s">
        <v>309</v>
      </c>
      <c r="B198" s="45">
        <v>4576.203204222239</v>
      </c>
      <c r="C198" s="11">
        <v>1990.2157597260448</v>
      </c>
      <c r="D198" s="45">
        <v>527.70546067492762</v>
      </c>
      <c r="E198" s="45">
        <v>1055.4109213498552</v>
      </c>
      <c r="F198" s="45">
        <v>1777.7826842761783</v>
      </c>
      <c r="G198" s="45">
        <v>1850.1930404321104</v>
      </c>
      <c r="H198" s="45">
        <v>985.21757625714145</v>
      </c>
    </row>
    <row r="199" spans="1:8">
      <c r="A199" s="34" t="s">
        <v>310</v>
      </c>
      <c r="B199" s="45">
        <v>8733.5326700461592</v>
      </c>
      <c r="C199" s="11">
        <v>673.74438429968745</v>
      </c>
      <c r="D199" s="45">
        <v>346.56443728774769</v>
      </c>
      <c r="E199" s="45">
        <v>0</v>
      </c>
      <c r="F199" s="45">
        <v>0</v>
      </c>
      <c r="G199" s="45">
        <v>747.6388055740631</v>
      </c>
      <c r="H199" s="45">
        <v>346.56443728774769</v>
      </c>
    </row>
    <row r="200" spans="1:8">
      <c r="A200" s="34" t="s">
        <v>311</v>
      </c>
      <c r="B200" s="45">
        <v>77498.531742647625</v>
      </c>
      <c r="C200" s="11">
        <v>11709.386098323434</v>
      </c>
      <c r="D200" s="45">
        <v>8034.6115249581389</v>
      </c>
      <c r="E200" s="45">
        <v>18352.931788139995</v>
      </c>
      <c r="F200" s="45">
        <v>21203.826651746662</v>
      </c>
      <c r="G200" s="45">
        <v>14374.291264715128</v>
      </c>
      <c r="H200" s="45">
        <v>12416.902115871981</v>
      </c>
    </row>
    <row r="201" spans="1:8">
      <c r="A201" s="34" t="s">
        <v>312</v>
      </c>
      <c r="B201" s="45">
        <v>2133.752083314982</v>
      </c>
      <c r="C201" s="11">
        <v>0</v>
      </c>
      <c r="D201" s="45">
        <v>0</v>
      </c>
      <c r="E201" s="45">
        <v>1028.2987617075332</v>
      </c>
      <c r="F201" s="45">
        <v>978.00884596567698</v>
      </c>
      <c r="G201" s="45">
        <v>520.62435006395856</v>
      </c>
      <c r="H201" s="45">
        <v>648.06882570573032</v>
      </c>
    </row>
    <row r="202" spans="1:8">
      <c r="A202" s="34" t="s">
        <v>313</v>
      </c>
      <c r="B202" s="45">
        <v>2925.3550006658415</v>
      </c>
      <c r="C202" s="11">
        <v>534.91746818992738</v>
      </c>
      <c r="D202" s="45">
        <v>509.70475754767739</v>
      </c>
      <c r="E202" s="45">
        <v>509.70475754767739</v>
      </c>
      <c r="F202" s="45">
        <v>534.91746818992738</v>
      </c>
      <c r="G202" s="45">
        <v>534.91746818992738</v>
      </c>
      <c r="H202" s="45">
        <v>326.56886749953236</v>
      </c>
    </row>
    <row r="203" spans="1:8">
      <c r="A203" s="34" t="s">
        <v>314</v>
      </c>
      <c r="B203" s="45">
        <v>701095.47224084067</v>
      </c>
      <c r="C203" s="11">
        <v>367274.84620806231</v>
      </c>
      <c r="D203" s="45">
        <v>109274.39085150827</v>
      </c>
      <c r="E203" s="45">
        <v>43898.664744536429</v>
      </c>
      <c r="F203" s="45">
        <v>58413.176923612133</v>
      </c>
      <c r="G203" s="45">
        <v>43152.331633581976</v>
      </c>
      <c r="H203" s="45">
        <v>130664.70370315369</v>
      </c>
    </row>
    <row r="204" spans="1:8">
      <c r="A204" s="34" t="s">
        <v>315</v>
      </c>
      <c r="B204" s="45">
        <v>2083.0406800558958</v>
      </c>
      <c r="C204" s="11">
        <v>999.10040238702368</v>
      </c>
      <c r="D204" s="45">
        <v>501.39130188455664</v>
      </c>
      <c r="E204" s="45">
        <v>0</v>
      </c>
      <c r="F204" s="45">
        <v>501.39130188455664</v>
      </c>
      <c r="G204" s="45">
        <v>0</v>
      </c>
      <c r="H204" s="45">
        <v>1002.7826037691133</v>
      </c>
    </row>
    <row r="205" spans="1:8">
      <c r="A205" s="34" t="s">
        <v>316</v>
      </c>
      <c r="B205" s="45">
        <v>2404.5174162672083</v>
      </c>
      <c r="C205" s="11">
        <v>0</v>
      </c>
      <c r="D205" s="45">
        <v>0</v>
      </c>
      <c r="E205" s="45">
        <v>1130.1104397857966</v>
      </c>
      <c r="F205" s="45">
        <v>0</v>
      </c>
      <c r="G205" s="45">
        <v>0</v>
      </c>
      <c r="H205" s="45">
        <v>339.16769442091743</v>
      </c>
    </row>
    <row r="206" spans="1:8">
      <c r="A206" s="34" t="s">
        <v>317</v>
      </c>
      <c r="B206" s="45">
        <v>0</v>
      </c>
      <c r="C206" s="11">
        <v>0</v>
      </c>
      <c r="D206" s="45">
        <v>0</v>
      </c>
      <c r="E206" s="45">
        <v>0</v>
      </c>
      <c r="F206" s="45">
        <v>0</v>
      </c>
      <c r="G206" s="45">
        <v>0</v>
      </c>
      <c r="H206" s="45">
        <v>0</v>
      </c>
    </row>
    <row r="207" spans="1:8">
      <c r="A207" s="34" t="s">
        <v>318</v>
      </c>
      <c r="B207" s="45">
        <v>24476.039118384368</v>
      </c>
      <c r="C207" s="11">
        <v>6557.2485880879885</v>
      </c>
      <c r="D207" s="45">
        <v>2799.0577350885442</v>
      </c>
      <c r="E207" s="45">
        <v>4586.6259255380055</v>
      </c>
      <c r="F207" s="45">
        <v>4132.4607839537293</v>
      </c>
      <c r="G207" s="45">
        <v>4778.421976677334</v>
      </c>
      <c r="H207" s="45">
        <v>2352.2907502899561</v>
      </c>
    </row>
    <row r="208" spans="1:8">
      <c r="A208" s="34" t="s">
        <v>319</v>
      </c>
      <c r="B208" s="45">
        <v>679.19342394424757</v>
      </c>
      <c r="C208" s="11">
        <v>679.19342394424757</v>
      </c>
      <c r="D208" s="45">
        <v>0</v>
      </c>
      <c r="E208" s="45">
        <v>0</v>
      </c>
      <c r="F208" s="45">
        <v>0</v>
      </c>
      <c r="G208" s="45">
        <v>0</v>
      </c>
      <c r="H208" s="45">
        <v>0</v>
      </c>
    </row>
    <row r="209" spans="1:8">
      <c r="A209" s="34" t="s">
        <v>320</v>
      </c>
      <c r="B209" s="45">
        <v>3936.5713036801117</v>
      </c>
      <c r="C209" s="11">
        <v>665.83001357581429</v>
      </c>
      <c r="D209" s="45">
        <v>665.83001357581429</v>
      </c>
      <c r="E209" s="45">
        <v>0</v>
      </c>
      <c r="F209" s="45">
        <v>689.64577291081548</v>
      </c>
      <c r="G209" s="45">
        <v>0</v>
      </c>
      <c r="H209" s="45">
        <v>0</v>
      </c>
    </row>
    <row r="210" spans="1:8">
      <c r="A210" s="34" t="s">
        <v>321</v>
      </c>
      <c r="B210" s="45">
        <v>341989.79620055412</v>
      </c>
      <c r="C210" s="11">
        <v>74980.067002611555</v>
      </c>
      <c r="D210" s="45">
        <v>28832.951593986683</v>
      </c>
      <c r="E210" s="45">
        <v>59896.165153314367</v>
      </c>
      <c r="F210" s="45">
        <v>147764.8658382179</v>
      </c>
      <c r="G210" s="45">
        <v>15505.091541956574</v>
      </c>
      <c r="H210" s="45">
        <v>11552.883602809445</v>
      </c>
    </row>
    <row r="211" spans="1:8">
      <c r="A211" s="34" t="s">
        <v>322</v>
      </c>
      <c r="B211" s="45">
        <v>5377.2379561727003</v>
      </c>
      <c r="C211" s="11">
        <v>1085.4746720022627</v>
      </c>
      <c r="D211" s="45">
        <v>501.39130188455664</v>
      </c>
      <c r="E211" s="45">
        <v>899.89744818405052</v>
      </c>
      <c r="F211" s="45">
        <v>447.49425088898766</v>
      </c>
      <c r="G211" s="45">
        <v>0</v>
      </c>
      <c r="H211" s="45">
        <v>2944.3715850973995</v>
      </c>
    </row>
    <row r="212" spans="1:8">
      <c r="A212" s="34" t="s">
        <v>323</v>
      </c>
      <c r="B212" s="45">
        <v>0</v>
      </c>
      <c r="C212" s="11">
        <v>0</v>
      </c>
      <c r="D212" s="45">
        <v>0</v>
      </c>
      <c r="E212" s="45">
        <v>0</v>
      </c>
      <c r="F212" s="45">
        <v>0</v>
      </c>
      <c r="G212" s="45">
        <v>0</v>
      </c>
      <c r="H212" s="45">
        <v>0</v>
      </c>
    </row>
    <row r="213" spans="1:8">
      <c r="A213" s="34" t="s">
        <v>324</v>
      </c>
      <c r="B213" s="45">
        <v>46317.694285480386</v>
      </c>
      <c r="C213" s="11">
        <v>30381.515623796797</v>
      </c>
      <c r="D213" s="45">
        <v>5287.2219360224472</v>
      </c>
      <c r="E213" s="45">
        <v>2452.4463637689896</v>
      </c>
      <c r="F213" s="45">
        <v>371.57613729925157</v>
      </c>
      <c r="G213" s="45">
        <v>2113.19422695092</v>
      </c>
      <c r="H213" s="45">
        <v>9363.1312338187763</v>
      </c>
    </row>
    <row r="214" spans="1:8">
      <c r="A214" s="34" t="s">
        <v>325</v>
      </c>
      <c r="B214" s="45">
        <v>665.83001357581429</v>
      </c>
      <c r="C214" s="11">
        <v>0</v>
      </c>
      <c r="D214" s="45">
        <v>0</v>
      </c>
      <c r="E214" s="45">
        <v>0</v>
      </c>
      <c r="F214" s="45">
        <v>665.83001357581429</v>
      </c>
      <c r="G214" s="45">
        <v>0</v>
      </c>
      <c r="H214" s="45">
        <v>0</v>
      </c>
    </row>
    <row r="215" spans="1:8">
      <c r="A215" s="34" t="s">
        <v>326</v>
      </c>
      <c r="B215" s="45">
        <v>2492.7354413042058</v>
      </c>
      <c r="C215" s="11">
        <v>661.62524510308333</v>
      </c>
      <c r="D215" s="45">
        <v>316.84737033057741</v>
      </c>
      <c r="E215" s="45">
        <v>0</v>
      </c>
      <c r="F215" s="45">
        <v>0</v>
      </c>
      <c r="G215" s="45">
        <v>561.25344733580528</v>
      </c>
      <c r="H215" s="45">
        <v>544.83351883781916</v>
      </c>
    </row>
    <row r="216" spans="1:8">
      <c r="A216" s="34" t="s">
        <v>327</v>
      </c>
      <c r="B216" s="45">
        <v>632.38973980475498</v>
      </c>
      <c r="C216" s="11">
        <v>0</v>
      </c>
      <c r="D216" s="45">
        <v>632.38973980475498</v>
      </c>
      <c r="E216" s="45">
        <v>0</v>
      </c>
      <c r="F216" s="45">
        <v>0</v>
      </c>
      <c r="G216" s="45">
        <v>0</v>
      </c>
      <c r="H216" s="45">
        <v>0</v>
      </c>
    </row>
    <row r="217" spans="1:8">
      <c r="A217" s="34" t="s">
        <v>328</v>
      </c>
      <c r="B217" s="45">
        <v>10131.233111540687</v>
      </c>
      <c r="C217" s="11">
        <v>1571.7415743588322</v>
      </c>
      <c r="D217" s="45">
        <v>0</v>
      </c>
      <c r="E217" s="45">
        <v>1266.0714826999904</v>
      </c>
      <c r="F217" s="45">
        <v>4656.4198585547556</v>
      </c>
      <c r="G217" s="45">
        <v>1899.1346018853988</v>
      </c>
      <c r="H217" s="45">
        <v>0</v>
      </c>
    </row>
    <row r="218" spans="1:8">
      <c r="A218" s="34" t="s">
        <v>329</v>
      </c>
      <c r="B218" s="45">
        <v>0</v>
      </c>
      <c r="C218" s="11">
        <v>0</v>
      </c>
      <c r="D218" s="45">
        <v>0</v>
      </c>
      <c r="E218" s="45">
        <v>0</v>
      </c>
      <c r="F218" s="45">
        <v>0</v>
      </c>
      <c r="G218" s="45">
        <v>0</v>
      </c>
      <c r="H218" s="45">
        <v>0</v>
      </c>
    </row>
    <row r="219" spans="1:8">
      <c r="A219" s="34" t="s">
        <v>330</v>
      </c>
      <c r="B219" s="45">
        <v>7503.5905637173191</v>
      </c>
      <c r="C219" s="11">
        <v>2800.1834155163297</v>
      </c>
      <c r="D219" s="45">
        <v>1325.7679755987008</v>
      </c>
      <c r="E219" s="45">
        <v>643.94138547515308</v>
      </c>
      <c r="F219" s="45">
        <v>2656.0951285017854</v>
      </c>
      <c r="G219" s="45">
        <v>1038.7319709710489</v>
      </c>
      <c r="H219" s="45">
        <v>961.12931234569896</v>
      </c>
    </row>
    <row r="220" spans="1:8">
      <c r="A220" s="34" t="s">
        <v>331</v>
      </c>
      <c r="B220" s="45">
        <v>38663.285529727327</v>
      </c>
      <c r="C220" s="11">
        <v>8201.0944105119179</v>
      </c>
      <c r="D220" s="45">
        <v>2955.9442547583412</v>
      </c>
      <c r="E220" s="45">
        <v>3069.3503697612787</v>
      </c>
      <c r="F220" s="45">
        <v>24517.306988081902</v>
      </c>
      <c r="G220" s="45">
        <v>1055.2429217055799</v>
      </c>
      <c r="H220" s="45">
        <v>590.36400879059101</v>
      </c>
    </row>
    <row r="221" spans="1:8">
      <c r="A221" s="34" t="s">
        <v>332</v>
      </c>
      <c r="B221" s="45">
        <v>86480.694668904442</v>
      </c>
      <c r="C221" s="11">
        <v>17946.585321393832</v>
      </c>
      <c r="D221" s="45">
        <v>10183.868815670934</v>
      </c>
      <c r="E221" s="45">
        <v>6167.7034095210647</v>
      </c>
      <c r="F221" s="45">
        <v>44354.289945106662</v>
      </c>
      <c r="G221" s="45">
        <v>9105.0003166807928</v>
      </c>
      <c r="H221" s="45">
        <v>3949.0294557410334</v>
      </c>
    </row>
    <row r="222" spans="1:8">
      <c r="A222" s="34" t="s">
        <v>333</v>
      </c>
      <c r="B222" s="45">
        <v>960.26360816068723</v>
      </c>
      <c r="C222" s="11">
        <v>960.26360816068723</v>
      </c>
      <c r="D222" s="45">
        <v>0</v>
      </c>
      <c r="E222" s="45">
        <v>0</v>
      </c>
      <c r="F222" s="45">
        <v>316.84737033057741</v>
      </c>
      <c r="G222" s="45">
        <v>0</v>
      </c>
      <c r="H222" s="45">
        <v>316.84737033057741</v>
      </c>
    </row>
    <row r="223" spans="1:8">
      <c r="A223" s="34" t="s">
        <v>334</v>
      </c>
      <c r="B223" s="45">
        <v>316.84737033057741</v>
      </c>
      <c r="C223" s="11">
        <v>316.84737033057741</v>
      </c>
      <c r="D223" s="45">
        <v>0</v>
      </c>
      <c r="E223" s="45">
        <v>0</v>
      </c>
      <c r="F223" s="45">
        <v>316.84737033057741</v>
      </c>
      <c r="G223" s="45">
        <v>0</v>
      </c>
      <c r="H223" s="45">
        <v>316.84737033057741</v>
      </c>
    </row>
    <row r="224" spans="1:8">
      <c r="A224" s="34" t="s">
        <v>335</v>
      </c>
      <c r="B224" s="45">
        <v>0</v>
      </c>
      <c r="C224" s="11">
        <v>0</v>
      </c>
      <c r="D224" s="45">
        <v>0</v>
      </c>
      <c r="E224" s="45">
        <v>0</v>
      </c>
      <c r="F224" s="45">
        <v>0</v>
      </c>
      <c r="G224" s="45">
        <v>0</v>
      </c>
      <c r="H224" s="45">
        <v>0</v>
      </c>
    </row>
    <row r="225" spans="1:8">
      <c r="A225" s="34" t="s">
        <v>336</v>
      </c>
      <c r="B225" s="45">
        <v>2153.4449132190334</v>
      </c>
      <c r="C225" s="11">
        <v>570.62300270883043</v>
      </c>
      <c r="D225" s="45">
        <v>0</v>
      </c>
      <c r="E225" s="45">
        <v>619.72574148449496</v>
      </c>
      <c r="F225" s="45">
        <v>963.09616902570804</v>
      </c>
      <c r="G225" s="45">
        <v>570.62300270883043</v>
      </c>
      <c r="H225" s="45">
        <v>0</v>
      </c>
    </row>
    <row r="226" spans="1:8">
      <c r="A226" s="34" t="s">
        <v>337</v>
      </c>
      <c r="B226" s="45">
        <v>3919.2851305616769</v>
      </c>
      <c r="C226" s="11">
        <v>1950.306231313112</v>
      </c>
      <c r="D226" s="45">
        <v>426.74808063064381</v>
      </c>
      <c r="E226" s="45">
        <v>578.8998484723586</v>
      </c>
      <c r="F226" s="45">
        <v>1143.9374744987363</v>
      </c>
      <c r="G226" s="45">
        <v>0</v>
      </c>
      <c r="H226" s="45">
        <v>862.51678027027879</v>
      </c>
    </row>
    <row r="227" spans="1:8">
      <c r="A227" s="34" t="s">
        <v>338</v>
      </c>
      <c r="B227" s="45">
        <v>0</v>
      </c>
      <c r="C227" s="11">
        <v>0</v>
      </c>
      <c r="D227" s="45">
        <v>0</v>
      </c>
      <c r="E227" s="45">
        <v>0</v>
      </c>
      <c r="F227" s="45">
        <v>0</v>
      </c>
      <c r="G227" s="45">
        <v>0</v>
      </c>
      <c r="H227" s="45">
        <v>0</v>
      </c>
    </row>
    <row r="228" spans="1:8">
      <c r="A228" s="34" t="s">
        <v>339</v>
      </c>
      <c r="B228" s="45">
        <v>35373.332979437226</v>
      </c>
      <c r="C228" s="11">
        <v>24038.769371440063</v>
      </c>
      <c r="D228" s="45">
        <v>4078.300867610576</v>
      </c>
      <c r="E228" s="45">
        <v>1758.3989960354929</v>
      </c>
      <c r="F228" s="45">
        <v>721.97058919550489</v>
      </c>
      <c r="G228" s="45">
        <v>398.29334411918478</v>
      </c>
      <c r="H228" s="45">
        <v>0</v>
      </c>
    </row>
    <row r="229" spans="1:8">
      <c r="A229" s="34" t="s">
        <v>340</v>
      </c>
      <c r="B229" s="45">
        <v>0</v>
      </c>
      <c r="C229" s="11">
        <v>0</v>
      </c>
      <c r="D229" s="45">
        <v>0</v>
      </c>
      <c r="E229" s="45">
        <v>0</v>
      </c>
      <c r="F229" s="45">
        <v>0</v>
      </c>
      <c r="G229" s="45">
        <v>0</v>
      </c>
      <c r="H229" s="45">
        <v>0</v>
      </c>
    </row>
    <row r="230" spans="1:8">
      <c r="A230" s="34" t="s">
        <v>341</v>
      </c>
      <c r="B230" s="45">
        <v>331.37592977776518</v>
      </c>
      <c r="C230" s="11">
        <v>0</v>
      </c>
      <c r="D230" s="45">
        <v>331.37592977776518</v>
      </c>
      <c r="E230" s="45">
        <v>0</v>
      </c>
      <c r="F230" s="45">
        <v>0</v>
      </c>
      <c r="G230" s="45">
        <v>0</v>
      </c>
      <c r="H230" s="45">
        <v>0</v>
      </c>
    </row>
    <row r="231" spans="1:8">
      <c r="A231" s="34" t="s">
        <v>342</v>
      </c>
      <c r="B231" s="45">
        <v>33781.570291469907</v>
      </c>
      <c r="C231" s="11">
        <v>4637.4107963420047</v>
      </c>
      <c r="D231" s="45">
        <v>1870.3196259935714</v>
      </c>
      <c r="E231" s="45">
        <v>2223.3531969316782</v>
      </c>
      <c r="F231" s="45">
        <v>21160.829698494323</v>
      </c>
      <c r="G231" s="45">
        <v>2832.4270129116394</v>
      </c>
      <c r="H231" s="45">
        <v>685.12223456132381</v>
      </c>
    </row>
    <row r="232" spans="1:8">
      <c r="A232" s="34" t="s">
        <v>343</v>
      </c>
      <c r="B232" s="45">
        <v>7264.3069190656515</v>
      </c>
      <c r="C232" s="11">
        <v>3051.3422555381658</v>
      </c>
      <c r="D232" s="45">
        <v>377.13204709473712</v>
      </c>
      <c r="E232" s="45">
        <v>377.13204709473712</v>
      </c>
      <c r="F232" s="45">
        <v>3881.5887337497188</v>
      </c>
      <c r="G232" s="45">
        <v>0</v>
      </c>
      <c r="H232" s="45">
        <v>0</v>
      </c>
    </row>
    <row r="233" spans="1:8">
      <c r="A233" s="34" t="s">
        <v>344</v>
      </c>
      <c r="B233" s="45">
        <v>0</v>
      </c>
      <c r="C233" s="11">
        <v>0</v>
      </c>
      <c r="D233" s="45">
        <v>0</v>
      </c>
      <c r="E233" s="45">
        <v>0</v>
      </c>
      <c r="F233" s="45">
        <v>0</v>
      </c>
      <c r="G233" s="45">
        <v>0</v>
      </c>
      <c r="H233" s="45">
        <v>0</v>
      </c>
    </row>
    <row r="234" spans="1:8">
      <c r="A234" s="34" t="s">
        <v>345</v>
      </c>
      <c r="B234" s="45">
        <v>22875.945227920958</v>
      </c>
      <c r="C234" s="11">
        <v>4661.3981866654149</v>
      </c>
      <c r="D234" s="45">
        <v>2637.1599634460067</v>
      </c>
      <c r="E234" s="45">
        <v>1575.2615121462609</v>
      </c>
      <c r="F234" s="45">
        <v>3186.1610111873533</v>
      </c>
      <c r="G234" s="45">
        <v>1542.7496306364717</v>
      </c>
      <c r="H234" s="45">
        <v>685.28348491908116</v>
      </c>
    </row>
    <row r="235" spans="1:8">
      <c r="A235" s="34" t="s">
        <v>346</v>
      </c>
      <c r="B235" s="45">
        <v>2363.9248774835369</v>
      </c>
      <c r="C235" s="11">
        <v>1113.812271271569</v>
      </c>
      <c r="D235" s="45">
        <v>785.03287112774342</v>
      </c>
      <c r="E235" s="45">
        <v>1127.3249936033578</v>
      </c>
      <c r="F235" s="45">
        <v>785.03287112774342</v>
      </c>
      <c r="G235" s="45">
        <v>734.46808417882812</v>
      </c>
      <c r="H235" s="45">
        <v>377.13204709473712</v>
      </c>
    </row>
    <row r="236" spans="1:8">
      <c r="A236" s="34" t="s">
        <v>347</v>
      </c>
      <c r="B236" s="45">
        <v>9684.1168300402187</v>
      </c>
      <c r="C236" s="11">
        <v>1668.1400952888484</v>
      </c>
      <c r="D236" s="45">
        <v>304.79388713216304</v>
      </c>
      <c r="E236" s="45">
        <v>902.06491057461449</v>
      </c>
      <c r="F236" s="45">
        <v>310.16031280384686</v>
      </c>
      <c r="G236" s="45">
        <v>0</v>
      </c>
      <c r="H236" s="45">
        <v>0</v>
      </c>
    </row>
    <row r="237" spans="1:8">
      <c r="A237" s="34" t="s">
        <v>348</v>
      </c>
      <c r="B237" s="45">
        <v>0</v>
      </c>
      <c r="C237" s="11">
        <v>0</v>
      </c>
      <c r="D237" s="45">
        <v>0</v>
      </c>
      <c r="E237" s="45">
        <v>0</v>
      </c>
      <c r="F237" s="45">
        <v>0</v>
      </c>
      <c r="G237" s="45">
        <v>0</v>
      </c>
      <c r="H237" s="45">
        <v>0</v>
      </c>
    </row>
    <row r="238" spans="1:8">
      <c r="A238" s="34" t="s">
        <v>349</v>
      </c>
      <c r="B238" s="45">
        <v>6389.5945042751782</v>
      </c>
      <c r="C238" s="11">
        <v>1213.1064517321081</v>
      </c>
      <c r="D238" s="45">
        <v>0</v>
      </c>
      <c r="E238" s="45">
        <v>619.72574148449496</v>
      </c>
      <c r="F238" s="45">
        <v>3833.5035456956384</v>
      </c>
      <c r="G238" s="45">
        <v>1782.6367082866552</v>
      </c>
      <c r="H238" s="45">
        <v>565.03762602637778</v>
      </c>
    </row>
    <row r="239" spans="1:8">
      <c r="A239" s="34" t="s">
        <v>350</v>
      </c>
      <c r="B239" s="45">
        <v>225924.1416251866</v>
      </c>
      <c r="C239" s="11">
        <v>129816.92092273974</v>
      </c>
      <c r="D239" s="45">
        <v>30734.336625072792</v>
      </c>
      <c r="E239" s="45">
        <v>10204.286161082586</v>
      </c>
      <c r="F239" s="45">
        <v>5691.7359950612199</v>
      </c>
      <c r="G239" s="45">
        <v>9742.9143311722273</v>
      </c>
      <c r="H239" s="45">
        <v>54018.569916504945</v>
      </c>
    </row>
    <row r="240" spans="1:8">
      <c r="A240" s="34" t="s">
        <v>351</v>
      </c>
      <c r="B240" s="45">
        <v>4500.4032208870231</v>
      </c>
      <c r="C240" s="11">
        <v>1107.4664040046541</v>
      </c>
      <c r="D240" s="45">
        <v>682.02941766321101</v>
      </c>
      <c r="E240" s="45">
        <v>1105.9741495835772</v>
      </c>
      <c r="F240" s="45">
        <v>1604.933249635581</v>
      </c>
      <c r="G240" s="45">
        <v>0</v>
      </c>
      <c r="H240" s="45">
        <v>0</v>
      </c>
    </row>
    <row r="241" spans="1:8">
      <c r="A241" s="34" t="s">
        <v>352</v>
      </c>
      <c r="B241" s="45">
        <v>620.83633438509821</v>
      </c>
      <c r="C241" s="11">
        <v>0</v>
      </c>
      <c r="D241" s="45">
        <v>0</v>
      </c>
      <c r="E241" s="45">
        <v>0</v>
      </c>
      <c r="F241" s="45">
        <v>0</v>
      </c>
      <c r="G241" s="45">
        <v>0</v>
      </c>
      <c r="H241" s="45">
        <v>620.83633438509821</v>
      </c>
    </row>
    <row r="242" spans="1:8">
      <c r="A242" s="34" t="s">
        <v>353</v>
      </c>
      <c r="B242" s="45">
        <v>0</v>
      </c>
      <c r="C242" s="11">
        <v>0</v>
      </c>
      <c r="D242" s="45">
        <v>0</v>
      </c>
      <c r="E242" s="45">
        <v>0</v>
      </c>
      <c r="F242" s="45">
        <v>0</v>
      </c>
      <c r="G242" s="45">
        <v>0</v>
      </c>
      <c r="H242" s="45">
        <v>0</v>
      </c>
    </row>
    <row r="243" spans="1:8">
      <c r="A243" s="34" t="s">
        <v>354</v>
      </c>
      <c r="B243" s="45">
        <v>24667.727857673744</v>
      </c>
      <c r="C243" s="11">
        <v>16772.469301225563</v>
      </c>
      <c r="D243" s="45">
        <v>3787.0275704166688</v>
      </c>
      <c r="E243" s="45">
        <v>0</v>
      </c>
      <c r="F243" s="45">
        <v>1121.0995953110694</v>
      </c>
      <c r="G243" s="45">
        <v>881.42201125896122</v>
      </c>
      <c r="H243" s="45">
        <v>4200.8540754414144</v>
      </c>
    </row>
    <row r="244" spans="1:8">
      <c r="A244" s="34" t="s">
        <v>355</v>
      </c>
      <c r="B244" s="45">
        <v>987.2625106615161</v>
      </c>
      <c r="C244" s="11">
        <v>0</v>
      </c>
      <c r="D244" s="45">
        <v>0</v>
      </c>
      <c r="E244" s="45">
        <v>337.27000350004141</v>
      </c>
      <c r="F244" s="45">
        <v>0</v>
      </c>
      <c r="G244" s="45">
        <v>0</v>
      </c>
      <c r="H244" s="45">
        <v>337.27000350004141</v>
      </c>
    </row>
    <row r="245" spans="1:8">
      <c r="A245" s="34" t="s">
        <v>356</v>
      </c>
      <c r="B245" s="45">
        <v>1491.2080930269656</v>
      </c>
      <c r="C245" s="11">
        <v>0</v>
      </c>
      <c r="D245" s="45">
        <v>679.19342394424757</v>
      </c>
      <c r="E245" s="45">
        <v>331.37592977776518</v>
      </c>
      <c r="F245" s="45">
        <v>1010.5693537220127</v>
      </c>
      <c r="G245" s="45">
        <v>812.01466908271811</v>
      </c>
      <c r="H245" s="45">
        <v>1010.5693537220127</v>
      </c>
    </row>
    <row r="246" spans="1:8">
      <c r="A246" s="34" t="s">
        <v>357</v>
      </c>
      <c r="B246" s="45">
        <v>10349.47224453974</v>
      </c>
      <c r="C246" s="11">
        <v>1582.2946828241184</v>
      </c>
      <c r="D246" s="45">
        <v>642.06389063220445</v>
      </c>
      <c r="E246" s="45">
        <v>3453.1993312099708</v>
      </c>
      <c r="F246" s="45">
        <v>5058.1949009735017</v>
      </c>
      <c r="G246" s="45">
        <v>0</v>
      </c>
      <c r="H246" s="45">
        <v>0</v>
      </c>
    </row>
    <row r="247" spans="1:8">
      <c r="A247" s="34" t="s">
        <v>358</v>
      </c>
      <c r="B247" s="45">
        <v>0</v>
      </c>
      <c r="C247" s="11">
        <v>0</v>
      </c>
      <c r="D247" s="45">
        <v>0</v>
      </c>
      <c r="E247" s="45">
        <v>0</v>
      </c>
      <c r="F247" s="45">
        <v>0</v>
      </c>
      <c r="G247" s="45">
        <v>0</v>
      </c>
      <c r="H247" s="45">
        <v>0</v>
      </c>
    </row>
    <row r="248" spans="1:8">
      <c r="A248" s="34" t="s">
        <v>359</v>
      </c>
      <c r="B248" s="45">
        <v>3243.0040615647149</v>
      </c>
      <c r="C248" s="11">
        <v>1796.3907475611429</v>
      </c>
      <c r="D248" s="45">
        <v>338.03864324938007</v>
      </c>
      <c r="E248" s="45">
        <v>0</v>
      </c>
      <c r="F248" s="45">
        <v>1108.5746707541916</v>
      </c>
      <c r="G248" s="45">
        <v>0</v>
      </c>
      <c r="H248" s="45">
        <v>0</v>
      </c>
    </row>
    <row r="249" spans="1:8">
      <c r="A249" s="34" t="s">
        <v>360</v>
      </c>
      <c r="B249" s="45">
        <v>1724.3632170191499</v>
      </c>
      <c r="C249" s="11">
        <v>1259.1359257473171</v>
      </c>
      <c r="D249" s="45">
        <v>0</v>
      </c>
      <c r="E249" s="45">
        <v>520.99414010604744</v>
      </c>
      <c r="F249" s="45">
        <v>465.22729127183288</v>
      </c>
      <c r="G249" s="45">
        <v>0</v>
      </c>
      <c r="H249" s="45">
        <v>520.99414010604744</v>
      </c>
    </row>
    <row r="250" spans="1:8">
      <c r="A250" s="34" t="s">
        <v>361</v>
      </c>
      <c r="B250" s="45">
        <v>2229.6797191282913</v>
      </c>
      <c r="C250" s="11">
        <v>565.03762602637778</v>
      </c>
      <c r="D250" s="45">
        <v>0</v>
      </c>
      <c r="E250" s="45">
        <v>0</v>
      </c>
      <c r="F250" s="45">
        <v>0</v>
      </c>
      <c r="G250" s="45">
        <v>951.93788077095155</v>
      </c>
      <c r="H250" s="45">
        <v>565.03762602637778</v>
      </c>
    </row>
    <row r="251" spans="1:8">
      <c r="A251" s="34" t="s">
        <v>362</v>
      </c>
      <c r="B251" s="45">
        <v>497.70910050246704</v>
      </c>
      <c r="C251" s="11">
        <v>0</v>
      </c>
      <c r="D251" s="45">
        <v>0</v>
      </c>
      <c r="E251" s="45">
        <v>497.70910050246704</v>
      </c>
      <c r="F251" s="45">
        <v>497.70910050246704</v>
      </c>
      <c r="G251" s="45">
        <v>0</v>
      </c>
      <c r="H251" s="45">
        <v>0</v>
      </c>
    </row>
    <row r="252" spans="1:8">
      <c r="A252" s="34" t="s">
        <v>363</v>
      </c>
      <c r="B252" s="45">
        <v>777.27343760055021</v>
      </c>
      <c r="C252" s="11">
        <v>777.27343760055021</v>
      </c>
      <c r="D252" s="45">
        <v>0</v>
      </c>
      <c r="E252" s="45">
        <v>0</v>
      </c>
      <c r="F252" s="45">
        <v>0</v>
      </c>
      <c r="G252" s="45">
        <v>0</v>
      </c>
      <c r="H252" s="45">
        <v>0</v>
      </c>
    </row>
    <row r="253" spans="1:8">
      <c r="A253" s="34" t="s">
        <v>364</v>
      </c>
      <c r="B253" s="45">
        <v>5928.5501438560404</v>
      </c>
      <c r="C253" s="11">
        <v>2506.2962290005412</v>
      </c>
      <c r="D253" s="45">
        <v>527.03706337101187</v>
      </c>
      <c r="E253" s="45">
        <v>599.1029454800896</v>
      </c>
      <c r="F253" s="45">
        <v>1175.4467654576617</v>
      </c>
      <c r="G253" s="45">
        <v>1631.6363257127205</v>
      </c>
      <c r="H253" s="45">
        <v>1197.4103172277973</v>
      </c>
    </row>
    <row r="254" spans="1:8">
      <c r="A254" s="34" t="s">
        <v>365</v>
      </c>
      <c r="B254" s="45">
        <v>615.57059610743079</v>
      </c>
      <c r="C254" s="11">
        <v>615.57059610743079</v>
      </c>
      <c r="D254" s="45">
        <v>0</v>
      </c>
      <c r="E254" s="45">
        <v>0</v>
      </c>
      <c r="F254" s="45">
        <v>0</v>
      </c>
      <c r="G254" s="45">
        <v>0</v>
      </c>
      <c r="H254" s="45">
        <v>0</v>
      </c>
    </row>
    <row r="255" spans="1:8">
      <c r="A255" s="34" t="s">
        <v>366</v>
      </c>
      <c r="B255" s="45">
        <v>14746.47178337508</v>
      </c>
      <c r="C255" s="11">
        <v>2121.1130754920632</v>
      </c>
      <c r="D255" s="45">
        <v>505.10580668779107</v>
      </c>
      <c r="E255" s="45">
        <v>2464.9857452245942</v>
      </c>
      <c r="F255" s="45">
        <v>7223.1430070129618</v>
      </c>
      <c r="G255" s="45">
        <v>0</v>
      </c>
      <c r="H255" s="45">
        <v>539.70716762093195</v>
      </c>
    </row>
    <row r="256" spans="1:8">
      <c r="A256" s="34" t="s">
        <v>367</v>
      </c>
      <c r="B256" s="45">
        <v>6479.9116296636385</v>
      </c>
      <c r="C256" s="11">
        <v>0</v>
      </c>
      <c r="D256" s="45">
        <v>565.03762602637778</v>
      </c>
      <c r="E256" s="45">
        <v>339.16769442091743</v>
      </c>
      <c r="F256" s="45">
        <v>3043.7186941469022</v>
      </c>
      <c r="G256" s="45">
        <v>676.36145298876716</v>
      </c>
      <c r="H256" s="45">
        <v>421.95141979607035</v>
      </c>
    </row>
    <row r="257" spans="1:8">
      <c r="A257" s="34" t="s">
        <v>368</v>
      </c>
      <c r="B257" s="45">
        <v>0</v>
      </c>
      <c r="C257" s="11">
        <v>0</v>
      </c>
      <c r="D257" s="45">
        <v>0</v>
      </c>
      <c r="E257" s="45">
        <v>0</v>
      </c>
      <c r="F257" s="45">
        <v>0</v>
      </c>
      <c r="G257" s="45">
        <v>0</v>
      </c>
      <c r="H257" s="45">
        <v>0</v>
      </c>
    </row>
    <row r="258" spans="1:8">
      <c r="A258" s="34" t="s">
        <v>369</v>
      </c>
      <c r="B258" s="45">
        <v>0</v>
      </c>
      <c r="C258" s="11">
        <v>0</v>
      </c>
      <c r="D258" s="45">
        <v>0</v>
      </c>
      <c r="E258" s="45">
        <v>0</v>
      </c>
      <c r="F258" s="45">
        <v>0</v>
      </c>
      <c r="G258" s="45">
        <v>0</v>
      </c>
      <c r="H258" s="45">
        <v>0</v>
      </c>
    </row>
    <row r="259" spans="1:8">
      <c r="A259" s="34" t="s">
        <v>370</v>
      </c>
      <c r="B259" s="45">
        <v>470.01779546800935</v>
      </c>
      <c r="C259" s="11">
        <v>470.01779546800935</v>
      </c>
      <c r="D259" s="45">
        <v>0</v>
      </c>
      <c r="E259" s="45">
        <v>0</v>
      </c>
      <c r="F259" s="45">
        <v>0</v>
      </c>
      <c r="G259" s="45">
        <v>0</v>
      </c>
      <c r="H259" s="45">
        <v>0</v>
      </c>
    </row>
    <row r="260" spans="1:8">
      <c r="A260" s="34" t="s">
        <v>371</v>
      </c>
      <c r="B260" s="45">
        <v>6226.886642156378</v>
      </c>
      <c r="C260" s="11">
        <v>0</v>
      </c>
      <c r="D260" s="45">
        <v>1392.9795319972327</v>
      </c>
      <c r="E260" s="45">
        <v>1656.4054482261936</v>
      </c>
      <c r="F260" s="45">
        <v>426.74808063064381</v>
      </c>
      <c r="G260" s="45">
        <v>426.74808063064381</v>
      </c>
      <c r="H260" s="45">
        <v>2086.8612903091243</v>
      </c>
    </row>
    <row r="261" spans="1:8">
      <c r="A261" s="34" t="s">
        <v>372</v>
      </c>
      <c r="B261" s="45">
        <v>5501.9759899614974</v>
      </c>
      <c r="C261" s="11">
        <v>464.22343615109395</v>
      </c>
      <c r="D261" s="45">
        <v>372.86038481303859</v>
      </c>
      <c r="E261" s="45">
        <v>0</v>
      </c>
      <c r="F261" s="45">
        <v>0</v>
      </c>
      <c r="G261" s="45">
        <v>0</v>
      </c>
      <c r="H261" s="45">
        <v>4778.8996404529689</v>
      </c>
    </row>
    <row r="262" spans="1:8">
      <c r="A262" s="34" t="s">
        <v>373</v>
      </c>
      <c r="B262" s="45">
        <v>80987.448892205808</v>
      </c>
      <c r="C262" s="11">
        <v>52230.548188014269</v>
      </c>
      <c r="D262" s="45">
        <v>13502.517836453855</v>
      </c>
      <c r="E262" s="45">
        <v>6840.8327983369472</v>
      </c>
      <c r="F262" s="45">
        <v>1744.0526414343224</v>
      </c>
      <c r="G262" s="45">
        <v>4606.138151358221</v>
      </c>
      <c r="H262" s="45">
        <v>12694.763820392058</v>
      </c>
    </row>
    <row r="263" spans="1:8">
      <c r="A263" s="34" t="s">
        <v>374</v>
      </c>
      <c r="B263" s="45">
        <v>30148.24260958868</v>
      </c>
      <c r="C263" s="11">
        <v>16993.28815418771</v>
      </c>
      <c r="D263" s="45">
        <v>3707.239407647502</v>
      </c>
      <c r="E263" s="45">
        <v>1470.4848257440935</v>
      </c>
      <c r="F263" s="45">
        <v>322.8982239334004</v>
      </c>
      <c r="G263" s="45">
        <v>1953.9551814411711</v>
      </c>
      <c r="H263" s="45">
        <v>10159.716754245334</v>
      </c>
    </row>
    <row r="264" spans="1:8">
      <c r="A264" s="34" t="s">
        <v>375</v>
      </c>
      <c r="B264" s="45">
        <v>147103.68547968296</v>
      </c>
      <c r="C264" s="11">
        <v>15667.798245734828</v>
      </c>
      <c r="D264" s="45">
        <v>13278.960824209991</v>
      </c>
      <c r="E264" s="45">
        <v>10061.496983412646</v>
      </c>
      <c r="F264" s="45">
        <v>5167.2662928067266</v>
      </c>
      <c r="G264" s="45">
        <v>12711.503935734403</v>
      </c>
      <c r="H264" s="45">
        <v>42484.624676464176</v>
      </c>
    </row>
    <row r="265" spans="1:8">
      <c r="A265" s="34" t="s">
        <v>376</v>
      </c>
      <c r="B265" s="45">
        <v>4914.8445844287899</v>
      </c>
      <c r="C265" s="11">
        <v>3473.5629443365287</v>
      </c>
      <c r="D265" s="45">
        <v>1007.8206672656197</v>
      </c>
      <c r="E265" s="45">
        <v>0</v>
      </c>
      <c r="F265" s="45">
        <v>0</v>
      </c>
      <c r="G265" s="45">
        <v>0</v>
      </c>
      <c r="H265" s="45">
        <v>433.46097282664135</v>
      </c>
    </row>
    <row r="266" spans="1:8">
      <c r="A266" s="34" t="s">
        <v>377</v>
      </c>
      <c r="B266" s="45">
        <v>16034.771952668851</v>
      </c>
      <c r="C266" s="11">
        <v>470.01779546800935</v>
      </c>
      <c r="D266" s="45">
        <v>0</v>
      </c>
      <c r="E266" s="45">
        <v>796.58666296754177</v>
      </c>
      <c r="F266" s="45">
        <v>581.66676546531835</v>
      </c>
      <c r="G266" s="45">
        <v>598.30737174770775</v>
      </c>
      <c r="H266" s="45">
        <v>1369.3856235908906</v>
      </c>
    </row>
    <row r="267" spans="1:8">
      <c r="A267" s="34" t="s">
        <v>378</v>
      </c>
      <c r="B267" s="45">
        <v>13315.669582085051</v>
      </c>
      <c r="C267" s="11">
        <v>3437.6039626473544</v>
      </c>
      <c r="D267" s="45">
        <v>2845.9430944814794</v>
      </c>
      <c r="E267" s="45">
        <v>581.66676546531835</v>
      </c>
      <c r="F267" s="45">
        <v>0</v>
      </c>
      <c r="G267" s="45">
        <v>0</v>
      </c>
      <c r="H267" s="45">
        <v>706.31552898953873</v>
      </c>
    </row>
    <row r="268" spans="1:8">
      <c r="A268" s="34" t="s">
        <v>379</v>
      </c>
      <c r="B268" s="45">
        <v>0</v>
      </c>
      <c r="C268" s="11">
        <v>0</v>
      </c>
      <c r="D268" s="45">
        <v>0</v>
      </c>
      <c r="E268" s="45">
        <v>0</v>
      </c>
      <c r="F268" s="45">
        <v>0</v>
      </c>
      <c r="G268" s="45">
        <v>0</v>
      </c>
      <c r="H268" s="45">
        <v>0</v>
      </c>
    </row>
    <row r="269" spans="1:8">
      <c r="A269" s="34" t="s">
        <v>380</v>
      </c>
      <c r="B269" s="45">
        <v>1422.7658269207195</v>
      </c>
      <c r="C269" s="11">
        <v>395.52108101114419</v>
      </c>
      <c r="D269" s="45">
        <v>0</v>
      </c>
      <c r="E269" s="45">
        <v>0</v>
      </c>
      <c r="F269" s="45">
        <v>0</v>
      </c>
      <c r="G269" s="45">
        <v>0</v>
      </c>
      <c r="H269" s="45">
        <v>0</v>
      </c>
    </row>
    <row r="270" spans="1:8">
      <c r="A270" s="34" t="s">
        <v>381</v>
      </c>
      <c r="B270" s="45">
        <v>1899.2515135337599</v>
      </c>
      <c r="C270" s="11">
        <v>1401.5424130312931</v>
      </c>
      <c r="D270" s="45">
        <v>497.70910050246704</v>
      </c>
      <c r="E270" s="45">
        <v>490.13454537033851</v>
      </c>
      <c r="F270" s="45">
        <v>0</v>
      </c>
      <c r="G270" s="45">
        <v>0</v>
      </c>
      <c r="H270" s="45">
        <v>987.84364587280561</v>
      </c>
    </row>
    <row r="271" spans="1:8">
      <c r="A271" s="34" t="s">
        <v>382</v>
      </c>
      <c r="B271" s="45">
        <v>21871.432938004094</v>
      </c>
      <c r="C271" s="11">
        <v>3174.7520110387131</v>
      </c>
      <c r="D271" s="45">
        <v>1296.4738166826651</v>
      </c>
      <c r="E271" s="45">
        <v>1344.7325265503366</v>
      </c>
      <c r="F271" s="45">
        <v>4659.0849711025521</v>
      </c>
      <c r="G271" s="45">
        <v>3628.657981186002</v>
      </c>
      <c r="H271" s="45">
        <v>1782.7624484974235</v>
      </c>
    </row>
    <row r="272" spans="1:8">
      <c r="A272" s="34" t="s">
        <v>383</v>
      </c>
      <c r="B272" s="45">
        <v>0</v>
      </c>
      <c r="C272" s="11">
        <v>0</v>
      </c>
      <c r="D272" s="45">
        <v>0</v>
      </c>
      <c r="E272" s="45">
        <v>0</v>
      </c>
      <c r="F272" s="45">
        <v>0</v>
      </c>
      <c r="G272" s="45">
        <v>0</v>
      </c>
      <c r="H272" s="45">
        <v>0</v>
      </c>
    </row>
    <row r="273" spans="1:8">
      <c r="A273" s="34" t="s">
        <v>384</v>
      </c>
      <c r="B273" s="45">
        <v>9302.5885983130174</v>
      </c>
      <c r="C273" s="11">
        <v>909.86029921839736</v>
      </c>
      <c r="D273" s="45">
        <v>360.2208280690495</v>
      </c>
      <c r="E273" s="45">
        <v>360.2208280690495</v>
      </c>
      <c r="F273" s="45">
        <v>3991.2991749491521</v>
      </c>
      <c r="G273" s="45">
        <v>1138.238298862077</v>
      </c>
      <c r="H273" s="45">
        <v>758.51417218823428</v>
      </c>
    </row>
    <row r="274" spans="1:8">
      <c r="A274" s="34" t="s">
        <v>385</v>
      </c>
      <c r="B274" s="45">
        <v>0</v>
      </c>
      <c r="C274" s="11">
        <v>0</v>
      </c>
      <c r="D274" s="45">
        <v>0</v>
      </c>
      <c r="E274" s="45">
        <v>0</v>
      </c>
      <c r="F274" s="45">
        <v>0</v>
      </c>
      <c r="G274" s="45">
        <v>0</v>
      </c>
      <c r="H274" s="45">
        <v>0</v>
      </c>
    </row>
    <row r="275" spans="1:8">
      <c r="A275" s="34" t="s">
        <v>386</v>
      </c>
      <c r="B275" s="45">
        <v>10137.760164135809</v>
      </c>
      <c r="C275" s="11">
        <v>5278.3725214217484</v>
      </c>
      <c r="D275" s="45">
        <v>1137.9590020592816</v>
      </c>
      <c r="E275" s="45">
        <v>339.16769442091743</v>
      </c>
      <c r="F275" s="45">
        <v>0</v>
      </c>
      <c r="G275" s="45">
        <v>1101.5313351079242</v>
      </c>
      <c r="H275" s="45">
        <v>3039.3992229915684</v>
      </c>
    </row>
    <row r="276" spans="1:8">
      <c r="A276" s="34" t="s">
        <v>387</v>
      </c>
      <c r="B276" s="45">
        <v>6991.7892381830325</v>
      </c>
      <c r="C276" s="11">
        <v>1772.6097117913307</v>
      </c>
      <c r="D276" s="45">
        <v>940.77741879902942</v>
      </c>
      <c r="E276" s="45">
        <v>1504.1101594453901</v>
      </c>
      <c r="F276" s="45">
        <v>2163.2796769876081</v>
      </c>
      <c r="G276" s="45">
        <v>797.48610963553028</v>
      </c>
      <c r="H276" s="45">
        <v>316.84737033057741</v>
      </c>
    </row>
    <row r="277" spans="1:8">
      <c r="A277" s="34" t="s">
        <v>388</v>
      </c>
      <c r="B277" s="45">
        <v>2587.6629007261367</v>
      </c>
      <c r="C277" s="11">
        <v>1127.9567361377094</v>
      </c>
      <c r="D277" s="45">
        <v>1082.5741174936902</v>
      </c>
      <c r="E277" s="45">
        <v>574.89970585011554</v>
      </c>
      <c r="F277" s="45">
        <v>377.13204709473712</v>
      </c>
      <c r="G277" s="45">
        <v>0</v>
      </c>
      <c r="H277" s="45">
        <v>0</v>
      </c>
    </row>
    <row r="278" spans="1:8">
      <c r="A278" s="34" t="s">
        <v>389</v>
      </c>
      <c r="B278" s="45">
        <v>22864.400897713233</v>
      </c>
      <c r="C278" s="11">
        <v>3299.6544299770194</v>
      </c>
      <c r="D278" s="45">
        <v>2407.4684226496652</v>
      </c>
      <c r="E278" s="45">
        <v>0</v>
      </c>
      <c r="F278" s="45">
        <v>665.86130863694439</v>
      </c>
      <c r="G278" s="45">
        <v>5938.3231227138485</v>
      </c>
      <c r="H278" s="45">
        <v>2532.232870899822</v>
      </c>
    </row>
    <row r="279" spans="1:8">
      <c r="A279" s="34" t="s">
        <v>390</v>
      </c>
      <c r="B279" s="45">
        <v>1136925.9838061805</v>
      </c>
      <c r="C279" s="11">
        <v>148432.02918238583</v>
      </c>
      <c r="D279" s="45">
        <v>81828.145048054124</v>
      </c>
      <c r="E279" s="45">
        <v>417999.42274687032</v>
      </c>
      <c r="F279" s="45">
        <v>266535.66467215988</v>
      </c>
      <c r="G279" s="45">
        <v>125176.18192147731</v>
      </c>
      <c r="H279" s="45">
        <v>116587.32997754254</v>
      </c>
    </row>
    <row r="280" spans="1:8">
      <c r="A280" s="34" t="s">
        <v>391</v>
      </c>
      <c r="B280" s="45">
        <v>0</v>
      </c>
      <c r="C280" s="11">
        <v>0</v>
      </c>
      <c r="D280" s="45">
        <v>0</v>
      </c>
      <c r="E280" s="45">
        <v>0</v>
      </c>
      <c r="F280" s="45">
        <v>0</v>
      </c>
      <c r="G280" s="45">
        <v>0</v>
      </c>
      <c r="H280" s="45">
        <v>0</v>
      </c>
    </row>
    <row r="281" spans="1:8">
      <c r="A281" s="34" t="s">
        <v>392</v>
      </c>
      <c r="B281" s="45">
        <v>4648.8007196790822</v>
      </c>
      <c r="C281" s="11">
        <v>1563.5515001334363</v>
      </c>
      <c r="D281" s="45">
        <v>407.90082403300636</v>
      </c>
      <c r="E281" s="45">
        <v>1669.7181015749584</v>
      </c>
      <c r="F281" s="45">
        <v>978.52382674183673</v>
      </c>
      <c r="G281" s="45">
        <v>2208.7318176311037</v>
      </c>
      <c r="H281" s="45">
        <v>407.90082403300636</v>
      </c>
    </row>
    <row r="282" spans="1:8">
      <c r="A282" s="34" t="s">
        <v>393</v>
      </c>
      <c r="B282" s="45">
        <v>21473.125331189942</v>
      </c>
      <c r="C282" s="11">
        <v>6657.173390066896</v>
      </c>
      <c r="D282" s="45">
        <v>4386.7507411236393</v>
      </c>
      <c r="E282" s="45">
        <v>2730.5563505796904</v>
      </c>
      <c r="F282" s="45">
        <v>2812.0743760072191</v>
      </c>
      <c r="G282" s="45">
        <v>2771.869537777402</v>
      </c>
      <c r="H282" s="45">
        <v>6377.8604582245562</v>
      </c>
    </row>
    <row r="283" spans="1:8">
      <c r="A283" s="34" t="s">
        <v>394</v>
      </c>
      <c r="B283" s="45">
        <v>39919.589224886397</v>
      </c>
      <c r="C283" s="11">
        <v>10095.524826476372</v>
      </c>
      <c r="D283" s="45">
        <v>3160.7289514836657</v>
      </c>
      <c r="E283" s="45">
        <v>3055.3133384394309</v>
      </c>
      <c r="F283" s="45">
        <v>21790.229394736598</v>
      </c>
      <c r="G283" s="45">
        <v>2215.6459652566195</v>
      </c>
      <c r="H283" s="45">
        <v>433.34033282343768</v>
      </c>
    </row>
    <row r="284" spans="1:8">
      <c r="A284" s="34" t="s">
        <v>395</v>
      </c>
      <c r="B284" s="45">
        <v>11544.791265864927</v>
      </c>
      <c r="C284" s="11">
        <v>9961.1498065625565</v>
      </c>
      <c r="D284" s="45">
        <v>2216.0311991071248</v>
      </c>
      <c r="E284" s="45">
        <v>721.54404410050302</v>
      </c>
      <c r="F284" s="45">
        <v>721.54404410050302</v>
      </c>
      <c r="G284" s="45">
        <v>594.21298151128178</v>
      </c>
      <c r="H284" s="45">
        <v>0</v>
      </c>
    </row>
    <row r="285" spans="1:8">
      <c r="A285" s="34" t="s">
        <v>396</v>
      </c>
      <c r="B285" s="45">
        <v>192261.59191568647</v>
      </c>
      <c r="C285" s="11">
        <v>77584.59285301718</v>
      </c>
      <c r="D285" s="45">
        <v>20462.098784498303</v>
      </c>
      <c r="E285" s="45">
        <v>12094.80016849258</v>
      </c>
      <c r="F285" s="45">
        <v>25309.582426069461</v>
      </c>
      <c r="G285" s="45">
        <v>51070.531400428772</v>
      </c>
      <c r="H285" s="45">
        <v>29386.574837863522</v>
      </c>
    </row>
    <row r="286" spans="1:8">
      <c r="A286" s="34" t="s">
        <v>397</v>
      </c>
      <c r="B286" s="45">
        <v>4748.7936789612759</v>
      </c>
      <c r="C286" s="11">
        <v>371.57613729925157</v>
      </c>
      <c r="D286" s="45">
        <v>0</v>
      </c>
      <c r="E286" s="45">
        <v>673.11464143051285</v>
      </c>
      <c r="F286" s="45">
        <v>1102.5797563164811</v>
      </c>
      <c r="G286" s="45">
        <v>372.86038481303859</v>
      </c>
      <c r="H286" s="45">
        <v>0</v>
      </c>
    </row>
    <row r="287" spans="1:8">
      <c r="A287" s="34" t="s">
        <v>398</v>
      </c>
      <c r="B287" s="45">
        <v>0</v>
      </c>
      <c r="C287" s="11">
        <v>0</v>
      </c>
      <c r="D287" s="45">
        <v>0</v>
      </c>
      <c r="E287" s="45">
        <v>0</v>
      </c>
      <c r="F287" s="45">
        <v>0</v>
      </c>
      <c r="G287" s="45">
        <v>0</v>
      </c>
      <c r="H287" s="45">
        <v>0</v>
      </c>
    </row>
    <row r="288" spans="1:8">
      <c r="A288" s="34" t="s">
        <v>399</v>
      </c>
      <c r="B288" s="45">
        <v>46063.706243045628</v>
      </c>
      <c r="C288" s="11">
        <v>25540.501629785555</v>
      </c>
      <c r="D288" s="45">
        <v>5215.5161503582231</v>
      </c>
      <c r="E288" s="45">
        <v>964.38388802830309</v>
      </c>
      <c r="F288" s="45">
        <v>1449.8951278688446</v>
      </c>
      <c r="G288" s="45">
        <v>1176.0933451556793</v>
      </c>
      <c r="H288" s="45">
        <v>11866.308487540784</v>
      </c>
    </row>
    <row r="289" spans="1:8">
      <c r="A289" s="34" t="s">
        <v>400</v>
      </c>
      <c r="B289" s="45">
        <v>1371.6754510313579</v>
      </c>
      <c r="C289" s="11">
        <v>0</v>
      </c>
      <c r="D289" s="45">
        <v>0</v>
      </c>
      <c r="E289" s="45">
        <v>0</v>
      </c>
      <c r="F289" s="45">
        <v>0</v>
      </c>
      <c r="G289" s="45">
        <v>0</v>
      </c>
      <c r="H289" s="45">
        <v>434.10663199992695</v>
      </c>
    </row>
    <row r="290" spans="1:8">
      <c r="A290" s="34" t="s">
        <v>401</v>
      </c>
      <c r="B290" s="45">
        <v>1676.4825620084457</v>
      </c>
      <c r="C290" s="11">
        <v>927.77437761445719</v>
      </c>
      <c r="D290" s="45">
        <v>912.04951528466449</v>
      </c>
      <c r="E290" s="45">
        <v>392.85690942452982</v>
      </c>
      <c r="F290" s="45">
        <v>0</v>
      </c>
      <c r="G290" s="45">
        <v>912.04951528466449</v>
      </c>
      <c r="H290" s="45">
        <v>534.91746818992738</v>
      </c>
    </row>
    <row r="291" spans="1:8">
      <c r="A291" s="34" t="s">
        <v>402</v>
      </c>
      <c r="B291" s="45">
        <v>17948.89799841581</v>
      </c>
      <c r="C291" s="11">
        <v>1487.7340311170697</v>
      </c>
      <c r="D291" s="45">
        <v>2458.2584753178835</v>
      </c>
      <c r="E291" s="45">
        <v>1051.2617420137833</v>
      </c>
      <c r="F291" s="45">
        <v>708.67956379031079</v>
      </c>
      <c r="G291" s="45">
        <v>2279.9326632753791</v>
      </c>
      <c r="H291" s="45">
        <v>2024.1491249536414</v>
      </c>
    </row>
    <row r="292" spans="1:8">
      <c r="A292" s="34" t="s">
        <v>403</v>
      </c>
      <c r="B292" s="45">
        <v>35646.912086422686</v>
      </c>
      <c r="C292" s="11">
        <v>8594.0882915713264</v>
      </c>
      <c r="D292" s="45">
        <v>5676.8221972606561</v>
      </c>
      <c r="E292" s="45">
        <v>3429.6387971966305</v>
      </c>
      <c r="F292" s="45">
        <v>2477.3965928673751</v>
      </c>
      <c r="G292" s="45">
        <v>1382.870033599135</v>
      </c>
      <c r="H292" s="45">
        <v>20170.651566838336</v>
      </c>
    </row>
    <row r="293" spans="1:8">
      <c r="A293" s="34" t="s">
        <v>404</v>
      </c>
      <c r="B293" s="45">
        <v>149727.50991617324</v>
      </c>
      <c r="C293" s="11">
        <v>4048.9726165750963</v>
      </c>
      <c r="D293" s="45">
        <v>4549.722280384517</v>
      </c>
      <c r="E293" s="45">
        <v>2593.5097248505899</v>
      </c>
      <c r="F293" s="45">
        <v>2948.103599700863</v>
      </c>
      <c r="G293" s="45">
        <v>6187.6780306415385</v>
      </c>
      <c r="H293" s="45">
        <v>11841.336374055089</v>
      </c>
    </row>
    <row r="294" spans="1:8">
      <c r="A294" s="34" t="s">
        <v>405</v>
      </c>
      <c r="B294" s="45">
        <v>8459.0582635496867</v>
      </c>
      <c r="C294" s="11">
        <v>4803.6926688383455</v>
      </c>
      <c r="D294" s="45">
        <v>538.55061952675408</v>
      </c>
      <c r="E294" s="45">
        <v>1554.0439995270722</v>
      </c>
      <c r="F294" s="45">
        <v>0</v>
      </c>
      <c r="G294" s="45">
        <v>0</v>
      </c>
      <c r="H294" s="45">
        <v>759.99006304545037</v>
      </c>
    </row>
    <row r="295" spans="1:8">
      <c r="A295" s="34" t="s">
        <v>406</v>
      </c>
      <c r="B295" s="45">
        <v>1256.1739778539079</v>
      </c>
      <c r="C295" s="11">
        <v>379.13558197759897</v>
      </c>
      <c r="D295" s="45">
        <v>379.13558197759897</v>
      </c>
      <c r="E295" s="45">
        <v>0</v>
      </c>
      <c r="F295" s="45">
        <v>523.13084073499283</v>
      </c>
      <c r="G295" s="45">
        <v>0</v>
      </c>
      <c r="H295" s="45">
        <v>0</v>
      </c>
    </row>
    <row r="296" spans="1:8">
      <c r="A296" s="34" t="s">
        <v>407</v>
      </c>
      <c r="B296" s="45">
        <v>1176.6090990369698</v>
      </c>
      <c r="C296" s="11">
        <v>0</v>
      </c>
      <c r="D296" s="45">
        <v>0</v>
      </c>
      <c r="E296" s="45">
        <v>632.77077438225604</v>
      </c>
      <c r="F296" s="45">
        <v>0</v>
      </c>
      <c r="G296" s="45">
        <v>0</v>
      </c>
      <c r="H296" s="45">
        <v>0</v>
      </c>
    </row>
    <row r="297" spans="1:8">
      <c r="A297" s="34" t="s">
        <v>408</v>
      </c>
      <c r="B297" s="45">
        <v>0</v>
      </c>
      <c r="C297" s="11">
        <v>0</v>
      </c>
      <c r="D297" s="45">
        <v>0</v>
      </c>
      <c r="E297" s="45">
        <v>0</v>
      </c>
      <c r="F297" s="45">
        <v>0</v>
      </c>
      <c r="G297" s="45">
        <v>0</v>
      </c>
      <c r="H297" s="45">
        <v>0</v>
      </c>
    </row>
    <row r="298" spans="1:8">
      <c r="A298" s="34" t="s">
        <v>409</v>
      </c>
      <c r="B298" s="45">
        <v>0</v>
      </c>
      <c r="C298" s="11">
        <v>0</v>
      </c>
      <c r="D298" s="45">
        <v>0</v>
      </c>
      <c r="E298" s="45">
        <v>0</v>
      </c>
      <c r="F298" s="45">
        <v>0</v>
      </c>
      <c r="G298" s="45">
        <v>0</v>
      </c>
      <c r="H298" s="45">
        <v>0</v>
      </c>
    </row>
    <row r="299" spans="1:8">
      <c r="A299" s="34" t="s">
        <v>410</v>
      </c>
      <c r="B299" s="45">
        <v>337.27000350004141</v>
      </c>
      <c r="C299" s="11">
        <v>337.27000350004141</v>
      </c>
      <c r="D299" s="45">
        <v>337.27000350004141</v>
      </c>
      <c r="E299" s="45">
        <v>0</v>
      </c>
      <c r="F299" s="45">
        <v>0</v>
      </c>
      <c r="G299" s="45">
        <v>0</v>
      </c>
      <c r="H299" s="45">
        <v>0</v>
      </c>
    </row>
    <row r="300" spans="1:8">
      <c r="A300" s="34" t="s">
        <v>411</v>
      </c>
      <c r="B300" s="45">
        <v>10574.782547947088</v>
      </c>
      <c r="C300" s="11">
        <v>1776.0299869019414</v>
      </c>
      <c r="D300" s="45">
        <v>3390.9911867677747</v>
      </c>
      <c r="E300" s="45">
        <v>2449.144628332454</v>
      </c>
      <c r="F300" s="45">
        <v>2764.2846771870809</v>
      </c>
      <c r="G300" s="45">
        <v>933.87330747870828</v>
      </c>
      <c r="H300" s="45">
        <v>1072.5389795127467</v>
      </c>
    </row>
    <row r="301" spans="1:8">
      <c r="A301" s="118"/>
      <c r="B301" s="119"/>
      <c r="C301" s="119"/>
      <c r="D301" s="119"/>
      <c r="E301" s="119"/>
      <c r="F301" s="119"/>
      <c r="G301" s="119"/>
      <c r="H301" s="119"/>
    </row>
    <row r="302" spans="1:8">
      <c r="A302" s="25" t="s">
        <v>130</v>
      </c>
    </row>
    <row r="303" spans="1:8">
      <c r="A303" s="24" t="s">
        <v>117</v>
      </c>
    </row>
    <row r="304" spans="1:8">
      <c r="A304" s="16" t="s">
        <v>121</v>
      </c>
    </row>
    <row r="305" spans="1:2">
      <c r="A305" s="16" t="s">
        <v>122</v>
      </c>
    </row>
    <row r="307" spans="1:2">
      <c r="B307" s="2"/>
    </row>
  </sheetData>
  <mergeCells count="3">
    <mergeCell ref="C13:H13"/>
    <mergeCell ref="B158:H158"/>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856CFFA5-67BE-421E-B84A-463464E7087B}">
            <xm:f>B159&lt;'38'!$D$104</xm:f>
            <x14:dxf>
              <font>
                <color rgb="FFFF0000"/>
              </font>
              <numFmt numFmtId="172" formatCode="\*\*0.0%"/>
            </x14:dxf>
          </x14:cfRule>
          <x14:cfRule type="expression" priority="4" id="{342589F1-803E-4942-A383-323899D134F4}">
            <xm:f>B159&lt;'38'!$D$103</xm:f>
            <x14:dxf>
              <font>
                <color rgb="FF00B050"/>
              </font>
              <numFmt numFmtId="171" formatCode="\*0.0%"/>
            </x14:dxf>
          </x14:cfRule>
          <xm:sqref>B16:H157</xm:sqref>
        </x14:conditionalFormatting>
        <x14:conditionalFormatting xmlns:xm="http://schemas.microsoft.com/office/excel/2006/main">
          <x14:cfRule type="expression" priority="1" id="{7A0A0826-6017-40B9-A83D-421F0F934F47}">
            <xm:f>B159&lt;'38'!$D$104</xm:f>
            <x14:dxf>
              <font>
                <color rgb="FFFF0000"/>
              </font>
              <numFmt numFmtId="174" formatCode="\*\*#,###,###,##0"/>
            </x14:dxf>
          </x14:cfRule>
          <x14:cfRule type="expression" priority="2" id="{A665FECB-A5F9-43EF-96DE-C93366155551}">
            <xm:f>B159&lt;'38'!$D$103</xm:f>
            <x14:dxf>
              <font>
                <color rgb="FF00B050"/>
              </font>
              <numFmt numFmtId="173" formatCode="\*#,###,###,##0"/>
            </x14:dxf>
          </x14:cfRule>
          <xm:sqref>B159:H300</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45"/>
  <sheetViews>
    <sheetView workbookViewId="0">
      <pane xSplit="2" ySplit="13" topLeftCell="C14" activePane="bottomRight" state="frozen"/>
      <selection pane="bottomRight"/>
      <selection pane="bottomLeft" activeCell="A14" sqref="A14"/>
      <selection pane="topRight" activeCell="C1" sqref="C1"/>
    </sheetView>
  </sheetViews>
  <sheetFormatPr defaultColWidth="8.85546875" defaultRowHeight="15"/>
  <cols>
    <col min="1" max="2" width="15.7109375" style="1" customWidth="1"/>
    <col min="3" max="5" width="14.85546875" style="1" customWidth="1"/>
    <col min="6" max="6" width="14.85546875" style="1" bestFit="1" customWidth="1"/>
    <col min="7" max="7" width="12.85546875" style="1" hidden="1" customWidth="1"/>
    <col min="8" max="13" width="11.85546875" style="1" bestFit="1" customWidth="1"/>
    <col min="14" max="16" width="8.85546875" style="1"/>
    <col min="17" max="17" width="29.85546875" style="1" bestFit="1" customWidth="1"/>
    <col min="18" max="18" width="34" style="1" bestFit="1" customWidth="1"/>
    <col min="19" max="19" width="26" style="1" bestFit="1" customWidth="1"/>
    <col min="20" max="20" width="27.85546875" style="1" bestFit="1" customWidth="1"/>
    <col min="21" max="21" width="36.140625" style="1" bestFit="1" customWidth="1"/>
    <col min="22" max="22" width="13.42578125" style="1" bestFit="1" customWidth="1"/>
    <col min="23" max="23" width="32.85546875" style="1" bestFit="1" customWidth="1"/>
    <col min="24" max="24" width="11.85546875" style="1" bestFit="1" customWidth="1"/>
    <col min="25" max="26" width="8.85546875" style="1"/>
    <col min="27" max="27" width="19.85546875" style="1" bestFit="1" customWidth="1"/>
    <col min="28" max="28" width="8.85546875" style="1"/>
    <col min="29" max="29" width="24.42578125" style="1" bestFit="1" customWidth="1"/>
    <col min="30" max="30" width="25.85546875" style="1" bestFit="1" customWidth="1"/>
    <col min="31" max="31" width="17" style="1" bestFit="1" customWidth="1"/>
    <col min="32" max="16384" width="8.85546875" style="1"/>
  </cols>
  <sheetData>
    <row r="1" spans="1:7">
      <c r="A1" s="29"/>
      <c r="B1" s="29"/>
      <c r="C1" s="29"/>
      <c r="D1" s="29"/>
      <c r="E1" s="29"/>
    </row>
    <row r="2" spans="1:7">
      <c r="A2" s="29"/>
      <c r="B2" s="29"/>
      <c r="C2" s="29"/>
      <c r="D2" s="29"/>
      <c r="E2" s="29"/>
    </row>
    <row r="3" spans="1:7">
      <c r="A3" s="29"/>
      <c r="B3" s="29"/>
      <c r="C3" s="29"/>
      <c r="D3" s="29"/>
      <c r="E3" s="29"/>
    </row>
    <row r="4" spans="1:7">
      <c r="A4" s="29"/>
      <c r="B4" s="29"/>
      <c r="C4" s="29"/>
      <c r="D4" s="29"/>
      <c r="E4" s="29"/>
    </row>
    <row r="5" spans="1:7">
      <c r="A5" s="29"/>
      <c r="B5" s="29"/>
      <c r="C5" s="29"/>
      <c r="D5" s="29"/>
      <c r="E5" s="29"/>
    </row>
    <row r="6" spans="1:7">
      <c r="A6" s="29"/>
      <c r="B6" s="29"/>
      <c r="C6" s="29"/>
      <c r="D6" s="29"/>
      <c r="E6" s="29"/>
    </row>
    <row r="7" spans="1:7">
      <c r="A7" s="29"/>
      <c r="B7" s="29"/>
      <c r="C7" s="29"/>
      <c r="D7" s="29"/>
      <c r="E7" s="29"/>
    </row>
    <row r="8" spans="1:7">
      <c r="A8" s="30" t="s">
        <v>0</v>
      </c>
      <c r="B8" s="29"/>
      <c r="C8" s="29"/>
      <c r="D8" s="29"/>
      <c r="E8" s="29"/>
    </row>
    <row r="9" spans="1:7">
      <c r="A9" s="29" t="s">
        <v>1</v>
      </c>
      <c r="B9" s="29"/>
      <c r="C9" s="90" t="s">
        <v>2</v>
      </c>
      <c r="D9" s="29"/>
      <c r="E9" s="29"/>
    </row>
    <row r="10" spans="1:7">
      <c r="A10" s="29" t="s">
        <v>49</v>
      </c>
      <c r="B10" s="29"/>
      <c r="C10" s="31">
        <v>22</v>
      </c>
      <c r="D10" s="29"/>
      <c r="E10" s="29"/>
    </row>
    <row r="11" spans="1:7">
      <c r="A11" s="29" t="s">
        <v>3</v>
      </c>
      <c r="B11" s="29"/>
      <c r="C11" s="30" t="s">
        <v>30</v>
      </c>
      <c r="D11" s="29"/>
      <c r="E11" s="29"/>
    </row>
    <row r="12" spans="1:7">
      <c r="A12" s="29" t="s">
        <v>50</v>
      </c>
      <c r="B12" s="29"/>
      <c r="C12" s="30" t="s">
        <v>419</v>
      </c>
      <c r="D12" s="29"/>
      <c r="E12" s="29"/>
    </row>
    <row r="13" spans="1:7" ht="45.75" customHeight="1">
      <c r="A13" s="38"/>
      <c r="B13" s="38"/>
      <c r="C13" s="55" t="s">
        <v>420</v>
      </c>
      <c r="D13" s="55" t="s">
        <v>421</v>
      </c>
      <c r="E13" s="55" t="s">
        <v>422</v>
      </c>
    </row>
    <row r="14" spans="1:7">
      <c r="A14" s="35" t="s">
        <v>145</v>
      </c>
      <c r="B14" s="35" t="s">
        <v>57</v>
      </c>
      <c r="C14" s="28">
        <v>0.52293658408469845</v>
      </c>
      <c r="D14" s="43">
        <v>1522.5084548579296</v>
      </c>
      <c r="E14" s="43">
        <v>560</v>
      </c>
      <c r="G14" s="11">
        <v>10033624.956518471</v>
      </c>
    </row>
    <row r="15" spans="1:7">
      <c r="A15" s="34" t="s">
        <v>61</v>
      </c>
      <c r="B15" s="34" t="s">
        <v>62</v>
      </c>
      <c r="C15" s="102">
        <v>0.48898956065115945</v>
      </c>
      <c r="D15" s="109">
        <v>1027.482287679328</v>
      </c>
      <c r="E15" s="109">
        <v>345</v>
      </c>
      <c r="G15" s="11">
        <v>414469.17621512432</v>
      </c>
    </row>
    <row r="16" spans="1:7">
      <c r="A16" s="34"/>
      <c r="B16" s="34" t="s">
        <v>63</v>
      </c>
      <c r="C16" s="102">
        <v>0.62394049123646889</v>
      </c>
      <c r="D16" s="109">
        <v>1014.2314292826591</v>
      </c>
      <c r="E16" s="109">
        <v>460</v>
      </c>
      <c r="G16" s="11">
        <v>1340404.2718639032</v>
      </c>
    </row>
    <row r="17" spans="1:7">
      <c r="A17" s="34"/>
      <c r="B17" s="34" t="s">
        <v>64</v>
      </c>
      <c r="C17" s="102">
        <v>0.63657685798947117</v>
      </c>
      <c r="D17" s="109">
        <v>1241.1582520313762</v>
      </c>
      <c r="E17" s="109">
        <v>575</v>
      </c>
      <c r="G17" s="11">
        <v>2306976.0556629947</v>
      </c>
    </row>
    <row r="18" spans="1:7">
      <c r="A18" s="34"/>
      <c r="B18" s="34" t="s">
        <v>65</v>
      </c>
      <c r="C18" s="102">
        <v>0.55630115066406538</v>
      </c>
      <c r="D18" s="109">
        <v>2179.0511289893843</v>
      </c>
      <c r="E18" s="109">
        <v>600</v>
      </c>
      <c r="G18" s="11">
        <v>1893891.0094477953</v>
      </c>
    </row>
    <row r="19" spans="1:7">
      <c r="A19" s="34"/>
      <c r="B19" s="34" t="s">
        <v>66</v>
      </c>
      <c r="C19" s="102">
        <v>0.49029554200291131</v>
      </c>
      <c r="D19" s="109">
        <v>1805.2534255429371</v>
      </c>
      <c r="E19" s="109">
        <v>600</v>
      </c>
      <c r="G19" s="11">
        <v>1443830.1959138475</v>
      </c>
    </row>
    <row r="20" spans="1:7">
      <c r="A20" s="34"/>
      <c r="B20" s="34" t="s">
        <v>67</v>
      </c>
      <c r="C20" s="102">
        <v>0.44689259816087201</v>
      </c>
      <c r="D20" s="109">
        <v>1706.9601501701084</v>
      </c>
      <c r="E20" s="109">
        <v>680</v>
      </c>
      <c r="G20" s="11">
        <v>1185733.339745194</v>
      </c>
    </row>
    <row r="21" spans="1:7">
      <c r="A21" s="34"/>
      <c r="B21" s="34" t="s">
        <v>68</v>
      </c>
      <c r="C21" s="102">
        <v>0.40630484544399148</v>
      </c>
      <c r="D21" s="109">
        <v>1291.3245011211518</v>
      </c>
      <c r="E21" s="109">
        <v>600</v>
      </c>
      <c r="G21" s="11">
        <v>1448320.9076697635</v>
      </c>
    </row>
    <row r="22" spans="1:7">
      <c r="A22" s="34"/>
      <c r="B22" s="34"/>
    </row>
    <row r="23" spans="1:7">
      <c r="A23" s="35" t="s">
        <v>58</v>
      </c>
      <c r="B23" s="35" t="s">
        <v>57</v>
      </c>
      <c r="C23" s="28">
        <v>0.54888122818268947</v>
      </c>
      <c r="D23" s="43">
        <v>1576.1214959055735</v>
      </c>
      <c r="E23" s="43">
        <v>600</v>
      </c>
      <c r="G23" s="11">
        <v>5177008.1143336436</v>
      </c>
    </row>
    <row r="24" spans="1:7">
      <c r="A24" s="34" t="s">
        <v>61</v>
      </c>
      <c r="B24" s="34" t="s">
        <v>62</v>
      </c>
      <c r="C24" s="102">
        <v>0.51978652137029002</v>
      </c>
      <c r="D24" s="109">
        <v>1142.8231390799531</v>
      </c>
      <c r="E24" s="109">
        <v>350</v>
      </c>
      <c r="G24" s="11">
        <v>213397.29165731143</v>
      </c>
    </row>
    <row r="25" spans="1:7">
      <c r="A25" s="34"/>
      <c r="B25" s="34" t="s">
        <v>63</v>
      </c>
      <c r="C25" s="102">
        <v>0.65031828203028719</v>
      </c>
      <c r="D25" s="109">
        <v>953.66605831200297</v>
      </c>
      <c r="E25" s="109">
        <v>440</v>
      </c>
      <c r="G25" s="11">
        <v>702949.57819137978</v>
      </c>
    </row>
    <row r="26" spans="1:7">
      <c r="A26" s="34"/>
      <c r="B26" s="34" t="s">
        <v>64</v>
      </c>
      <c r="C26" s="102">
        <v>0.65191616370341909</v>
      </c>
      <c r="D26" s="109">
        <v>1321.1746657281813</v>
      </c>
      <c r="E26" s="109">
        <v>545</v>
      </c>
      <c r="G26" s="11">
        <v>1170854.7758913927</v>
      </c>
    </row>
    <row r="27" spans="1:7">
      <c r="A27" s="34"/>
      <c r="B27" s="34" t="s">
        <v>65</v>
      </c>
      <c r="C27" s="102">
        <v>0.58203244232514406</v>
      </c>
      <c r="D27" s="109">
        <v>1896.6332288244196</v>
      </c>
      <c r="E27" s="109">
        <v>600</v>
      </c>
      <c r="G27" s="11">
        <v>978316.58702006051</v>
      </c>
    </row>
    <row r="28" spans="1:7">
      <c r="A28" s="34"/>
      <c r="B28" s="34" t="s">
        <v>66</v>
      </c>
      <c r="C28" s="102">
        <v>0.52713442171362801</v>
      </c>
      <c r="D28" s="109">
        <v>1903.3726024401485</v>
      </c>
      <c r="E28" s="109">
        <v>600</v>
      </c>
      <c r="G28" s="11">
        <v>768525.97985786956</v>
      </c>
    </row>
    <row r="29" spans="1:7">
      <c r="A29" s="34"/>
      <c r="B29" s="34" t="s">
        <v>67</v>
      </c>
      <c r="C29" s="102">
        <v>0.47928279612037428</v>
      </c>
      <c r="D29" s="109">
        <v>1975.454740584272</v>
      </c>
      <c r="E29" s="109">
        <v>699</v>
      </c>
      <c r="G29" s="11">
        <v>618716.67126520595</v>
      </c>
    </row>
    <row r="30" spans="1:7">
      <c r="A30" s="34"/>
      <c r="B30" s="34" t="s">
        <v>68</v>
      </c>
      <c r="C30" s="102">
        <v>0.42237263942636755</v>
      </c>
      <c r="D30" s="109">
        <v>1598.7493201025864</v>
      </c>
      <c r="E30" s="109">
        <v>743</v>
      </c>
      <c r="G30" s="11">
        <v>724247.23045038525</v>
      </c>
    </row>
    <row r="31" spans="1:7">
      <c r="A31" s="34"/>
      <c r="B31" s="34"/>
    </row>
    <row r="32" spans="1:7">
      <c r="A32" s="35" t="s">
        <v>59</v>
      </c>
      <c r="B32" s="35" t="s">
        <v>57</v>
      </c>
      <c r="C32" s="28">
        <v>0.49872929203721789</v>
      </c>
      <c r="D32" s="43">
        <v>1456.4017353745553</v>
      </c>
      <c r="E32" s="43">
        <v>550</v>
      </c>
      <c r="G32" s="11">
        <v>4818688.6082836213</v>
      </c>
    </row>
    <row r="33" spans="1:7">
      <c r="A33" s="34" t="s">
        <v>61</v>
      </c>
      <c r="B33" s="34" t="s">
        <v>62</v>
      </c>
      <c r="C33" s="102">
        <v>0.46340504014878425</v>
      </c>
      <c r="D33" s="109">
        <v>912.04281069065428</v>
      </c>
      <c r="E33" s="109">
        <v>345</v>
      </c>
      <c r="G33" s="11">
        <v>199345.63060001002</v>
      </c>
    </row>
    <row r="34" spans="1:7">
      <c r="A34" s="34"/>
      <c r="B34" s="34" t="s">
        <v>63</v>
      </c>
      <c r="C34" s="102">
        <v>0.60157795956442905</v>
      </c>
      <c r="D34" s="111">
        <v>1089.2989365324584</v>
      </c>
      <c r="E34" s="111">
        <v>497</v>
      </c>
      <c r="G34" s="11">
        <v>624522.12320550065</v>
      </c>
    </row>
    <row r="35" spans="1:7">
      <c r="A35" s="34"/>
      <c r="B35" s="34" t="s">
        <v>64</v>
      </c>
      <c r="C35" s="102">
        <v>0.62360909731630332</v>
      </c>
      <c r="D35" s="111">
        <v>1165.9563187847266</v>
      </c>
      <c r="E35" s="111">
        <v>600</v>
      </c>
      <c r="G35" s="11">
        <v>1123416.7697145022</v>
      </c>
    </row>
    <row r="36" spans="1:7">
      <c r="A36" s="34"/>
      <c r="B36" s="34" t="s">
        <v>65</v>
      </c>
      <c r="C36" s="102">
        <v>0.53280982026871315</v>
      </c>
      <c r="D36" s="111">
        <v>2487.2707217839775</v>
      </c>
      <c r="E36" s="111">
        <v>580</v>
      </c>
      <c r="G36" s="11">
        <v>912163.59037483972</v>
      </c>
    </row>
    <row r="37" spans="1:7">
      <c r="A37" s="34"/>
      <c r="B37" s="34" t="s">
        <v>66</v>
      </c>
      <c r="C37" s="102">
        <v>0.45393627734722714</v>
      </c>
      <c r="D37" s="111">
        <v>1696.0671925268809</v>
      </c>
      <c r="E37" s="111">
        <v>550</v>
      </c>
      <c r="G37" s="11">
        <v>670250.0471164576</v>
      </c>
    </row>
    <row r="38" spans="1:7">
      <c r="A38" s="34"/>
      <c r="B38" s="34" t="s">
        <v>67</v>
      </c>
      <c r="C38" s="102">
        <v>0.41696038751653358</v>
      </c>
      <c r="D38" s="111">
        <v>1358.0741854511407</v>
      </c>
      <c r="E38" s="111">
        <v>660</v>
      </c>
      <c r="G38" s="11">
        <v>565699.35160946997</v>
      </c>
    </row>
    <row r="39" spans="1:7">
      <c r="A39" s="34"/>
      <c r="B39" s="34" t="s">
        <v>68</v>
      </c>
      <c r="C39" s="102">
        <v>0.39162389694801425</v>
      </c>
      <c r="D39" s="111">
        <v>929.27999050321932</v>
      </c>
      <c r="E39" s="111">
        <v>522</v>
      </c>
      <c r="G39" s="11">
        <v>723291.09566276975</v>
      </c>
    </row>
    <row r="40" spans="1:7">
      <c r="A40" s="118"/>
      <c r="B40" s="118"/>
      <c r="C40" s="119"/>
      <c r="D40" s="119"/>
      <c r="E40" s="119"/>
    </row>
    <row r="41" spans="1:7">
      <c r="A41" s="24" t="s">
        <v>117</v>
      </c>
    </row>
    <row r="42" spans="1:7">
      <c r="A42" s="66" t="s">
        <v>423</v>
      </c>
    </row>
    <row r="43" spans="1:7">
      <c r="A43" s="16" t="s">
        <v>121</v>
      </c>
    </row>
    <row r="44" spans="1:7">
      <c r="A44" s="16" t="s">
        <v>122</v>
      </c>
    </row>
    <row r="45" spans="1:7">
      <c r="A45" s="24"/>
    </row>
  </sheetData>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 id="{C830D10E-669D-4D5F-A60C-47D58DFF9F1F}">
            <xm:f>G14&lt;'38'!$C$104</xm:f>
            <x14:dxf>
              <font>
                <color rgb="FFFF0000"/>
              </font>
              <numFmt numFmtId="172" formatCode="\*\*0.0%"/>
            </x14:dxf>
          </x14:cfRule>
          <x14:cfRule type="expression" priority="3" id="{B05B1F61-15F9-439A-B2AF-5D38339149A8}">
            <xm:f>G14&lt;'38'!$C$103</xm:f>
            <x14:dxf>
              <font>
                <color rgb="FF00B050"/>
              </font>
              <numFmt numFmtId="171" formatCode="\*0.0%"/>
            </x14:dxf>
          </x14:cfRule>
          <xm:sqref>C14:C39</xm:sqref>
        </x14:conditionalFormatting>
        <x14:conditionalFormatting xmlns:xm="http://schemas.microsoft.com/office/excel/2006/main">
          <x14:cfRule type="expression" priority="1" id="{23FE4CA3-0538-4121-92BE-F4BDC8E39551}">
            <xm:f>$G14&lt;'38'!$C$104</xm:f>
            <x14:dxf>
              <font>
                <color rgb="FFFF0000"/>
              </font>
              <numFmt numFmtId="176" formatCode="\*\*&quot;$&quot;###,##0"/>
            </x14:dxf>
          </x14:cfRule>
          <x14:cfRule type="expression" priority="268" id="{770E5998-E821-4A88-8B8C-947A2CC93397}">
            <xm:f>$G14&lt;'38'!$C$103</xm:f>
            <x14:dxf>
              <font>
                <color rgb="FF00B050"/>
              </font>
              <numFmt numFmtId="175" formatCode="\*&quot;$&quot;###,##0"/>
            </x14:dxf>
          </x14:cfRule>
          <xm:sqref>D14:E39</xm:sqref>
        </x14:conditionalFormatting>
        <x14:conditionalFormatting xmlns:xm="http://schemas.microsoft.com/office/excel/2006/main">
          <x14:cfRule type="expression" priority="274" id="{770E5998-E821-4A88-8B8C-947A2CC93397}">
            <xm:f>#REF!&lt;'38'!$C$104</xm:f>
            <x14:dxf>
              <font>
                <color rgb="FFFF0000"/>
              </font>
              <numFmt numFmtId="176" formatCode="\*\*&quot;$&quot;###,##0"/>
            </x14:dxf>
          </x14:cfRule>
          <x14:cfRule type="expression" priority="275" id="{D71540A4-45EF-4D3F-B579-097B9ED06B5F}">
            <xm:f>#REF!&lt;'38'!$C$103</xm:f>
            <x14:dxf>
              <font>
                <color rgb="FF00B050"/>
              </font>
              <numFmt numFmtId="175" formatCode="\*&quot;$&quot;###,##0"/>
            </x14:dxf>
          </x14:cfRule>
          <xm:sqref>D32:E33</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37"/>
  <sheetViews>
    <sheetView workbookViewId="0">
      <pane xSplit="2" ySplit="13" topLeftCell="C14" activePane="bottomRight" state="frozen"/>
      <selection pane="bottomRight"/>
      <selection pane="bottomLeft" activeCell="A14" sqref="A14"/>
      <selection pane="topRight" activeCell="C1" sqref="C1"/>
    </sheetView>
  </sheetViews>
  <sheetFormatPr defaultColWidth="8.85546875" defaultRowHeight="15"/>
  <cols>
    <col min="1" max="2" width="15.7109375" style="1" customWidth="1"/>
    <col min="3" max="5" width="14.85546875" style="1" customWidth="1"/>
    <col min="6" max="6" width="14.85546875" style="1" bestFit="1" customWidth="1"/>
    <col min="7" max="7" width="11.85546875" style="1" hidden="1" customWidth="1"/>
    <col min="8" max="13" width="11.85546875" style="1" bestFit="1" customWidth="1"/>
    <col min="14" max="16" width="8.85546875" style="1"/>
    <col min="17" max="17" width="29.85546875" style="1" bestFit="1" customWidth="1"/>
    <col min="18" max="18" width="34" style="1" bestFit="1" customWidth="1"/>
    <col min="19" max="19" width="26" style="1" bestFit="1" customWidth="1"/>
    <col min="20" max="20" width="27.85546875" style="1" bestFit="1" customWidth="1"/>
    <col min="21" max="21" width="36.140625" style="1" bestFit="1" customWidth="1"/>
    <col min="22" max="22" width="13.42578125" style="1" bestFit="1" customWidth="1"/>
    <col min="23" max="23" width="32.85546875" style="1" bestFit="1" customWidth="1"/>
    <col min="24" max="24" width="11.85546875" style="1" bestFit="1" customWidth="1"/>
    <col min="25" max="26" width="8.85546875" style="1"/>
    <col min="27" max="27" width="19.85546875" style="1" bestFit="1" customWidth="1"/>
    <col min="28" max="28" width="8.85546875" style="1"/>
    <col min="29" max="29" width="24.42578125" style="1" bestFit="1" customWidth="1"/>
    <col min="30" max="30" width="25.85546875" style="1" bestFit="1" customWidth="1"/>
    <col min="31" max="31" width="17" style="1" bestFit="1" customWidth="1"/>
    <col min="32" max="16384" width="8.85546875" style="1"/>
  </cols>
  <sheetData>
    <row r="1" spans="1:7">
      <c r="A1" s="29"/>
      <c r="B1" s="29"/>
      <c r="C1" s="29"/>
      <c r="D1" s="29"/>
      <c r="E1" s="29"/>
    </row>
    <row r="2" spans="1:7">
      <c r="A2" s="29"/>
      <c r="B2" s="29"/>
      <c r="C2" s="29"/>
      <c r="D2" s="29"/>
      <c r="E2" s="29"/>
    </row>
    <row r="3" spans="1:7">
      <c r="A3" s="29"/>
      <c r="B3" s="29"/>
      <c r="C3" s="29"/>
      <c r="D3" s="29"/>
      <c r="E3" s="29"/>
    </row>
    <row r="4" spans="1:7">
      <c r="A4" s="29"/>
      <c r="B4" s="29"/>
      <c r="C4" s="29"/>
      <c r="D4" s="29"/>
      <c r="E4" s="29"/>
    </row>
    <row r="5" spans="1:7">
      <c r="A5" s="29"/>
      <c r="B5" s="29"/>
      <c r="C5" s="29"/>
      <c r="D5" s="29"/>
      <c r="E5" s="29"/>
    </row>
    <row r="6" spans="1:7">
      <c r="A6" s="29"/>
      <c r="B6" s="29"/>
      <c r="C6" s="29"/>
      <c r="D6" s="29"/>
      <c r="E6" s="29"/>
    </row>
    <row r="7" spans="1:7">
      <c r="A7" s="29"/>
      <c r="B7" s="29"/>
      <c r="C7" s="29"/>
      <c r="D7" s="29"/>
      <c r="E7" s="29"/>
    </row>
    <row r="8" spans="1:7">
      <c r="A8" s="30" t="str">
        <f>Index!A8</f>
        <v>AusPlay survey results July 2024 - June 2025</v>
      </c>
      <c r="B8" s="29"/>
      <c r="C8" s="29"/>
      <c r="D8" s="29"/>
      <c r="E8" s="29"/>
    </row>
    <row r="9" spans="1:7">
      <c r="A9" s="29" t="s">
        <v>1</v>
      </c>
      <c r="B9" s="29"/>
      <c r="C9" s="90" t="s">
        <v>2</v>
      </c>
      <c r="D9" s="29"/>
      <c r="E9" s="29"/>
    </row>
    <row r="10" spans="1:7">
      <c r="A10" s="29" t="s">
        <v>49</v>
      </c>
      <c r="B10" s="29"/>
      <c r="C10" s="31">
        <v>23</v>
      </c>
      <c r="D10" s="29"/>
      <c r="E10" s="29"/>
    </row>
    <row r="11" spans="1:7">
      <c r="A11" s="29" t="s">
        <v>3</v>
      </c>
      <c r="B11" s="29"/>
      <c r="C11" s="30" t="s">
        <v>31</v>
      </c>
      <c r="D11" s="29"/>
      <c r="E11" s="29"/>
    </row>
    <row r="12" spans="1:7">
      <c r="A12" s="116" t="s">
        <v>50</v>
      </c>
      <c r="B12" s="116"/>
      <c r="C12" s="117" t="s">
        <v>424</v>
      </c>
      <c r="D12" s="116"/>
      <c r="E12" s="116"/>
    </row>
    <row r="13" spans="1:7" ht="45.75" customHeight="1">
      <c r="A13" s="38"/>
      <c r="B13" s="38"/>
      <c r="C13" s="55" t="s">
        <v>420</v>
      </c>
      <c r="D13" s="55" t="s">
        <v>421</v>
      </c>
      <c r="E13" s="55" t="s">
        <v>422</v>
      </c>
    </row>
    <row r="14" spans="1:7">
      <c r="A14" s="35" t="s">
        <v>145</v>
      </c>
      <c r="B14" s="35" t="s">
        <v>57</v>
      </c>
      <c r="C14" s="28">
        <v>0.74082805427164955</v>
      </c>
      <c r="D14" s="43">
        <v>1053.9121010887259</v>
      </c>
      <c r="E14" s="43">
        <v>500</v>
      </c>
      <c r="G14" s="11">
        <v>2563727.1630605808</v>
      </c>
    </row>
    <row r="15" spans="1:7">
      <c r="A15" s="34" t="s">
        <v>61</v>
      </c>
      <c r="B15" s="34" t="s">
        <v>124</v>
      </c>
      <c r="C15" s="102">
        <v>0.69091495180950846</v>
      </c>
      <c r="D15" s="109">
        <v>682.28745771656224</v>
      </c>
      <c r="E15" s="109">
        <v>389</v>
      </c>
      <c r="G15" s="11">
        <v>497854.25056779257</v>
      </c>
    </row>
    <row r="16" spans="1:7">
      <c r="A16" s="34"/>
      <c r="B16" s="34" t="s">
        <v>125</v>
      </c>
      <c r="C16" s="102">
        <v>0.77511945228484269</v>
      </c>
      <c r="D16" s="109">
        <v>1000.4100626194006</v>
      </c>
      <c r="E16" s="109">
        <v>500</v>
      </c>
      <c r="G16" s="11">
        <v>822903.50212030555</v>
      </c>
    </row>
    <row r="17" spans="1:7">
      <c r="A17" s="34"/>
      <c r="B17" s="34" t="s">
        <v>126</v>
      </c>
      <c r="C17" s="102">
        <v>0.74755543316868978</v>
      </c>
      <c r="D17" s="109">
        <v>1056.8871559052404</v>
      </c>
      <c r="E17" s="109">
        <v>600</v>
      </c>
      <c r="G17" s="11">
        <v>632067.91925761453</v>
      </c>
    </row>
    <row r="18" spans="1:7">
      <c r="A18" s="34"/>
      <c r="B18" s="34" t="s">
        <v>127</v>
      </c>
      <c r="C18" s="102">
        <v>0.73347120358487716</v>
      </c>
      <c r="D18" s="109">
        <v>1425.7584457808132</v>
      </c>
      <c r="E18" s="109">
        <v>500</v>
      </c>
      <c r="G18" s="11">
        <v>610901.49111489358</v>
      </c>
    </row>
    <row r="19" spans="1:7">
      <c r="A19" s="34"/>
      <c r="B19" s="34"/>
    </row>
    <row r="20" spans="1:7">
      <c r="A20" s="35" t="s">
        <v>58</v>
      </c>
      <c r="B20" s="35" t="s">
        <v>57</v>
      </c>
      <c r="C20" s="28">
        <v>0.74798486043750667</v>
      </c>
      <c r="D20" s="43">
        <v>925.02732048047335</v>
      </c>
      <c r="E20" s="43">
        <v>470</v>
      </c>
      <c r="G20" s="11">
        <v>1329324.8548000671</v>
      </c>
    </row>
    <row r="21" spans="1:7">
      <c r="A21" s="34" t="s">
        <v>61</v>
      </c>
      <c r="B21" s="34" t="s">
        <v>124</v>
      </c>
      <c r="C21" s="102">
        <v>0.71962464629850809</v>
      </c>
      <c r="D21" s="109">
        <v>636.61117007789176</v>
      </c>
      <c r="E21" s="109">
        <v>390</v>
      </c>
      <c r="G21" s="11">
        <v>269051.9844198905</v>
      </c>
    </row>
    <row r="22" spans="1:7">
      <c r="A22" s="34"/>
      <c r="B22" s="34" t="s">
        <v>125</v>
      </c>
      <c r="C22" s="102">
        <v>0.79477998544427442</v>
      </c>
      <c r="D22" s="109">
        <v>871.12810078408586</v>
      </c>
      <c r="E22" s="109">
        <v>450</v>
      </c>
      <c r="G22" s="11">
        <v>429777.90880243055</v>
      </c>
    </row>
    <row r="23" spans="1:7">
      <c r="A23" s="34"/>
      <c r="B23" s="34" t="s">
        <v>126</v>
      </c>
      <c r="C23" s="102">
        <v>0.73258983135938294</v>
      </c>
      <c r="D23" s="109">
        <v>870.7764640742422</v>
      </c>
      <c r="E23" s="109">
        <v>550</v>
      </c>
      <c r="G23" s="11">
        <v>319253.85138493543</v>
      </c>
    </row>
    <row r="24" spans="1:7">
      <c r="A24" s="34"/>
      <c r="B24" s="34" t="s">
        <v>127</v>
      </c>
      <c r="C24" s="102">
        <v>0.72925845451389559</v>
      </c>
      <c r="D24" s="109">
        <v>1304.422659056487</v>
      </c>
      <c r="E24" s="109">
        <v>500</v>
      </c>
      <c r="G24" s="11">
        <v>311241.11019281502</v>
      </c>
    </row>
    <row r="25" spans="1:7">
      <c r="A25" s="34"/>
      <c r="B25" s="34"/>
    </row>
    <row r="26" spans="1:7">
      <c r="A26" s="35" t="s">
        <v>59</v>
      </c>
      <c r="B26" s="35" t="s">
        <v>57</v>
      </c>
      <c r="C26" s="28">
        <v>0.73372165587863436</v>
      </c>
      <c r="D26" s="43">
        <v>1195.5638511317204</v>
      </c>
      <c r="E26" s="43">
        <v>565</v>
      </c>
      <c r="G26" s="11">
        <v>1230406.9110625524</v>
      </c>
    </row>
    <row r="27" spans="1:7">
      <c r="A27" s="34" t="s">
        <v>61</v>
      </c>
      <c r="B27" s="34" t="s">
        <v>124</v>
      </c>
      <c r="C27" s="102">
        <v>0.65797345233267956</v>
      </c>
      <c r="D27" s="109">
        <v>742.11473600066142</v>
      </c>
      <c r="E27" s="109">
        <v>400</v>
      </c>
      <c r="G27" s="11">
        <v>226794.53685399817</v>
      </c>
    </row>
    <row r="28" spans="1:7">
      <c r="A28" s="34"/>
      <c r="B28" s="34" t="s">
        <v>125</v>
      </c>
      <c r="C28" s="102">
        <v>0.75558159127516833</v>
      </c>
      <c r="D28" s="109">
        <v>1141.7453817842641</v>
      </c>
      <c r="E28" s="109">
        <v>600</v>
      </c>
      <c r="G28" s="11">
        <v>393125.59331787174</v>
      </c>
    </row>
    <row r="29" spans="1:7">
      <c r="A29" s="34"/>
      <c r="B29" s="34" t="s">
        <v>126</v>
      </c>
      <c r="C29" s="102">
        <v>0.7651679094402577</v>
      </c>
      <c r="D29" s="109">
        <v>1249.0136198486312</v>
      </c>
      <c r="E29" s="109">
        <v>750</v>
      </c>
      <c r="G29" s="11">
        <v>311628.64996023127</v>
      </c>
    </row>
    <row r="30" spans="1:7">
      <c r="A30" s="34"/>
      <c r="B30" s="34" t="s">
        <v>127</v>
      </c>
      <c r="C30" s="102">
        <v>0.73848751729085882</v>
      </c>
      <c r="D30" s="109">
        <v>1554.7333344800697</v>
      </c>
      <c r="E30" s="109">
        <v>550</v>
      </c>
      <c r="G30" s="11">
        <v>298858.13093046442</v>
      </c>
    </row>
    <row r="31" spans="1:7">
      <c r="A31" s="118"/>
      <c r="B31" s="118"/>
      <c r="C31" s="119"/>
      <c r="D31" s="119"/>
      <c r="E31" s="119"/>
    </row>
    <row r="32" spans="1:7" ht="14.45" customHeight="1">
      <c r="A32" s="19" t="s">
        <v>130</v>
      </c>
      <c r="B32" s="19"/>
      <c r="C32" s="19"/>
      <c r="D32" s="19"/>
      <c r="E32" s="19"/>
    </row>
    <row r="33" spans="1:5" ht="14.45" customHeight="1">
      <c r="A33" s="24" t="s">
        <v>117</v>
      </c>
      <c r="B33" s="16"/>
      <c r="C33" s="16"/>
      <c r="D33" s="16"/>
      <c r="E33" s="16"/>
    </row>
    <row r="34" spans="1:5" ht="14.45" customHeight="1">
      <c r="A34" s="66" t="s">
        <v>425</v>
      </c>
    </row>
    <row r="35" spans="1:5" ht="14.45" customHeight="1">
      <c r="A35" s="16" t="s">
        <v>121</v>
      </c>
    </row>
    <row r="36" spans="1:5">
      <c r="A36" s="16" t="s">
        <v>122</v>
      </c>
    </row>
    <row r="37" spans="1:5">
      <c r="A37" s="24"/>
    </row>
  </sheetData>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ignoredErrors>
    <ignoredError sqref="B18 B24 B3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2" id="{ABFDD48A-0C7A-435D-804C-1132B8243FE6}">
            <xm:f>G14&lt;'38'!$D$104</xm:f>
            <x14:dxf>
              <font>
                <color rgb="FFFF0000"/>
              </font>
              <numFmt numFmtId="172" formatCode="\*\*0.0%"/>
            </x14:dxf>
          </x14:cfRule>
          <x14:cfRule type="expression" priority="3" id="{F1058FA6-7D97-41BE-A9C8-53E936F6B6A7}">
            <xm:f>G14&lt;'38'!$D$103</xm:f>
            <x14:dxf>
              <font>
                <color rgb="FF00B050"/>
              </font>
              <numFmt numFmtId="171" formatCode="\*0.0%"/>
            </x14:dxf>
          </x14:cfRule>
          <xm:sqref>C14:C30</xm:sqref>
        </x14:conditionalFormatting>
        <x14:conditionalFormatting xmlns:xm="http://schemas.microsoft.com/office/excel/2006/main">
          <x14:cfRule type="expression" priority="1" id="{B98AABFA-360E-4E32-8C85-FE9CFC8C5F4A}">
            <xm:f>$G14&lt;'38'!$D$104</xm:f>
            <x14:dxf>
              <font>
                <color rgb="FFFF0000"/>
              </font>
              <numFmt numFmtId="176" formatCode="\*\*&quot;$&quot;###,##0"/>
            </x14:dxf>
          </x14:cfRule>
          <x14:cfRule type="expression" priority="4" id="{76166AAC-7679-41F5-94C6-465ACBEC1611}">
            <xm:f>$G14&lt;'38'!$D$103</xm:f>
            <x14:dxf>
              <font>
                <color rgb="FF00B050"/>
              </font>
              <numFmt numFmtId="175" formatCode="\*&quot;$&quot;###,##0"/>
            </x14:dxf>
          </x14:cfRule>
          <xm:sqref>D14:E30</xm:sqref>
        </x14:conditionalFormatting>
        <x14:conditionalFormatting xmlns:xm="http://schemas.microsoft.com/office/excel/2006/main">
          <x14:cfRule type="expression" priority="277" id="{1D50455E-803C-433C-8C90-B00068DCBA91}">
            <xm:f>$G21&lt;'38'!$C$104</xm:f>
            <x14:dxf>
              <font>
                <color rgb="FFFF0000"/>
              </font>
              <numFmt numFmtId="176" formatCode="\*\*&quot;$&quot;###,##0"/>
            </x14:dxf>
          </x14:cfRule>
          <x14:cfRule type="expression" priority="278" id="{F62E45B1-01DA-4A7E-8C79-ABC166FB16DD}">
            <xm:f>$G21&lt;'38'!$C$103</xm:f>
            <x14:dxf>
              <font>
                <color rgb="FF00B050"/>
              </font>
              <numFmt numFmtId="175" formatCode="\*&quot;$&quot;###,##0"/>
            </x14:dxf>
          </x14:cfRule>
          <xm:sqref>D15:E18</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9"/>
      <c r="B1" s="29"/>
      <c r="C1" s="29"/>
      <c r="D1" s="29"/>
      <c r="E1" s="29"/>
      <c r="F1" s="29"/>
      <c r="G1" s="29"/>
      <c r="H1" s="29"/>
      <c r="I1" s="29"/>
      <c r="J1" s="29"/>
      <c r="K1" s="29"/>
      <c r="L1" s="29"/>
      <c r="M1" s="29"/>
      <c r="N1" s="29"/>
    </row>
    <row r="2" spans="1:14">
      <c r="A2" s="29"/>
      <c r="B2" s="29"/>
      <c r="C2" s="29"/>
      <c r="D2" s="29"/>
      <c r="E2" s="29"/>
      <c r="F2" s="29"/>
      <c r="G2" s="29"/>
      <c r="H2" s="29"/>
      <c r="I2" s="29"/>
      <c r="J2" s="29"/>
      <c r="K2" s="29"/>
      <c r="L2" s="29"/>
      <c r="M2" s="29"/>
      <c r="N2" s="29"/>
    </row>
    <row r="3" spans="1:14">
      <c r="A3" s="29"/>
      <c r="B3" s="29"/>
      <c r="C3" s="29"/>
      <c r="D3" s="29"/>
      <c r="E3" s="29"/>
      <c r="F3" s="29"/>
      <c r="G3" s="29"/>
      <c r="H3" s="29"/>
      <c r="I3" s="29"/>
      <c r="J3" s="29"/>
      <c r="K3" s="29"/>
      <c r="L3" s="29"/>
      <c r="M3" s="29"/>
      <c r="N3" s="29"/>
    </row>
    <row r="4" spans="1:14">
      <c r="A4" s="29"/>
      <c r="B4" s="29"/>
      <c r="C4" s="29"/>
      <c r="D4" s="29"/>
      <c r="E4" s="29"/>
      <c r="F4" s="29"/>
      <c r="G4" s="29"/>
      <c r="H4" s="29"/>
      <c r="I4" s="29"/>
      <c r="J4" s="29"/>
      <c r="K4" s="29"/>
      <c r="L4" s="29"/>
      <c r="M4" s="29"/>
      <c r="N4" s="29"/>
    </row>
    <row r="5" spans="1:14">
      <c r="A5" s="29"/>
      <c r="B5" s="29"/>
      <c r="C5" s="29"/>
      <c r="D5" s="29"/>
      <c r="E5" s="29"/>
      <c r="F5" s="29"/>
      <c r="G5" s="29"/>
      <c r="H5" s="29"/>
      <c r="I5" s="29"/>
      <c r="J5" s="29"/>
      <c r="K5" s="29"/>
      <c r="L5" s="29"/>
      <c r="M5" s="29"/>
      <c r="N5" s="29"/>
    </row>
    <row r="6" spans="1:14">
      <c r="A6" s="29"/>
      <c r="B6" s="29"/>
      <c r="C6" s="29"/>
      <c r="D6" s="29"/>
      <c r="E6" s="29"/>
      <c r="F6" s="29"/>
      <c r="G6" s="29"/>
      <c r="H6" s="29"/>
      <c r="I6" s="29"/>
      <c r="J6" s="29"/>
      <c r="K6" s="29"/>
      <c r="L6" s="29"/>
      <c r="M6" s="29"/>
      <c r="N6" s="29"/>
    </row>
    <row r="7" spans="1:14">
      <c r="A7" s="29"/>
      <c r="B7" s="29"/>
      <c r="C7" s="29"/>
      <c r="D7" s="29"/>
      <c r="E7" s="29"/>
      <c r="F7" s="29"/>
      <c r="G7" s="29"/>
      <c r="H7" s="29"/>
      <c r="I7" s="29"/>
      <c r="J7" s="29"/>
      <c r="K7" s="29"/>
      <c r="L7" s="29"/>
      <c r="M7" s="29"/>
      <c r="N7" s="29"/>
    </row>
    <row r="8" spans="1:14">
      <c r="A8" s="30" t="s">
        <v>0</v>
      </c>
      <c r="B8" s="29"/>
      <c r="C8" s="29"/>
      <c r="D8" s="29"/>
      <c r="E8" s="29"/>
      <c r="F8" s="29"/>
      <c r="G8" s="29"/>
      <c r="H8" s="29"/>
      <c r="I8" s="29"/>
      <c r="J8" s="29"/>
      <c r="K8" s="29"/>
      <c r="L8" s="29"/>
      <c r="M8" s="29"/>
      <c r="N8" s="29"/>
    </row>
    <row r="9" spans="1:14">
      <c r="A9" s="29" t="s">
        <v>1</v>
      </c>
      <c r="B9" s="29"/>
      <c r="C9" s="90" t="s">
        <v>2</v>
      </c>
      <c r="D9" s="30"/>
      <c r="E9" s="29"/>
      <c r="F9" s="29"/>
      <c r="G9" s="29"/>
      <c r="H9" s="29"/>
      <c r="I9" s="29"/>
      <c r="J9" s="29"/>
      <c r="K9" s="29"/>
      <c r="L9" s="29"/>
      <c r="M9" s="29"/>
      <c r="N9" s="29"/>
    </row>
    <row r="10" spans="1:14">
      <c r="A10" s="29" t="s">
        <v>49</v>
      </c>
      <c r="B10" s="29"/>
      <c r="C10" s="31">
        <v>24</v>
      </c>
      <c r="D10" s="31"/>
      <c r="E10" s="29"/>
      <c r="F10" s="29"/>
      <c r="G10" s="29"/>
      <c r="H10" s="29"/>
      <c r="I10" s="29"/>
      <c r="J10" s="29"/>
      <c r="K10" s="29"/>
      <c r="L10" s="29"/>
      <c r="M10" s="29"/>
      <c r="N10" s="29"/>
    </row>
    <row r="11" spans="1:14">
      <c r="A11" s="29" t="s">
        <v>3</v>
      </c>
      <c r="B11" s="29"/>
      <c r="C11" s="30" t="s">
        <v>32</v>
      </c>
      <c r="D11" s="30"/>
      <c r="E11" s="29"/>
      <c r="F11" s="29"/>
      <c r="G11" s="29"/>
      <c r="H11" s="29"/>
      <c r="I11" s="29"/>
      <c r="J11" s="29"/>
      <c r="K11" s="29"/>
      <c r="L11" s="29"/>
      <c r="M11" s="29"/>
      <c r="N11" s="29"/>
    </row>
    <row r="12" spans="1:14">
      <c r="A12" s="116" t="s">
        <v>50</v>
      </c>
      <c r="B12" s="116"/>
      <c r="C12" s="117" t="s">
        <v>51</v>
      </c>
      <c r="D12" s="117"/>
      <c r="E12" s="116"/>
      <c r="F12" s="116"/>
      <c r="G12" s="116"/>
      <c r="H12" s="116"/>
      <c r="I12" s="116"/>
      <c r="J12" s="116"/>
      <c r="K12" s="116"/>
      <c r="L12" s="116"/>
      <c r="M12" s="116"/>
      <c r="N12" s="116"/>
    </row>
    <row r="13" spans="1:14" s="92" customFormat="1" ht="24.95" customHeight="1">
      <c r="A13" s="98"/>
      <c r="B13" s="98"/>
      <c r="C13" s="93"/>
      <c r="D13" s="93"/>
      <c r="E13" s="182" t="s">
        <v>426</v>
      </c>
      <c r="F13" s="182"/>
      <c r="G13" s="182"/>
      <c r="H13" s="182"/>
      <c r="I13" s="182"/>
      <c r="J13" s="182"/>
      <c r="K13" s="182"/>
      <c r="L13" s="182"/>
      <c r="M13" s="182"/>
      <c r="N13" s="182"/>
    </row>
    <row r="14" spans="1:14" s="6" customFormat="1" ht="45">
      <c r="A14" s="40"/>
      <c r="B14" s="40"/>
      <c r="C14" s="64" t="s">
        <v>427</v>
      </c>
      <c r="D14" s="64"/>
      <c r="E14" s="64" t="s">
        <v>428</v>
      </c>
      <c r="F14" s="64" t="s">
        <v>429</v>
      </c>
      <c r="G14" s="64" t="s">
        <v>430</v>
      </c>
      <c r="H14" s="64" t="s">
        <v>431</v>
      </c>
      <c r="I14" s="64" t="s">
        <v>432</v>
      </c>
      <c r="J14" s="64" t="s">
        <v>433</v>
      </c>
      <c r="K14" s="64" t="s">
        <v>434</v>
      </c>
      <c r="L14" s="64" t="s">
        <v>435</v>
      </c>
      <c r="M14" s="64" t="s">
        <v>436</v>
      </c>
      <c r="N14" s="64" t="s">
        <v>90</v>
      </c>
    </row>
    <row r="15" spans="1:14">
      <c r="A15" s="67"/>
      <c r="B15" s="67"/>
      <c r="C15" s="187" t="s">
        <v>144</v>
      </c>
      <c r="D15" s="187"/>
      <c r="E15" s="187"/>
      <c r="F15" s="187"/>
      <c r="G15" s="187"/>
      <c r="H15" s="187"/>
      <c r="I15" s="187"/>
      <c r="J15" s="187"/>
      <c r="K15" s="187"/>
      <c r="L15" s="187"/>
      <c r="M15" s="187"/>
      <c r="N15" s="187"/>
    </row>
    <row r="16" spans="1:14">
      <c r="A16" s="35" t="s">
        <v>145</v>
      </c>
      <c r="B16" s="35" t="s">
        <v>57</v>
      </c>
      <c r="C16" s="28">
        <v>0.14294242805400378</v>
      </c>
      <c r="D16" s="28"/>
      <c r="E16" s="28">
        <v>4.5536308020693153E-2</v>
      </c>
      <c r="F16" s="28">
        <v>4.4913846073659398E-2</v>
      </c>
      <c r="G16" s="28">
        <v>3.6517466228788382E-2</v>
      </c>
      <c r="H16" s="28">
        <v>2.9782361699816195E-2</v>
      </c>
      <c r="I16" s="28">
        <v>2.6699630321989774E-2</v>
      </c>
      <c r="J16" s="28">
        <v>2.3403628475226462E-2</v>
      </c>
      <c r="K16" s="28">
        <v>1.9822644552303065E-2</v>
      </c>
      <c r="L16" s="28">
        <v>1.3310818662200845E-2</v>
      </c>
      <c r="M16" s="28">
        <v>1.2256613418395958E-2</v>
      </c>
      <c r="N16" s="28">
        <v>1.6730580373585781E-3</v>
      </c>
    </row>
    <row r="17" spans="1:14">
      <c r="A17" s="34" t="s">
        <v>61</v>
      </c>
      <c r="B17" s="34" t="s">
        <v>62</v>
      </c>
      <c r="C17" s="102">
        <v>0.19530884638953658</v>
      </c>
      <c r="D17" s="102"/>
      <c r="E17" s="102">
        <v>7.8219868522227246E-2</v>
      </c>
      <c r="F17" s="102">
        <v>6.3770850921697445E-2</v>
      </c>
      <c r="G17" s="102">
        <v>3.1503196897490399E-2</v>
      </c>
      <c r="H17" s="102">
        <v>2.1111735511918844E-2</v>
      </c>
      <c r="I17" s="102">
        <v>2.5234401323665785E-2</v>
      </c>
      <c r="J17" s="102">
        <v>2.0810753176707622E-2</v>
      </c>
      <c r="K17" s="102">
        <v>1.8942439035919672E-2</v>
      </c>
      <c r="L17" s="102">
        <v>8.8446841725944286E-3</v>
      </c>
      <c r="M17" s="102">
        <v>1.0552934926449292E-2</v>
      </c>
      <c r="N17" s="102">
        <v>4.887550238610326E-3</v>
      </c>
    </row>
    <row r="18" spans="1:14">
      <c r="A18" s="34"/>
      <c r="B18" s="34" t="s">
        <v>63</v>
      </c>
      <c r="C18" s="102">
        <v>0.22275443325989833</v>
      </c>
      <c r="D18" s="102"/>
      <c r="E18" s="102">
        <v>8.4929343764326051E-2</v>
      </c>
      <c r="F18" s="102">
        <v>6.4818201341422729E-2</v>
      </c>
      <c r="G18" s="102">
        <v>3.7853393390593924E-2</v>
      </c>
      <c r="H18" s="102">
        <v>2.8237234256595259E-2</v>
      </c>
      <c r="I18" s="102">
        <v>4.0191497065962395E-2</v>
      </c>
      <c r="J18" s="102">
        <v>3.4505374589225042E-2</v>
      </c>
      <c r="K18" s="102">
        <v>3.1915330074973977E-2</v>
      </c>
      <c r="L18" s="102">
        <v>2.9219674959370792E-2</v>
      </c>
      <c r="M18" s="102">
        <v>1.7864516864955982E-2</v>
      </c>
      <c r="N18" s="102">
        <v>2.9192281159500589E-3</v>
      </c>
    </row>
    <row r="19" spans="1:14">
      <c r="A19" s="34"/>
      <c r="B19" s="34" t="s">
        <v>64</v>
      </c>
      <c r="C19" s="102">
        <v>0.16605478125131604</v>
      </c>
      <c r="D19" s="102"/>
      <c r="E19" s="102">
        <v>5.588485442206817E-2</v>
      </c>
      <c r="F19" s="102">
        <v>4.032309118965114E-2</v>
      </c>
      <c r="G19" s="102">
        <v>4.0869548614173967E-2</v>
      </c>
      <c r="H19" s="102">
        <v>3.0133420750480158E-2</v>
      </c>
      <c r="I19" s="102">
        <v>3.2789618340668319E-2</v>
      </c>
      <c r="J19" s="102">
        <v>2.7393985789321146E-2</v>
      </c>
      <c r="K19" s="102">
        <v>2.7262562107138576E-2</v>
      </c>
      <c r="L19" s="102">
        <v>2.2313109133193183E-2</v>
      </c>
      <c r="M19" s="102">
        <v>1.8152470101098474E-2</v>
      </c>
      <c r="N19" s="102">
        <v>1.384925309317323E-3</v>
      </c>
    </row>
    <row r="20" spans="1:14">
      <c r="A20" s="34"/>
      <c r="B20" s="34" t="s">
        <v>65</v>
      </c>
      <c r="C20" s="102">
        <v>0.15465044384341894</v>
      </c>
      <c r="D20" s="102"/>
      <c r="E20" s="102">
        <v>5.1262554440207976E-2</v>
      </c>
      <c r="F20" s="102">
        <v>4.515937851519098E-2</v>
      </c>
      <c r="G20" s="102">
        <v>4.5128293945893065E-2</v>
      </c>
      <c r="H20" s="102">
        <v>3.0553803288366835E-2</v>
      </c>
      <c r="I20" s="102">
        <v>3.3096352727564449E-2</v>
      </c>
      <c r="J20" s="102">
        <v>2.7015105013321845E-2</v>
      </c>
      <c r="K20" s="102">
        <v>2.1212365765206499E-2</v>
      </c>
      <c r="L20" s="102">
        <v>1.550094191798557E-2</v>
      </c>
      <c r="M20" s="102">
        <v>1.3176903397437151E-2</v>
      </c>
      <c r="N20" s="102">
        <v>8.1695111129737779E-4</v>
      </c>
    </row>
    <row r="21" spans="1:14">
      <c r="A21" s="34"/>
      <c r="B21" s="34" t="s">
        <v>66</v>
      </c>
      <c r="C21" s="102">
        <v>0.16624358634804523</v>
      </c>
      <c r="D21" s="102"/>
      <c r="E21" s="102">
        <v>5.0758891932756123E-2</v>
      </c>
      <c r="F21" s="102">
        <v>6.2908938020222946E-2</v>
      </c>
      <c r="G21" s="102">
        <v>4.8989187540129556E-2</v>
      </c>
      <c r="H21" s="102">
        <v>3.123279943878109E-2</v>
      </c>
      <c r="I21" s="102">
        <v>3.7559781130810849E-2</v>
      </c>
      <c r="J21" s="102">
        <v>3.916550955651938E-2</v>
      </c>
      <c r="K21" s="102">
        <v>2.3081434872070396E-2</v>
      </c>
      <c r="L21" s="102">
        <v>1.1223466474224472E-2</v>
      </c>
      <c r="M21" s="102">
        <v>1.4622134435101575E-2</v>
      </c>
      <c r="N21" s="102">
        <v>1.5269548069596409E-3</v>
      </c>
    </row>
    <row r="22" spans="1:14">
      <c r="A22" s="34"/>
      <c r="B22" s="34" t="s">
        <v>67</v>
      </c>
      <c r="C22" s="102">
        <v>0.1016714315317504</v>
      </c>
      <c r="D22" s="102"/>
      <c r="E22" s="102">
        <v>2.4428044238770135E-2</v>
      </c>
      <c r="F22" s="102">
        <v>3.7152409469287433E-2</v>
      </c>
      <c r="G22" s="102">
        <v>3.2903490872159678E-2</v>
      </c>
      <c r="H22" s="102">
        <v>3.4497418131948232E-2</v>
      </c>
      <c r="I22" s="102">
        <v>1.3939091766412325E-2</v>
      </c>
      <c r="J22" s="102">
        <v>1.3277352101408771E-2</v>
      </c>
      <c r="K22" s="102">
        <v>1.4066557985505676E-2</v>
      </c>
      <c r="L22" s="102">
        <v>5.4926323129663845E-3</v>
      </c>
      <c r="M22" s="102">
        <v>8.8217967958758251E-3</v>
      </c>
      <c r="N22" s="102">
        <v>1.2998457279452011E-3</v>
      </c>
    </row>
    <row r="23" spans="1:14">
      <c r="A23" s="34"/>
      <c r="B23" s="34" t="s">
        <v>68</v>
      </c>
      <c r="C23" s="102">
        <v>7.1368448858753597E-2</v>
      </c>
      <c r="D23" s="102"/>
      <c r="E23" s="102">
        <v>1.4649962066417848E-2</v>
      </c>
      <c r="F23" s="102">
        <v>2.6583425730750693E-2</v>
      </c>
      <c r="G23" s="102">
        <v>1.9638966576560345E-2</v>
      </c>
      <c r="H23" s="102">
        <v>2.7376490489420015E-2</v>
      </c>
      <c r="I23" s="102">
        <v>1.0196419789177631E-2</v>
      </c>
      <c r="J23" s="102">
        <v>7.2502445940198675E-3</v>
      </c>
      <c r="K23" s="102">
        <v>7.6546946277585058E-3</v>
      </c>
      <c r="L23" s="102">
        <v>3.0741405042807976E-3</v>
      </c>
      <c r="M23" s="102">
        <v>4.4614097838336477E-3</v>
      </c>
      <c r="N23" s="102">
        <v>1.6346938969867568E-3</v>
      </c>
    </row>
    <row r="24" spans="1:14">
      <c r="A24" s="34"/>
      <c r="B24" s="34"/>
    </row>
    <row r="25" spans="1:14">
      <c r="A25" s="35" t="s">
        <v>58</v>
      </c>
      <c r="B25" s="35" t="s">
        <v>57</v>
      </c>
      <c r="C25" s="28">
        <v>0.17533654545120378</v>
      </c>
      <c r="D25" s="28"/>
      <c r="E25" s="28">
        <v>5.8903886625020628E-2</v>
      </c>
      <c r="F25" s="28">
        <v>5.8006656981938791E-2</v>
      </c>
      <c r="G25" s="28">
        <v>3.9761000902242077E-2</v>
      </c>
      <c r="H25" s="28">
        <v>3.7250788545977229E-2</v>
      </c>
      <c r="I25" s="28">
        <v>3.0849678388780062E-2</v>
      </c>
      <c r="J25" s="28">
        <v>2.6734124166387912E-2</v>
      </c>
      <c r="K25" s="28">
        <v>2.2975475484920706E-2</v>
      </c>
      <c r="L25" s="28">
        <v>1.5929422688673704E-2</v>
      </c>
      <c r="M25" s="28">
        <v>1.5408852704805348E-2</v>
      </c>
      <c r="N25" s="28">
        <v>2.2190417818003902E-3</v>
      </c>
    </row>
    <row r="26" spans="1:14">
      <c r="A26" s="34" t="s">
        <v>61</v>
      </c>
      <c r="B26" s="34" t="s">
        <v>62</v>
      </c>
      <c r="C26" s="102">
        <v>0.23718726171651996</v>
      </c>
      <c r="D26" s="102"/>
      <c r="E26" s="102">
        <v>7.7479538602729631E-2</v>
      </c>
      <c r="F26" s="102">
        <v>8.1714267774161783E-2</v>
      </c>
      <c r="G26" s="102">
        <v>2.9249979798588829E-2</v>
      </c>
      <c r="H26" s="102">
        <v>3.3623698454395827E-2</v>
      </c>
      <c r="I26" s="102">
        <v>3.4423491002166275E-2</v>
      </c>
      <c r="J26" s="102">
        <v>3.4896820851685606E-2</v>
      </c>
      <c r="K26" s="102">
        <v>1.9633666741884864E-2</v>
      </c>
      <c r="L26" s="102">
        <v>9.9282771299389963E-3</v>
      </c>
      <c r="M26" s="102">
        <v>1.3689969283504131E-2</v>
      </c>
      <c r="N26" s="102">
        <v>6.5767491090323966E-3</v>
      </c>
    </row>
    <row r="27" spans="1:14">
      <c r="A27" s="34"/>
      <c r="B27" s="34" t="s">
        <v>63</v>
      </c>
      <c r="C27" s="102">
        <v>0.26452490328511941</v>
      </c>
      <c r="D27" s="102"/>
      <c r="E27" s="102">
        <v>9.1405826887050304E-2</v>
      </c>
      <c r="F27" s="102">
        <v>7.7632334002609132E-2</v>
      </c>
      <c r="G27" s="102">
        <v>4.0434646457344174E-2</v>
      </c>
      <c r="H27" s="102">
        <v>3.4211708739932969E-2</v>
      </c>
      <c r="I27" s="102">
        <v>4.9738646513819068E-2</v>
      </c>
      <c r="J27" s="102">
        <v>4.4149847046181939E-2</v>
      </c>
      <c r="K27" s="102">
        <v>3.8227941933621529E-2</v>
      </c>
      <c r="L27" s="102">
        <v>3.5824122068715353E-2</v>
      </c>
      <c r="M27" s="102">
        <v>2.3463141224603086E-2</v>
      </c>
      <c r="N27" s="102">
        <v>3.4581840983154109E-3</v>
      </c>
    </row>
    <row r="28" spans="1:14">
      <c r="A28" s="34"/>
      <c r="B28" s="34" t="s">
        <v>64</v>
      </c>
      <c r="C28" s="102">
        <v>0.20351814786739927</v>
      </c>
      <c r="D28" s="102"/>
      <c r="E28" s="102">
        <v>7.0735394463255538E-2</v>
      </c>
      <c r="F28" s="102">
        <v>4.6971651229847367E-2</v>
      </c>
      <c r="G28" s="102">
        <v>4.6556776395037934E-2</v>
      </c>
      <c r="H28" s="102">
        <v>3.2570990234077821E-2</v>
      </c>
      <c r="I28" s="102">
        <v>4.1387121332225024E-2</v>
      </c>
      <c r="J28" s="102">
        <v>3.5087225569350011E-2</v>
      </c>
      <c r="K28" s="102">
        <v>3.505191768196278E-2</v>
      </c>
      <c r="L28" s="102">
        <v>2.5480636577443459E-2</v>
      </c>
      <c r="M28" s="102">
        <v>2.6262510381636094E-2</v>
      </c>
      <c r="N28" s="102">
        <v>1.9194893184187019E-3</v>
      </c>
    </row>
    <row r="29" spans="1:14">
      <c r="A29" s="34"/>
      <c r="B29" s="34" t="s">
        <v>65</v>
      </c>
      <c r="C29" s="102">
        <v>0.16716763709585272</v>
      </c>
      <c r="D29" s="102"/>
      <c r="E29" s="102">
        <v>6.432209013591543E-2</v>
      </c>
      <c r="F29" s="102">
        <v>5.2998352625590578E-2</v>
      </c>
      <c r="G29" s="102">
        <v>3.9262704583138824E-2</v>
      </c>
      <c r="H29" s="102">
        <v>3.0239252834907131E-2</v>
      </c>
      <c r="I29" s="102">
        <v>3.2944283077650925E-2</v>
      </c>
      <c r="J29" s="102">
        <v>2.4691649381948313E-2</v>
      </c>
      <c r="K29" s="102">
        <v>2.0592170931224806E-2</v>
      </c>
      <c r="L29" s="102">
        <v>1.6234462142952707E-2</v>
      </c>
      <c r="M29" s="102">
        <v>1.321107663230753E-2</v>
      </c>
      <c r="N29" s="102">
        <v>5.8489035792801396E-4</v>
      </c>
    </row>
    <row r="30" spans="1:14">
      <c r="A30" s="34"/>
      <c r="B30" s="34" t="s">
        <v>66</v>
      </c>
      <c r="C30" s="102">
        <v>0.19339330336856775</v>
      </c>
      <c r="D30" s="102"/>
      <c r="E30" s="102">
        <v>7.51576873071607E-2</v>
      </c>
      <c r="F30" s="102">
        <v>7.948430397376946E-2</v>
      </c>
      <c r="G30" s="102">
        <v>4.9871855774701289E-2</v>
      </c>
      <c r="H30" s="102">
        <v>3.6933817890076034E-2</v>
      </c>
      <c r="I30" s="102">
        <v>3.2783479575770824E-2</v>
      </c>
      <c r="J30" s="102">
        <v>3.5182616180242356E-2</v>
      </c>
      <c r="K30" s="102">
        <v>2.2328489831438782E-2</v>
      </c>
      <c r="L30" s="102">
        <v>1.2230681417405532E-2</v>
      </c>
      <c r="M30" s="102">
        <v>1.4265187580037425E-2</v>
      </c>
      <c r="N30" s="102">
        <v>1.929969589647423E-3</v>
      </c>
    </row>
    <row r="31" spans="1:14">
      <c r="A31" s="34"/>
      <c r="B31" s="34" t="s">
        <v>67</v>
      </c>
      <c r="C31" s="102">
        <v>0.13136045719837555</v>
      </c>
      <c r="D31" s="102"/>
      <c r="E31" s="102">
        <v>3.6488269049852064E-2</v>
      </c>
      <c r="F31" s="102">
        <v>5.2966514822800161E-2</v>
      </c>
      <c r="G31" s="102">
        <v>4.07385064193286E-2</v>
      </c>
      <c r="H31" s="102">
        <v>4.5761166283511706E-2</v>
      </c>
      <c r="I31" s="102">
        <v>1.9022084533613037E-2</v>
      </c>
      <c r="J31" s="102">
        <v>1.6867618133822228E-2</v>
      </c>
      <c r="K31" s="102">
        <v>1.7782193238200673E-2</v>
      </c>
      <c r="L31" s="102">
        <v>7.6994458599279596E-3</v>
      </c>
      <c r="M31" s="102">
        <v>1.2993477405032674E-2</v>
      </c>
      <c r="N31" s="102">
        <v>1.6596857488549259E-3</v>
      </c>
    </row>
    <row r="32" spans="1:14">
      <c r="A32" s="34"/>
      <c r="B32" s="34" t="s">
        <v>68</v>
      </c>
      <c r="C32" s="102">
        <v>0.10808922794525827</v>
      </c>
      <c r="D32" s="102"/>
      <c r="E32" s="102">
        <v>2.3758447476468367E-2</v>
      </c>
      <c r="F32" s="102">
        <v>4.319520279577492E-2</v>
      </c>
      <c r="G32" s="102">
        <v>2.7730519145174139E-2</v>
      </c>
      <c r="H32" s="102">
        <v>4.4565130085960733E-2</v>
      </c>
      <c r="I32" s="102">
        <v>1.443188687930503E-2</v>
      </c>
      <c r="J32" s="102">
        <v>9.4641245974706779E-3</v>
      </c>
      <c r="K32" s="102">
        <v>1.0052081457223246E-2</v>
      </c>
      <c r="L32" s="102">
        <v>5.3276955399375889E-3</v>
      </c>
      <c r="M32" s="102">
        <v>5.6527808539243007E-3</v>
      </c>
      <c r="N32" s="102">
        <v>2.8026500658562782E-3</v>
      </c>
    </row>
    <row r="33" spans="1:14">
      <c r="A33" s="34"/>
      <c r="B33" s="34"/>
    </row>
    <row r="34" spans="1:14">
      <c r="A34" s="35" t="s">
        <v>59</v>
      </c>
      <c r="B34" s="35" t="s">
        <v>57</v>
      </c>
      <c r="C34" s="28">
        <v>0.11195704588747714</v>
      </c>
      <c r="D34" s="28"/>
      <c r="E34" s="28">
        <v>3.2637082069066528E-2</v>
      </c>
      <c r="F34" s="28">
        <v>3.2404486127825968E-2</v>
      </c>
      <c r="G34" s="28">
        <v>3.351848410258669E-2</v>
      </c>
      <c r="H34" s="28">
        <v>2.2711353885620351E-2</v>
      </c>
      <c r="I34" s="28">
        <v>2.2889032300120061E-2</v>
      </c>
      <c r="J34" s="28">
        <v>2.0271410296943102E-2</v>
      </c>
      <c r="K34" s="28">
        <v>1.6863349039272946E-2</v>
      </c>
      <c r="L34" s="28">
        <v>1.0837164255183001E-2</v>
      </c>
      <c r="M34" s="28">
        <v>9.2894108429421463E-3</v>
      </c>
      <c r="N34" s="28">
        <v>1.117445551543052E-3</v>
      </c>
    </row>
    <row r="35" spans="1:14">
      <c r="A35" s="34" t="s">
        <v>61</v>
      </c>
      <c r="B35" s="34" t="s">
        <v>62</v>
      </c>
      <c r="C35" s="102">
        <v>0.15860659084613671</v>
      </c>
      <c r="D35" s="102"/>
      <c r="E35" s="102">
        <v>8.174121587196391E-2</v>
      </c>
      <c r="F35" s="102">
        <v>4.7344903698797472E-2</v>
      </c>
      <c r="G35" s="102">
        <v>3.495551384148602E-2</v>
      </c>
      <c r="H35" s="102">
        <v>8.8364560706221101E-3</v>
      </c>
      <c r="I35" s="102">
        <v>1.6561333509486721E-2</v>
      </c>
      <c r="J35" s="102">
        <v>6.8871441790497633E-3</v>
      </c>
      <c r="K35" s="102">
        <v>1.8889494308665062E-2</v>
      </c>
      <c r="L35" s="102">
        <v>8.0283612113341719E-3</v>
      </c>
      <c r="M35" s="102">
        <v>7.6602339577169542E-3</v>
      </c>
      <c r="N35" s="102">
        <v>3.3019603789411797E-3</v>
      </c>
    </row>
    <row r="36" spans="1:14">
      <c r="A36" s="34"/>
      <c r="B36" s="34" t="s">
        <v>63</v>
      </c>
      <c r="C36" s="102">
        <v>0.17999962520808374</v>
      </c>
      <c r="D36" s="102"/>
      <c r="E36" s="102">
        <v>7.8800995990884762E-2</v>
      </c>
      <c r="F36" s="102">
        <v>5.0946642753494309E-2</v>
      </c>
      <c r="G36" s="102">
        <v>3.5316014021725912E-2</v>
      </c>
      <c r="H36" s="102">
        <v>2.1785078542166089E-2</v>
      </c>
      <c r="I36" s="102">
        <v>3.0718539118921022E-2</v>
      </c>
      <c r="J36" s="102">
        <v>2.4271561294251082E-2</v>
      </c>
      <c r="K36" s="102">
        <v>2.5687118821206233E-2</v>
      </c>
      <c r="L36" s="102">
        <v>2.2613828316453345E-2</v>
      </c>
      <c r="M36" s="102">
        <v>1.2384630488050025E-2</v>
      </c>
      <c r="N36" s="102">
        <v>2.4284334904517493E-3</v>
      </c>
    </row>
    <row r="37" spans="1:14">
      <c r="A37" s="34"/>
      <c r="B37" s="34" t="s">
        <v>64</v>
      </c>
      <c r="C37" s="102">
        <v>0.12884693458203403</v>
      </c>
      <c r="D37" s="102"/>
      <c r="E37" s="102">
        <v>4.1252901872827194E-2</v>
      </c>
      <c r="F37" s="102">
        <v>3.397576710764437E-2</v>
      </c>
      <c r="G37" s="102">
        <v>3.545445749154285E-2</v>
      </c>
      <c r="H37" s="102">
        <v>2.7902592079110083E-2</v>
      </c>
      <c r="I37" s="102">
        <v>2.4379829873927113E-2</v>
      </c>
      <c r="J37" s="102">
        <v>1.9856815000956506E-2</v>
      </c>
      <c r="K37" s="102">
        <v>1.9357524870871119E-2</v>
      </c>
      <c r="L37" s="102">
        <v>1.9207219795584349E-2</v>
      </c>
      <c r="M37" s="102">
        <v>1.0264260088303901E-2</v>
      </c>
      <c r="N37" s="102">
        <v>8.6782806151696553E-4</v>
      </c>
    </row>
    <row r="38" spans="1:14">
      <c r="A38" s="34"/>
      <c r="B38" s="34" t="s">
        <v>65</v>
      </c>
      <c r="C38" s="102">
        <v>0.14310122217852905</v>
      </c>
      <c r="D38" s="102"/>
      <c r="E38" s="102">
        <v>3.8553931807543414E-2</v>
      </c>
      <c r="F38" s="102">
        <v>3.7855919928597555E-2</v>
      </c>
      <c r="G38" s="102">
        <v>5.100271808236622E-2</v>
      </c>
      <c r="H38" s="102">
        <v>3.113373828810739E-2</v>
      </c>
      <c r="I38" s="102">
        <v>3.3539145975111671E-2</v>
      </c>
      <c r="J38" s="102">
        <v>2.953791987437163E-2</v>
      </c>
      <c r="K38" s="102">
        <v>2.2009874556775565E-2</v>
      </c>
      <c r="L38" s="102">
        <v>1.4917468918910702E-2</v>
      </c>
      <c r="M38" s="102">
        <v>1.2970156470311805E-2</v>
      </c>
      <c r="N38" s="102">
        <v>1.0522490356426695E-3</v>
      </c>
    </row>
    <row r="39" spans="1:14">
      <c r="A39" s="34"/>
      <c r="B39" s="34" t="s">
        <v>66</v>
      </c>
      <c r="C39" s="102">
        <v>0.14024197581213055</v>
      </c>
      <c r="D39" s="102"/>
      <c r="E39" s="102">
        <v>2.7111458889315192E-2</v>
      </c>
      <c r="F39" s="102">
        <v>4.6810553896148945E-2</v>
      </c>
      <c r="G39" s="102">
        <v>4.8218134522837672E-2</v>
      </c>
      <c r="H39" s="102">
        <v>2.5675023179531919E-2</v>
      </c>
      <c r="I39" s="102">
        <v>4.2433309573974808E-2</v>
      </c>
      <c r="J39" s="102">
        <v>4.3280018493700965E-2</v>
      </c>
      <c r="K39" s="102">
        <v>2.3960259813367385E-2</v>
      </c>
      <c r="L39" s="102">
        <v>1.031908001934596E-2</v>
      </c>
      <c r="M39" s="102">
        <v>1.5062464403770152E-2</v>
      </c>
      <c r="N39" s="102">
        <v>1.1459904206407065E-3</v>
      </c>
    </row>
    <row r="40" spans="1:14">
      <c r="A40" s="34"/>
      <c r="B40" s="34" t="s">
        <v>67</v>
      </c>
      <c r="C40" s="102">
        <v>7.2871663661674163E-2</v>
      </c>
      <c r="D40" s="102"/>
      <c r="E40" s="102">
        <v>1.2435837389318088E-2</v>
      </c>
      <c r="F40" s="102">
        <v>2.2173081934516031E-2</v>
      </c>
      <c r="G40" s="102">
        <v>2.5546669524302328E-2</v>
      </c>
      <c r="H40" s="102">
        <v>2.3864059911886559E-2</v>
      </c>
      <c r="I40" s="102">
        <v>9.1333169767488648E-3</v>
      </c>
      <c r="J40" s="102">
        <v>9.6291814107958666E-3</v>
      </c>
      <c r="K40" s="102">
        <v>1.0570847025240603E-2</v>
      </c>
      <c r="L40" s="102">
        <v>3.403682863079867E-3</v>
      </c>
      <c r="M40" s="102">
        <v>4.8659639409351961E-3</v>
      </c>
      <c r="N40" s="102">
        <v>6.3564429988777248E-4</v>
      </c>
    </row>
    <row r="41" spans="1:14">
      <c r="A41" s="118"/>
      <c r="B41" s="118" t="s">
        <v>68</v>
      </c>
      <c r="C41" s="124">
        <v>3.941919100922308E-2</v>
      </c>
      <c r="D41" s="124"/>
      <c r="E41" s="124">
        <v>6.7507335888109671E-3</v>
      </c>
      <c r="F41" s="124">
        <v>1.2176514109316465E-2</v>
      </c>
      <c r="G41" s="124">
        <v>1.2495282111681801E-2</v>
      </c>
      <c r="H41" s="124">
        <v>1.2468761055390605E-2</v>
      </c>
      <c r="I41" s="124">
        <v>6.5368330747396083E-3</v>
      </c>
      <c r="J41" s="124">
        <v>5.3450804253958083E-3</v>
      </c>
      <c r="K41" s="124">
        <v>5.590824667728215E-3</v>
      </c>
      <c r="L41" s="124">
        <v>1.1175632860337095E-3</v>
      </c>
      <c r="M41" s="124">
        <v>3.4384153375353302E-3</v>
      </c>
      <c r="N41" s="124">
        <v>6.2081948770621026E-4</v>
      </c>
    </row>
    <row r="42" spans="1:14">
      <c r="A42" s="67"/>
      <c r="B42" s="67"/>
      <c r="C42" s="187" t="s">
        <v>437</v>
      </c>
      <c r="D42" s="187"/>
      <c r="E42" s="187"/>
      <c r="F42" s="187"/>
      <c r="G42" s="187"/>
      <c r="H42" s="187"/>
      <c r="I42" s="187"/>
      <c r="J42" s="187"/>
      <c r="K42" s="187"/>
      <c r="L42" s="187"/>
      <c r="M42" s="187"/>
      <c r="N42" s="187"/>
    </row>
    <row r="43" spans="1:14">
      <c r="A43" s="35" t="s">
        <v>145</v>
      </c>
      <c r="B43" s="35" t="s">
        <v>57</v>
      </c>
      <c r="C43" s="46">
        <v>3206095.1188486763</v>
      </c>
      <c r="D43" s="46"/>
      <c r="E43" s="46">
        <v>1021346.4040248259</v>
      </c>
      <c r="F43" s="46">
        <v>1007385.0334421182</v>
      </c>
      <c r="G43" s="46">
        <v>819060.31556010409</v>
      </c>
      <c r="H43" s="46">
        <v>667996.79964504391</v>
      </c>
      <c r="I43" s="46">
        <v>598853.36786118662</v>
      </c>
      <c r="J43" s="46">
        <v>524926.43394460483</v>
      </c>
      <c r="K43" s="46">
        <v>444607.55849061604</v>
      </c>
      <c r="L43" s="46">
        <v>298552.02071031742</v>
      </c>
      <c r="M43" s="46">
        <v>274906.96072049689</v>
      </c>
      <c r="N43" s="46">
        <v>37525.479874312514</v>
      </c>
    </row>
    <row r="44" spans="1:14">
      <c r="A44" s="34" t="s">
        <v>61</v>
      </c>
      <c r="B44" s="34" t="s">
        <v>62</v>
      </c>
      <c r="C44" s="104">
        <v>195190.5581388975</v>
      </c>
      <c r="D44" s="104"/>
      <c r="E44" s="104">
        <v>78172.494879999795</v>
      </c>
      <c r="F44" s="104">
        <v>63732.228286129524</v>
      </c>
      <c r="G44" s="104">
        <v>31484.117075355203</v>
      </c>
      <c r="H44" s="104">
        <v>21098.9492489931</v>
      </c>
      <c r="I44" s="104">
        <v>25219.118179846751</v>
      </c>
      <c r="J44" s="104">
        <v>20798.149202882265</v>
      </c>
      <c r="K44" s="104">
        <v>18930.96660127159</v>
      </c>
      <c r="L44" s="104">
        <v>8839.3274146309686</v>
      </c>
      <c r="M44" s="104">
        <v>10546.543571246322</v>
      </c>
      <c r="N44" s="104">
        <v>4884.5901076263826</v>
      </c>
    </row>
    <row r="45" spans="1:14">
      <c r="A45" s="34"/>
      <c r="B45" s="34" t="s">
        <v>63</v>
      </c>
      <c r="C45" s="104">
        <v>545169.64252250036</v>
      </c>
      <c r="D45" s="104"/>
      <c r="E45" s="104">
        <v>207856.24466403632</v>
      </c>
      <c r="F45" s="104">
        <v>158636.19474197223</v>
      </c>
      <c r="G45" s="104">
        <v>92642.470190193897</v>
      </c>
      <c r="H45" s="104">
        <v>69107.863220531828</v>
      </c>
      <c r="I45" s="104">
        <v>98364.749770569135</v>
      </c>
      <c r="J45" s="104">
        <v>84448.522323974379</v>
      </c>
      <c r="K45" s="104">
        <v>78109.642233968931</v>
      </c>
      <c r="L45" s="104">
        <v>71512.290548390141</v>
      </c>
      <c r="M45" s="104">
        <v>43721.654068011507</v>
      </c>
      <c r="N45" s="104">
        <v>7144.524690816258</v>
      </c>
    </row>
    <row r="46" spans="1:14">
      <c r="A46" s="34"/>
      <c r="B46" s="34" t="s">
        <v>64</v>
      </c>
      <c r="C46" s="104">
        <v>669334.07100939518</v>
      </c>
      <c r="D46" s="104"/>
      <c r="E46" s="104">
        <v>225260.8255915175</v>
      </c>
      <c r="F46" s="104">
        <v>162534.42736349016</v>
      </c>
      <c r="G46" s="104">
        <v>164737.08945989562</v>
      </c>
      <c r="H46" s="104">
        <v>121461.87560737894</v>
      </c>
      <c r="I46" s="104">
        <v>132168.48419189928</v>
      </c>
      <c r="J46" s="104">
        <v>110419.75359799841</v>
      </c>
      <c r="K46" s="104">
        <v>109890.01065678691</v>
      </c>
      <c r="L46" s="104">
        <v>89939.741936089224</v>
      </c>
      <c r="M46" s="104">
        <v>73169.026631374247</v>
      </c>
      <c r="N46" s="104">
        <v>5582.360762779681</v>
      </c>
    </row>
    <row r="47" spans="1:14">
      <c r="A47" s="34"/>
      <c r="B47" s="34" t="s">
        <v>65</v>
      </c>
      <c r="C47" s="104">
        <v>593002.06105500215</v>
      </c>
      <c r="D47" s="104"/>
      <c r="E47" s="104">
        <v>196564.58580077451</v>
      </c>
      <c r="F47" s="104">
        <v>173162.15763716234</v>
      </c>
      <c r="G47" s="104">
        <v>173042.96487442229</v>
      </c>
      <c r="H47" s="104">
        <v>117157.55786265501</v>
      </c>
      <c r="I47" s="104">
        <v>126906.880401328</v>
      </c>
      <c r="J47" s="104">
        <v>103588.53524363096</v>
      </c>
      <c r="K47" s="104">
        <v>81338.121676236711</v>
      </c>
      <c r="L47" s="104">
        <v>59437.85402236649</v>
      </c>
      <c r="M47" s="104">
        <v>50526.404443522762</v>
      </c>
      <c r="N47" s="104">
        <v>3132.5722755184652</v>
      </c>
    </row>
    <row r="48" spans="1:14">
      <c r="A48" s="34"/>
      <c r="B48" s="34" t="s">
        <v>66</v>
      </c>
      <c r="C48" s="104">
        <v>554684.17809328588</v>
      </c>
      <c r="D48" s="104"/>
      <c r="E48" s="104">
        <v>169360.84495735983</v>
      </c>
      <c r="F48" s="104">
        <v>209900.38381038053</v>
      </c>
      <c r="G48" s="104">
        <v>163456.093694132</v>
      </c>
      <c r="H48" s="104">
        <v>104210.57477659761</v>
      </c>
      <c r="I48" s="104">
        <v>125321.02310575843</v>
      </c>
      <c r="J48" s="104">
        <v>130678.65627297407</v>
      </c>
      <c r="K48" s="104">
        <v>77012.936333219433</v>
      </c>
      <c r="L48" s="104">
        <v>37447.936569289202</v>
      </c>
      <c r="M48" s="104">
        <v>48787.846793219876</v>
      </c>
      <c r="N48" s="104">
        <v>5094.7990878323562</v>
      </c>
    </row>
    <row r="49" spans="1:14">
      <c r="A49" s="34"/>
      <c r="B49" s="34" t="s">
        <v>67</v>
      </c>
      <c r="C49" s="104">
        <v>313448.67892480508</v>
      </c>
      <c r="D49" s="104"/>
      <c r="E49" s="104">
        <v>75310.616561625298</v>
      </c>
      <c r="F49" s="104">
        <v>114539.2908467596</v>
      </c>
      <c r="G49" s="104">
        <v>101440.05637091941</v>
      </c>
      <c r="H49" s="104">
        <v>106354.06600328044</v>
      </c>
      <c r="I49" s="104">
        <v>42973.624289229578</v>
      </c>
      <c r="J49" s="104">
        <v>40933.509178597611</v>
      </c>
      <c r="K49" s="104">
        <v>43366.597195978444</v>
      </c>
      <c r="L49" s="104">
        <v>16933.550717060207</v>
      </c>
      <c r="M49" s="104">
        <v>27197.22256046757</v>
      </c>
      <c r="N49" s="104">
        <v>4007.3688359865305</v>
      </c>
    </row>
    <row r="50" spans="1:14">
      <c r="A50" s="34"/>
      <c r="B50" s="34" t="s">
        <v>68</v>
      </c>
      <c r="C50" s="104">
        <v>335265.92910481221</v>
      </c>
      <c r="D50" s="104"/>
      <c r="E50" s="104">
        <v>68820.791569514462</v>
      </c>
      <c r="F50" s="104">
        <v>124880.35075622566</v>
      </c>
      <c r="G50" s="104">
        <v>92257.523895186518</v>
      </c>
      <c r="H50" s="104">
        <v>128605.91292560636</v>
      </c>
      <c r="I50" s="104">
        <v>47899.487922554712</v>
      </c>
      <c r="J50" s="104">
        <v>34059.308124546289</v>
      </c>
      <c r="K50" s="104">
        <v>35959.283793153321</v>
      </c>
      <c r="L50" s="104">
        <v>14441.319502490825</v>
      </c>
      <c r="M50" s="104">
        <v>20958.262652654346</v>
      </c>
      <c r="N50" s="104">
        <v>7679.2641137528371</v>
      </c>
    </row>
    <row r="51" spans="1:14">
      <c r="A51" s="34"/>
      <c r="B51" s="34"/>
    </row>
    <row r="52" spans="1:14">
      <c r="A52" s="35" t="s">
        <v>58</v>
      </c>
      <c r="B52" s="35" t="s">
        <v>57</v>
      </c>
      <c r="C52" s="46">
        <v>1924842.6675070063</v>
      </c>
      <c r="D52" s="46"/>
      <c r="E52" s="46">
        <v>646646.21950926294</v>
      </c>
      <c r="F52" s="46">
        <v>636796.44235577935</v>
      </c>
      <c r="G52" s="46">
        <v>436495.83058951888</v>
      </c>
      <c r="H52" s="46">
        <v>408938.74695126188</v>
      </c>
      <c r="I52" s="46">
        <v>338667.4300487935</v>
      </c>
      <c r="J52" s="46">
        <v>293486.92106070201</v>
      </c>
      <c r="K52" s="46">
        <v>252224.51717542368</v>
      </c>
      <c r="L52" s="46">
        <v>174873.02707493154</v>
      </c>
      <c r="M52" s="46">
        <v>169158.21551756508</v>
      </c>
      <c r="N52" s="46">
        <v>24360.616274254528</v>
      </c>
    </row>
    <row r="53" spans="1:14">
      <c r="A53" s="34" t="s">
        <v>61</v>
      </c>
      <c r="B53" s="34" t="s">
        <v>62</v>
      </c>
      <c r="C53" s="104">
        <v>118822.01737578766</v>
      </c>
      <c r="D53" s="104"/>
      <c r="E53" s="104">
        <v>38814.37399081175</v>
      </c>
      <c r="F53" s="104">
        <v>40935.816177665154</v>
      </c>
      <c r="G53" s="104">
        <v>14653.154569587454</v>
      </c>
      <c r="H53" s="104">
        <v>16844.225330960089</v>
      </c>
      <c r="I53" s="104">
        <v>17244.891721391235</v>
      </c>
      <c r="J53" s="104">
        <v>17482.012413274275</v>
      </c>
      <c r="K53" s="104">
        <v>9835.7385378600266</v>
      </c>
      <c r="L53" s="104">
        <v>4973.6984571085059</v>
      </c>
      <c r="M53" s="104">
        <v>6858.1666498712757</v>
      </c>
      <c r="N53" s="104">
        <v>3294.7072758216973</v>
      </c>
    </row>
    <row r="54" spans="1:14">
      <c r="A54" s="34"/>
      <c r="B54" s="34" t="s">
        <v>63</v>
      </c>
      <c r="C54" s="104">
        <v>330747.70171753509</v>
      </c>
      <c r="D54" s="104"/>
      <c r="E54" s="104">
        <v>114288.92626376569</v>
      </c>
      <c r="F54" s="104">
        <v>97067.292082724074</v>
      </c>
      <c r="G54" s="104">
        <v>50557.305642836924</v>
      </c>
      <c r="H54" s="104">
        <v>42776.479254076636</v>
      </c>
      <c r="I54" s="104">
        <v>62190.526550367249</v>
      </c>
      <c r="J54" s="104">
        <v>55202.592498317827</v>
      </c>
      <c r="K54" s="104">
        <v>47798.161076382748</v>
      </c>
      <c r="L54" s="104">
        <v>44792.554096522268</v>
      </c>
      <c r="M54" s="104">
        <v>29337.048945999843</v>
      </c>
      <c r="N54" s="104">
        <v>4323.9272689615655</v>
      </c>
    </row>
    <row r="55" spans="1:14">
      <c r="A55" s="34"/>
      <c r="B55" s="34" t="s">
        <v>64</v>
      </c>
      <c r="C55" s="104">
        <v>408414.51525030483</v>
      </c>
      <c r="D55" s="104"/>
      <c r="E55" s="104">
        <v>141949.80714728325</v>
      </c>
      <c r="F55" s="104">
        <v>94261.393239700788</v>
      </c>
      <c r="G55" s="104">
        <v>93428.83404867159</v>
      </c>
      <c r="H55" s="104">
        <v>65362.550352710699</v>
      </c>
      <c r="I55" s="104">
        <v>83054.515155667206</v>
      </c>
      <c r="J55" s="104">
        <v>70412.060902405996</v>
      </c>
      <c r="K55" s="104">
        <v>70341.206023551829</v>
      </c>
      <c r="L55" s="104">
        <v>51133.827351977176</v>
      </c>
      <c r="M55" s="104">
        <v>52702.869789088501</v>
      </c>
      <c r="N55" s="104">
        <v>3851.9773677425915</v>
      </c>
    </row>
    <row r="56" spans="1:14">
      <c r="A56" s="34"/>
      <c r="B56" s="34" t="s">
        <v>65</v>
      </c>
      <c r="C56" s="104">
        <v>316296.58018229838</v>
      </c>
      <c r="D56" s="104"/>
      <c r="E56" s="104">
        <v>121703.32424153369</v>
      </c>
      <c r="F56" s="104">
        <v>100277.76896288806</v>
      </c>
      <c r="G56" s="104">
        <v>74288.656609017533</v>
      </c>
      <c r="H56" s="104">
        <v>57215.454050264168</v>
      </c>
      <c r="I56" s="104">
        <v>62333.620640002853</v>
      </c>
      <c r="J56" s="104">
        <v>46718.876896563903</v>
      </c>
      <c r="K56" s="104">
        <v>38962.285746379843</v>
      </c>
      <c r="L56" s="104">
        <v>30717.098991897641</v>
      </c>
      <c r="M56" s="104">
        <v>24996.574886855386</v>
      </c>
      <c r="N56" s="104">
        <v>1106.6664768860392</v>
      </c>
    </row>
    <row r="57" spans="1:14">
      <c r="A57" s="34"/>
      <c r="B57" s="34" t="s">
        <v>66</v>
      </c>
      <c r="C57" s="104">
        <v>316636.07657627651</v>
      </c>
      <c r="D57" s="104"/>
      <c r="E57" s="104">
        <v>123053.04692030932</v>
      </c>
      <c r="F57" s="104">
        <v>130136.8647273492</v>
      </c>
      <c r="G57" s="104">
        <v>81653.441298246558</v>
      </c>
      <c r="H57" s="104">
        <v>60470.445387702544</v>
      </c>
      <c r="I57" s="104">
        <v>53675.241947791772</v>
      </c>
      <c r="J57" s="104">
        <v>57603.264213188697</v>
      </c>
      <c r="K57" s="104">
        <v>36557.653718888549</v>
      </c>
      <c r="L57" s="104">
        <v>20024.865961781212</v>
      </c>
      <c r="M57" s="104">
        <v>23355.891586170645</v>
      </c>
      <c r="N57" s="104">
        <v>3159.871557769814</v>
      </c>
    </row>
    <row r="58" spans="1:14">
      <c r="A58" s="34"/>
      <c r="B58" s="34" t="s">
        <v>67</v>
      </c>
      <c r="C58" s="104">
        <v>197662.42019686149</v>
      </c>
      <c r="D58" s="104"/>
      <c r="E58" s="104">
        <v>54905.104039765662</v>
      </c>
      <c r="F58" s="104">
        <v>79700.464908225724</v>
      </c>
      <c r="G58" s="104">
        <v>61300.576640726315</v>
      </c>
      <c r="H58" s="104">
        <v>68858.338890904823</v>
      </c>
      <c r="I58" s="104">
        <v>28623.159102020367</v>
      </c>
      <c r="J58" s="104">
        <v>25381.262325029424</v>
      </c>
      <c r="K58" s="104">
        <v>26757.453702852035</v>
      </c>
      <c r="L58" s="104">
        <v>11585.610581042391</v>
      </c>
      <c r="M58" s="104">
        <v>19551.714765832548</v>
      </c>
      <c r="N58" s="104">
        <v>2497.3839835947369</v>
      </c>
    </row>
    <row r="59" spans="1:14">
      <c r="A59" s="34"/>
      <c r="B59" s="34" t="s">
        <v>68</v>
      </c>
      <c r="C59" s="104">
        <v>236263.35620794568</v>
      </c>
      <c r="D59" s="104"/>
      <c r="E59" s="104">
        <v>51931.6369057927</v>
      </c>
      <c r="F59" s="104">
        <v>94416.842257224402</v>
      </c>
      <c r="G59" s="104">
        <v>60613.861780432388</v>
      </c>
      <c r="H59" s="104">
        <v>97411.25368464319</v>
      </c>
      <c r="I59" s="104">
        <v>31545.474931552621</v>
      </c>
      <c r="J59" s="104">
        <v>20686.851811921806</v>
      </c>
      <c r="K59" s="104">
        <v>21972.018369508642</v>
      </c>
      <c r="L59" s="104">
        <v>11645.371634602163</v>
      </c>
      <c r="M59" s="104">
        <v>12355.948893746918</v>
      </c>
      <c r="N59" s="104">
        <v>6126.0823434780814</v>
      </c>
    </row>
    <row r="60" spans="1:14">
      <c r="A60" s="34"/>
      <c r="B60" s="34"/>
    </row>
    <row r="61" spans="1:14">
      <c r="A61" s="35" t="s">
        <v>59</v>
      </c>
      <c r="B61" s="35" t="s">
        <v>57</v>
      </c>
      <c r="C61" s="46">
        <v>1267767.8631159235</v>
      </c>
      <c r="D61" s="46"/>
      <c r="E61" s="46">
        <v>369572.4861713915</v>
      </c>
      <c r="F61" s="46">
        <v>366938.63979702088</v>
      </c>
      <c r="G61" s="46">
        <v>379553.21729665675</v>
      </c>
      <c r="H61" s="46">
        <v>257176.53012192441</v>
      </c>
      <c r="I61" s="46">
        <v>259188.50696613762</v>
      </c>
      <c r="J61" s="46">
        <v>229547.3439012584</v>
      </c>
      <c r="K61" s="46">
        <v>190955.4848203469</v>
      </c>
      <c r="L61" s="46">
        <v>122716.78357642685</v>
      </c>
      <c r="M61" s="46">
        <v>105190.49016172675</v>
      </c>
      <c r="N61" s="46">
        <v>12653.616820614852</v>
      </c>
    </row>
    <row r="62" spans="1:14">
      <c r="A62" s="34" t="s">
        <v>61</v>
      </c>
      <c r="B62" s="34" t="s">
        <v>62</v>
      </c>
      <c r="C62" s="104">
        <v>76368.540763109806</v>
      </c>
      <c r="D62" s="104"/>
      <c r="E62" s="104">
        <v>39358.120889188038</v>
      </c>
      <c r="F62" s="104">
        <v>22796.412108464356</v>
      </c>
      <c r="G62" s="104">
        <v>16830.962505767755</v>
      </c>
      <c r="H62" s="104">
        <v>4254.7239180330125</v>
      </c>
      <c r="I62" s="104">
        <v>7974.2264584555232</v>
      </c>
      <c r="J62" s="104">
        <v>3316.1367896079928</v>
      </c>
      <c r="K62" s="104">
        <v>9095.228063411565</v>
      </c>
      <c r="L62" s="104">
        <v>3865.6289575224628</v>
      </c>
      <c r="M62" s="104">
        <v>3688.3769213750452</v>
      </c>
      <c r="N62" s="104">
        <v>1589.8828318046858</v>
      </c>
    </row>
    <row r="63" spans="1:14">
      <c r="A63" s="34"/>
      <c r="B63" s="34" t="s">
        <v>63</v>
      </c>
      <c r="C63" s="104">
        <v>209067.48354153437</v>
      </c>
      <c r="D63" s="104"/>
      <c r="E63" s="104">
        <v>91526.445754182263</v>
      </c>
      <c r="F63" s="104">
        <v>59173.936518198127</v>
      </c>
      <c r="G63" s="104">
        <v>41019.141966014446</v>
      </c>
      <c r="H63" s="104">
        <v>25303.116849827744</v>
      </c>
      <c r="I63" s="104">
        <v>35679.228021951341</v>
      </c>
      <c r="J63" s="104">
        <v>28191.137817909694</v>
      </c>
      <c r="K63" s="104">
        <v>29835.291518933624</v>
      </c>
      <c r="L63" s="104">
        <v>26265.700130740432</v>
      </c>
      <c r="M63" s="104">
        <v>14384.605122011675</v>
      </c>
      <c r="N63" s="104">
        <v>2820.597421854693</v>
      </c>
    </row>
    <row r="64" spans="1:14">
      <c r="A64" s="34"/>
      <c r="B64" s="34" t="s">
        <v>64</v>
      </c>
      <c r="C64" s="104">
        <v>256911.02418658437</v>
      </c>
      <c r="D64" s="104"/>
      <c r="E64" s="104">
        <v>82255.160397851578</v>
      </c>
      <c r="F64" s="104">
        <v>67745.10510059807</v>
      </c>
      <c r="G64" s="104">
        <v>70693.501678402128</v>
      </c>
      <c r="H64" s="104">
        <v>55635.654288233229</v>
      </c>
      <c r="I64" s="104">
        <v>48611.533388227414</v>
      </c>
      <c r="J64" s="104">
        <v>39592.984462748675</v>
      </c>
      <c r="K64" s="104">
        <v>38597.43777704292</v>
      </c>
      <c r="L64" s="104">
        <v>38297.740846280627</v>
      </c>
      <c r="M64" s="104">
        <v>20466.15684228572</v>
      </c>
      <c r="N64" s="104">
        <v>1730.383395037089</v>
      </c>
    </row>
    <row r="65" spans="1:14">
      <c r="A65" s="34"/>
      <c r="B65" s="34" t="s">
        <v>65</v>
      </c>
      <c r="C65" s="104">
        <v>275514.24233504245</v>
      </c>
      <c r="D65" s="104"/>
      <c r="E65" s="104">
        <v>74228.278062784913</v>
      </c>
      <c r="F65" s="104">
        <v>72884.388674274276</v>
      </c>
      <c r="G65" s="104">
        <v>98196.053224199932</v>
      </c>
      <c r="H65" s="104">
        <v>59942.103812390938</v>
      </c>
      <c r="I65" s="104">
        <v>64573.259761325287</v>
      </c>
      <c r="J65" s="104">
        <v>56869.658347067125</v>
      </c>
      <c r="K65" s="104">
        <v>42375.835929856912</v>
      </c>
      <c r="L65" s="104">
        <v>28720.755030468838</v>
      </c>
      <c r="M65" s="104">
        <v>24971.574515462587</v>
      </c>
      <c r="N65" s="104">
        <v>2025.9057986324262</v>
      </c>
    </row>
    <row r="66" spans="1:14">
      <c r="A66" s="34"/>
      <c r="B66" s="34" t="s">
        <v>66</v>
      </c>
      <c r="C66" s="104">
        <v>236789.1170656943</v>
      </c>
      <c r="D66" s="104"/>
      <c r="E66" s="104">
        <v>45775.869710818261</v>
      </c>
      <c r="F66" s="104">
        <v>79036.462957950207</v>
      </c>
      <c r="G66" s="104">
        <v>81413.067907091056</v>
      </c>
      <c r="H66" s="104">
        <v>43350.544900100678</v>
      </c>
      <c r="I66" s="104">
        <v>71645.781157966718</v>
      </c>
      <c r="J66" s="104">
        <v>73075.392059785343</v>
      </c>
      <c r="K66" s="104">
        <v>40455.282614330907</v>
      </c>
      <c r="L66" s="104">
        <v>17423.070607507987</v>
      </c>
      <c r="M66" s="104">
        <v>25431.955207049217</v>
      </c>
      <c r="N66" s="104">
        <v>1934.927530062542</v>
      </c>
    </row>
    <row r="67" spans="1:14">
      <c r="A67" s="34"/>
      <c r="B67" s="34" t="s">
        <v>67</v>
      </c>
      <c r="C67" s="104">
        <v>114497.53415687536</v>
      </c>
      <c r="D67" s="104"/>
      <c r="E67" s="104">
        <v>19539.456692844269</v>
      </c>
      <c r="F67" s="104">
        <v>34838.82593853381</v>
      </c>
      <c r="G67" s="104">
        <v>40139.479730193016</v>
      </c>
      <c r="H67" s="104">
        <v>37495.7271123756</v>
      </c>
      <c r="I67" s="104">
        <v>14350.4651872092</v>
      </c>
      <c r="J67" s="104">
        <v>15129.578111515009</v>
      </c>
      <c r="K67" s="104">
        <v>16609.14349312639</v>
      </c>
      <c r="L67" s="104">
        <v>5347.9401360178181</v>
      </c>
      <c r="M67" s="104">
        <v>7645.507794635022</v>
      </c>
      <c r="N67" s="104">
        <v>998.73807294866015</v>
      </c>
    </row>
    <row r="68" spans="1:14">
      <c r="A68" s="34"/>
      <c r="B68" s="34" t="s">
        <v>68</v>
      </c>
      <c r="C68" s="104">
        <v>98619.921067099873</v>
      </c>
      <c r="D68" s="104"/>
      <c r="E68" s="104">
        <v>16889.154663721725</v>
      </c>
      <c r="F68" s="104">
        <v>30463.508499001167</v>
      </c>
      <c r="G68" s="104">
        <v>31261.010284987369</v>
      </c>
      <c r="H68" s="104">
        <v>31194.659240963105</v>
      </c>
      <c r="I68" s="104">
        <v>16354.012991002113</v>
      </c>
      <c r="J68" s="104">
        <v>13372.456312624479</v>
      </c>
      <c r="K68" s="104">
        <v>13987.265423644687</v>
      </c>
      <c r="L68" s="104">
        <v>2795.9478678886626</v>
      </c>
      <c r="M68" s="104">
        <v>8602.3137589074322</v>
      </c>
      <c r="N68" s="104">
        <v>1553.1817702747558</v>
      </c>
    </row>
    <row r="69" spans="1:14">
      <c r="A69" s="118"/>
      <c r="B69" s="118"/>
      <c r="C69" s="119"/>
      <c r="D69" s="119"/>
      <c r="E69" s="119"/>
      <c r="F69" s="119"/>
      <c r="G69" s="119"/>
      <c r="H69" s="119"/>
      <c r="I69" s="119"/>
      <c r="J69" s="119"/>
      <c r="K69" s="119"/>
      <c r="L69" s="119"/>
      <c r="M69" s="119"/>
      <c r="N69" s="119"/>
    </row>
    <row r="70" spans="1:14">
      <c r="A70" s="16" t="s">
        <v>438</v>
      </c>
    </row>
    <row r="71" spans="1:14">
      <c r="A71" s="24" t="s">
        <v>117</v>
      </c>
    </row>
    <row r="72" spans="1:14">
      <c r="A72" s="16" t="s">
        <v>121</v>
      </c>
    </row>
    <row r="73" spans="1:14">
      <c r="A73" s="16" t="s">
        <v>122</v>
      </c>
    </row>
    <row r="74" spans="1:14">
      <c r="A74" s="24" t="s">
        <v>120</v>
      </c>
    </row>
    <row r="75" spans="1:14">
      <c r="C75" s="44"/>
      <c r="D75" s="44"/>
      <c r="E75" s="44"/>
      <c r="F75" s="44"/>
      <c r="G75" s="44"/>
      <c r="H75" s="44"/>
      <c r="I75" s="44"/>
      <c r="J75" s="44"/>
      <c r="K75" s="44"/>
      <c r="L75" s="44"/>
      <c r="M75" s="44"/>
      <c r="N75" s="44"/>
    </row>
    <row r="76" spans="1:14">
      <c r="C76" s="44"/>
      <c r="D76" s="44"/>
      <c r="E76" s="44"/>
      <c r="F76" s="44"/>
      <c r="G76" s="44"/>
      <c r="H76" s="44"/>
      <c r="I76" s="44"/>
      <c r="J76" s="44"/>
      <c r="K76" s="44"/>
      <c r="L76" s="44"/>
      <c r="M76" s="44"/>
      <c r="N76" s="44"/>
    </row>
    <row r="77" spans="1:14">
      <c r="C77" s="44"/>
      <c r="D77" s="44"/>
      <c r="E77" s="44"/>
      <c r="F77" s="44"/>
      <c r="G77" s="44"/>
      <c r="H77" s="44"/>
      <c r="I77" s="44"/>
      <c r="J77" s="44"/>
      <c r="K77" s="44"/>
      <c r="L77" s="44"/>
      <c r="M77" s="44"/>
      <c r="N77" s="44"/>
    </row>
    <row r="78" spans="1:14">
      <c r="C78" s="44"/>
      <c r="D78" s="44"/>
      <c r="E78" s="44"/>
      <c r="F78" s="44"/>
      <c r="G78" s="44"/>
      <c r="H78" s="44"/>
      <c r="I78" s="44"/>
      <c r="J78" s="44"/>
      <c r="K78" s="44"/>
      <c r="L78" s="44"/>
      <c r="M78" s="44"/>
      <c r="N78" s="44"/>
    </row>
    <row r="79" spans="1:14">
      <c r="C79" s="44"/>
      <c r="D79" s="44"/>
      <c r="E79" s="44"/>
      <c r="F79" s="44"/>
      <c r="G79" s="44"/>
      <c r="H79" s="44"/>
      <c r="I79" s="44"/>
      <c r="J79" s="44"/>
      <c r="K79" s="44"/>
      <c r="L79" s="44"/>
      <c r="M79" s="44"/>
      <c r="N79" s="44"/>
    </row>
    <row r="80" spans="1:14">
      <c r="C80" s="44"/>
      <c r="D80" s="44"/>
      <c r="E80" s="44"/>
      <c r="F80" s="44"/>
      <c r="G80" s="44"/>
      <c r="H80" s="44"/>
      <c r="I80" s="44"/>
      <c r="J80" s="44"/>
      <c r="K80" s="44"/>
      <c r="L80" s="44"/>
      <c r="M80" s="44"/>
      <c r="N80" s="44"/>
    </row>
    <row r="81" spans="3:14">
      <c r="C81" s="44"/>
      <c r="D81" s="44"/>
      <c r="E81" s="44"/>
      <c r="F81" s="44"/>
      <c r="G81" s="44"/>
      <c r="H81" s="44"/>
      <c r="I81" s="44"/>
      <c r="J81" s="44"/>
      <c r="K81" s="44"/>
      <c r="L81" s="44"/>
      <c r="M81" s="44"/>
      <c r="N81" s="44"/>
    </row>
    <row r="82" spans="3:14">
      <c r="C82" s="44"/>
      <c r="D82" s="44"/>
      <c r="E82" s="44"/>
      <c r="F82" s="44"/>
      <c r="G82" s="44"/>
      <c r="H82" s="44"/>
      <c r="I82" s="44"/>
      <c r="J82" s="44"/>
      <c r="K82" s="44"/>
      <c r="L82" s="44"/>
      <c r="M82" s="44"/>
      <c r="N82" s="44"/>
    </row>
    <row r="83" spans="3:14">
      <c r="C83" s="44"/>
      <c r="D83" s="44"/>
      <c r="E83" s="44"/>
      <c r="F83" s="44"/>
      <c r="G83" s="44"/>
      <c r="H83" s="44"/>
      <c r="I83" s="44"/>
      <c r="J83" s="44"/>
      <c r="K83" s="44"/>
      <c r="L83" s="44"/>
      <c r="M83" s="44"/>
      <c r="N83" s="44"/>
    </row>
    <row r="84" spans="3:14">
      <c r="C84" s="44"/>
      <c r="D84" s="44"/>
      <c r="E84" s="44"/>
      <c r="F84" s="44"/>
      <c r="G84" s="44"/>
      <c r="H84" s="44"/>
      <c r="I84" s="44"/>
      <c r="J84" s="44"/>
      <c r="K84" s="44"/>
      <c r="L84" s="44"/>
      <c r="M84" s="44"/>
      <c r="N84" s="44"/>
    </row>
    <row r="85" spans="3:14">
      <c r="C85" s="44"/>
      <c r="D85" s="44"/>
      <c r="E85" s="44"/>
      <c r="F85" s="44"/>
      <c r="G85" s="44"/>
      <c r="H85" s="44"/>
      <c r="I85" s="44"/>
      <c r="J85" s="44"/>
      <c r="K85" s="44"/>
      <c r="L85" s="44"/>
      <c r="M85" s="44"/>
      <c r="N85" s="44"/>
    </row>
    <row r="86" spans="3:14">
      <c r="C86" s="44"/>
      <c r="D86" s="44"/>
      <c r="E86" s="44"/>
      <c r="F86" s="44"/>
      <c r="G86" s="44"/>
      <c r="H86" s="44"/>
      <c r="I86" s="44"/>
      <c r="J86" s="44"/>
      <c r="K86" s="44"/>
      <c r="L86" s="44"/>
      <c r="M86" s="44"/>
      <c r="N86" s="44"/>
    </row>
    <row r="87" spans="3:14">
      <c r="C87" s="44"/>
      <c r="D87" s="44"/>
      <c r="E87" s="44"/>
      <c r="F87" s="44"/>
      <c r="G87" s="44"/>
      <c r="H87" s="44"/>
      <c r="I87" s="44"/>
      <c r="J87" s="44"/>
      <c r="K87" s="44"/>
      <c r="L87" s="44"/>
      <c r="M87" s="44"/>
      <c r="N87" s="44"/>
    </row>
    <row r="88" spans="3:14">
      <c r="C88" s="44"/>
      <c r="D88" s="44"/>
      <c r="E88" s="44"/>
      <c r="F88" s="44"/>
      <c r="G88" s="44"/>
      <c r="H88" s="44"/>
      <c r="I88" s="44"/>
      <c r="J88" s="44"/>
      <c r="K88" s="44"/>
      <c r="L88" s="44"/>
      <c r="M88" s="44"/>
      <c r="N88" s="44"/>
    </row>
    <row r="89" spans="3:14">
      <c r="C89" s="44"/>
      <c r="D89" s="44"/>
      <c r="E89" s="44"/>
      <c r="F89" s="44"/>
      <c r="G89" s="44"/>
      <c r="H89" s="44"/>
      <c r="I89" s="44"/>
      <c r="J89" s="44"/>
      <c r="K89" s="44"/>
      <c r="L89" s="44"/>
      <c r="M89" s="44"/>
      <c r="N89" s="44"/>
    </row>
    <row r="90" spans="3:14">
      <c r="C90" s="44"/>
      <c r="D90" s="44"/>
      <c r="E90" s="44"/>
      <c r="F90" s="44"/>
      <c r="G90" s="44"/>
      <c r="H90" s="44"/>
      <c r="I90" s="44"/>
      <c r="J90" s="44"/>
      <c r="K90" s="44"/>
      <c r="L90" s="44"/>
      <c r="M90" s="44"/>
      <c r="N90" s="44"/>
    </row>
    <row r="91" spans="3:14">
      <c r="C91" s="44"/>
      <c r="D91" s="44"/>
      <c r="E91" s="44"/>
      <c r="F91" s="44"/>
      <c r="G91" s="44"/>
      <c r="H91" s="44"/>
      <c r="I91" s="44"/>
      <c r="J91" s="44"/>
      <c r="K91" s="44"/>
      <c r="L91" s="44"/>
      <c r="M91" s="44"/>
      <c r="N91" s="44"/>
    </row>
    <row r="92" spans="3:14">
      <c r="C92" s="44"/>
      <c r="D92" s="44"/>
      <c r="E92" s="44"/>
      <c r="F92" s="44"/>
      <c r="G92" s="44"/>
      <c r="H92" s="44"/>
      <c r="I92" s="44"/>
      <c r="J92" s="44"/>
      <c r="K92" s="44"/>
      <c r="L92" s="44"/>
      <c r="M92" s="44"/>
      <c r="N92" s="44"/>
    </row>
    <row r="93" spans="3:14">
      <c r="C93" s="44"/>
      <c r="D93" s="44"/>
      <c r="E93" s="44"/>
      <c r="F93" s="44"/>
      <c r="G93" s="44"/>
      <c r="H93" s="44"/>
      <c r="I93" s="44"/>
      <c r="J93" s="44"/>
      <c r="K93" s="44"/>
      <c r="L93" s="44"/>
      <c r="M93" s="44"/>
      <c r="N93" s="44"/>
    </row>
    <row r="94" spans="3:14">
      <c r="C94" s="44"/>
      <c r="D94" s="44"/>
      <c r="E94" s="44"/>
      <c r="F94" s="44"/>
      <c r="G94" s="44"/>
      <c r="H94" s="44"/>
      <c r="I94" s="44"/>
      <c r="J94" s="44"/>
      <c r="K94" s="44"/>
      <c r="L94" s="44"/>
      <c r="M94" s="44"/>
      <c r="N94" s="44"/>
    </row>
    <row r="95" spans="3:14">
      <c r="C95" s="44"/>
      <c r="D95" s="44"/>
      <c r="E95" s="44"/>
      <c r="F95" s="44"/>
      <c r="G95" s="44"/>
      <c r="H95" s="44"/>
      <c r="I95" s="44"/>
      <c r="J95" s="44"/>
      <c r="K95" s="44"/>
      <c r="L95" s="44"/>
      <c r="M95" s="44"/>
      <c r="N95" s="44"/>
    </row>
    <row r="96" spans="3:14">
      <c r="C96" s="44"/>
      <c r="D96" s="44"/>
      <c r="E96" s="44"/>
      <c r="F96" s="44"/>
      <c r="G96" s="44"/>
      <c r="H96" s="44"/>
      <c r="I96" s="44"/>
      <c r="J96" s="44"/>
      <c r="K96" s="44"/>
      <c r="L96" s="44"/>
      <c r="M96" s="44"/>
      <c r="N96" s="44"/>
    </row>
    <row r="97" spans="3:14">
      <c r="C97" s="44"/>
      <c r="D97" s="44"/>
      <c r="E97" s="44"/>
      <c r="F97" s="44"/>
      <c r="G97" s="44"/>
      <c r="H97" s="44"/>
      <c r="I97" s="44"/>
      <c r="J97" s="44"/>
      <c r="K97" s="44"/>
      <c r="L97" s="44"/>
      <c r="M97" s="44"/>
      <c r="N97" s="44"/>
    </row>
    <row r="98" spans="3:14">
      <c r="C98" s="44"/>
      <c r="D98" s="44"/>
      <c r="E98" s="44"/>
      <c r="F98" s="44"/>
      <c r="G98" s="44"/>
      <c r="H98" s="44"/>
      <c r="I98" s="44"/>
      <c r="J98" s="44"/>
      <c r="K98" s="44"/>
      <c r="L98" s="44"/>
      <c r="M98" s="44"/>
      <c r="N98" s="44"/>
    </row>
    <row r="99" spans="3:14">
      <c r="C99" s="44"/>
      <c r="D99" s="44"/>
      <c r="E99" s="44"/>
      <c r="F99" s="44"/>
      <c r="G99" s="44"/>
      <c r="H99" s="44"/>
      <c r="I99" s="44"/>
      <c r="J99" s="44"/>
      <c r="K99" s="44"/>
      <c r="L99" s="44"/>
      <c r="M99" s="44"/>
      <c r="N99" s="44"/>
    </row>
    <row r="100" spans="3:14">
      <c r="C100" s="44"/>
      <c r="D100" s="44"/>
      <c r="E100" s="44"/>
      <c r="F100" s="44"/>
      <c r="G100" s="44"/>
      <c r="H100" s="44"/>
      <c r="I100" s="44"/>
      <c r="J100" s="44"/>
      <c r="K100" s="44"/>
      <c r="L100" s="44"/>
      <c r="M100" s="44"/>
      <c r="N100" s="44"/>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C43&lt;'38'!$C$104</xm:f>
            <x14:dxf>
              <font>
                <color rgb="FFFF0000"/>
              </font>
              <numFmt numFmtId="172" formatCode="\*\*0.0%"/>
            </x14:dxf>
          </x14:cfRule>
          <x14:cfRule type="expression" priority="4" id="{083B8A94-26AF-443D-838A-B80AF58F6AD1}">
            <xm:f>C43&lt;'38'!$C$103</xm:f>
            <x14:dxf>
              <font>
                <color rgb="FF00B050"/>
              </font>
              <numFmt numFmtId="171" formatCode="\*0.0%"/>
            </x14:dxf>
          </x14:cfRule>
          <xm:sqref>C16:N41</xm:sqref>
        </x14:conditionalFormatting>
        <x14:conditionalFormatting xmlns:xm="http://schemas.microsoft.com/office/excel/2006/main">
          <x14:cfRule type="expression" priority="1" id="{8F76DDB0-0D60-4224-8B6C-8729B9047276}">
            <xm:f>C43&lt;'38'!$C$104</xm:f>
            <x14:dxf>
              <font>
                <color rgb="FFFF0000"/>
              </font>
              <numFmt numFmtId="174" formatCode="\*\*#,###,###,##0"/>
            </x14:dxf>
          </x14:cfRule>
          <x14:cfRule type="expression" priority="2" id="{19C17E40-95AA-4A13-B548-07318F0ACE24}">
            <xm:f>C43&lt;'38'!$C$103</xm:f>
            <x14:dxf>
              <font>
                <color rgb="FF00B050"/>
              </font>
              <numFmt numFmtId="173" formatCode="\*#,###,###,##0"/>
            </x14:dxf>
          </x14:cfRule>
          <xm:sqref>C43:N68</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75"/>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9"/>
      <c r="B1" s="29"/>
      <c r="C1" s="29"/>
      <c r="D1" s="29"/>
      <c r="E1" s="29"/>
      <c r="F1" s="29"/>
      <c r="G1" s="29"/>
      <c r="H1" s="29"/>
      <c r="I1" s="29"/>
      <c r="J1" s="29"/>
      <c r="K1" s="29"/>
      <c r="L1" s="29"/>
      <c r="M1" s="29"/>
      <c r="N1" s="29"/>
    </row>
    <row r="2" spans="1:14">
      <c r="A2" s="29"/>
      <c r="B2" s="29"/>
      <c r="C2" s="29"/>
      <c r="D2" s="29"/>
      <c r="E2" s="29"/>
      <c r="F2" s="29"/>
      <c r="G2" s="29"/>
      <c r="H2" s="29"/>
      <c r="I2" s="29"/>
      <c r="J2" s="29"/>
      <c r="K2" s="29"/>
      <c r="L2" s="29"/>
      <c r="M2" s="29"/>
      <c r="N2" s="29"/>
    </row>
    <row r="3" spans="1:14">
      <c r="A3" s="29"/>
      <c r="B3" s="29"/>
      <c r="C3" s="29"/>
      <c r="D3" s="29"/>
      <c r="E3" s="29"/>
      <c r="F3" s="29"/>
      <c r="G3" s="29"/>
      <c r="H3" s="29"/>
      <c r="I3" s="29"/>
      <c r="J3" s="29"/>
      <c r="K3" s="29"/>
      <c r="L3" s="29"/>
      <c r="M3" s="29"/>
      <c r="N3" s="29"/>
    </row>
    <row r="4" spans="1:14">
      <c r="A4" s="29"/>
      <c r="B4" s="29"/>
      <c r="C4" s="29"/>
      <c r="D4" s="29"/>
      <c r="E4" s="29"/>
      <c r="F4" s="29"/>
      <c r="G4" s="29"/>
      <c r="H4" s="29"/>
      <c r="I4" s="29"/>
      <c r="J4" s="29"/>
      <c r="K4" s="29"/>
      <c r="L4" s="29"/>
      <c r="M4" s="29"/>
      <c r="N4" s="29"/>
    </row>
    <row r="5" spans="1:14">
      <c r="A5" s="29"/>
      <c r="B5" s="29"/>
      <c r="C5" s="29"/>
      <c r="D5" s="29"/>
      <c r="E5" s="29"/>
      <c r="F5" s="29"/>
      <c r="G5" s="29"/>
      <c r="H5" s="29"/>
      <c r="I5" s="29"/>
      <c r="J5" s="29"/>
      <c r="K5" s="29"/>
      <c r="L5" s="29"/>
      <c r="M5" s="29"/>
      <c r="N5" s="29"/>
    </row>
    <row r="6" spans="1:14">
      <c r="A6" s="29"/>
      <c r="B6" s="29"/>
      <c r="C6" s="29"/>
      <c r="D6" s="29"/>
      <c r="E6" s="29"/>
      <c r="F6" s="29"/>
      <c r="G6" s="29"/>
      <c r="H6" s="29"/>
      <c r="I6" s="29"/>
      <c r="J6" s="29"/>
      <c r="K6" s="29"/>
      <c r="L6" s="29"/>
      <c r="M6" s="29"/>
      <c r="N6" s="29"/>
    </row>
    <row r="7" spans="1:14">
      <c r="A7" s="29"/>
      <c r="B7" s="29"/>
      <c r="C7" s="29"/>
      <c r="D7" s="29"/>
      <c r="E7" s="29"/>
      <c r="F7" s="29"/>
      <c r="G7" s="29"/>
      <c r="H7" s="29"/>
      <c r="I7" s="29"/>
      <c r="J7" s="29"/>
      <c r="K7" s="29"/>
      <c r="L7" s="29"/>
      <c r="M7" s="29"/>
      <c r="N7" s="29"/>
    </row>
    <row r="8" spans="1:14">
      <c r="A8" s="30" t="s">
        <v>0</v>
      </c>
      <c r="B8" s="29"/>
      <c r="C8" s="29"/>
      <c r="D8" s="29"/>
      <c r="E8" s="29"/>
      <c r="F8" s="29"/>
      <c r="G8" s="29"/>
      <c r="H8" s="29"/>
      <c r="I8" s="29"/>
      <c r="J8" s="29"/>
      <c r="K8" s="29"/>
      <c r="L8" s="29"/>
      <c r="M8" s="29"/>
      <c r="N8" s="29"/>
    </row>
    <row r="9" spans="1:14">
      <c r="A9" s="29" t="s">
        <v>1</v>
      </c>
      <c r="B9" s="29"/>
      <c r="C9" s="90" t="s">
        <v>2</v>
      </c>
      <c r="D9" s="30"/>
      <c r="E9" s="29"/>
      <c r="F9" s="29"/>
      <c r="G9" s="29"/>
      <c r="H9" s="29"/>
      <c r="I9" s="29"/>
      <c r="J9" s="29"/>
      <c r="K9" s="29"/>
      <c r="L9" s="29"/>
      <c r="M9" s="29"/>
      <c r="N9" s="29"/>
    </row>
    <row r="10" spans="1:14">
      <c r="A10" s="29" t="s">
        <v>49</v>
      </c>
      <c r="B10" s="29"/>
      <c r="C10" s="31">
        <v>25</v>
      </c>
      <c r="D10" s="31"/>
      <c r="E10" s="29"/>
      <c r="F10" s="29"/>
      <c r="G10" s="29"/>
      <c r="H10" s="29"/>
      <c r="I10" s="29"/>
      <c r="J10" s="29"/>
      <c r="K10" s="29"/>
      <c r="L10" s="29"/>
      <c r="M10" s="29"/>
      <c r="N10" s="29"/>
    </row>
    <row r="11" spans="1:14">
      <c r="A11" s="29" t="s">
        <v>3</v>
      </c>
      <c r="B11" s="29"/>
      <c r="C11" s="30" t="s">
        <v>439</v>
      </c>
      <c r="D11" s="30"/>
      <c r="E11" s="29"/>
      <c r="F11" s="29"/>
      <c r="G11" s="29"/>
      <c r="H11" s="29"/>
      <c r="I11" s="29"/>
      <c r="J11" s="29"/>
      <c r="K11" s="29"/>
      <c r="L11" s="29"/>
      <c r="M11" s="29"/>
      <c r="N11" s="29"/>
    </row>
    <row r="12" spans="1:14">
      <c r="A12" s="116" t="s">
        <v>50</v>
      </c>
      <c r="B12" s="116"/>
      <c r="C12" s="117" t="s">
        <v>51</v>
      </c>
      <c r="D12" s="117"/>
      <c r="E12" s="116"/>
      <c r="F12" s="116"/>
      <c r="G12" s="116"/>
      <c r="H12" s="116"/>
      <c r="I12" s="116"/>
      <c r="J12" s="116"/>
      <c r="K12" s="116"/>
      <c r="L12" s="116"/>
      <c r="M12" s="116"/>
      <c r="N12" s="116"/>
    </row>
    <row r="13" spans="1:14" s="92" customFormat="1" ht="24.95" customHeight="1">
      <c r="A13" s="98"/>
      <c r="B13" s="98"/>
      <c r="C13" s="91"/>
      <c r="D13" s="91"/>
      <c r="E13" s="182" t="s">
        <v>440</v>
      </c>
      <c r="F13" s="182"/>
      <c r="G13" s="182"/>
      <c r="H13" s="182"/>
      <c r="I13" s="182"/>
      <c r="J13" s="182"/>
      <c r="K13" s="182"/>
      <c r="L13" s="182"/>
      <c r="M13" s="182"/>
      <c r="N13" s="182"/>
    </row>
    <row r="14" spans="1:14" s="6" customFormat="1" ht="47.25">
      <c r="A14" s="40"/>
      <c r="B14" s="40"/>
      <c r="C14" s="64" t="s">
        <v>441</v>
      </c>
      <c r="D14" s="64"/>
      <c r="E14" s="64" t="s">
        <v>429</v>
      </c>
      <c r="F14" s="64" t="s">
        <v>428</v>
      </c>
      <c r="G14" s="64" t="s">
        <v>430</v>
      </c>
      <c r="H14" s="64" t="s">
        <v>431</v>
      </c>
      <c r="I14" s="64" t="s">
        <v>432</v>
      </c>
      <c r="J14" s="64" t="s">
        <v>433</v>
      </c>
      <c r="K14" s="64" t="s">
        <v>434</v>
      </c>
      <c r="L14" s="64" t="s">
        <v>435</v>
      </c>
      <c r="M14" s="64" t="s">
        <v>436</v>
      </c>
      <c r="N14" s="64" t="s">
        <v>90</v>
      </c>
    </row>
    <row r="15" spans="1:14">
      <c r="A15" s="67"/>
      <c r="B15" s="67"/>
      <c r="C15" s="187" t="s">
        <v>144</v>
      </c>
      <c r="D15" s="187"/>
      <c r="E15" s="187"/>
      <c r="F15" s="187"/>
      <c r="G15" s="187"/>
      <c r="H15" s="187"/>
      <c r="I15" s="187"/>
      <c r="J15" s="187"/>
      <c r="K15" s="187"/>
      <c r="L15" s="187"/>
      <c r="M15" s="187"/>
      <c r="N15" s="187"/>
    </row>
    <row r="16" spans="1:14">
      <c r="A16" s="35" t="s">
        <v>145</v>
      </c>
      <c r="B16" s="35" t="s">
        <v>57</v>
      </c>
      <c r="C16" s="28">
        <v>0.12779895686680018</v>
      </c>
      <c r="D16" s="28"/>
      <c r="E16" s="28">
        <v>4.101363264925887E-2</v>
      </c>
      <c r="F16" s="28">
        <v>3.8344126533256015E-2</v>
      </c>
      <c r="G16" s="28">
        <v>3.4761942843186976E-2</v>
      </c>
      <c r="H16" s="28">
        <v>2.7903223915789855E-2</v>
      </c>
      <c r="I16" s="28">
        <v>2.4340006774088357E-2</v>
      </c>
      <c r="J16" s="28">
        <v>2.1533271909902157E-2</v>
      </c>
      <c r="K16" s="28">
        <v>1.8263214912024657E-2</v>
      </c>
      <c r="L16" s="28">
        <v>1.1567349913830521E-2</v>
      </c>
      <c r="M16" s="28">
        <v>1.1038692869725938E-2</v>
      </c>
      <c r="N16" s="28">
        <v>1.4246010729553058E-3</v>
      </c>
    </row>
    <row r="17" spans="1:14">
      <c r="A17" s="34" t="s">
        <v>61</v>
      </c>
      <c r="B17" s="34" t="s">
        <v>62</v>
      </c>
      <c r="C17" s="102">
        <v>0.15557149022721639</v>
      </c>
      <c r="D17" s="102"/>
      <c r="E17" s="102">
        <v>5.4584562100954422E-2</v>
      </c>
      <c r="F17" s="102">
        <v>5.6693847687604833E-2</v>
      </c>
      <c r="G17" s="102">
        <v>2.4082933970489974E-2</v>
      </c>
      <c r="H17" s="102">
        <v>1.716749510219432E-2</v>
      </c>
      <c r="I17" s="102">
        <v>2.3655396476081305E-2</v>
      </c>
      <c r="J17" s="102">
        <v>1.8982819636841869E-2</v>
      </c>
      <c r="K17" s="102">
        <v>1.3505342172902958E-2</v>
      </c>
      <c r="L17" s="102">
        <v>8.8446841725944286E-3</v>
      </c>
      <c r="M17" s="102">
        <v>8.5896228884924358E-3</v>
      </c>
      <c r="N17" s="102">
        <v>3.2967039152275207E-3</v>
      </c>
    </row>
    <row r="18" spans="1:14">
      <c r="A18" s="34"/>
      <c r="B18" s="34" t="s">
        <v>63</v>
      </c>
      <c r="C18" s="102">
        <v>0.18105419496431582</v>
      </c>
      <c r="D18" s="102"/>
      <c r="E18" s="102">
        <v>5.1316664211851215E-2</v>
      </c>
      <c r="F18" s="102">
        <v>6.6322487739565769E-2</v>
      </c>
      <c r="G18" s="102">
        <v>3.441349193221873E-2</v>
      </c>
      <c r="H18" s="102">
        <v>2.4079450452065842E-2</v>
      </c>
      <c r="I18" s="102">
        <v>3.3503502587865608E-2</v>
      </c>
      <c r="J18" s="102">
        <v>3.018113356794459E-2</v>
      </c>
      <c r="K18" s="102">
        <v>2.6911481603108894E-2</v>
      </c>
      <c r="L18" s="102">
        <v>2.3268354553662898E-2</v>
      </c>
      <c r="M18" s="102">
        <v>1.4665692919381136E-2</v>
      </c>
      <c r="N18" s="102">
        <v>2.3678113273552823E-3</v>
      </c>
    </row>
    <row r="19" spans="1:14">
      <c r="A19" s="34"/>
      <c r="B19" s="34" t="s">
        <v>64</v>
      </c>
      <c r="C19" s="102">
        <v>0.14043183535375411</v>
      </c>
      <c r="D19" s="102"/>
      <c r="E19" s="102">
        <v>3.5088302368553793E-2</v>
      </c>
      <c r="F19" s="102">
        <v>4.4563775847094166E-2</v>
      </c>
      <c r="G19" s="102">
        <v>3.7483140305345074E-2</v>
      </c>
      <c r="H19" s="102">
        <v>2.6664644414620374E-2</v>
      </c>
      <c r="I19" s="102">
        <v>2.7637043752768403E-2</v>
      </c>
      <c r="J19" s="102">
        <v>2.2766702155082141E-2</v>
      </c>
      <c r="K19" s="102">
        <v>2.4248777570956805E-2</v>
      </c>
      <c r="L19" s="102">
        <v>1.8240568873271631E-2</v>
      </c>
      <c r="M19" s="102">
        <v>1.5468093213892847E-2</v>
      </c>
      <c r="N19" s="102">
        <v>1.0061863891889186E-3</v>
      </c>
    </row>
    <row r="20" spans="1:14">
      <c r="A20" s="34"/>
      <c r="B20" s="34" t="s">
        <v>65</v>
      </c>
      <c r="C20" s="102">
        <v>0.14143157173535986</v>
      </c>
      <c r="D20" s="102"/>
      <c r="E20" s="102">
        <v>4.2037168258758514E-2</v>
      </c>
      <c r="F20" s="102">
        <v>4.4726173925866704E-2</v>
      </c>
      <c r="G20" s="102">
        <v>4.3707301988661774E-2</v>
      </c>
      <c r="H20" s="102">
        <v>2.8343131241544032E-2</v>
      </c>
      <c r="I20" s="102">
        <v>3.0873335385463167E-2</v>
      </c>
      <c r="J20" s="102">
        <v>2.5522559343176779E-2</v>
      </c>
      <c r="K20" s="102">
        <v>2.0429759356802059E-2</v>
      </c>
      <c r="L20" s="102">
        <v>1.4072079771757976E-2</v>
      </c>
      <c r="M20" s="102">
        <v>1.1823266182888585E-2</v>
      </c>
      <c r="N20" s="102">
        <v>5.2834088027630137E-4</v>
      </c>
    </row>
    <row r="21" spans="1:14">
      <c r="A21" s="34"/>
      <c r="B21" s="34" t="s">
        <v>66</v>
      </c>
      <c r="C21" s="102">
        <v>0.15869554914101383</v>
      </c>
      <c r="D21" s="102"/>
      <c r="E21" s="102">
        <v>6.0889831685569926E-2</v>
      </c>
      <c r="F21" s="102">
        <v>4.6862528389799485E-2</v>
      </c>
      <c r="G21" s="102">
        <v>4.8268757052457832E-2</v>
      </c>
      <c r="H21" s="102">
        <v>3.0947520592034528E-2</v>
      </c>
      <c r="I21" s="102">
        <v>3.636759708952076E-2</v>
      </c>
      <c r="J21" s="102">
        <v>3.7892019429348778E-2</v>
      </c>
      <c r="K21" s="102">
        <v>2.2437722372156028E-2</v>
      </c>
      <c r="L21" s="102">
        <v>1.0638236183335995E-2</v>
      </c>
      <c r="M21" s="102">
        <v>1.4316053497483213E-2</v>
      </c>
      <c r="N21" s="102">
        <v>1.5269548069596409E-3</v>
      </c>
    </row>
    <row r="22" spans="1:14">
      <c r="A22" s="34"/>
      <c r="B22" s="34" t="s">
        <v>67</v>
      </c>
      <c r="C22" s="102">
        <v>9.7761463937951501E-2</v>
      </c>
      <c r="D22" s="102"/>
      <c r="E22" s="102">
        <v>3.5893830983995192E-2</v>
      </c>
      <c r="F22" s="102">
        <v>2.2198420068292306E-2</v>
      </c>
      <c r="G22" s="102">
        <v>3.2242415862386672E-2</v>
      </c>
      <c r="H22" s="102">
        <v>3.3742712887841787E-2</v>
      </c>
      <c r="I22" s="102">
        <v>1.3628931964086297E-2</v>
      </c>
      <c r="J22" s="102">
        <v>1.2979949315363238E-2</v>
      </c>
      <c r="K22" s="102">
        <v>1.4066557985505676E-2</v>
      </c>
      <c r="L22" s="102">
        <v>5.4926323129663845E-3</v>
      </c>
      <c r="M22" s="102">
        <v>8.6614924854585239E-3</v>
      </c>
      <c r="N22" s="102">
        <v>1.2998457279452011E-3</v>
      </c>
    </row>
    <row r="23" spans="1:14">
      <c r="A23" s="34"/>
      <c r="B23" s="34" t="s">
        <v>68</v>
      </c>
      <c r="C23" s="102">
        <v>6.9946612908595995E-2</v>
      </c>
      <c r="D23" s="102"/>
      <c r="E23" s="102">
        <v>2.6250263080797174E-2</v>
      </c>
      <c r="F23" s="102">
        <v>1.3863815163619994E-2</v>
      </c>
      <c r="G23" s="102">
        <v>1.9638966576560345E-2</v>
      </c>
      <c r="H23" s="102">
        <v>2.6888419837234973E-2</v>
      </c>
      <c r="I23" s="102">
        <v>1.003649657607095E-2</v>
      </c>
      <c r="J23" s="102">
        <v>7.2502445940198675E-3</v>
      </c>
      <c r="K23" s="102">
        <v>7.6546946277585058E-3</v>
      </c>
      <c r="L23" s="102">
        <v>2.9267758832952702E-3</v>
      </c>
      <c r="M23" s="102">
        <v>4.4614097838336477E-3</v>
      </c>
      <c r="N23" s="102">
        <v>1.6346938969867568E-3</v>
      </c>
    </row>
    <row r="24" spans="1:14">
      <c r="A24" s="34"/>
      <c r="B24" s="34"/>
    </row>
    <row r="25" spans="1:14">
      <c r="A25" s="35" t="s">
        <v>58</v>
      </c>
      <c r="B25" s="35" t="s">
        <v>57</v>
      </c>
      <c r="C25" s="28">
        <v>0.15631517685346719</v>
      </c>
      <c r="D25" s="28"/>
      <c r="E25" s="28">
        <v>5.2838104114931242E-2</v>
      </c>
      <c r="F25" s="28">
        <v>5.1647415753441797E-2</v>
      </c>
      <c r="G25" s="28">
        <v>3.7601983589358692E-2</v>
      </c>
      <c r="H25" s="28">
        <v>3.4897332581599549E-2</v>
      </c>
      <c r="I25" s="28">
        <v>2.7798844161583208E-2</v>
      </c>
      <c r="J25" s="28">
        <v>2.4028418746613482E-2</v>
      </c>
      <c r="K25" s="28">
        <v>2.0878681143933823E-2</v>
      </c>
      <c r="L25" s="28">
        <v>1.3703376593334647E-2</v>
      </c>
      <c r="M25" s="28">
        <v>1.355977495175445E-2</v>
      </c>
      <c r="N25" s="28">
        <v>1.9658251824425268E-3</v>
      </c>
    </row>
    <row r="26" spans="1:14">
      <c r="A26" s="34" t="s">
        <v>61</v>
      </c>
      <c r="B26" s="34" t="s">
        <v>62</v>
      </c>
      <c r="C26" s="102">
        <v>0.18803448212449364</v>
      </c>
      <c r="D26" s="102"/>
      <c r="E26" s="102">
        <v>7.0557764501805259E-2</v>
      </c>
      <c r="F26" s="102">
        <v>6.073310353127593E-2</v>
      </c>
      <c r="G26" s="102">
        <v>1.892304319331764E-2</v>
      </c>
      <c r="H26" s="102">
        <v>2.5755148451877614E-2</v>
      </c>
      <c r="I26" s="102">
        <v>3.1273460246737522E-2</v>
      </c>
      <c r="J26" s="102">
        <v>3.1250190584359093E-2</v>
      </c>
      <c r="K26" s="102">
        <v>1.6170003824148731E-2</v>
      </c>
      <c r="L26" s="102">
        <v>9.9282771299389963E-3</v>
      </c>
      <c r="M26" s="102">
        <v>1.3689969283504131E-2</v>
      </c>
      <c r="N26" s="102">
        <v>6.5767491090323966E-3</v>
      </c>
    </row>
    <row r="27" spans="1:14">
      <c r="A27" s="34"/>
      <c r="B27" s="34" t="s">
        <v>63</v>
      </c>
      <c r="C27" s="102">
        <v>0.21783745472696639</v>
      </c>
      <c r="D27" s="102"/>
      <c r="E27" s="102">
        <v>6.334714262332633E-2</v>
      </c>
      <c r="F27" s="102">
        <v>7.411910523638203E-2</v>
      </c>
      <c r="G27" s="102">
        <v>3.6951989536966309E-2</v>
      </c>
      <c r="H27" s="102">
        <v>2.9919220930907625E-2</v>
      </c>
      <c r="I27" s="102">
        <v>4.2233512091521014E-2</v>
      </c>
      <c r="J27" s="102">
        <v>3.7803140672866192E-2</v>
      </c>
      <c r="K27" s="102">
        <v>3.1797312179173351E-2</v>
      </c>
      <c r="L27" s="102">
        <v>3.0016317340922534E-2</v>
      </c>
      <c r="M27" s="102">
        <v>1.8382709037095026E-2</v>
      </c>
      <c r="N27" s="102">
        <v>3.0399770944100086E-3</v>
      </c>
    </row>
    <row r="28" spans="1:14">
      <c r="A28" s="34"/>
      <c r="B28" s="34" t="s">
        <v>64</v>
      </c>
      <c r="C28" s="102">
        <v>0.16908445911429415</v>
      </c>
      <c r="D28" s="102"/>
      <c r="E28" s="102">
        <v>3.9496970856238593E-2</v>
      </c>
      <c r="F28" s="102">
        <v>5.640890717168226E-2</v>
      </c>
      <c r="G28" s="102">
        <v>4.2876162557892589E-2</v>
      </c>
      <c r="H28" s="102">
        <v>2.889281637456774E-2</v>
      </c>
      <c r="I28" s="102">
        <v>3.4749159455164783E-2</v>
      </c>
      <c r="J28" s="102">
        <v>2.8668346569489314E-2</v>
      </c>
      <c r="K28" s="102">
        <v>3.0769470114410072E-2</v>
      </c>
      <c r="L28" s="102">
        <v>2.010675015724897E-2</v>
      </c>
      <c r="M28" s="102">
        <v>2.1516599750830919E-2</v>
      </c>
      <c r="N28" s="102">
        <v>1.3463105755462403E-3</v>
      </c>
    </row>
    <row r="29" spans="1:14">
      <c r="A29" s="34"/>
      <c r="B29" s="34" t="s">
        <v>65</v>
      </c>
      <c r="C29" s="102">
        <v>0.15214778626387118</v>
      </c>
      <c r="D29" s="102"/>
      <c r="E29" s="102">
        <v>4.8982198226195969E-2</v>
      </c>
      <c r="F29" s="102">
        <v>5.9626909143005134E-2</v>
      </c>
      <c r="G29" s="102">
        <v>3.7231593162611251E-2</v>
      </c>
      <c r="H29" s="102">
        <v>2.7474769848479935E-2</v>
      </c>
      <c r="I29" s="102">
        <v>2.9876859104028011E-2</v>
      </c>
      <c r="J29" s="102">
        <v>2.2914219702412138E-2</v>
      </c>
      <c r="K29" s="102">
        <v>1.9006160134902743E-2</v>
      </c>
      <c r="L29" s="102">
        <v>1.3338765447862867E-2</v>
      </c>
      <c r="M29" s="102">
        <v>1.1674458844217347E-2</v>
      </c>
      <c r="N29" s="102">
        <v>0</v>
      </c>
    </row>
    <row r="30" spans="1:14">
      <c r="A30" s="34"/>
      <c r="B30" s="34" t="s">
        <v>66</v>
      </c>
      <c r="C30" s="102">
        <v>0.18291198993678542</v>
      </c>
      <c r="D30" s="102"/>
      <c r="E30" s="102">
        <v>7.5671659578564254E-2</v>
      </c>
      <c r="F30" s="102">
        <v>7.1471117583064625E-2</v>
      </c>
      <c r="G30" s="102">
        <v>4.8987477576424771E-2</v>
      </c>
      <c r="H30" s="102">
        <v>3.6352449405783097E-2</v>
      </c>
      <c r="I30" s="102">
        <v>3.1005499903685389E-2</v>
      </c>
      <c r="J30" s="102">
        <v>3.3226732860824289E-2</v>
      </c>
      <c r="K30" s="102">
        <v>2.1321853193133386E-2</v>
      </c>
      <c r="L30" s="102">
        <v>1.1899870374440409E-2</v>
      </c>
      <c r="M30" s="102">
        <v>1.3641426607909559E-2</v>
      </c>
      <c r="N30" s="102">
        <v>1.929969589647423E-3</v>
      </c>
    </row>
    <row r="31" spans="1:14">
      <c r="A31" s="34"/>
      <c r="B31" s="34" t="s">
        <v>67</v>
      </c>
      <c r="C31" s="102">
        <v>0.1267773986474996</v>
      </c>
      <c r="D31" s="102"/>
      <c r="E31" s="102">
        <v>5.1050178303173988E-2</v>
      </c>
      <c r="F31" s="102">
        <v>3.3779462244282209E-2</v>
      </c>
      <c r="G31" s="102">
        <v>3.9743934442324262E-2</v>
      </c>
      <c r="H31" s="102">
        <v>4.4819968051149475E-2</v>
      </c>
      <c r="I31" s="102">
        <v>1.8693646647478229E-2</v>
      </c>
      <c r="J31" s="102">
        <v>1.6539180247687423E-2</v>
      </c>
      <c r="K31" s="102">
        <v>1.7782193238200673E-2</v>
      </c>
      <c r="L31" s="102">
        <v>7.6994458599279596E-3</v>
      </c>
      <c r="M31" s="102">
        <v>1.2665039518897869E-2</v>
      </c>
      <c r="N31" s="102">
        <v>1.6596857488549259E-3</v>
      </c>
    </row>
    <row r="32" spans="1:14">
      <c r="A32" s="34"/>
      <c r="B32" s="34" t="s">
        <v>68</v>
      </c>
      <c r="C32" s="102">
        <v>0.10614912433557128</v>
      </c>
      <c r="D32" s="102"/>
      <c r="E32" s="102">
        <v>4.2479182196176038E-2</v>
      </c>
      <c r="F32" s="102">
        <v>2.2883673029724032E-2</v>
      </c>
      <c r="G32" s="102">
        <v>2.7730519145174139E-2</v>
      </c>
      <c r="H32" s="102">
        <v>4.3857272736187565E-2</v>
      </c>
      <c r="I32" s="102">
        <v>1.443188687930503E-2</v>
      </c>
      <c r="J32" s="102">
        <v>9.4641245974706779E-3</v>
      </c>
      <c r="K32" s="102">
        <v>1.0052081457223246E-2</v>
      </c>
      <c r="L32" s="102">
        <v>5.1579521897530747E-3</v>
      </c>
      <c r="M32" s="102">
        <v>5.6527808539243007E-3</v>
      </c>
      <c r="N32" s="102">
        <v>2.8026500658562782E-3</v>
      </c>
    </row>
    <row r="33" spans="1:14">
      <c r="A33" s="34"/>
      <c r="B33" s="34"/>
    </row>
    <row r="34" spans="1:14">
      <c r="A34" s="35" t="s">
        <v>59</v>
      </c>
      <c r="B34" s="35" t="s">
        <v>57</v>
      </c>
      <c r="C34" s="28">
        <v>0.10058238049466012</v>
      </c>
      <c r="D34" s="28"/>
      <c r="E34" s="28">
        <v>2.9788150269594939E-2</v>
      </c>
      <c r="F34" s="28">
        <v>2.5474944702499485E-2</v>
      </c>
      <c r="G34" s="28">
        <v>3.2183110174750187E-2</v>
      </c>
      <c r="H34" s="28">
        <v>2.1319634760860316E-2</v>
      </c>
      <c r="I34" s="28">
        <v>2.1172930278075652E-2</v>
      </c>
      <c r="J34" s="28">
        <v>1.9320300763954829E-2</v>
      </c>
      <c r="K34" s="28">
        <v>1.5807307876168415E-2</v>
      </c>
      <c r="L34" s="28">
        <v>9.5418956453047054E-3</v>
      </c>
      <c r="M34" s="28">
        <v>8.6696557087297243E-3</v>
      </c>
      <c r="N34" s="28">
        <v>8.708034647549888E-4</v>
      </c>
    </row>
    <row r="35" spans="1:14">
      <c r="A35" s="34" t="s">
        <v>61</v>
      </c>
      <c r="B35" s="34" t="s">
        <v>62</v>
      </c>
      <c r="C35" s="102">
        <v>0.12726770024162812</v>
      </c>
      <c r="D35" s="102"/>
      <c r="E35" s="102">
        <v>3.988538958792355E-2</v>
      </c>
      <c r="F35" s="102">
        <v>5.448528106857476E-2</v>
      </c>
      <c r="G35" s="102">
        <v>3.0298457879366525E-2</v>
      </c>
      <c r="H35" s="102">
        <v>8.8364560706221101E-3</v>
      </c>
      <c r="I35" s="102">
        <v>1.6561333509486721E-2</v>
      </c>
      <c r="J35" s="102">
        <v>6.8871441790497633E-3</v>
      </c>
      <c r="K35" s="102">
        <v>1.120795101139019E-2</v>
      </c>
      <c r="L35" s="102">
        <v>8.0283612113341719E-3</v>
      </c>
      <c r="M35" s="102">
        <v>3.5851838001085832E-3</v>
      </c>
      <c r="N35" s="102">
        <v>0</v>
      </c>
    </row>
    <row r="36" spans="1:14">
      <c r="A36" s="34"/>
      <c r="B36" s="34" t="s">
        <v>63</v>
      </c>
      <c r="C36" s="102">
        <v>0.14378143221105449</v>
      </c>
      <c r="D36" s="102"/>
      <c r="E36" s="102">
        <v>3.8832696857760446E-2</v>
      </c>
      <c r="F36" s="102">
        <v>5.8678546366931393E-2</v>
      </c>
      <c r="G36" s="102">
        <v>3.2292120453906004E-2</v>
      </c>
      <c r="H36" s="102">
        <v>1.8120302379513616E-2</v>
      </c>
      <c r="I36" s="102">
        <v>2.4705397182770521E-2</v>
      </c>
      <c r="J36" s="102">
        <v>2.2900231238623298E-2</v>
      </c>
      <c r="K36" s="102">
        <v>2.2065976138952434E-2</v>
      </c>
      <c r="L36" s="102">
        <v>1.632577007730272E-2</v>
      </c>
      <c r="M36" s="102">
        <v>1.1113408954709606E-2</v>
      </c>
      <c r="N36" s="102">
        <v>1.7167303102668273E-3</v>
      </c>
    </row>
    <row r="37" spans="1:14">
      <c r="A37" s="34"/>
      <c r="B37" s="34" t="s">
        <v>64</v>
      </c>
      <c r="C37" s="102">
        <v>0.11170461836743706</v>
      </c>
      <c r="D37" s="102"/>
      <c r="E37" s="102">
        <v>3.0916261595861968E-2</v>
      </c>
      <c r="F37" s="102">
        <v>3.2785658530686122E-2</v>
      </c>
      <c r="G37" s="102">
        <v>3.2313018517116314E-2</v>
      </c>
      <c r="H37" s="102">
        <v>2.459218692963671E-2</v>
      </c>
      <c r="I37" s="102">
        <v>2.0644414087621188E-2</v>
      </c>
      <c r="J37" s="102">
        <v>1.6962802728512087E-2</v>
      </c>
      <c r="K37" s="102">
        <v>1.7575072341903461E-2</v>
      </c>
      <c r="L37" s="102">
        <v>1.6382918950752827E-2</v>
      </c>
      <c r="M37" s="102">
        <v>9.6141685183232916E-3</v>
      </c>
      <c r="N37" s="102">
        <v>6.7906319082049627E-4</v>
      </c>
    </row>
    <row r="38" spans="1:14">
      <c r="A38" s="34"/>
      <c r="B38" s="34" t="s">
        <v>65</v>
      </c>
      <c r="C38" s="102">
        <v>0.1315350913289576</v>
      </c>
      <c r="D38" s="102"/>
      <c r="E38" s="102">
        <v>3.5584556801475126E-2</v>
      </c>
      <c r="F38" s="102">
        <v>3.0150183821620841E-2</v>
      </c>
      <c r="G38" s="102">
        <v>5.016872412972144E-2</v>
      </c>
      <c r="H38" s="102">
        <v>2.9447727955076927E-2</v>
      </c>
      <c r="I38" s="102">
        <v>3.2126262874011012E-2</v>
      </c>
      <c r="J38" s="102">
        <v>2.83121139375801E-2</v>
      </c>
      <c r="K38" s="102">
        <v>2.2009874556775565E-2</v>
      </c>
      <c r="L38" s="102">
        <v>1.4917468918910702E-2</v>
      </c>
      <c r="M38" s="102">
        <v>1.1784344932539421E-2</v>
      </c>
      <c r="N38" s="102">
        <v>1.0522490356426695E-3</v>
      </c>
    </row>
    <row r="39" spans="1:14">
      <c r="A39" s="34"/>
      <c r="B39" s="34" t="s">
        <v>66</v>
      </c>
      <c r="C39" s="102">
        <v>0.13548969569940364</v>
      </c>
      <c r="D39" s="102"/>
      <c r="E39" s="102">
        <v>4.6517625108411079E-2</v>
      </c>
      <c r="F39" s="102">
        <v>2.2986557706650868E-2</v>
      </c>
      <c r="G39" s="102">
        <v>4.765204210761767E-2</v>
      </c>
      <c r="H39" s="102">
        <v>2.5675023179531919E-2</v>
      </c>
      <c r="I39" s="102">
        <v>4.1801488327604247E-2</v>
      </c>
      <c r="J39" s="102">
        <v>4.2660037554501998E-2</v>
      </c>
      <c r="K39" s="102">
        <v>2.366432611458049E-2</v>
      </c>
      <c r="L39" s="102">
        <v>9.4833703693862764E-3</v>
      </c>
      <c r="M39" s="102">
        <v>1.5062464403770152E-2</v>
      </c>
      <c r="N39" s="102">
        <v>1.1459904206407065E-3</v>
      </c>
    </row>
    <row r="40" spans="1:14">
      <c r="A40" s="34"/>
      <c r="B40" s="34" t="s">
        <v>67</v>
      </c>
      <c r="C40" s="102">
        <v>6.9857884730343142E-2</v>
      </c>
      <c r="D40" s="102"/>
      <c r="E40" s="102">
        <v>2.1538818255258864E-2</v>
      </c>
      <c r="F40" s="102">
        <v>1.065518156743641E-2</v>
      </c>
      <c r="G40" s="102">
        <v>2.5202032789796665E-2</v>
      </c>
      <c r="H40" s="102">
        <v>2.3284592367007896E-2</v>
      </c>
      <c r="I40" s="102">
        <v>8.8392794779524504E-3</v>
      </c>
      <c r="J40" s="102">
        <v>9.6291814107958666E-3</v>
      </c>
      <c r="K40" s="102">
        <v>1.0570847025240603E-2</v>
      </c>
      <c r="L40" s="102">
        <v>3.403682863079867E-3</v>
      </c>
      <c r="M40" s="102">
        <v>4.8659639409351961E-3</v>
      </c>
      <c r="N40" s="102">
        <v>6.3564429988777248E-4</v>
      </c>
    </row>
    <row r="41" spans="1:14">
      <c r="A41" s="118"/>
      <c r="B41" s="118" t="s">
        <v>68</v>
      </c>
      <c r="C41" s="124">
        <v>3.8444457302173655E-2</v>
      </c>
      <c r="D41" s="124"/>
      <c r="E41" s="124">
        <v>1.2176514109316465E-2</v>
      </c>
      <c r="F41" s="124">
        <v>6.0388665661818336E-3</v>
      </c>
      <c r="G41" s="124">
        <v>1.2495282111681801E-2</v>
      </c>
      <c r="H41" s="124">
        <v>1.2170758146565635E-2</v>
      </c>
      <c r="I41" s="124">
        <v>6.236545248082326E-3</v>
      </c>
      <c r="J41" s="124">
        <v>5.3450804253958083E-3</v>
      </c>
      <c r="K41" s="124">
        <v>5.590824667728215E-3</v>
      </c>
      <c r="L41" s="124">
        <v>9.8915967520164945E-4</v>
      </c>
      <c r="M41" s="124">
        <v>3.4384153375353302E-3</v>
      </c>
      <c r="N41" s="124">
        <v>6.2081948770621026E-4</v>
      </c>
    </row>
    <row r="42" spans="1:14">
      <c r="A42" s="67"/>
      <c r="B42" s="67"/>
      <c r="C42" s="187" t="s">
        <v>442</v>
      </c>
      <c r="D42" s="187"/>
      <c r="E42" s="187"/>
      <c r="F42" s="187"/>
      <c r="G42" s="187"/>
      <c r="H42" s="187"/>
      <c r="I42" s="187"/>
      <c r="J42" s="187"/>
      <c r="K42" s="187"/>
      <c r="L42" s="187"/>
      <c r="M42" s="187"/>
      <c r="N42" s="187"/>
    </row>
    <row r="43" spans="1:14">
      <c r="A43" s="35" t="s">
        <v>145</v>
      </c>
      <c r="B43" s="35" t="s">
        <v>57</v>
      </c>
      <c r="C43" s="46">
        <v>2866438.0295107486</v>
      </c>
      <c r="D43" s="46"/>
      <c r="E43" s="46">
        <v>919906.07150847593</v>
      </c>
      <c r="F43" s="46">
        <v>860030.98302166245</v>
      </c>
      <c r="G43" s="46">
        <v>779685.19765966549</v>
      </c>
      <c r="H43" s="46">
        <v>625849.10032980051</v>
      </c>
      <c r="I43" s="46">
        <v>545928.72090899548</v>
      </c>
      <c r="J43" s="46">
        <v>482975.69100404606</v>
      </c>
      <c r="K43" s="46">
        <v>409630.68125444889</v>
      </c>
      <c r="L43" s="46">
        <v>259447.27959102218</v>
      </c>
      <c r="M43" s="46">
        <v>247589.88503208596</v>
      </c>
      <c r="N43" s="46">
        <v>31952.770136120973</v>
      </c>
    </row>
    <row r="44" spans="1:14">
      <c r="A44" s="34" t="s">
        <v>61</v>
      </c>
      <c r="B44" s="34" t="s">
        <v>62</v>
      </c>
      <c r="C44" s="104">
        <v>155477.26879399165</v>
      </c>
      <c r="D44" s="104"/>
      <c r="E44" s="104">
        <v>54551.503115239328</v>
      </c>
      <c r="F44" s="104">
        <v>56659.511219037551</v>
      </c>
      <c r="G44" s="104">
        <v>24068.348209617965</v>
      </c>
      <c r="H44" s="104">
        <v>17157.097657321581</v>
      </c>
      <c r="I44" s="104">
        <v>23641.06965208405</v>
      </c>
      <c r="J44" s="104">
        <v>18971.322745797002</v>
      </c>
      <c r="K44" s="104">
        <v>13497.162700598212</v>
      </c>
      <c r="L44" s="104">
        <v>8839.3274146309686</v>
      </c>
      <c r="M44" s="104">
        <v>8584.4206076745832</v>
      </c>
      <c r="N44" s="104">
        <v>3294.7072758216973</v>
      </c>
    </row>
    <row r="45" spans="1:14">
      <c r="A45" s="34"/>
      <c r="B45" s="34" t="s">
        <v>63</v>
      </c>
      <c r="C45" s="104">
        <v>443112.39646903449</v>
      </c>
      <c r="D45" s="104"/>
      <c r="E45" s="104">
        <v>125592.50594658573</v>
      </c>
      <c r="F45" s="104">
        <v>162317.78826146128</v>
      </c>
      <c r="G45" s="104">
        <v>84223.648526667253</v>
      </c>
      <c r="H45" s="104">
        <v>58932.094876758936</v>
      </c>
      <c r="I45" s="104">
        <v>81996.538797356261</v>
      </c>
      <c r="J45" s="104">
        <v>73865.366257212503</v>
      </c>
      <c r="K45" s="104">
        <v>65863.213542421319</v>
      </c>
      <c r="L45" s="104">
        <v>56947.017163545119</v>
      </c>
      <c r="M45" s="104">
        <v>35892.845988278437</v>
      </c>
      <c r="N45" s="104">
        <v>5794.9861468700783</v>
      </c>
    </row>
    <row r="46" spans="1:14">
      <c r="A46" s="34"/>
      <c r="B46" s="34" t="s">
        <v>64</v>
      </c>
      <c r="C46" s="104">
        <v>566053.02989976027</v>
      </c>
      <c r="D46" s="104"/>
      <c r="E46" s="104">
        <v>141434.02612182588</v>
      </c>
      <c r="F46" s="104">
        <v>179627.79079599251</v>
      </c>
      <c r="G46" s="104">
        <v>151087.14549340401</v>
      </c>
      <c r="H46" s="104">
        <v>107479.92236998198</v>
      </c>
      <c r="I46" s="104">
        <v>111399.47230853158</v>
      </c>
      <c r="J46" s="104">
        <v>91768.085941811631</v>
      </c>
      <c r="K46" s="104">
        <v>97742.039622488737</v>
      </c>
      <c r="L46" s="104">
        <v>73524.135405630761</v>
      </c>
      <c r="M46" s="104">
        <v>62348.832858588015</v>
      </c>
      <c r="N46" s="104">
        <v>4055.7388772250429</v>
      </c>
    </row>
    <row r="47" spans="1:14">
      <c r="A47" s="34"/>
      <c r="B47" s="34" t="s">
        <v>65</v>
      </c>
      <c r="C47" s="104">
        <v>542314.72896536265</v>
      </c>
      <c r="D47" s="104"/>
      <c r="E47" s="104">
        <v>161190.14468266926</v>
      </c>
      <c r="F47" s="104">
        <v>171501.04882981951</v>
      </c>
      <c r="G47" s="104">
        <v>167594.2177616503</v>
      </c>
      <c r="H47" s="104">
        <v>108680.80831378272</v>
      </c>
      <c r="I47" s="104">
        <v>118382.79322210346</v>
      </c>
      <c r="J47" s="104">
        <v>97865.417762565892</v>
      </c>
      <c r="K47" s="104">
        <v>78337.243038936664</v>
      </c>
      <c r="L47" s="104">
        <v>53958.928927690824</v>
      </c>
      <c r="M47" s="104">
        <v>45335.926885237954</v>
      </c>
      <c r="N47" s="104">
        <v>2025.9057986324262</v>
      </c>
    </row>
    <row r="48" spans="1:14">
      <c r="A48" s="34"/>
      <c r="B48" s="34" t="s">
        <v>66</v>
      </c>
      <c r="C48" s="104">
        <v>529499.58657686866</v>
      </c>
      <c r="D48" s="104"/>
      <c r="E48" s="104">
        <v>203163.4842864782</v>
      </c>
      <c r="F48" s="104">
        <v>156360.33614463016</v>
      </c>
      <c r="G48" s="104">
        <v>161052.32340917847</v>
      </c>
      <c r="H48" s="104">
        <v>103258.72053601519</v>
      </c>
      <c r="I48" s="104">
        <v>121343.21175311794</v>
      </c>
      <c r="J48" s="104">
        <v>126429.56107467473</v>
      </c>
      <c r="K48" s="104">
        <v>74865.14136087177</v>
      </c>
      <c r="L48" s="104">
        <v>35495.271867884396</v>
      </c>
      <c r="M48" s="104">
        <v>47766.584818292205</v>
      </c>
      <c r="N48" s="104">
        <v>5094.7990878323562</v>
      </c>
    </row>
    <row r="49" spans="1:14">
      <c r="A49" s="34"/>
      <c r="B49" s="34" t="s">
        <v>67</v>
      </c>
      <c r="C49" s="104">
        <v>301394.41590862698</v>
      </c>
      <c r="D49" s="104"/>
      <c r="E49" s="104">
        <v>110659.14715649556</v>
      </c>
      <c r="F49" s="104">
        <v>68436.78051735909</v>
      </c>
      <c r="G49" s="104">
        <v>99401.990363962061</v>
      </c>
      <c r="H49" s="104">
        <v>104027.341984755</v>
      </c>
      <c r="I49" s="104">
        <v>42017.414871992129</v>
      </c>
      <c r="J49" s="104">
        <v>40016.62909743718</v>
      </c>
      <c r="K49" s="104">
        <v>43366.597195978444</v>
      </c>
      <c r="L49" s="104">
        <v>16933.550717060207</v>
      </c>
      <c r="M49" s="104">
        <v>26703.011221360342</v>
      </c>
      <c r="N49" s="104">
        <v>4007.3688359865305</v>
      </c>
    </row>
    <row r="50" spans="1:14">
      <c r="A50" s="34"/>
      <c r="B50" s="34" t="s">
        <v>68</v>
      </c>
      <c r="C50" s="104">
        <v>328586.60289712559</v>
      </c>
      <c r="D50" s="104"/>
      <c r="E50" s="104">
        <v>123315.26019918201</v>
      </c>
      <c r="F50" s="104">
        <v>65127.727253362311</v>
      </c>
      <c r="G50" s="104">
        <v>92257.523895186518</v>
      </c>
      <c r="H50" s="104">
        <v>126313.11459118467</v>
      </c>
      <c r="I50" s="104">
        <v>47148.220303809743</v>
      </c>
      <c r="J50" s="104">
        <v>34059.308124546289</v>
      </c>
      <c r="K50" s="104">
        <v>35959.283793153321</v>
      </c>
      <c r="L50" s="104">
        <v>13749.048094579577</v>
      </c>
      <c r="M50" s="104">
        <v>20958.262652654346</v>
      </c>
      <c r="N50" s="104">
        <v>7679.2641137528371</v>
      </c>
    </row>
    <row r="51" spans="1:14">
      <c r="A51" s="34"/>
      <c r="B51" s="34"/>
    </row>
    <row r="52" spans="1:14">
      <c r="A52" s="35" t="s">
        <v>58</v>
      </c>
      <c r="B52" s="35" t="s">
        <v>57</v>
      </c>
      <c r="C52" s="46">
        <v>1716026.2922494549</v>
      </c>
      <c r="D52" s="46"/>
      <c r="E52" s="46">
        <v>580056.12582860957</v>
      </c>
      <c r="F52" s="46">
        <v>566984.76209208195</v>
      </c>
      <c r="G52" s="46">
        <v>412794.16227485024</v>
      </c>
      <c r="H52" s="46">
        <v>383102.53325904149</v>
      </c>
      <c r="I52" s="46">
        <v>305175.40545752796</v>
      </c>
      <c r="J52" s="46">
        <v>263783.71672138653</v>
      </c>
      <c r="K52" s="46">
        <v>229205.93196186927</v>
      </c>
      <c r="L52" s="46">
        <v>150435.51752368716</v>
      </c>
      <c r="M52" s="46">
        <v>148859.06028183657</v>
      </c>
      <c r="N52" s="46">
        <v>21580.807231531675</v>
      </c>
    </row>
    <row r="53" spans="1:14">
      <c r="A53" s="34" t="s">
        <v>61</v>
      </c>
      <c r="B53" s="34" t="s">
        <v>62</v>
      </c>
      <c r="C53" s="104">
        <v>94198.29859559302</v>
      </c>
      <c r="D53" s="104"/>
      <c r="E53" s="104">
        <v>35346.821996074803</v>
      </c>
      <c r="F53" s="104">
        <v>30425.031390191893</v>
      </c>
      <c r="G53" s="104">
        <v>9479.7425074474995</v>
      </c>
      <c r="H53" s="104">
        <v>12902.373739288571</v>
      </c>
      <c r="I53" s="104">
        <v>15666.843193628534</v>
      </c>
      <c r="J53" s="104">
        <v>15655.185956189016</v>
      </c>
      <c r="K53" s="104">
        <v>8100.5719339848183</v>
      </c>
      <c r="L53" s="104">
        <v>4973.6984571085059</v>
      </c>
      <c r="M53" s="104">
        <v>6858.1666498712757</v>
      </c>
      <c r="N53" s="104">
        <v>3294.7072758216973</v>
      </c>
    </row>
    <row r="54" spans="1:14">
      <c r="A54" s="34"/>
      <c r="B54" s="34" t="s">
        <v>63</v>
      </c>
      <c r="C54" s="104">
        <v>272372.22886830859</v>
      </c>
      <c r="D54" s="104"/>
      <c r="E54" s="104">
        <v>79205.85764454458</v>
      </c>
      <c r="F54" s="104">
        <v>92674.539923638746</v>
      </c>
      <c r="G54" s="104">
        <v>46202.778874353098</v>
      </c>
      <c r="H54" s="104">
        <v>37409.383529424173</v>
      </c>
      <c r="I54" s="104">
        <v>52806.510412647775</v>
      </c>
      <c r="J54" s="104">
        <v>47267.012443733605</v>
      </c>
      <c r="K54" s="104">
        <v>39757.647742983565</v>
      </c>
      <c r="L54" s="104">
        <v>37530.787654550491</v>
      </c>
      <c r="M54" s="104">
        <v>22984.749979505497</v>
      </c>
      <c r="N54" s="104">
        <v>3801.0237401592203</v>
      </c>
    </row>
    <row r="55" spans="1:14">
      <c r="A55" s="34"/>
      <c r="B55" s="34" t="s">
        <v>64</v>
      </c>
      <c r="C55" s="104">
        <v>339313.95371442602</v>
      </c>
      <c r="D55" s="104"/>
      <c r="E55" s="104">
        <v>79261.414154654267</v>
      </c>
      <c r="F55" s="104">
        <v>113199.81397104907</v>
      </c>
      <c r="G55" s="104">
        <v>86042.68135480622</v>
      </c>
      <c r="H55" s="104">
        <v>57981.294137579884</v>
      </c>
      <c r="I55" s="104">
        <v>69733.639299250121</v>
      </c>
      <c r="J55" s="104">
        <v>57530.83442383894</v>
      </c>
      <c r="K55" s="104">
        <v>61747.310266764362</v>
      </c>
      <c r="L55" s="104">
        <v>40349.662694858169</v>
      </c>
      <c r="M55" s="104">
        <v>43178.909346187611</v>
      </c>
      <c r="N55" s="104">
        <v>2701.738330708125</v>
      </c>
    </row>
    <row r="56" spans="1:14">
      <c r="A56" s="34"/>
      <c r="B56" s="34" t="s">
        <v>65</v>
      </c>
      <c r="C56" s="104">
        <v>287877.63776295929</v>
      </c>
      <c r="D56" s="104"/>
      <c r="E56" s="104">
        <v>92678.834599269408</v>
      </c>
      <c r="F56" s="104">
        <v>112819.60896509579</v>
      </c>
      <c r="G56" s="104">
        <v>70445.606557925916</v>
      </c>
      <c r="H56" s="104">
        <v>51984.797388665866</v>
      </c>
      <c r="I56" s="104">
        <v>56529.771703202903</v>
      </c>
      <c r="J56" s="104">
        <v>43355.816085759645</v>
      </c>
      <c r="K56" s="104">
        <v>35961.407109079788</v>
      </c>
      <c r="L56" s="104">
        <v>25238.17389722199</v>
      </c>
      <c r="M56" s="104">
        <v>22089.152374556979</v>
      </c>
      <c r="N56" s="104">
        <v>0</v>
      </c>
    </row>
    <row r="57" spans="1:14">
      <c r="A57" s="34"/>
      <c r="B57" s="34" t="s">
        <v>66</v>
      </c>
      <c r="C57" s="104">
        <v>299475.38949663698</v>
      </c>
      <c r="D57" s="104"/>
      <c r="E57" s="104">
        <v>123894.55570397213</v>
      </c>
      <c r="F57" s="104">
        <v>117017.15553663491</v>
      </c>
      <c r="G57" s="104">
        <v>80205.479874379671</v>
      </c>
      <c r="H57" s="104">
        <v>59518.591147120133</v>
      </c>
      <c r="I57" s="104">
        <v>50764.218154332921</v>
      </c>
      <c r="J57" s="104">
        <v>54400.965014021203</v>
      </c>
      <c r="K57" s="104">
        <v>34909.52283669608</v>
      </c>
      <c r="L57" s="104">
        <v>19483.240637077197</v>
      </c>
      <c r="M57" s="104">
        <v>22334.629611242966</v>
      </c>
      <c r="N57" s="104">
        <v>3159.871557769814</v>
      </c>
    </row>
    <row r="58" spans="1:14">
      <c r="A58" s="34"/>
      <c r="B58" s="34" t="s">
        <v>67</v>
      </c>
      <c r="C58" s="104">
        <v>190766.14056758152</v>
      </c>
      <c r="D58" s="104"/>
      <c r="E58" s="104">
        <v>76816.890029912771</v>
      </c>
      <c r="F58" s="104">
        <v>50829.072938365935</v>
      </c>
      <c r="G58" s="104">
        <v>59804.011325505366</v>
      </c>
      <c r="H58" s="104">
        <v>67442.086812756388</v>
      </c>
      <c r="I58" s="104">
        <v>28128.947762913132</v>
      </c>
      <c r="J58" s="104">
        <v>24887.050985922197</v>
      </c>
      <c r="K58" s="104">
        <v>26757.453702852035</v>
      </c>
      <c r="L58" s="104">
        <v>11585.610581042391</v>
      </c>
      <c r="M58" s="104">
        <v>19057.503426725321</v>
      </c>
      <c r="N58" s="104">
        <v>2497.3839835947369</v>
      </c>
    </row>
    <row r="59" spans="1:14">
      <c r="A59" s="34"/>
      <c r="B59" s="34" t="s">
        <v>68</v>
      </c>
      <c r="C59" s="104">
        <v>232022.64324394945</v>
      </c>
      <c r="D59" s="104"/>
      <c r="E59" s="104">
        <v>92851.751700180786</v>
      </c>
      <c r="F59" s="104">
        <v>50019.539367105157</v>
      </c>
      <c r="G59" s="104">
        <v>60613.861780432388</v>
      </c>
      <c r="H59" s="104">
        <v>95864.006504206583</v>
      </c>
      <c r="I59" s="104">
        <v>31545.474931552621</v>
      </c>
      <c r="J59" s="104">
        <v>20686.851811921806</v>
      </c>
      <c r="K59" s="104">
        <v>21972.018369508642</v>
      </c>
      <c r="L59" s="104">
        <v>11274.343601828308</v>
      </c>
      <c r="M59" s="104">
        <v>12355.948893746918</v>
      </c>
      <c r="N59" s="104">
        <v>6126.0823434780814</v>
      </c>
    </row>
    <row r="60" spans="1:14">
      <c r="A60" s="34"/>
      <c r="B60" s="34"/>
    </row>
    <row r="61" spans="1:14">
      <c r="A61" s="35" t="s">
        <v>59</v>
      </c>
      <c r="B61" s="35" t="s">
        <v>57</v>
      </c>
      <c r="C61" s="46">
        <v>1138964.5785669223</v>
      </c>
      <c r="D61" s="46"/>
      <c r="E61" s="46">
        <v>337312.04065008747</v>
      </c>
      <c r="F61" s="46">
        <v>288470.60006338166</v>
      </c>
      <c r="G61" s="46">
        <v>364431.84518886189</v>
      </c>
      <c r="H61" s="46">
        <v>241417.12197687663</v>
      </c>
      <c r="I61" s="46">
        <v>239755.88460521211</v>
      </c>
      <c r="J61" s="46">
        <v>218777.2660498152</v>
      </c>
      <c r="K61" s="46">
        <v>178997.19279773434</v>
      </c>
      <c r="L61" s="46">
        <v>108049.55200837585</v>
      </c>
      <c r="M61" s="46">
        <v>98172.569709044561</v>
      </c>
      <c r="N61" s="46">
        <v>9860.7161251461603</v>
      </c>
    </row>
    <row r="62" spans="1:14">
      <c r="A62" s="34" t="s">
        <v>61</v>
      </c>
      <c r="B62" s="34" t="s">
        <v>62</v>
      </c>
      <c r="C62" s="104">
        <v>61278.970198398631</v>
      </c>
      <c r="D62" s="104"/>
      <c r="E62" s="104">
        <v>19204.681119164528</v>
      </c>
      <c r="F62" s="104">
        <v>26234.479828845637</v>
      </c>
      <c r="G62" s="104">
        <v>14588.605702170466</v>
      </c>
      <c r="H62" s="104">
        <v>4254.7239180330125</v>
      </c>
      <c r="I62" s="104">
        <v>7974.2264584555232</v>
      </c>
      <c r="J62" s="104">
        <v>3316.1367896079928</v>
      </c>
      <c r="K62" s="104">
        <v>5396.5907666133917</v>
      </c>
      <c r="L62" s="104">
        <v>3865.6289575224628</v>
      </c>
      <c r="M62" s="104">
        <v>1726.2539578033068</v>
      </c>
      <c r="N62" s="104">
        <v>0</v>
      </c>
    </row>
    <row r="63" spans="1:14">
      <c r="A63" s="34"/>
      <c r="B63" s="34" t="s">
        <v>63</v>
      </c>
      <c r="C63" s="104">
        <v>167000.47112660814</v>
      </c>
      <c r="D63" s="104"/>
      <c r="E63" s="104">
        <v>45103.728420533502</v>
      </c>
      <c r="F63" s="104">
        <v>68154.453169709421</v>
      </c>
      <c r="G63" s="104">
        <v>37506.924548946467</v>
      </c>
      <c r="H63" s="104">
        <v>21046.521708682172</v>
      </c>
      <c r="I63" s="104">
        <v>28695.033186457891</v>
      </c>
      <c r="J63" s="104">
        <v>26598.353813478905</v>
      </c>
      <c r="K63" s="104">
        <v>25629.376160785177</v>
      </c>
      <c r="L63" s="104">
        <v>18962.193187867124</v>
      </c>
      <c r="M63" s="104">
        <v>12908.096008772944</v>
      </c>
      <c r="N63" s="104">
        <v>1993.9624067108582</v>
      </c>
    </row>
    <row r="64" spans="1:14">
      <c r="A64" s="34"/>
      <c r="B64" s="34" t="s">
        <v>64</v>
      </c>
      <c r="C64" s="104">
        <v>222730.54461282751</v>
      </c>
      <c r="D64" s="104"/>
      <c r="E64" s="104">
        <v>61644.682943980333</v>
      </c>
      <c r="F64" s="104">
        <v>65372.118778560929</v>
      </c>
      <c r="G64" s="104">
        <v>64429.710405776001</v>
      </c>
      <c r="H64" s="104">
        <v>49034.957265967125</v>
      </c>
      <c r="I64" s="104">
        <v>41163.397361276846</v>
      </c>
      <c r="J64" s="104">
        <v>33822.543285128981</v>
      </c>
      <c r="K64" s="104">
        <v>35043.362499532202</v>
      </c>
      <c r="L64" s="104">
        <v>32666.298972941124</v>
      </c>
      <c r="M64" s="104">
        <v>19169.923512400423</v>
      </c>
      <c r="N64" s="104">
        <v>1354.0005465169181</v>
      </c>
    </row>
    <row r="65" spans="1:14">
      <c r="A65" s="34"/>
      <c r="B65" s="34" t="s">
        <v>65</v>
      </c>
      <c r="C65" s="104">
        <v>253245.85266474259</v>
      </c>
      <c r="D65" s="104"/>
      <c r="E65" s="104">
        <v>68511.310083399861</v>
      </c>
      <c r="F65" s="104">
        <v>58048.456368267667</v>
      </c>
      <c r="G65" s="104">
        <v>96590.356162519558</v>
      </c>
      <c r="H65" s="104">
        <v>56696.010925116934</v>
      </c>
      <c r="I65" s="104">
        <v>61853.021518900699</v>
      </c>
      <c r="J65" s="104">
        <v>54509.601676806291</v>
      </c>
      <c r="K65" s="104">
        <v>42375.835929856912</v>
      </c>
      <c r="L65" s="104">
        <v>28720.755030468838</v>
      </c>
      <c r="M65" s="104">
        <v>22688.519469476199</v>
      </c>
      <c r="N65" s="104">
        <v>2025.9057986324262</v>
      </c>
    </row>
    <row r="66" spans="1:14">
      <c r="A66" s="34"/>
      <c r="B66" s="34" t="s">
        <v>66</v>
      </c>
      <c r="C66" s="104">
        <v>228765.21262891631</v>
      </c>
      <c r="D66" s="104"/>
      <c r="E66" s="104">
        <v>78541.87245742495</v>
      </c>
      <c r="F66" s="104">
        <v>38811.252281762907</v>
      </c>
      <c r="G66" s="104">
        <v>80457.25904600443</v>
      </c>
      <c r="H66" s="104">
        <v>43350.544900100678</v>
      </c>
      <c r="I66" s="104">
        <v>70578.993598785091</v>
      </c>
      <c r="J66" s="104">
        <v>72028.596060653494</v>
      </c>
      <c r="K66" s="104">
        <v>39955.618524175719</v>
      </c>
      <c r="L66" s="104">
        <v>16012.03123080721</v>
      </c>
      <c r="M66" s="104">
        <v>25431.955207049217</v>
      </c>
      <c r="N66" s="104">
        <v>1934.927530062542</v>
      </c>
    </row>
    <row r="67" spans="1:14">
      <c r="A67" s="34"/>
      <c r="B67" s="34" t="s">
        <v>67</v>
      </c>
      <c r="C67" s="104">
        <v>109762.21951203037</v>
      </c>
      <c r="D67" s="104"/>
      <c r="E67" s="104">
        <v>33842.257126582736</v>
      </c>
      <c r="F67" s="104">
        <v>16741.651749977776</v>
      </c>
      <c r="G67" s="104">
        <v>39597.979038456651</v>
      </c>
      <c r="H67" s="104">
        <v>36585.255171998586</v>
      </c>
      <c r="I67" s="104">
        <v>13888.467109078989</v>
      </c>
      <c r="J67" s="104">
        <v>15129.578111515009</v>
      </c>
      <c r="K67" s="104">
        <v>16609.14349312639</v>
      </c>
      <c r="L67" s="104">
        <v>5347.9401360178181</v>
      </c>
      <c r="M67" s="104">
        <v>7645.507794635022</v>
      </c>
      <c r="N67" s="104">
        <v>998.73807294866015</v>
      </c>
    </row>
    <row r="68" spans="1:14">
      <c r="A68" s="34"/>
      <c r="B68" s="34" t="s">
        <v>68</v>
      </c>
      <c r="C68" s="104">
        <v>96181.307823409399</v>
      </c>
      <c r="D68" s="104"/>
      <c r="E68" s="104">
        <v>30463.508499001167</v>
      </c>
      <c r="F68" s="104">
        <v>15108.18788625715</v>
      </c>
      <c r="G68" s="104">
        <v>31261.010284987369</v>
      </c>
      <c r="H68" s="104">
        <v>30449.10808697802</v>
      </c>
      <c r="I68" s="104">
        <v>15602.745372257144</v>
      </c>
      <c r="J68" s="104">
        <v>13372.456312624479</v>
      </c>
      <c r="K68" s="104">
        <v>13987.265423644687</v>
      </c>
      <c r="L68" s="104">
        <v>2474.7044927512698</v>
      </c>
      <c r="M68" s="104">
        <v>8602.3137589074322</v>
      </c>
      <c r="N68" s="104">
        <v>1553.1817702747558</v>
      </c>
    </row>
    <row r="69" spans="1:14">
      <c r="A69" s="118"/>
      <c r="B69" s="118"/>
      <c r="C69" s="119"/>
      <c r="D69" s="119"/>
      <c r="E69" s="119"/>
      <c r="F69" s="119"/>
      <c r="G69" s="119"/>
      <c r="H69" s="119"/>
      <c r="I69" s="119"/>
      <c r="J69" s="119"/>
      <c r="K69" s="119"/>
      <c r="L69" s="119"/>
      <c r="M69" s="119"/>
      <c r="N69" s="119"/>
    </row>
    <row r="70" spans="1:14">
      <c r="A70" s="16" t="s">
        <v>438</v>
      </c>
    </row>
    <row r="71" spans="1:14">
      <c r="A71" s="24" t="s">
        <v>117</v>
      </c>
    </row>
    <row r="72" spans="1:14">
      <c r="A72" s="16" t="s">
        <v>443</v>
      </c>
    </row>
    <row r="73" spans="1:14">
      <c r="A73" s="16" t="s">
        <v>121</v>
      </c>
    </row>
    <row r="74" spans="1:14">
      <c r="A74" s="16" t="s">
        <v>122</v>
      </c>
    </row>
    <row r="75" spans="1:14">
      <c r="A75" s="24" t="s">
        <v>120</v>
      </c>
    </row>
  </sheetData>
  <mergeCells count="3">
    <mergeCell ref="C42:N42"/>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C43&lt;'38'!$C$104</xm:f>
            <x14:dxf>
              <font>
                <color rgb="FFFF0000"/>
              </font>
              <numFmt numFmtId="172" formatCode="\*\*0.0%"/>
            </x14:dxf>
          </x14:cfRule>
          <x14:cfRule type="expression" priority="4" id="{B2EEDE8F-0511-4DDD-89FA-49131EF3AA60}">
            <xm:f>C43&lt;'38'!$C$103</xm:f>
            <x14:dxf>
              <font>
                <color rgb="FF00B050"/>
              </font>
              <numFmt numFmtId="171" formatCode="\*0.0%"/>
            </x14:dxf>
          </x14:cfRule>
          <xm:sqref>C16:N41</xm:sqref>
        </x14:conditionalFormatting>
        <x14:conditionalFormatting xmlns:xm="http://schemas.microsoft.com/office/excel/2006/main">
          <x14:cfRule type="expression" priority="1" id="{D7D5D20B-A4BD-4E6C-B7A1-DD67FE361E56}">
            <xm:f>C43&lt;'38'!$C$104</xm:f>
            <x14:dxf>
              <font>
                <color rgb="FFFF0000"/>
              </font>
              <numFmt numFmtId="174" formatCode="\*\*#,###,###,##0"/>
            </x14:dxf>
          </x14:cfRule>
          <x14:cfRule type="expression" priority="2" id="{7D86C670-27FE-4794-B304-071BEDD52AB4}">
            <xm:f>C43&lt;'38'!$C$103</xm:f>
            <x14:dxf>
              <font>
                <color rgb="FF00B050"/>
              </font>
              <numFmt numFmtId="173" formatCode="\*#,###,###,##0"/>
            </x14:dxf>
          </x14:cfRule>
          <xm:sqref>C43:N68</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7" customWidth="1"/>
    <col min="6" max="6" width="7" style="1" customWidth="1"/>
    <col min="7" max="9" width="12.85546875" style="1" customWidth="1"/>
    <col min="10" max="10" width="8.85546875" style="1"/>
    <col min="11" max="11" width="11.5703125" style="1" bestFit="1" customWidth="1"/>
    <col min="12" max="16384" width="8.85546875" style="1"/>
  </cols>
  <sheetData>
    <row r="1" spans="1:11">
      <c r="A1" s="29"/>
      <c r="B1" s="29"/>
      <c r="C1" s="29"/>
      <c r="D1" s="114"/>
      <c r="E1" s="114"/>
      <c r="F1" s="29"/>
      <c r="G1" s="29"/>
      <c r="H1" s="29"/>
      <c r="I1" s="29"/>
    </row>
    <row r="2" spans="1:11">
      <c r="A2" s="29"/>
      <c r="B2" s="29"/>
      <c r="C2" s="29"/>
      <c r="D2" s="114"/>
      <c r="E2" s="114"/>
      <c r="F2" s="29"/>
      <c r="G2" s="29"/>
      <c r="H2" s="29"/>
      <c r="I2" s="29"/>
    </row>
    <row r="3" spans="1:11">
      <c r="A3" s="29"/>
      <c r="B3" s="29"/>
      <c r="C3" s="29"/>
      <c r="D3" s="114"/>
      <c r="E3" s="114"/>
      <c r="F3" s="29"/>
      <c r="G3" s="29"/>
      <c r="H3" s="29"/>
      <c r="I3" s="29"/>
    </row>
    <row r="4" spans="1:11">
      <c r="A4" s="29"/>
      <c r="B4" s="29"/>
      <c r="C4" s="29"/>
      <c r="D4" s="114"/>
      <c r="E4" s="114"/>
      <c r="F4" s="29"/>
      <c r="G4" s="29"/>
      <c r="H4" s="29"/>
      <c r="I4" s="29"/>
    </row>
    <row r="5" spans="1:11">
      <c r="A5" s="29"/>
      <c r="B5" s="29"/>
      <c r="C5" s="29"/>
      <c r="D5" s="114"/>
      <c r="E5" s="114"/>
      <c r="F5" s="29"/>
      <c r="G5" s="29"/>
      <c r="H5" s="29"/>
      <c r="I5" s="29"/>
    </row>
    <row r="6" spans="1:11">
      <c r="A6" s="29"/>
      <c r="B6" s="29"/>
      <c r="C6" s="29"/>
      <c r="D6" s="114"/>
      <c r="E6" s="114"/>
      <c r="F6" s="29"/>
      <c r="G6" s="29"/>
      <c r="H6" s="29"/>
      <c r="I6" s="29"/>
    </row>
    <row r="7" spans="1:11">
      <c r="A7" s="29"/>
      <c r="B7" s="29"/>
      <c r="C7" s="29"/>
      <c r="D7" s="114"/>
      <c r="E7" s="114"/>
      <c r="F7" s="29"/>
      <c r="G7" s="29"/>
      <c r="H7" s="29"/>
      <c r="I7" s="29"/>
    </row>
    <row r="8" spans="1:11">
      <c r="A8" s="30" t="s">
        <v>0</v>
      </c>
      <c r="B8" s="29"/>
      <c r="C8" s="30"/>
      <c r="D8" s="114"/>
      <c r="E8" s="114"/>
      <c r="F8" s="30"/>
      <c r="G8" s="29"/>
      <c r="H8" s="29"/>
      <c r="I8" s="29"/>
    </row>
    <row r="9" spans="1:11">
      <c r="A9" s="29" t="s">
        <v>1</v>
      </c>
      <c r="B9" s="90" t="s">
        <v>2</v>
      </c>
      <c r="C9" s="30"/>
      <c r="D9" s="114"/>
      <c r="E9" s="114"/>
      <c r="F9" s="30"/>
      <c r="G9" s="29"/>
      <c r="H9" s="29"/>
      <c r="I9" s="29"/>
    </row>
    <row r="10" spans="1:11">
      <c r="A10" s="29" t="s">
        <v>49</v>
      </c>
      <c r="B10" s="31">
        <v>26</v>
      </c>
      <c r="C10" s="30"/>
      <c r="D10" s="114"/>
      <c r="E10" s="114"/>
      <c r="F10" s="30"/>
      <c r="G10" s="29"/>
      <c r="H10" s="29"/>
      <c r="I10" s="29"/>
    </row>
    <row r="11" spans="1:11">
      <c r="A11" s="29" t="s">
        <v>3</v>
      </c>
      <c r="B11" s="30" t="s">
        <v>444</v>
      </c>
      <c r="C11" s="30"/>
      <c r="D11" s="114"/>
      <c r="E11" s="114"/>
      <c r="F11" s="30"/>
      <c r="G11" s="29"/>
      <c r="H11" s="29"/>
      <c r="I11" s="29"/>
    </row>
    <row r="12" spans="1:11">
      <c r="A12" s="116" t="s">
        <v>50</v>
      </c>
      <c r="B12" s="117" t="s">
        <v>51</v>
      </c>
      <c r="C12" s="117"/>
      <c r="D12" s="177"/>
      <c r="E12" s="177"/>
      <c r="F12" s="117"/>
      <c r="G12" s="116"/>
      <c r="H12" s="116"/>
      <c r="I12" s="116"/>
    </row>
    <row r="13" spans="1:11" ht="24.95" customHeight="1">
      <c r="A13" s="32"/>
      <c r="B13" s="55"/>
      <c r="C13" s="51"/>
      <c r="D13" s="65"/>
      <c r="E13" s="65"/>
      <c r="F13" s="51"/>
      <c r="G13" s="182" t="s">
        <v>61</v>
      </c>
      <c r="H13" s="182"/>
      <c r="I13" s="182"/>
      <c r="K13" s="113" t="s">
        <v>445</v>
      </c>
    </row>
    <row r="14" spans="1:11" s="6" customFormat="1" ht="24.95" customHeight="1">
      <c r="A14" s="41"/>
      <c r="B14" s="37" t="s">
        <v>60</v>
      </c>
      <c r="C14" s="64"/>
      <c r="D14" s="64" t="s">
        <v>58</v>
      </c>
      <c r="E14" s="64" t="s">
        <v>59</v>
      </c>
      <c r="F14" s="64"/>
      <c r="G14" s="64" t="s">
        <v>446</v>
      </c>
      <c r="H14" s="64" t="s">
        <v>447</v>
      </c>
      <c r="I14" s="64" t="s">
        <v>448</v>
      </c>
    </row>
    <row r="15" spans="1:11">
      <c r="A15" s="67"/>
      <c r="B15" s="187" t="s">
        <v>144</v>
      </c>
      <c r="C15" s="187"/>
      <c r="D15" s="187"/>
      <c r="E15" s="187"/>
      <c r="F15" s="187"/>
      <c r="G15" s="187"/>
      <c r="H15" s="187"/>
      <c r="I15" s="187"/>
    </row>
    <row r="16" spans="1:11">
      <c r="A16" s="34" t="s">
        <v>314</v>
      </c>
      <c r="B16" s="4">
        <v>1.7312392693066836E-2</v>
      </c>
      <c r="D16" s="142">
        <v>2.3617729477724156E-2</v>
      </c>
      <c r="E16" s="142">
        <v>1.130690426391469E-2</v>
      </c>
      <c r="G16" s="4">
        <v>1.9482037858123656E-2</v>
      </c>
      <c r="H16" s="4">
        <v>2.7176555007041806E-2</v>
      </c>
      <c r="I16" s="4">
        <v>6.1359183707585902E-3</v>
      </c>
      <c r="K16" s="113" t="s">
        <v>146</v>
      </c>
    </row>
    <row r="17" spans="1:17">
      <c r="A17" s="34" t="s">
        <v>274</v>
      </c>
      <c r="B17" s="4">
        <v>1.5504660619542358E-2</v>
      </c>
      <c r="D17" s="142">
        <v>2.1416244306282157E-2</v>
      </c>
      <c r="E17" s="142">
        <v>9.8923532830123562E-3</v>
      </c>
      <c r="G17" s="4">
        <v>1.5307611607905969E-2</v>
      </c>
      <c r="H17" s="4">
        <v>2.1953164815591564E-2</v>
      </c>
      <c r="I17" s="4">
        <v>9.7507542366137481E-3</v>
      </c>
    </row>
    <row r="18" spans="1:17">
      <c r="A18" s="34" t="s">
        <v>277</v>
      </c>
      <c r="B18" s="4">
        <v>1.1232403962590155E-2</v>
      </c>
      <c r="D18" s="142">
        <v>1.3283640208922505E-2</v>
      </c>
      <c r="E18" s="142">
        <v>9.2553112410760415E-3</v>
      </c>
      <c r="G18" s="4">
        <v>1.1244385140567092E-2</v>
      </c>
      <c r="H18" s="4">
        <v>1.8696828372128133E-2</v>
      </c>
      <c r="I18" s="4">
        <v>4.3412830304250024E-3</v>
      </c>
    </row>
    <row r="19" spans="1:17">
      <c r="A19" s="34" t="s">
        <v>350</v>
      </c>
      <c r="B19" s="4">
        <v>8.9569325075251859E-3</v>
      </c>
      <c r="D19" s="142">
        <v>3.8263049176729021E-3</v>
      </c>
      <c r="E19" s="142">
        <v>1.4031844006767233E-2</v>
      </c>
      <c r="G19" s="4">
        <v>1.1786733706270355E-2</v>
      </c>
      <c r="H19" s="4">
        <v>1.178832834507177E-2</v>
      </c>
      <c r="I19" s="4">
        <v>3.6277812163146754E-3</v>
      </c>
    </row>
    <row r="20" spans="1:17">
      <c r="A20" s="34" t="s">
        <v>295</v>
      </c>
      <c r="B20" s="4">
        <v>8.2020956742914694E-3</v>
      </c>
      <c r="D20" s="142">
        <v>1.3433734367885086E-2</v>
      </c>
      <c r="E20" s="142">
        <v>3.1881890154271159E-3</v>
      </c>
      <c r="G20" s="4">
        <v>7.2458716543528289E-3</v>
      </c>
      <c r="H20" s="4">
        <v>1.1652643503705928E-2</v>
      </c>
      <c r="I20" s="4">
        <v>5.9408707963829153E-3</v>
      </c>
    </row>
    <row r="21" spans="1:17">
      <c r="A21" s="34" t="s">
        <v>375</v>
      </c>
      <c r="B21" s="4">
        <v>5.2022697142030004E-3</v>
      </c>
      <c r="D21" s="142">
        <v>5.3321344294090271E-3</v>
      </c>
      <c r="E21" s="142">
        <v>5.0929329496862226E-3</v>
      </c>
      <c r="G21" s="4">
        <v>5.7259949025727048E-3</v>
      </c>
      <c r="H21" s="4">
        <v>6.2724184524751269E-3</v>
      </c>
      <c r="I21" s="4">
        <v>3.7126368478126899E-3</v>
      </c>
    </row>
    <row r="22" spans="1:17">
      <c r="A22" s="34" t="s">
        <v>273</v>
      </c>
      <c r="B22" s="4">
        <v>4.3870722398843048E-3</v>
      </c>
      <c r="D22" s="142">
        <v>4.2374302893983503E-3</v>
      </c>
      <c r="E22" s="142">
        <v>4.5272871246912639E-3</v>
      </c>
      <c r="G22" s="4">
        <v>5.2041176066945178E-3</v>
      </c>
      <c r="H22" s="4">
        <v>6.182480103945529E-3</v>
      </c>
      <c r="I22" s="4">
        <v>1.9471062651872067E-3</v>
      </c>
    </row>
    <row r="23" spans="1:17">
      <c r="A23" s="34" t="s">
        <v>373</v>
      </c>
      <c r="B23" s="4">
        <v>4.1314198143317079E-3</v>
      </c>
      <c r="D23" s="142">
        <v>5.7870843826420704E-3</v>
      </c>
      <c r="E23" s="142">
        <v>2.5327562427931672E-3</v>
      </c>
      <c r="G23" s="4">
        <v>4.7446477767688552E-3</v>
      </c>
      <c r="H23" s="4">
        <v>5.5706998829713767E-3</v>
      </c>
      <c r="I23" s="4">
        <v>2.2155592104666005E-3</v>
      </c>
    </row>
    <row r="24" spans="1:17">
      <c r="A24" s="34" t="s">
        <v>396</v>
      </c>
      <c r="B24" s="4">
        <v>4.1134870599974583E-3</v>
      </c>
      <c r="D24" s="142">
        <v>5.2635789867578626E-3</v>
      </c>
      <c r="E24" s="142">
        <v>3.0448551802364837E-3</v>
      </c>
      <c r="G24" s="4">
        <v>3.9798116957864777E-3</v>
      </c>
      <c r="H24" s="4">
        <v>4.5010140464009796E-3</v>
      </c>
      <c r="I24" s="4">
        <v>3.8847908534084393E-3</v>
      </c>
    </row>
    <row r="25" spans="1:17">
      <c r="A25" s="118" t="s">
        <v>390</v>
      </c>
      <c r="B25" s="123">
        <v>3.9595732092745101E-3</v>
      </c>
      <c r="C25" s="119"/>
      <c r="D25" s="143">
        <v>4.0628100564808192E-3</v>
      </c>
      <c r="E25" s="143">
        <v>3.8208573371392367E-3</v>
      </c>
      <c r="F25" s="119"/>
      <c r="G25" s="123">
        <v>4.4096437937380314E-3</v>
      </c>
      <c r="H25" s="123">
        <v>4.817761022945519E-3</v>
      </c>
      <c r="I25" s="123">
        <v>2.7360806369662177E-3</v>
      </c>
    </row>
    <row r="26" spans="1:17">
      <c r="A26" s="67"/>
      <c r="B26" s="187" t="s">
        <v>442</v>
      </c>
      <c r="C26" s="187"/>
      <c r="D26" s="187"/>
      <c r="E26" s="187"/>
      <c r="F26" s="187"/>
      <c r="G26" s="187"/>
      <c r="H26" s="187"/>
      <c r="I26" s="187"/>
    </row>
    <row r="27" spans="1:17">
      <c r="A27" s="34" t="s">
        <v>314</v>
      </c>
      <c r="B27" s="11">
        <v>388304.42762496776</v>
      </c>
      <c r="D27" s="15">
        <v>259275.174444526</v>
      </c>
      <c r="E27" s="15">
        <v>128035.97793681001</v>
      </c>
      <c r="G27" s="11">
        <v>145678.86879675189</v>
      </c>
      <c r="H27" s="11">
        <v>194884.22135875552</v>
      </c>
      <c r="I27" s="11">
        <v>47741.33746945938</v>
      </c>
      <c r="J27" s="11"/>
      <c r="K27" s="11"/>
      <c r="L27" s="44"/>
      <c r="M27" s="44"/>
      <c r="N27" s="44"/>
      <c r="O27" s="44"/>
      <c r="P27" s="44"/>
      <c r="Q27" s="44"/>
    </row>
    <row r="28" spans="1:17">
      <c r="A28" s="34" t="s">
        <v>274</v>
      </c>
      <c r="B28" s="11">
        <v>347758.30667252821</v>
      </c>
      <c r="D28" s="15">
        <v>235107.29444568776</v>
      </c>
      <c r="E28" s="15">
        <v>112018.02873038428</v>
      </c>
      <c r="G28" s="11">
        <v>114464.18281596257</v>
      </c>
      <c r="H28" s="11">
        <v>157427.07014698582</v>
      </c>
      <c r="I28" s="11">
        <v>75867.05370957953</v>
      </c>
      <c r="J28" s="11"/>
      <c r="K28" s="11"/>
      <c r="L28" s="44"/>
      <c r="M28" s="44"/>
      <c r="N28" s="44"/>
      <c r="O28" s="44"/>
      <c r="P28" s="44"/>
      <c r="Q28" s="44"/>
    </row>
    <row r="29" spans="1:17">
      <c r="A29" s="34" t="s">
        <v>277</v>
      </c>
      <c r="B29" s="11">
        <v>251934.68452761558</v>
      </c>
      <c r="D29" s="15">
        <v>145827.65611212273</v>
      </c>
      <c r="E29" s="15">
        <v>104804.35654192451</v>
      </c>
      <c r="G29" s="11">
        <v>84081.004231791638</v>
      </c>
      <c r="H29" s="11">
        <v>134075.74426693685</v>
      </c>
      <c r="I29" s="11">
        <v>33777.936028887183</v>
      </c>
      <c r="J29" s="11"/>
      <c r="K29" s="11"/>
      <c r="L29" s="44"/>
      <c r="M29" s="44"/>
      <c r="N29" s="44"/>
      <c r="O29" s="44"/>
      <c r="P29" s="44"/>
      <c r="Q29" s="44"/>
    </row>
    <row r="30" spans="1:17">
      <c r="A30" s="34" t="s">
        <v>350</v>
      </c>
      <c r="B30" s="11">
        <v>200897.50806096781</v>
      </c>
      <c r="D30" s="15">
        <v>42005.133302220653</v>
      </c>
      <c r="E30" s="15">
        <v>158892.37475874717</v>
      </c>
      <c r="G30" s="11">
        <v>88136.469379768809</v>
      </c>
      <c r="H30" s="11">
        <v>84534.599402145803</v>
      </c>
      <c r="I30" s="11">
        <v>28226.439279053258</v>
      </c>
      <c r="J30" s="11"/>
      <c r="K30" s="11"/>
      <c r="L30" s="44"/>
      <c r="M30" s="44"/>
      <c r="N30" s="44"/>
      <c r="O30" s="44"/>
      <c r="P30" s="44"/>
      <c r="Q30" s="44"/>
    </row>
    <row r="31" spans="1:17">
      <c r="A31" s="34" t="s">
        <v>295</v>
      </c>
      <c r="B31" s="11">
        <v>183967.06466844684</v>
      </c>
      <c r="D31" s="15">
        <v>147475.38813838852</v>
      </c>
      <c r="E31" s="15">
        <v>36102.092041263801</v>
      </c>
      <c r="G31" s="11">
        <v>54181.723377178212</v>
      </c>
      <c r="H31" s="11">
        <v>83561.597686037319</v>
      </c>
      <c r="I31" s="11">
        <v>46223.743605231139</v>
      </c>
      <c r="J31" s="11"/>
      <c r="K31" s="11"/>
      <c r="L31" s="44"/>
      <c r="M31" s="44"/>
      <c r="N31" s="44"/>
      <c r="O31" s="44"/>
      <c r="P31" s="44"/>
      <c r="Q31" s="44"/>
    </row>
    <row r="32" spans="1:17">
      <c r="A32" s="34" t="s">
        <v>375</v>
      </c>
      <c r="B32" s="11">
        <v>116683.14135072063</v>
      </c>
      <c r="D32" s="15">
        <v>58536.113120045258</v>
      </c>
      <c r="E32" s="15">
        <v>57670.838592022752</v>
      </c>
      <c r="G32" s="11">
        <v>42816.694342626542</v>
      </c>
      <c r="H32" s="11">
        <v>44979.777084702844</v>
      </c>
      <c r="I32" s="11">
        <v>28886.669923391171</v>
      </c>
      <c r="J32" s="11"/>
      <c r="K32" s="11"/>
      <c r="L32" s="44"/>
      <c r="M32" s="44"/>
      <c r="N32" s="44"/>
      <c r="O32" s="44"/>
      <c r="P32" s="44"/>
      <c r="Q32" s="44"/>
    </row>
    <row r="33" spans="1:17">
      <c r="A33" s="34" t="s">
        <v>273</v>
      </c>
      <c r="B33" s="11">
        <v>98398.852501761678</v>
      </c>
      <c r="D33" s="15">
        <v>46518.463111219622</v>
      </c>
      <c r="E33" s="15">
        <v>51265.635657720304</v>
      </c>
      <c r="G33" s="11">
        <v>38914.305143514066</v>
      </c>
      <c r="H33" s="11">
        <v>44334.825396788699</v>
      </c>
      <c r="I33" s="11">
        <v>15149.721961458994</v>
      </c>
      <c r="J33" s="11"/>
      <c r="K33" s="11"/>
      <c r="L33" s="44"/>
      <c r="M33" s="44"/>
      <c r="N33" s="44"/>
      <c r="O33" s="44"/>
      <c r="P33" s="44"/>
      <c r="Q33" s="44"/>
    </row>
    <row r="34" spans="1:17">
      <c r="A34" s="34" t="s">
        <v>373</v>
      </c>
      <c r="B34" s="11">
        <v>92664.753782126514</v>
      </c>
      <c r="D34" s="15">
        <v>63530.548702825625</v>
      </c>
      <c r="E34" s="15">
        <v>28680.168758173408</v>
      </c>
      <c r="G34" s="11">
        <v>35478.573955778193</v>
      </c>
      <c r="H34" s="11">
        <v>39947.723647639781</v>
      </c>
      <c r="I34" s="11">
        <v>17238.456178708588</v>
      </c>
      <c r="J34" s="11"/>
      <c r="K34" s="11"/>
      <c r="L34" s="44"/>
      <c r="M34" s="44"/>
      <c r="N34" s="44"/>
      <c r="O34" s="44"/>
      <c r="P34" s="44"/>
      <c r="Q34" s="44"/>
    </row>
    <row r="35" spans="1:17">
      <c r="A35" s="34" t="s">
        <v>396</v>
      </c>
      <c r="B35" s="11">
        <v>92262.535092257676</v>
      </c>
      <c r="D35" s="15">
        <v>57783.512224634578</v>
      </c>
      <c r="E35" s="15">
        <v>34479.022867623135</v>
      </c>
      <c r="G35" s="11">
        <v>29759.436363301262</v>
      </c>
      <c r="H35" s="11">
        <v>32276.961429820236</v>
      </c>
      <c r="I35" s="11">
        <v>30226.137299136226</v>
      </c>
      <c r="J35" s="11"/>
      <c r="K35" s="11"/>
      <c r="L35" s="44"/>
      <c r="M35" s="44"/>
      <c r="N35" s="44"/>
      <c r="O35" s="44"/>
      <c r="P35" s="44"/>
      <c r="Q35" s="44"/>
    </row>
    <row r="36" spans="1:17">
      <c r="A36" s="34" t="s">
        <v>390</v>
      </c>
      <c r="B36" s="11">
        <v>88810.358910252326</v>
      </c>
      <c r="D36" s="15">
        <v>44601.484114828847</v>
      </c>
      <c r="E36" s="15">
        <v>43266.23753938853</v>
      </c>
      <c r="G36" s="11">
        <v>32973.548473036572</v>
      </c>
      <c r="H36" s="11">
        <v>34548.367348474298</v>
      </c>
      <c r="I36" s="11">
        <v>21288.443088741478</v>
      </c>
      <c r="J36" s="11"/>
      <c r="K36" s="11"/>
      <c r="L36" s="44"/>
      <c r="M36" s="44"/>
      <c r="N36" s="44"/>
      <c r="O36" s="44"/>
      <c r="P36" s="44"/>
      <c r="Q36" s="44"/>
    </row>
    <row r="37" spans="1:17">
      <c r="A37" s="118"/>
      <c r="B37" s="123"/>
      <c r="C37" s="123"/>
      <c r="D37" s="178"/>
      <c r="E37" s="178"/>
      <c r="F37" s="123"/>
      <c r="G37" s="123"/>
      <c r="H37" s="123"/>
      <c r="I37" s="123"/>
    </row>
    <row r="38" spans="1:17">
      <c r="A38" s="16" t="s">
        <v>438</v>
      </c>
      <c r="C38" s="4"/>
      <c r="F38" s="4"/>
    </row>
    <row r="39" spans="1:17">
      <c r="A39" s="24" t="s">
        <v>117</v>
      </c>
      <c r="C39" s="4"/>
      <c r="F39" s="4"/>
    </row>
    <row r="40" spans="1:17">
      <c r="A40" s="16" t="s">
        <v>443</v>
      </c>
      <c r="C40" s="4"/>
      <c r="F40" s="4"/>
    </row>
    <row r="41" spans="1:17">
      <c r="A41" s="16" t="s">
        <v>121</v>
      </c>
      <c r="C41" s="4"/>
      <c r="F41" s="4"/>
    </row>
    <row r="42" spans="1:17">
      <c r="A42" s="16" t="s">
        <v>122</v>
      </c>
      <c r="C42" s="4"/>
      <c r="F42" s="4"/>
    </row>
    <row r="43" spans="1:17">
      <c r="A43" s="24" t="s">
        <v>120</v>
      </c>
      <c r="C43" s="4"/>
      <c r="F43" s="4"/>
    </row>
    <row r="44" spans="1:17">
      <c r="C44" s="4"/>
      <c r="F44" s="4"/>
    </row>
    <row r="45" spans="1:17">
      <c r="C45" s="4"/>
      <c r="F45" s="4"/>
    </row>
    <row r="46" spans="1:17">
      <c r="C46" s="4"/>
      <c r="F46" s="4"/>
    </row>
    <row r="47" spans="1:17">
      <c r="C47" s="4"/>
      <c r="F47" s="4"/>
    </row>
    <row r="48" spans="1:17">
      <c r="C48" s="4"/>
      <c r="F48" s="4"/>
    </row>
    <row r="49" spans="3:6">
      <c r="C49" s="4"/>
      <c r="F49" s="4"/>
    </row>
    <row r="50" spans="3:6">
      <c r="C50" s="4"/>
      <c r="F50" s="4"/>
    </row>
    <row r="51" spans="3:6">
      <c r="C51" s="4"/>
      <c r="F51" s="4"/>
    </row>
    <row r="52" spans="3:6">
      <c r="C52" s="4"/>
      <c r="F52" s="4"/>
    </row>
    <row r="53" spans="3:6">
      <c r="C53" s="4"/>
      <c r="F53" s="4"/>
    </row>
    <row r="54" spans="3:6">
      <c r="C54" s="4"/>
      <c r="F54" s="4"/>
    </row>
    <row r="55" spans="3:6">
      <c r="C55" s="4"/>
      <c r="F55" s="4"/>
    </row>
    <row r="56" spans="3:6">
      <c r="C56" s="4"/>
      <c r="F56" s="4"/>
    </row>
    <row r="57" spans="3:6">
      <c r="C57" s="4"/>
      <c r="F57" s="4"/>
    </row>
    <row r="58" spans="3:6">
      <c r="C58" s="4"/>
      <c r="F58" s="4"/>
    </row>
    <row r="59" spans="3:6">
      <c r="C59" s="4"/>
      <c r="F59" s="4"/>
    </row>
    <row r="60" spans="3:6">
      <c r="C60" s="4"/>
      <c r="F60" s="4"/>
    </row>
    <row r="61" spans="3:6">
      <c r="C61" s="4"/>
      <c r="F61" s="4"/>
    </row>
    <row r="62" spans="3:6">
      <c r="C62" s="4"/>
      <c r="F62" s="4"/>
    </row>
    <row r="63" spans="3:6">
      <c r="C63" s="4"/>
      <c r="F63" s="4"/>
    </row>
    <row r="64" spans="3:6">
      <c r="C64" s="4"/>
      <c r="F64" s="4"/>
    </row>
    <row r="65" spans="3:6">
      <c r="C65" s="4"/>
      <c r="F65" s="4"/>
    </row>
    <row r="66" spans="3:6">
      <c r="C66" s="4"/>
      <c r="F66" s="4"/>
    </row>
    <row r="67" spans="3:6">
      <c r="C67" s="4"/>
      <c r="F67" s="4"/>
    </row>
    <row r="68" spans="3:6">
      <c r="C68" s="4"/>
      <c r="F68" s="4"/>
    </row>
    <row r="69" spans="3:6">
      <c r="C69" s="4"/>
      <c r="F69" s="4"/>
    </row>
    <row r="70" spans="3:6">
      <c r="C70" s="4"/>
      <c r="F70" s="4"/>
    </row>
    <row r="71" spans="3:6">
      <c r="C71" s="4"/>
      <c r="F71" s="4"/>
    </row>
    <row r="72" spans="3:6">
      <c r="C72" s="4"/>
      <c r="F72" s="4"/>
    </row>
    <row r="73" spans="3:6">
      <c r="C73" s="4"/>
      <c r="F73" s="4"/>
    </row>
    <row r="74" spans="3:6">
      <c r="C74" s="4"/>
      <c r="F74" s="4"/>
    </row>
    <row r="75" spans="3:6">
      <c r="C75" s="4"/>
      <c r="F75" s="4"/>
    </row>
    <row r="76" spans="3:6">
      <c r="C76" s="4"/>
      <c r="F76" s="4"/>
    </row>
    <row r="77" spans="3:6">
      <c r="C77" s="4"/>
      <c r="F77" s="4"/>
    </row>
    <row r="78" spans="3:6">
      <c r="C78" s="4"/>
      <c r="F78" s="4"/>
    </row>
    <row r="79" spans="3:6">
      <c r="C79" s="4"/>
      <c r="F79" s="4"/>
    </row>
    <row r="80" spans="3:6">
      <c r="C80" s="4"/>
      <c r="F80" s="4"/>
    </row>
    <row r="81" spans="3:6">
      <c r="C81" s="4"/>
      <c r="F81" s="4"/>
    </row>
    <row r="82" spans="3:6">
      <c r="C82" s="4"/>
      <c r="F82" s="4"/>
    </row>
    <row r="83" spans="3:6">
      <c r="C83" s="4"/>
      <c r="F83" s="4"/>
    </row>
    <row r="84" spans="3:6">
      <c r="C84" s="4"/>
      <c r="F84" s="4"/>
    </row>
    <row r="85" spans="3:6">
      <c r="C85" s="4"/>
      <c r="F85" s="4"/>
    </row>
    <row r="86" spans="3:6">
      <c r="C86" s="4"/>
      <c r="F86" s="4"/>
    </row>
    <row r="87" spans="3:6">
      <c r="C87" s="4"/>
      <c r="F87" s="4"/>
    </row>
    <row r="88" spans="3:6">
      <c r="C88" s="4"/>
      <c r="F88" s="4"/>
    </row>
    <row r="89" spans="3:6">
      <c r="C89" s="4"/>
      <c r="F89" s="4"/>
    </row>
    <row r="90" spans="3:6">
      <c r="C90" s="4"/>
      <c r="F90" s="4"/>
    </row>
    <row r="91" spans="3:6">
      <c r="C91" s="4"/>
      <c r="F91" s="4"/>
    </row>
    <row r="92" spans="3:6">
      <c r="C92" s="4"/>
      <c r="F92" s="4"/>
    </row>
    <row r="93" spans="3:6">
      <c r="C93" s="4"/>
      <c r="F93" s="4"/>
    </row>
    <row r="94" spans="3:6">
      <c r="C94" s="4"/>
      <c r="F94" s="4"/>
    </row>
    <row r="95" spans="3:6">
      <c r="C95" s="4"/>
      <c r="F95" s="4"/>
    </row>
    <row r="96" spans="3:6">
      <c r="C96" s="4"/>
      <c r="F96" s="4"/>
    </row>
    <row r="97" spans="3:6">
      <c r="C97" s="4"/>
      <c r="F97" s="4"/>
    </row>
    <row r="98" spans="3:6">
      <c r="C98" s="4"/>
      <c r="F98" s="4"/>
    </row>
    <row r="99" spans="3:6">
      <c r="C99" s="4"/>
      <c r="F99" s="4"/>
    </row>
    <row r="100" spans="3:6">
      <c r="C100" s="4"/>
      <c r="F100" s="4"/>
    </row>
    <row r="101" spans="3:6">
      <c r="C101" s="4"/>
      <c r="F101" s="4"/>
    </row>
    <row r="102" spans="3:6">
      <c r="C102" s="4"/>
      <c r="F102" s="4"/>
    </row>
    <row r="103" spans="3:6">
      <c r="C103" s="4"/>
      <c r="F103" s="4"/>
    </row>
    <row r="104" spans="3:6">
      <c r="C104" s="4"/>
      <c r="F104" s="4"/>
    </row>
    <row r="105" spans="3:6">
      <c r="C105" s="4"/>
      <c r="F105" s="4"/>
    </row>
    <row r="106" spans="3:6">
      <c r="C106" s="4"/>
      <c r="F106" s="4"/>
    </row>
    <row r="107" spans="3:6">
      <c r="C107" s="4"/>
      <c r="F107" s="4"/>
    </row>
    <row r="108" spans="3:6">
      <c r="C108" s="4"/>
      <c r="F108" s="4"/>
    </row>
    <row r="109" spans="3:6">
      <c r="C109" s="4"/>
      <c r="F109" s="4"/>
    </row>
    <row r="110" spans="3:6">
      <c r="C110" s="4"/>
      <c r="F110" s="4"/>
    </row>
    <row r="111" spans="3:6">
      <c r="C111" s="4"/>
      <c r="F111" s="4"/>
    </row>
    <row r="112" spans="3:6">
      <c r="C112" s="4"/>
      <c r="F112" s="4"/>
    </row>
    <row r="113" spans="3:6">
      <c r="C113" s="4"/>
      <c r="F113" s="4"/>
    </row>
    <row r="114" spans="3:6">
      <c r="C114" s="4"/>
      <c r="F114" s="4"/>
    </row>
    <row r="115" spans="3:6">
      <c r="C115" s="4"/>
      <c r="F115" s="4"/>
    </row>
    <row r="116" spans="3:6">
      <c r="C116" s="4"/>
      <c r="F116" s="4"/>
    </row>
    <row r="117" spans="3:6">
      <c r="C117" s="4"/>
      <c r="F117" s="4"/>
    </row>
    <row r="118" spans="3:6">
      <c r="C118" s="4"/>
      <c r="F118" s="4"/>
    </row>
    <row r="119" spans="3:6">
      <c r="C119" s="4"/>
      <c r="F119" s="4"/>
    </row>
    <row r="120" spans="3:6">
      <c r="C120" s="4"/>
      <c r="F120" s="4"/>
    </row>
    <row r="121" spans="3:6">
      <c r="C121" s="4"/>
      <c r="F121" s="4"/>
    </row>
    <row r="122" spans="3:6">
      <c r="C122" s="4"/>
      <c r="F122" s="4"/>
    </row>
    <row r="123" spans="3:6">
      <c r="C123" s="4"/>
      <c r="F123" s="4"/>
    </row>
    <row r="124" spans="3:6">
      <c r="C124" s="4"/>
      <c r="F124" s="4"/>
    </row>
    <row r="125" spans="3:6">
      <c r="C125" s="4"/>
      <c r="F125" s="4"/>
    </row>
    <row r="126" spans="3:6">
      <c r="C126" s="4"/>
      <c r="F126" s="4"/>
    </row>
    <row r="127" spans="3:6">
      <c r="C127" s="4"/>
      <c r="F127" s="4"/>
    </row>
    <row r="128" spans="3:6">
      <c r="C128" s="4"/>
      <c r="F128" s="4"/>
    </row>
    <row r="129" spans="3:6">
      <c r="C129" s="4"/>
      <c r="F129" s="4"/>
    </row>
    <row r="130" spans="3:6">
      <c r="C130" s="4"/>
      <c r="F130" s="4"/>
    </row>
    <row r="131" spans="3:6">
      <c r="C131" s="4"/>
      <c r="F131" s="4"/>
    </row>
    <row r="132" spans="3:6">
      <c r="C132" s="4"/>
      <c r="F132" s="4"/>
    </row>
    <row r="133" spans="3:6">
      <c r="C133" s="4"/>
      <c r="F133" s="4"/>
    </row>
    <row r="134" spans="3:6">
      <c r="C134" s="4"/>
      <c r="F134" s="4"/>
    </row>
    <row r="135" spans="3:6">
      <c r="C135" s="4"/>
      <c r="F135" s="4"/>
    </row>
    <row r="136" spans="3:6">
      <c r="C136" s="4"/>
      <c r="F136" s="4"/>
    </row>
    <row r="137" spans="3:6">
      <c r="C137" s="4"/>
      <c r="F137" s="4"/>
    </row>
    <row r="138" spans="3:6">
      <c r="C138" s="4"/>
      <c r="F138" s="4"/>
    </row>
    <row r="139" spans="3:6">
      <c r="C139" s="4"/>
      <c r="F139" s="4"/>
    </row>
    <row r="140" spans="3:6">
      <c r="C140" s="4"/>
      <c r="F140" s="4"/>
    </row>
    <row r="141" spans="3:6">
      <c r="C141" s="4"/>
      <c r="F141" s="4"/>
    </row>
    <row r="142" spans="3:6">
      <c r="C142" s="4"/>
      <c r="F142" s="4"/>
    </row>
    <row r="143" spans="3:6">
      <c r="C143" s="4"/>
      <c r="F143" s="4"/>
    </row>
    <row r="144" spans="3:6">
      <c r="C144" s="4"/>
      <c r="F144" s="4"/>
    </row>
    <row r="145" spans="3:6">
      <c r="C145" s="4"/>
      <c r="F145" s="4"/>
    </row>
    <row r="146" spans="3:6">
      <c r="C146" s="4"/>
      <c r="F146" s="4"/>
    </row>
    <row r="147" spans="3:6">
      <c r="C147" s="4"/>
      <c r="F147" s="4"/>
    </row>
    <row r="148" spans="3:6">
      <c r="C148" s="4"/>
      <c r="F148" s="4"/>
    </row>
    <row r="149" spans="3:6">
      <c r="C149" s="4"/>
      <c r="F149" s="4"/>
    </row>
    <row r="150" spans="3:6">
      <c r="C150" s="4"/>
      <c r="F150" s="4"/>
    </row>
    <row r="151" spans="3:6">
      <c r="C151" s="4"/>
      <c r="F151" s="4"/>
    </row>
    <row r="152" spans="3:6">
      <c r="C152" s="4"/>
      <c r="F152" s="4"/>
    </row>
    <row r="153" spans="3:6">
      <c r="C153" s="4"/>
      <c r="F153" s="4"/>
    </row>
    <row r="154" spans="3:6">
      <c r="C154" s="4"/>
      <c r="F154" s="4"/>
    </row>
    <row r="155" spans="3:6">
      <c r="C155" s="4"/>
      <c r="F155" s="4"/>
    </row>
    <row r="156" spans="3:6">
      <c r="C156" s="4"/>
      <c r="F156" s="4"/>
    </row>
    <row r="157" spans="3:6">
      <c r="C157" s="4"/>
      <c r="F157" s="4"/>
    </row>
    <row r="158" spans="3:6">
      <c r="C158" s="4"/>
      <c r="F158" s="4"/>
    </row>
    <row r="160" spans="3:6">
      <c r="C160" s="45"/>
      <c r="F160" s="45"/>
    </row>
    <row r="161" spans="3:6">
      <c r="C161" s="45"/>
      <c r="F161" s="45"/>
    </row>
    <row r="162" spans="3:6">
      <c r="C162" s="45"/>
      <c r="F162" s="45"/>
    </row>
    <row r="163" spans="3:6">
      <c r="C163" s="45"/>
      <c r="F163" s="45"/>
    </row>
    <row r="164" spans="3:6">
      <c r="C164" s="45"/>
      <c r="F164" s="45"/>
    </row>
    <row r="165" spans="3:6">
      <c r="C165" s="45"/>
      <c r="F165" s="45"/>
    </row>
    <row r="166" spans="3:6">
      <c r="C166" s="45"/>
      <c r="F166" s="45"/>
    </row>
    <row r="167" spans="3:6">
      <c r="C167" s="45"/>
      <c r="F167" s="45"/>
    </row>
    <row r="168" spans="3:6">
      <c r="C168" s="45"/>
      <c r="F168" s="45"/>
    </row>
    <row r="169" spans="3:6">
      <c r="C169" s="45"/>
      <c r="F169" s="45"/>
    </row>
    <row r="170" spans="3:6">
      <c r="C170" s="45"/>
      <c r="F170" s="45"/>
    </row>
    <row r="171" spans="3:6">
      <c r="C171" s="45"/>
      <c r="F171" s="45"/>
    </row>
    <row r="172" spans="3:6">
      <c r="C172" s="45"/>
      <c r="F172" s="45"/>
    </row>
    <row r="173" spans="3:6">
      <c r="C173" s="45"/>
      <c r="F173" s="45"/>
    </row>
    <row r="174" spans="3:6">
      <c r="C174" s="45"/>
      <c r="F174" s="45"/>
    </row>
    <row r="175" spans="3:6">
      <c r="C175" s="45"/>
      <c r="F175" s="45"/>
    </row>
    <row r="176" spans="3:6">
      <c r="C176" s="45"/>
      <c r="F176" s="45"/>
    </row>
    <row r="177" spans="3:6">
      <c r="C177" s="45"/>
      <c r="F177" s="45"/>
    </row>
    <row r="178" spans="3:6">
      <c r="C178" s="45"/>
      <c r="F178" s="45"/>
    </row>
    <row r="179" spans="3:6">
      <c r="C179" s="45"/>
      <c r="F179" s="45"/>
    </row>
    <row r="180" spans="3:6">
      <c r="C180" s="45"/>
      <c r="F180" s="45"/>
    </row>
    <row r="181" spans="3:6">
      <c r="C181" s="45"/>
      <c r="F181" s="45"/>
    </row>
    <row r="182" spans="3:6">
      <c r="C182" s="45"/>
      <c r="F182" s="45"/>
    </row>
    <row r="183" spans="3:6">
      <c r="C183" s="45"/>
      <c r="F183" s="45"/>
    </row>
    <row r="184" spans="3:6">
      <c r="C184" s="45"/>
      <c r="F184" s="45"/>
    </row>
    <row r="185" spans="3:6">
      <c r="C185" s="45"/>
      <c r="F185" s="45"/>
    </row>
    <row r="186" spans="3:6">
      <c r="C186" s="45"/>
      <c r="F186" s="45"/>
    </row>
    <row r="187" spans="3:6">
      <c r="C187" s="45"/>
      <c r="F187" s="45"/>
    </row>
    <row r="188" spans="3:6">
      <c r="C188" s="45"/>
      <c r="F188" s="45"/>
    </row>
    <row r="189" spans="3:6">
      <c r="C189" s="45"/>
      <c r="F189" s="45"/>
    </row>
    <row r="190" spans="3:6">
      <c r="C190" s="45"/>
      <c r="F190" s="45"/>
    </row>
    <row r="191" spans="3:6">
      <c r="C191" s="45"/>
      <c r="F191" s="45"/>
    </row>
    <row r="192" spans="3:6">
      <c r="C192" s="45"/>
      <c r="F192" s="45"/>
    </row>
    <row r="193" spans="3:6">
      <c r="C193" s="45"/>
      <c r="F193" s="45"/>
    </row>
    <row r="194" spans="3:6">
      <c r="C194" s="45"/>
      <c r="F194" s="45"/>
    </row>
    <row r="195" spans="3:6">
      <c r="C195" s="45"/>
      <c r="F195" s="45"/>
    </row>
    <row r="196" spans="3:6">
      <c r="C196" s="45"/>
      <c r="F196" s="45"/>
    </row>
    <row r="197" spans="3:6">
      <c r="C197" s="45"/>
      <c r="F197" s="45"/>
    </row>
    <row r="198" spans="3:6">
      <c r="C198" s="45"/>
      <c r="F198" s="45"/>
    </row>
    <row r="199" spans="3:6">
      <c r="C199" s="45"/>
      <c r="F199" s="45"/>
    </row>
    <row r="200" spans="3:6">
      <c r="C200" s="45"/>
      <c r="F200" s="45"/>
    </row>
    <row r="201" spans="3:6">
      <c r="C201" s="45"/>
      <c r="F201" s="45"/>
    </row>
    <row r="202" spans="3:6">
      <c r="C202" s="45"/>
      <c r="F202" s="45"/>
    </row>
    <row r="203" spans="3:6">
      <c r="C203" s="45"/>
      <c r="F203" s="45"/>
    </row>
    <row r="204" spans="3:6">
      <c r="C204" s="45"/>
      <c r="F204" s="45"/>
    </row>
    <row r="205" spans="3:6">
      <c r="C205" s="45"/>
      <c r="F205" s="45"/>
    </row>
    <row r="206" spans="3:6">
      <c r="C206" s="45"/>
      <c r="F206" s="45"/>
    </row>
    <row r="207" spans="3:6">
      <c r="C207" s="45"/>
      <c r="F207" s="45"/>
    </row>
    <row r="208" spans="3:6">
      <c r="C208" s="45"/>
      <c r="F208" s="45"/>
    </row>
    <row r="209" spans="3:6">
      <c r="C209" s="45"/>
      <c r="F209" s="45"/>
    </row>
    <row r="210" spans="3:6">
      <c r="C210" s="45"/>
      <c r="F210" s="45"/>
    </row>
    <row r="211" spans="3:6">
      <c r="C211" s="45"/>
      <c r="F211" s="45"/>
    </row>
    <row r="212" spans="3:6">
      <c r="C212" s="45"/>
      <c r="F212" s="45"/>
    </row>
    <row r="213" spans="3:6">
      <c r="C213" s="45"/>
      <c r="F213" s="45"/>
    </row>
    <row r="214" spans="3:6">
      <c r="C214" s="45"/>
      <c r="F214" s="45"/>
    </row>
    <row r="215" spans="3:6">
      <c r="C215" s="45"/>
      <c r="F215" s="45"/>
    </row>
    <row r="216" spans="3:6">
      <c r="C216" s="45"/>
      <c r="F216" s="45"/>
    </row>
    <row r="217" spans="3:6">
      <c r="C217" s="45"/>
      <c r="F217" s="45"/>
    </row>
    <row r="218" spans="3:6">
      <c r="C218" s="45"/>
      <c r="F218" s="45"/>
    </row>
    <row r="219" spans="3:6">
      <c r="C219" s="45"/>
      <c r="F219" s="45"/>
    </row>
    <row r="220" spans="3:6">
      <c r="C220" s="45"/>
      <c r="F220" s="45"/>
    </row>
    <row r="221" spans="3:6">
      <c r="C221" s="45"/>
      <c r="F221" s="45"/>
    </row>
    <row r="222" spans="3:6">
      <c r="C222" s="45"/>
      <c r="F222" s="45"/>
    </row>
    <row r="223" spans="3:6">
      <c r="C223" s="45"/>
      <c r="F223" s="45"/>
    </row>
    <row r="224" spans="3:6">
      <c r="C224" s="45"/>
      <c r="F224" s="45"/>
    </row>
    <row r="225" spans="3:6">
      <c r="C225" s="45"/>
      <c r="F225" s="45"/>
    </row>
    <row r="226" spans="3:6">
      <c r="C226" s="45"/>
      <c r="F226" s="45"/>
    </row>
    <row r="227" spans="3:6">
      <c r="C227" s="45"/>
      <c r="F227" s="45"/>
    </row>
    <row r="228" spans="3:6">
      <c r="C228" s="45"/>
      <c r="F228" s="45"/>
    </row>
    <row r="229" spans="3:6">
      <c r="C229" s="45"/>
      <c r="F229" s="45"/>
    </row>
    <row r="230" spans="3:6">
      <c r="C230" s="45"/>
      <c r="F230" s="45"/>
    </row>
    <row r="231" spans="3:6">
      <c r="C231" s="45"/>
      <c r="F231" s="45"/>
    </row>
    <row r="232" spans="3:6">
      <c r="C232" s="45"/>
      <c r="F232" s="45"/>
    </row>
    <row r="233" spans="3:6">
      <c r="C233" s="45"/>
      <c r="F233" s="45"/>
    </row>
    <row r="234" spans="3:6">
      <c r="C234" s="45"/>
      <c r="F234" s="45"/>
    </row>
    <row r="235" spans="3:6">
      <c r="C235" s="45"/>
      <c r="F235" s="45"/>
    </row>
    <row r="236" spans="3:6">
      <c r="C236" s="45"/>
      <c r="F236" s="45"/>
    </row>
    <row r="237" spans="3:6">
      <c r="C237" s="45"/>
      <c r="F237" s="45"/>
    </row>
    <row r="238" spans="3:6">
      <c r="C238" s="45"/>
      <c r="F238" s="45"/>
    </row>
    <row r="239" spans="3:6">
      <c r="C239" s="45"/>
      <c r="F239" s="45"/>
    </row>
    <row r="240" spans="3:6">
      <c r="C240" s="45"/>
      <c r="F240" s="45"/>
    </row>
    <row r="241" spans="3:6">
      <c r="C241" s="45"/>
      <c r="F241" s="45"/>
    </row>
    <row r="242" spans="3:6">
      <c r="C242" s="45"/>
      <c r="F242" s="45"/>
    </row>
    <row r="243" spans="3:6">
      <c r="C243" s="45"/>
      <c r="F243" s="45"/>
    </row>
    <row r="244" spans="3:6">
      <c r="C244" s="45"/>
      <c r="F244" s="45"/>
    </row>
    <row r="245" spans="3:6">
      <c r="C245" s="45"/>
      <c r="F245" s="45"/>
    </row>
    <row r="246" spans="3:6">
      <c r="C246" s="45"/>
      <c r="F246" s="45"/>
    </row>
    <row r="247" spans="3:6">
      <c r="C247" s="45"/>
      <c r="F247" s="45"/>
    </row>
    <row r="248" spans="3:6">
      <c r="C248" s="45"/>
      <c r="F248" s="45"/>
    </row>
    <row r="249" spans="3:6">
      <c r="C249" s="45"/>
      <c r="F249" s="45"/>
    </row>
    <row r="250" spans="3:6">
      <c r="C250" s="45"/>
      <c r="F250" s="45"/>
    </row>
    <row r="251" spans="3:6">
      <c r="C251" s="45"/>
      <c r="F251" s="45"/>
    </row>
    <row r="252" spans="3:6">
      <c r="C252" s="45"/>
      <c r="F252" s="45"/>
    </row>
    <row r="253" spans="3:6">
      <c r="C253" s="45"/>
      <c r="F253" s="45"/>
    </row>
    <row r="254" spans="3:6">
      <c r="C254" s="45"/>
      <c r="F254" s="45"/>
    </row>
    <row r="255" spans="3:6">
      <c r="C255" s="45"/>
      <c r="F255" s="45"/>
    </row>
    <row r="256" spans="3:6">
      <c r="C256" s="45"/>
      <c r="F256" s="45"/>
    </row>
    <row r="257" spans="3:6">
      <c r="C257" s="45"/>
      <c r="F257" s="45"/>
    </row>
    <row r="258" spans="3:6">
      <c r="C258" s="45"/>
      <c r="F258" s="45"/>
    </row>
    <row r="259" spans="3:6">
      <c r="C259" s="45"/>
      <c r="F259" s="45"/>
    </row>
    <row r="260" spans="3:6">
      <c r="C260" s="45"/>
      <c r="F260" s="45"/>
    </row>
    <row r="261" spans="3:6">
      <c r="C261" s="45"/>
      <c r="F261" s="45"/>
    </row>
    <row r="262" spans="3:6">
      <c r="C262" s="45"/>
      <c r="F262" s="45"/>
    </row>
    <row r="263" spans="3:6">
      <c r="C263" s="45"/>
      <c r="F263" s="45"/>
    </row>
    <row r="264" spans="3:6">
      <c r="C264" s="45"/>
      <c r="F264" s="45"/>
    </row>
    <row r="265" spans="3:6">
      <c r="C265" s="45"/>
      <c r="F265" s="45"/>
    </row>
    <row r="266" spans="3:6">
      <c r="C266" s="45"/>
      <c r="F266" s="45"/>
    </row>
    <row r="267" spans="3:6">
      <c r="C267" s="45"/>
      <c r="F267" s="45"/>
    </row>
    <row r="268" spans="3:6">
      <c r="C268" s="45"/>
      <c r="F268" s="45"/>
    </row>
    <row r="269" spans="3:6">
      <c r="C269" s="45"/>
      <c r="F269" s="45"/>
    </row>
    <row r="270" spans="3:6">
      <c r="C270" s="45"/>
      <c r="F270" s="45"/>
    </row>
    <row r="271" spans="3:6">
      <c r="C271" s="45"/>
      <c r="F271" s="45"/>
    </row>
    <row r="272" spans="3:6">
      <c r="C272" s="45"/>
      <c r="F272" s="45"/>
    </row>
    <row r="273" spans="3:6">
      <c r="C273" s="45"/>
      <c r="F273" s="45"/>
    </row>
    <row r="274" spans="3:6">
      <c r="C274" s="45"/>
      <c r="F274" s="45"/>
    </row>
    <row r="275" spans="3:6">
      <c r="C275" s="45"/>
      <c r="F275" s="45"/>
    </row>
    <row r="276" spans="3:6">
      <c r="C276" s="45"/>
      <c r="F276" s="45"/>
    </row>
    <row r="277" spans="3:6">
      <c r="C277" s="45"/>
      <c r="F277" s="45"/>
    </row>
    <row r="278" spans="3:6">
      <c r="C278" s="45"/>
      <c r="F278" s="45"/>
    </row>
    <row r="279" spans="3:6">
      <c r="C279" s="45"/>
      <c r="F279" s="45"/>
    </row>
    <row r="280" spans="3:6">
      <c r="C280" s="45"/>
      <c r="F280" s="45"/>
    </row>
    <row r="281" spans="3:6">
      <c r="C281" s="45"/>
      <c r="F281" s="45"/>
    </row>
    <row r="282" spans="3:6">
      <c r="C282" s="45"/>
      <c r="F282" s="45"/>
    </row>
    <row r="283" spans="3:6">
      <c r="C283" s="45"/>
      <c r="F283" s="45"/>
    </row>
    <row r="284" spans="3:6">
      <c r="C284" s="45"/>
      <c r="F284" s="45"/>
    </row>
    <row r="285" spans="3:6">
      <c r="C285" s="45"/>
      <c r="F285" s="45"/>
    </row>
    <row r="286" spans="3:6">
      <c r="C286" s="45"/>
      <c r="F286" s="45"/>
    </row>
    <row r="287" spans="3:6">
      <c r="C287" s="45"/>
      <c r="F287" s="45"/>
    </row>
    <row r="288" spans="3:6">
      <c r="C288" s="45"/>
      <c r="F288" s="45"/>
    </row>
    <row r="289" spans="3:6">
      <c r="C289" s="45"/>
      <c r="F289" s="45"/>
    </row>
    <row r="290" spans="3:6">
      <c r="C290" s="45"/>
      <c r="F290" s="45"/>
    </row>
    <row r="291" spans="3:6">
      <c r="C291" s="45"/>
      <c r="F291" s="45"/>
    </row>
    <row r="292" spans="3:6">
      <c r="C292" s="45"/>
      <c r="F292" s="45"/>
    </row>
    <row r="293" spans="3:6">
      <c r="C293" s="45"/>
      <c r="F293" s="45"/>
    </row>
    <row r="294" spans="3:6">
      <c r="C294" s="45"/>
      <c r="F294" s="45"/>
    </row>
    <row r="295" spans="3:6">
      <c r="C295" s="45"/>
      <c r="F295" s="45"/>
    </row>
    <row r="296" spans="3:6">
      <c r="C296" s="45"/>
      <c r="F296" s="45"/>
    </row>
    <row r="297" spans="3:6">
      <c r="C297" s="45"/>
      <c r="F297" s="45"/>
    </row>
    <row r="298" spans="3:6">
      <c r="C298" s="45"/>
      <c r="F298" s="45"/>
    </row>
    <row r="299" spans="3:6">
      <c r="C299" s="45"/>
      <c r="F299" s="45"/>
    </row>
    <row r="300" spans="3:6">
      <c r="C300" s="45"/>
      <c r="F300" s="45"/>
    </row>
    <row r="301" spans="3:6">
      <c r="C301" s="45"/>
      <c r="F301" s="45"/>
    </row>
    <row r="302" spans="3:6">
      <c r="C302" s="45"/>
      <c r="F302" s="45"/>
    </row>
    <row r="303" spans="3:6">
      <c r="C303" s="119"/>
      <c r="F303" s="119"/>
    </row>
    <row r="304" spans="3:6">
      <c r="C304" s="17"/>
      <c r="F304" s="17"/>
    </row>
    <row r="305" spans="3:6">
      <c r="C305" s="17"/>
      <c r="F305" s="17"/>
    </row>
  </sheetData>
  <mergeCells count="3">
    <mergeCell ref="B26:I26"/>
    <mergeCell ref="B15:I15"/>
    <mergeCell ref="G13:I13"/>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B27&lt;'38'!$C$104</xm:f>
            <x14:dxf>
              <font>
                <color rgb="FFFF0000"/>
              </font>
              <numFmt numFmtId="172" formatCode="\*\*0.0%"/>
            </x14:dxf>
          </x14:cfRule>
          <x14:cfRule type="expression" priority="4" id="{CA20275E-04DD-48C1-9B3E-42A6C59ECCBC}">
            <xm:f>B27&lt;'38'!$C$103</xm:f>
            <x14:dxf>
              <font>
                <color rgb="FF00B050"/>
              </font>
              <numFmt numFmtId="171" formatCode="\*0.0%"/>
            </x14:dxf>
          </x14:cfRule>
          <xm:sqref>B16:I25</xm:sqref>
        </x14:conditionalFormatting>
        <x14:conditionalFormatting xmlns:xm="http://schemas.microsoft.com/office/excel/2006/main">
          <x14:cfRule type="expression" priority="1" id="{C742D936-8170-42C1-8B2C-ABE6B017AC04}">
            <xm:f>B27&lt;'38'!$C$104</xm:f>
            <x14:dxf>
              <font>
                <color rgb="FFFF0000"/>
              </font>
              <numFmt numFmtId="174" formatCode="\*\*#,###,###,##0"/>
            </x14:dxf>
          </x14:cfRule>
          <x14:cfRule type="expression" priority="2" id="{2DFA176C-A0F7-409B-931F-AD8CCB9B20A8}">
            <xm:f>B27&lt;'38'!$C$103</xm:f>
            <x14:dxf>
              <font>
                <color rgb="FF00B050"/>
              </font>
              <numFmt numFmtId="173" formatCode="\*#,###,###,##0"/>
            </x14:dxf>
          </x14:cfRule>
          <xm:sqref>B27:I36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1"/>
  <sheetViews>
    <sheetView workbookViewId="0">
      <pane xSplit="1" ySplit="14" topLeftCell="B15" activePane="bottomRight" state="frozen"/>
      <selection pane="bottomRight"/>
      <selection pane="bottomLeft" activeCell="A15" sqref="A15"/>
      <selection pane="topRight" activeCell="B1" sqref="B1"/>
    </sheetView>
  </sheetViews>
  <sheetFormatPr defaultColWidth="8.85546875" defaultRowHeight="1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5">
      <c r="A1" s="29"/>
      <c r="B1" s="29"/>
      <c r="C1" s="29"/>
      <c r="D1" s="29"/>
      <c r="E1" s="29"/>
    </row>
    <row r="2" spans="1:5">
      <c r="A2" s="29"/>
      <c r="B2" s="29"/>
      <c r="C2" s="29"/>
      <c r="D2" s="29"/>
      <c r="E2" s="29"/>
    </row>
    <row r="3" spans="1:5">
      <c r="A3" s="29"/>
      <c r="B3" s="29"/>
      <c r="C3" s="29"/>
      <c r="D3" s="29"/>
      <c r="E3" s="29"/>
    </row>
    <row r="4" spans="1:5">
      <c r="A4" s="29"/>
      <c r="B4" s="29"/>
      <c r="C4" s="29"/>
      <c r="D4" s="29"/>
      <c r="E4" s="29"/>
    </row>
    <row r="5" spans="1:5">
      <c r="A5" s="29"/>
      <c r="B5" s="29"/>
      <c r="C5" s="29"/>
      <c r="D5" s="29"/>
      <c r="E5" s="29"/>
    </row>
    <row r="6" spans="1:5">
      <c r="A6" s="29"/>
      <c r="B6" s="29"/>
      <c r="C6" s="29"/>
      <c r="D6" s="29"/>
      <c r="E6" s="29"/>
    </row>
    <row r="7" spans="1:5">
      <c r="A7" s="29"/>
      <c r="B7" s="29"/>
      <c r="C7" s="29"/>
      <c r="D7" s="29"/>
      <c r="E7" s="29"/>
    </row>
    <row r="8" spans="1:5">
      <c r="A8" s="30" t="s">
        <v>0</v>
      </c>
      <c r="B8" s="29"/>
      <c r="C8" s="29"/>
      <c r="D8" s="29"/>
      <c r="E8" s="29"/>
    </row>
    <row r="9" spans="1:5">
      <c r="A9" s="29" t="s">
        <v>1</v>
      </c>
      <c r="B9" s="90" t="s">
        <v>2</v>
      </c>
      <c r="C9" s="29"/>
      <c r="D9" s="29"/>
      <c r="E9" s="29"/>
    </row>
    <row r="10" spans="1:5">
      <c r="A10" s="29" t="s">
        <v>49</v>
      </c>
      <c r="B10" s="31">
        <v>27</v>
      </c>
      <c r="C10" s="29"/>
      <c r="D10" s="29"/>
      <c r="E10" s="29"/>
    </row>
    <row r="11" spans="1:5">
      <c r="A11" s="29" t="s">
        <v>3</v>
      </c>
      <c r="B11" s="30" t="s">
        <v>449</v>
      </c>
      <c r="C11" s="29"/>
      <c r="D11" s="29"/>
      <c r="E11" s="29"/>
    </row>
    <row r="12" spans="1:5">
      <c r="A12" s="116" t="s">
        <v>50</v>
      </c>
      <c r="B12" s="117" t="s">
        <v>51</v>
      </c>
      <c r="C12" s="116"/>
      <c r="D12" s="116"/>
      <c r="E12" s="116"/>
    </row>
    <row r="13" spans="1:5" s="6" customFormat="1" ht="50.1" customHeight="1">
      <c r="A13" s="41"/>
      <c r="B13" s="64" t="s">
        <v>428</v>
      </c>
      <c r="C13" s="64" t="s">
        <v>429</v>
      </c>
      <c r="D13" s="64" t="s">
        <v>450</v>
      </c>
      <c r="E13" s="64" t="s">
        <v>432</v>
      </c>
    </row>
    <row r="14" spans="1:5">
      <c r="A14" s="67"/>
      <c r="B14" s="187" t="s">
        <v>144</v>
      </c>
      <c r="C14" s="187"/>
      <c r="D14" s="187"/>
      <c r="E14" s="187"/>
    </row>
    <row r="15" spans="1:5">
      <c r="A15" s="34" t="s">
        <v>314</v>
      </c>
      <c r="B15" s="4">
        <v>6.0282876331300243E-3</v>
      </c>
      <c r="C15" s="10">
        <v>3.3938600717208166E-3</v>
      </c>
      <c r="D15" s="4">
        <v>2.5698282097158013E-3</v>
      </c>
      <c r="E15" s="4">
        <v>3.6340275532962506E-3</v>
      </c>
    </row>
    <row r="16" spans="1:5">
      <c r="A16" s="34" t="s">
        <v>274</v>
      </c>
      <c r="B16" s="4">
        <v>4.215455956275929E-3</v>
      </c>
      <c r="C16" s="10">
        <v>5.4576614160385907E-3</v>
      </c>
      <c r="D16" s="4">
        <v>2.3162445258700427E-3</v>
      </c>
      <c r="E16" s="4">
        <v>2.0661548099784326E-3</v>
      </c>
    </row>
    <row r="17" spans="1:12">
      <c r="A17" s="34" t="s">
        <v>277</v>
      </c>
      <c r="B17" s="4">
        <v>3.8818764806275905E-3</v>
      </c>
      <c r="C17" s="10">
        <v>4.4609222170352725E-3</v>
      </c>
      <c r="D17" s="4">
        <v>1.1958568887334457E-3</v>
      </c>
      <c r="E17" s="4">
        <v>2.5150908168239594E-3</v>
      </c>
    </row>
    <row r="18" spans="1:12">
      <c r="A18" s="34" t="s">
        <v>350</v>
      </c>
      <c r="B18" s="4">
        <v>2.9851036672459714E-3</v>
      </c>
      <c r="C18" s="10">
        <v>3.4993908395567247E-3</v>
      </c>
      <c r="D18" s="4">
        <v>1.3854804167796227E-3</v>
      </c>
      <c r="E18" s="4">
        <v>2.0728376568072684E-3</v>
      </c>
    </row>
    <row r="19" spans="1:12">
      <c r="A19" s="118" t="s">
        <v>295</v>
      </c>
      <c r="B19" s="123">
        <v>2.2483089220638498E-3</v>
      </c>
      <c r="C19" s="126">
        <v>3.3643328976578793E-3</v>
      </c>
      <c r="D19" s="123">
        <v>2.2535881992636958E-3</v>
      </c>
      <c r="E19" s="123">
        <v>1.35753981697291E-3</v>
      </c>
    </row>
    <row r="20" spans="1:12">
      <c r="A20" s="67"/>
      <c r="B20" s="187" t="s">
        <v>442</v>
      </c>
      <c r="C20" s="187"/>
      <c r="D20" s="187"/>
      <c r="E20" s="187"/>
    </row>
    <row r="21" spans="1:12">
      <c r="A21" s="34" t="s">
        <v>314</v>
      </c>
      <c r="B21" s="11">
        <v>135210.12493429979</v>
      </c>
      <c r="C21" s="11">
        <v>76121.823017366565</v>
      </c>
      <c r="D21" s="11">
        <v>57639.385251919171</v>
      </c>
      <c r="E21" s="11">
        <v>81508.605660335743</v>
      </c>
      <c r="I21" s="44"/>
      <c r="J21" s="44"/>
      <c r="K21" s="44"/>
      <c r="L21" s="44"/>
    </row>
    <row r="22" spans="1:12">
      <c r="A22" s="34" t="s">
        <v>274</v>
      </c>
      <c r="B22" s="11">
        <v>94549.62357314791</v>
      </c>
      <c r="C22" s="11">
        <v>122411.39222624233</v>
      </c>
      <c r="D22" s="11">
        <v>51951.686910245589</v>
      </c>
      <c r="E22" s="11">
        <v>46342.355738877646</v>
      </c>
      <c r="I22" s="44"/>
      <c r="J22" s="44"/>
      <c r="K22" s="44"/>
      <c r="L22" s="44"/>
    </row>
    <row r="23" spans="1:12">
      <c r="A23" s="34" t="s">
        <v>277</v>
      </c>
      <c r="B23" s="11">
        <v>87067.677567444232</v>
      </c>
      <c r="C23" s="11">
        <v>100055.25399496531</v>
      </c>
      <c r="D23" s="11">
        <v>26822.203778162802</v>
      </c>
      <c r="E23" s="11">
        <v>56411.665179172582</v>
      </c>
      <c r="I23" s="44"/>
      <c r="J23" s="44"/>
      <c r="K23" s="44"/>
      <c r="L23" s="44"/>
    </row>
    <row r="24" spans="1:12">
      <c r="A24" s="34" t="s">
        <v>350</v>
      </c>
      <c r="B24" s="11">
        <v>66953.712953573442</v>
      </c>
      <c r="C24" s="11">
        <v>78488.801697197239</v>
      </c>
      <c r="D24" s="11">
        <v>31075.322155710081</v>
      </c>
      <c r="E24" s="11">
        <v>46492.247152432268</v>
      </c>
      <c r="I24" s="44"/>
      <c r="J24" s="44"/>
      <c r="K24" s="44"/>
      <c r="L24" s="44"/>
    </row>
    <row r="25" spans="1:12">
      <c r="A25" s="34" t="s">
        <v>295</v>
      </c>
      <c r="B25" s="11">
        <v>50427.940527003913</v>
      </c>
      <c r="C25" s="11">
        <v>75459.549891567876</v>
      </c>
      <c r="D25" s="11">
        <v>50546.350890476118</v>
      </c>
      <c r="E25" s="11">
        <v>30448.634741220645</v>
      </c>
      <c r="I25" s="44"/>
      <c r="J25" s="44"/>
      <c r="K25" s="44"/>
      <c r="L25" s="44"/>
    </row>
    <row r="26" spans="1:12">
      <c r="A26" s="118"/>
      <c r="B26" s="123"/>
      <c r="C26" s="123"/>
      <c r="D26" s="123"/>
      <c r="E26" s="123"/>
    </row>
    <row r="27" spans="1:12">
      <c r="A27" s="16" t="s">
        <v>438</v>
      </c>
    </row>
    <row r="28" spans="1:12">
      <c r="A28" s="24" t="s">
        <v>117</v>
      </c>
    </row>
    <row r="29" spans="1:12">
      <c r="A29" s="16" t="s">
        <v>443</v>
      </c>
    </row>
    <row r="30" spans="1:12">
      <c r="A30" s="16" t="s">
        <v>121</v>
      </c>
    </row>
    <row r="31" spans="1:12">
      <c r="A31" s="16" t="s">
        <v>122</v>
      </c>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9A075E2E-F521-4702-B105-753147BB0AA8}">
            <xm:f>B21&lt;'38'!$C$104</xm:f>
            <x14:dxf>
              <font>
                <color rgb="FFFF0000"/>
              </font>
              <numFmt numFmtId="172" formatCode="\*\*0.0%"/>
            </x14:dxf>
          </x14:cfRule>
          <x14:cfRule type="expression" priority="4" id="{F83F329A-9603-4208-B4B1-20A622EAC851}">
            <xm:f>B21&lt;'38'!$C$103</xm:f>
            <x14:dxf>
              <font>
                <color rgb="FF00B050"/>
              </font>
              <numFmt numFmtId="171" formatCode="\*0.0%"/>
            </x14:dxf>
          </x14:cfRule>
          <xm:sqref>B15:E19</xm:sqref>
        </x14:conditionalFormatting>
        <x14:conditionalFormatting xmlns:xm="http://schemas.microsoft.com/office/excel/2006/main">
          <x14:cfRule type="expression" priority="1" id="{2ED485BF-21F7-4654-8527-D9667D299170}">
            <xm:f>B21&lt;'38'!$C$104</xm:f>
            <x14:dxf>
              <font>
                <color rgb="FFFF0000"/>
              </font>
              <numFmt numFmtId="174" formatCode="\*\*#,###,###,##0"/>
            </x14:dxf>
          </x14:cfRule>
          <x14:cfRule type="expression" priority="2" id="{705E030A-B518-4B87-9E03-C0A2213F2928}">
            <xm:f>B21&lt;'38'!$C$103</xm:f>
            <x14:dxf>
              <font>
                <color rgb="FF00B050"/>
              </font>
              <numFmt numFmtId="173" formatCode="\*#,###,###,##0"/>
            </x14:dxf>
          </x14:cfRule>
          <xm:sqref>B21:E25</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C579-2976-48A9-8927-0EA22AA1B199}">
  <sheetPr>
    <pageSetUpPr fitToPage="1"/>
  </sheetPr>
  <dimension ref="A1:K68"/>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 style="1" customWidth="1"/>
    <col min="5" max="11" width="14.85546875" style="1" customWidth="1"/>
    <col min="12" max="14" width="8.85546875" style="1"/>
    <col min="15" max="15" width="29.85546875" style="1" bestFit="1" customWidth="1"/>
    <col min="16" max="16" width="34" style="1" bestFit="1" customWidth="1"/>
    <col min="17" max="17" width="26" style="1" bestFit="1" customWidth="1"/>
    <col min="18" max="18" width="27.85546875" style="1" bestFit="1" customWidth="1"/>
    <col min="19" max="19" width="36.140625" style="1" bestFit="1" customWidth="1"/>
    <col min="20" max="20" width="13.42578125" style="1" bestFit="1" customWidth="1"/>
    <col min="21" max="21" width="32.85546875" style="1" bestFit="1" customWidth="1"/>
    <col min="22" max="22" width="11.85546875" style="1" bestFit="1" customWidth="1"/>
    <col min="23" max="24" width="8.85546875" style="1"/>
    <col min="25" max="25" width="19.85546875" style="1" bestFit="1" customWidth="1"/>
    <col min="26" max="26" width="8.85546875" style="1"/>
    <col min="27" max="27" width="24.42578125" style="1" bestFit="1" customWidth="1"/>
    <col min="28" max="28" width="25.85546875" style="1" bestFit="1" customWidth="1"/>
    <col min="29" max="29" width="17" style="1" bestFit="1" customWidth="1"/>
    <col min="30" max="16384" width="8.85546875" style="1"/>
  </cols>
  <sheetData>
    <row r="1" spans="1:11">
      <c r="A1" s="29"/>
      <c r="B1" s="29"/>
      <c r="C1" s="29"/>
      <c r="D1" s="29"/>
      <c r="E1" s="29"/>
      <c r="F1" s="29"/>
      <c r="G1" s="29"/>
      <c r="H1" s="29"/>
      <c r="I1" s="29"/>
      <c r="J1" s="29"/>
      <c r="K1" s="29"/>
    </row>
    <row r="2" spans="1:11">
      <c r="A2" s="29"/>
      <c r="B2" s="29"/>
      <c r="C2" s="29"/>
      <c r="D2" s="29"/>
      <c r="E2" s="29"/>
      <c r="F2" s="29"/>
      <c r="G2" s="29"/>
      <c r="H2" s="29"/>
      <c r="I2" s="29"/>
      <c r="J2" s="29"/>
      <c r="K2" s="29"/>
    </row>
    <row r="3" spans="1:11">
      <c r="A3" s="29"/>
      <c r="B3" s="29"/>
      <c r="C3" s="29"/>
      <c r="D3" s="29"/>
      <c r="E3" s="29"/>
      <c r="F3" s="29"/>
      <c r="G3" s="29"/>
      <c r="H3" s="29"/>
      <c r="I3" s="29"/>
      <c r="J3" s="29"/>
      <c r="K3" s="29"/>
    </row>
    <row r="4" spans="1:11">
      <c r="A4" s="29"/>
      <c r="B4" s="29"/>
      <c r="C4" s="29"/>
      <c r="D4" s="29"/>
      <c r="E4" s="29"/>
      <c r="F4" s="29"/>
      <c r="G4" s="29"/>
      <c r="H4" s="29"/>
      <c r="I4" s="29"/>
      <c r="J4" s="29"/>
      <c r="K4" s="29"/>
    </row>
    <row r="5" spans="1:11">
      <c r="A5" s="29"/>
      <c r="B5" s="29"/>
      <c r="C5" s="29"/>
      <c r="D5" s="29"/>
      <c r="E5" s="29"/>
      <c r="F5" s="29"/>
      <c r="G5" s="29"/>
      <c r="H5" s="29"/>
      <c r="I5" s="29"/>
      <c r="J5" s="29"/>
      <c r="K5" s="29"/>
    </row>
    <row r="6" spans="1:11">
      <c r="A6" s="29"/>
      <c r="B6" s="29"/>
      <c r="C6" s="29"/>
      <c r="D6" s="29"/>
      <c r="E6" s="29"/>
      <c r="F6" s="29"/>
      <c r="G6" s="29"/>
      <c r="H6" s="29"/>
      <c r="I6" s="29"/>
      <c r="J6" s="29"/>
      <c r="K6" s="29"/>
    </row>
    <row r="7" spans="1:11">
      <c r="A7" s="29"/>
      <c r="B7" s="29"/>
      <c r="C7" s="29"/>
      <c r="D7" s="29"/>
      <c r="E7" s="29"/>
      <c r="F7" s="29"/>
      <c r="G7" s="29"/>
      <c r="H7" s="29"/>
      <c r="I7" s="29"/>
      <c r="J7" s="29"/>
      <c r="K7" s="29"/>
    </row>
    <row r="8" spans="1:11">
      <c r="A8" s="30" t="s">
        <v>0</v>
      </c>
      <c r="B8" s="29"/>
      <c r="C8" s="29"/>
      <c r="D8" s="29"/>
      <c r="E8" s="29"/>
      <c r="F8" s="29"/>
      <c r="G8" s="29"/>
      <c r="H8" s="29"/>
      <c r="I8" s="29"/>
      <c r="J8" s="29"/>
      <c r="K8" s="29"/>
    </row>
    <row r="9" spans="1:11">
      <c r="A9" s="29" t="s">
        <v>1</v>
      </c>
      <c r="B9" s="29"/>
      <c r="C9" s="90" t="s">
        <v>2</v>
      </c>
      <c r="D9" s="90"/>
      <c r="E9" s="29"/>
      <c r="F9" s="29"/>
      <c r="G9" s="29"/>
      <c r="H9" s="29"/>
      <c r="I9" s="29"/>
      <c r="J9" s="29"/>
      <c r="K9" s="29"/>
    </row>
    <row r="10" spans="1:11">
      <c r="A10" s="29" t="s">
        <v>49</v>
      </c>
      <c r="B10" s="29"/>
      <c r="C10" s="31">
        <v>28</v>
      </c>
      <c r="D10" s="31"/>
      <c r="E10" s="29"/>
      <c r="F10" s="29"/>
      <c r="G10" s="29"/>
      <c r="H10" s="29"/>
      <c r="I10" s="29"/>
      <c r="J10" s="29"/>
      <c r="K10" s="29"/>
    </row>
    <row r="11" spans="1:11">
      <c r="A11" s="29" t="s">
        <v>3</v>
      </c>
      <c r="B11" s="29"/>
      <c r="C11" s="30" t="s">
        <v>451</v>
      </c>
      <c r="D11" s="30"/>
      <c r="E11" s="29"/>
      <c r="F11" s="29"/>
      <c r="G11" s="29"/>
      <c r="H11" s="29"/>
      <c r="I11" s="29"/>
      <c r="J11" s="29"/>
      <c r="K11" s="29"/>
    </row>
    <row r="12" spans="1:11">
      <c r="A12" s="116" t="s">
        <v>50</v>
      </c>
      <c r="B12" s="116"/>
      <c r="C12" s="117" t="s">
        <v>185</v>
      </c>
      <c r="D12" s="117"/>
      <c r="E12" s="116"/>
      <c r="F12" s="116"/>
      <c r="G12" s="116"/>
      <c r="H12" s="116"/>
      <c r="I12" s="116"/>
      <c r="J12" s="116"/>
      <c r="K12" s="116"/>
    </row>
    <row r="13" spans="1:11" ht="24.75" customHeight="1">
      <c r="A13" s="32"/>
      <c r="B13" s="32"/>
      <c r="C13" s="33"/>
      <c r="D13" s="33"/>
      <c r="E13" s="182" t="s">
        <v>452</v>
      </c>
      <c r="F13" s="182"/>
      <c r="G13" s="182"/>
      <c r="H13" s="182"/>
      <c r="I13" s="182"/>
      <c r="J13" s="182"/>
      <c r="K13" s="182"/>
    </row>
    <row r="14" spans="1:11" s="2" customFormat="1" ht="30" customHeight="1">
      <c r="A14" s="179"/>
      <c r="B14" s="179"/>
      <c r="C14" s="37" t="s">
        <v>453</v>
      </c>
      <c r="D14" s="37"/>
      <c r="E14" s="64" t="s">
        <v>454</v>
      </c>
      <c r="F14" s="64" t="s">
        <v>455</v>
      </c>
      <c r="G14" s="64" t="s">
        <v>456</v>
      </c>
      <c r="H14" s="64" t="s">
        <v>457</v>
      </c>
      <c r="I14" s="64" t="s">
        <v>458</v>
      </c>
      <c r="J14" s="64" t="s">
        <v>459</v>
      </c>
      <c r="K14" s="64" t="s">
        <v>90</v>
      </c>
    </row>
    <row r="15" spans="1:11">
      <c r="A15" s="68"/>
      <c r="B15" s="68"/>
      <c r="C15" s="190" t="s">
        <v>460</v>
      </c>
      <c r="D15" s="190"/>
      <c r="E15" s="190"/>
      <c r="F15" s="190"/>
      <c r="G15" s="190"/>
      <c r="H15" s="190"/>
      <c r="I15" s="190"/>
      <c r="J15" s="190"/>
      <c r="K15" s="190"/>
    </row>
    <row r="16" spans="1:11">
      <c r="A16" s="35" t="s">
        <v>145</v>
      </c>
      <c r="B16" s="35" t="s">
        <v>57</v>
      </c>
      <c r="C16" s="28">
        <v>0.18775922879296514</v>
      </c>
      <c r="D16" s="28"/>
      <c r="E16" s="28">
        <v>0.14758462380765916</v>
      </c>
      <c r="F16" s="28">
        <v>3.2037087396360471E-2</v>
      </c>
      <c r="G16" s="28">
        <v>2.2430549461131249E-2</v>
      </c>
      <c r="H16" s="28">
        <v>1.60550679849954E-2</v>
      </c>
      <c r="I16" s="28">
        <v>7.1141916118887816E-3</v>
      </c>
      <c r="J16" s="28">
        <v>6.3050396973359096E-3</v>
      </c>
      <c r="K16" s="28">
        <v>8.9759165672271095E-3</v>
      </c>
    </row>
    <row r="17" spans="1:11">
      <c r="A17" s="34" t="s">
        <v>61</v>
      </c>
      <c r="B17" s="34" t="s">
        <v>63</v>
      </c>
      <c r="C17" s="102">
        <v>0.24687233026646893</v>
      </c>
      <c r="D17" s="102"/>
      <c r="E17" s="102">
        <v>0.16080927309660845</v>
      </c>
      <c r="F17" s="102">
        <v>6.3511748062395582E-2</v>
      </c>
      <c r="G17" s="102">
        <v>4.6400889518628329E-2</v>
      </c>
      <c r="H17" s="102">
        <v>3.2565803386099962E-2</v>
      </c>
      <c r="I17" s="102">
        <v>2.2787110741756399E-2</v>
      </c>
      <c r="J17" s="102">
        <v>1.4635505494585706E-2</v>
      </c>
      <c r="K17" s="102">
        <v>9.1709114284277086E-3</v>
      </c>
    </row>
    <row r="18" spans="1:11">
      <c r="A18" s="34"/>
      <c r="B18" s="34" t="s">
        <v>64</v>
      </c>
      <c r="C18" s="102">
        <v>0.19786128288171262</v>
      </c>
      <c r="D18" s="102"/>
      <c r="E18" s="102">
        <v>0.14992237954712007</v>
      </c>
      <c r="F18" s="102">
        <v>3.7721580634050858E-2</v>
      </c>
      <c r="G18" s="102">
        <v>2.46982171966121E-2</v>
      </c>
      <c r="H18" s="102">
        <v>1.7349752405416027E-2</v>
      </c>
      <c r="I18" s="102">
        <v>8.5840363472652528E-3</v>
      </c>
      <c r="J18" s="102">
        <v>1.1241257711466226E-2</v>
      </c>
      <c r="K18" s="102">
        <v>6.5736851726878138E-3</v>
      </c>
    </row>
    <row r="19" spans="1:11">
      <c r="A19" s="34"/>
      <c r="B19" s="34" t="s">
        <v>65</v>
      </c>
      <c r="C19" s="102">
        <v>0.1797093800322952</v>
      </c>
      <c r="D19" s="102"/>
      <c r="E19" s="102">
        <v>0.1467183130945113</v>
      </c>
      <c r="F19" s="102">
        <v>3.0334416788912976E-2</v>
      </c>
      <c r="G19" s="102">
        <v>1.8434962383467632E-2</v>
      </c>
      <c r="H19" s="102">
        <v>1.3010818674027218E-2</v>
      </c>
      <c r="I19" s="102">
        <v>6.4643472131872878E-3</v>
      </c>
      <c r="J19" s="102">
        <v>3.4730031512997914E-3</v>
      </c>
      <c r="K19" s="102">
        <v>7.2643384206995841E-3</v>
      </c>
    </row>
    <row r="20" spans="1:11">
      <c r="A20" s="34"/>
      <c r="B20" s="34" t="s">
        <v>66</v>
      </c>
      <c r="C20" s="102">
        <v>0.1982542077047478</v>
      </c>
      <c r="D20" s="102"/>
      <c r="E20" s="102">
        <v>0.17241023560396479</v>
      </c>
      <c r="F20" s="102">
        <v>2.3693781508907986E-2</v>
      </c>
      <c r="G20" s="102">
        <v>1.60007440873682E-2</v>
      </c>
      <c r="H20" s="102">
        <v>1.1898045574527233E-2</v>
      </c>
      <c r="I20" s="102">
        <v>3.0735066011007279E-3</v>
      </c>
      <c r="J20" s="102">
        <v>3.2010341246823258E-3</v>
      </c>
      <c r="K20" s="102">
        <v>1.0805246414047424E-2</v>
      </c>
    </row>
    <row r="21" spans="1:11">
      <c r="A21" s="34"/>
      <c r="B21" s="34" t="s">
        <v>67</v>
      </c>
      <c r="C21" s="102">
        <v>0.20174090992139818</v>
      </c>
      <c r="D21" s="102"/>
      <c r="E21" s="102">
        <v>0.16944879045742087</v>
      </c>
      <c r="F21" s="102">
        <v>2.776801868768243E-2</v>
      </c>
      <c r="G21" s="102">
        <v>1.9947587866049471E-2</v>
      </c>
      <c r="H21" s="102">
        <v>1.6078416695730381E-2</v>
      </c>
      <c r="I21" s="102">
        <v>5.1970163825942649E-3</v>
      </c>
      <c r="J21" s="102">
        <v>4.3026261500118835E-3</v>
      </c>
      <c r="K21" s="102">
        <v>1.0621680149258506E-2</v>
      </c>
    </row>
    <row r="22" spans="1:11">
      <c r="A22" s="34"/>
      <c r="B22" s="34" t="s">
        <v>68</v>
      </c>
      <c r="C22" s="102">
        <v>0.13047391457014959</v>
      </c>
      <c r="D22" s="102"/>
      <c r="E22" s="102">
        <v>0.10128177501075297</v>
      </c>
      <c r="F22" s="102">
        <v>1.8985398457115034E-2</v>
      </c>
      <c r="G22" s="102">
        <v>1.6654893016837907E-2</v>
      </c>
      <c r="H22" s="102">
        <v>1.1112560973488787E-2</v>
      </c>
      <c r="I22" s="102">
        <v>1.5600224980823964E-3</v>
      </c>
      <c r="J22" s="102">
        <v>3.0255610660783268E-3</v>
      </c>
      <c r="K22" s="102">
        <v>1.0199077455615288E-2</v>
      </c>
    </row>
    <row r="23" spans="1:11">
      <c r="A23" s="34"/>
      <c r="B23" s="34"/>
    </row>
    <row r="24" spans="1:11">
      <c r="A24" s="35" t="s">
        <v>58</v>
      </c>
      <c r="B24" s="35" t="s">
        <v>57</v>
      </c>
      <c r="C24" s="28">
        <v>0.20242929217322347</v>
      </c>
      <c r="D24" s="28"/>
      <c r="E24" s="28">
        <v>0.15897307928398421</v>
      </c>
      <c r="F24" s="28">
        <v>3.5209234128698398E-2</v>
      </c>
      <c r="G24" s="28">
        <v>2.4107116138131934E-2</v>
      </c>
      <c r="H24" s="28">
        <v>2.0244699746933763E-2</v>
      </c>
      <c r="I24" s="28">
        <v>8.6101544631852264E-3</v>
      </c>
      <c r="J24" s="28">
        <v>8.5784008152863054E-3</v>
      </c>
      <c r="K24" s="28">
        <v>8.564842597120613E-3</v>
      </c>
    </row>
    <row r="25" spans="1:11">
      <c r="A25" s="34" t="s">
        <v>61</v>
      </c>
      <c r="B25" s="34" t="s">
        <v>63</v>
      </c>
      <c r="C25" s="102">
        <v>0.27920678913262653</v>
      </c>
      <c r="D25" s="102"/>
      <c r="E25" s="102">
        <v>0.17612548710383169</v>
      </c>
      <c r="F25" s="102">
        <v>6.7513565956875007E-2</v>
      </c>
      <c r="G25" s="102">
        <v>6.2402811503147693E-2</v>
      </c>
      <c r="H25" s="102">
        <v>4.2107667447579239E-2</v>
      </c>
      <c r="I25" s="102">
        <v>2.6006842537493403E-2</v>
      </c>
      <c r="J25" s="102">
        <v>2.3022282067734785E-2</v>
      </c>
      <c r="K25" s="102">
        <v>8.1569693014325144E-3</v>
      </c>
    </row>
    <row r="26" spans="1:11">
      <c r="A26" s="34"/>
      <c r="B26" s="34" t="s">
        <v>64</v>
      </c>
      <c r="C26" s="102">
        <v>0.20306025930282878</v>
      </c>
      <c r="D26" s="102"/>
      <c r="E26" s="102">
        <v>0.14995108278451857</v>
      </c>
      <c r="F26" s="102">
        <v>3.8067661687439205E-2</v>
      </c>
      <c r="G26" s="102">
        <v>2.9774734499181086E-2</v>
      </c>
      <c r="H26" s="102">
        <v>1.8962983076169931E-2</v>
      </c>
      <c r="I26" s="102">
        <v>1.0186121276385064E-2</v>
      </c>
      <c r="J26" s="102">
        <v>1.4466224731051518E-2</v>
      </c>
      <c r="K26" s="102">
        <v>4.5087219283392989E-3</v>
      </c>
    </row>
    <row r="27" spans="1:11">
      <c r="A27" s="34"/>
      <c r="B27" s="34" t="s">
        <v>65</v>
      </c>
      <c r="C27" s="102">
        <v>0.19037234385919208</v>
      </c>
      <c r="D27" s="102"/>
      <c r="E27" s="102">
        <v>0.15383189742164979</v>
      </c>
      <c r="F27" s="102">
        <v>3.4009108095721212E-2</v>
      </c>
      <c r="G27" s="102">
        <v>2.0979882773370033E-2</v>
      </c>
      <c r="H27" s="102">
        <v>1.7116883954770991E-2</v>
      </c>
      <c r="I27" s="102">
        <v>7.9267993391770077E-3</v>
      </c>
      <c r="J27" s="102">
        <v>5.107364406145792E-3</v>
      </c>
      <c r="K27" s="102">
        <v>5.2559297930724778E-3</v>
      </c>
    </row>
    <row r="28" spans="1:11">
      <c r="A28" s="34"/>
      <c r="B28" s="34" t="s">
        <v>66</v>
      </c>
      <c r="C28" s="102">
        <v>0.21197297504398432</v>
      </c>
      <c r="D28" s="102"/>
      <c r="E28" s="102">
        <v>0.18576616320136394</v>
      </c>
      <c r="F28" s="102">
        <v>2.847108420981509E-2</v>
      </c>
      <c r="G28" s="102">
        <v>1.3964301305870241E-2</v>
      </c>
      <c r="H28" s="102">
        <v>1.648285310219345E-2</v>
      </c>
      <c r="I28" s="102">
        <v>4.2580621030735531E-3</v>
      </c>
      <c r="J28" s="102">
        <v>2.6645634878577971E-3</v>
      </c>
      <c r="K28" s="102">
        <v>1.1568792188204514E-2</v>
      </c>
    </row>
    <row r="29" spans="1:11">
      <c r="A29" s="34"/>
      <c r="B29" s="34" t="s">
        <v>67</v>
      </c>
      <c r="C29" s="102">
        <v>0.21928384026181161</v>
      </c>
      <c r="D29" s="102"/>
      <c r="E29" s="102">
        <v>0.19096752435377271</v>
      </c>
      <c r="F29" s="102">
        <v>3.1941469844702551E-2</v>
      </c>
      <c r="G29" s="102">
        <v>1.8088498073430086E-2</v>
      </c>
      <c r="H29" s="102">
        <v>2.3641401064906635E-2</v>
      </c>
      <c r="I29" s="102">
        <v>5.8568023278843077E-3</v>
      </c>
      <c r="J29" s="102">
        <v>5.9380871343940782E-3</v>
      </c>
      <c r="K29" s="102">
        <v>1.1119755946911886E-2</v>
      </c>
    </row>
    <row r="30" spans="1:11">
      <c r="A30" s="34"/>
      <c r="B30" s="34" t="s">
        <v>68</v>
      </c>
      <c r="C30" s="102">
        <v>0.14438435545812289</v>
      </c>
      <c r="D30" s="102"/>
      <c r="E30" s="102">
        <v>0.11578209077724062</v>
      </c>
      <c r="F30" s="102">
        <v>2.1216717497192773E-2</v>
      </c>
      <c r="G30" s="102">
        <v>1.0250185418898019E-2</v>
      </c>
      <c r="H30" s="102">
        <v>1.1512434833787364E-2</v>
      </c>
      <c r="I30" s="102">
        <v>2.4359052045852332E-3</v>
      </c>
      <c r="J30" s="102">
        <v>3.7246661283601547E-3</v>
      </c>
      <c r="K30" s="102">
        <v>1.1836436537293561E-2</v>
      </c>
    </row>
    <row r="31" spans="1:11">
      <c r="A31" s="34"/>
      <c r="B31" s="34"/>
    </row>
    <row r="32" spans="1:11">
      <c r="A32" s="35" t="s">
        <v>59</v>
      </c>
      <c r="B32" s="35" t="s">
        <v>57</v>
      </c>
      <c r="C32" s="28">
        <v>0.17309200655219703</v>
      </c>
      <c r="D32" s="28"/>
      <c r="E32" s="28">
        <v>0.13631046589000637</v>
      </c>
      <c r="F32" s="28">
        <v>2.8619716170582975E-2</v>
      </c>
      <c r="G32" s="28">
        <v>2.0847180363237766E-2</v>
      </c>
      <c r="H32" s="28">
        <v>1.1766972441769033E-2</v>
      </c>
      <c r="I32" s="28">
        <v>5.546963746098154E-3</v>
      </c>
      <c r="J32" s="28">
        <v>4.1424514543039548E-3</v>
      </c>
      <c r="K32" s="28">
        <v>9.3648586803814875E-3</v>
      </c>
    </row>
    <row r="33" spans="1:11">
      <c r="A33" s="34" t="s">
        <v>61</v>
      </c>
      <c r="B33" s="34" t="s">
        <v>63</v>
      </c>
      <c r="C33" s="4">
        <v>0.21342344246833214</v>
      </c>
      <c r="D33" s="102"/>
      <c r="E33" s="102">
        <v>0.14522316022452683</v>
      </c>
      <c r="F33" s="102">
        <v>5.8701572706532507E-2</v>
      </c>
      <c r="G33" s="102">
        <v>3.1045267921936515E-2</v>
      </c>
      <c r="H33" s="102">
        <v>2.0995825400928966E-2</v>
      </c>
      <c r="I33" s="102">
        <v>1.9544181518032722E-2</v>
      </c>
      <c r="J33" s="102">
        <v>6.3149270547312323E-3</v>
      </c>
      <c r="K33" s="102">
        <v>1.0017622728282771E-2</v>
      </c>
    </row>
    <row r="34" spans="1:11">
      <c r="A34" s="34"/>
      <c r="B34" s="34" t="s">
        <v>64</v>
      </c>
      <c r="C34" s="102">
        <v>0.1918047421197456</v>
      </c>
      <c r="D34" s="102"/>
      <c r="E34" s="102">
        <v>0.14948944448550466</v>
      </c>
      <c r="F34" s="102">
        <v>3.6170525439175413E-2</v>
      </c>
      <c r="G34" s="102">
        <v>1.9207691344582143E-2</v>
      </c>
      <c r="H34" s="102">
        <v>1.5703931548597189E-2</v>
      </c>
      <c r="I34" s="102">
        <v>6.5388546779270636E-3</v>
      </c>
      <c r="J34" s="102">
        <v>8.1916511406071278E-3</v>
      </c>
      <c r="K34" s="102">
        <v>8.7292315680421954E-3</v>
      </c>
    </row>
    <row r="35" spans="1:11">
      <c r="A35" s="34"/>
      <c r="B35" s="34" t="s">
        <v>65</v>
      </c>
      <c r="C35" s="102">
        <v>0.16983704648810086</v>
      </c>
      <c r="D35" s="102"/>
      <c r="E35" s="102">
        <v>0.14010758004569815</v>
      </c>
      <c r="F35" s="102">
        <v>2.6931805195684826E-2</v>
      </c>
      <c r="G35" s="102">
        <v>1.6061058654138184E-2</v>
      </c>
      <c r="H35" s="102">
        <v>9.0674471559206594E-3</v>
      </c>
      <c r="I35" s="102">
        <v>5.0722271307393979E-3</v>
      </c>
      <c r="J35" s="102">
        <v>1.8918569377423711E-3</v>
      </c>
      <c r="K35" s="102">
        <v>9.2853910926807611E-3</v>
      </c>
    </row>
    <row r="36" spans="1:11">
      <c r="A36" s="34"/>
      <c r="B36" s="34" t="s">
        <v>66</v>
      </c>
      <c r="C36" s="102">
        <v>0.18510455478018398</v>
      </c>
      <c r="D36" s="102"/>
      <c r="E36" s="102">
        <v>0.1597138252620188</v>
      </c>
      <c r="F36" s="102">
        <v>1.9142823515896773E-2</v>
      </c>
      <c r="G36" s="102">
        <v>1.8123756629153647E-2</v>
      </c>
      <c r="H36" s="102">
        <v>7.4544302881924696E-3</v>
      </c>
      <c r="I36" s="102">
        <v>1.9254265233133452E-3</v>
      </c>
      <c r="J36" s="102">
        <v>3.7531978429429088E-3</v>
      </c>
      <c r="K36" s="102">
        <v>9.8508725357381085E-3</v>
      </c>
    </row>
    <row r="37" spans="1:11">
      <c r="A37" s="34"/>
      <c r="B37" s="34" t="s">
        <v>67</v>
      </c>
      <c r="C37" s="102">
        <v>0.18489307672384347</v>
      </c>
      <c r="D37" s="102"/>
      <c r="E37" s="102">
        <v>0.14868371700576546</v>
      </c>
      <c r="F37" s="102">
        <v>2.3912427892915221E-2</v>
      </c>
      <c r="G37" s="102">
        <v>2.1799448869610997E-2</v>
      </c>
      <c r="H37" s="102">
        <v>8.9490810952156212E-3</v>
      </c>
      <c r="I37" s="102">
        <v>4.590837188844934E-3</v>
      </c>
      <c r="J37" s="102">
        <v>2.7643729159046253E-3</v>
      </c>
      <c r="K37" s="102">
        <v>1.0191922324446375E-2</v>
      </c>
    </row>
    <row r="38" spans="1:11">
      <c r="A38" s="118"/>
      <c r="B38" s="118" t="s">
        <v>68</v>
      </c>
      <c r="C38" s="124">
        <v>0.11691393348566427</v>
      </c>
      <c r="D38" s="124"/>
      <c r="E38" s="124">
        <v>8.7126681268781703E-2</v>
      </c>
      <c r="F38" s="124">
        <v>1.6944649201132287E-2</v>
      </c>
      <c r="G38" s="124">
        <v>2.2628263723198986E-2</v>
      </c>
      <c r="H38" s="124">
        <v>1.0759373524504604E-2</v>
      </c>
      <c r="I38" s="124">
        <v>7.4936665473026058E-4</v>
      </c>
      <c r="J38" s="124">
        <v>2.3814126498399569E-3</v>
      </c>
      <c r="K38" s="124">
        <v>8.6954919313928774E-3</v>
      </c>
    </row>
    <row r="39" spans="1:11">
      <c r="A39" s="67"/>
      <c r="B39" s="67"/>
      <c r="C39" s="187" t="s">
        <v>461</v>
      </c>
      <c r="D39" s="187"/>
      <c r="E39" s="187"/>
      <c r="F39" s="187"/>
      <c r="G39" s="187"/>
      <c r="H39" s="187"/>
      <c r="I39" s="187"/>
      <c r="J39" s="187"/>
      <c r="K39" s="187"/>
    </row>
    <row r="40" spans="1:11">
      <c r="A40" s="35" t="s">
        <v>145</v>
      </c>
      <c r="B40" s="35" t="s">
        <v>57</v>
      </c>
      <c r="C40" s="112">
        <v>3443405.5963141918</v>
      </c>
      <c r="D40" s="46"/>
      <c r="E40" s="46">
        <v>2706624.4509854899</v>
      </c>
      <c r="F40" s="46">
        <v>587543.34867809061</v>
      </c>
      <c r="G40" s="46">
        <v>411364.49078638054</v>
      </c>
      <c r="H40" s="46">
        <v>294441.51056722563</v>
      </c>
      <c r="I40" s="46">
        <v>130470.53594708392</v>
      </c>
      <c r="J40" s="46">
        <v>115631.11501022025</v>
      </c>
      <c r="K40" s="46">
        <v>164613.59336813132</v>
      </c>
    </row>
    <row r="41" spans="1:11">
      <c r="A41" s="34" t="s">
        <v>61</v>
      </c>
      <c r="B41" s="34" t="s">
        <v>63</v>
      </c>
      <c r="C41" s="104">
        <v>530353.02363276132</v>
      </c>
      <c r="D41" s="104"/>
      <c r="E41" s="104">
        <v>345464.73524561105</v>
      </c>
      <c r="F41" s="104">
        <v>136441.56712393093</v>
      </c>
      <c r="G41" s="104">
        <v>99682.504025023562</v>
      </c>
      <c r="H41" s="104">
        <v>69960.745597555491</v>
      </c>
      <c r="I41" s="104">
        <v>48953.291236407698</v>
      </c>
      <c r="J41" s="104">
        <v>31441.290253424893</v>
      </c>
      <c r="K41" s="104">
        <v>19701.764876950663</v>
      </c>
    </row>
    <row r="42" spans="1:11">
      <c r="A42" s="34"/>
      <c r="B42" s="34" t="s">
        <v>64</v>
      </c>
      <c r="C42" s="104">
        <v>717055.97874313581</v>
      </c>
      <c r="D42" s="104"/>
      <c r="E42" s="104">
        <v>543323.77227094199</v>
      </c>
      <c r="F42" s="104">
        <v>136704.28356343898</v>
      </c>
      <c r="G42" s="104">
        <v>89507.174153494227</v>
      </c>
      <c r="H42" s="104">
        <v>62876.089302696542</v>
      </c>
      <c r="I42" s="104">
        <v>31108.837943978771</v>
      </c>
      <c r="J42" s="104">
        <v>40738.698007017934</v>
      </c>
      <c r="K42" s="104">
        <v>23823.257318456239</v>
      </c>
    </row>
    <row r="43" spans="1:11">
      <c r="A43" s="34"/>
      <c r="B43" s="34" t="s">
        <v>65</v>
      </c>
      <c r="C43" s="104">
        <v>611808.87141851173</v>
      </c>
      <c r="D43" s="104"/>
      <c r="E43" s="104">
        <v>499492.93428450753</v>
      </c>
      <c r="F43" s="104">
        <v>103271.5448544112</v>
      </c>
      <c r="G43" s="104">
        <v>62760.627900698237</v>
      </c>
      <c r="H43" s="104">
        <v>44294.484170815071</v>
      </c>
      <c r="I43" s="104">
        <v>22007.448761143023</v>
      </c>
      <c r="J43" s="104">
        <v>11823.612868998904</v>
      </c>
      <c r="K43" s="104">
        <v>24730.966686166605</v>
      </c>
    </row>
    <row r="44" spans="1:11">
      <c r="A44" s="34"/>
      <c r="B44" s="34" t="s">
        <v>66</v>
      </c>
      <c r="C44" s="104">
        <v>583822.17872457835</v>
      </c>
      <c r="D44" s="104"/>
      <c r="E44" s="104">
        <v>507716.43411790277</v>
      </c>
      <c r="F44" s="104">
        <v>69773.828777221541</v>
      </c>
      <c r="G44" s="104">
        <v>47119.248476248133</v>
      </c>
      <c r="H44" s="104">
        <v>35037.555925318527</v>
      </c>
      <c r="I44" s="104">
        <v>9050.9116601010664</v>
      </c>
      <c r="J44" s="104">
        <v>9426.4567621532715</v>
      </c>
      <c r="K44" s="104">
        <v>31819.463385613846</v>
      </c>
    </row>
    <row r="45" spans="1:11">
      <c r="A45" s="34"/>
      <c r="B45" s="34" t="s">
        <v>67</v>
      </c>
      <c r="C45" s="104">
        <v>535276.09065081296</v>
      </c>
      <c r="D45" s="104"/>
      <c r="E45" s="104">
        <v>449595.90078629111</v>
      </c>
      <c r="F45" s="104">
        <v>73676.462022762134</v>
      </c>
      <c r="G45" s="104">
        <v>52926.631762554673</v>
      </c>
      <c r="H45" s="104">
        <v>42660.618692056669</v>
      </c>
      <c r="I45" s="104">
        <v>13789.164594365819</v>
      </c>
      <c r="J45" s="104">
        <v>11416.092581359155</v>
      </c>
      <c r="K45" s="104">
        <v>28182.342533567535</v>
      </c>
    </row>
    <row r="46" spans="1:11">
      <c r="A46" s="34"/>
      <c r="B46" s="34" t="s">
        <v>68</v>
      </c>
      <c r="C46" s="104">
        <v>465089.45314439625</v>
      </c>
      <c r="D46" s="104"/>
      <c r="E46" s="104">
        <v>361030.67428025033</v>
      </c>
      <c r="F46" s="104">
        <v>67675.662336326059</v>
      </c>
      <c r="G46" s="104">
        <v>59368.304468361028</v>
      </c>
      <c r="H46" s="104">
        <v>39612.016878783026</v>
      </c>
      <c r="I46" s="104">
        <v>5560.8817510875188</v>
      </c>
      <c r="J46" s="104">
        <v>10784.964537266067</v>
      </c>
      <c r="K46" s="104">
        <v>36355.798567376551</v>
      </c>
    </row>
    <row r="47" spans="1:11">
      <c r="A47" s="34"/>
      <c r="B47" s="34"/>
      <c r="C47" s="46"/>
      <c r="D47" s="46"/>
      <c r="E47" s="46"/>
      <c r="F47" s="46"/>
      <c r="G47" s="46"/>
      <c r="H47" s="46"/>
      <c r="I47" s="46"/>
      <c r="J47" s="46"/>
      <c r="K47" s="46"/>
    </row>
    <row r="48" spans="1:11">
      <c r="A48" s="35" t="s">
        <v>58</v>
      </c>
      <c r="B48" s="35" t="s">
        <v>57</v>
      </c>
      <c r="C48" s="46">
        <v>1826191.5368783763</v>
      </c>
      <c r="D48" s="46"/>
      <c r="E48" s="46">
        <v>1434156.5336872172</v>
      </c>
      <c r="F48" s="46">
        <v>317635.87520118541</v>
      </c>
      <c r="G48" s="46">
        <v>217479.45170073566</v>
      </c>
      <c r="H48" s="46">
        <v>182635.12630799279</v>
      </c>
      <c r="I48" s="46">
        <v>77675.473954773421</v>
      </c>
      <c r="J48" s="46">
        <v>77389.012235545539</v>
      </c>
      <c r="K48" s="46">
        <v>77266.69839942269</v>
      </c>
    </row>
    <row r="49" spans="1:11">
      <c r="A49" s="34" t="s">
        <v>61</v>
      </c>
      <c r="B49" s="34" t="s">
        <v>63</v>
      </c>
      <c r="C49" s="104">
        <v>301803.44005738618</v>
      </c>
      <c r="D49" s="104"/>
      <c r="E49" s="104">
        <v>190379.60378703335</v>
      </c>
      <c r="F49" s="104">
        <v>72977.546569067694</v>
      </c>
      <c r="G49" s="104">
        <v>67453.170603084887</v>
      </c>
      <c r="H49" s="104">
        <v>45515.508157773591</v>
      </c>
      <c r="I49" s="104">
        <v>28111.617798512503</v>
      </c>
      <c r="J49" s="104">
        <v>24885.512088007836</v>
      </c>
      <c r="K49" s="104">
        <v>8817.12584161212</v>
      </c>
    </row>
    <row r="50" spans="1:11">
      <c r="A50" s="34"/>
      <c r="B50" s="34" t="s">
        <v>64</v>
      </c>
      <c r="C50" s="104">
        <v>364700.38271151949</v>
      </c>
      <c r="D50" s="104"/>
      <c r="E50" s="104">
        <v>269315.21444560093</v>
      </c>
      <c r="F50" s="104">
        <v>68370.299703189245</v>
      </c>
      <c r="G50" s="104">
        <v>53476.032702150464</v>
      </c>
      <c r="H50" s="104">
        <v>34057.905810695964</v>
      </c>
      <c r="I50" s="104">
        <v>18294.482340355375</v>
      </c>
      <c r="J50" s="104">
        <v>25981.635766244883</v>
      </c>
      <c r="K50" s="104">
        <v>8097.756884831555</v>
      </c>
    </row>
    <row r="51" spans="1:11">
      <c r="A51" s="34"/>
      <c r="B51" s="34" t="s">
        <v>65</v>
      </c>
      <c r="C51" s="104">
        <v>319989.76030152378</v>
      </c>
      <c r="D51" s="104"/>
      <c r="E51" s="104">
        <v>258570.28907040748</v>
      </c>
      <c r="F51" s="104">
        <v>57164.63918555143</v>
      </c>
      <c r="G51" s="104">
        <v>35264.301125431528</v>
      </c>
      <c r="H51" s="104">
        <v>28771.130736549479</v>
      </c>
      <c r="I51" s="104">
        <v>13323.860856478359</v>
      </c>
      <c r="J51" s="104">
        <v>8584.7780143103719</v>
      </c>
      <c r="K51" s="104">
        <v>8834.4960226516232</v>
      </c>
    </row>
    <row r="52" spans="1:11">
      <c r="A52" s="34"/>
      <c r="B52" s="34" t="s">
        <v>66</v>
      </c>
      <c r="C52" s="104">
        <v>309042.11836419819</v>
      </c>
      <c r="D52" s="104"/>
      <c r="E52" s="104">
        <v>270834.37680782849</v>
      </c>
      <c r="F52" s="104">
        <v>41508.896001959627</v>
      </c>
      <c r="G52" s="104">
        <v>20358.997443643944</v>
      </c>
      <c r="H52" s="104">
        <v>24030.873927823952</v>
      </c>
      <c r="I52" s="104">
        <v>6207.9636905936268</v>
      </c>
      <c r="J52" s="104">
        <v>3884.7515568086069</v>
      </c>
      <c r="K52" s="104">
        <v>16866.508780263375</v>
      </c>
    </row>
    <row r="53" spans="1:11">
      <c r="A53" s="34"/>
      <c r="B53" s="34" t="s">
        <v>67</v>
      </c>
      <c r="C53" s="104">
        <v>283078.3178684428</v>
      </c>
      <c r="D53" s="104"/>
      <c r="E53" s="104">
        <v>246524.16474020141</v>
      </c>
      <c r="F53" s="104">
        <v>41233.943837760518</v>
      </c>
      <c r="G53" s="104">
        <v>23350.838809096174</v>
      </c>
      <c r="H53" s="104">
        <v>30519.203045316521</v>
      </c>
      <c r="I53" s="104">
        <v>7560.6745535192986</v>
      </c>
      <c r="J53" s="104">
        <v>7665.6068926628268</v>
      </c>
      <c r="K53" s="104">
        <v>14354.736786811072</v>
      </c>
    </row>
    <row r="54" spans="1:11">
      <c r="A54" s="34"/>
      <c r="B54" s="34" t="s">
        <v>68</v>
      </c>
      <c r="C54" s="104">
        <v>247577.51757530574</v>
      </c>
      <c r="D54" s="104"/>
      <c r="E54" s="104">
        <v>198532.88483614085</v>
      </c>
      <c r="F54" s="104">
        <v>36380.549903656654</v>
      </c>
      <c r="G54" s="104">
        <v>17576.111017328356</v>
      </c>
      <c r="H54" s="104">
        <v>19740.504629833173</v>
      </c>
      <c r="I54" s="104">
        <v>4176.8747153142558</v>
      </c>
      <c r="J54" s="104">
        <v>6386.7279175110489</v>
      </c>
      <c r="K54" s="104">
        <v>20296.074083252937</v>
      </c>
    </row>
    <row r="55" spans="1:11">
      <c r="A55" s="34"/>
      <c r="B55" s="34"/>
    </row>
    <row r="56" spans="1:11">
      <c r="A56" s="35" t="s">
        <v>59</v>
      </c>
      <c r="B56" s="35" t="s">
        <v>57</v>
      </c>
      <c r="C56" s="46">
        <v>1597943.2413544161</v>
      </c>
      <c r="D56" s="46"/>
      <c r="E56" s="46">
        <v>1258385.0175029507</v>
      </c>
      <c r="F56" s="46">
        <v>264210.24826743669</v>
      </c>
      <c r="G56" s="46">
        <v>192456.09099046784</v>
      </c>
      <c r="H56" s="46">
        <v>108629.82328914387</v>
      </c>
      <c r="I56" s="46">
        <v>51208.218130180387</v>
      </c>
      <c r="J56" s="46">
        <v>38242.102774674648</v>
      </c>
      <c r="K56" s="46">
        <v>86454.094170097829</v>
      </c>
    </row>
    <row r="57" spans="1:11">
      <c r="A57" s="34" t="s">
        <v>61</v>
      </c>
      <c r="B57" s="34" t="s">
        <v>63</v>
      </c>
      <c r="C57" s="104">
        <v>221563.40556202747</v>
      </c>
      <c r="D57" s="104"/>
      <c r="E57" s="104">
        <v>150761.96679097443</v>
      </c>
      <c r="F57" s="104">
        <v>60940.44876366455</v>
      </c>
      <c r="G57" s="104">
        <v>32229.333421938671</v>
      </c>
      <c r="H57" s="104">
        <v>21796.605492884384</v>
      </c>
      <c r="I57" s="104">
        <v>20289.595959920352</v>
      </c>
      <c r="J57" s="104">
        <v>6555.7781654170585</v>
      </c>
      <c r="K57" s="104">
        <v>10399.694530478937</v>
      </c>
    </row>
    <row r="58" spans="1:11">
      <c r="A58" s="34"/>
      <c r="B58" s="34" t="s">
        <v>64</v>
      </c>
      <c r="C58" s="104">
        <v>345531.62347276486</v>
      </c>
      <c r="D58" s="104"/>
      <c r="E58" s="104">
        <v>269301.63391304738</v>
      </c>
      <c r="F58" s="104">
        <v>65160.33044197916</v>
      </c>
      <c r="G58" s="104">
        <v>34602.193356167292</v>
      </c>
      <c r="H58" s="104">
        <v>28290.254468809348</v>
      </c>
      <c r="I58" s="104">
        <v>11779.589219468136</v>
      </c>
      <c r="J58" s="104">
        <v>14757.062240773033</v>
      </c>
      <c r="K58" s="104">
        <v>15725.500433624678</v>
      </c>
    </row>
    <row r="59" spans="1:11">
      <c r="A59" s="34"/>
      <c r="B59" s="34" t="s">
        <v>65</v>
      </c>
      <c r="C59" s="104">
        <v>290758.84904883098</v>
      </c>
      <c r="D59" s="104"/>
      <c r="E59" s="104">
        <v>239862.38314594285</v>
      </c>
      <c r="F59" s="104">
        <v>46106.905668859938</v>
      </c>
      <c r="G59" s="104">
        <v>27496.326775266713</v>
      </c>
      <c r="H59" s="104">
        <v>15523.3534342656</v>
      </c>
      <c r="I59" s="104">
        <v>8683.5879046646569</v>
      </c>
      <c r="J59" s="104">
        <v>3238.8348546885327</v>
      </c>
      <c r="K59" s="104">
        <v>15896.470663514981</v>
      </c>
    </row>
    <row r="60" spans="1:11">
      <c r="A60" s="34"/>
      <c r="B60" s="34" t="s">
        <v>66</v>
      </c>
      <c r="C60" s="104">
        <v>273312.23071204248</v>
      </c>
      <c r="D60" s="104"/>
      <c r="E60" s="104">
        <v>235822.0839554877</v>
      </c>
      <c r="F60" s="104">
        <v>28264.932775261939</v>
      </c>
      <c r="G60" s="104">
        <v>26760.251032604156</v>
      </c>
      <c r="H60" s="104">
        <v>11006.681997494565</v>
      </c>
      <c r="I60" s="104">
        <v>2842.9479695074406</v>
      </c>
      <c r="J60" s="104">
        <v>5541.705205344666</v>
      </c>
      <c r="K60" s="104">
        <v>14545.098311599206</v>
      </c>
    </row>
    <row r="61" spans="1:11">
      <c r="A61" s="34"/>
      <c r="B61" s="34" t="s">
        <v>67</v>
      </c>
      <c r="C61" s="104">
        <v>250848.514034469</v>
      </c>
      <c r="D61" s="104"/>
      <c r="E61" s="104">
        <v>201722.47729818869</v>
      </c>
      <c r="F61" s="104">
        <v>32442.518185001514</v>
      </c>
      <c r="G61" s="104">
        <v>29575.792953458458</v>
      </c>
      <c r="H61" s="104">
        <v>12141.415646740134</v>
      </c>
      <c r="I61" s="104">
        <v>6228.490040846521</v>
      </c>
      <c r="J61" s="104">
        <v>3750.4856886963298</v>
      </c>
      <c r="K61" s="104">
        <v>13827.605746756479</v>
      </c>
    </row>
    <row r="62" spans="1:11">
      <c r="A62" s="34"/>
      <c r="B62" s="34" t="s">
        <v>68</v>
      </c>
      <c r="C62" s="104">
        <v>215928.61852430701</v>
      </c>
      <c r="D62" s="104"/>
      <c r="E62" s="104">
        <v>160914.47239932677</v>
      </c>
      <c r="F62" s="104">
        <v>31295.112432669419</v>
      </c>
      <c r="G62" s="104">
        <v>41792.193451032683</v>
      </c>
      <c r="H62" s="104">
        <v>19871.512248949828</v>
      </c>
      <c r="I62" s="104">
        <v>1384.007035773262</v>
      </c>
      <c r="J62" s="104">
        <v>4398.2366197550191</v>
      </c>
      <c r="K62" s="104">
        <v>16059.724484123615</v>
      </c>
    </row>
    <row r="63" spans="1:11">
      <c r="A63" s="118"/>
      <c r="B63" s="118"/>
      <c r="C63" s="170"/>
      <c r="D63" s="170"/>
      <c r="E63" s="170"/>
      <c r="F63" s="170"/>
      <c r="G63" s="170"/>
      <c r="H63" s="170"/>
      <c r="I63" s="170"/>
      <c r="J63" s="170"/>
      <c r="K63" s="170"/>
    </row>
    <row r="64" spans="1:11">
      <c r="A64" s="24" t="s">
        <v>117</v>
      </c>
    </row>
    <row r="65" spans="1:1">
      <c r="A65" s="16" t="s">
        <v>121</v>
      </c>
    </row>
    <row r="66" spans="1:1">
      <c r="A66" s="16" t="s">
        <v>122</v>
      </c>
    </row>
    <row r="67" spans="1:1">
      <c r="A67" s="16" t="s">
        <v>119</v>
      </c>
    </row>
    <row r="68" spans="1:1">
      <c r="A68" s="24" t="s">
        <v>120</v>
      </c>
    </row>
  </sheetData>
  <mergeCells count="3">
    <mergeCell ref="C15:K15"/>
    <mergeCell ref="C39:K39"/>
    <mergeCell ref="E13:K13"/>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1"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13375404-0213-4D06-9E37-7FB7B985D1C1}">
            <xm:f>C40&lt;'38'!$C$104</xm:f>
            <x14:dxf>
              <font>
                <color rgb="FFFF0000"/>
              </font>
              <numFmt numFmtId="172" formatCode="\*\*0.0%"/>
            </x14:dxf>
          </x14:cfRule>
          <x14:cfRule type="expression" priority="4" id="{2F397D6B-DE68-470E-9D40-07A8B1A3FA8E}">
            <xm:f>C40&lt;'38'!$C$103</xm:f>
            <x14:dxf>
              <font>
                <color rgb="FF00B050"/>
              </font>
              <numFmt numFmtId="171" formatCode="\*0.0%"/>
            </x14:dxf>
          </x14:cfRule>
          <xm:sqref>C16:K38</xm:sqref>
        </x14:conditionalFormatting>
        <x14:conditionalFormatting xmlns:xm="http://schemas.microsoft.com/office/excel/2006/main">
          <x14:cfRule type="expression" priority="1" id="{EA00FB9C-A78A-4C02-82C1-C9440A4BF79C}">
            <xm:f>C40&lt;'38'!$C$104</xm:f>
            <x14:dxf>
              <font>
                <color rgb="FFFF0000"/>
              </font>
              <numFmt numFmtId="174" formatCode="\*\*#,###,###,##0"/>
            </x14:dxf>
          </x14:cfRule>
          <x14:cfRule type="expression" priority="2" id="{AB1E55D1-95E7-472F-A077-2BE80D01BDA7}">
            <xm:f>C40&lt;'38'!$C$103</xm:f>
            <x14:dxf>
              <font>
                <color rgb="FF00B050"/>
              </font>
              <numFmt numFmtId="173" formatCode="\*#,###,###,##0"/>
            </x14:dxf>
          </x14:cfRule>
          <xm:sqref>C40:K62</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12A1D-AA29-4880-854B-B0FEDBAC3A28}">
  <sheetPr>
    <pageSetUpPr fitToPage="1"/>
  </sheetPr>
  <dimension ref="A1:K68"/>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 style="1" customWidth="1"/>
    <col min="5" max="11" width="14.85546875" style="1" customWidth="1"/>
    <col min="12" max="14" width="8.85546875" style="1"/>
    <col min="15" max="15" width="29.85546875" style="1" bestFit="1" customWidth="1"/>
    <col min="16" max="16" width="34" style="1" bestFit="1" customWidth="1"/>
    <col min="17" max="17" width="26" style="1" bestFit="1" customWidth="1"/>
    <col min="18" max="18" width="27.85546875" style="1" bestFit="1" customWidth="1"/>
    <col min="19" max="19" width="36.140625" style="1" bestFit="1" customWidth="1"/>
    <col min="20" max="20" width="13.42578125" style="1" bestFit="1" customWidth="1"/>
    <col min="21" max="21" width="32.85546875" style="1" bestFit="1" customWidth="1"/>
    <col min="22" max="22" width="11.85546875" style="1" bestFit="1" customWidth="1"/>
    <col min="23" max="24" width="8.85546875" style="1"/>
    <col min="25" max="25" width="19.85546875" style="1" bestFit="1" customWidth="1"/>
    <col min="26" max="26" width="8.85546875" style="1"/>
    <col min="27" max="27" width="24.42578125" style="1" bestFit="1" customWidth="1"/>
    <col min="28" max="28" width="25.85546875" style="1" bestFit="1" customWidth="1"/>
    <col min="29" max="29" width="17" style="1" bestFit="1" customWidth="1"/>
    <col min="30" max="16384" width="8.85546875" style="1"/>
  </cols>
  <sheetData>
    <row r="1" spans="1:11">
      <c r="A1" s="29"/>
      <c r="B1" s="29"/>
      <c r="C1" s="29"/>
      <c r="D1" s="29"/>
      <c r="E1" s="29"/>
      <c r="F1" s="29"/>
      <c r="G1" s="29"/>
      <c r="H1" s="29"/>
      <c r="I1" s="29"/>
      <c r="J1" s="29"/>
      <c r="K1" s="29"/>
    </row>
    <row r="2" spans="1:11">
      <c r="A2" s="29"/>
      <c r="B2" s="29"/>
      <c r="C2" s="29"/>
      <c r="D2" s="29"/>
      <c r="E2" s="29"/>
      <c r="F2" s="29"/>
      <c r="G2" s="29"/>
      <c r="H2" s="29"/>
      <c r="I2" s="29"/>
      <c r="J2" s="29"/>
      <c r="K2" s="29"/>
    </row>
    <row r="3" spans="1:11">
      <c r="A3" s="29"/>
      <c r="B3" s="29"/>
      <c r="C3" s="29"/>
      <c r="D3" s="29"/>
      <c r="E3" s="29"/>
      <c r="F3" s="29"/>
      <c r="G3" s="29"/>
      <c r="H3" s="29"/>
      <c r="I3" s="29"/>
      <c r="J3" s="29"/>
      <c r="K3" s="29"/>
    </row>
    <row r="4" spans="1:11">
      <c r="A4" s="29"/>
      <c r="B4" s="29"/>
      <c r="C4" s="29"/>
      <c r="D4" s="29"/>
      <c r="E4" s="29"/>
      <c r="F4" s="29"/>
      <c r="G4" s="29"/>
      <c r="H4" s="29"/>
      <c r="I4" s="29"/>
      <c r="J4" s="29"/>
      <c r="K4" s="29"/>
    </row>
    <row r="5" spans="1:11">
      <c r="A5" s="29"/>
      <c r="B5" s="29"/>
      <c r="C5" s="29"/>
      <c r="D5" s="29"/>
      <c r="E5" s="29"/>
      <c r="F5" s="29"/>
      <c r="G5" s="29"/>
      <c r="H5" s="29"/>
      <c r="I5" s="29"/>
      <c r="J5" s="29"/>
      <c r="K5" s="29"/>
    </row>
    <row r="6" spans="1:11">
      <c r="A6" s="29"/>
      <c r="B6" s="29"/>
      <c r="C6" s="29"/>
      <c r="D6" s="29"/>
      <c r="E6" s="29"/>
      <c r="F6" s="29"/>
      <c r="G6" s="29"/>
      <c r="H6" s="29"/>
      <c r="I6" s="29"/>
      <c r="J6" s="29"/>
      <c r="K6" s="29"/>
    </row>
    <row r="7" spans="1:11">
      <c r="A7" s="29"/>
      <c r="B7" s="29"/>
      <c r="C7" s="29"/>
      <c r="D7" s="29"/>
      <c r="E7" s="29"/>
      <c r="F7" s="29"/>
      <c r="G7" s="29"/>
      <c r="H7" s="29"/>
      <c r="I7" s="29"/>
      <c r="J7" s="29"/>
      <c r="K7" s="29"/>
    </row>
    <row r="8" spans="1:11">
      <c r="A8" s="30" t="s">
        <v>0</v>
      </c>
      <c r="B8" s="29"/>
      <c r="C8" s="29"/>
      <c r="D8" s="29"/>
      <c r="E8" s="29"/>
      <c r="F8" s="29"/>
      <c r="G8" s="29"/>
      <c r="H8" s="29"/>
      <c r="I8" s="29"/>
      <c r="J8" s="29"/>
      <c r="K8" s="29"/>
    </row>
    <row r="9" spans="1:11">
      <c r="A9" s="29" t="s">
        <v>1</v>
      </c>
      <c r="B9" s="29"/>
      <c r="C9" s="90" t="s">
        <v>2</v>
      </c>
      <c r="D9" s="90"/>
      <c r="E9" s="29"/>
      <c r="F9" s="29"/>
      <c r="G9" s="29"/>
      <c r="H9" s="29"/>
      <c r="I9" s="29"/>
      <c r="J9" s="29"/>
      <c r="K9" s="29"/>
    </row>
    <row r="10" spans="1:11">
      <c r="A10" s="29" t="s">
        <v>49</v>
      </c>
      <c r="B10" s="29"/>
      <c r="C10" s="31">
        <v>29</v>
      </c>
      <c r="D10" s="31"/>
      <c r="E10" s="29"/>
      <c r="F10" s="29"/>
      <c r="G10" s="29"/>
      <c r="H10" s="29"/>
      <c r="I10" s="29"/>
      <c r="J10" s="29"/>
      <c r="K10" s="29"/>
    </row>
    <row r="11" spans="1:11">
      <c r="A11" s="29" t="s">
        <v>3</v>
      </c>
      <c r="B11" s="29"/>
      <c r="C11" s="30" t="s">
        <v>462</v>
      </c>
      <c r="D11" s="30"/>
      <c r="E11" s="29"/>
      <c r="F11" s="29"/>
      <c r="G11" s="29"/>
      <c r="H11" s="29"/>
      <c r="I11" s="29"/>
      <c r="J11" s="29"/>
      <c r="K11" s="29"/>
    </row>
    <row r="12" spans="1:11">
      <c r="A12" s="116" t="s">
        <v>50</v>
      </c>
      <c r="B12" s="116"/>
      <c r="C12" s="117" t="s">
        <v>185</v>
      </c>
      <c r="D12" s="117"/>
      <c r="E12" s="116"/>
      <c r="F12" s="116"/>
      <c r="G12" s="116"/>
      <c r="H12" s="116"/>
      <c r="I12" s="116"/>
      <c r="J12" s="116"/>
      <c r="K12" s="116"/>
    </row>
    <row r="13" spans="1:11" ht="24.75" customHeight="1">
      <c r="A13" s="32"/>
      <c r="B13" s="32"/>
      <c r="C13" s="33"/>
      <c r="D13" s="33"/>
      <c r="E13" s="182" t="s">
        <v>463</v>
      </c>
      <c r="F13" s="182"/>
      <c r="G13" s="182"/>
      <c r="H13" s="182"/>
      <c r="I13" s="182"/>
      <c r="J13" s="182"/>
      <c r="K13" s="182"/>
    </row>
    <row r="14" spans="1:11" s="2" customFormat="1" ht="30" customHeight="1">
      <c r="A14" s="179"/>
      <c r="B14" s="179"/>
      <c r="C14" s="37" t="s">
        <v>453</v>
      </c>
      <c r="D14" s="37"/>
      <c r="E14" s="64" t="s">
        <v>464</v>
      </c>
      <c r="F14" s="64" t="s">
        <v>465</v>
      </c>
      <c r="G14" s="64" t="s">
        <v>466</v>
      </c>
      <c r="H14" s="64" t="s">
        <v>467</v>
      </c>
      <c r="I14" s="64" t="s">
        <v>468</v>
      </c>
      <c r="J14" s="64" t="s">
        <v>469</v>
      </c>
      <c r="K14" s="64" t="s">
        <v>90</v>
      </c>
    </row>
    <row r="15" spans="1:11">
      <c r="A15" s="68"/>
      <c r="B15" s="68"/>
      <c r="C15" s="190" t="s">
        <v>460</v>
      </c>
      <c r="D15" s="190"/>
      <c r="E15" s="190"/>
      <c r="F15" s="190"/>
      <c r="G15" s="190"/>
      <c r="H15" s="190"/>
      <c r="I15" s="190"/>
      <c r="J15" s="190"/>
      <c r="K15" s="190"/>
    </row>
    <row r="16" spans="1:11">
      <c r="A16" s="35" t="s">
        <v>145</v>
      </c>
      <c r="B16" s="35" t="s">
        <v>57</v>
      </c>
      <c r="C16" s="28">
        <v>0.18775922879296514</v>
      </c>
      <c r="D16" s="28"/>
      <c r="E16" s="28">
        <v>7.8398454938358814E-2</v>
      </c>
      <c r="F16" s="28">
        <v>4.8047684605821324E-2</v>
      </c>
      <c r="G16" s="28">
        <v>4.3540333145106587E-2</v>
      </c>
      <c r="H16" s="28">
        <v>3.8688327673488829E-2</v>
      </c>
      <c r="I16" s="28">
        <v>2.4473537234261919E-2</v>
      </c>
      <c r="J16" s="28">
        <v>1.3735935274057448E-2</v>
      </c>
      <c r="K16" s="28">
        <v>3.6546437185990955E-3</v>
      </c>
    </row>
    <row r="17" spans="1:11">
      <c r="A17" s="34" t="s">
        <v>61</v>
      </c>
      <c r="B17" s="34" t="s">
        <v>63</v>
      </c>
      <c r="C17" s="102">
        <v>0.24687233026646893</v>
      </c>
      <c r="D17" s="102"/>
      <c r="E17" s="102">
        <v>9.55507279233902E-2</v>
      </c>
      <c r="F17" s="102">
        <v>7.5079911342597908E-2</v>
      </c>
      <c r="G17" s="102">
        <v>5.0584801702146069E-2</v>
      </c>
      <c r="H17" s="102">
        <v>3.419431863060713E-2</v>
      </c>
      <c r="I17" s="102">
        <v>5.3275947219220424E-2</v>
      </c>
      <c r="J17" s="102">
        <v>2.2212493688563876E-2</v>
      </c>
      <c r="K17" s="102">
        <v>4.975594554435212E-3</v>
      </c>
    </row>
    <row r="18" spans="1:11">
      <c r="A18" s="34"/>
      <c r="B18" s="34" t="s">
        <v>64</v>
      </c>
      <c r="C18" s="102">
        <v>0.19786128288171262</v>
      </c>
      <c r="D18" s="102"/>
      <c r="E18" s="102">
        <v>7.5083946559890799E-2</v>
      </c>
      <c r="F18" s="102">
        <v>5.2215537066703552E-2</v>
      </c>
      <c r="G18" s="102">
        <v>4.1821054345705655E-2</v>
      </c>
      <c r="H18" s="102">
        <v>4.1145439097081321E-2</v>
      </c>
      <c r="I18" s="102">
        <v>3.0191417211371023E-2</v>
      </c>
      <c r="J18" s="102">
        <v>1.7300342422249374E-2</v>
      </c>
      <c r="K18" s="102">
        <v>3.296573572527591E-3</v>
      </c>
    </row>
    <row r="19" spans="1:11">
      <c r="A19" s="34"/>
      <c r="B19" s="34" t="s">
        <v>65</v>
      </c>
      <c r="C19" s="102">
        <v>0.1797093800322952</v>
      </c>
      <c r="D19" s="102"/>
      <c r="E19" s="102">
        <v>7.1473625811066838E-2</v>
      </c>
      <c r="F19" s="102">
        <v>4.9120550597029654E-2</v>
      </c>
      <c r="G19" s="102">
        <v>3.8064503981865339E-2</v>
      </c>
      <c r="H19" s="102">
        <v>3.8067229177853552E-2</v>
      </c>
      <c r="I19" s="102">
        <v>2.2377235035200661E-2</v>
      </c>
      <c r="J19" s="102">
        <v>1.2894585099431059E-2</v>
      </c>
      <c r="K19" s="102">
        <v>4.0062559277682149E-3</v>
      </c>
    </row>
    <row r="20" spans="1:11">
      <c r="A20" s="34"/>
      <c r="B20" s="34" t="s">
        <v>66</v>
      </c>
      <c r="C20" s="102">
        <v>0.1982542077047478</v>
      </c>
      <c r="D20" s="102"/>
      <c r="E20" s="102">
        <v>8.7119984541028581E-2</v>
      </c>
      <c r="F20" s="102">
        <v>5.0289622912750263E-2</v>
      </c>
      <c r="G20" s="102">
        <v>5.1333041040154341E-2</v>
      </c>
      <c r="H20" s="102">
        <v>3.9298664892977571E-2</v>
      </c>
      <c r="I20" s="102">
        <v>2.1043392134038909E-2</v>
      </c>
      <c r="J20" s="102">
        <v>1.2321855648065186E-2</v>
      </c>
      <c r="K20" s="102">
        <v>3.3026067716480233E-3</v>
      </c>
    </row>
    <row r="21" spans="1:11">
      <c r="A21" s="34"/>
      <c r="B21" s="34" t="s">
        <v>67</v>
      </c>
      <c r="C21" s="102">
        <v>0.20174090992139818</v>
      </c>
      <c r="D21" s="102"/>
      <c r="E21" s="102">
        <v>9.1095394441354227E-2</v>
      </c>
      <c r="F21" s="102">
        <v>4.9582635191659653E-2</v>
      </c>
      <c r="G21" s="102">
        <v>4.8488452407042665E-2</v>
      </c>
      <c r="H21" s="102">
        <v>4.498039201171887E-2</v>
      </c>
      <c r="I21" s="102">
        <v>1.9094385154459773E-2</v>
      </c>
      <c r="J21" s="102">
        <v>1.0587961417074195E-2</v>
      </c>
      <c r="K21" s="102">
        <v>3.5188788362697063E-3</v>
      </c>
    </row>
    <row r="22" spans="1:11">
      <c r="A22" s="34"/>
      <c r="B22" s="34" t="s">
        <v>68</v>
      </c>
      <c r="C22" s="102">
        <v>0.13047391457014959</v>
      </c>
      <c r="D22" s="102"/>
      <c r="E22" s="102">
        <v>6.1388795496662492E-2</v>
      </c>
      <c r="F22" s="102">
        <v>2.3499538610459426E-2</v>
      </c>
      <c r="G22" s="102">
        <v>3.6151716204194863E-2</v>
      </c>
      <c r="H22" s="102">
        <v>3.4304207528167346E-2</v>
      </c>
      <c r="I22" s="102">
        <v>1.0141732051465614E-2</v>
      </c>
      <c r="J22" s="102">
        <v>9.3184532608980627E-3</v>
      </c>
      <c r="K22" s="102">
        <v>3.2786539600661007E-3</v>
      </c>
    </row>
    <row r="23" spans="1:11">
      <c r="A23" s="34"/>
      <c r="B23" s="34"/>
    </row>
    <row r="24" spans="1:11">
      <c r="A24" s="35" t="s">
        <v>58</v>
      </c>
      <c r="B24" s="35" t="s">
        <v>57</v>
      </c>
      <c r="C24" s="28">
        <v>0.20242929217322347</v>
      </c>
      <c r="D24" s="28"/>
      <c r="E24" s="28">
        <v>8.0151362312230565E-2</v>
      </c>
      <c r="F24" s="28">
        <v>4.8147310490784488E-2</v>
      </c>
      <c r="G24" s="28">
        <v>5.3991049824891335E-2</v>
      </c>
      <c r="H24" s="28">
        <v>4.2598240746910217E-2</v>
      </c>
      <c r="I24" s="28">
        <v>2.9428810237420683E-2</v>
      </c>
      <c r="J24" s="28">
        <v>1.7585361196888562E-2</v>
      </c>
      <c r="K24" s="28">
        <v>4.2488923787776444E-3</v>
      </c>
    </row>
    <row r="25" spans="1:11">
      <c r="A25" s="34" t="s">
        <v>61</v>
      </c>
      <c r="B25" s="34" t="s">
        <v>63</v>
      </c>
      <c r="C25" s="102">
        <v>0.27920678913262653</v>
      </c>
      <c r="D25" s="102"/>
      <c r="E25" s="102">
        <v>9.5554510941332091E-2</v>
      </c>
      <c r="F25" s="102">
        <v>7.3323374780213585E-2</v>
      </c>
      <c r="G25" s="102">
        <v>6.6548662369316683E-2</v>
      </c>
      <c r="H25" s="102">
        <v>3.6610835052145678E-2</v>
      </c>
      <c r="I25" s="102">
        <v>7.3958151769086142E-2</v>
      </c>
      <c r="J25" s="102">
        <v>2.9495598523626061E-2</v>
      </c>
      <c r="K25" s="102">
        <v>7.0737093289397071E-3</v>
      </c>
    </row>
    <row r="26" spans="1:11">
      <c r="A26" s="34"/>
      <c r="B26" s="34" t="s">
        <v>64</v>
      </c>
      <c r="C26" s="102">
        <v>0.20306025930282878</v>
      </c>
      <c r="D26" s="102"/>
      <c r="E26" s="102">
        <v>7.0421450020362555E-2</v>
      </c>
      <c r="F26" s="102">
        <v>4.7775217138300088E-2</v>
      </c>
      <c r="G26" s="102">
        <v>5.0532287213810305E-2</v>
      </c>
      <c r="H26" s="102">
        <v>4.3224252313142343E-2</v>
      </c>
      <c r="I26" s="102">
        <v>3.5956670131658784E-2</v>
      </c>
      <c r="J26" s="102">
        <v>2.1039095960383808E-2</v>
      </c>
      <c r="K26" s="102">
        <v>3.6838423469103105E-3</v>
      </c>
    </row>
    <row r="27" spans="1:11">
      <c r="A27" s="34"/>
      <c r="B27" s="34" t="s">
        <v>65</v>
      </c>
      <c r="C27" s="102">
        <v>0.19037234385919208</v>
      </c>
      <c r="D27" s="102"/>
      <c r="E27" s="102">
        <v>6.7649603061467126E-2</v>
      </c>
      <c r="F27" s="102">
        <v>5.3121265446214185E-2</v>
      </c>
      <c r="G27" s="102">
        <v>4.6876025606466774E-2</v>
      </c>
      <c r="H27" s="102">
        <v>3.935738376927464E-2</v>
      </c>
      <c r="I27" s="102">
        <v>2.6663731230763231E-2</v>
      </c>
      <c r="J27" s="102">
        <v>1.5936447952945659E-2</v>
      </c>
      <c r="K27" s="102">
        <v>4.798341796029542E-3</v>
      </c>
    </row>
    <row r="28" spans="1:11">
      <c r="A28" s="34"/>
      <c r="B28" s="34" t="s">
        <v>66</v>
      </c>
      <c r="C28" s="102">
        <v>0.21197297504398432</v>
      </c>
      <c r="D28" s="102"/>
      <c r="E28" s="102">
        <v>9.4671262103425538E-2</v>
      </c>
      <c r="F28" s="102">
        <v>5.0869447071163372E-2</v>
      </c>
      <c r="G28" s="102">
        <v>5.8318171850409078E-2</v>
      </c>
      <c r="H28" s="102">
        <v>4.6945634276619269E-2</v>
      </c>
      <c r="I28" s="102">
        <v>2.2815996623344988E-2</v>
      </c>
      <c r="J28" s="102">
        <v>1.517156756557533E-2</v>
      </c>
      <c r="K28" s="102">
        <v>4.3492237480235382E-3</v>
      </c>
    </row>
    <row r="29" spans="1:11">
      <c r="A29" s="34"/>
      <c r="B29" s="34" t="s">
        <v>67</v>
      </c>
      <c r="C29" s="102">
        <v>0.21928384026181161</v>
      </c>
      <c r="D29" s="102"/>
      <c r="E29" s="102">
        <v>9.7459963013016113E-2</v>
      </c>
      <c r="F29" s="102">
        <v>5.220610152941766E-2</v>
      </c>
      <c r="G29" s="102">
        <v>5.9799629797533276E-2</v>
      </c>
      <c r="H29" s="102">
        <v>5.0063922477381062E-2</v>
      </c>
      <c r="I29" s="102">
        <v>2.2878685234486048E-2</v>
      </c>
      <c r="J29" s="102">
        <v>1.3533874719710797E-2</v>
      </c>
      <c r="K29" s="102">
        <v>4.2958484467023076E-3</v>
      </c>
    </row>
    <row r="30" spans="1:11">
      <c r="A30" s="34"/>
      <c r="B30" s="34" t="s">
        <v>68</v>
      </c>
      <c r="C30" s="102">
        <v>0.14438435545812289</v>
      </c>
      <c r="D30" s="102"/>
      <c r="E30" s="102">
        <v>6.7511357077902387E-2</v>
      </c>
      <c r="F30" s="102">
        <v>2.2420462473466223E-2</v>
      </c>
      <c r="G30" s="102">
        <v>4.8620114355999368E-2</v>
      </c>
      <c r="H30" s="102">
        <v>3.9576896813198738E-2</v>
      </c>
      <c r="I30" s="102">
        <v>7.7849983034313681E-3</v>
      </c>
      <c r="J30" s="102">
        <v>1.3178652282827092E-2</v>
      </c>
      <c r="K30" s="102">
        <v>2.4007480524841553E-3</v>
      </c>
    </row>
    <row r="31" spans="1:11">
      <c r="A31" s="34"/>
      <c r="B31" s="34"/>
    </row>
    <row r="32" spans="1:11">
      <c r="A32" s="35" t="s">
        <v>59</v>
      </c>
      <c r="B32" s="35" t="s">
        <v>57</v>
      </c>
      <c r="C32" s="28">
        <v>0.17309200655219703</v>
      </c>
      <c r="D32" s="28"/>
      <c r="E32" s="28">
        <v>7.6895665146470213E-2</v>
      </c>
      <c r="F32" s="28">
        <v>4.7351987594121341E-2</v>
      </c>
      <c r="G32" s="28">
        <v>3.337186289411468E-2</v>
      </c>
      <c r="H32" s="28">
        <v>3.4809281111337832E-2</v>
      </c>
      <c r="I32" s="28">
        <v>1.9326694023503982E-2</v>
      </c>
      <c r="J32" s="28">
        <v>9.9838271427448479E-3</v>
      </c>
      <c r="K32" s="28">
        <v>3.0555863469486806E-3</v>
      </c>
    </row>
    <row r="33" spans="1:11">
      <c r="A33" s="34" t="s">
        <v>61</v>
      </c>
      <c r="B33" s="34" t="s">
        <v>63</v>
      </c>
      <c r="C33" s="4">
        <v>0.21342344246833214</v>
      </c>
      <c r="D33" s="102"/>
      <c r="E33" s="102">
        <v>9.5786614690753766E-2</v>
      </c>
      <c r="F33" s="102">
        <v>7.5751118494277597E-2</v>
      </c>
      <c r="G33" s="102">
        <v>3.4913754225455867E-2</v>
      </c>
      <c r="H33" s="102">
        <v>3.1171881342969537E-2</v>
      </c>
      <c r="I33" s="102">
        <v>3.1696615679346139E-2</v>
      </c>
      <c r="J33" s="102">
        <v>1.4714125714515481E-2</v>
      </c>
      <c r="K33" s="102">
        <v>2.4638998047534404E-3</v>
      </c>
    </row>
    <row r="34" spans="1:11">
      <c r="A34" s="34"/>
      <c r="B34" s="34" t="s">
        <v>64</v>
      </c>
      <c r="C34" s="102">
        <v>0.1918047421197456</v>
      </c>
      <c r="D34" s="102"/>
      <c r="E34" s="102">
        <v>8.0043595716306509E-2</v>
      </c>
      <c r="F34" s="102">
        <v>5.520771750200177E-2</v>
      </c>
      <c r="G34" s="102">
        <v>3.3142196133708418E-2</v>
      </c>
      <c r="H34" s="102">
        <v>3.8811579071666512E-2</v>
      </c>
      <c r="I34" s="102">
        <v>2.3332551174553622E-2</v>
      </c>
      <c r="J34" s="102">
        <v>1.3827761216055043E-2</v>
      </c>
      <c r="K34" s="102">
        <v>2.9590391775135803E-3</v>
      </c>
    </row>
    <row r="35" spans="1:11">
      <c r="A35" s="34"/>
      <c r="B35" s="34" t="s">
        <v>65</v>
      </c>
      <c r="C35" s="102">
        <v>0.16983704648810086</v>
      </c>
      <c r="D35" s="102"/>
      <c r="E35" s="102">
        <v>7.5711787208302281E-2</v>
      </c>
      <c r="F35" s="102">
        <v>4.5219059450803255E-2</v>
      </c>
      <c r="G35" s="102">
        <v>2.9670760902680723E-2</v>
      </c>
      <c r="H35" s="102">
        <v>3.7058130352542219E-2</v>
      </c>
      <c r="I35" s="102">
        <v>1.8320095280075877E-2</v>
      </c>
      <c r="J35" s="102">
        <v>9.681873959623789E-3</v>
      </c>
      <c r="K35" s="102">
        <v>3.2556807366017466E-3</v>
      </c>
    </row>
    <row r="36" spans="1:11">
      <c r="A36" s="34"/>
      <c r="B36" s="34" t="s">
        <v>66</v>
      </c>
      <c r="C36" s="102">
        <v>0.18510455478018398</v>
      </c>
      <c r="D36" s="102"/>
      <c r="E36" s="102">
        <v>8.0274822446336422E-2</v>
      </c>
      <c r="F36" s="102">
        <v>4.9702978491393546E-2</v>
      </c>
      <c r="G36" s="102">
        <v>4.4429084241424936E-2</v>
      </c>
      <c r="H36" s="102">
        <v>3.1747400879968503E-2</v>
      </c>
      <c r="I36" s="102">
        <v>1.9089640772143594E-2</v>
      </c>
      <c r="J36" s="102">
        <v>9.5944543619591854E-3</v>
      </c>
      <c r="K36" s="102">
        <v>2.2923346161640309E-3</v>
      </c>
    </row>
    <row r="37" spans="1:11">
      <c r="A37" s="34"/>
      <c r="B37" s="34" t="s">
        <v>67</v>
      </c>
      <c r="C37" s="102">
        <v>0.18489307672384347</v>
      </c>
      <c r="D37" s="102"/>
      <c r="E37" s="102">
        <v>8.541824941198109E-2</v>
      </c>
      <c r="F37" s="102">
        <v>4.6915729340420639E-2</v>
      </c>
      <c r="G37" s="102">
        <v>3.7309785440792685E-2</v>
      </c>
      <c r="H37" s="102">
        <v>4.0330423821095196E-2</v>
      </c>
      <c r="I37" s="102">
        <v>1.557300960968485E-2</v>
      </c>
      <c r="J37" s="102">
        <v>7.8289443945530127E-3</v>
      </c>
      <c r="K37" s="102">
        <v>2.7942221361819488E-3</v>
      </c>
    </row>
    <row r="38" spans="1:11">
      <c r="A38" s="118"/>
      <c r="B38" s="118" t="s">
        <v>68</v>
      </c>
      <c r="C38" s="124">
        <v>0.11691393348566427</v>
      </c>
      <c r="D38" s="124"/>
      <c r="E38" s="124">
        <v>5.5341851819288419E-2</v>
      </c>
      <c r="F38" s="124">
        <v>2.4144447540265492E-2</v>
      </c>
      <c r="G38" s="124">
        <v>2.4427321652203883E-2</v>
      </c>
      <c r="H38" s="124">
        <v>2.9257490180101133E-2</v>
      </c>
      <c r="I38" s="124">
        <v>1.2346271542706972E-2</v>
      </c>
      <c r="J38" s="124">
        <v>5.749694482966727E-3</v>
      </c>
      <c r="K38" s="124">
        <v>4.0990544360222977E-3</v>
      </c>
    </row>
    <row r="39" spans="1:11">
      <c r="A39" s="67"/>
      <c r="B39" s="67"/>
      <c r="C39" s="187" t="s">
        <v>461</v>
      </c>
      <c r="D39" s="187"/>
      <c r="E39" s="187"/>
      <c r="F39" s="187"/>
      <c r="G39" s="187"/>
      <c r="H39" s="187"/>
      <c r="I39" s="187"/>
      <c r="J39" s="187"/>
      <c r="K39" s="187"/>
    </row>
    <row r="40" spans="1:11" s="2" customFormat="1">
      <c r="A40" s="35" t="s">
        <v>145</v>
      </c>
      <c r="B40" s="35" t="s">
        <v>57</v>
      </c>
      <c r="C40" s="112">
        <v>3443405.5963141918</v>
      </c>
      <c r="D40" s="46"/>
      <c r="E40" s="46">
        <v>1437786.4684073806</v>
      </c>
      <c r="F40" s="46">
        <v>881169.28858957533</v>
      </c>
      <c r="G40" s="46">
        <v>798506.83122779045</v>
      </c>
      <c r="H40" s="46">
        <v>709523.60040754522</v>
      </c>
      <c r="I40" s="46">
        <v>448831.81303958734</v>
      </c>
      <c r="J40" s="46">
        <v>251909.83525743519</v>
      </c>
      <c r="K40" s="46">
        <v>67024.24543421506</v>
      </c>
    </row>
    <row r="41" spans="1:11">
      <c r="A41" s="34" t="s">
        <v>61</v>
      </c>
      <c r="B41" s="34" t="s">
        <v>63</v>
      </c>
      <c r="C41" s="104">
        <v>530353.02363276132</v>
      </c>
      <c r="D41" s="104"/>
      <c r="E41" s="104">
        <v>205270.54372510311</v>
      </c>
      <c r="F41" s="104">
        <v>161293.32093089086</v>
      </c>
      <c r="G41" s="104">
        <v>108670.75505642709</v>
      </c>
      <c r="H41" s="104">
        <v>73459.266403934133</v>
      </c>
      <c r="I41" s="104">
        <v>114452.11241014747</v>
      </c>
      <c r="J41" s="104">
        <v>47718.84794637734</v>
      </c>
      <c r="K41" s="104">
        <v>10689.013278511717</v>
      </c>
    </row>
    <row r="42" spans="1:11">
      <c r="A42" s="34"/>
      <c r="B42" s="34" t="s">
        <v>64</v>
      </c>
      <c r="C42" s="104">
        <v>717055.97874313581</v>
      </c>
      <c r="D42" s="104"/>
      <c r="E42" s="104">
        <v>272106.76087947231</v>
      </c>
      <c r="F42" s="104">
        <v>189230.8717079694</v>
      </c>
      <c r="G42" s="104">
        <v>151560.91489539965</v>
      </c>
      <c r="H42" s="104">
        <v>149112.46239220968</v>
      </c>
      <c r="I42" s="104">
        <v>109414.71672901457</v>
      </c>
      <c r="J42" s="104">
        <v>62697.025853176572</v>
      </c>
      <c r="K42" s="104">
        <v>11946.894082157016</v>
      </c>
    </row>
    <row r="43" spans="1:11">
      <c r="A43" s="34"/>
      <c r="B43" s="34" t="s">
        <v>65</v>
      </c>
      <c r="C43" s="104">
        <v>611808.87141851173</v>
      </c>
      <c r="D43" s="104"/>
      <c r="E43" s="104">
        <v>243327.3006439592</v>
      </c>
      <c r="F43" s="104">
        <v>167227.71298206004</v>
      </c>
      <c r="G43" s="104">
        <v>129588.12287964828</v>
      </c>
      <c r="H43" s="104">
        <v>129597.40063177029</v>
      </c>
      <c r="I43" s="104">
        <v>76181.838198387806</v>
      </c>
      <c r="J43" s="104">
        <v>43898.774541847255</v>
      </c>
      <c r="K43" s="104">
        <v>13639.037190719364</v>
      </c>
    </row>
    <row r="44" spans="1:11">
      <c r="A44" s="34"/>
      <c r="B44" s="34" t="s">
        <v>66</v>
      </c>
      <c r="C44" s="104">
        <v>583822.17872457835</v>
      </c>
      <c r="D44" s="104"/>
      <c r="E44" s="104">
        <v>256552.3313429117</v>
      </c>
      <c r="F44" s="104">
        <v>148093.69019740718</v>
      </c>
      <c r="G44" s="104">
        <v>151166.3646768764</v>
      </c>
      <c r="H44" s="104">
        <v>115727.34028905968</v>
      </c>
      <c r="I44" s="104">
        <v>61968.91952854141</v>
      </c>
      <c r="J44" s="104">
        <v>36285.598644627869</v>
      </c>
      <c r="K44" s="104">
        <v>9725.5695261993678</v>
      </c>
    </row>
    <row r="45" spans="1:11">
      <c r="A45" s="34"/>
      <c r="B45" s="34" t="s">
        <v>67</v>
      </c>
      <c r="C45" s="104">
        <v>535276.09065081296</v>
      </c>
      <c r="D45" s="104"/>
      <c r="E45" s="104">
        <v>241702.02579070407</v>
      </c>
      <c r="F45" s="104">
        <v>131556.85249906729</v>
      </c>
      <c r="G45" s="104">
        <v>128653.67394378369</v>
      </c>
      <c r="H45" s="104">
        <v>119345.79060516148</v>
      </c>
      <c r="I45" s="104">
        <v>50662.84197311462</v>
      </c>
      <c r="J45" s="104">
        <v>28092.877133850878</v>
      </c>
      <c r="K45" s="104">
        <v>9336.5877435875718</v>
      </c>
    </row>
    <row r="46" spans="1:11">
      <c r="A46" s="34"/>
      <c r="B46" s="34" t="s">
        <v>68</v>
      </c>
      <c r="C46" s="104">
        <v>465089.45314439625</v>
      </c>
      <c r="D46" s="104"/>
      <c r="E46" s="104">
        <v>218827.50602523907</v>
      </c>
      <c r="F46" s="104">
        <v>83766.840272183224</v>
      </c>
      <c r="G46" s="104">
        <v>128866.99977565579</v>
      </c>
      <c r="H46" s="104">
        <v>122281.34008541031</v>
      </c>
      <c r="I46" s="104">
        <v>36151.384200380788</v>
      </c>
      <c r="J46" s="104">
        <v>33216.711137555067</v>
      </c>
      <c r="K46" s="104">
        <v>11687.143613040012</v>
      </c>
    </row>
    <row r="47" spans="1:11">
      <c r="A47" s="34"/>
      <c r="B47" s="34"/>
      <c r="C47" s="46"/>
      <c r="D47" s="46"/>
      <c r="E47" s="46"/>
      <c r="F47" s="46"/>
      <c r="G47" s="46"/>
      <c r="H47" s="46"/>
      <c r="I47" s="46"/>
      <c r="J47" s="46"/>
      <c r="K47" s="46"/>
    </row>
    <row r="48" spans="1:11" s="2" customFormat="1">
      <c r="A48" s="35" t="s">
        <v>58</v>
      </c>
      <c r="B48" s="35" t="s">
        <v>57</v>
      </c>
      <c r="C48" s="46">
        <v>1826191.5368783763</v>
      </c>
      <c r="D48" s="46"/>
      <c r="E48" s="46">
        <v>723075.88468280656</v>
      </c>
      <c r="F48" s="46">
        <v>434355.17655461433</v>
      </c>
      <c r="G48" s="46">
        <v>487073.76881515095</v>
      </c>
      <c r="H48" s="46">
        <v>384294.91059696116</v>
      </c>
      <c r="I48" s="46">
        <v>265488.47560059902</v>
      </c>
      <c r="J48" s="46">
        <v>158644.22310594449</v>
      </c>
      <c r="K48" s="46">
        <v>38330.872078488326</v>
      </c>
    </row>
    <row r="49" spans="1:11">
      <c r="A49" s="34" t="s">
        <v>61</v>
      </c>
      <c r="B49" s="34" t="s">
        <v>63</v>
      </c>
      <c r="C49" s="104">
        <v>301803.44005738618</v>
      </c>
      <c r="D49" s="104"/>
      <c r="E49" s="104">
        <v>103287.88997102954</v>
      </c>
      <c r="F49" s="104">
        <v>79257.552490150221</v>
      </c>
      <c r="G49" s="104">
        <v>71934.551794644474</v>
      </c>
      <c r="H49" s="104">
        <v>39573.808346266836</v>
      </c>
      <c r="I49" s="104">
        <v>79943.702993532163</v>
      </c>
      <c r="J49" s="104">
        <v>31882.724372985827</v>
      </c>
      <c r="K49" s="104">
        <v>7646.1959111815868</v>
      </c>
    </row>
    <row r="50" spans="1:11">
      <c r="A50" s="34"/>
      <c r="B50" s="34" t="s">
        <v>64</v>
      </c>
      <c r="C50" s="104">
        <v>364700.38271151949</v>
      </c>
      <c r="D50" s="104"/>
      <c r="E50" s="104">
        <v>126478.3658885468</v>
      </c>
      <c r="F50" s="104">
        <v>85805.268023811994</v>
      </c>
      <c r="G50" s="104">
        <v>90757.022321542507</v>
      </c>
      <c r="H50" s="104">
        <v>77631.642031507494</v>
      </c>
      <c r="I50" s="104">
        <v>64578.915653266587</v>
      </c>
      <c r="J50" s="104">
        <v>37786.64705245685</v>
      </c>
      <c r="K50" s="104">
        <v>6616.2562698371203</v>
      </c>
    </row>
    <row r="51" spans="1:11">
      <c r="A51" s="34"/>
      <c r="B51" s="34" t="s">
        <v>65</v>
      </c>
      <c r="C51" s="104">
        <v>319989.76030152378</v>
      </c>
      <c r="D51" s="104"/>
      <c r="E51" s="104">
        <v>113709.69033266365</v>
      </c>
      <c r="F51" s="104">
        <v>89289.550427662805</v>
      </c>
      <c r="G51" s="104">
        <v>78792.160109117292</v>
      </c>
      <c r="H51" s="104">
        <v>66154.355948573764</v>
      </c>
      <c r="I51" s="104">
        <v>44818.069643492541</v>
      </c>
      <c r="J51" s="104">
        <v>26786.979963290309</v>
      </c>
      <c r="K51" s="104">
        <v>8065.3534543438818</v>
      </c>
    </row>
    <row r="52" spans="1:11">
      <c r="A52" s="34"/>
      <c r="B52" s="34" t="s">
        <v>66</v>
      </c>
      <c r="C52" s="104">
        <v>309042.11836419819</v>
      </c>
      <c r="D52" s="104"/>
      <c r="E52" s="104">
        <v>138024.23343156817</v>
      </c>
      <c r="F52" s="104">
        <v>74164.17908757343</v>
      </c>
      <c r="G52" s="104">
        <v>85023.911015251142</v>
      </c>
      <c r="H52" s="104">
        <v>68443.528057229414</v>
      </c>
      <c r="I52" s="104">
        <v>33264.164583272119</v>
      </c>
      <c r="J52" s="104">
        <v>22119.109185489648</v>
      </c>
      <c r="K52" s="104">
        <v>6340.8711419470956</v>
      </c>
    </row>
    <row r="53" spans="1:11">
      <c r="A53" s="34"/>
      <c r="B53" s="34" t="s">
        <v>67</v>
      </c>
      <c r="C53" s="104">
        <v>283078.3178684428</v>
      </c>
      <c r="D53" s="104"/>
      <c r="E53" s="104">
        <v>125813.20336375856</v>
      </c>
      <c r="F53" s="104">
        <v>67394.001244105166</v>
      </c>
      <c r="G53" s="104">
        <v>77196.653396941372</v>
      </c>
      <c r="H53" s="104">
        <v>64628.615331948909</v>
      </c>
      <c r="I53" s="104">
        <v>29534.596454929782</v>
      </c>
      <c r="J53" s="104">
        <v>17471.175647616434</v>
      </c>
      <c r="K53" s="104">
        <v>5545.6049595736204</v>
      </c>
    </row>
    <row r="54" spans="1:11">
      <c r="A54" s="34"/>
      <c r="B54" s="34" t="s">
        <v>68</v>
      </c>
      <c r="C54" s="104">
        <v>247577.51757530574</v>
      </c>
      <c r="D54" s="104"/>
      <c r="E54" s="104">
        <v>115762.50169524025</v>
      </c>
      <c r="F54" s="104">
        <v>38444.625281310458</v>
      </c>
      <c r="G54" s="104">
        <v>83369.470177654264</v>
      </c>
      <c r="H54" s="104">
        <v>67862.960881434818</v>
      </c>
      <c r="I54" s="104">
        <v>13349.026272105524</v>
      </c>
      <c r="J54" s="104">
        <v>22597.586884105247</v>
      </c>
      <c r="K54" s="104">
        <v>4116.590341605036</v>
      </c>
    </row>
    <row r="55" spans="1:11">
      <c r="A55" s="34"/>
      <c r="B55" s="34"/>
    </row>
    <row r="56" spans="1:11" s="2" customFormat="1">
      <c r="A56" s="35" t="s">
        <v>59</v>
      </c>
      <c r="B56" s="35" t="s">
        <v>57</v>
      </c>
      <c r="C56" s="46">
        <v>1597943.2413544161</v>
      </c>
      <c r="D56" s="46"/>
      <c r="E56" s="46">
        <v>709882.04977103136</v>
      </c>
      <c r="F56" s="46">
        <v>437142.0150930357</v>
      </c>
      <c r="G56" s="46">
        <v>308080.90925317147</v>
      </c>
      <c r="H56" s="46">
        <v>321350.80409674882</v>
      </c>
      <c r="I56" s="46">
        <v>178419.33147427009</v>
      </c>
      <c r="J56" s="46">
        <v>92168.26024134738</v>
      </c>
      <c r="K56" s="46">
        <v>28208.428850867112</v>
      </c>
    </row>
    <row r="57" spans="1:11">
      <c r="A57" s="34" t="s">
        <v>61</v>
      </c>
      <c r="B57" s="34" t="s">
        <v>63</v>
      </c>
      <c r="C57" s="104">
        <v>221563.40556202747</v>
      </c>
      <c r="D57" s="104"/>
      <c r="E57" s="104">
        <v>99439.913032469165</v>
      </c>
      <c r="F57" s="104">
        <v>78640.26366838871</v>
      </c>
      <c r="G57" s="104">
        <v>36245.363666156038</v>
      </c>
      <c r="H57" s="104">
        <v>32360.775874695926</v>
      </c>
      <c r="I57" s="104">
        <v>32905.523561446324</v>
      </c>
      <c r="J57" s="104">
        <v>15275.32198652258</v>
      </c>
      <c r="K57" s="104">
        <v>2557.8728624705282</v>
      </c>
    </row>
    <row r="58" spans="1:11">
      <c r="A58" s="34"/>
      <c r="B58" s="34" t="s">
        <v>64</v>
      </c>
      <c r="C58" s="104">
        <v>345531.62347276486</v>
      </c>
      <c r="D58" s="104"/>
      <c r="E58" s="104">
        <v>144196.60990021887</v>
      </c>
      <c r="F58" s="104">
        <v>99455.373448395258</v>
      </c>
      <c r="G58" s="104">
        <v>59704.868132945667</v>
      </c>
      <c r="H58" s="104">
        <v>69918.124953355567</v>
      </c>
      <c r="I58" s="104">
        <v>42033.028996079825</v>
      </c>
      <c r="J58" s="104">
        <v>24910.378800719765</v>
      </c>
      <c r="K58" s="104">
        <v>5330.6378123198947</v>
      </c>
    </row>
    <row r="59" spans="1:11">
      <c r="A59" s="34"/>
      <c r="B59" s="34" t="s">
        <v>65</v>
      </c>
      <c r="C59" s="104">
        <v>290758.84904883098</v>
      </c>
      <c r="D59" s="104"/>
      <c r="E59" s="104">
        <v>129617.61031129515</v>
      </c>
      <c r="F59" s="104">
        <v>77414.450809513946</v>
      </c>
      <c r="G59" s="104">
        <v>50795.962770530925</v>
      </c>
      <c r="H59" s="104">
        <v>63443.044683196626</v>
      </c>
      <c r="I59" s="104">
        <v>31363.768554895265</v>
      </c>
      <c r="J59" s="104">
        <v>16575.244255282618</v>
      </c>
      <c r="K59" s="104">
        <v>5573.6837363754803</v>
      </c>
    </row>
    <row r="60" spans="1:11">
      <c r="A60" s="34"/>
      <c r="B60" s="34" t="s">
        <v>66</v>
      </c>
      <c r="C60" s="104">
        <v>273312.23071204248</v>
      </c>
      <c r="D60" s="104"/>
      <c r="E60" s="104">
        <v>118528.09791134379</v>
      </c>
      <c r="F60" s="104">
        <v>73387.885785129765</v>
      </c>
      <c r="G60" s="104">
        <v>65600.828336921346</v>
      </c>
      <c r="H60" s="104">
        <v>46875.955938079089</v>
      </c>
      <c r="I60" s="104">
        <v>28186.406915388689</v>
      </c>
      <c r="J60" s="104">
        <v>14166.489459138227</v>
      </c>
      <c r="K60" s="104">
        <v>3384.6983842522723</v>
      </c>
    </row>
    <row r="61" spans="1:11">
      <c r="A61" s="34"/>
      <c r="B61" s="34" t="s">
        <v>67</v>
      </c>
      <c r="C61" s="104">
        <v>250848.514034469</v>
      </c>
      <c r="D61" s="104"/>
      <c r="E61" s="104">
        <v>115888.82242694554</v>
      </c>
      <c r="F61" s="104">
        <v>63651.604475518907</v>
      </c>
      <c r="G61" s="104">
        <v>50619.0085783822</v>
      </c>
      <c r="H61" s="104">
        <v>54717.175273212561</v>
      </c>
      <c r="I61" s="104">
        <v>21128.245518184835</v>
      </c>
      <c r="J61" s="104">
        <v>10621.701486234451</v>
      </c>
      <c r="K61" s="104">
        <v>3790.9827840139528</v>
      </c>
    </row>
    <row r="62" spans="1:11">
      <c r="A62" s="34"/>
      <c r="B62" s="34" t="s">
        <v>68</v>
      </c>
      <c r="C62" s="104">
        <v>215928.61852430701</v>
      </c>
      <c r="D62" s="104"/>
      <c r="E62" s="104">
        <v>102210.9961887573</v>
      </c>
      <c r="F62" s="104">
        <v>44592.43690608866</v>
      </c>
      <c r="G62" s="104">
        <v>45114.877768234801</v>
      </c>
      <c r="H62" s="104">
        <v>54035.727374208633</v>
      </c>
      <c r="I62" s="104">
        <v>22802.357928275243</v>
      </c>
      <c r="J62" s="104">
        <v>10619.124253449807</v>
      </c>
      <c r="K62" s="104">
        <v>7570.5532714349793</v>
      </c>
    </row>
    <row r="63" spans="1:11">
      <c r="A63" s="118"/>
      <c r="B63" s="118"/>
      <c r="C63" s="170"/>
      <c r="D63" s="170"/>
      <c r="E63" s="170"/>
      <c r="F63" s="170"/>
      <c r="G63" s="170"/>
      <c r="H63" s="170"/>
      <c r="I63" s="170"/>
      <c r="J63" s="170"/>
      <c r="K63" s="170"/>
    </row>
    <row r="64" spans="1:11">
      <c r="A64" s="24" t="s">
        <v>117</v>
      </c>
    </row>
    <row r="65" spans="1:1">
      <c r="A65" s="16" t="s">
        <v>121</v>
      </c>
    </row>
    <row r="66" spans="1:1">
      <c r="A66" s="16" t="s">
        <v>122</v>
      </c>
    </row>
    <row r="67" spans="1:1">
      <c r="A67" s="16" t="s">
        <v>119</v>
      </c>
    </row>
    <row r="68" spans="1:1">
      <c r="A68" s="24" t="s">
        <v>120</v>
      </c>
    </row>
  </sheetData>
  <mergeCells count="3">
    <mergeCell ref="E13:K13"/>
    <mergeCell ref="C15:K15"/>
    <mergeCell ref="C39:K39"/>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1"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495BF44-42ED-422B-B818-4DEBAB3AF010}">
            <xm:f>C40&lt;'38'!$C$104</xm:f>
            <x14:dxf>
              <font>
                <color rgb="FFFF0000"/>
              </font>
              <numFmt numFmtId="172" formatCode="\*\*0.0%"/>
            </x14:dxf>
          </x14:cfRule>
          <x14:cfRule type="expression" priority="4" id="{1F676E37-2326-4B47-B1A7-C330F1D340E9}">
            <xm:f>C40&lt;'38'!$C$103</xm:f>
            <x14:dxf>
              <font>
                <color rgb="FF00B050"/>
              </font>
              <numFmt numFmtId="171" formatCode="\*0.0%"/>
            </x14:dxf>
          </x14:cfRule>
          <xm:sqref>C16:K38</xm:sqref>
        </x14:conditionalFormatting>
        <x14:conditionalFormatting xmlns:xm="http://schemas.microsoft.com/office/excel/2006/main">
          <x14:cfRule type="expression" priority="1" id="{9E73E892-1B91-4C3F-B344-D0FEF8796C4D}">
            <xm:f>C40&lt;'38'!$C$104</xm:f>
            <x14:dxf>
              <font>
                <color rgb="FFFF0000"/>
              </font>
              <numFmt numFmtId="174" formatCode="\*\*#,###,###,##0"/>
            </x14:dxf>
          </x14:cfRule>
          <x14:cfRule type="expression" priority="2" id="{4E121F4C-4B78-47E8-BEBC-5334BCB3FB8D}">
            <xm:f>C40&lt;'38'!$C$103</xm:f>
            <x14:dxf>
              <font>
                <color rgb="FF00B050"/>
              </font>
              <numFmt numFmtId="173" formatCode="\*#,###,###,##0"/>
            </x14:dxf>
          </x14:cfRule>
          <xm:sqref>C40:K62</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c r="A1" s="29"/>
      <c r="B1" s="29"/>
      <c r="C1" s="29"/>
      <c r="D1" s="29"/>
      <c r="E1" s="29"/>
      <c r="F1" s="29"/>
      <c r="G1" s="29"/>
      <c r="H1" s="29"/>
      <c r="I1" s="29"/>
    </row>
    <row r="2" spans="1:9">
      <c r="A2" s="29"/>
      <c r="B2" s="29"/>
      <c r="C2" s="29"/>
      <c r="D2" s="29"/>
      <c r="E2" s="29"/>
      <c r="F2" s="29"/>
      <c r="G2" s="29"/>
      <c r="H2" s="29"/>
      <c r="I2" s="29"/>
    </row>
    <row r="3" spans="1:9">
      <c r="A3" s="29"/>
      <c r="B3" s="29"/>
      <c r="C3" s="29"/>
      <c r="D3" s="29"/>
      <c r="E3" s="29"/>
      <c r="F3" s="29"/>
      <c r="G3" s="29"/>
      <c r="H3" s="29"/>
      <c r="I3" s="29"/>
    </row>
    <row r="4" spans="1:9">
      <c r="A4" s="29"/>
      <c r="B4" s="29"/>
      <c r="C4" s="29"/>
      <c r="D4" s="29"/>
      <c r="E4" s="29"/>
      <c r="F4" s="29"/>
      <c r="G4" s="29"/>
      <c r="H4" s="29"/>
      <c r="I4" s="29"/>
    </row>
    <row r="5" spans="1:9">
      <c r="A5" s="29"/>
      <c r="B5" s="29"/>
      <c r="C5" s="29"/>
      <c r="D5" s="29"/>
      <c r="E5" s="29"/>
      <c r="F5" s="29"/>
      <c r="G5" s="29"/>
      <c r="H5" s="29"/>
      <c r="I5" s="29"/>
    </row>
    <row r="6" spans="1:9">
      <c r="A6" s="29"/>
      <c r="B6" s="29"/>
      <c r="C6" s="29"/>
      <c r="D6" s="29"/>
      <c r="E6" s="29"/>
      <c r="F6" s="29"/>
      <c r="G6" s="29"/>
      <c r="H6" s="29"/>
      <c r="I6" s="29"/>
    </row>
    <row r="7" spans="1:9">
      <c r="A7" s="29"/>
      <c r="B7" s="29"/>
      <c r="C7" s="29"/>
      <c r="D7" s="29"/>
      <c r="E7" s="29"/>
      <c r="F7" s="29"/>
      <c r="G7" s="29"/>
      <c r="H7" s="29"/>
      <c r="I7" s="29"/>
    </row>
    <row r="8" spans="1:9">
      <c r="A8" s="30" t="s">
        <v>0</v>
      </c>
      <c r="B8" s="29"/>
      <c r="C8" s="29"/>
      <c r="D8" s="29"/>
      <c r="E8" s="29"/>
      <c r="F8" s="29"/>
      <c r="G8" s="29"/>
      <c r="H8" s="29"/>
      <c r="I8" s="29"/>
    </row>
    <row r="9" spans="1:9">
      <c r="A9" s="29" t="s">
        <v>1</v>
      </c>
      <c r="B9" s="29"/>
      <c r="C9" s="90" t="s">
        <v>2</v>
      </c>
      <c r="D9" s="29"/>
      <c r="E9" s="29"/>
      <c r="F9" s="29"/>
      <c r="G9" s="30"/>
      <c r="H9" s="30"/>
      <c r="I9" s="29"/>
    </row>
    <row r="10" spans="1:9">
      <c r="A10" s="29" t="s">
        <v>49</v>
      </c>
      <c r="B10" s="29"/>
      <c r="C10" s="31">
        <v>30</v>
      </c>
      <c r="D10" s="29"/>
      <c r="E10" s="29"/>
      <c r="F10" s="29"/>
      <c r="G10" s="31"/>
      <c r="H10" s="31"/>
      <c r="I10" s="29"/>
    </row>
    <row r="11" spans="1:9">
      <c r="A11" s="29" t="s">
        <v>3</v>
      </c>
      <c r="B11" s="29"/>
      <c r="C11" s="30" t="s">
        <v>39</v>
      </c>
      <c r="D11" s="29"/>
      <c r="E11" s="29"/>
      <c r="F11" s="29"/>
      <c r="G11" s="30"/>
      <c r="H11" s="30"/>
      <c r="I11" s="29"/>
    </row>
    <row r="12" spans="1:9">
      <c r="A12" s="116" t="s">
        <v>50</v>
      </c>
      <c r="B12" s="116"/>
      <c r="C12" s="117" t="s">
        <v>51</v>
      </c>
      <c r="D12" s="116"/>
      <c r="E12" s="116"/>
      <c r="F12" s="116"/>
      <c r="G12" s="117"/>
      <c r="H12" s="117"/>
      <c r="I12" s="116"/>
    </row>
    <row r="13" spans="1:9" ht="24.95" customHeight="1">
      <c r="A13" s="32"/>
      <c r="B13" s="32"/>
      <c r="C13" s="195" t="s">
        <v>470</v>
      </c>
      <c r="D13" s="195"/>
      <c r="E13" s="195"/>
      <c r="F13" s="54"/>
      <c r="G13" s="195" t="s">
        <v>252</v>
      </c>
      <c r="H13" s="195"/>
      <c r="I13" s="195"/>
    </row>
    <row r="14" spans="1:9" ht="24.95" customHeight="1">
      <c r="A14" s="32"/>
      <c r="B14" s="32"/>
      <c r="C14" s="37" t="s">
        <v>57</v>
      </c>
      <c r="D14" s="37" t="s">
        <v>58</v>
      </c>
      <c r="E14" s="37" t="s">
        <v>59</v>
      </c>
      <c r="F14" s="37"/>
      <c r="G14" s="37" t="s">
        <v>60</v>
      </c>
      <c r="H14" s="37" t="s">
        <v>58</v>
      </c>
      <c r="I14" s="37" t="s">
        <v>59</v>
      </c>
    </row>
    <row r="15" spans="1:9">
      <c r="A15" s="180" t="s">
        <v>57</v>
      </c>
      <c r="B15" s="180"/>
      <c r="C15" s="28">
        <v>0.14455204995343543</v>
      </c>
      <c r="D15" s="28">
        <v>0.14083282488331139</v>
      </c>
      <c r="E15" s="28">
        <v>0.14675121628970755</v>
      </c>
      <c r="F15" s="28"/>
      <c r="G15" s="101">
        <v>3242197.7721001664</v>
      </c>
      <c r="H15" s="101">
        <v>1546061.2026052615</v>
      </c>
      <c r="I15" s="101">
        <v>1661766.5677982606</v>
      </c>
    </row>
    <row r="16" spans="1:9">
      <c r="A16" s="34" t="s">
        <v>61</v>
      </c>
      <c r="B16" s="34"/>
      <c r="C16" s="28"/>
      <c r="D16" s="102"/>
      <c r="E16" s="102"/>
      <c r="F16" s="2"/>
      <c r="G16" s="101"/>
      <c r="H16" s="103"/>
      <c r="I16" s="103"/>
    </row>
    <row r="17" spans="1:9">
      <c r="A17" s="34"/>
      <c r="B17" s="34" t="s">
        <v>62</v>
      </c>
      <c r="C17" s="28">
        <v>0.15188301797158518</v>
      </c>
      <c r="D17" s="102">
        <v>0.18048231622455149</v>
      </c>
      <c r="E17" s="102">
        <v>0.10658609812985062</v>
      </c>
      <c r="F17" s="4"/>
      <c r="G17" s="101">
        <v>151791.03045115402</v>
      </c>
      <c r="H17" s="103">
        <v>90414.943699998912</v>
      </c>
      <c r="I17" s="103">
        <v>51320.848247136928</v>
      </c>
    </row>
    <row r="18" spans="1:9">
      <c r="A18" s="34"/>
      <c r="B18" s="34" t="s">
        <v>63</v>
      </c>
      <c r="C18" s="28">
        <v>0.12221667890048339</v>
      </c>
      <c r="D18" s="102">
        <v>0.13549414167304533</v>
      </c>
      <c r="E18" s="102">
        <v>0.10619862140864818</v>
      </c>
      <c r="F18" s="4"/>
      <c r="G18" s="101">
        <v>299113.34275769355</v>
      </c>
      <c r="H18" s="103">
        <v>169414.58213575624</v>
      </c>
      <c r="I18" s="103">
        <v>123348.47090831096</v>
      </c>
    </row>
    <row r="19" spans="1:9">
      <c r="A19" s="34"/>
      <c r="B19" s="34" t="s">
        <v>64</v>
      </c>
      <c r="C19" s="28">
        <v>0.10091512214977806</v>
      </c>
      <c r="D19" s="102">
        <v>0.10502015403821092</v>
      </c>
      <c r="E19" s="102">
        <v>9.6517363494430311E-2</v>
      </c>
      <c r="F19" s="4"/>
      <c r="G19" s="101">
        <v>406768.95314862253</v>
      </c>
      <c r="H19" s="103">
        <v>210751.50178240644</v>
      </c>
      <c r="I19" s="103">
        <v>192448.30920952663</v>
      </c>
    </row>
    <row r="20" spans="1:9">
      <c r="A20" s="34"/>
      <c r="B20" s="34" t="s">
        <v>65</v>
      </c>
      <c r="C20" s="28">
        <v>0.11214919642819593</v>
      </c>
      <c r="D20" s="102">
        <v>0.11163808508159072</v>
      </c>
      <c r="E20" s="102">
        <v>0.11079928909882365</v>
      </c>
      <c r="F20" s="4"/>
      <c r="G20" s="101">
        <v>430032.42004864471</v>
      </c>
      <c r="H20" s="103">
        <v>211229.54863064003</v>
      </c>
      <c r="I20" s="103">
        <v>213323.00117772142</v>
      </c>
    </row>
    <row r="21" spans="1:9">
      <c r="A21" s="34"/>
      <c r="B21" s="34" t="s">
        <v>66</v>
      </c>
      <c r="C21" s="28">
        <v>0.11741346595856243</v>
      </c>
      <c r="D21" s="102">
        <v>0.10953221366045122</v>
      </c>
      <c r="E21" s="102">
        <v>0.12550315894958453</v>
      </c>
      <c r="F21" s="4"/>
      <c r="G21" s="101">
        <v>391758.82386198896</v>
      </c>
      <c r="H21" s="103">
        <v>179333.25398585937</v>
      </c>
      <c r="I21" s="103">
        <v>211903.61890250194</v>
      </c>
    </row>
    <row r="22" spans="1:9">
      <c r="A22" s="34"/>
      <c r="B22" s="34" t="s">
        <v>67</v>
      </c>
      <c r="C22" s="28">
        <v>0.13937023051070035</v>
      </c>
      <c r="D22" s="102">
        <v>0.14209238907611527</v>
      </c>
      <c r="E22" s="102">
        <v>0.1365177108953205</v>
      </c>
      <c r="F22" s="4"/>
      <c r="G22" s="101">
        <v>429672.46528226876</v>
      </c>
      <c r="H22" s="103">
        <v>213811.11268457395</v>
      </c>
      <c r="I22" s="103">
        <v>214499.58023225798</v>
      </c>
    </row>
    <row r="23" spans="1:9">
      <c r="A23" s="34"/>
      <c r="B23" s="34" t="s">
        <v>68</v>
      </c>
      <c r="C23" s="28">
        <v>0.24119595882060443</v>
      </c>
      <c r="D23" s="102">
        <v>0.21552860632701115</v>
      </c>
      <c r="E23" s="102">
        <v>0.26177798836526933</v>
      </c>
      <c r="F23" s="4"/>
      <c r="G23" s="101">
        <v>1133060.7365497984</v>
      </c>
      <c r="H23" s="103">
        <v>471106.25968602445</v>
      </c>
      <c r="I23" s="103">
        <v>654922.73912081681</v>
      </c>
    </row>
    <row r="24" spans="1:9">
      <c r="A24" s="34" t="s">
        <v>69</v>
      </c>
      <c r="B24" s="34"/>
      <c r="C24" s="28"/>
      <c r="D24" s="102"/>
      <c r="E24" s="102"/>
      <c r="F24" s="4"/>
      <c r="G24" s="101"/>
      <c r="H24" s="103"/>
      <c r="I24" s="103"/>
    </row>
    <row r="25" spans="1:9">
      <c r="A25" s="34"/>
      <c r="B25" s="34" t="s">
        <v>70</v>
      </c>
      <c r="C25" s="28">
        <v>0.14027898656573323</v>
      </c>
      <c r="D25" s="102">
        <v>0.1347021144561848</v>
      </c>
      <c r="E25" s="102">
        <v>0.14412498381067809</v>
      </c>
      <c r="F25" s="4"/>
      <c r="G25" s="101">
        <v>2270252.1675407807</v>
      </c>
      <c r="H25" s="103">
        <v>1068806.7977911506</v>
      </c>
      <c r="I25" s="103">
        <v>1175307.2652044897</v>
      </c>
    </row>
    <row r="26" spans="1:9">
      <c r="A26" s="34"/>
      <c r="B26" s="34" t="s">
        <v>71</v>
      </c>
      <c r="C26" s="28">
        <v>0.15515819042768805</v>
      </c>
      <c r="D26" s="102">
        <v>0.15448566002605019</v>
      </c>
      <c r="E26" s="102">
        <v>0.15446633761363304</v>
      </c>
      <c r="F26" s="4"/>
      <c r="G26" s="101">
        <v>622805.25659853732</v>
      </c>
      <c r="H26" s="103">
        <v>306666.70596536819</v>
      </c>
      <c r="I26" s="103">
        <v>309548.77780881256</v>
      </c>
    </row>
    <row r="27" spans="1:9">
      <c r="A27" s="34"/>
      <c r="B27" s="34" t="s">
        <v>72</v>
      </c>
      <c r="C27" s="28">
        <v>0.15887913520817301</v>
      </c>
      <c r="D27" s="102">
        <v>0.16407542490153962</v>
      </c>
      <c r="E27" s="102">
        <v>0.15420827090940986</v>
      </c>
      <c r="F27" s="4"/>
      <c r="G27" s="101">
        <v>309162.30800400121</v>
      </c>
      <c r="H27" s="103">
        <v>152372.87312096093</v>
      </c>
      <c r="I27" s="103">
        <v>155682.80856426226</v>
      </c>
    </row>
    <row r="28" spans="1:9">
      <c r="A28" s="34"/>
      <c r="B28" s="34" t="s">
        <v>73</v>
      </c>
      <c r="C28" s="28">
        <v>0.14000794512896036</v>
      </c>
      <c r="D28" s="102">
        <v>0.14050784038011202</v>
      </c>
      <c r="E28" s="102">
        <v>0.1366268030994757</v>
      </c>
      <c r="F28" s="4"/>
      <c r="G28" s="101">
        <v>39978.039956838162</v>
      </c>
      <c r="H28" s="103">
        <v>18214.825727779167</v>
      </c>
      <c r="I28" s="103">
        <v>21227.716220700615</v>
      </c>
    </row>
    <row r="29" spans="1:9">
      <c r="A29" s="34" t="s">
        <v>74</v>
      </c>
      <c r="B29" s="34"/>
      <c r="C29" s="28"/>
      <c r="D29" s="102"/>
      <c r="E29" s="102"/>
      <c r="G29" s="101"/>
      <c r="H29" s="103"/>
      <c r="I29" s="103"/>
    </row>
    <row r="30" spans="1:9">
      <c r="A30" s="34"/>
      <c r="B30" s="34" t="s">
        <v>75</v>
      </c>
      <c r="C30" s="28">
        <v>9.3163067213558007E-2</v>
      </c>
      <c r="D30" s="102">
        <v>9.7668428532376506E-2</v>
      </c>
      <c r="E30" s="102">
        <v>8.660452798864561E-2</v>
      </c>
      <c r="G30" s="101">
        <v>943357.14585691947</v>
      </c>
      <c r="H30" s="103">
        <v>577109.11597978312</v>
      </c>
      <c r="I30" s="103">
        <v>362413.36531308165</v>
      </c>
    </row>
    <row r="31" spans="1:9">
      <c r="A31" s="34"/>
      <c r="B31" s="34" t="s">
        <v>76</v>
      </c>
      <c r="C31" s="28">
        <v>0.12589060630172716</v>
      </c>
      <c r="D31" s="102">
        <v>0.14312005308703765</v>
      </c>
      <c r="E31" s="102">
        <v>0.11636308606301854</v>
      </c>
      <c r="F31" s="4"/>
      <c r="G31" s="101">
        <v>377527.45607821888</v>
      </c>
      <c r="H31" s="103">
        <v>145999.94861795157</v>
      </c>
      <c r="I31" s="103">
        <v>228195.24435504459</v>
      </c>
    </row>
    <row r="32" spans="1:9">
      <c r="A32" s="34"/>
      <c r="B32" s="34" t="s">
        <v>77</v>
      </c>
      <c r="C32" s="28">
        <v>0.10543440990501489</v>
      </c>
      <c r="D32" s="102">
        <v>0.12013186530518746</v>
      </c>
      <c r="E32" s="102">
        <v>9.5831909283607158E-2</v>
      </c>
      <c r="F32" s="4"/>
      <c r="G32" s="101">
        <v>138811.23594729346</v>
      </c>
      <c r="H32" s="103">
        <v>63008.956454095453</v>
      </c>
      <c r="I32" s="103">
        <v>75260.591316756894</v>
      </c>
    </row>
    <row r="33" spans="1:9">
      <c r="A33" s="34"/>
      <c r="B33" s="35" t="s">
        <v>78</v>
      </c>
      <c r="C33" s="28">
        <v>0.10107794999285756</v>
      </c>
      <c r="D33" s="102">
        <v>0.10546991711902946</v>
      </c>
      <c r="E33" s="102">
        <v>9.6069845075672497E-2</v>
      </c>
      <c r="F33" s="4"/>
      <c r="G33" s="101">
        <v>1459695.8378824282</v>
      </c>
      <c r="H33" s="103">
        <v>786118.02105182898</v>
      </c>
      <c r="I33" s="103">
        <v>665869.20098488184</v>
      </c>
    </row>
    <row r="34" spans="1:9">
      <c r="A34" s="34"/>
      <c r="B34" s="34" t="s">
        <v>79</v>
      </c>
      <c r="C34" s="28">
        <v>9.929908266355858E-2</v>
      </c>
      <c r="D34" s="102">
        <v>0.1062469792452114</v>
      </c>
      <c r="E34" s="102">
        <v>8.1308547739083636E-2</v>
      </c>
      <c r="F34" s="4"/>
      <c r="G34" s="101">
        <v>110523.14172422381</v>
      </c>
      <c r="H34" s="103">
        <v>56834.523631513628</v>
      </c>
      <c r="I34" s="103">
        <v>45263.536442393954</v>
      </c>
    </row>
    <row r="35" spans="1:9">
      <c r="A35" s="34"/>
      <c r="B35" s="34" t="s">
        <v>80</v>
      </c>
      <c r="C35" s="28">
        <v>0.21498323137882969</v>
      </c>
      <c r="D35" s="102">
        <v>0.29344713471290251</v>
      </c>
      <c r="E35" s="102">
        <v>0.20144472349952572</v>
      </c>
      <c r="F35" s="4"/>
      <c r="G35" s="101">
        <v>169514.72776715967</v>
      </c>
      <c r="H35" s="103">
        <v>33176.432603505782</v>
      </c>
      <c r="I35" s="103">
        <v>134865.5407487599</v>
      </c>
    </row>
    <row r="36" spans="1:9">
      <c r="A36" s="34"/>
      <c r="B36" s="34" t="s">
        <v>81</v>
      </c>
      <c r="C36" s="28">
        <v>0.25798280037230564</v>
      </c>
      <c r="D36" s="102">
        <v>0.26702815913487393</v>
      </c>
      <c r="E36" s="102">
        <v>0.24945845789146615</v>
      </c>
      <c r="F36" s="4"/>
      <c r="G36" s="101">
        <v>262191.60707749007</v>
      </c>
      <c r="H36" s="103">
        <v>134109.63738939041</v>
      </c>
      <c r="I36" s="103">
        <v>123872.29909651238</v>
      </c>
    </row>
    <row r="37" spans="1:9">
      <c r="A37" s="34"/>
      <c r="B37" s="34" t="s">
        <v>82</v>
      </c>
      <c r="C37" s="28">
        <v>0.23707597657025795</v>
      </c>
      <c r="D37" s="102">
        <v>0.21232846154072582</v>
      </c>
      <c r="E37" s="102">
        <v>0.25781142805047957</v>
      </c>
      <c r="F37" s="4"/>
      <c r="G37" s="101">
        <v>1138671.963795675</v>
      </c>
      <c r="H37" s="103">
        <v>476130.14777777268</v>
      </c>
      <c r="I37" s="103">
        <v>656015.07500068052</v>
      </c>
    </row>
    <row r="38" spans="1:9">
      <c r="A38" s="34" t="s">
        <v>83</v>
      </c>
      <c r="B38" s="34"/>
      <c r="C38" s="28"/>
      <c r="D38" s="102"/>
      <c r="E38" s="102"/>
      <c r="G38" s="101"/>
      <c r="H38" s="103"/>
      <c r="I38" s="103"/>
    </row>
    <row r="39" spans="1:9">
      <c r="A39" s="34"/>
      <c r="B39" s="34" t="s">
        <v>84</v>
      </c>
      <c r="C39" s="28">
        <v>8.1686342731273245E-2</v>
      </c>
      <c r="D39" s="102">
        <v>8.5786175177586632E-2</v>
      </c>
      <c r="E39" s="102">
        <v>7.6681094410004674E-2</v>
      </c>
      <c r="F39" s="4"/>
      <c r="G39" s="101">
        <v>735505.69433789735</v>
      </c>
      <c r="H39" s="103">
        <v>395532.0100805391</v>
      </c>
      <c r="I39" s="103">
        <v>334212.07372127206</v>
      </c>
    </row>
    <row r="40" spans="1:9">
      <c r="A40" s="34"/>
      <c r="B40" s="34" t="s">
        <v>85</v>
      </c>
      <c r="C40" s="28">
        <v>0.12573062656441344</v>
      </c>
      <c r="D40" s="102">
        <v>0.11933551080463262</v>
      </c>
      <c r="E40" s="102">
        <v>0.13063613843305089</v>
      </c>
      <c r="F40" s="4"/>
      <c r="G40" s="101">
        <v>361990.72560312488</v>
      </c>
      <c r="H40" s="103">
        <v>167154.18451427028</v>
      </c>
      <c r="I40" s="103">
        <v>191474.94484275838</v>
      </c>
    </row>
    <row r="41" spans="1:9">
      <c r="A41" s="34"/>
      <c r="B41" s="34" t="s">
        <v>86</v>
      </c>
      <c r="C41" s="28">
        <v>0.17250566916143345</v>
      </c>
      <c r="D41" s="102">
        <v>0.17066405306067498</v>
      </c>
      <c r="E41" s="102">
        <v>0.17410826342165892</v>
      </c>
      <c r="F41" s="4"/>
      <c r="G41" s="101">
        <v>730489.10212691466</v>
      </c>
      <c r="H41" s="103">
        <v>345213.86018389644</v>
      </c>
      <c r="I41" s="103">
        <v>381830.78795994353</v>
      </c>
    </row>
    <row r="42" spans="1:9">
      <c r="A42" s="34"/>
      <c r="B42" s="34" t="s">
        <v>87</v>
      </c>
      <c r="C42" s="28">
        <v>0.18454861506369796</v>
      </c>
      <c r="D42" s="102">
        <v>0.17829642581703031</v>
      </c>
      <c r="E42" s="102">
        <v>0.19053899730406335</v>
      </c>
      <c r="F42" s="4"/>
      <c r="G42" s="101">
        <v>706442.39259373315</v>
      </c>
      <c r="H42" s="103">
        <v>331460.7022084046</v>
      </c>
      <c r="I42" s="103">
        <v>369173.90016948187</v>
      </c>
    </row>
    <row r="43" spans="1:9">
      <c r="A43" s="34"/>
      <c r="B43" s="34" t="s">
        <v>88</v>
      </c>
      <c r="C43" s="28">
        <v>0.32357432486055615</v>
      </c>
      <c r="D43" s="102">
        <v>0.30418755647566448</v>
      </c>
      <c r="E43" s="102">
        <v>0.33677130299230484</v>
      </c>
      <c r="F43" s="4"/>
      <c r="G43" s="101">
        <v>456109.27439591486</v>
      </c>
      <c r="H43" s="103">
        <v>163281.01196554964</v>
      </c>
      <c r="I43" s="103">
        <v>291765.95374622202</v>
      </c>
    </row>
    <row r="44" spans="1:9">
      <c r="A44" s="34"/>
      <c r="B44" s="34" t="s">
        <v>89</v>
      </c>
      <c r="C44" s="28">
        <v>0.13483231067163495</v>
      </c>
      <c r="D44" s="102">
        <v>0.14420291321685424</v>
      </c>
      <c r="E44" s="102">
        <v>0.10120423297319618</v>
      </c>
      <c r="F44" s="4"/>
      <c r="G44" s="101">
        <v>97831.982357814952</v>
      </c>
      <c r="H44" s="103">
        <v>51193.550100758039</v>
      </c>
      <c r="I44" s="103">
        <v>36198.531872455089</v>
      </c>
    </row>
    <row r="45" spans="1:9">
      <c r="A45" s="34"/>
      <c r="B45" s="34" t="s">
        <v>90</v>
      </c>
      <c r="C45" s="28">
        <v>0.17783315507038411</v>
      </c>
      <c r="D45" s="102">
        <v>0.46804933619972133</v>
      </c>
      <c r="E45" s="102">
        <v>7.93720443433798E-2</v>
      </c>
      <c r="F45" s="4"/>
      <c r="G45" s="101">
        <v>1518.3282428924856</v>
      </c>
      <c r="H45" s="103">
        <v>1068.4160511380815</v>
      </c>
      <c r="I45" s="103">
        <v>449.91219175440409</v>
      </c>
    </row>
    <row r="46" spans="1:9">
      <c r="A46" s="34" t="s">
        <v>91</v>
      </c>
      <c r="B46" s="34"/>
      <c r="C46" s="28"/>
      <c r="D46" s="102"/>
      <c r="E46" s="102"/>
      <c r="F46" s="4"/>
      <c r="G46" s="101"/>
      <c r="H46" s="103"/>
      <c r="I46" s="103"/>
    </row>
    <row r="47" spans="1:9">
      <c r="A47" s="34"/>
      <c r="B47" s="34" t="s">
        <v>92</v>
      </c>
      <c r="C47" s="28">
        <v>9.584304343071065E-2</v>
      </c>
      <c r="D47" s="102">
        <v>8.4427080916474828E-2</v>
      </c>
      <c r="E47" s="102">
        <v>0.10661324734475261</v>
      </c>
      <c r="G47" s="101">
        <v>387543.17274840031</v>
      </c>
      <c r="H47" s="103">
        <v>171420.95120114784</v>
      </c>
      <c r="I47" s="103">
        <v>213501.89704931265</v>
      </c>
    </row>
    <row r="48" spans="1:9">
      <c r="A48" s="34"/>
      <c r="B48" s="34" t="s">
        <v>93</v>
      </c>
      <c r="C48" s="28">
        <v>0.12471826116788756</v>
      </c>
      <c r="D48" s="102">
        <v>0.12653710385217926</v>
      </c>
      <c r="E48" s="102">
        <v>0.12162267967152522</v>
      </c>
      <c r="F48" s="4"/>
      <c r="G48" s="101">
        <v>665486.33668421255</v>
      </c>
      <c r="H48" s="103">
        <v>334629.01860687067</v>
      </c>
      <c r="I48" s="103">
        <v>323775.49002244289</v>
      </c>
    </row>
    <row r="49" spans="1:9">
      <c r="A49" s="34"/>
      <c r="B49" s="34" t="s">
        <v>94</v>
      </c>
      <c r="C49" s="28">
        <v>0.10763634580862096</v>
      </c>
      <c r="D49" s="102">
        <v>9.5055857166595537E-2</v>
      </c>
      <c r="E49" s="102">
        <v>0.11589328080113394</v>
      </c>
      <c r="F49" s="4"/>
      <c r="G49" s="101">
        <v>84800.013248004121</v>
      </c>
      <c r="H49" s="103">
        <v>35071.409021268075</v>
      </c>
      <c r="I49" s="103">
        <v>47688.398120420752</v>
      </c>
    </row>
    <row r="50" spans="1:9">
      <c r="A50" s="34"/>
      <c r="B50" s="34" t="s">
        <v>95</v>
      </c>
      <c r="C50" s="28">
        <v>0.15544651728976408</v>
      </c>
      <c r="D50" s="102">
        <v>0.15325295723847301</v>
      </c>
      <c r="E50" s="102">
        <v>0.15808984673446158</v>
      </c>
      <c r="F50" s="4"/>
      <c r="G50" s="101">
        <v>435343.42613036488</v>
      </c>
      <c r="H50" s="103">
        <v>227320.75422789718</v>
      </c>
      <c r="I50" s="103">
        <v>204362.8954303471</v>
      </c>
    </row>
    <row r="51" spans="1:9">
      <c r="A51" s="34"/>
      <c r="B51" s="34" t="s">
        <v>96</v>
      </c>
      <c r="C51" s="28">
        <v>0.16920754802334187</v>
      </c>
      <c r="D51" s="102">
        <v>0.16488159986275036</v>
      </c>
      <c r="E51" s="102">
        <v>0.17178466482573093</v>
      </c>
      <c r="F51" s="4"/>
      <c r="G51" s="101">
        <v>1556297.0365954314</v>
      </c>
      <c r="H51" s="103">
        <v>712350.06343624694</v>
      </c>
      <c r="I51" s="103">
        <v>830441.14055851556</v>
      </c>
    </row>
    <row r="52" spans="1:9">
      <c r="A52" s="34" t="s">
        <v>97</v>
      </c>
      <c r="B52" s="34"/>
      <c r="C52" s="28"/>
      <c r="D52" s="102"/>
      <c r="E52" s="102"/>
      <c r="G52" s="101"/>
      <c r="H52" s="103"/>
      <c r="I52" s="103"/>
    </row>
    <row r="53" spans="1:9">
      <c r="A53" s="34"/>
      <c r="B53" s="34" t="s">
        <v>98</v>
      </c>
      <c r="C53" s="28">
        <v>0.20431996317791401</v>
      </c>
      <c r="D53" s="102">
        <v>0.19420711719599271</v>
      </c>
      <c r="E53" s="102">
        <v>0.21687312879090595</v>
      </c>
      <c r="F53" s="4"/>
      <c r="G53" s="101">
        <v>182364.68152662789</v>
      </c>
      <c r="H53" s="103">
        <v>97210.097751208305</v>
      </c>
      <c r="I53" s="103">
        <v>83194.263606932829</v>
      </c>
    </row>
    <row r="54" spans="1:9">
      <c r="A54" s="34"/>
      <c r="B54" s="34" t="s">
        <v>99</v>
      </c>
      <c r="C54" s="28">
        <v>0.13775985225964138</v>
      </c>
      <c r="D54" s="102">
        <v>0.13105226972175479</v>
      </c>
      <c r="E54" s="102">
        <v>0.14376689968357739</v>
      </c>
      <c r="F54" s="4"/>
      <c r="G54" s="101">
        <v>2760945.0651273211</v>
      </c>
      <c r="H54" s="103">
        <v>1268536.7527295216</v>
      </c>
      <c r="I54" s="103">
        <v>1477233.4677350691</v>
      </c>
    </row>
    <row r="55" spans="1:9">
      <c r="A55" s="34"/>
      <c r="B55" s="34" t="s">
        <v>100</v>
      </c>
      <c r="C55" s="28">
        <v>0.29679884729887307</v>
      </c>
      <c r="D55" s="102">
        <v>0.30284141821233779</v>
      </c>
      <c r="E55" s="102">
        <v>0.27273305865088798</v>
      </c>
      <c r="F55" s="4"/>
      <c r="G55" s="101">
        <v>147096.99499504673</v>
      </c>
      <c r="H55" s="103">
        <v>89899.408424537192</v>
      </c>
      <c r="I55" s="103">
        <v>50017.988209123752</v>
      </c>
    </row>
    <row r="56" spans="1:9">
      <c r="A56" s="34" t="s">
        <v>101</v>
      </c>
      <c r="B56" s="34"/>
      <c r="C56" s="28"/>
      <c r="D56" s="102"/>
      <c r="E56" s="102"/>
      <c r="G56" s="101"/>
      <c r="H56" s="103"/>
      <c r="I56" s="103"/>
    </row>
    <row r="57" spans="1:9">
      <c r="A57" s="34"/>
      <c r="B57" s="34" t="s">
        <v>102</v>
      </c>
      <c r="C57" s="28">
        <v>0.14362159957440179</v>
      </c>
      <c r="D57" s="102">
        <v>0.13711134034869488</v>
      </c>
      <c r="E57" s="102">
        <v>0.14968340508402422</v>
      </c>
      <c r="F57" s="4"/>
      <c r="G57" s="101">
        <v>2569353.5626918515</v>
      </c>
      <c r="H57" s="103">
        <v>1179621.9796587578</v>
      </c>
      <c r="I57" s="103">
        <v>1378393.9905302001</v>
      </c>
    </row>
    <row r="58" spans="1:9">
      <c r="A58" s="34"/>
      <c r="B58" s="34" t="s">
        <v>103</v>
      </c>
      <c r="C58" s="28">
        <v>0.13136066210799921</v>
      </c>
      <c r="D58" s="102">
        <v>0.1315508650137899</v>
      </c>
      <c r="E58" s="102">
        <v>0.12784708362992145</v>
      </c>
      <c r="F58" s="4"/>
      <c r="G58" s="101">
        <v>432467.2384101022</v>
      </c>
      <c r="H58" s="103">
        <v>227543.36066968701</v>
      </c>
      <c r="I58" s="103">
        <v>196701.19728958077</v>
      </c>
    </row>
    <row r="59" spans="1:9">
      <c r="A59" s="34" t="s">
        <v>104</v>
      </c>
      <c r="B59" s="34"/>
      <c r="C59" s="28"/>
      <c r="D59" s="102"/>
      <c r="E59" s="102"/>
      <c r="F59" s="4"/>
      <c r="G59" s="101"/>
      <c r="H59" s="103"/>
      <c r="I59" s="103"/>
    </row>
    <row r="60" spans="1:9">
      <c r="A60" s="34"/>
      <c r="B60" s="34" t="s">
        <v>98</v>
      </c>
      <c r="C60" s="28">
        <v>0.30330411031593862</v>
      </c>
      <c r="D60" s="102">
        <v>0.30773546266517304</v>
      </c>
      <c r="E60" s="102">
        <v>0.30330880707918101</v>
      </c>
      <c r="G60" s="101">
        <v>1057730.302134759</v>
      </c>
      <c r="H60" s="103">
        <v>451155.10035398335</v>
      </c>
      <c r="I60" s="103">
        <v>601179.02711976029</v>
      </c>
    </row>
    <row r="61" spans="1:9">
      <c r="A61" s="34"/>
      <c r="B61" s="34" t="s">
        <v>99</v>
      </c>
      <c r="C61" s="28">
        <v>0.10741046708450995</v>
      </c>
      <c r="D61" s="102">
        <v>0.10576979763912923</v>
      </c>
      <c r="E61" s="102">
        <v>0.10825800974113825</v>
      </c>
      <c r="G61" s="101">
        <v>1874310.5852277155</v>
      </c>
      <c r="H61" s="103">
        <v>928369.30586645822</v>
      </c>
      <c r="I61" s="103">
        <v>932685.42729957402</v>
      </c>
    </row>
    <row r="62" spans="1:9">
      <c r="A62" s="34"/>
      <c r="B62" s="34" t="s">
        <v>100</v>
      </c>
      <c r="C62" s="28">
        <v>0.32152789718913177</v>
      </c>
      <c r="D62" s="102">
        <v>0.32570390744524802</v>
      </c>
      <c r="E62" s="102">
        <v>0.31291018401546056</v>
      </c>
      <c r="G62" s="101">
        <v>158365.85428652962</v>
      </c>
      <c r="H62" s="103">
        <v>76121.852684817713</v>
      </c>
      <c r="I62" s="103">
        <v>76581.265131798558</v>
      </c>
    </row>
    <row r="63" spans="1:9">
      <c r="A63" s="34" t="s">
        <v>105</v>
      </c>
      <c r="B63" s="34"/>
      <c r="C63" s="28"/>
      <c r="D63" s="102"/>
      <c r="E63" s="102"/>
      <c r="F63" s="4"/>
      <c r="G63" s="101"/>
      <c r="H63" s="103"/>
      <c r="I63" s="103"/>
    </row>
    <row r="64" spans="1:9">
      <c r="A64" s="34"/>
      <c r="B64" s="36" t="s">
        <v>106</v>
      </c>
      <c r="C64" s="28">
        <v>0.29403397113103047</v>
      </c>
      <c r="D64" s="102">
        <v>0.29647455069622958</v>
      </c>
      <c r="E64" s="102">
        <v>0.29356851343252116</v>
      </c>
      <c r="G64" s="101">
        <v>829061.79501201597</v>
      </c>
      <c r="H64" s="103">
        <v>330732.39676176989</v>
      </c>
      <c r="I64" s="103">
        <v>493599.95315794548</v>
      </c>
    </row>
    <row r="65" spans="1:9">
      <c r="A65" s="34"/>
      <c r="B65" s="34" t="s">
        <v>107</v>
      </c>
      <c r="C65" s="28">
        <v>0.19480141599117112</v>
      </c>
      <c r="D65" s="102">
        <v>0.19461879199756763</v>
      </c>
      <c r="E65" s="102">
        <v>0.19482183636906414</v>
      </c>
      <c r="F65" s="4"/>
      <c r="G65" s="101">
        <v>622192.89358147304</v>
      </c>
      <c r="H65" s="103">
        <v>296203.95557337144</v>
      </c>
      <c r="I65" s="103">
        <v>321887.96975397662</v>
      </c>
    </row>
    <row r="66" spans="1:9">
      <c r="A66" s="34"/>
      <c r="B66" s="34" t="s">
        <v>108</v>
      </c>
      <c r="C66" s="28">
        <v>0.12846863198874484</v>
      </c>
      <c r="D66" s="102">
        <v>0.12889274710249449</v>
      </c>
      <c r="E66" s="102">
        <v>0.1265376268078264</v>
      </c>
      <c r="F66" s="4"/>
      <c r="G66" s="101">
        <v>389967.65709267271</v>
      </c>
      <c r="H66" s="103">
        <v>196190.02768765294</v>
      </c>
      <c r="I66" s="103">
        <v>189489.44033841221</v>
      </c>
    </row>
    <row r="67" spans="1:9">
      <c r="A67" s="34"/>
      <c r="B67" s="34" t="s">
        <v>109</v>
      </c>
      <c r="C67" s="28">
        <v>9.4916503177458131E-2</v>
      </c>
      <c r="D67" s="102">
        <v>9.4566010703778278E-2</v>
      </c>
      <c r="E67" s="102">
        <v>9.5600166527424937E-2</v>
      </c>
      <c r="F67" s="4"/>
      <c r="G67" s="101">
        <v>400106.13475103537</v>
      </c>
      <c r="H67" s="103">
        <v>208209.38000749692</v>
      </c>
      <c r="I67" s="103">
        <v>191355.06656709695</v>
      </c>
    </row>
    <row r="68" spans="1:9">
      <c r="A68" s="34"/>
      <c r="B68" s="34" t="s">
        <v>110</v>
      </c>
      <c r="C68" s="28">
        <v>7.8275517104332795E-2</v>
      </c>
      <c r="D68" s="102">
        <v>8.6891867301652895E-2</v>
      </c>
      <c r="E68" s="102">
        <v>6.648424787940535E-2</v>
      </c>
      <c r="G68" s="101">
        <v>185048.07022637344</v>
      </c>
      <c r="H68" s="103">
        <v>108817.0919717158</v>
      </c>
      <c r="I68" s="103">
        <v>73342.198429435302</v>
      </c>
    </row>
    <row r="69" spans="1:9">
      <c r="A69" s="34"/>
      <c r="B69" s="34" t="s">
        <v>111</v>
      </c>
      <c r="C69" s="28">
        <v>5.7731230555696983E-2</v>
      </c>
      <c r="D69" s="102">
        <v>5.9856125723314293E-2</v>
      </c>
      <c r="E69" s="102">
        <v>5.3496285905707826E-2</v>
      </c>
      <c r="G69" s="101">
        <v>159834.58386474161</v>
      </c>
      <c r="H69" s="103">
        <v>98354.590764563312</v>
      </c>
      <c r="I69" s="103">
        <v>59793.756960927029</v>
      </c>
    </row>
    <row r="70" spans="1:9">
      <c r="A70" s="34"/>
      <c r="B70" s="34" t="s">
        <v>112</v>
      </c>
      <c r="C70" s="28">
        <v>0.16624934846386399</v>
      </c>
      <c r="D70" s="102">
        <v>0.17796221137709936</v>
      </c>
      <c r="E70" s="102">
        <v>0.15709140868321639</v>
      </c>
      <c r="G70" s="101">
        <v>504195.60712070559</v>
      </c>
      <c r="H70" s="103">
        <v>217138.81613868949</v>
      </c>
      <c r="I70" s="103">
        <v>280977.33434334357</v>
      </c>
    </row>
    <row r="71" spans="1:9">
      <c r="A71" s="34" t="s">
        <v>113</v>
      </c>
      <c r="B71" s="34"/>
      <c r="C71" s="28"/>
      <c r="D71" s="102"/>
      <c r="E71" s="102"/>
      <c r="F71" s="4"/>
      <c r="G71" s="101"/>
      <c r="H71" s="103"/>
      <c r="I71" s="103"/>
    </row>
    <row r="72" spans="1:9">
      <c r="A72" s="34"/>
      <c r="B72" s="34" t="s">
        <v>114</v>
      </c>
      <c r="C72" s="28">
        <v>0.14241295780319194</v>
      </c>
      <c r="D72" s="102">
        <v>0.13445831268761158</v>
      </c>
      <c r="E72" s="102">
        <v>0.14970213610096636</v>
      </c>
      <c r="F72" s="4"/>
      <c r="G72" s="101">
        <v>2697656.367361499</v>
      </c>
      <c r="H72" s="103">
        <v>1230857.1927474483</v>
      </c>
      <c r="I72" s="103">
        <v>1461939.652927855</v>
      </c>
    </row>
    <row r="73" spans="1:9">
      <c r="A73" s="34"/>
      <c r="B73" s="34" t="s">
        <v>115</v>
      </c>
      <c r="C73" s="28">
        <v>0.12407512444419623</v>
      </c>
      <c r="D73" s="102">
        <v>0.13277332954875215</v>
      </c>
      <c r="E73" s="102">
        <v>0.10013903228661933</v>
      </c>
      <c r="G73" s="101">
        <v>115013.91716007181</v>
      </c>
      <c r="H73" s="103">
        <v>91150.722980026971</v>
      </c>
      <c r="I73" s="103">
        <v>22320.656215209114</v>
      </c>
    </row>
    <row r="74" spans="1:9">
      <c r="A74" s="34"/>
      <c r="B74" s="34" t="s">
        <v>116</v>
      </c>
      <c r="C74" s="28">
        <v>0.13232038353734368</v>
      </c>
      <c r="D74" s="102">
        <v>0.17823343189550164</v>
      </c>
      <c r="E74" s="102">
        <v>0.10562593603822584</v>
      </c>
      <c r="G74" s="101">
        <v>92783.627790721483</v>
      </c>
      <c r="H74" s="103">
        <v>43902.466049995499</v>
      </c>
      <c r="I74" s="103">
        <v>45510.510149319794</v>
      </c>
    </row>
    <row r="75" spans="1:9">
      <c r="A75" s="34"/>
      <c r="B75" s="34" t="s">
        <v>90</v>
      </c>
      <c r="C75" s="28">
        <v>0.16071029785811247</v>
      </c>
      <c r="D75" s="102">
        <v>0.12010198046182395</v>
      </c>
      <c r="E75" s="102">
        <v>0.17665066699396481</v>
      </c>
      <c r="F75" s="4"/>
      <c r="G75" s="101">
        <v>18449.948845219551</v>
      </c>
      <c r="H75" s="103">
        <v>4150.7332238962135</v>
      </c>
      <c r="I75" s="103">
        <v>10272.305257970846</v>
      </c>
    </row>
    <row r="76" spans="1:9">
      <c r="A76" s="118"/>
      <c r="B76" s="118"/>
      <c r="C76" s="119"/>
      <c r="D76" s="119"/>
      <c r="E76" s="119"/>
      <c r="F76" s="119"/>
      <c r="G76" s="157"/>
      <c r="H76" s="157"/>
      <c r="I76" s="157"/>
    </row>
    <row r="77" spans="1:9">
      <c r="A77" s="24" t="s">
        <v>117</v>
      </c>
    </row>
    <row r="78" spans="1:9">
      <c r="A78" s="16" t="s">
        <v>118</v>
      </c>
    </row>
    <row r="79" spans="1:9">
      <c r="A79" s="16" t="s">
        <v>119</v>
      </c>
    </row>
    <row r="80" spans="1:9">
      <c r="A80" s="24" t="s">
        <v>120</v>
      </c>
    </row>
    <row r="81" spans="1:1">
      <c r="A81" s="16" t="s">
        <v>121</v>
      </c>
    </row>
    <row r="82" spans="1:1">
      <c r="A82" s="16" t="s">
        <v>122</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G15&lt;'38'!$C$104</xm:f>
            <x14:dxf>
              <font>
                <color rgb="FFFF0000"/>
              </font>
              <numFmt numFmtId="172" formatCode="\*\*0.0%"/>
            </x14:dxf>
          </x14:cfRule>
          <x14:cfRule type="expression" priority="4" id="{5EE794A5-CB05-4E6B-A220-F490759D339D}">
            <xm:f>G15&lt;'38'!$C$103</xm:f>
            <x14:dxf>
              <font>
                <color rgb="FF00B050"/>
              </font>
              <numFmt numFmtId="171" formatCode="\*0.0%"/>
            </x14:dxf>
          </x14:cfRule>
          <xm:sqref>C15:E75</xm:sqref>
        </x14:conditionalFormatting>
        <x14:conditionalFormatting xmlns:xm="http://schemas.microsoft.com/office/excel/2006/main">
          <x14:cfRule type="expression" priority="1" id="{086B2FF2-72E9-43EA-9595-88CB0F126DC9}">
            <xm:f>G15&lt;'38'!$C$104</xm:f>
            <x14:dxf>
              <font>
                <color rgb="FFFF0000"/>
              </font>
              <numFmt numFmtId="174" formatCode="\*\*#,###,###,##0"/>
            </x14:dxf>
          </x14:cfRule>
          <x14:cfRule type="expression" priority="2" id="{3FCFCE58-D57C-45DB-AA73-C08D772FE331}">
            <xm:f>G15&lt;'38'!$C$103</xm:f>
            <x14:dxf>
              <font>
                <color rgb="FF00B050"/>
              </font>
              <numFmt numFmtId="173" formatCode="\*#,###,###,##0"/>
            </x14:dxf>
          </x14:cfRule>
          <xm:sqref>G15:I75</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3"/>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c r="A1" s="29"/>
      <c r="B1" s="29"/>
      <c r="C1" s="29"/>
      <c r="D1" s="29"/>
      <c r="E1" s="29"/>
      <c r="F1" s="29"/>
      <c r="G1" s="29"/>
      <c r="H1" s="29"/>
      <c r="I1" s="29"/>
    </row>
    <row r="2" spans="1:9">
      <c r="A2" s="29"/>
      <c r="B2" s="29"/>
      <c r="C2" s="29"/>
      <c r="D2" s="29"/>
      <c r="E2" s="29"/>
      <c r="F2" s="29"/>
      <c r="G2" s="29"/>
      <c r="H2" s="29"/>
      <c r="I2" s="29"/>
    </row>
    <row r="3" spans="1:9">
      <c r="A3" s="29"/>
      <c r="B3" s="29"/>
      <c r="C3" s="29"/>
      <c r="D3" s="29"/>
      <c r="E3" s="29"/>
      <c r="F3" s="29"/>
      <c r="G3" s="29"/>
      <c r="H3" s="29"/>
      <c r="I3" s="29"/>
    </row>
    <row r="4" spans="1:9">
      <c r="A4" s="29"/>
      <c r="B4" s="29"/>
      <c r="C4" s="29"/>
      <c r="D4" s="29"/>
      <c r="E4" s="29"/>
      <c r="F4" s="29"/>
      <c r="G4" s="29"/>
      <c r="H4" s="29"/>
      <c r="I4" s="29"/>
    </row>
    <row r="5" spans="1:9">
      <c r="A5" s="29"/>
      <c r="B5" s="29"/>
      <c r="C5" s="29"/>
      <c r="D5" s="29"/>
      <c r="E5" s="29"/>
      <c r="F5" s="29"/>
      <c r="G5" s="29"/>
      <c r="H5" s="29"/>
      <c r="I5" s="29"/>
    </row>
    <row r="6" spans="1:9">
      <c r="A6" s="29"/>
      <c r="B6" s="29"/>
      <c r="C6" s="29"/>
      <c r="D6" s="29"/>
      <c r="E6" s="29"/>
      <c r="F6" s="29"/>
      <c r="G6" s="29"/>
      <c r="H6" s="29"/>
      <c r="I6" s="29"/>
    </row>
    <row r="7" spans="1:9">
      <c r="A7" s="29"/>
      <c r="B7" s="29"/>
      <c r="C7" s="29"/>
      <c r="D7" s="29"/>
      <c r="E7" s="29"/>
      <c r="F7" s="29"/>
      <c r="G7" s="29"/>
      <c r="H7" s="29"/>
      <c r="I7" s="29"/>
    </row>
    <row r="8" spans="1:9">
      <c r="A8" s="30" t="str">
        <f>Index!A8</f>
        <v>AusPlay survey results July 2024 - June 2025</v>
      </c>
      <c r="B8" s="29"/>
      <c r="C8" s="29"/>
      <c r="D8" s="29"/>
      <c r="E8" s="29"/>
      <c r="F8" s="29"/>
      <c r="G8" s="29"/>
      <c r="H8" s="29"/>
      <c r="I8" s="29"/>
    </row>
    <row r="9" spans="1:9">
      <c r="A9" s="29" t="s">
        <v>1</v>
      </c>
      <c r="B9" s="29"/>
      <c r="C9" s="90" t="s">
        <v>2</v>
      </c>
      <c r="D9" s="29"/>
      <c r="E9" s="29"/>
      <c r="F9" s="29"/>
      <c r="G9" s="29"/>
      <c r="H9" s="29"/>
      <c r="I9" s="29"/>
    </row>
    <row r="10" spans="1:9">
      <c r="A10" s="29" t="s">
        <v>49</v>
      </c>
      <c r="B10" s="29"/>
      <c r="C10" s="31">
        <v>31</v>
      </c>
      <c r="D10" s="29"/>
      <c r="E10" s="29"/>
      <c r="F10" s="29"/>
      <c r="G10" s="29"/>
      <c r="H10" s="29"/>
      <c r="I10" s="29"/>
    </row>
    <row r="11" spans="1:9">
      <c r="A11" s="29" t="s">
        <v>3</v>
      </c>
      <c r="B11" s="29"/>
      <c r="C11" s="30" t="s">
        <v>40</v>
      </c>
      <c r="D11" s="29"/>
      <c r="E11" s="29"/>
      <c r="F11" s="29"/>
      <c r="G11" s="29"/>
      <c r="H11" s="29"/>
      <c r="I11" s="29"/>
    </row>
    <row r="12" spans="1:9">
      <c r="A12" s="116" t="s">
        <v>50</v>
      </c>
      <c r="B12" s="116"/>
      <c r="C12" s="117" t="s">
        <v>123</v>
      </c>
      <c r="D12" s="116"/>
      <c r="E12" s="116"/>
      <c r="F12" s="116"/>
      <c r="G12" s="116"/>
      <c r="H12" s="116"/>
      <c r="I12" s="116"/>
    </row>
    <row r="13" spans="1:9" ht="24.95" customHeight="1">
      <c r="A13" s="39"/>
      <c r="B13" s="39"/>
      <c r="C13" s="195" t="s">
        <v>470</v>
      </c>
      <c r="D13" s="195"/>
      <c r="E13" s="195"/>
      <c r="F13" s="54"/>
      <c r="G13" s="195" t="s">
        <v>252</v>
      </c>
      <c r="H13" s="195"/>
      <c r="I13" s="195"/>
    </row>
    <row r="14" spans="1:9" ht="24.95" customHeight="1">
      <c r="A14" s="39"/>
      <c r="B14" s="39"/>
      <c r="C14" s="37" t="s">
        <v>57</v>
      </c>
      <c r="D14" s="37" t="s">
        <v>58</v>
      </c>
      <c r="E14" s="37" t="s">
        <v>59</v>
      </c>
      <c r="F14" s="37"/>
      <c r="G14" s="37" t="s">
        <v>60</v>
      </c>
      <c r="H14" s="37" t="s">
        <v>58</v>
      </c>
      <c r="I14" s="37" t="s">
        <v>59</v>
      </c>
    </row>
    <row r="15" spans="1:9">
      <c r="A15" s="35" t="s">
        <v>57</v>
      </c>
      <c r="B15" s="34"/>
      <c r="C15" s="28">
        <v>0.28275661236957578</v>
      </c>
      <c r="D15" s="144">
        <v>0.28105227411596556</v>
      </c>
      <c r="E15" s="144">
        <v>0.28269946326469664</v>
      </c>
      <c r="F15" s="28"/>
      <c r="G15" s="101">
        <v>1364270.8549909252</v>
      </c>
      <c r="H15" s="101">
        <v>694749.28215645184</v>
      </c>
      <c r="I15" s="101">
        <v>660908.37073804927</v>
      </c>
    </row>
    <row r="16" spans="1:9">
      <c r="A16" s="34" t="s">
        <v>61</v>
      </c>
      <c r="B16" s="34"/>
      <c r="C16" s="28"/>
      <c r="D16" s="145"/>
      <c r="E16" s="145"/>
      <c r="F16" s="2"/>
      <c r="G16" s="101"/>
      <c r="H16" s="103"/>
      <c r="I16" s="103"/>
    </row>
    <row r="17" spans="1:9">
      <c r="A17" s="34"/>
      <c r="B17" s="34" t="s">
        <v>124</v>
      </c>
      <c r="C17" s="28">
        <v>0.52608564295342464</v>
      </c>
      <c r="D17" s="145">
        <v>0.51927876936949946</v>
      </c>
      <c r="E17" s="145">
        <v>0.53172176341974087</v>
      </c>
      <c r="F17" s="4"/>
      <c r="G17" s="101">
        <v>799897.26610995003</v>
      </c>
      <c r="H17" s="103">
        <v>403866.13171340327</v>
      </c>
      <c r="I17" s="103">
        <v>391385.45298815734</v>
      </c>
    </row>
    <row r="18" spans="1:9">
      <c r="A18" s="34"/>
      <c r="B18" s="34" t="s">
        <v>125</v>
      </c>
      <c r="C18" s="28">
        <v>0.17745920952429495</v>
      </c>
      <c r="D18" s="145">
        <v>0.1839968217049891</v>
      </c>
      <c r="E18" s="145">
        <v>0.16943814681763311</v>
      </c>
      <c r="F18" s="4"/>
      <c r="G18" s="101">
        <v>229045.29397295704</v>
      </c>
      <c r="H18" s="103">
        <v>121931.42161706185</v>
      </c>
      <c r="I18" s="103">
        <v>106142.46325854256</v>
      </c>
    </row>
    <row r="19" spans="1:9">
      <c r="A19" s="34"/>
      <c r="B19" s="34" t="s">
        <v>126</v>
      </c>
      <c r="C19" s="28">
        <v>0.15786664379952903</v>
      </c>
      <c r="D19" s="145">
        <v>0.15249357923857731</v>
      </c>
      <c r="E19" s="145">
        <v>0.16129948117299878</v>
      </c>
      <c r="F19" s="4"/>
      <c r="G19" s="101">
        <v>158500.21376598804</v>
      </c>
      <c r="H19" s="103">
        <v>78412.232666649259</v>
      </c>
      <c r="I19" s="103">
        <v>78326.133635176899</v>
      </c>
    </row>
    <row r="20" spans="1:9">
      <c r="A20" s="34"/>
      <c r="B20" s="34" t="s">
        <v>127</v>
      </c>
      <c r="C20" s="28">
        <v>0.17512603445905811</v>
      </c>
      <c r="D20" s="145">
        <v>0.17501279588545715</v>
      </c>
      <c r="E20" s="145">
        <v>0.17367105073693703</v>
      </c>
      <c r="F20" s="4"/>
      <c r="G20" s="101">
        <v>176828.08114203188</v>
      </c>
      <c r="H20" s="103">
        <v>90539.496159334914</v>
      </c>
      <c r="I20" s="103">
        <v>85054.320856172926</v>
      </c>
    </row>
    <row r="21" spans="1:9">
      <c r="A21" s="34" t="s">
        <v>69</v>
      </c>
      <c r="B21" s="34"/>
      <c r="C21" s="28"/>
      <c r="D21" s="145"/>
      <c r="E21" s="145"/>
      <c r="F21" s="4"/>
      <c r="G21" s="101"/>
      <c r="H21" s="103"/>
      <c r="I21" s="103"/>
    </row>
    <row r="22" spans="1:9">
      <c r="A22" s="34"/>
      <c r="B22" s="34" t="s">
        <v>70</v>
      </c>
      <c r="C22" s="28">
        <v>0.2692226049730877</v>
      </c>
      <c r="D22" s="145">
        <v>0.26904994599069476</v>
      </c>
      <c r="E22" s="145">
        <v>0.26709088224853994</v>
      </c>
      <c r="F22" s="4"/>
      <c r="G22" s="101">
        <v>941763.00275791751</v>
      </c>
      <c r="H22" s="103">
        <v>485926.02379511105</v>
      </c>
      <c r="I22" s="103">
        <v>448829.25665915472</v>
      </c>
    </row>
    <row r="23" spans="1:9">
      <c r="A23" s="34"/>
      <c r="B23" s="34" t="s">
        <v>71</v>
      </c>
      <c r="C23" s="28">
        <v>0.31924844430451915</v>
      </c>
      <c r="D23" s="145">
        <v>0.32180464325918529</v>
      </c>
      <c r="E23" s="145">
        <v>0.31596313321937342</v>
      </c>
      <c r="F23" s="4"/>
      <c r="G23" s="101">
        <v>267787.92660403537</v>
      </c>
      <c r="H23" s="103">
        <v>138305.89896367464</v>
      </c>
      <c r="I23" s="103">
        <v>128868.83776602233</v>
      </c>
    </row>
    <row r="24" spans="1:9">
      <c r="A24" s="34"/>
      <c r="B24" s="34" t="s">
        <v>72</v>
      </c>
      <c r="C24" s="28">
        <v>0.31299439820923947</v>
      </c>
      <c r="D24" s="145">
        <v>0.29495635019073307</v>
      </c>
      <c r="E24" s="145">
        <v>0.32883654547235602</v>
      </c>
      <c r="F24" s="4"/>
      <c r="G24" s="101">
        <v>131976.79846873239</v>
      </c>
      <c r="H24" s="103">
        <v>60040.481925200198</v>
      </c>
      <c r="I24" s="103">
        <v>70944.026625094557</v>
      </c>
    </row>
    <row r="25" spans="1:9">
      <c r="A25" s="34"/>
      <c r="B25" s="34" t="s">
        <v>73</v>
      </c>
      <c r="C25" s="28">
        <v>0.34279729184041857</v>
      </c>
      <c r="D25" s="145">
        <v>0.32199824935835797</v>
      </c>
      <c r="E25" s="145">
        <v>0.36281406220430101</v>
      </c>
      <c r="F25" s="4"/>
      <c r="G25" s="101">
        <v>22743.127160240289</v>
      </c>
      <c r="H25" s="103">
        <v>10476.87747246294</v>
      </c>
      <c r="I25" s="103">
        <v>12266.249687777348</v>
      </c>
    </row>
    <row r="26" spans="1:9">
      <c r="A26" s="34" t="s">
        <v>91</v>
      </c>
      <c r="B26" s="34"/>
      <c r="C26" s="28"/>
      <c r="D26" s="145"/>
      <c r="E26" s="145"/>
      <c r="F26" s="4"/>
      <c r="G26" s="101"/>
      <c r="H26" s="103"/>
      <c r="I26" s="103"/>
    </row>
    <row r="27" spans="1:9">
      <c r="A27" s="34"/>
      <c r="B27" s="34" t="s">
        <v>92</v>
      </c>
      <c r="C27" s="28">
        <v>0.29352207014221865</v>
      </c>
      <c r="D27" s="145">
        <v>0.29262257560683214</v>
      </c>
      <c r="E27" s="145">
        <v>0.29305586475768841</v>
      </c>
      <c r="F27" s="4"/>
      <c r="G27" s="101">
        <v>1193034.3467690649</v>
      </c>
      <c r="H27" s="103">
        <v>616862.8949403821</v>
      </c>
      <c r="I27" s="103">
        <v>571077.93501570052</v>
      </c>
    </row>
    <row r="28" spans="1:9">
      <c r="A28" s="34"/>
      <c r="B28" s="34" t="s">
        <v>93</v>
      </c>
      <c r="C28" s="28">
        <v>0.25193564319968431</v>
      </c>
      <c r="D28" s="145">
        <v>0.23546439588260115</v>
      </c>
      <c r="E28" s="145">
        <v>0.25916739502459291</v>
      </c>
      <c r="F28" s="4"/>
      <c r="G28" s="101">
        <v>76496.796538805283</v>
      </c>
      <c r="H28" s="103">
        <v>33626.204830922048</v>
      </c>
      <c r="I28" s="103">
        <v>40763.763435878187</v>
      </c>
    </row>
    <row r="29" spans="1:9">
      <c r="A29" s="34"/>
      <c r="B29" s="34" t="s">
        <v>94</v>
      </c>
      <c r="C29" s="28">
        <v>0.20743907585569304</v>
      </c>
      <c r="D29" s="145">
        <v>0.20018180644004593</v>
      </c>
      <c r="E29" s="145">
        <v>0.21162134822145875</v>
      </c>
      <c r="G29" s="101">
        <v>94739.711683057743</v>
      </c>
      <c r="H29" s="103">
        <v>44260.182385147004</v>
      </c>
      <c r="I29" s="103">
        <v>49066.672286470486</v>
      </c>
    </row>
    <row r="30" spans="1:9">
      <c r="A30" s="34"/>
      <c r="B30" s="34" t="s">
        <v>90</v>
      </c>
      <c r="C30" s="28">
        <v>0</v>
      </c>
      <c r="D30" s="145">
        <v>0</v>
      </c>
      <c r="E30" s="145">
        <v>0</v>
      </c>
      <c r="G30" s="101">
        <v>0</v>
      </c>
      <c r="H30" s="103">
        <v>0</v>
      </c>
      <c r="I30" s="103">
        <v>0</v>
      </c>
    </row>
    <row r="31" spans="1:9">
      <c r="A31" s="34" t="s">
        <v>128</v>
      </c>
      <c r="B31" s="34"/>
      <c r="C31" s="28"/>
      <c r="D31" s="145"/>
      <c r="E31" s="145"/>
      <c r="F31" s="4"/>
      <c r="G31" s="101"/>
      <c r="H31" s="103"/>
      <c r="I31" s="103"/>
    </row>
    <row r="32" spans="1:9">
      <c r="A32" s="34"/>
      <c r="B32" s="34" t="s">
        <v>98</v>
      </c>
      <c r="C32" s="28">
        <v>0.29883910657588769</v>
      </c>
      <c r="D32" s="145">
        <v>0.23820341643636925</v>
      </c>
      <c r="E32" s="145">
        <v>0.36720675999350988</v>
      </c>
      <c r="F32" s="4"/>
      <c r="G32" s="101">
        <v>109527.62459737557</v>
      </c>
      <c r="H32" s="103">
        <v>46728.066364589416</v>
      </c>
      <c r="I32" s="103">
        <v>61835.018680803863</v>
      </c>
    </row>
    <row r="33" spans="1:9">
      <c r="A33" s="34"/>
      <c r="B33" s="34" t="s">
        <v>99</v>
      </c>
      <c r="C33" s="28">
        <v>0.2804373348336347</v>
      </c>
      <c r="D33" s="145">
        <v>0.28440025258981194</v>
      </c>
      <c r="E33" s="145">
        <v>0.27460458709110613</v>
      </c>
      <c r="F33" s="4"/>
      <c r="G33" s="101">
        <v>1215416.2044733537</v>
      </c>
      <c r="H33" s="103">
        <v>630145.00370417663</v>
      </c>
      <c r="I33" s="103">
        <v>578264.02199485921</v>
      </c>
    </row>
    <row r="34" spans="1:9">
      <c r="A34" s="34"/>
      <c r="B34" s="34" t="s">
        <v>100</v>
      </c>
      <c r="C34" s="28">
        <v>0.31618085406023883</v>
      </c>
      <c r="D34" s="145">
        <v>0.2974856556740178</v>
      </c>
      <c r="E34" s="145">
        <v>0.32693915416547076</v>
      </c>
      <c r="F34" s="4"/>
      <c r="G34" s="101">
        <v>39327.025920198219</v>
      </c>
      <c r="H34" s="103">
        <v>17876.212087685253</v>
      </c>
      <c r="I34" s="103">
        <v>20809.33006238646</v>
      </c>
    </row>
    <row r="35" spans="1:9">
      <c r="A35" s="34" t="s">
        <v>129</v>
      </c>
      <c r="B35" s="34"/>
      <c r="C35" s="28"/>
      <c r="D35" s="145"/>
      <c r="E35" s="145"/>
      <c r="F35" s="4"/>
      <c r="G35" s="101"/>
      <c r="H35" s="103"/>
      <c r="I35" s="103"/>
    </row>
    <row r="36" spans="1:9">
      <c r="A36" s="34"/>
      <c r="B36" s="34" t="s">
        <v>102</v>
      </c>
      <c r="C36" s="28">
        <v>0.29107623592028781</v>
      </c>
      <c r="D36" s="145">
        <v>0.29652346588735812</v>
      </c>
      <c r="E36" s="145">
        <v>0.28378947920493652</v>
      </c>
      <c r="F36" s="4"/>
      <c r="G36" s="101">
        <v>1128207.7993802973</v>
      </c>
      <c r="H36" s="103">
        <v>596834.72688814544</v>
      </c>
      <c r="I36" s="103">
        <v>525994.39509320271</v>
      </c>
    </row>
    <row r="37" spans="1:9">
      <c r="A37" s="34"/>
      <c r="B37" s="34" t="s">
        <v>103</v>
      </c>
      <c r="C37" s="28">
        <v>0.2445837295348415</v>
      </c>
      <c r="D37" s="145">
        <v>0.21157197650568338</v>
      </c>
      <c r="E37" s="145">
        <v>0.27334878771584609</v>
      </c>
      <c r="F37" s="4"/>
      <c r="G37" s="101">
        <v>220771.69526486396</v>
      </c>
      <c r="H37" s="103">
        <v>92581.408886379344</v>
      </c>
      <c r="I37" s="103">
        <v>125927.17077835868</v>
      </c>
    </row>
    <row r="38" spans="1:9">
      <c r="A38" s="34" t="s">
        <v>105</v>
      </c>
      <c r="B38" s="34"/>
      <c r="C38" s="28"/>
      <c r="D38" s="145"/>
      <c r="E38" s="145"/>
      <c r="G38" s="101"/>
      <c r="H38" s="103"/>
      <c r="I38" s="103"/>
    </row>
    <row r="39" spans="1:9">
      <c r="A39" s="34"/>
      <c r="B39" s="36" t="s">
        <v>106</v>
      </c>
      <c r="C39" s="28">
        <v>0.42052779612984847</v>
      </c>
      <c r="D39" s="145">
        <v>0.42442046852053977</v>
      </c>
      <c r="E39" s="145">
        <v>0.41076653362843063</v>
      </c>
      <c r="F39" s="4"/>
      <c r="G39" s="101">
        <v>105748.73325031102</v>
      </c>
      <c r="H39" s="103">
        <v>50211.296623092145</v>
      </c>
      <c r="I39" s="103">
        <v>53113.367387081897</v>
      </c>
    </row>
    <row r="40" spans="1:9">
      <c r="A40" s="34"/>
      <c r="B40" s="34" t="s">
        <v>107</v>
      </c>
      <c r="C40" s="28">
        <v>0.30687486062010449</v>
      </c>
      <c r="D40" s="145">
        <v>0.29879849287123345</v>
      </c>
      <c r="E40" s="145">
        <v>0.31095209760479542</v>
      </c>
      <c r="F40" s="4"/>
      <c r="G40" s="101">
        <v>120243.57393825996</v>
      </c>
      <c r="H40" s="103">
        <v>57771.867265667352</v>
      </c>
      <c r="I40" s="103">
        <v>61379.951361917505</v>
      </c>
    </row>
    <row r="41" spans="1:9">
      <c r="A41" s="34"/>
      <c r="B41" s="34" t="s">
        <v>108</v>
      </c>
      <c r="C41" s="28">
        <v>0.32751116000623964</v>
      </c>
      <c r="D41" s="145">
        <v>0.33834761497038252</v>
      </c>
      <c r="E41" s="145">
        <v>0.31428544018462334</v>
      </c>
      <c r="F41" s="4"/>
      <c r="G41" s="101">
        <v>212220.50646274351</v>
      </c>
      <c r="H41" s="103">
        <v>111177.04552430571</v>
      </c>
      <c r="I41" s="103">
        <v>99363.17659959475</v>
      </c>
    </row>
    <row r="42" spans="1:9">
      <c r="A42" s="34"/>
      <c r="B42" s="34" t="s">
        <v>109</v>
      </c>
      <c r="C42" s="28">
        <v>0.28539287228449117</v>
      </c>
      <c r="D42" s="145">
        <v>0.27826480075751814</v>
      </c>
      <c r="E42" s="145">
        <v>0.2933512015916197</v>
      </c>
      <c r="F42" s="4"/>
      <c r="G42" s="101">
        <v>385091.14720673027</v>
      </c>
      <c r="H42" s="103">
        <v>194662.44158834693</v>
      </c>
      <c r="I42" s="103">
        <v>189930.93745646061</v>
      </c>
    </row>
    <row r="43" spans="1:9">
      <c r="A43" s="34"/>
      <c r="B43" s="34" t="s">
        <v>110</v>
      </c>
      <c r="C43" s="28">
        <v>0.27276453119586552</v>
      </c>
      <c r="D43" s="145">
        <v>0.27468147139877691</v>
      </c>
      <c r="E43" s="145">
        <v>0.26950793086486424</v>
      </c>
      <c r="F43" s="4"/>
      <c r="G43" s="101">
        <v>229692.31149284504</v>
      </c>
      <c r="H43" s="103">
        <v>124744.66825851635</v>
      </c>
      <c r="I43" s="103">
        <v>104285.45862250483</v>
      </c>
    </row>
    <row r="44" spans="1:9">
      <c r="A44" s="34"/>
      <c r="B44" s="34" t="s">
        <v>111</v>
      </c>
      <c r="C44" s="28">
        <v>0.20700359301870422</v>
      </c>
      <c r="D44" s="145">
        <v>0.20568548824041247</v>
      </c>
      <c r="E44" s="145">
        <v>0.20864768781454329</v>
      </c>
      <c r="F44" s="4"/>
      <c r="G44" s="101">
        <v>194811.1513566967</v>
      </c>
      <c r="H44" s="103">
        <v>98726.701851915117</v>
      </c>
      <c r="I44" s="103">
        <v>96084.449504781413</v>
      </c>
    </row>
    <row r="45" spans="1:9">
      <c r="A45" s="34"/>
      <c r="B45" s="34" t="s">
        <v>112</v>
      </c>
      <c r="C45" s="28">
        <v>0.29036843541225676</v>
      </c>
      <c r="D45" s="145">
        <v>0.2901391743958513</v>
      </c>
      <c r="E45" s="145">
        <v>0.28363464189059356</v>
      </c>
      <c r="F45" s="4"/>
      <c r="G45" s="101">
        <v>116463.43128334171</v>
      </c>
      <c r="H45" s="103">
        <v>57455.261044607127</v>
      </c>
      <c r="I45" s="103">
        <v>56751.02980570971</v>
      </c>
    </row>
    <row r="46" spans="1:9">
      <c r="A46" s="118"/>
      <c r="B46" s="118"/>
      <c r="C46" s="119"/>
      <c r="D46" s="119"/>
      <c r="E46" s="119"/>
      <c r="F46" s="119"/>
      <c r="G46" s="157"/>
      <c r="H46" s="157"/>
      <c r="I46" s="157"/>
    </row>
    <row r="47" spans="1:9">
      <c r="A47" s="16" t="s">
        <v>130</v>
      </c>
    </row>
    <row r="48" spans="1:9">
      <c r="A48" s="24" t="s">
        <v>117</v>
      </c>
    </row>
    <row r="49" spans="1:1">
      <c r="A49" s="16" t="s">
        <v>118</v>
      </c>
    </row>
    <row r="50" spans="1:1">
      <c r="A50" s="16" t="s">
        <v>119</v>
      </c>
    </row>
    <row r="51" spans="1:1">
      <c r="A51" s="24" t="s">
        <v>120</v>
      </c>
    </row>
    <row r="52" spans="1:1">
      <c r="A52" s="16" t="s">
        <v>121</v>
      </c>
    </row>
    <row r="53" spans="1:1">
      <c r="A53" s="16" t="s">
        <v>122</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G15&lt;'38'!$D$104</xm:f>
            <x14:dxf>
              <font>
                <color rgb="FFFF0000"/>
              </font>
              <numFmt numFmtId="172" formatCode="\*\*0.0%"/>
            </x14:dxf>
          </x14:cfRule>
          <x14:cfRule type="expression" priority="4" id="{42052122-4EA4-498E-9ADD-49D578608FED}">
            <xm:f>G15&lt;'38'!$D$103</xm:f>
            <x14:dxf>
              <font>
                <color rgb="FF00B050"/>
              </font>
              <numFmt numFmtId="171" formatCode="\*0.0%"/>
            </x14:dxf>
          </x14:cfRule>
          <xm:sqref>C15:E45</xm:sqref>
        </x14:conditionalFormatting>
        <x14:conditionalFormatting xmlns:xm="http://schemas.microsoft.com/office/excel/2006/main">
          <x14:cfRule type="expression" priority="1" id="{98A1B401-25C2-444C-8AA6-C23918A15B5C}">
            <xm:f>G15&lt;'38'!$D$104</xm:f>
            <x14:dxf>
              <font>
                <color rgb="FFFF0000"/>
              </font>
              <numFmt numFmtId="174" formatCode="\*\*#,###,###,##0"/>
            </x14:dxf>
          </x14:cfRule>
          <x14:cfRule type="expression" priority="2" id="{0EE1389D-9C9E-4A71-917B-BE1A01213FE1}">
            <xm:f>G15&lt;'38'!$D$103</xm:f>
            <x14:dxf>
              <font>
                <color rgb="FF00B050"/>
              </font>
              <numFmt numFmtId="173" formatCode="\*#,###,###,##0"/>
            </x14:dxf>
          </x14:cfRule>
          <xm:sqref>G15:I45</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96B1A-13DB-43D0-9705-572C4F99C374}">
  <dimension ref="A1:T102"/>
  <sheetViews>
    <sheetView workbookViewId="0">
      <pane xSplit="2" ySplit="15" topLeftCell="C16"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3" width="15.140625" style="2" customWidth="1"/>
    <col min="4" max="4" width="15.140625" style="1" customWidth="1"/>
    <col min="5" max="5" width="3.5703125" style="1" customWidth="1"/>
    <col min="6" max="6" width="15.140625" style="2" customWidth="1"/>
    <col min="7" max="7" width="15.140625" style="1" customWidth="1"/>
    <col min="8" max="8" width="6.28515625" style="1" customWidth="1"/>
    <col min="9" max="9" width="15.140625" style="2" customWidth="1"/>
    <col min="10" max="10" width="15.140625" style="1" customWidth="1"/>
    <col min="11" max="11" width="3.5703125" style="1" customWidth="1"/>
    <col min="12" max="12" width="15.140625" style="2" customWidth="1"/>
    <col min="13" max="13" width="15.140625" style="1" customWidth="1"/>
    <col min="14" max="14" width="6.28515625" style="1" customWidth="1"/>
    <col min="15" max="15" width="15.140625" style="2" customWidth="1"/>
    <col min="16" max="16" width="15.140625" style="1" customWidth="1"/>
    <col min="17" max="17" width="3.5703125" style="1" customWidth="1"/>
    <col min="18" max="18" width="15.140625" style="2" customWidth="1"/>
    <col min="19" max="19" width="15.140625" style="1" customWidth="1"/>
    <col min="20" max="16384" width="8.85546875" style="1"/>
  </cols>
  <sheetData>
    <row r="1" spans="1:20">
      <c r="A1" s="29"/>
      <c r="B1" s="29"/>
      <c r="C1" s="30"/>
      <c r="D1" s="29"/>
      <c r="E1" s="29"/>
      <c r="F1" s="30"/>
      <c r="G1" s="29"/>
      <c r="H1" s="29"/>
      <c r="I1" s="30"/>
      <c r="J1" s="29"/>
      <c r="K1" s="29"/>
      <c r="L1" s="30"/>
      <c r="M1" s="29"/>
      <c r="N1" s="29"/>
      <c r="O1" s="30"/>
      <c r="P1" s="29"/>
      <c r="Q1" s="29"/>
      <c r="R1" s="30"/>
      <c r="S1" s="29"/>
    </row>
    <row r="2" spans="1:20">
      <c r="A2" s="29"/>
      <c r="B2" s="29"/>
      <c r="C2" s="30"/>
      <c r="D2" s="29"/>
      <c r="E2" s="29"/>
      <c r="F2" s="30"/>
      <c r="G2" s="29"/>
      <c r="H2" s="29"/>
      <c r="I2" s="30"/>
      <c r="J2" s="29"/>
      <c r="K2" s="29"/>
      <c r="L2" s="30"/>
      <c r="M2" s="29"/>
      <c r="N2" s="29"/>
      <c r="O2" s="30"/>
      <c r="P2" s="29"/>
      <c r="Q2" s="29"/>
      <c r="R2" s="30"/>
      <c r="S2" s="29"/>
    </row>
    <row r="3" spans="1:20">
      <c r="A3" s="29"/>
      <c r="B3" s="29"/>
      <c r="C3" s="30"/>
      <c r="D3" s="29"/>
      <c r="E3" s="29"/>
      <c r="F3" s="30"/>
      <c r="G3" s="29"/>
      <c r="H3" s="29"/>
      <c r="I3" s="30"/>
      <c r="J3" s="29"/>
      <c r="K3" s="29"/>
      <c r="L3" s="30"/>
      <c r="M3" s="29"/>
      <c r="N3" s="29"/>
      <c r="O3" s="30"/>
      <c r="P3" s="29"/>
      <c r="Q3" s="29"/>
      <c r="R3" s="30"/>
      <c r="S3" s="29"/>
    </row>
    <row r="4" spans="1:20">
      <c r="A4" s="29"/>
      <c r="B4" s="29"/>
      <c r="C4" s="30"/>
      <c r="D4" s="29"/>
      <c r="E4" s="29"/>
      <c r="F4" s="30"/>
      <c r="G4" s="29"/>
      <c r="H4" s="29"/>
      <c r="I4" s="30"/>
      <c r="J4" s="29"/>
      <c r="K4" s="29"/>
      <c r="L4" s="30"/>
      <c r="M4" s="29"/>
      <c r="N4" s="29"/>
      <c r="O4" s="30"/>
      <c r="P4" s="29"/>
      <c r="Q4" s="29"/>
      <c r="R4" s="30"/>
      <c r="S4" s="29"/>
    </row>
    <row r="5" spans="1:20">
      <c r="A5" s="29"/>
      <c r="B5" s="29"/>
      <c r="C5" s="30"/>
      <c r="D5" s="29"/>
      <c r="E5" s="29"/>
      <c r="F5" s="30"/>
      <c r="G5" s="29"/>
      <c r="H5" s="29"/>
      <c r="I5" s="30"/>
      <c r="J5" s="29"/>
      <c r="K5" s="29"/>
      <c r="L5" s="30"/>
      <c r="M5" s="29"/>
      <c r="N5" s="29"/>
      <c r="O5" s="30"/>
      <c r="P5" s="29"/>
      <c r="Q5" s="29"/>
      <c r="R5" s="30"/>
      <c r="S5" s="29"/>
    </row>
    <row r="6" spans="1:20">
      <c r="A6" s="29"/>
      <c r="B6" s="29"/>
      <c r="C6" s="30"/>
      <c r="D6" s="29"/>
      <c r="E6" s="29"/>
      <c r="F6" s="30"/>
      <c r="G6" s="29"/>
      <c r="H6" s="29"/>
      <c r="I6" s="30"/>
      <c r="J6" s="29"/>
      <c r="K6" s="29"/>
      <c r="L6" s="30"/>
      <c r="M6" s="29"/>
      <c r="N6" s="29"/>
      <c r="O6" s="30"/>
      <c r="P6" s="29"/>
      <c r="Q6" s="29"/>
      <c r="R6" s="30"/>
      <c r="S6" s="29"/>
    </row>
    <row r="7" spans="1:20">
      <c r="A7" s="29"/>
      <c r="B7" s="29"/>
      <c r="C7" s="30"/>
      <c r="D7" s="29"/>
      <c r="E7" s="29"/>
      <c r="F7" s="30"/>
      <c r="G7" s="29"/>
      <c r="H7" s="29"/>
      <c r="I7" s="30"/>
      <c r="J7" s="29"/>
      <c r="K7" s="29"/>
      <c r="L7" s="30"/>
      <c r="M7" s="29"/>
      <c r="N7" s="29"/>
      <c r="O7" s="30"/>
      <c r="P7" s="29"/>
      <c r="Q7" s="29"/>
      <c r="R7" s="30"/>
      <c r="S7" s="29"/>
    </row>
    <row r="8" spans="1:20">
      <c r="A8" s="30" t="s">
        <v>0</v>
      </c>
      <c r="B8" s="29"/>
      <c r="C8" s="29"/>
      <c r="D8" s="29"/>
      <c r="E8" s="29"/>
      <c r="F8" s="30"/>
      <c r="G8" s="29"/>
      <c r="H8" s="29"/>
      <c r="I8" s="30"/>
      <c r="J8" s="29"/>
      <c r="K8" s="29"/>
      <c r="L8" s="30"/>
      <c r="M8" s="29"/>
      <c r="N8" s="29"/>
      <c r="O8" s="30"/>
      <c r="P8" s="29"/>
      <c r="Q8" s="29"/>
      <c r="R8" s="30"/>
      <c r="S8" s="29"/>
    </row>
    <row r="9" spans="1:20">
      <c r="A9" s="29" t="s">
        <v>1</v>
      </c>
      <c r="B9" s="90" t="s">
        <v>2</v>
      </c>
      <c r="C9" s="151"/>
      <c r="D9" s="107" t="s">
        <v>146</v>
      </c>
      <c r="E9" s="29"/>
      <c r="F9" s="30"/>
      <c r="G9" s="29"/>
      <c r="H9" s="29"/>
      <c r="I9" s="30"/>
      <c r="J9" s="29"/>
      <c r="K9" s="29"/>
      <c r="L9" s="30"/>
      <c r="M9" s="29"/>
      <c r="N9" s="29"/>
      <c r="O9" s="30"/>
      <c r="P9" s="29"/>
      <c r="Q9" s="29"/>
      <c r="R9" s="30"/>
      <c r="S9" s="29"/>
    </row>
    <row r="10" spans="1:20">
      <c r="A10" s="29" t="s">
        <v>49</v>
      </c>
      <c r="B10" s="31">
        <v>32</v>
      </c>
      <c r="C10" s="151"/>
      <c r="D10" s="29"/>
      <c r="E10" s="29"/>
      <c r="F10" s="30"/>
      <c r="G10" s="29"/>
      <c r="H10" s="29"/>
      <c r="I10" s="30"/>
      <c r="J10" s="29"/>
      <c r="K10" s="29"/>
      <c r="L10" s="30"/>
      <c r="M10" s="29"/>
      <c r="N10" s="29"/>
      <c r="O10" s="30"/>
      <c r="P10" s="29"/>
      <c r="Q10" s="29"/>
      <c r="R10" s="30"/>
      <c r="S10" s="29"/>
    </row>
    <row r="11" spans="1:20">
      <c r="A11" s="29" t="s">
        <v>3</v>
      </c>
      <c r="B11" s="30" t="s">
        <v>8</v>
      </c>
      <c r="C11" s="30"/>
      <c r="D11" s="29"/>
      <c r="E11" s="29"/>
      <c r="F11" s="30"/>
      <c r="G11" s="29"/>
      <c r="H11" s="29"/>
      <c r="I11" s="30"/>
      <c r="J11" s="29"/>
      <c r="K11" s="29"/>
      <c r="L11" s="30"/>
      <c r="M11" s="29"/>
      <c r="N11" s="29"/>
      <c r="O11" s="30"/>
      <c r="P11" s="29"/>
      <c r="Q11" s="29"/>
      <c r="R11" s="30"/>
      <c r="S11" s="29"/>
    </row>
    <row r="12" spans="1:20">
      <c r="A12" s="116" t="s">
        <v>50</v>
      </c>
      <c r="B12" s="117" t="s">
        <v>51</v>
      </c>
      <c r="C12" s="117"/>
      <c r="D12" s="116"/>
      <c r="E12" s="116"/>
      <c r="F12" s="117"/>
      <c r="G12" s="116"/>
      <c r="H12" s="116"/>
      <c r="I12" s="117"/>
      <c r="J12" s="116"/>
      <c r="K12" s="116"/>
      <c r="L12" s="117"/>
      <c r="M12" s="116"/>
      <c r="N12" s="116"/>
      <c r="O12" s="117"/>
      <c r="P12" s="116"/>
      <c r="Q12" s="116"/>
      <c r="R12" s="117"/>
      <c r="S12" s="116"/>
    </row>
    <row r="13" spans="1:20" s="95" customFormat="1" ht="24.95" customHeight="1">
      <c r="A13" s="93"/>
      <c r="B13" s="93"/>
      <c r="C13" s="182" t="s">
        <v>52</v>
      </c>
      <c r="D13" s="182"/>
      <c r="E13" s="182"/>
      <c r="F13" s="182"/>
      <c r="G13" s="182"/>
      <c r="H13" s="94"/>
      <c r="I13" s="182" t="s">
        <v>53</v>
      </c>
      <c r="J13" s="182"/>
      <c r="K13" s="182"/>
      <c r="L13" s="182"/>
      <c r="M13" s="182"/>
      <c r="N13" s="94"/>
      <c r="O13" s="182" t="s">
        <v>54</v>
      </c>
      <c r="P13" s="182"/>
      <c r="Q13" s="182"/>
      <c r="R13" s="182"/>
      <c r="S13" s="182"/>
    </row>
    <row r="14" spans="1:20" s="2" customFormat="1">
      <c r="A14" s="33"/>
      <c r="B14" s="33"/>
      <c r="C14" s="181" t="s">
        <v>55</v>
      </c>
      <c r="D14" s="181"/>
      <c r="E14" s="57"/>
      <c r="F14" s="181" t="s">
        <v>56</v>
      </c>
      <c r="G14" s="181"/>
      <c r="H14" s="65"/>
      <c r="I14" s="181" t="s">
        <v>55</v>
      </c>
      <c r="J14" s="181"/>
      <c r="K14" s="57"/>
      <c r="L14" s="181" t="s">
        <v>56</v>
      </c>
      <c r="M14" s="181"/>
      <c r="N14" s="65"/>
      <c r="O14" s="181" t="s">
        <v>55</v>
      </c>
      <c r="P14" s="181"/>
      <c r="Q14" s="57"/>
      <c r="R14" s="181" t="s">
        <v>56</v>
      </c>
      <c r="S14" s="181"/>
    </row>
    <row r="15" spans="1:20" s="2" customFormat="1">
      <c r="A15" s="33"/>
      <c r="B15" s="33"/>
      <c r="C15" s="37" t="s">
        <v>471</v>
      </c>
      <c r="D15" s="37" t="s">
        <v>472</v>
      </c>
      <c r="E15" s="37"/>
      <c r="F15" s="37" t="s">
        <v>471</v>
      </c>
      <c r="G15" s="37" t="s">
        <v>472</v>
      </c>
      <c r="H15" s="37"/>
      <c r="I15" s="37" t="s">
        <v>471</v>
      </c>
      <c r="J15" s="37" t="s">
        <v>472</v>
      </c>
      <c r="K15" s="37"/>
      <c r="L15" s="37" t="s">
        <v>471</v>
      </c>
      <c r="M15" s="37" t="s">
        <v>472</v>
      </c>
      <c r="N15" s="37"/>
      <c r="O15" s="37" t="s">
        <v>471</v>
      </c>
      <c r="P15" s="37" t="s">
        <v>472</v>
      </c>
      <c r="Q15" s="37"/>
      <c r="R15" s="37" t="s">
        <v>471</v>
      </c>
      <c r="S15" s="37" t="s">
        <v>472</v>
      </c>
    </row>
    <row r="16" spans="1:20">
      <c r="A16" s="180" t="s">
        <v>57</v>
      </c>
      <c r="B16" s="180"/>
      <c r="C16" s="28">
        <v>0.84147262887965713</v>
      </c>
      <c r="D16" s="28">
        <v>0.85544795004655749</v>
      </c>
      <c r="E16" s="28"/>
      <c r="F16" s="101">
        <v>18427272.1147011</v>
      </c>
      <c r="G16" s="101">
        <v>19187077.863524184</v>
      </c>
      <c r="H16" s="47"/>
      <c r="I16" s="28">
        <v>0.65960373750650081</v>
      </c>
      <c r="J16" s="28">
        <v>0.67738112330035094</v>
      </c>
      <c r="K16" s="28"/>
      <c r="L16" s="101">
        <v>14444554.869347349</v>
      </c>
      <c r="M16" s="101">
        <v>15193167.924872523</v>
      </c>
      <c r="N16" s="47"/>
      <c r="O16" s="28">
        <v>0.4762795164869969</v>
      </c>
      <c r="P16" s="28">
        <v>0.49015856907536592</v>
      </c>
      <c r="Q16" s="28"/>
      <c r="R16" s="101">
        <v>10429967.596984468</v>
      </c>
      <c r="S16" s="101">
        <v>10993901.650954679</v>
      </c>
      <c r="T16" s="2"/>
    </row>
    <row r="17" spans="1:20">
      <c r="A17" s="152" t="s">
        <v>473</v>
      </c>
      <c r="B17" s="34"/>
      <c r="C17" s="28"/>
      <c r="D17" s="28"/>
      <c r="E17" s="28"/>
      <c r="F17" s="101"/>
      <c r="G17" s="101"/>
      <c r="H17" s="47"/>
      <c r="I17" s="28"/>
      <c r="J17" s="28"/>
      <c r="K17" s="28"/>
      <c r="L17" s="101"/>
      <c r="M17" s="101"/>
      <c r="N17" s="47"/>
      <c r="O17" s="28"/>
      <c r="P17" s="28"/>
      <c r="Q17" s="28"/>
      <c r="R17" s="101"/>
      <c r="S17" s="101"/>
      <c r="T17" s="2"/>
    </row>
    <row r="18" spans="1:20">
      <c r="A18" s="152"/>
      <c r="B18" s="152" t="s">
        <v>474</v>
      </c>
      <c r="C18" s="102">
        <v>0.85311692490977376</v>
      </c>
      <c r="D18" s="102">
        <v>0.85916717511669649</v>
      </c>
      <c r="E18" s="102"/>
      <c r="F18" s="103">
        <v>9148365.7838083506</v>
      </c>
      <c r="G18" s="103">
        <v>9431927.7987960801</v>
      </c>
      <c r="H18" s="153"/>
      <c r="I18" s="102">
        <v>0.66525879261641419</v>
      </c>
      <c r="J18" s="102">
        <v>0.67207792949722456</v>
      </c>
      <c r="K18" s="102"/>
      <c r="L18" s="103">
        <v>7133876.4922443908</v>
      </c>
      <c r="M18" s="103">
        <v>7378064.1181050595</v>
      </c>
      <c r="N18" s="153"/>
      <c r="O18" s="102">
        <v>0.47605991787775886</v>
      </c>
      <c r="P18" s="102">
        <v>0.47802590024665148</v>
      </c>
      <c r="Q18" s="102"/>
      <c r="R18" s="103">
        <v>5105009.8018112909</v>
      </c>
      <c r="S18" s="103">
        <v>5247763.0752926739</v>
      </c>
      <c r="T18" s="2"/>
    </row>
    <row r="19" spans="1:20">
      <c r="A19" s="150"/>
      <c r="B19" s="152" t="s">
        <v>475</v>
      </c>
      <c r="C19" s="102">
        <v>0.83112653099287792</v>
      </c>
      <c r="D19" s="102">
        <v>0.85324878371030721</v>
      </c>
      <c r="E19" s="102"/>
      <c r="F19" s="103">
        <v>9174378.5255314577</v>
      </c>
      <c r="G19" s="103">
        <v>9661932.2049446106</v>
      </c>
      <c r="H19" s="153"/>
      <c r="I19" s="102">
        <v>0.65476106021976965</v>
      </c>
      <c r="J19" s="102">
        <v>0.68397656546777885</v>
      </c>
      <c r="K19" s="102"/>
      <c r="L19" s="103">
        <v>7227570.7563544735</v>
      </c>
      <c r="M19" s="103">
        <v>7745144.5949722566</v>
      </c>
      <c r="N19" s="153"/>
      <c r="O19" s="102">
        <v>0.47716941313264039</v>
      </c>
      <c r="P19" s="102">
        <v>0.50306993631010954</v>
      </c>
      <c r="Q19" s="102"/>
      <c r="R19" s="103">
        <v>5267227.8571769688</v>
      </c>
      <c r="S19" s="103">
        <v>5696612.4203985371</v>
      </c>
      <c r="T19" s="2"/>
    </row>
    <row r="20" spans="1:20">
      <c r="A20" s="34" t="s">
        <v>61</v>
      </c>
      <c r="B20" s="34"/>
      <c r="C20" s="102"/>
      <c r="D20" s="102"/>
      <c r="F20" s="103"/>
      <c r="G20" s="103"/>
      <c r="H20" s="154"/>
      <c r="I20" s="102"/>
      <c r="J20" s="102"/>
      <c r="L20" s="103"/>
      <c r="M20" s="103"/>
      <c r="N20" s="154"/>
      <c r="O20" s="102"/>
      <c r="P20" s="102"/>
      <c r="R20" s="103"/>
      <c r="S20" s="103"/>
      <c r="T20" s="2"/>
    </row>
    <row r="21" spans="1:20">
      <c r="A21" s="34"/>
      <c r="B21" s="34" t="s">
        <v>62</v>
      </c>
      <c r="C21" s="102">
        <v>0.84234942949248359</v>
      </c>
      <c r="D21" s="102">
        <v>0.84811698202841401</v>
      </c>
      <c r="E21" s="102"/>
      <c r="F21" s="103">
        <v>816985.03464597429</v>
      </c>
      <c r="G21" s="103">
        <v>847603.32237604295</v>
      </c>
      <c r="H21" s="153"/>
      <c r="I21" s="102">
        <v>0.66107823688365164</v>
      </c>
      <c r="J21" s="102">
        <v>0.68089932378917839</v>
      </c>
      <c r="K21" s="102"/>
      <c r="L21" s="103">
        <v>641172.1874014861</v>
      </c>
      <c r="M21" s="103">
        <v>680486.93903876247</v>
      </c>
      <c r="N21" s="153"/>
      <c r="O21" s="102">
        <v>0.46773729057075897</v>
      </c>
      <c r="P21" s="102">
        <v>0.4945875528109539</v>
      </c>
      <c r="Q21" s="102"/>
      <c r="R21" s="103">
        <v>453653.02469831548</v>
      </c>
      <c r="S21" s="103">
        <v>494288.00725789083</v>
      </c>
    </row>
    <row r="22" spans="1:20">
      <c r="A22" s="34"/>
      <c r="B22" s="34" t="s">
        <v>63</v>
      </c>
      <c r="C22" s="102">
        <v>0.87443737480058781</v>
      </c>
      <c r="D22" s="102">
        <v>0.87778332109952784</v>
      </c>
      <c r="E22" s="102"/>
      <c r="F22" s="103">
        <v>2060811.5649451402</v>
      </c>
      <c r="G22" s="103">
        <v>2148288.6440141289</v>
      </c>
      <c r="H22" s="153"/>
      <c r="I22" s="102">
        <v>0.67284752122081826</v>
      </c>
      <c r="J22" s="102">
        <v>0.67670226093190744</v>
      </c>
      <c r="K22" s="102"/>
      <c r="L22" s="103">
        <v>1585718.9927326064</v>
      </c>
      <c r="M22" s="103">
        <v>1656162.4578577161</v>
      </c>
      <c r="N22" s="153"/>
      <c r="O22" s="102">
        <v>0.480874032654868</v>
      </c>
      <c r="P22" s="102">
        <v>0.47063704561289627</v>
      </c>
      <c r="Q22" s="102"/>
      <c r="R22" s="103">
        <v>1133289.5829194752</v>
      </c>
      <c r="S22" s="103">
        <v>1151838.0404814102</v>
      </c>
    </row>
    <row r="23" spans="1:20">
      <c r="A23" s="34"/>
      <c r="B23" s="34" t="s">
        <v>64</v>
      </c>
      <c r="C23" s="102">
        <v>0.89238386935949676</v>
      </c>
      <c r="D23" s="102">
        <v>0.89908487785021851</v>
      </c>
      <c r="E23" s="102"/>
      <c r="F23" s="103">
        <v>3481225.7254564241</v>
      </c>
      <c r="G23" s="103">
        <v>3624033.8094432447</v>
      </c>
      <c r="H23" s="153"/>
      <c r="I23" s="102">
        <v>0.67268500451015056</v>
      </c>
      <c r="J23" s="102">
        <v>0.69141918264419255</v>
      </c>
      <c r="K23" s="102"/>
      <c r="L23" s="103">
        <v>2624171.5289075063</v>
      </c>
      <c r="M23" s="103">
        <v>2786974.3515112321</v>
      </c>
      <c r="N23" s="153"/>
      <c r="O23" s="102">
        <v>0.4726698012656364</v>
      </c>
      <c r="P23" s="102">
        <v>0.49220152641242459</v>
      </c>
      <c r="Q23" s="102"/>
      <c r="R23" s="103">
        <v>1843904.0958834623</v>
      </c>
      <c r="S23" s="103">
        <v>1983967.2724151418</v>
      </c>
    </row>
    <row r="24" spans="1:20">
      <c r="A24" s="34"/>
      <c r="B24" s="34" t="s">
        <v>65</v>
      </c>
      <c r="C24" s="102">
        <v>0.87558279183213306</v>
      </c>
      <c r="D24" s="102">
        <v>0.88785080357180457</v>
      </c>
      <c r="E24" s="102"/>
      <c r="F24" s="103">
        <v>3258521.5604865877</v>
      </c>
      <c r="G24" s="103">
        <v>3404434.8230936211</v>
      </c>
      <c r="H24" s="153"/>
      <c r="I24" s="102">
        <v>0.65869622372121284</v>
      </c>
      <c r="J24" s="102">
        <v>0.67967720821742039</v>
      </c>
      <c r="K24" s="102"/>
      <c r="L24" s="103">
        <v>2451368.2393362666</v>
      </c>
      <c r="M24" s="103">
        <v>2606199.9908200819</v>
      </c>
      <c r="N24" s="153"/>
      <c r="O24" s="102">
        <v>0.44894601861043404</v>
      </c>
      <c r="P24" s="102">
        <v>0.47000401718279256</v>
      </c>
      <c r="Q24" s="102"/>
      <c r="R24" s="103">
        <v>1670773.2207432189</v>
      </c>
      <c r="S24" s="103">
        <v>1802215.0080326919</v>
      </c>
    </row>
    <row r="25" spans="1:20">
      <c r="A25" s="34"/>
      <c r="B25" s="34" t="s">
        <v>66</v>
      </c>
      <c r="C25" s="102">
        <v>0.86410524269851319</v>
      </c>
      <c r="D25" s="102">
        <v>0.88258653404143272</v>
      </c>
      <c r="E25" s="102"/>
      <c r="F25" s="103">
        <v>2868387.6268386291</v>
      </c>
      <c r="G25" s="103">
        <v>2944816.0797376256</v>
      </c>
      <c r="H25" s="153"/>
      <c r="I25" s="102">
        <v>0.68147249891776451</v>
      </c>
      <c r="J25" s="102">
        <v>0.70696146210251243</v>
      </c>
      <c r="K25" s="102"/>
      <c r="L25" s="103">
        <v>2262140.2895579031</v>
      </c>
      <c r="M25" s="103">
        <v>2358829.8722633445</v>
      </c>
      <c r="N25" s="153"/>
      <c r="O25" s="102">
        <v>0.49813335859962654</v>
      </c>
      <c r="P25" s="102">
        <v>0.51532375083006787</v>
      </c>
      <c r="Q25" s="102"/>
      <c r="R25" s="103">
        <v>1653548.076922456</v>
      </c>
      <c r="S25" s="103">
        <v>1719416.2942484338</v>
      </c>
    </row>
    <row r="26" spans="1:20">
      <c r="A26" s="34"/>
      <c r="B26" s="34" t="s">
        <v>67</v>
      </c>
      <c r="C26" s="102">
        <v>0.8422083538696401</v>
      </c>
      <c r="D26" s="102">
        <v>0.86062976948929415</v>
      </c>
      <c r="E26" s="102"/>
      <c r="F26" s="103">
        <v>2580498.3474595565</v>
      </c>
      <c r="G26" s="103">
        <v>2653284.8040556596</v>
      </c>
      <c r="H26" s="153"/>
      <c r="I26" s="102">
        <v>0.69457048278814981</v>
      </c>
      <c r="J26" s="102">
        <v>0.71129400181699609</v>
      </c>
      <c r="K26" s="102"/>
      <c r="L26" s="103">
        <v>2128140.8273782465</v>
      </c>
      <c r="M26" s="103">
        <v>2192889.0135381855</v>
      </c>
      <c r="N26" s="153"/>
      <c r="O26" s="102">
        <v>0.53315421092034032</v>
      </c>
      <c r="P26" s="102">
        <v>0.54840245142461652</v>
      </c>
      <c r="Q26" s="102"/>
      <c r="R26" s="103">
        <v>1633566.7461617147</v>
      </c>
      <c r="S26" s="103">
        <v>1690701.3241422707</v>
      </c>
    </row>
    <row r="27" spans="1:20">
      <c r="A27" s="34"/>
      <c r="B27" s="34" t="s">
        <v>68</v>
      </c>
      <c r="C27" s="102">
        <v>0.73602959898406828</v>
      </c>
      <c r="D27" s="102">
        <v>0.7588040411794027</v>
      </c>
      <c r="E27" s="102"/>
      <c r="F27" s="103">
        <v>3360842.2548689311</v>
      </c>
      <c r="G27" s="103">
        <v>3564616.380804182</v>
      </c>
      <c r="H27" s="153"/>
      <c r="I27" s="102">
        <v>0.60265778692399985</v>
      </c>
      <c r="J27" s="102">
        <v>0.61980106914701849</v>
      </c>
      <c r="K27" s="102"/>
      <c r="L27" s="103">
        <v>2751842.8040335062</v>
      </c>
      <c r="M27" s="103">
        <v>2911625.2998434603</v>
      </c>
      <c r="N27" s="153"/>
      <c r="O27" s="102">
        <v>0.44703311903102888</v>
      </c>
      <c r="P27" s="102">
        <v>0.45798713930956497</v>
      </c>
      <c r="Q27" s="102"/>
      <c r="R27" s="103">
        <v>2041232.8496558936</v>
      </c>
      <c r="S27" s="103">
        <v>2151475.7043769374</v>
      </c>
    </row>
    <row r="28" spans="1:20">
      <c r="A28" s="34" t="s">
        <v>69</v>
      </c>
      <c r="B28" s="34"/>
      <c r="C28" s="102"/>
      <c r="D28" s="102"/>
      <c r="E28" s="102"/>
      <c r="F28" s="103"/>
      <c r="G28" s="103"/>
      <c r="H28" s="153"/>
      <c r="I28" s="102"/>
      <c r="J28" s="102"/>
      <c r="K28" s="102"/>
      <c r="L28" s="103"/>
      <c r="M28" s="103"/>
      <c r="N28" s="153"/>
      <c r="O28" s="102"/>
      <c r="P28" s="102"/>
      <c r="Q28" s="102"/>
      <c r="R28" s="103"/>
      <c r="S28" s="103"/>
    </row>
    <row r="29" spans="1:20">
      <c r="A29" s="34"/>
      <c r="B29" s="34" t="s">
        <v>70</v>
      </c>
      <c r="C29" s="102">
        <v>0.85110218950924255</v>
      </c>
      <c r="D29" s="102">
        <v>0.85972101343427498</v>
      </c>
      <c r="E29" s="102"/>
      <c r="F29" s="103">
        <v>13443001.766434576</v>
      </c>
      <c r="G29" s="103">
        <v>13913584.222501742</v>
      </c>
      <c r="H29" s="153"/>
      <c r="I29" s="102">
        <v>0.67002824487809931</v>
      </c>
      <c r="J29" s="102">
        <v>0.68289905325149225</v>
      </c>
      <c r="K29" s="102"/>
      <c r="L29" s="103">
        <v>10582972.280509606</v>
      </c>
      <c r="M29" s="103">
        <v>11051926.548736993</v>
      </c>
      <c r="N29" s="153"/>
      <c r="O29" s="102">
        <v>0.48428230162673586</v>
      </c>
      <c r="P29" s="102">
        <v>0.49224079680870308</v>
      </c>
      <c r="Q29" s="102"/>
      <c r="R29" s="103">
        <v>7649149.439945736</v>
      </c>
      <c r="S29" s="103">
        <v>7966344.5200561509</v>
      </c>
    </row>
    <row r="30" spans="1:20">
      <c r="A30" s="34"/>
      <c r="B30" s="34" t="s">
        <v>71</v>
      </c>
      <c r="C30" s="102">
        <v>0.81427965774028321</v>
      </c>
      <c r="D30" s="102">
        <v>0.84484180957230492</v>
      </c>
      <c r="E30" s="102"/>
      <c r="F30" s="103">
        <v>3195065.3280883431</v>
      </c>
      <c r="G30" s="103">
        <v>3391196.5494407848</v>
      </c>
      <c r="H30" s="153"/>
      <c r="I30" s="102">
        <v>0.63162668235011799</v>
      </c>
      <c r="J30" s="102">
        <v>0.66747504532664037</v>
      </c>
      <c r="K30" s="102"/>
      <c r="L30" s="103">
        <v>2478372.7480958472</v>
      </c>
      <c r="M30" s="103">
        <v>2679246.0374273318</v>
      </c>
      <c r="N30" s="153"/>
      <c r="O30" s="102">
        <v>0.46121336194157014</v>
      </c>
      <c r="P30" s="102">
        <v>0.48632678667980239</v>
      </c>
      <c r="Q30" s="102"/>
      <c r="R30" s="103">
        <v>1809706.0482635584</v>
      </c>
      <c r="S30" s="103">
        <v>1952116.6000580406</v>
      </c>
    </row>
    <row r="31" spans="1:20">
      <c r="A31" s="34"/>
      <c r="B31" s="34" t="s">
        <v>72</v>
      </c>
      <c r="C31" s="102">
        <v>0.81986670169605413</v>
      </c>
      <c r="D31" s="102">
        <v>0.84112086479182868</v>
      </c>
      <c r="E31" s="102"/>
      <c r="F31" s="103">
        <v>1602552.1304414195</v>
      </c>
      <c r="G31" s="103">
        <v>1636733.9080027053</v>
      </c>
      <c r="H31" s="153"/>
      <c r="I31" s="102">
        <v>0.6340070886132253</v>
      </c>
      <c r="J31" s="102">
        <v>0.65515491563073514</v>
      </c>
      <c r="K31" s="102"/>
      <c r="L31" s="103">
        <v>1239261.7098245742</v>
      </c>
      <c r="M31" s="103">
        <v>1274863.4712240384</v>
      </c>
      <c r="N31" s="153"/>
      <c r="O31" s="102">
        <v>0.44545707497990661</v>
      </c>
      <c r="P31" s="102">
        <v>0.47992999950672105</v>
      </c>
      <c r="Q31" s="102"/>
      <c r="R31" s="103">
        <v>870712.49881532812</v>
      </c>
      <c r="S31" s="103">
        <v>933893.96998822747</v>
      </c>
    </row>
    <row r="32" spans="1:20">
      <c r="A32" s="34"/>
      <c r="B32" s="34" t="s">
        <v>73</v>
      </c>
      <c r="C32" s="102">
        <v>0.82743981139011324</v>
      </c>
      <c r="D32" s="102">
        <v>0.85999205487104025</v>
      </c>
      <c r="E32" s="102"/>
      <c r="F32" s="103">
        <v>186652.88973661693</v>
      </c>
      <c r="G32" s="103">
        <v>245563.18357883111</v>
      </c>
      <c r="H32" s="153"/>
      <c r="I32" s="102">
        <v>0.6381278878908393</v>
      </c>
      <c r="J32" s="102">
        <v>0.65535849838834825</v>
      </c>
      <c r="K32" s="102"/>
      <c r="L32" s="103">
        <v>143948.13091751636</v>
      </c>
      <c r="M32" s="103">
        <v>187131.86748430779</v>
      </c>
      <c r="N32" s="153"/>
      <c r="O32" s="102">
        <v>0.44507553269785732</v>
      </c>
      <c r="P32" s="102">
        <v>0.49571322522172595</v>
      </c>
      <c r="Q32" s="102"/>
      <c r="R32" s="103">
        <v>100399.60996021255</v>
      </c>
      <c r="S32" s="103">
        <v>141546.56085262433</v>
      </c>
    </row>
    <row r="33" spans="1:19">
      <c r="A33" s="34" t="s">
        <v>74</v>
      </c>
      <c r="B33" s="34"/>
      <c r="C33" s="102"/>
      <c r="D33" s="102"/>
      <c r="F33" s="103"/>
      <c r="G33" s="103"/>
      <c r="H33" s="153"/>
      <c r="I33" s="102"/>
      <c r="J33" s="102"/>
      <c r="L33" s="103"/>
      <c r="M33" s="103"/>
      <c r="N33" s="153"/>
      <c r="O33" s="102"/>
      <c r="P33" s="102"/>
      <c r="R33" s="103"/>
      <c r="S33" s="103"/>
    </row>
    <row r="34" spans="1:19">
      <c r="A34" s="34"/>
      <c r="B34" s="34" t="s">
        <v>75</v>
      </c>
      <c r="C34" s="102">
        <v>0.89798458061154862</v>
      </c>
      <c r="D34" s="102">
        <v>0.90683693278646327</v>
      </c>
      <c r="F34" s="103">
        <v>8610204.7983147092</v>
      </c>
      <c r="G34" s="103">
        <v>9182513.2668730412</v>
      </c>
      <c r="H34" s="153"/>
      <c r="I34" s="102">
        <v>0.69693349897407331</v>
      </c>
      <c r="J34" s="102">
        <v>0.71452752598183578</v>
      </c>
      <c r="L34" s="103">
        <v>6682453.4480159786</v>
      </c>
      <c r="M34" s="103">
        <v>7235213.1344204545</v>
      </c>
      <c r="N34" s="153"/>
      <c r="O34" s="102">
        <v>0.49772414938883208</v>
      </c>
      <c r="P34" s="102">
        <v>0.51209873223270608</v>
      </c>
      <c r="R34" s="103">
        <v>4772361.2986609396</v>
      </c>
      <c r="S34" s="103">
        <v>5185445.4011115702</v>
      </c>
    </row>
    <row r="35" spans="1:19">
      <c r="A35" s="34"/>
      <c r="B35" s="34" t="s">
        <v>76</v>
      </c>
      <c r="C35" s="102">
        <v>0.87038101429821457</v>
      </c>
      <c r="D35" s="102">
        <v>0.87410939369827223</v>
      </c>
      <c r="E35" s="102"/>
      <c r="F35" s="103">
        <v>2641698.5572048118</v>
      </c>
      <c r="G35" s="103">
        <v>2621325.8116023191</v>
      </c>
      <c r="H35" s="153"/>
      <c r="I35" s="102">
        <v>0.68261543139377712</v>
      </c>
      <c r="J35" s="102">
        <v>0.68595500413928634</v>
      </c>
      <c r="K35" s="102"/>
      <c r="L35" s="103">
        <v>2071810.127536671</v>
      </c>
      <c r="M35" s="103">
        <v>2057078.4056449172</v>
      </c>
      <c r="N35" s="153"/>
      <c r="O35" s="102">
        <v>0.48205428007455436</v>
      </c>
      <c r="P35" s="102">
        <v>0.49341356338252107</v>
      </c>
      <c r="Q35" s="102"/>
      <c r="R35" s="103">
        <v>1463085.7925986894</v>
      </c>
      <c r="S35" s="103">
        <v>1479674.8768675723</v>
      </c>
    </row>
    <row r="36" spans="1:19">
      <c r="A36" s="34"/>
      <c r="B36" s="34" t="s">
        <v>77</v>
      </c>
      <c r="C36" s="102">
        <v>0.8737838008949006</v>
      </c>
      <c r="D36" s="102">
        <v>0.89456559009498771</v>
      </c>
      <c r="E36" s="102"/>
      <c r="F36" s="103">
        <v>1111251.408330217</v>
      </c>
      <c r="G36" s="103">
        <v>1177753.5940009928</v>
      </c>
      <c r="H36" s="153"/>
      <c r="I36" s="102">
        <v>0.69461448894180278</v>
      </c>
      <c r="J36" s="102">
        <v>0.73069755636853972</v>
      </c>
      <c r="K36" s="102"/>
      <c r="L36" s="103">
        <v>883389.37880584039</v>
      </c>
      <c r="M36" s="103">
        <v>962010.70404397231</v>
      </c>
      <c r="N36" s="153"/>
      <c r="O36" s="102">
        <v>0.519217433499087</v>
      </c>
      <c r="P36" s="102">
        <v>0.51905419824034305</v>
      </c>
      <c r="Q36" s="102"/>
      <c r="R36" s="103">
        <v>660324.78928372927</v>
      </c>
      <c r="S36" s="103">
        <v>683368.50224023953</v>
      </c>
    </row>
    <row r="37" spans="1:19">
      <c r="A37" s="34"/>
      <c r="B37" s="35" t="s">
        <v>78</v>
      </c>
      <c r="C37" s="102">
        <v>0.88974020728546388</v>
      </c>
      <c r="D37" s="102">
        <v>0.89892205000714487</v>
      </c>
      <c r="E37" s="102"/>
      <c r="F37" s="103">
        <v>12363154.763849154</v>
      </c>
      <c r="G37" s="103">
        <v>12981592.672475941</v>
      </c>
      <c r="H37" s="153"/>
      <c r="I37" s="102">
        <v>0.69359378743927191</v>
      </c>
      <c r="J37" s="102">
        <v>0.71006837352178365</v>
      </c>
      <c r="K37" s="102"/>
      <c r="L37" s="103">
        <v>9637652.954358181</v>
      </c>
      <c r="M37" s="103">
        <v>10254302.244108966</v>
      </c>
      <c r="N37" s="153"/>
      <c r="O37" s="102">
        <v>0.49626859968853099</v>
      </c>
      <c r="P37" s="102">
        <v>0.50885270901890789</v>
      </c>
      <c r="Q37" s="102"/>
      <c r="R37" s="103">
        <v>6895771.8805434583</v>
      </c>
      <c r="S37" s="103">
        <v>7348488.7802194674</v>
      </c>
    </row>
    <row r="38" spans="1:19">
      <c r="A38" s="34"/>
      <c r="B38" s="34" t="s">
        <v>79</v>
      </c>
      <c r="C38" s="102">
        <v>0.91862447811298054</v>
      </c>
      <c r="D38" s="102">
        <v>0.90070091733644086</v>
      </c>
      <c r="E38" s="102"/>
      <c r="F38" s="103">
        <v>979416.82644558791</v>
      </c>
      <c r="G38" s="103">
        <v>1002509.7157765257</v>
      </c>
      <c r="H38" s="153"/>
      <c r="I38" s="102">
        <v>0.72439373205790536</v>
      </c>
      <c r="J38" s="102">
        <v>0.72007998960185438</v>
      </c>
      <c r="K38" s="102"/>
      <c r="L38" s="103">
        <v>772332.35892715957</v>
      </c>
      <c r="M38" s="103">
        <v>801472.68845566234</v>
      </c>
      <c r="N38" s="153"/>
      <c r="O38" s="102">
        <v>0.50744545436897415</v>
      </c>
      <c r="P38" s="102">
        <v>0.5266732603369122</v>
      </c>
      <c r="Q38" s="102"/>
      <c r="R38" s="103">
        <v>541026.96842264477</v>
      </c>
      <c r="S38" s="103">
        <v>586204.64392202988</v>
      </c>
    </row>
    <row r="39" spans="1:19">
      <c r="A39" s="34"/>
      <c r="B39" s="34" t="s">
        <v>80</v>
      </c>
      <c r="C39" s="102">
        <v>0.78266121023940205</v>
      </c>
      <c r="D39" s="102">
        <v>0.7850167686211702</v>
      </c>
      <c r="E39" s="102"/>
      <c r="F39" s="103">
        <v>665453.0472118312</v>
      </c>
      <c r="G39" s="103">
        <v>618987.36460511305</v>
      </c>
      <c r="H39" s="153"/>
      <c r="I39" s="102">
        <v>0.56288849710803346</v>
      </c>
      <c r="J39" s="102">
        <v>0.60431846048507221</v>
      </c>
      <c r="K39" s="102"/>
      <c r="L39" s="103">
        <v>478592.60270028305</v>
      </c>
      <c r="M39" s="103">
        <v>476506.37055167003</v>
      </c>
      <c r="N39" s="153"/>
      <c r="O39" s="102">
        <v>0.39553821209149442</v>
      </c>
      <c r="P39" s="102">
        <v>0.4297746901743984</v>
      </c>
      <c r="Q39" s="102"/>
      <c r="R39" s="103">
        <v>336304.01645239664</v>
      </c>
      <c r="S39" s="103">
        <v>338878.24245115835</v>
      </c>
    </row>
    <row r="40" spans="1:19">
      <c r="A40" s="34"/>
      <c r="B40" s="34" t="s">
        <v>81</v>
      </c>
      <c r="C40" s="102">
        <v>0.700357191879035</v>
      </c>
      <c r="D40" s="102">
        <v>0.74201719962769674</v>
      </c>
      <c r="E40" s="102"/>
      <c r="F40" s="103">
        <v>698946.75087193353</v>
      </c>
      <c r="G40" s="103">
        <v>754122.68480208924</v>
      </c>
      <c r="H40" s="153"/>
      <c r="I40" s="102">
        <v>0.51313081059022569</v>
      </c>
      <c r="J40" s="102">
        <v>0.53341992156152229</v>
      </c>
      <c r="K40" s="102"/>
      <c r="L40" s="103">
        <v>512097.42256243672</v>
      </c>
      <c r="M40" s="103">
        <v>542122.28985625796</v>
      </c>
      <c r="N40" s="153"/>
      <c r="O40" s="102">
        <v>0.37420392364965516</v>
      </c>
      <c r="P40" s="102">
        <v>0.38478089918467817</v>
      </c>
      <c r="Q40" s="102"/>
      <c r="R40" s="103">
        <v>373450.31882478332</v>
      </c>
      <c r="S40" s="103">
        <v>391058.32708366303</v>
      </c>
    </row>
    <row r="41" spans="1:19">
      <c r="A41" s="34"/>
      <c r="B41" s="34" t="s">
        <v>82</v>
      </c>
      <c r="C41" s="102">
        <v>0.73659241861147284</v>
      </c>
      <c r="D41" s="102">
        <v>0.76292402342974441</v>
      </c>
      <c r="E41" s="102"/>
      <c r="F41" s="103">
        <v>3494066.2393270247</v>
      </c>
      <c r="G41" s="103">
        <v>3664311.3678293657</v>
      </c>
      <c r="H41" s="153"/>
      <c r="I41" s="102">
        <v>0.60778791744379912</v>
      </c>
      <c r="J41" s="102">
        <v>0.62663339235795557</v>
      </c>
      <c r="K41" s="102"/>
      <c r="L41" s="103">
        <v>2883075.075649689</v>
      </c>
      <c r="M41" s="103">
        <v>3009709.7385349078</v>
      </c>
      <c r="N41" s="153"/>
      <c r="O41" s="102">
        <v>0.45525584137262542</v>
      </c>
      <c r="P41" s="102">
        <v>0.46889357631226747</v>
      </c>
      <c r="Q41" s="102"/>
      <c r="R41" s="103">
        <v>2159530.8686384219</v>
      </c>
      <c r="S41" s="103">
        <v>2252088.0313338693</v>
      </c>
    </row>
    <row r="42" spans="1:19">
      <c r="A42" s="34" t="s">
        <v>83</v>
      </c>
      <c r="B42" s="34"/>
      <c r="C42" s="102"/>
      <c r="D42" s="102"/>
      <c r="F42" s="103"/>
      <c r="G42" s="103"/>
      <c r="H42" s="153"/>
      <c r="I42" s="102"/>
      <c r="J42" s="102"/>
      <c r="L42" s="103"/>
      <c r="M42" s="103"/>
      <c r="N42" s="153"/>
      <c r="O42" s="102"/>
      <c r="P42" s="102"/>
      <c r="R42" s="103"/>
      <c r="S42" s="103"/>
    </row>
    <row r="43" spans="1:19">
      <c r="A43" s="34"/>
      <c r="B43" s="34" t="s">
        <v>84</v>
      </c>
      <c r="C43" s="102">
        <v>0.91102183556503102</v>
      </c>
      <c r="D43" s="102">
        <v>0.91831365726874636</v>
      </c>
      <c r="E43" s="102"/>
      <c r="F43" s="103">
        <v>7595611.0010957038</v>
      </c>
      <c r="G43" s="103">
        <v>8268517.1293736948</v>
      </c>
      <c r="H43" s="153"/>
      <c r="I43" s="102">
        <v>0.74363287516384546</v>
      </c>
      <c r="J43" s="102">
        <v>0.75460627528948609</v>
      </c>
      <c r="K43" s="102"/>
      <c r="L43" s="103">
        <v>6200011.7086850433</v>
      </c>
      <c r="M43" s="103">
        <v>6794492.1256223926</v>
      </c>
      <c r="N43" s="153"/>
      <c r="O43" s="102">
        <v>0.54547853683773484</v>
      </c>
      <c r="P43" s="102">
        <v>0.55332503889750806</v>
      </c>
      <c r="Q43" s="102"/>
      <c r="R43" s="103">
        <v>4547907.2109139711</v>
      </c>
      <c r="S43" s="103">
        <v>4982151.2791641699</v>
      </c>
    </row>
    <row r="44" spans="1:19">
      <c r="A44" s="34"/>
      <c r="B44" s="34" t="s">
        <v>85</v>
      </c>
      <c r="C44" s="102">
        <v>0.8773412722332935</v>
      </c>
      <c r="D44" s="102">
        <v>0.87426937343558753</v>
      </c>
      <c r="E44" s="102"/>
      <c r="F44" s="103">
        <v>2478492.6484799185</v>
      </c>
      <c r="G44" s="103">
        <v>2517106.7186275586</v>
      </c>
      <c r="H44" s="153"/>
      <c r="I44" s="102">
        <v>0.68043676031974243</v>
      </c>
      <c r="J44" s="102">
        <v>0.6830765357665084</v>
      </c>
      <c r="K44" s="102"/>
      <c r="L44" s="103">
        <v>1922236.604594077</v>
      </c>
      <c r="M44" s="103">
        <v>1966643.9083393011</v>
      </c>
      <c r="N44" s="153"/>
      <c r="O44" s="102">
        <v>0.47611023021268301</v>
      </c>
      <c r="P44" s="102">
        <v>0.48797315145755837</v>
      </c>
      <c r="Q44" s="102"/>
      <c r="R44" s="103">
        <v>1345013.3292423447</v>
      </c>
      <c r="S44" s="103">
        <v>1404922.2532146473</v>
      </c>
    </row>
    <row r="45" spans="1:19">
      <c r="A45" s="34"/>
      <c r="B45" s="34" t="s">
        <v>86</v>
      </c>
      <c r="C45" s="102">
        <v>0.80259373595079697</v>
      </c>
      <c r="D45" s="102">
        <v>0.82749433083856261</v>
      </c>
      <c r="E45" s="102"/>
      <c r="F45" s="103">
        <v>3418305.2206260548</v>
      </c>
      <c r="G45" s="103">
        <v>3504091.1622660714</v>
      </c>
      <c r="H45" s="153"/>
      <c r="I45" s="102">
        <v>0.61429518272306305</v>
      </c>
      <c r="J45" s="102">
        <v>0.63513317789449664</v>
      </c>
      <c r="K45" s="102"/>
      <c r="L45" s="103">
        <v>2616327.9577806401</v>
      </c>
      <c r="M45" s="103">
        <v>2689522.4203732456</v>
      </c>
      <c r="N45" s="153"/>
      <c r="O45" s="102">
        <v>0.44194347640883985</v>
      </c>
      <c r="P45" s="102">
        <v>0.45542292338973556</v>
      </c>
      <c r="Q45" s="102"/>
      <c r="R45" s="103">
        <v>1882269.4782688639</v>
      </c>
      <c r="S45" s="103">
        <v>1928524.9233383404</v>
      </c>
    </row>
    <row r="46" spans="1:19">
      <c r="A46" s="34"/>
      <c r="B46" s="34" t="s">
        <v>87</v>
      </c>
      <c r="C46" s="102">
        <v>0.79840469816726189</v>
      </c>
      <c r="D46" s="102">
        <v>0.81545138493630143</v>
      </c>
      <c r="E46" s="102"/>
      <c r="F46" s="103">
        <v>3099644.7738602157</v>
      </c>
      <c r="G46" s="103">
        <v>3121505.014922169</v>
      </c>
      <c r="H46" s="153"/>
      <c r="I46" s="102">
        <v>0.60179964253759799</v>
      </c>
      <c r="J46" s="102">
        <v>0.62972317755466911</v>
      </c>
      <c r="K46" s="102"/>
      <c r="L46" s="103">
        <v>2336365.4061462283</v>
      </c>
      <c r="M46" s="103">
        <v>2410547.2049730727</v>
      </c>
      <c r="N46" s="153"/>
      <c r="O46" s="102">
        <v>0.43679549622494351</v>
      </c>
      <c r="P46" s="102">
        <v>0.45016536896892556</v>
      </c>
      <c r="Q46" s="102"/>
      <c r="R46" s="103">
        <v>1695770.1779902203</v>
      </c>
      <c r="S46" s="103">
        <v>1723209.357098039</v>
      </c>
    </row>
    <row r="47" spans="1:19">
      <c r="A47" s="34"/>
      <c r="B47" s="34" t="s">
        <v>88</v>
      </c>
      <c r="C47" s="102">
        <v>0.65911313182963194</v>
      </c>
      <c r="D47" s="102">
        <v>0.67642567513944651</v>
      </c>
      <c r="E47" s="102"/>
      <c r="F47" s="103">
        <v>1010410.113336965</v>
      </c>
      <c r="G47" s="103">
        <v>953487.3448428819</v>
      </c>
      <c r="H47" s="153"/>
      <c r="I47" s="102">
        <v>0.47481010199487267</v>
      </c>
      <c r="J47" s="102">
        <v>0.49634723693434241</v>
      </c>
      <c r="K47" s="102"/>
      <c r="L47" s="103">
        <v>727876.45368015836</v>
      </c>
      <c r="M47" s="103">
        <v>699649.38715116517</v>
      </c>
      <c r="N47" s="153"/>
      <c r="O47" s="102">
        <v>0.33326777508527256</v>
      </c>
      <c r="P47" s="102">
        <v>0.35788894053024234</v>
      </c>
      <c r="Q47" s="102"/>
      <c r="R47" s="103">
        <v>510894.28223151906</v>
      </c>
      <c r="S47" s="103">
        <v>504479.0406343831</v>
      </c>
    </row>
    <row r="48" spans="1:19">
      <c r="A48" s="34"/>
      <c r="B48" s="34" t="s">
        <v>89</v>
      </c>
      <c r="C48" s="102">
        <v>0.88012531799186478</v>
      </c>
      <c r="D48" s="102">
        <v>0.86516768932836496</v>
      </c>
      <c r="E48" s="102"/>
      <c r="F48" s="103">
        <v>643966.4977201334</v>
      </c>
      <c r="G48" s="103">
        <v>627750.64594906697</v>
      </c>
      <c r="H48" s="153"/>
      <c r="I48" s="102">
        <v>0.71285615908128319</v>
      </c>
      <c r="J48" s="102">
        <v>0.69953737124602045</v>
      </c>
      <c r="K48" s="102"/>
      <c r="L48" s="103">
        <v>521579.68275381823</v>
      </c>
      <c r="M48" s="103">
        <v>507572.16442757455</v>
      </c>
      <c r="N48" s="153"/>
      <c r="O48" s="102">
        <v>0.49526512306536541</v>
      </c>
      <c r="P48" s="102">
        <v>0.50034822568996296</v>
      </c>
      <c r="Q48" s="102"/>
      <c r="R48" s="103">
        <v>362373.56229113974</v>
      </c>
      <c r="S48" s="103">
        <v>363043.9806648083</v>
      </c>
    </row>
    <row r="49" spans="1:19">
      <c r="A49" s="34"/>
      <c r="B49" s="34" t="s">
        <v>90</v>
      </c>
      <c r="C49" s="102">
        <v>0.9301684600322444</v>
      </c>
      <c r="D49" s="102">
        <v>0.82216684492961578</v>
      </c>
      <c r="E49" s="102"/>
      <c r="F49" s="103">
        <v>4383.1651169234037</v>
      </c>
      <c r="G49" s="103">
        <v>7019.608579358408</v>
      </c>
      <c r="H49" s="153"/>
      <c r="I49" s="102">
        <v>0.46292383351123995</v>
      </c>
      <c r="J49" s="102">
        <v>0.53004304027706151</v>
      </c>
      <c r="K49" s="102"/>
      <c r="L49" s="103">
        <v>2181.4022792909859</v>
      </c>
      <c r="M49" s="103">
        <v>4525.4739909593372</v>
      </c>
      <c r="N49" s="153"/>
      <c r="O49" s="102">
        <v>0.23197920973199415</v>
      </c>
      <c r="P49" s="102">
        <v>0.3092688520408145</v>
      </c>
      <c r="Q49" s="102"/>
      <c r="R49" s="103">
        <v>1093.1387416785635</v>
      </c>
      <c r="S49" s="103">
        <v>2640.5179198145338</v>
      </c>
    </row>
    <row r="50" spans="1:19">
      <c r="A50" s="34" t="s">
        <v>91</v>
      </c>
      <c r="B50" s="34"/>
      <c r="C50" s="102"/>
      <c r="D50" s="102"/>
      <c r="E50" s="102"/>
      <c r="F50" s="103"/>
      <c r="G50" s="103"/>
      <c r="H50" s="153"/>
      <c r="I50" s="102"/>
      <c r="J50" s="102"/>
      <c r="K50" s="102"/>
      <c r="L50" s="103"/>
      <c r="M50" s="103"/>
      <c r="N50" s="153"/>
      <c r="O50" s="102"/>
      <c r="P50" s="102"/>
      <c r="Q50" s="102"/>
      <c r="R50" s="103"/>
      <c r="S50" s="103"/>
    </row>
    <row r="51" spans="1:19">
      <c r="A51" s="34"/>
      <c r="B51" s="34" t="s">
        <v>92</v>
      </c>
      <c r="C51" s="102">
        <v>0.89382951821241907</v>
      </c>
      <c r="D51" s="102">
        <v>0.90415695656928674</v>
      </c>
      <c r="F51" s="103">
        <v>3650544.9544289694</v>
      </c>
      <c r="G51" s="103">
        <v>3655975.8858734402</v>
      </c>
      <c r="H51" s="153"/>
      <c r="I51" s="102">
        <v>0.64035974057783496</v>
      </c>
      <c r="J51" s="102">
        <v>0.66327216375797049</v>
      </c>
      <c r="L51" s="103">
        <v>2615333.2065615584</v>
      </c>
      <c r="M51" s="103">
        <v>2681953.6352087073</v>
      </c>
      <c r="N51" s="153"/>
      <c r="O51" s="102">
        <v>0.41881559668145024</v>
      </c>
      <c r="P51" s="102">
        <v>0.43164837862901967</v>
      </c>
      <c r="R51" s="103">
        <v>1710510.933180304</v>
      </c>
      <c r="S51" s="103">
        <v>1745378.445609662</v>
      </c>
    </row>
    <row r="52" spans="1:19">
      <c r="A52" s="34"/>
      <c r="B52" s="34" t="s">
        <v>93</v>
      </c>
      <c r="C52" s="102">
        <v>0.85808117124245087</v>
      </c>
      <c r="D52" s="102">
        <v>0.87528173883210159</v>
      </c>
      <c r="E52" s="102"/>
      <c r="F52" s="103">
        <v>4400868.3997653536</v>
      </c>
      <c r="G52" s="103">
        <v>4670431.0378241697</v>
      </c>
      <c r="H52" s="153"/>
      <c r="I52" s="102">
        <v>0.68421331526933604</v>
      </c>
      <c r="J52" s="102">
        <v>0.70319035248512751</v>
      </c>
      <c r="K52" s="102"/>
      <c r="L52" s="103">
        <v>3509146.755321024</v>
      </c>
      <c r="M52" s="103">
        <v>3752165.6194121065</v>
      </c>
      <c r="N52" s="153"/>
      <c r="O52" s="102">
        <v>0.50155798730631351</v>
      </c>
      <c r="P52" s="102">
        <v>0.51005619088274257</v>
      </c>
      <c r="Q52" s="102"/>
      <c r="R52" s="103">
        <v>2572356.5216915798</v>
      </c>
      <c r="S52" s="103">
        <v>2721617.6909068194</v>
      </c>
    </row>
    <row r="53" spans="1:19">
      <c r="A53" s="34"/>
      <c r="B53" s="34" t="s">
        <v>94</v>
      </c>
      <c r="C53" s="102">
        <v>0.88336480431643749</v>
      </c>
      <c r="D53" s="102">
        <v>0.89236365419137942</v>
      </c>
      <c r="E53" s="102"/>
      <c r="F53" s="103">
        <v>755617.17329356133</v>
      </c>
      <c r="G53" s="103">
        <v>703038.0781600771</v>
      </c>
      <c r="H53" s="153"/>
      <c r="I53" s="102">
        <v>0.6761477358353285</v>
      </c>
      <c r="J53" s="102">
        <v>0.69581933358693082</v>
      </c>
      <c r="K53" s="102"/>
      <c r="L53" s="103">
        <v>578366.76125678606</v>
      </c>
      <c r="M53" s="103">
        <v>548192.97573797021</v>
      </c>
      <c r="N53" s="153"/>
      <c r="O53" s="102">
        <v>0.46493944872022264</v>
      </c>
      <c r="P53" s="102">
        <v>0.49661744337095048</v>
      </c>
      <c r="Q53" s="102"/>
      <c r="R53" s="103">
        <v>397702.31989998254</v>
      </c>
      <c r="S53" s="103">
        <v>391254.13874533033</v>
      </c>
    </row>
    <row r="54" spans="1:19">
      <c r="A54" s="34"/>
      <c r="B54" s="34" t="s">
        <v>95</v>
      </c>
      <c r="C54" s="102">
        <v>0.82430862331269039</v>
      </c>
      <c r="D54" s="102">
        <v>0.84455348271023989</v>
      </c>
      <c r="E54" s="102"/>
      <c r="F54" s="103">
        <v>2193499.3339799414</v>
      </c>
      <c r="G54" s="103">
        <v>2365255.9936614181</v>
      </c>
      <c r="H54" s="153"/>
      <c r="I54" s="102">
        <v>0.65112641172743491</v>
      </c>
      <c r="J54" s="102">
        <v>0.65768713586197036</v>
      </c>
      <c r="K54" s="102"/>
      <c r="L54" s="103">
        <v>1732658.5092863841</v>
      </c>
      <c r="M54" s="103">
        <v>1841918.2110995462</v>
      </c>
      <c r="N54" s="153"/>
      <c r="O54" s="102">
        <v>0.4701342273611539</v>
      </c>
      <c r="P54" s="102">
        <v>0.48519892421178379</v>
      </c>
      <c r="Q54" s="102"/>
      <c r="R54" s="103">
        <v>1251035.2135509308</v>
      </c>
      <c r="S54" s="103">
        <v>1358847.8256311135</v>
      </c>
    </row>
    <row r="55" spans="1:19">
      <c r="A55" s="34"/>
      <c r="B55" s="34" t="s">
        <v>96</v>
      </c>
      <c r="C55" s="102">
        <v>0.8169772872489286</v>
      </c>
      <c r="D55" s="102">
        <v>0.8307924519766684</v>
      </c>
      <c r="E55" s="102"/>
      <c r="F55" s="103">
        <v>7285111.6805809978</v>
      </c>
      <c r="G55" s="103">
        <v>7641265.6890387638</v>
      </c>
      <c r="H55" s="153"/>
      <c r="I55" s="102">
        <v>0.66188301551886408</v>
      </c>
      <c r="J55" s="102">
        <v>0.68113778700014338</v>
      </c>
      <c r="K55" s="102"/>
      <c r="L55" s="103">
        <v>5902112.2897697473</v>
      </c>
      <c r="M55" s="103">
        <v>6264807.5207334189</v>
      </c>
      <c r="N55" s="153"/>
      <c r="O55" s="102">
        <v>0.4963093177836882</v>
      </c>
      <c r="P55" s="102">
        <v>0.51125613589892027</v>
      </c>
      <c r="Q55" s="102"/>
      <c r="R55" s="103">
        <v>4425666.2511909688</v>
      </c>
      <c r="S55" s="103">
        <v>4702310.3787956322</v>
      </c>
    </row>
    <row r="56" spans="1:19">
      <c r="A56" s="34" t="s">
        <v>97</v>
      </c>
      <c r="B56" s="34"/>
      <c r="C56" s="102"/>
      <c r="D56" s="102"/>
      <c r="F56" s="103"/>
      <c r="G56" s="103"/>
      <c r="H56" s="153"/>
      <c r="I56" s="102"/>
      <c r="J56" s="102"/>
      <c r="L56" s="103"/>
      <c r="M56" s="103"/>
      <c r="N56" s="153"/>
      <c r="O56" s="102"/>
      <c r="P56" s="102"/>
      <c r="R56" s="103"/>
      <c r="S56" s="103"/>
    </row>
    <row r="57" spans="1:19">
      <c r="A57" s="34"/>
      <c r="B57" s="34" t="s">
        <v>98</v>
      </c>
      <c r="C57" s="102">
        <v>0.80512583690925998</v>
      </c>
      <c r="D57" s="102">
        <v>0.79568003682208788</v>
      </c>
      <c r="E57" s="102"/>
      <c r="F57" s="103">
        <v>846615.11382595287</v>
      </c>
      <c r="G57" s="103">
        <v>710179.92689145415</v>
      </c>
      <c r="H57" s="153"/>
      <c r="I57" s="102">
        <v>0.47590917719235082</v>
      </c>
      <c r="J57" s="102">
        <v>0.50199122887505288</v>
      </c>
      <c r="K57" s="102"/>
      <c r="L57" s="103">
        <v>500433.45244791469</v>
      </c>
      <c r="M57" s="103">
        <v>448049.56480559509</v>
      </c>
      <c r="N57" s="153"/>
      <c r="O57" s="102">
        <v>0.29461749093197498</v>
      </c>
      <c r="P57" s="102">
        <v>0.33593986562613415</v>
      </c>
      <c r="Q57" s="102"/>
      <c r="R57" s="103">
        <v>309799.5483265082</v>
      </c>
      <c r="S57" s="103">
        <v>299841.31581730046</v>
      </c>
    </row>
    <row r="58" spans="1:19">
      <c r="A58" s="34"/>
      <c r="B58" s="34" t="s">
        <v>99</v>
      </c>
      <c r="C58" s="102">
        <v>0.84678454121331437</v>
      </c>
      <c r="D58" s="102">
        <v>0.86224014774035984</v>
      </c>
      <c r="E58" s="102"/>
      <c r="F58" s="103">
        <v>16414373.947880773</v>
      </c>
      <c r="G58" s="103">
        <v>17280779.863000963</v>
      </c>
      <c r="H58" s="153"/>
      <c r="I58" s="102">
        <v>0.67430574186242032</v>
      </c>
      <c r="J58" s="102">
        <v>0.68969568257225589</v>
      </c>
      <c r="K58" s="102"/>
      <c r="L58" s="103">
        <v>13070983.306182843</v>
      </c>
      <c r="M58" s="103">
        <v>13822691.154230818</v>
      </c>
      <c r="N58" s="153"/>
      <c r="O58" s="102">
        <v>0.49075522060927113</v>
      </c>
      <c r="P58" s="102">
        <v>0.50086234649919781</v>
      </c>
      <c r="Q58" s="102"/>
      <c r="R58" s="103">
        <v>9512974.4532334898</v>
      </c>
      <c r="S58" s="103">
        <v>10038145.375393787</v>
      </c>
    </row>
    <row r="59" spans="1:19">
      <c r="A59" s="34"/>
      <c r="B59" s="34" t="s">
        <v>100</v>
      </c>
      <c r="C59" s="102">
        <v>0.70842880165193578</v>
      </c>
      <c r="D59" s="102">
        <v>0.70320115270112704</v>
      </c>
      <c r="E59" s="102"/>
      <c r="F59" s="103">
        <v>349298.01834824542</v>
      </c>
      <c r="G59" s="103">
        <v>348514.75125584676</v>
      </c>
      <c r="H59" s="153"/>
      <c r="I59" s="102">
        <v>0.47046170446482655</v>
      </c>
      <c r="J59" s="102">
        <v>0.48816491664608075</v>
      </c>
      <c r="K59" s="102"/>
      <c r="L59" s="103">
        <v>231965.92331524211</v>
      </c>
      <c r="M59" s="103">
        <v>241940.26679738588</v>
      </c>
      <c r="N59" s="153"/>
      <c r="O59" s="102">
        <v>0.31140331983247888</v>
      </c>
      <c r="P59" s="102">
        <v>0.32611606506182206</v>
      </c>
      <c r="Q59" s="102"/>
      <c r="R59" s="103">
        <v>153540.57072624742</v>
      </c>
      <c r="S59" s="103">
        <v>161626.9524857596</v>
      </c>
    </row>
    <row r="60" spans="1:19">
      <c r="A60" s="34" t="s">
        <v>101</v>
      </c>
      <c r="B60" s="34"/>
      <c r="C60" s="102"/>
      <c r="D60" s="102"/>
      <c r="F60" s="103"/>
      <c r="G60" s="103"/>
      <c r="H60" s="153"/>
      <c r="I60" s="102"/>
      <c r="J60" s="102"/>
      <c r="L60" s="103"/>
      <c r="M60" s="103"/>
      <c r="N60" s="153"/>
      <c r="O60" s="102"/>
      <c r="P60" s="102"/>
      <c r="R60" s="103"/>
      <c r="S60" s="103"/>
    </row>
    <row r="61" spans="1:19">
      <c r="A61" s="34"/>
      <c r="B61" s="34" t="s">
        <v>102</v>
      </c>
      <c r="C61" s="102">
        <v>0.8408882456026322</v>
      </c>
      <c r="D61" s="102">
        <v>0.85637840042558677</v>
      </c>
      <c r="E61" s="102"/>
      <c r="F61" s="103">
        <v>14737218.398238266</v>
      </c>
      <c r="G61" s="103">
        <v>15320389.834580319</v>
      </c>
      <c r="H61" s="153"/>
      <c r="I61" s="102">
        <v>0.66444565176494097</v>
      </c>
      <c r="J61" s="102">
        <v>0.68327735907517562</v>
      </c>
      <c r="K61" s="102"/>
      <c r="L61" s="103">
        <v>11644925.155068729</v>
      </c>
      <c r="M61" s="103">
        <v>12223656.623020828</v>
      </c>
      <c r="N61" s="153"/>
      <c r="O61" s="102">
        <v>0.48352504943466451</v>
      </c>
      <c r="P61" s="102">
        <v>0.49782584985957157</v>
      </c>
      <c r="Q61" s="102"/>
      <c r="R61" s="103">
        <v>8474151.3415148389</v>
      </c>
      <c r="S61" s="103">
        <v>8905976.7105167788</v>
      </c>
    </row>
    <row r="62" spans="1:19">
      <c r="A62" s="34"/>
      <c r="B62" s="34" t="s">
        <v>103</v>
      </c>
      <c r="C62" s="102">
        <v>0.85596466736879295</v>
      </c>
      <c r="D62" s="102">
        <v>0.86863933789199921</v>
      </c>
      <c r="E62" s="102"/>
      <c r="F62" s="103">
        <v>2703531.1674685315</v>
      </c>
      <c r="G62" s="103">
        <v>2859745.4489357118</v>
      </c>
      <c r="H62" s="153"/>
      <c r="I62" s="102">
        <v>0.64486951968944761</v>
      </c>
      <c r="J62" s="102">
        <v>0.66220164253557268</v>
      </c>
      <c r="K62" s="102"/>
      <c r="L62" s="103">
        <v>2036795.3396839541</v>
      </c>
      <c r="M62" s="103">
        <v>2180108.6491368534</v>
      </c>
      <c r="N62" s="153"/>
      <c r="O62" s="102">
        <v>0.44963291065963595</v>
      </c>
      <c r="P62" s="102">
        <v>0.46172853974835343</v>
      </c>
      <c r="Q62" s="102"/>
      <c r="R62" s="103">
        <v>1420148.0904867523</v>
      </c>
      <c r="S62" s="103">
        <v>1520108.5566691875</v>
      </c>
    </row>
    <row r="63" spans="1:19">
      <c r="A63" s="34" t="s">
        <v>104</v>
      </c>
      <c r="B63" s="34"/>
      <c r="C63" s="102"/>
      <c r="D63" s="102"/>
      <c r="E63" s="102"/>
      <c r="F63" s="103"/>
      <c r="G63" s="103"/>
      <c r="H63" s="153"/>
      <c r="I63" s="102"/>
      <c r="J63" s="102"/>
      <c r="K63" s="102"/>
      <c r="L63" s="103"/>
      <c r="M63" s="103"/>
      <c r="N63" s="153"/>
      <c r="O63" s="102"/>
      <c r="P63" s="102"/>
      <c r="Q63" s="102"/>
      <c r="R63" s="103"/>
      <c r="S63" s="103"/>
    </row>
    <row r="64" spans="1:19">
      <c r="A64" s="34"/>
      <c r="B64" s="34" t="s">
        <v>98</v>
      </c>
      <c r="C64" s="102">
        <v>0.67524417599507092</v>
      </c>
      <c r="D64" s="102">
        <v>0.6966958896840546</v>
      </c>
      <c r="F64" s="103">
        <v>2480055.6807956412</v>
      </c>
      <c r="G64" s="103">
        <v>2429628.6427636812</v>
      </c>
      <c r="H64" s="153"/>
      <c r="I64" s="102">
        <v>0.49844446226881117</v>
      </c>
      <c r="J64" s="102">
        <v>0.51158488580311401</v>
      </c>
      <c r="L64" s="103">
        <v>1830700.7511604475</v>
      </c>
      <c r="M64" s="103">
        <v>1784080.1275803489</v>
      </c>
      <c r="N64" s="153"/>
      <c r="O64" s="102">
        <v>0.35055004789095817</v>
      </c>
      <c r="P64" s="102">
        <v>0.36037604553104041</v>
      </c>
      <c r="R64" s="103">
        <v>1287510.012794988</v>
      </c>
      <c r="S64" s="103">
        <v>1256760.6259098097</v>
      </c>
    </row>
    <row r="65" spans="1:19">
      <c r="A65" s="34"/>
      <c r="B65" s="34" t="s">
        <v>99</v>
      </c>
      <c r="C65" s="102">
        <v>0.88352500594827665</v>
      </c>
      <c r="D65" s="102">
        <v>0.89258953291547993</v>
      </c>
      <c r="F65" s="103">
        <v>14779874.254951436</v>
      </c>
      <c r="G65" s="103">
        <v>15575670.185761761</v>
      </c>
      <c r="H65" s="153"/>
      <c r="I65" s="102">
        <v>0.70052556403112576</v>
      </c>
      <c r="J65" s="102">
        <v>0.71559812694441904</v>
      </c>
      <c r="L65" s="103">
        <v>11718604.090493729</v>
      </c>
      <c r="M65" s="103">
        <v>12487173.554936325</v>
      </c>
      <c r="N65" s="153"/>
      <c r="O65" s="102">
        <v>0.50925461745758627</v>
      </c>
      <c r="P65" s="102">
        <v>0.51963953360611825</v>
      </c>
      <c r="R65" s="103">
        <v>8518965.6875621602</v>
      </c>
      <c r="S65" s="103">
        <v>9067699.8692727946</v>
      </c>
    </row>
    <row r="66" spans="1:19">
      <c r="A66" s="34"/>
      <c r="B66" s="34" t="s">
        <v>100</v>
      </c>
      <c r="C66" s="102">
        <v>0.66378466995640584</v>
      </c>
      <c r="D66" s="102">
        <v>0.67847210281086645</v>
      </c>
      <c r="F66" s="103">
        <v>350357.14430795936</v>
      </c>
      <c r="G66" s="103">
        <v>334175.71262259019</v>
      </c>
      <c r="H66" s="153"/>
      <c r="I66" s="102">
        <v>0.48137444348262226</v>
      </c>
      <c r="J66" s="102">
        <v>0.4901663525214518</v>
      </c>
      <c r="L66" s="103">
        <v>254077.84029191433</v>
      </c>
      <c r="M66" s="103">
        <v>241427.30331704428</v>
      </c>
      <c r="N66" s="153"/>
      <c r="O66" s="102">
        <v>0.32177576904299882</v>
      </c>
      <c r="P66" s="102">
        <v>0.35561089719482392</v>
      </c>
      <c r="R66" s="103">
        <v>169838.87192936608</v>
      </c>
      <c r="S66" s="103">
        <v>175153.14851429677</v>
      </c>
    </row>
    <row r="67" spans="1:19">
      <c r="A67" s="34" t="s">
        <v>105</v>
      </c>
      <c r="B67" s="34"/>
      <c r="C67" s="102"/>
      <c r="D67" s="102"/>
      <c r="E67" s="102"/>
      <c r="F67" s="103"/>
      <c r="G67" s="103"/>
      <c r="H67" s="153"/>
      <c r="I67" s="102"/>
      <c r="J67" s="102"/>
      <c r="K67" s="102"/>
      <c r="L67" s="103"/>
      <c r="M67" s="103"/>
      <c r="N67" s="153"/>
      <c r="O67" s="102"/>
      <c r="P67" s="102"/>
      <c r="Q67" s="102"/>
      <c r="R67" s="103"/>
      <c r="S67" s="103"/>
    </row>
    <row r="68" spans="1:19">
      <c r="A68" s="34"/>
      <c r="B68" s="36" t="s">
        <v>106</v>
      </c>
      <c r="C68" s="102">
        <v>0.68814311211300061</v>
      </c>
      <c r="D68" s="102">
        <v>0.70596602886897264</v>
      </c>
      <c r="F68" s="103">
        <v>2197536.7271044771</v>
      </c>
      <c r="G68" s="103">
        <v>1990550.4825181994</v>
      </c>
      <c r="H68" s="153"/>
      <c r="I68" s="102">
        <v>0.50637039522958294</v>
      </c>
      <c r="J68" s="102">
        <v>0.51423926670654319</v>
      </c>
      <c r="L68" s="103">
        <v>1617058.3145395045</v>
      </c>
      <c r="M68" s="103">
        <v>1449955.3499938997</v>
      </c>
      <c r="N68" s="153"/>
      <c r="O68" s="102">
        <v>0.35859474689744397</v>
      </c>
      <c r="P68" s="102">
        <v>0.37280237535660882</v>
      </c>
      <c r="R68" s="103">
        <v>1145147.1541060267</v>
      </c>
      <c r="S68" s="103">
        <v>1051158.1546479189</v>
      </c>
    </row>
    <row r="69" spans="1:19">
      <c r="A69" s="34"/>
      <c r="B69" s="34" t="s">
        <v>107</v>
      </c>
      <c r="C69" s="102">
        <v>0.79112772848873802</v>
      </c>
      <c r="D69" s="102">
        <v>0.8051985840088256</v>
      </c>
      <c r="E69" s="102"/>
      <c r="F69" s="103">
        <v>2685139.3014890007</v>
      </c>
      <c r="G69" s="103">
        <v>2571792.5834525866</v>
      </c>
      <c r="H69" s="153"/>
      <c r="I69" s="102">
        <v>0.59557768612457207</v>
      </c>
      <c r="J69" s="102">
        <v>0.61664768390944757</v>
      </c>
      <c r="K69" s="102"/>
      <c r="L69" s="103">
        <v>2021429.6560656249</v>
      </c>
      <c r="M69" s="103">
        <v>1969563.7468534717</v>
      </c>
      <c r="N69" s="153"/>
      <c r="O69" s="102">
        <v>0.42226638064182159</v>
      </c>
      <c r="P69" s="102">
        <v>0.43429531239179719</v>
      </c>
      <c r="Q69" s="102"/>
      <c r="R69" s="103">
        <v>1433199.7394716649</v>
      </c>
      <c r="S69" s="103">
        <v>1387132.9205233748</v>
      </c>
    </row>
    <row r="70" spans="1:19">
      <c r="A70" s="34"/>
      <c r="B70" s="34" t="s">
        <v>108</v>
      </c>
      <c r="C70" s="102">
        <v>0.86510968873823335</v>
      </c>
      <c r="D70" s="102">
        <v>0.87153136801125441</v>
      </c>
      <c r="E70" s="102"/>
      <c r="F70" s="103">
        <v>2695871.0177838514</v>
      </c>
      <c r="G70" s="103">
        <v>2645541.0975022824</v>
      </c>
      <c r="H70" s="153"/>
      <c r="I70" s="102">
        <v>0.65326742617960787</v>
      </c>
      <c r="J70" s="102">
        <v>0.67571941563934634</v>
      </c>
      <c r="K70" s="102"/>
      <c r="L70" s="103">
        <v>2035724.1908462099</v>
      </c>
      <c r="M70" s="103">
        <v>2051152.2018230243</v>
      </c>
      <c r="N70" s="153"/>
      <c r="O70" s="102">
        <v>0.45713965011239777</v>
      </c>
      <c r="P70" s="102">
        <v>0.48220260899917833</v>
      </c>
      <c r="Q70" s="102"/>
      <c r="R70" s="103">
        <v>1424547.1410860161</v>
      </c>
      <c r="S70" s="103">
        <v>1463730.2411055351</v>
      </c>
    </row>
    <row r="71" spans="1:19">
      <c r="A71" s="34"/>
      <c r="B71" s="34" t="s">
        <v>109</v>
      </c>
      <c r="C71" s="102">
        <v>0.89701957448495628</v>
      </c>
      <c r="D71" s="102">
        <v>0.90508349682253875</v>
      </c>
      <c r="E71" s="102"/>
      <c r="F71" s="103">
        <v>3517950.5208767815</v>
      </c>
      <c r="G71" s="103">
        <v>3815242.3173825871</v>
      </c>
      <c r="H71" s="153"/>
      <c r="I71" s="102">
        <v>0.69897790247306391</v>
      </c>
      <c r="J71" s="102">
        <v>0.71295181999813939</v>
      </c>
      <c r="K71" s="102"/>
      <c r="L71" s="103">
        <v>2741266.4628844331</v>
      </c>
      <c r="M71" s="103">
        <v>3005340.3508750144</v>
      </c>
      <c r="N71" s="153"/>
      <c r="O71" s="102">
        <v>0.49735662528621438</v>
      </c>
      <c r="P71" s="102">
        <v>0.51255107752794682</v>
      </c>
      <c r="Q71" s="102"/>
      <c r="R71" s="103">
        <v>1950543.8328832136</v>
      </c>
      <c r="S71" s="103">
        <v>2160581.3912968575</v>
      </c>
    </row>
    <row r="72" spans="1:19">
      <c r="A72" s="34"/>
      <c r="B72" s="34" t="s">
        <v>110</v>
      </c>
      <c r="C72" s="102">
        <v>0.92630238287314071</v>
      </c>
      <c r="D72" s="102">
        <v>0.92172448289566788</v>
      </c>
      <c r="F72" s="103">
        <v>2007767.4943988747</v>
      </c>
      <c r="G72" s="103">
        <v>2179012.58464895</v>
      </c>
      <c r="H72" s="153"/>
      <c r="I72" s="102">
        <v>0.75866134013617659</v>
      </c>
      <c r="J72" s="102">
        <v>0.74622914823702891</v>
      </c>
      <c r="L72" s="103">
        <v>1644404.253023617</v>
      </c>
      <c r="M72" s="103">
        <v>1764130.968868284</v>
      </c>
      <c r="N72" s="153"/>
      <c r="O72" s="102">
        <v>0.56005269662254509</v>
      </c>
      <c r="P72" s="102">
        <v>0.54047899177171543</v>
      </c>
      <c r="R72" s="103">
        <v>1213918.5002865067</v>
      </c>
      <c r="S72" s="103">
        <v>1277725.1192341952</v>
      </c>
    </row>
    <row r="73" spans="1:19">
      <c r="A73" s="34"/>
      <c r="B73" s="34" t="s">
        <v>111</v>
      </c>
      <c r="C73" s="102">
        <v>0.94422932261718784</v>
      </c>
      <c r="D73" s="102">
        <v>0.9422687694443026</v>
      </c>
      <c r="F73" s="103">
        <v>2082342.6905727857</v>
      </c>
      <c r="G73" s="103">
        <v>2608763.6657523173</v>
      </c>
      <c r="H73" s="153"/>
      <c r="I73" s="102">
        <v>0.80221061371470015</v>
      </c>
      <c r="J73" s="102">
        <v>0.80327522534563489</v>
      </c>
      <c r="L73" s="103">
        <v>1769143.7532765165</v>
      </c>
      <c r="M73" s="103">
        <v>2223946.3828526745</v>
      </c>
      <c r="N73" s="153"/>
      <c r="O73" s="102">
        <v>0.60757745233872718</v>
      </c>
      <c r="P73" s="102">
        <v>0.59876203587346066</v>
      </c>
      <c r="R73" s="103">
        <v>1339912.2824607708</v>
      </c>
      <c r="S73" s="103">
        <v>1657731.5244564104</v>
      </c>
    </row>
    <row r="74" spans="1:19">
      <c r="A74" s="34"/>
      <c r="B74" s="34" t="s">
        <v>112</v>
      </c>
      <c r="C74" s="102">
        <v>0.82703343786147177</v>
      </c>
      <c r="D74" s="102">
        <v>0.83375065153613614</v>
      </c>
      <c r="F74" s="103">
        <v>2423679.3278295421</v>
      </c>
      <c r="G74" s="103">
        <v>2528571.8098914446</v>
      </c>
      <c r="H74" s="153"/>
      <c r="I74" s="102">
        <v>0.67371060764048496</v>
      </c>
      <c r="J74" s="102">
        <v>0.67548601751527859</v>
      </c>
      <c r="L74" s="103">
        <v>1974356.0513102582</v>
      </c>
      <c r="M74" s="103">
        <v>2048591.9845676348</v>
      </c>
      <c r="N74" s="153"/>
      <c r="O74" s="102">
        <v>0.50128335266591428</v>
      </c>
      <c r="P74" s="102">
        <v>0.49511026925761714</v>
      </c>
      <c r="R74" s="103">
        <v>1469045.9219920523</v>
      </c>
      <c r="S74" s="103">
        <v>1501554.2924326132</v>
      </c>
    </row>
    <row r="75" spans="1:19">
      <c r="A75" s="34" t="s">
        <v>113</v>
      </c>
      <c r="B75" s="34"/>
      <c r="C75" s="102"/>
      <c r="D75" s="102"/>
      <c r="E75" s="102"/>
      <c r="F75" s="103"/>
      <c r="G75" s="103"/>
      <c r="H75" s="153"/>
      <c r="I75" s="102"/>
      <c r="J75" s="102"/>
      <c r="K75" s="102"/>
      <c r="L75" s="103"/>
      <c r="M75" s="103"/>
      <c r="N75" s="153"/>
      <c r="O75" s="102"/>
      <c r="P75" s="102"/>
      <c r="Q75" s="102"/>
      <c r="R75" s="103"/>
      <c r="S75" s="103"/>
    </row>
    <row r="76" spans="1:19">
      <c r="A76" s="34"/>
      <c r="B76" s="34" t="s">
        <v>114</v>
      </c>
      <c r="C76" s="102">
        <v>0.84322555680326905</v>
      </c>
      <c r="D76" s="102">
        <v>0.85758704219679993</v>
      </c>
      <c r="E76" s="102"/>
      <c r="F76" s="103">
        <v>15556912.437724266</v>
      </c>
      <c r="G76" s="103">
        <v>16244836.008153321</v>
      </c>
      <c r="H76" s="153"/>
      <c r="I76" s="102">
        <v>0.66080360949430983</v>
      </c>
      <c r="J76" s="102">
        <v>0.67932415276122671</v>
      </c>
      <c r="K76" s="102"/>
      <c r="L76" s="103">
        <v>12191357.114942776</v>
      </c>
      <c r="M76" s="103">
        <v>12868092.584182706</v>
      </c>
      <c r="N76" s="153"/>
      <c r="O76" s="102">
        <v>0.47617798819256785</v>
      </c>
      <c r="P76" s="102">
        <v>0.49042941391786016</v>
      </c>
      <c r="Q76" s="102"/>
      <c r="R76" s="103">
        <v>8785145.5726356599</v>
      </c>
      <c r="S76" s="103">
        <v>9289955.4338673428</v>
      </c>
    </row>
    <row r="77" spans="1:19">
      <c r="A77" s="34"/>
      <c r="B77" s="34" t="s">
        <v>115</v>
      </c>
      <c r="C77" s="102">
        <v>0.85530850287500504</v>
      </c>
      <c r="D77" s="102">
        <v>0.87592487555580467</v>
      </c>
      <c r="F77" s="103">
        <v>777757.79873849929</v>
      </c>
      <c r="G77" s="103">
        <v>811956.07521579997</v>
      </c>
      <c r="H77" s="153"/>
      <c r="I77" s="102">
        <v>0.70233468919481912</v>
      </c>
      <c r="J77" s="102">
        <v>0.71183674123054475</v>
      </c>
      <c r="L77" s="103">
        <v>638654.09967247711</v>
      </c>
      <c r="M77" s="103">
        <v>659851.29859134287</v>
      </c>
      <c r="N77" s="153"/>
      <c r="O77" s="102">
        <v>0.54330591436946463</v>
      </c>
      <c r="P77" s="102">
        <v>0.55306496736502819</v>
      </c>
      <c r="R77" s="103">
        <v>494044.44195424474</v>
      </c>
      <c r="S77" s="103">
        <v>512674.62858172151</v>
      </c>
    </row>
    <row r="78" spans="1:19">
      <c r="A78" s="34"/>
      <c r="B78" s="34" t="s">
        <v>116</v>
      </c>
      <c r="C78" s="102">
        <v>0.85412600107931202</v>
      </c>
      <c r="D78" s="102">
        <v>0.86767961646265723</v>
      </c>
      <c r="F78" s="103">
        <v>620881.07532183512</v>
      </c>
      <c r="G78" s="103">
        <v>608420.71662183839</v>
      </c>
      <c r="H78" s="153"/>
      <c r="I78" s="102">
        <v>0.65851135767771807</v>
      </c>
      <c r="J78" s="102">
        <v>0.68161634503054491</v>
      </c>
      <c r="L78" s="103">
        <v>478684.92394556873</v>
      </c>
      <c r="M78" s="103">
        <v>477952.34235802799</v>
      </c>
      <c r="N78" s="153"/>
      <c r="O78" s="102">
        <v>0.46880465855620668</v>
      </c>
      <c r="P78" s="102">
        <v>0.48197335649389189</v>
      </c>
      <c r="R78" s="103">
        <v>340783.37406009401</v>
      </c>
      <c r="S78" s="103">
        <v>337961.81146462017</v>
      </c>
    </row>
    <row r="79" spans="1:19">
      <c r="A79" s="34"/>
      <c r="B79" s="34" t="s">
        <v>90</v>
      </c>
      <c r="C79" s="102">
        <v>0.83741971125876258</v>
      </c>
      <c r="D79" s="102">
        <v>0.83928970214188725</v>
      </c>
      <c r="E79" s="102"/>
      <c r="F79" s="103">
        <v>98159.789109811536</v>
      </c>
      <c r="G79" s="103">
        <v>96352.581491128847</v>
      </c>
      <c r="H79" s="153"/>
      <c r="I79" s="102">
        <v>0.6744306614084874</v>
      </c>
      <c r="J79" s="102">
        <v>0.68050583443915613</v>
      </c>
      <c r="K79" s="102"/>
      <c r="L79" s="103">
        <v>79054.70889088187</v>
      </c>
      <c r="M79" s="103">
        <v>78123.791702263319</v>
      </c>
      <c r="N79" s="153"/>
      <c r="O79" s="102">
        <v>0.50434830020594124</v>
      </c>
      <c r="P79" s="102">
        <v>0.52135167327951215</v>
      </c>
      <c r="Q79" s="102"/>
      <c r="R79" s="103">
        <v>59118.172310144648</v>
      </c>
      <c r="S79" s="103">
        <v>59852.491287577206</v>
      </c>
    </row>
    <row r="80" spans="1:19">
      <c r="A80" s="118"/>
      <c r="B80" s="118"/>
      <c r="C80" s="155"/>
      <c r="D80" s="119"/>
      <c r="E80" s="119"/>
      <c r="F80" s="156"/>
      <c r="G80" s="157"/>
      <c r="H80" s="119"/>
      <c r="I80" s="155"/>
      <c r="J80" s="119"/>
      <c r="K80" s="119"/>
      <c r="L80" s="156"/>
      <c r="M80" s="157"/>
      <c r="N80" s="119"/>
      <c r="O80" s="155"/>
      <c r="P80" s="119"/>
      <c r="Q80" s="119"/>
      <c r="R80" s="156"/>
      <c r="S80" s="157"/>
    </row>
    <row r="81" spans="1:20">
      <c r="A81" s="130" t="s">
        <v>117</v>
      </c>
    </row>
    <row r="82" spans="1:20" ht="15" customHeight="1">
      <c r="A82" s="24" t="s">
        <v>118</v>
      </c>
      <c r="B82" s="129"/>
    </row>
    <row r="83" spans="1:20">
      <c r="A83" s="16" t="s">
        <v>119</v>
      </c>
      <c r="B83" s="16"/>
    </row>
    <row r="84" spans="1:20" s="2" customFormat="1" ht="15" customHeight="1">
      <c r="A84" s="24" t="s">
        <v>120</v>
      </c>
      <c r="B84" s="24"/>
      <c r="D84" s="1"/>
      <c r="E84" s="1"/>
      <c r="G84" s="1"/>
      <c r="H84" s="1"/>
      <c r="J84" s="1"/>
      <c r="K84" s="1"/>
      <c r="M84" s="1"/>
      <c r="N84" s="1"/>
      <c r="P84" s="1"/>
      <c r="Q84" s="1"/>
      <c r="S84" s="1"/>
      <c r="T84" s="1"/>
    </row>
    <row r="85" spans="1:20" s="2" customFormat="1">
      <c r="A85" s="16" t="s">
        <v>121</v>
      </c>
      <c r="B85" s="16"/>
      <c r="D85" s="1"/>
      <c r="E85" s="1"/>
      <c r="G85" s="1"/>
      <c r="H85" s="1"/>
      <c r="J85" s="1"/>
      <c r="K85" s="1"/>
      <c r="M85" s="1"/>
      <c r="N85" s="1"/>
      <c r="P85" s="1"/>
      <c r="Q85" s="1"/>
      <c r="S85" s="1"/>
      <c r="T85" s="1"/>
    </row>
    <row r="86" spans="1:20" s="2" customFormat="1">
      <c r="A86" s="16" t="s">
        <v>122</v>
      </c>
      <c r="B86" s="16"/>
      <c r="G86" s="1"/>
      <c r="H86" s="1"/>
      <c r="M86" s="1"/>
      <c r="N86" s="1"/>
      <c r="S86" s="1"/>
      <c r="T86" s="1"/>
    </row>
    <row r="87" spans="1:20" s="2" customFormat="1">
      <c r="A87" s="158"/>
      <c r="B87" s="1"/>
      <c r="D87" s="1"/>
      <c r="E87" s="1"/>
      <c r="G87" s="1"/>
      <c r="H87" s="1"/>
      <c r="J87" s="1"/>
      <c r="K87" s="1"/>
      <c r="M87" s="1"/>
      <c r="N87" s="1"/>
      <c r="P87" s="1"/>
      <c r="Q87" s="1"/>
      <c r="S87" s="1"/>
      <c r="T87" s="1"/>
    </row>
    <row r="88" spans="1:20" s="2" customFormat="1">
      <c r="A88" s="130"/>
      <c r="B88" s="1"/>
      <c r="D88" s="1"/>
      <c r="E88" s="1"/>
      <c r="G88" s="1"/>
      <c r="H88" s="1"/>
      <c r="J88" s="1"/>
      <c r="K88" s="1"/>
      <c r="M88" s="1"/>
      <c r="N88" s="1"/>
      <c r="P88" s="1"/>
      <c r="Q88" s="1"/>
      <c r="S88" s="1"/>
      <c r="T88" s="1"/>
    </row>
    <row r="99" spans="3:18" hidden="1">
      <c r="C99" s="2" t="s">
        <v>471</v>
      </c>
      <c r="D99" s="2" t="s">
        <v>472</v>
      </c>
    </row>
    <row r="100" spans="3:18" customFormat="1" hidden="1">
      <c r="C100" s="159">
        <v>10112.3965077312</v>
      </c>
      <c r="D100" s="159">
        <v>10615.676462653</v>
      </c>
      <c r="F100" s="160"/>
      <c r="I100" s="160"/>
      <c r="L100" s="160"/>
      <c r="O100" s="160"/>
      <c r="R100" s="160"/>
    </row>
    <row r="101" spans="3:18" customFormat="1" hidden="1">
      <c r="C101" s="159">
        <v>2529.5157395951701</v>
      </c>
      <c r="D101" s="159">
        <v>2655.4904152711802</v>
      </c>
      <c r="F101" s="160"/>
      <c r="I101" s="160"/>
      <c r="L101" s="160"/>
      <c r="O101" s="160"/>
      <c r="R101" s="160"/>
    </row>
    <row r="102" spans="3:18">
      <c r="D102" t="s">
        <v>146</v>
      </c>
    </row>
  </sheetData>
  <mergeCells count="10">
    <mergeCell ref="A16:B16"/>
    <mergeCell ref="C13:G13"/>
    <mergeCell ref="I13:M13"/>
    <mergeCell ref="O13:S13"/>
    <mergeCell ref="C14:D14"/>
    <mergeCell ref="F14:G14"/>
    <mergeCell ref="I14:J14"/>
    <mergeCell ref="L14:M14"/>
    <mergeCell ref="O14:P14"/>
    <mergeCell ref="R14:S14"/>
  </mergeCells>
  <conditionalFormatting sqref="C16:C79 I16:I79 O16:O79">
    <cfRule type="expression" dxfId="49" priority="5">
      <formula>F16&lt;$C$101</formula>
    </cfRule>
    <cfRule type="expression" dxfId="48" priority="6">
      <formula>F16&lt;$C$100</formula>
    </cfRule>
  </conditionalFormatting>
  <conditionalFormatting sqref="D16:D79 J16:J79 P16:P79">
    <cfRule type="expression" dxfId="47" priority="1">
      <formula>G16&lt;$D$101</formula>
    </cfRule>
    <cfRule type="expression" dxfId="46" priority="2">
      <formula>G16&lt;$D$100</formula>
    </cfRule>
  </conditionalFormatting>
  <conditionalFormatting sqref="F16:F79 L16:L79 R16:R79">
    <cfRule type="expression" dxfId="45" priority="9">
      <formula>F16&lt;$C$101</formula>
    </cfRule>
    <cfRule type="expression" dxfId="44" priority="10">
      <formula>F16&lt;$C$100</formula>
    </cfRule>
  </conditionalFormatting>
  <conditionalFormatting sqref="G16:G79 M16:M79 S16:S79">
    <cfRule type="expression" dxfId="43" priority="7">
      <formula>G16&lt;$D$101</formula>
    </cfRule>
    <cfRule type="expression" dxfId="42" priority="8">
      <formula>G16&lt;$D$100</formula>
    </cfRule>
  </conditionalFormatting>
  <conditionalFormatting sqref="J16:J79 P16:P79">
    <cfRule type="expression" dxfId="41" priority="3">
      <formula>G16&lt;$D$101</formula>
    </cfRule>
    <cfRule type="expression" dxfId="40" priority="4">
      <formula>G16&lt;$D$100</formula>
    </cfRule>
  </conditionalFormatting>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2" max="1048575" man="1"/>
    <brk id="18" max="1048575" man="1"/>
  </col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273FB-36AB-4F99-A1A1-9A51EDEC2261}">
  <dimension ref="A1:P102"/>
  <sheetViews>
    <sheetView workbookViewId="0">
      <pane xSplit="2" ySplit="15" topLeftCell="C16"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3" width="15.140625" style="2" customWidth="1"/>
    <col min="4" max="4" width="15.140625" style="1" customWidth="1"/>
    <col min="5" max="5" width="3.7109375" style="1" customWidth="1"/>
    <col min="6" max="6" width="15.140625" style="2" customWidth="1"/>
    <col min="7" max="7" width="15.140625" style="1" customWidth="1"/>
    <col min="8" max="16384" width="8.85546875" style="1"/>
  </cols>
  <sheetData>
    <row r="1" spans="1:7">
      <c r="A1" s="29"/>
      <c r="B1" s="29"/>
      <c r="C1" s="30"/>
      <c r="D1" s="29"/>
      <c r="E1" s="29"/>
      <c r="F1" s="30"/>
      <c r="G1" s="29"/>
    </row>
    <row r="2" spans="1:7">
      <c r="A2" s="29"/>
      <c r="B2" s="29"/>
      <c r="C2" s="30"/>
      <c r="D2" s="29"/>
      <c r="E2" s="29"/>
      <c r="F2" s="30"/>
      <c r="G2" s="29"/>
    </row>
    <row r="3" spans="1:7">
      <c r="A3" s="29"/>
      <c r="B3" s="29"/>
      <c r="C3" s="30"/>
      <c r="D3" s="29"/>
      <c r="E3" s="29"/>
      <c r="F3" s="30"/>
      <c r="G3" s="29"/>
    </row>
    <row r="4" spans="1:7">
      <c r="A4" s="29"/>
      <c r="B4" s="29"/>
      <c r="C4" s="30"/>
      <c r="D4" s="29"/>
      <c r="E4" s="29"/>
      <c r="F4" s="30"/>
      <c r="G4" s="29"/>
    </row>
    <row r="5" spans="1:7">
      <c r="A5" s="29"/>
      <c r="B5" s="29"/>
      <c r="C5" s="30"/>
      <c r="D5" s="29"/>
      <c r="E5" s="29"/>
      <c r="F5" s="30"/>
      <c r="G5" s="29"/>
    </row>
    <row r="6" spans="1:7">
      <c r="A6" s="29"/>
      <c r="B6" s="29"/>
      <c r="C6" s="30"/>
      <c r="D6" s="29"/>
      <c r="E6" s="29"/>
      <c r="F6" s="30"/>
      <c r="G6" s="29"/>
    </row>
    <row r="7" spans="1:7">
      <c r="A7" s="29"/>
      <c r="B7" s="29"/>
      <c r="C7" s="30"/>
      <c r="D7" s="29"/>
      <c r="E7" s="29"/>
      <c r="F7" s="30"/>
      <c r="G7" s="29"/>
    </row>
    <row r="8" spans="1:7">
      <c r="A8" s="30" t="str">
        <f>'32'!A8</f>
        <v>AusPlay survey results July 2024 - June 2025</v>
      </c>
      <c r="B8" s="29"/>
      <c r="C8" s="30"/>
      <c r="D8" s="108" t="s">
        <v>146</v>
      </c>
      <c r="E8" s="29"/>
      <c r="F8" s="30"/>
      <c r="G8" s="29"/>
    </row>
    <row r="9" spans="1:7">
      <c r="A9" s="29" t="s">
        <v>1</v>
      </c>
      <c r="B9" s="90" t="s">
        <v>2</v>
      </c>
      <c r="C9" s="30"/>
      <c r="D9" s="29"/>
      <c r="E9" s="29"/>
      <c r="F9" s="30"/>
      <c r="G9" s="29"/>
    </row>
    <row r="10" spans="1:7">
      <c r="A10" s="29" t="s">
        <v>49</v>
      </c>
      <c r="B10" s="31">
        <v>33</v>
      </c>
      <c r="C10" s="30"/>
      <c r="D10" s="29"/>
      <c r="E10" s="29"/>
      <c r="F10" s="30"/>
      <c r="G10" s="29"/>
    </row>
    <row r="11" spans="1:7">
      <c r="A11" s="29" t="s">
        <v>3</v>
      </c>
      <c r="B11" s="30" t="s">
        <v>9</v>
      </c>
      <c r="C11" s="30"/>
      <c r="D11" s="29"/>
      <c r="E11" s="29"/>
      <c r="F11" s="30"/>
      <c r="G11" s="29"/>
    </row>
    <row r="12" spans="1:7">
      <c r="A12" s="116" t="s">
        <v>50</v>
      </c>
      <c r="B12" s="117" t="s">
        <v>123</v>
      </c>
      <c r="C12" s="117"/>
      <c r="D12" s="116"/>
      <c r="E12" s="116"/>
      <c r="F12" s="117"/>
      <c r="G12" s="116"/>
    </row>
    <row r="13" spans="1:7" s="92" customFormat="1" ht="24.95" customHeight="1">
      <c r="A13" s="91"/>
      <c r="B13" s="91"/>
      <c r="C13" s="182" t="s">
        <v>52</v>
      </c>
      <c r="D13" s="182"/>
      <c r="E13" s="182"/>
      <c r="F13" s="182"/>
      <c r="G13" s="182"/>
    </row>
    <row r="14" spans="1:7">
      <c r="A14" s="32"/>
      <c r="B14" s="32"/>
      <c r="C14" s="181" t="s">
        <v>55</v>
      </c>
      <c r="D14" s="181"/>
      <c r="E14" s="57"/>
      <c r="F14" s="181" t="s">
        <v>56</v>
      </c>
      <c r="G14" s="181"/>
    </row>
    <row r="15" spans="1:7">
      <c r="A15" s="32"/>
      <c r="B15" s="32"/>
      <c r="C15" s="37" t="s">
        <v>471</v>
      </c>
      <c r="D15" s="37" t="s">
        <v>472</v>
      </c>
      <c r="E15" s="37"/>
      <c r="F15" s="37" t="s">
        <v>471</v>
      </c>
      <c r="G15" s="37" t="s">
        <v>472</v>
      </c>
    </row>
    <row r="16" spans="1:7">
      <c r="A16" s="35" t="s">
        <v>57</v>
      </c>
      <c r="B16" s="34"/>
      <c r="C16" s="28">
        <v>0.71152375922434896</v>
      </c>
      <c r="D16" s="28">
        <v>0.71724338763041207</v>
      </c>
      <c r="E16" s="28"/>
      <c r="F16" s="101">
        <v>3430378.276170664</v>
      </c>
      <c r="G16" s="101">
        <v>3460623.755104857</v>
      </c>
    </row>
    <row r="17" spans="1:7">
      <c r="A17" s="152" t="s">
        <v>473</v>
      </c>
      <c r="B17" s="34"/>
      <c r="C17" s="28"/>
      <c r="D17" s="28"/>
      <c r="E17" s="28"/>
      <c r="F17" s="101"/>
      <c r="G17" s="101"/>
    </row>
    <row r="18" spans="1:7">
      <c r="A18" s="152"/>
      <c r="B18" s="152" t="s">
        <v>474</v>
      </c>
      <c r="C18" s="102">
        <v>0.71082158563903131</v>
      </c>
      <c r="D18" s="102">
        <v>0.7189477258840391</v>
      </c>
      <c r="E18" s="102"/>
      <c r="F18" s="103">
        <v>1754374.0355136513</v>
      </c>
      <c r="G18" s="103">
        <v>1777208.2365711608</v>
      </c>
    </row>
    <row r="19" spans="1:7">
      <c r="A19" s="150"/>
      <c r="B19" s="152" t="s">
        <v>475</v>
      </c>
      <c r="C19" s="102">
        <v>0.71304205108199825</v>
      </c>
      <c r="D19" s="102">
        <v>0.71730053673529681</v>
      </c>
      <c r="E19" s="102"/>
      <c r="F19" s="103">
        <v>1662869.4684283806</v>
      </c>
      <c r="G19" s="103">
        <v>1676939.6149131453</v>
      </c>
    </row>
    <row r="20" spans="1:7">
      <c r="A20" s="34" t="s">
        <v>61</v>
      </c>
      <c r="B20" s="34"/>
      <c r="C20" s="102"/>
      <c r="D20" s="102"/>
      <c r="F20" s="103"/>
      <c r="G20" s="103"/>
    </row>
    <row r="21" spans="1:7">
      <c r="A21" s="34"/>
      <c r="B21" s="34" t="s">
        <v>124</v>
      </c>
      <c r="C21" s="102">
        <v>0.4720973972288327</v>
      </c>
      <c r="D21" s="102">
        <v>0.47391435704656909</v>
      </c>
      <c r="E21" s="102"/>
      <c r="F21" s="103">
        <v>721802.72795137402</v>
      </c>
      <c r="G21" s="103">
        <v>720572.40802780527</v>
      </c>
    </row>
    <row r="22" spans="1:7">
      <c r="A22" s="34"/>
      <c r="B22" s="34" t="s">
        <v>125</v>
      </c>
      <c r="C22" s="102">
        <v>0.8053396458491171</v>
      </c>
      <c r="D22" s="102">
        <v>0.82254079047571493</v>
      </c>
      <c r="E22" s="102"/>
      <c r="F22" s="103">
        <v>1041492.6880653528</v>
      </c>
      <c r="G22" s="103">
        <v>1061647.3366712814</v>
      </c>
    </row>
    <row r="23" spans="1:7">
      <c r="A23" s="34"/>
      <c r="B23" s="34" t="s">
        <v>126</v>
      </c>
      <c r="C23" s="102">
        <v>0.85644547798166171</v>
      </c>
      <c r="D23" s="102">
        <v>0.84213335620047347</v>
      </c>
      <c r="E23" s="102"/>
      <c r="F23" s="103">
        <v>856018.9304503958</v>
      </c>
      <c r="G23" s="103">
        <v>845513.11008261389</v>
      </c>
    </row>
    <row r="24" spans="1:7">
      <c r="A24" s="34"/>
      <c r="B24" s="34" t="s">
        <v>127</v>
      </c>
      <c r="C24" s="102">
        <v>0.81146303480973514</v>
      </c>
      <c r="D24" s="102">
        <v>0.82487396554094206</v>
      </c>
      <c r="E24" s="102"/>
      <c r="F24" s="103">
        <v>811063.9297035716</v>
      </c>
      <c r="G24" s="103">
        <v>832890.90032312379</v>
      </c>
    </row>
    <row r="25" spans="1:7">
      <c r="A25" s="34" t="s">
        <v>69</v>
      </c>
      <c r="B25" s="34"/>
      <c r="C25" s="102"/>
      <c r="D25" s="102"/>
      <c r="E25" s="102"/>
      <c r="F25" s="103"/>
      <c r="G25" s="103"/>
    </row>
    <row r="26" spans="1:7">
      <c r="A26" s="34"/>
      <c r="B26" s="34" t="s">
        <v>70</v>
      </c>
      <c r="C26" s="102">
        <v>0.71941363101138744</v>
      </c>
      <c r="D26" s="102">
        <v>0.73077739502689154</v>
      </c>
      <c r="E26" s="102"/>
      <c r="F26" s="103">
        <v>2513829.0791062065</v>
      </c>
      <c r="G26" s="103">
        <v>2556319.9418448932</v>
      </c>
    </row>
    <row r="27" spans="1:7">
      <c r="A27" s="34"/>
      <c r="B27" s="34" t="s">
        <v>71</v>
      </c>
      <c r="C27" s="102">
        <v>0.69188231186480886</v>
      </c>
      <c r="D27" s="102">
        <v>0.68075155569547718</v>
      </c>
      <c r="E27" s="102"/>
      <c r="F27" s="103">
        <v>580437.44280382525</v>
      </c>
      <c r="G27" s="103">
        <v>571019.37655262928</v>
      </c>
    </row>
    <row r="28" spans="1:7">
      <c r="A28" s="34"/>
      <c r="B28" s="34" t="s">
        <v>72</v>
      </c>
      <c r="C28" s="102">
        <v>0.67896042254252298</v>
      </c>
      <c r="D28" s="102">
        <v>0.6870056017907592</v>
      </c>
      <c r="E28" s="102"/>
      <c r="F28" s="103">
        <v>296265.44940504053</v>
      </c>
      <c r="G28" s="103">
        <v>289681.861315027</v>
      </c>
    </row>
    <row r="29" spans="1:7">
      <c r="A29" s="34"/>
      <c r="B29" s="34" t="s">
        <v>73</v>
      </c>
      <c r="C29" s="102">
        <v>0.7719146788662492</v>
      </c>
      <c r="D29" s="102">
        <v>0.65720270815958159</v>
      </c>
      <c r="E29" s="102"/>
      <c r="F29" s="103">
        <v>39846.304855638205</v>
      </c>
      <c r="G29" s="103">
        <v>43602.575392240302</v>
      </c>
    </row>
    <row r="30" spans="1:7">
      <c r="A30" s="34" t="s">
        <v>91</v>
      </c>
      <c r="B30" s="34"/>
      <c r="C30" s="102"/>
      <c r="D30" s="102"/>
      <c r="E30" s="102"/>
      <c r="F30" s="103"/>
      <c r="G30" s="103"/>
    </row>
    <row r="31" spans="1:7">
      <c r="A31" s="34"/>
      <c r="B31" s="34" t="s">
        <v>92</v>
      </c>
      <c r="C31" s="102">
        <v>0.70258720997739332</v>
      </c>
      <c r="D31" s="102">
        <v>0.70647792985776281</v>
      </c>
      <c r="E31" s="102"/>
      <c r="F31" s="103">
        <v>2823775.1245665597</v>
      </c>
      <c r="G31" s="103">
        <v>2871512.9841726539</v>
      </c>
    </row>
    <row r="32" spans="1:7">
      <c r="A32" s="34"/>
      <c r="B32" s="34" t="s">
        <v>93</v>
      </c>
      <c r="C32" s="102">
        <v>0.75627007839063154</v>
      </c>
      <c r="D32" s="102">
        <v>0.7480643568003148</v>
      </c>
      <c r="E32" s="102"/>
      <c r="F32" s="103">
        <v>246891.27892943486</v>
      </c>
      <c r="G32" s="103">
        <v>227139.46376666415</v>
      </c>
    </row>
    <row r="33" spans="1:7">
      <c r="A33" s="34"/>
      <c r="B33" s="34" t="s">
        <v>94</v>
      </c>
      <c r="C33" s="102">
        <v>0.75632821426603158</v>
      </c>
      <c r="D33" s="102">
        <v>0.79256092414430701</v>
      </c>
      <c r="F33" s="103">
        <v>359711.87267472263</v>
      </c>
      <c r="G33" s="103">
        <v>361971.30716550449</v>
      </c>
    </row>
    <row r="34" spans="1:7">
      <c r="A34" s="34"/>
      <c r="B34" s="34" t="s">
        <v>90</v>
      </c>
      <c r="C34" s="102">
        <v>0</v>
      </c>
      <c r="D34" s="102">
        <v>0</v>
      </c>
      <c r="F34" s="103">
        <v>0</v>
      </c>
      <c r="G34" s="103">
        <v>0</v>
      </c>
    </row>
    <row r="35" spans="1:7">
      <c r="A35" s="34" t="s">
        <v>128</v>
      </c>
      <c r="B35" s="34"/>
      <c r="C35" s="102"/>
      <c r="D35" s="102"/>
      <c r="E35" s="102"/>
      <c r="F35" s="103"/>
      <c r="G35" s="103"/>
    </row>
    <row r="36" spans="1:7">
      <c r="A36" s="34"/>
      <c r="B36" s="34" t="s">
        <v>98</v>
      </c>
      <c r="C36" s="102">
        <v>0.73825475264421125</v>
      </c>
      <c r="D36" s="102">
        <v>0.70116089342411281</v>
      </c>
      <c r="E36" s="102"/>
      <c r="F36" s="103">
        <v>366641.67726408422</v>
      </c>
      <c r="G36" s="103">
        <v>256982.72223222192</v>
      </c>
    </row>
    <row r="37" spans="1:7">
      <c r="A37" s="34"/>
      <c r="B37" s="34" t="s">
        <v>99</v>
      </c>
      <c r="C37" s="102">
        <v>0.70900774086175555</v>
      </c>
      <c r="D37" s="102">
        <v>0.71956266516634959</v>
      </c>
      <c r="E37" s="102"/>
      <c r="F37" s="103">
        <v>2985749.8025204921</v>
      </c>
      <c r="G37" s="103">
        <v>3118586.6314698784</v>
      </c>
    </row>
    <row r="38" spans="1:7">
      <c r="A38" s="34"/>
      <c r="B38" s="34" t="s">
        <v>100</v>
      </c>
      <c r="C38" s="102">
        <v>0.68788371304816753</v>
      </c>
      <c r="D38" s="102">
        <v>0.68381914593976134</v>
      </c>
      <c r="E38" s="102"/>
      <c r="F38" s="103">
        <v>77986.796386118003</v>
      </c>
      <c r="G38" s="103">
        <v>85054.401402740303</v>
      </c>
    </row>
    <row r="39" spans="1:7">
      <c r="A39" s="34" t="s">
        <v>129</v>
      </c>
      <c r="B39" s="34"/>
      <c r="C39" s="102"/>
      <c r="D39" s="102"/>
      <c r="E39" s="102"/>
      <c r="F39" s="103"/>
      <c r="G39" s="103"/>
    </row>
    <row r="40" spans="1:7">
      <c r="A40" s="34"/>
      <c r="B40" s="34" t="s">
        <v>102</v>
      </c>
      <c r="C40" s="102">
        <v>0.70242313813364055</v>
      </c>
      <c r="D40" s="102">
        <v>0.70892376407969504</v>
      </c>
      <c r="E40" s="102"/>
      <c r="F40" s="103">
        <v>2720800.7976302463</v>
      </c>
      <c r="G40" s="103">
        <v>2747779.5199323012</v>
      </c>
    </row>
    <row r="41" spans="1:7">
      <c r="A41" s="34"/>
      <c r="B41" s="34" t="s">
        <v>103</v>
      </c>
      <c r="C41" s="102">
        <v>0.75161782057828463</v>
      </c>
      <c r="D41" s="102">
        <v>0.75541627046515769</v>
      </c>
      <c r="E41" s="102"/>
      <c r="F41" s="103">
        <v>673089.96482155088</v>
      </c>
      <c r="G41" s="103">
        <v>681870.91176682885</v>
      </c>
    </row>
    <row r="42" spans="1:7">
      <c r="A42" s="34" t="s">
        <v>105</v>
      </c>
      <c r="B42" s="34"/>
      <c r="C42" s="102"/>
      <c r="D42" s="102"/>
      <c r="F42" s="103"/>
      <c r="G42" s="103"/>
    </row>
    <row r="43" spans="1:7">
      <c r="A43" s="34"/>
      <c r="B43" s="36" t="s">
        <v>106</v>
      </c>
      <c r="C43" s="102">
        <v>0.62201141885113753</v>
      </c>
      <c r="D43" s="102">
        <v>0.5794722038701513</v>
      </c>
      <c r="E43" s="102"/>
      <c r="F43" s="103">
        <v>162249.92946207873</v>
      </c>
      <c r="G43" s="103">
        <v>145717.95747388175</v>
      </c>
    </row>
    <row r="44" spans="1:7">
      <c r="A44" s="34"/>
      <c r="B44" s="34" t="s">
        <v>107</v>
      </c>
      <c r="C44" s="102">
        <v>0.64836898601919668</v>
      </c>
      <c r="D44" s="102">
        <v>0.69312513937989673</v>
      </c>
      <c r="E44" s="102"/>
      <c r="F44" s="103">
        <v>331182.84527014196</v>
      </c>
      <c r="G44" s="103">
        <v>271589.02419403073</v>
      </c>
    </row>
    <row r="45" spans="1:7">
      <c r="A45" s="34"/>
      <c r="B45" s="34" t="s">
        <v>108</v>
      </c>
      <c r="C45" s="102">
        <v>0.66771438407100869</v>
      </c>
      <c r="D45" s="102">
        <v>0.67248883999376052</v>
      </c>
      <c r="E45" s="102"/>
      <c r="F45" s="103">
        <v>540969.25774918427</v>
      </c>
      <c r="G45" s="103">
        <v>435758.959210122</v>
      </c>
    </row>
    <row r="46" spans="1:7">
      <c r="A46" s="34"/>
      <c r="B46" s="34" t="s">
        <v>109</v>
      </c>
      <c r="C46" s="102">
        <v>0.71285343887028607</v>
      </c>
      <c r="D46" s="102">
        <v>0.71460712771551416</v>
      </c>
      <c r="E46" s="102"/>
      <c r="F46" s="103">
        <v>921577.22061174607</v>
      </c>
      <c r="G46" s="103">
        <v>964245.8005740043</v>
      </c>
    </row>
    <row r="47" spans="1:7">
      <c r="A47" s="34"/>
      <c r="B47" s="34" t="s">
        <v>110</v>
      </c>
      <c r="C47" s="102">
        <v>0.75316026886362442</v>
      </c>
      <c r="D47" s="102">
        <v>0.72723546880413492</v>
      </c>
      <c r="E47" s="102"/>
      <c r="F47" s="103">
        <v>582937.27870500146</v>
      </c>
      <c r="G47" s="103">
        <v>612397.78902652464</v>
      </c>
    </row>
    <row r="48" spans="1:7">
      <c r="A48" s="34"/>
      <c r="B48" s="34" t="s">
        <v>111</v>
      </c>
      <c r="C48" s="102">
        <v>0.78439874707191526</v>
      </c>
      <c r="D48" s="102">
        <v>0.7929964069812967</v>
      </c>
      <c r="E48" s="102"/>
      <c r="F48" s="103">
        <v>586162.11847576138</v>
      </c>
      <c r="G48" s="103">
        <v>746289.18664127379</v>
      </c>
    </row>
    <row r="49" spans="1:16">
      <c r="A49" s="34"/>
      <c r="B49" s="34" t="s">
        <v>112</v>
      </c>
      <c r="C49" s="102">
        <v>0.71786943033312678</v>
      </c>
      <c r="D49" s="102">
        <v>0.7096315645877439</v>
      </c>
      <c r="E49" s="102"/>
      <c r="F49" s="103">
        <v>305299.62589678867</v>
      </c>
      <c r="G49" s="103">
        <v>284625.03798498749</v>
      </c>
    </row>
    <row r="50" spans="1:16">
      <c r="A50" s="118"/>
      <c r="B50" s="118"/>
      <c r="C50" s="155"/>
      <c r="D50" s="119"/>
      <c r="E50" s="119"/>
      <c r="F50" s="156"/>
      <c r="G50" s="157"/>
      <c r="H50" s="119"/>
      <c r="I50" s="155"/>
      <c r="J50" s="119"/>
      <c r="K50" s="119"/>
      <c r="L50" s="161"/>
      <c r="M50" s="162"/>
    </row>
    <row r="51" spans="1:16" ht="16.5" customHeight="1">
      <c r="A51" s="19" t="s">
        <v>130</v>
      </c>
      <c r="B51" s="18"/>
      <c r="C51" s="102"/>
      <c r="D51" s="102"/>
      <c r="F51" s="103"/>
      <c r="G51" s="103"/>
    </row>
    <row r="52" spans="1:16" ht="16.5" customHeight="1">
      <c r="A52" s="130" t="s">
        <v>117</v>
      </c>
      <c r="B52" s="17"/>
      <c r="C52" s="102"/>
      <c r="D52" s="102"/>
      <c r="E52" s="102"/>
      <c r="F52" s="103"/>
      <c r="G52" s="103"/>
    </row>
    <row r="53" spans="1:16" ht="15" customHeight="1">
      <c r="A53" s="24" t="s">
        <v>120</v>
      </c>
      <c r="B53" s="24"/>
      <c r="C53" s="102"/>
      <c r="D53" s="102"/>
      <c r="E53" s="102"/>
      <c r="F53" s="103"/>
      <c r="G53" s="103"/>
      <c r="H53" s="2"/>
      <c r="L53" s="2"/>
      <c r="P53" s="2"/>
    </row>
    <row r="54" spans="1:16">
      <c r="A54" s="16" t="s">
        <v>118</v>
      </c>
      <c r="B54" s="17"/>
      <c r="C54" s="102"/>
      <c r="D54" s="102"/>
      <c r="E54" s="102"/>
      <c r="F54" s="103"/>
      <c r="G54" s="103"/>
    </row>
    <row r="55" spans="1:16">
      <c r="A55" s="16" t="s">
        <v>119</v>
      </c>
      <c r="C55" s="102"/>
      <c r="D55" s="102"/>
      <c r="E55" s="102"/>
      <c r="F55" s="103"/>
      <c r="G55" s="103"/>
    </row>
    <row r="56" spans="1:16">
      <c r="A56" s="16" t="s">
        <v>121</v>
      </c>
      <c r="C56" s="102"/>
      <c r="D56" s="102"/>
      <c r="F56" s="103"/>
      <c r="G56" s="103"/>
    </row>
    <row r="57" spans="1:16">
      <c r="A57" s="16" t="s">
        <v>122</v>
      </c>
      <c r="C57" s="102"/>
      <c r="D57" s="102"/>
      <c r="E57" s="102"/>
      <c r="F57" s="103"/>
      <c r="G57" s="103"/>
    </row>
    <row r="58" spans="1:16">
      <c r="C58" s="102"/>
      <c r="D58" s="102"/>
      <c r="E58" s="102"/>
      <c r="F58" s="103"/>
      <c r="G58" s="103"/>
    </row>
    <row r="59" spans="1:16">
      <c r="C59" s="102"/>
      <c r="D59" s="102"/>
      <c r="E59" s="102"/>
      <c r="F59" s="103"/>
      <c r="G59" s="103"/>
    </row>
    <row r="60" spans="1:16">
      <c r="C60" s="102"/>
      <c r="D60" s="102"/>
      <c r="F60" s="103"/>
      <c r="G60" s="103"/>
    </row>
    <row r="61" spans="1:16">
      <c r="C61" s="102"/>
      <c r="D61" s="102"/>
      <c r="E61" s="102"/>
      <c r="F61" s="103"/>
      <c r="G61" s="103"/>
    </row>
    <row r="62" spans="1:16">
      <c r="C62" s="102"/>
      <c r="D62" s="102"/>
      <c r="E62" s="102"/>
      <c r="F62" s="103"/>
      <c r="G62" s="103"/>
    </row>
    <row r="63" spans="1:16">
      <c r="C63" s="102"/>
      <c r="D63" s="102"/>
      <c r="E63" s="102"/>
      <c r="F63" s="103"/>
      <c r="G63" s="103"/>
    </row>
    <row r="64" spans="1:16">
      <c r="C64" s="102"/>
      <c r="D64" s="102"/>
      <c r="F64" s="103"/>
      <c r="G64" s="103"/>
    </row>
    <row r="65" spans="3:7">
      <c r="C65" s="102"/>
      <c r="D65" s="102"/>
      <c r="F65" s="103"/>
      <c r="G65" s="103"/>
    </row>
    <row r="66" spans="3:7">
      <c r="C66" s="102"/>
      <c r="D66" s="102"/>
      <c r="F66" s="103"/>
      <c r="G66" s="103"/>
    </row>
    <row r="67" spans="3:7">
      <c r="C67" s="102"/>
      <c r="D67" s="102"/>
      <c r="E67" s="102"/>
      <c r="F67" s="103"/>
      <c r="G67" s="103"/>
    </row>
    <row r="68" spans="3:7">
      <c r="C68" s="102"/>
      <c r="D68" s="102"/>
      <c r="F68" s="103"/>
      <c r="G68" s="103"/>
    </row>
    <row r="69" spans="3:7">
      <c r="C69" s="102"/>
      <c r="D69" s="102"/>
      <c r="E69" s="102"/>
      <c r="F69" s="103"/>
      <c r="G69" s="103"/>
    </row>
    <row r="70" spans="3:7">
      <c r="C70" s="102"/>
      <c r="D70" s="102"/>
      <c r="E70" s="102"/>
      <c r="F70" s="103"/>
      <c r="G70" s="103"/>
    </row>
    <row r="71" spans="3:7">
      <c r="C71" s="102"/>
      <c r="D71" s="102"/>
      <c r="E71" s="102"/>
      <c r="F71" s="103"/>
      <c r="G71" s="103"/>
    </row>
    <row r="72" spans="3:7">
      <c r="C72" s="102"/>
      <c r="D72" s="102"/>
      <c r="F72" s="103"/>
      <c r="G72" s="103"/>
    </row>
    <row r="73" spans="3:7">
      <c r="C73" s="102"/>
      <c r="D73" s="102"/>
      <c r="F73" s="103"/>
      <c r="G73" s="103"/>
    </row>
    <row r="74" spans="3:7">
      <c r="C74" s="102"/>
      <c r="D74" s="102"/>
      <c r="F74" s="103"/>
      <c r="G74" s="103"/>
    </row>
    <row r="75" spans="3:7">
      <c r="C75" s="102"/>
      <c r="D75" s="102"/>
      <c r="E75" s="102"/>
      <c r="F75" s="103"/>
      <c r="G75" s="103"/>
    </row>
    <row r="76" spans="3:7">
      <c r="C76" s="102"/>
      <c r="D76" s="102"/>
      <c r="E76" s="102"/>
      <c r="F76" s="103"/>
      <c r="G76" s="103"/>
    </row>
    <row r="77" spans="3:7">
      <c r="C77" s="102"/>
      <c r="D77" s="102"/>
      <c r="F77" s="103"/>
      <c r="G77" s="103"/>
    </row>
    <row r="78" spans="3:7">
      <c r="C78" s="102"/>
      <c r="D78" s="102"/>
      <c r="F78" s="103"/>
      <c r="G78" s="103"/>
    </row>
    <row r="79" spans="3:7">
      <c r="C79" s="102"/>
      <c r="D79" s="102"/>
      <c r="E79" s="102"/>
      <c r="F79" s="103"/>
      <c r="G79" s="103"/>
    </row>
    <row r="80" spans="3:7">
      <c r="C80" s="28"/>
      <c r="D80" s="102"/>
      <c r="F80" s="127"/>
      <c r="G80" s="128"/>
    </row>
    <row r="81" spans="3:7">
      <c r="C81" s="28"/>
      <c r="D81" s="102"/>
      <c r="E81" s="4"/>
      <c r="F81" s="127"/>
      <c r="G81" s="128"/>
    </row>
    <row r="99" spans="3:12" hidden="1">
      <c r="C99" s="2" t="s">
        <v>471</v>
      </c>
      <c r="D99" s="2" t="s">
        <v>472</v>
      </c>
      <c r="I99" s="2"/>
      <c r="L99" s="2"/>
    </row>
    <row r="100" spans="3:12" customFormat="1" hidden="1">
      <c r="C100" s="159">
        <v>8492.8340213872998</v>
      </c>
      <c r="D100" s="159">
        <v>8878.83748454548</v>
      </c>
      <c r="F100" s="160"/>
      <c r="I100" s="160"/>
      <c r="L100" s="160"/>
    </row>
    <row r="101" spans="3:12" customFormat="1" hidden="1">
      <c r="C101" s="159">
        <v>2126.5449097740002</v>
      </c>
      <c r="D101" s="159">
        <v>2223.1949895737898</v>
      </c>
      <c r="F101" s="160"/>
      <c r="I101" s="160"/>
      <c r="L101" s="160"/>
    </row>
    <row r="102" spans="3:12">
      <c r="D102" t="s">
        <v>146</v>
      </c>
    </row>
  </sheetData>
  <mergeCells count="3">
    <mergeCell ref="C13:G13"/>
    <mergeCell ref="C14:D14"/>
    <mergeCell ref="F14:G14"/>
  </mergeCells>
  <conditionalFormatting sqref="C16:C49">
    <cfRule type="expression" dxfId="39" priority="3">
      <formula>F16&lt;$C$101</formula>
    </cfRule>
    <cfRule type="expression" dxfId="38" priority="4">
      <formula>F16&lt;$C$100</formula>
    </cfRule>
  </conditionalFormatting>
  <conditionalFormatting sqref="D16:D49">
    <cfRule type="expression" dxfId="37" priority="1">
      <formula>G16&lt;$D$101</formula>
    </cfRule>
    <cfRule type="expression" dxfId="36" priority="2">
      <formula>G16&lt;$D$100</formula>
    </cfRule>
  </conditionalFormatting>
  <conditionalFormatting sqref="F16:F49">
    <cfRule type="expression" dxfId="35" priority="7">
      <formula>F16&lt;$C$101</formula>
    </cfRule>
    <cfRule type="expression" dxfId="34" priority="8">
      <formula>F16&lt;$C$100</formula>
    </cfRule>
  </conditionalFormatting>
  <conditionalFormatting sqref="G16:G49">
    <cfRule type="expression" dxfId="33" priority="5">
      <formula>G16&lt;$D$101</formula>
    </cfRule>
    <cfRule type="expression" dxfId="32" priority="6">
      <formula>G16&lt;$D$100</formula>
    </cfRule>
  </conditionalFormatting>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598E5-9440-434B-A306-9073321D85D5}">
  <sheetPr>
    <pageSetUpPr fitToPage="1"/>
  </sheetPr>
  <dimension ref="A1:L105"/>
  <sheetViews>
    <sheetView workbookViewId="0">
      <pane xSplit="3" ySplit="14" topLeftCell="D15" activePane="bottomRight" state="frozen"/>
      <selection pane="bottomRight"/>
      <selection pane="bottomLeft"/>
      <selection pane="topRight"/>
    </sheetView>
  </sheetViews>
  <sheetFormatPr defaultColWidth="8.85546875" defaultRowHeight="15"/>
  <cols>
    <col min="1" max="1" width="11" style="1" customWidth="1"/>
    <col min="2" max="2" width="13" style="1" customWidth="1"/>
    <col min="3" max="3" width="30.140625" style="1" customWidth="1"/>
    <col min="4" max="12" width="14.7109375" style="1" customWidth="1"/>
    <col min="13" max="14" width="8.85546875" style="1"/>
    <col min="15" max="15" width="29.7109375" style="1" bestFit="1" customWidth="1"/>
    <col min="16" max="16" width="34" style="1" bestFit="1" customWidth="1"/>
    <col min="17" max="17" width="26" style="1" bestFit="1" customWidth="1"/>
    <col min="18" max="18" width="27.85546875" style="1" bestFit="1" customWidth="1"/>
    <col min="19" max="19" width="36.28515625" style="1" bestFit="1" customWidth="1"/>
    <col min="20" max="20" width="13.42578125" style="1" bestFit="1" customWidth="1"/>
    <col min="21" max="21" width="32.85546875" style="1" bestFit="1" customWidth="1"/>
    <col min="22" max="22" width="11.85546875" style="1" bestFit="1" customWidth="1"/>
    <col min="23" max="24" width="8.85546875" style="1"/>
    <col min="25" max="25" width="19.7109375" style="1" bestFit="1" customWidth="1"/>
    <col min="26" max="26" width="8.85546875" style="1"/>
    <col min="27" max="27" width="24.42578125" style="1" bestFit="1" customWidth="1"/>
    <col min="28" max="28" width="25.85546875" style="1" bestFit="1" customWidth="1"/>
    <col min="29" max="29" width="17" style="1" bestFit="1" customWidth="1"/>
    <col min="30" max="16384" width="8.85546875" style="1"/>
  </cols>
  <sheetData>
    <row r="1" spans="1:12">
      <c r="A1" s="29"/>
      <c r="B1" s="29"/>
      <c r="C1" s="29"/>
      <c r="D1" s="29"/>
      <c r="E1" s="29"/>
      <c r="F1" s="29"/>
      <c r="G1" s="29"/>
      <c r="H1" s="29"/>
      <c r="I1" s="29"/>
      <c r="J1" s="29"/>
      <c r="K1" s="29"/>
      <c r="L1" s="29"/>
    </row>
    <row r="2" spans="1:12">
      <c r="A2" s="29"/>
      <c r="B2" s="29"/>
      <c r="C2" s="29"/>
      <c r="D2" s="29"/>
      <c r="E2" s="29"/>
      <c r="F2" s="29"/>
      <c r="G2" s="29"/>
      <c r="H2" s="29"/>
      <c r="I2" s="29"/>
      <c r="J2" s="29"/>
      <c r="K2" s="29"/>
      <c r="L2" s="29"/>
    </row>
    <row r="3" spans="1:12">
      <c r="A3" s="29"/>
      <c r="B3" s="29"/>
      <c r="C3" s="29"/>
      <c r="D3" s="29"/>
      <c r="E3" s="29"/>
      <c r="F3" s="29"/>
      <c r="G3" s="29"/>
      <c r="H3" s="29"/>
      <c r="I3" s="29"/>
      <c r="J3" s="29"/>
      <c r="K3" s="29"/>
      <c r="L3" s="29"/>
    </row>
    <row r="4" spans="1:12">
      <c r="A4" s="29"/>
      <c r="B4" s="29"/>
      <c r="C4" s="29"/>
      <c r="D4" s="29"/>
      <c r="E4" s="29"/>
      <c r="F4" s="29"/>
      <c r="G4" s="29"/>
      <c r="H4" s="29"/>
      <c r="I4" s="29"/>
      <c r="J4" s="29"/>
      <c r="K4" s="29"/>
      <c r="L4" s="29"/>
    </row>
    <row r="5" spans="1:12">
      <c r="A5" s="29"/>
      <c r="B5" s="29"/>
      <c r="C5" s="29"/>
      <c r="D5" s="29"/>
      <c r="E5" s="29"/>
      <c r="F5" s="29"/>
      <c r="G5" s="29"/>
      <c r="H5" s="29"/>
      <c r="I5" s="29"/>
      <c r="J5" s="29"/>
      <c r="K5" s="29"/>
      <c r="L5" s="29"/>
    </row>
    <row r="6" spans="1:12">
      <c r="A6" s="29"/>
      <c r="B6" s="29"/>
      <c r="C6" s="29"/>
      <c r="D6" s="29"/>
      <c r="E6" s="29"/>
      <c r="F6" s="29"/>
      <c r="G6" s="29"/>
      <c r="H6" s="29"/>
      <c r="I6" s="29"/>
      <c r="J6" s="29"/>
      <c r="K6" s="29"/>
      <c r="L6" s="29"/>
    </row>
    <row r="7" spans="1:12">
      <c r="A7" s="29"/>
      <c r="B7" s="29"/>
      <c r="C7" s="29"/>
      <c r="D7" s="29"/>
      <c r="E7" s="29"/>
      <c r="F7" s="29"/>
      <c r="G7" s="29"/>
      <c r="H7" s="29"/>
      <c r="I7" s="29"/>
      <c r="J7" s="29"/>
      <c r="K7" s="29"/>
      <c r="L7" s="29"/>
    </row>
    <row r="8" spans="1:12">
      <c r="A8" s="30" t="s">
        <v>0</v>
      </c>
      <c r="B8" s="29"/>
      <c r="C8" s="29"/>
      <c r="D8" s="29"/>
      <c r="E8" s="29"/>
      <c r="F8" s="29"/>
      <c r="G8" s="29"/>
      <c r="H8" s="29"/>
      <c r="I8" s="29"/>
      <c r="J8" s="29"/>
      <c r="K8" s="29"/>
      <c r="L8" s="29"/>
    </row>
    <row r="9" spans="1:12">
      <c r="A9" s="29" t="s">
        <v>1</v>
      </c>
      <c r="B9" s="29"/>
      <c r="C9" s="90" t="s">
        <v>2</v>
      </c>
      <c r="D9" s="29"/>
      <c r="E9" s="29"/>
      <c r="F9" s="108" t="s">
        <v>146</v>
      </c>
      <c r="G9" s="29"/>
      <c r="H9" s="29"/>
      <c r="I9" s="29"/>
      <c r="J9" s="29"/>
      <c r="K9" s="29"/>
      <c r="L9" s="29"/>
    </row>
    <row r="10" spans="1:12">
      <c r="A10" s="29" t="s">
        <v>49</v>
      </c>
      <c r="B10" s="29"/>
      <c r="C10" s="31">
        <v>34</v>
      </c>
      <c r="D10" s="29"/>
      <c r="E10" s="29"/>
      <c r="F10" s="29"/>
      <c r="G10" s="29"/>
      <c r="H10" s="29"/>
      <c r="I10" s="29"/>
      <c r="J10" s="29"/>
      <c r="K10" s="29"/>
      <c r="L10" s="29"/>
    </row>
    <row r="11" spans="1:12">
      <c r="A11" s="29" t="s">
        <v>3</v>
      </c>
      <c r="B11" s="29"/>
      <c r="C11" s="30" t="s">
        <v>43</v>
      </c>
      <c r="D11" s="29"/>
      <c r="E11" s="29"/>
      <c r="F11" s="29"/>
      <c r="G11" s="29"/>
      <c r="H11" s="29"/>
      <c r="I11" s="29"/>
      <c r="J11" s="29"/>
      <c r="K11" s="29"/>
      <c r="L11" s="29"/>
    </row>
    <row r="12" spans="1:12">
      <c r="A12" s="116" t="s">
        <v>50</v>
      </c>
      <c r="B12" s="116"/>
      <c r="C12" s="117" t="s">
        <v>51</v>
      </c>
      <c r="D12" s="116"/>
      <c r="E12" s="116"/>
      <c r="F12" s="116"/>
      <c r="G12" s="116"/>
      <c r="H12" s="116"/>
      <c r="I12" s="116"/>
      <c r="J12" s="116"/>
      <c r="K12" s="116"/>
      <c r="L12" s="116"/>
    </row>
    <row r="13" spans="1:12" s="2" customFormat="1" ht="50.1" customHeight="1">
      <c r="A13" s="37"/>
      <c r="B13" s="37"/>
      <c r="C13" s="55"/>
      <c r="D13" s="55" t="s">
        <v>476</v>
      </c>
      <c r="E13" s="55" t="s">
        <v>477</v>
      </c>
      <c r="F13" s="55" t="s">
        <v>478</v>
      </c>
      <c r="G13" s="55" t="s">
        <v>479</v>
      </c>
      <c r="H13" s="55" t="s">
        <v>480</v>
      </c>
      <c r="I13" s="55" t="s">
        <v>481</v>
      </c>
      <c r="J13" s="55" t="s">
        <v>482</v>
      </c>
      <c r="K13" s="55" t="s">
        <v>483</v>
      </c>
      <c r="L13" s="55" t="s">
        <v>484</v>
      </c>
    </row>
    <row r="14" spans="1:12">
      <c r="A14" s="67"/>
      <c r="B14" s="67"/>
      <c r="C14" s="67"/>
      <c r="D14" s="187" t="s">
        <v>144</v>
      </c>
      <c r="E14" s="187"/>
      <c r="F14" s="187"/>
      <c r="G14" s="187"/>
      <c r="H14" s="187"/>
      <c r="I14" s="187"/>
      <c r="J14" s="187"/>
      <c r="K14" s="187"/>
      <c r="L14" s="187"/>
    </row>
    <row r="15" spans="1:12">
      <c r="A15" s="34" t="s">
        <v>145</v>
      </c>
      <c r="B15" s="152" t="s">
        <v>471</v>
      </c>
      <c r="C15" s="34" t="s">
        <v>485</v>
      </c>
      <c r="D15" s="4">
        <v>0.92066643321660346</v>
      </c>
      <c r="E15" s="4">
        <v>0.84006272026297124</v>
      </c>
      <c r="F15" s="4">
        <v>0.8538610586277241</v>
      </c>
      <c r="G15" s="4">
        <v>0.82342034984638213</v>
      </c>
      <c r="H15" s="4">
        <v>0.816702996977274</v>
      </c>
      <c r="I15" s="4">
        <v>0.8548141367971438</v>
      </c>
      <c r="J15" s="4">
        <v>0.85387913605844101</v>
      </c>
      <c r="K15" s="4">
        <v>0.84973176669863459</v>
      </c>
      <c r="L15" s="4">
        <v>0.84147262887967178</v>
      </c>
    </row>
    <row r="16" spans="1:12">
      <c r="A16" s="34"/>
      <c r="B16" s="34"/>
      <c r="C16" s="34" t="s">
        <v>486</v>
      </c>
      <c r="D16" s="4">
        <v>0.77915827740390231</v>
      </c>
      <c r="E16" s="4">
        <v>0.64823426786173988</v>
      </c>
      <c r="F16" s="4">
        <v>0.67812205718600027</v>
      </c>
      <c r="G16" s="4">
        <v>0.64922782486937247</v>
      </c>
      <c r="H16" s="4">
        <v>0.64540455753107218</v>
      </c>
      <c r="I16" s="4">
        <v>0.69341505633691214</v>
      </c>
      <c r="J16" s="4">
        <v>0.6741768596637594</v>
      </c>
      <c r="K16" s="4">
        <v>0.65893972586050176</v>
      </c>
      <c r="L16" s="4">
        <v>0.65960373750651546</v>
      </c>
    </row>
    <row r="17" spans="1:12">
      <c r="A17" s="34"/>
      <c r="B17" s="34"/>
      <c r="C17" s="34" t="s">
        <v>487</v>
      </c>
      <c r="D17" s="4">
        <v>0.57968541004351537</v>
      </c>
      <c r="E17" s="4">
        <v>0.46152378557249141</v>
      </c>
      <c r="F17" s="4">
        <v>0.47902806640434781</v>
      </c>
      <c r="G17" s="4">
        <v>0.46815919864367295</v>
      </c>
      <c r="H17" s="4">
        <v>0.44958334799512911</v>
      </c>
      <c r="I17" s="4">
        <v>0.51533975766218654</v>
      </c>
      <c r="J17" s="4">
        <v>0.49518124872083596</v>
      </c>
      <c r="K17" s="4">
        <v>0.48196978735154949</v>
      </c>
      <c r="L17" s="4">
        <v>0.47627951648699962</v>
      </c>
    </row>
    <row r="18" spans="1:12">
      <c r="A18" s="34"/>
      <c r="B18" s="152" t="s">
        <v>472</v>
      </c>
      <c r="C18" s="34" t="s">
        <v>485</v>
      </c>
      <c r="D18" s="4">
        <v>0.91274243058840576</v>
      </c>
      <c r="E18" s="4">
        <v>0.85049325531846809</v>
      </c>
      <c r="F18" s="4">
        <v>0.91581446780168796</v>
      </c>
      <c r="G18" s="4">
        <v>0.83395753252541516</v>
      </c>
      <c r="H18" s="4">
        <v>0.84491779044530657</v>
      </c>
      <c r="I18" s="4">
        <v>0.86091879263174576</v>
      </c>
      <c r="J18" s="4">
        <v>0.86963982973966791</v>
      </c>
      <c r="K18" s="4">
        <v>0.86792569011603171</v>
      </c>
      <c r="L18" s="4">
        <v>0.85544795004656959</v>
      </c>
    </row>
    <row r="19" spans="1:12">
      <c r="A19" s="34"/>
      <c r="B19" s="34"/>
      <c r="C19" s="34" t="s">
        <v>486</v>
      </c>
      <c r="D19" s="4">
        <v>0.77213243842482071</v>
      </c>
      <c r="E19" s="4">
        <v>0.66175628219414417</v>
      </c>
      <c r="F19" s="4">
        <v>0.75299921088354815</v>
      </c>
      <c r="G19" s="4">
        <v>0.6611761963152365</v>
      </c>
      <c r="H19" s="4">
        <v>0.65913185226579285</v>
      </c>
      <c r="I19" s="4">
        <v>0.69156148192353217</v>
      </c>
      <c r="J19" s="4">
        <v>0.6958765549601551</v>
      </c>
      <c r="K19" s="4">
        <v>0.69633832699689313</v>
      </c>
      <c r="L19" s="4">
        <v>0.67738112330036404</v>
      </c>
    </row>
    <row r="20" spans="1:12">
      <c r="A20" s="34"/>
      <c r="B20" s="34"/>
      <c r="C20" s="34" t="s">
        <v>487</v>
      </c>
      <c r="D20" s="4">
        <v>0.59696698971728346</v>
      </c>
      <c r="E20" s="4">
        <v>0.47043008207545706</v>
      </c>
      <c r="F20" s="4">
        <v>0.55991449399743254</v>
      </c>
      <c r="G20" s="4">
        <v>0.48748770856238544</v>
      </c>
      <c r="H20" s="4">
        <v>0.47711659264416589</v>
      </c>
      <c r="I20" s="4">
        <v>0.52846136763036666</v>
      </c>
      <c r="J20" s="4">
        <v>0.5005129089977729</v>
      </c>
      <c r="K20" s="4">
        <v>0.50514046748804653</v>
      </c>
      <c r="L20" s="4">
        <v>0.49015856907537303</v>
      </c>
    </row>
    <row r="21" spans="1:12">
      <c r="A21" s="34"/>
      <c r="B21" s="34"/>
      <c r="C21" s="34"/>
      <c r="D21" s="4"/>
      <c r="E21" s="4"/>
      <c r="F21" s="4"/>
      <c r="G21" s="4"/>
      <c r="H21" s="4"/>
      <c r="I21" s="4"/>
      <c r="J21" s="4"/>
      <c r="K21" s="4"/>
      <c r="L21" s="4"/>
    </row>
    <row r="22" spans="1:12">
      <c r="A22" s="34" t="s">
        <v>58</v>
      </c>
      <c r="B22" s="152" t="s">
        <v>471</v>
      </c>
      <c r="C22" s="34" t="s">
        <v>485</v>
      </c>
      <c r="D22" s="4">
        <v>0.92595992805685456</v>
      </c>
      <c r="E22" s="4">
        <v>0.85797669862599779</v>
      </c>
      <c r="F22" s="4">
        <v>0.88758185192994132</v>
      </c>
      <c r="G22" s="4">
        <v>0.83621908128692213</v>
      </c>
      <c r="H22" s="4">
        <v>0.82632627116755786</v>
      </c>
      <c r="I22" s="4">
        <v>0.8556280223273417</v>
      </c>
      <c r="J22" s="4">
        <v>0.86261544943452995</v>
      </c>
      <c r="K22" s="4">
        <v>0.85007246315534812</v>
      </c>
      <c r="L22" s="4">
        <v>0.8531169249097641</v>
      </c>
    </row>
    <row r="23" spans="1:12" ht="14.45" customHeight="1">
      <c r="A23" s="34"/>
      <c r="B23" s="34"/>
      <c r="C23" s="34" t="s">
        <v>486</v>
      </c>
      <c r="D23" s="4">
        <v>0.79090406761690202</v>
      </c>
      <c r="E23" s="4">
        <v>0.6592807867577527</v>
      </c>
      <c r="F23" s="4">
        <v>0.71924637350215337</v>
      </c>
      <c r="G23" s="4">
        <v>0.65835208539655898</v>
      </c>
      <c r="H23" s="4">
        <v>0.66790448180233519</v>
      </c>
      <c r="I23" s="4">
        <v>0.66963467219550199</v>
      </c>
      <c r="J23" s="4">
        <v>0.67065880311212678</v>
      </c>
      <c r="K23" s="4">
        <v>0.6556267865645623</v>
      </c>
      <c r="L23" s="4">
        <v>0.66525879261638765</v>
      </c>
    </row>
    <row r="24" spans="1:12">
      <c r="A24" s="34"/>
      <c r="B24" s="34"/>
      <c r="C24" s="34" t="s">
        <v>487</v>
      </c>
      <c r="D24" s="4">
        <v>0.56646056861371097</v>
      </c>
      <c r="E24" s="4">
        <v>0.46730648192592106</v>
      </c>
      <c r="F24" s="4">
        <v>0.49334321356106425</v>
      </c>
      <c r="G24" s="4">
        <v>0.47171282689376481</v>
      </c>
      <c r="H24" s="4">
        <v>0.46662277242379618</v>
      </c>
      <c r="I24" s="4">
        <v>0.49185654638453047</v>
      </c>
      <c r="J24" s="4">
        <v>0.48555312634147046</v>
      </c>
      <c r="K24" s="4">
        <v>0.47414393370186503</v>
      </c>
      <c r="L24" s="4">
        <v>0.47605991787774671</v>
      </c>
    </row>
    <row r="25" spans="1:12">
      <c r="A25" s="34"/>
      <c r="B25" s="152" t="s">
        <v>472</v>
      </c>
      <c r="C25" s="34" t="s">
        <v>485</v>
      </c>
      <c r="D25" s="4">
        <v>0.88388290748548215</v>
      </c>
      <c r="E25" s="4">
        <v>0.8582140480547551</v>
      </c>
      <c r="F25" s="4">
        <v>0.90613838146194881</v>
      </c>
      <c r="G25" s="4">
        <v>0.84045325729885501</v>
      </c>
      <c r="H25" s="4">
        <v>0.82343088516308027</v>
      </c>
      <c r="I25" s="4">
        <v>0.84146307032165235</v>
      </c>
      <c r="J25" s="4">
        <v>0.87734997938212211</v>
      </c>
      <c r="K25" s="4">
        <v>0.87285236146876433</v>
      </c>
      <c r="L25" s="4">
        <v>0.85916717511671759</v>
      </c>
    </row>
    <row r="26" spans="1:12">
      <c r="A26" s="34"/>
      <c r="B26" s="34"/>
      <c r="C26" s="34" t="s">
        <v>486</v>
      </c>
      <c r="D26" s="4">
        <v>0.75452188385862506</v>
      </c>
      <c r="E26" s="4">
        <v>0.65789571473022668</v>
      </c>
      <c r="F26" s="4">
        <v>0.7086440662973329</v>
      </c>
      <c r="G26" s="4">
        <v>0.65863089953956466</v>
      </c>
      <c r="H26" s="4">
        <v>0.65554698285890489</v>
      </c>
      <c r="I26" s="4">
        <v>0.66721718980517308</v>
      </c>
      <c r="J26" s="4">
        <v>0.69330247305460346</v>
      </c>
      <c r="K26" s="4">
        <v>0.68304106089017946</v>
      </c>
      <c r="L26" s="4">
        <v>0.67207792949722345</v>
      </c>
    </row>
    <row r="27" spans="1:12">
      <c r="A27" s="34"/>
      <c r="B27" s="34"/>
      <c r="C27" s="34" t="s">
        <v>487</v>
      </c>
      <c r="D27" s="4">
        <v>0.5729834137373353</v>
      </c>
      <c r="E27" s="4">
        <v>0.46439699365481574</v>
      </c>
      <c r="F27" s="4">
        <v>0.51229132016858547</v>
      </c>
      <c r="G27" s="4">
        <v>0.47917122209345897</v>
      </c>
      <c r="H27" s="4">
        <v>0.46355357367049249</v>
      </c>
      <c r="I27" s="4">
        <v>0.49851043505177806</v>
      </c>
      <c r="J27" s="4">
        <v>0.48381291944075344</v>
      </c>
      <c r="K27" s="4">
        <v>0.4881904832081414</v>
      </c>
      <c r="L27" s="4">
        <v>0.47802590024664859</v>
      </c>
    </row>
    <row r="28" spans="1:12">
      <c r="A28" s="34"/>
      <c r="B28" s="34"/>
      <c r="C28" s="34"/>
      <c r="D28" s="4"/>
      <c r="E28" s="4"/>
      <c r="F28" s="4"/>
      <c r="G28" s="4"/>
      <c r="H28" s="4"/>
      <c r="I28" s="4"/>
      <c r="J28" s="4"/>
      <c r="K28" s="4"/>
      <c r="L28" s="4"/>
    </row>
    <row r="29" spans="1:12">
      <c r="A29" s="34" t="s">
        <v>59</v>
      </c>
      <c r="B29" s="152" t="s">
        <v>471</v>
      </c>
      <c r="C29" s="34" t="s">
        <v>485</v>
      </c>
      <c r="D29" s="4">
        <v>0.91467821675193905</v>
      </c>
      <c r="E29" s="4">
        <v>0.82342624975561984</v>
      </c>
      <c r="F29" s="4">
        <v>0.82244597619847148</v>
      </c>
      <c r="G29" s="4">
        <v>0.81221588705632886</v>
      </c>
      <c r="H29" s="4">
        <v>0.81224729790646877</v>
      </c>
      <c r="I29" s="4">
        <v>0.85336860659312008</v>
      </c>
      <c r="J29" s="4">
        <v>0.84541989006885077</v>
      </c>
      <c r="K29" s="4">
        <v>0.8503998852379735</v>
      </c>
      <c r="L29" s="4">
        <v>0.83112653099288081</v>
      </c>
    </row>
    <row r="30" spans="1:12">
      <c r="A30" s="34"/>
      <c r="B30" s="34"/>
      <c r="C30" s="34" t="s">
        <v>486</v>
      </c>
      <c r="D30" s="4">
        <v>0.76895603943998503</v>
      </c>
      <c r="E30" s="4">
        <v>0.63764702148522412</v>
      </c>
      <c r="F30" s="4">
        <v>0.63892922540116648</v>
      </c>
      <c r="G30" s="4">
        <v>0.64130051373584696</v>
      </c>
      <c r="H30" s="4">
        <v>0.62734963285064027</v>
      </c>
      <c r="I30" s="4">
        <v>0.71448329804061061</v>
      </c>
      <c r="J30" s="4">
        <v>0.67801075123803456</v>
      </c>
      <c r="K30" s="4">
        <v>0.66313534918983752</v>
      </c>
      <c r="L30" s="4">
        <v>0.65476106021976144</v>
      </c>
    </row>
    <row r="31" spans="1:12">
      <c r="A31" s="34"/>
      <c r="B31" s="34"/>
      <c r="C31" s="34" t="s">
        <v>487</v>
      </c>
      <c r="D31" s="4">
        <v>0.5926464574383149</v>
      </c>
      <c r="E31" s="4">
        <v>0.45515573364749451</v>
      </c>
      <c r="F31" s="4">
        <v>0.46317014958599523</v>
      </c>
      <c r="G31" s="4">
        <v>0.46647219891731972</v>
      </c>
      <c r="H31" s="4">
        <v>0.4357917511615747</v>
      </c>
      <c r="I31" s="4">
        <v>0.53814487096292996</v>
      </c>
      <c r="J31" s="4">
        <v>0.50479236256833238</v>
      </c>
      <c r="K31" s="4">
        <v>0.49276489353500696</v>
      </c>
      <c r="L31" s="4">
        <v>0.47716941313263883</v>
      </c>
    </row>
    <row r="32" spans="1:12">
      <c r="A32" s="34"/>
      <c r="B32" s="152" t="s">
        <v>472</v>
      </c>
      <c r="C32" s="34" t="s">
        <v>485</v>
      </c>
      <c r="D32" s="4">
        <v>0.94310843034353109</v>
      </c>
      <c r="E32" s="4">
        <v>0.84381901239338364</v>
      </c>
      <c r="F32" s="4">
        <v>0.92392453766651972</v>
      </c>
      <c r="G32" s="4">
        <v>0.82962735415486888</v>
      </c>
      <c r="H32" s="4">
        <v>0.86645411134889916</v>
      </c>
      <c r="I32" s="4">
        <v>0.88028918318406868</v>
      </c>
      <c r="J32" s="4">
        <v>0.86443769586124086</v>
      </c>
      <c r="K32" s="4">
        <v>0.8646635298264771</v>
      </c>
      <c r="L32" s="4">
        <v>0.85324878371030055</v>
      </c>
    </row>
    <row r="33" spans="1:12">
      <c r="A33" s="34"/>
      <c r="B33" s="34"/>
      <c r="C33" s="34" t="s">
        <v>486</v>
      </c>
      <c r="D33" s="4">
        <v>0.7945393133111327</v>
      </c>
      <c r="E33" s="4">
        <v>0.6674871473913615</v>
      </c>
      <c r="F33" s="4">
        <v>0.79017574164489612</v>
      </c>
      <c r="G33" s="4">
        <v>0.66437128034588355</v>
      </c>
      <c r="H33" s="4">
        <v>0.66400095826314409</v>
      </c>
      <c r="I33" s="4">
        <v>0.71521420353014287</v>
      </c>
      <c r="J33" s="4">
        <v>0.70039245767400271</v>
      </c>
      <c r="K33" s="4">
        <v>0.70973719226587306</v>
      </c>
      <c r="L33" s="4">
        <v>0.68397656546775587</v>
      </c>
    </row>
    <row r="34" spans="1:12">
      <c r="A34" s="34"/>
      <c r="B34" s="34"/>
      <c r="C34" s="34" t="s">
        <v>487</v>
      </c>
      <c r="D34" s="4">
        <v>0.62338314643913662</v>
      </c>
      <c r="E34" s="4">
        <v>0.47777525404938043</v>
      </c>
      <c r="F34" s="4">
        <v>0.59983014309107419</v>
      </c>
      <c r="G34" s="4">
        <v>0.49674932032728747</v>
      </c>
      <c r="H34" s="4">
        <v>0.49139834769584279</v>
      </c>
      <c r="I34" s="4">
        <v>0.55583697636339879</v>
      </c>
      <c r="J34" s="4">
        <v>0.51785435866763474</v>
      </c>
      <c r="K34" s="4">
        <v>0.52268772788456719</v>
      </c>
      <c r="L34" s="4">
        <v>0.50306993631009245</v>
      </c>
    </row>
    <row r="35" spans="1:12">
      <c r="A35" s="34"/>
      <c r="B35" s="34"/>
      <c r="C35" s="34"/>
      <c r="D35" s="4"/>
      <c r="E35" s="4"/>
      <c r="F35" s="4"/>
      <c r="G35" s="4"/>
      <c r="H35" s="4"/>
      <c r="I35" s="4"/>
      <c r="J35" s="4"/>
      <c r="K35" s="4"/>
      <c r="L35" s="4"/>
    </row>
    <row r="36" spans="1:12">
      <c r="A36" s="67"/>
      <c r="B36" s="67"/>
      <c r="C36" s="67"/>
      <c r="D36" s="187" t="s">
        <v>147</v>
      </c>
      <c r="E36" s="187"/>
      <c r="F36" s="187"/>
      <c r="G36" s="187"/>
      <c r="H36" s="187"/>
      <c r="I36" s="187"/>
      <c r="J36" s="187"/>
      <c r="K36" s="187"/>
      <c r="L36" s="187"/>
    </row>
    <row r="37" spans="1:12">
      <c r="A37" s="34" t="s">
        <v>145</v>
      </c>
      <c r="B37" s="152" t="s">
        <v>471</v>
      </c>
      <c r="C37" s="34" t="s">
        <v>485</v>
      </c>
      <c r="D37" s="44">
        <v>353490.0087871757</v>
      </c>
      <c r="E37" s="44">
        <v>5761428.9024172751</v>
      </c>
      <c r="F37" s="44">
        <v>171142.70177530631</v>
      </c>
      <c r="G37" s="44">
        <v>3675689.4450894194</v>
      </c>
      <c r="H37" s="44">
        <v>1258943.432308773</v>
      </c>
      <c r="I37" s="44">
        <v>409498.8489609253</v>
      </c>
      <c r="J37" s="44">
        <v>4800451.9016437577</v>
      </c>
      <c r="K37" s="44">
        <v>1996626.8737188193</v>
      </c>
      <c r="L37" s="44">
        <v>18427272.11470142</v>
      </c>
    </row>
    <row r="38" spans="1:12">
      <c r="A38" s="34"/>
      <c r="B38" s="34"/>
      <c r="C38" s="34" t="s">
        <v>486</v>
      </c>
      <c r="D38" s="44">
        <v>299157.93211210461</v>
      </c>
      <c r="E38" s="44">
        <v>4445805.719395346</v>
      </c>
      <c r="F38" s="44">
        <v>135918.64838848458</v>
      </c>
      <c r="G38" s="44">
        <v>2898106.4941811506</v>
      </c>
      <c r="H38" s="44">
        <v>994887.77669870958</v>
      </c>
      <c r="I38" s="44">
        <v>332180.59365053015</v>
      </c>
      <c r="J38" s="44">
        <v>3790177.6157177459</v>
      </c>
      <c r="K38" s="44">
        <v>1548320.0892036313</v>
      </c>
      <c r="L38" s="44">
        <v>14444554.869347669</v>
      </c>
    </row>
    <row r="39" spans="1:12">
      <c r="A39" s="34"/>
      <c r="B39" s="34"/>
      <c r="C39" s="34" t="s">
        <v>487</v>
      </c>
      <c r="D39" s="44">
        <v>222570.29614315293</v>
      </c>
      <c r="E39" s="44">
        <v>3165283.2737512821</v>
      </c>
      <c r="F39" s="44">
        <v>96013.463411011951</v>
      </c>
      <c r="G39" s="44">
        <v>2089829.1199593316</v>
      </c>
      <c r="H39" s="44">
        <v>693030.39823375014</v>
      </c>
      <c r="I39" s="44">
        <v>246873.59333710623</v>
      </c>
      <c r="J39" s="44">
        <v>2783876.1561186276</v>
      </c>
      <c r="K39" s="44">
        <v>1132491.2960302942</v>
      </c>
      <c r="L39" s="44">
        <v>10429967.596984528</v>
      </c>
    </row>
    <row r="40" spans="1:12">
      <c r="A40" s="34"/>
      <c r="B40" s="152" t="s">
        <v>472</v>
      </c>
      <c r="C40" s="34" t="s">
        <v>485</v>
      </c>
      <c r="D40" s="44">
        <v>358392.92100113217</v>
      </c>
      <c r="E40" s="44">
        <v>5955003.9890177995</v>
      </c>
      <c r="F40" s="44">
        <v>187439.62993293133</v>
      </c>
      <c r="G40" s="44">
        <v>3820945.676828458</v>
      </c>
      <c r="H40" s="44">
        <v>1324979.2618713395</v>
      </c>
      <c r="I40" s="44">
        <v>415368.22220358084</v>
      </c>
      <c r="J40" s="44">
        <v>5015652.8174779434</v>
      </c>
      <c r="K40" s="44">
        <v>2109295.3451913293</v>
      </c>
      <c r="L40" s="44">
        <v>19187077.863524459</v>
      </c>
    </row>
    <row r="41" spans="1:12">
      <c r="A41" s="34"/>
      <c r="B41" s="34"/>
      <c r="C41" s="34" t="s">
        <v>486</v>
      </c>
      <c r="D41" s="44">
        <v>303181.69807051093</v>
      </c>
      <c r="E41" s="44">
        <v>4633500.9426360428</v>
      </c>
      <c r="F41" s="44">
        <v>154116.25213412187</v>
      </c>
      <c r="G41" s="44">
        <v>3029312.9211056037</v>
      </c>
      <c r="H41" s="44">
        <v>1033634.3310166718</v>
      </c>
      <c r="I41" s="44">
        <v>333658.2564459393</v>
      </c>
      <c r="J41" s="44">
        <v>4013472.1112619489</v>
      </c>
      <c r="K41" s="44">
        <v>1692291.4122020109</v>
      </c>
      <c r="L41" s="44">
        <v>15193167.924872816</v>
      </c>
    </row>
    <row r="42" spans="1:12">
      <c r="A42" s="34"/>
      <c r="B42" s="34"/>
      <c r="C42" s="34" t="s">
        <v>487</v>
      </c>
      <c r="D42" s="44">
        <v>234402.10076363658</v>
      </c>
      <c r="E42" s="44">
        <v>3293868.5848417766</v>
      </c>
      <c r="F42" s="44">
        <v>114597.62783709302</v>
      </c>
      <c r="G42" s="44">
        <v>2233523.8664945955</v>
      </c>
      <c r="H42" s="44">
        <v>748202.4853744125</v>
      </c>
      <c r="I42" s="44">
        <v>254967.20556521887</v>
      </c>
      <c r="J42" s="44">
        <v>2886711.1375869992</v>
      </c>
      <c r="K42" s="44">
        <v>1227628.6424911153</v>
      </c>
      <c r="L42" s="44">
        <v>10993901.650954839</v>
      </c>
    </row>
    <row r="43" spans="1:12">
      <c r="A43" s="34"/>
      <c r="B43" s="34"/>
      <c r="C43" s="34"/>
      <c r="D43" s="4"/>
      <c r="E43" s="4"/>
      <c r="F43" s="4"/>
      <c r="G43" s="4"/>
      <c r="H43" s="4"/>
      <c r="I43" s="4"/>
      <c r="J43" s="4"/>
      <c r="K43" s="4"/>
      <c r="L43" s="4"/>
    </row>
    <row r="44" spans="1:12">
      <c r="A44" s="34" t="s">
        <v>58</v>
      </c>
      <c r="B44" s="152" t="s">
        <v>471</v>
      </c>
      <c r="C44" s="34" t="s">
        <v>485</v>
      </c>
      <c r="D44" s="44">
        <v>171998.6101752682</v>
      </c>
      <c r="E44" s="44">
        <v>2905399.0858069835</v>
      </c>
      <c r="F44" s="44">
        <v>85023.849205089486</v>
      </c>
      <c r="G44" s="44">
        <v>1820686.2500962256</v>
      </c>
      <c r="H44" s="44">
        <v>609911.84403939219</v>
      </c>
      <c r="I44" s="44">
        <v>197329.4732018947</v>
      </c>
      <c r="J44" s="44">
        <v>2379534.6265832121</v>
      </c>
      <c r="K44" s="44">
        <v>978482.04470019438</v>
      </c>
      <c r="L44" s="44">
        <v>9148365.7838082463</v>
      </c>
    </row>
    <row r="45" spans="1:12">
      <c r="A45" s="34"/>
      <c r="B45" s="34"/>
      <c r="C45" s="34" t="s">
        <v>486</v>
      </c>
      <c r="D45" s="44">
        <v>146911.75750720056</v>
      </c>
      <c r="E45" s="44">
        <v>2232547.5717506176</v>
      </c>
      <c r="F45" s="44">
        <v>68898.541660112154</v>
      </c>
      <c r="G45" s="44">
        <v>1433419.3232699167</v>
      </c>
      <c r="H45" s="44">
        <v>492980.640156404</v>
      </c>
      <c r="I45" s="44">
        <v>154434.70018973845</v>
      </c>
      <c r="J45" s="44">
        <v>1850020.0125957509</v>
      </c>
      <c r="K45" s="44">
        <v>754663.94511437695</v>
      </c>
      <c r="L45" s="44">
        <v>7133876.4922441076</v>
      </c>
    </row>
    <row r="46" spans="1:12">
      <c r="A46" s="34"/>
      <c r="B46" s="34"/>
      <c r="C46" s="34" t="s">
        <v>487</v>
      </c>
      <c r="D46" s="44">
        <v>105221.00100498964</v>
      </c>
      <c r="E46" s="44">
        <v>1582457.6909297756</v>
      </c>
      <c r="F46" s="44">
        <v>47258.671304470365</v>
      </c>
      <c r="G46" s="44">
        <v>1027052.6912609575</v>
      </c>
      <c r="H46" s="44">
        <v>344414.5073563343</v>
      </c>
      <c r="I46" s="44">
        <v>113434.56578825187</v>
      </c>
      <c r="J46" s="44">
        <v>1339403.8768174797</v>
      </c>
      <c r="K46" s="44">
        <v>545766.79734891083</v>
      </c>
      <c r="L46" s="44">
        <v>5105009.8018111615</v>
      </c>
    </row>
    <row r="47" spans="1:12">
      <c r="A47" s="34"/>
      <c r="B47" s="152" t="s">
        <v>472</v>
      </c>
      <c r="C47" s="34" t="s">
        <v>485</v>
      </c>
      <c r="D47" s="44">
        <v>176891.05530639883</v>
      </c>
      <c r="E47" s="44">
        <v>2953143.9781468455</v>
      </c>
      <c r="F47" s="44">
        <v>84565.055391468486</v>
      </c>
      <c r="G47" s="44">
        <v>1872980.1862204089</v>
      </c>
      <c r="H47" s="44">
        <v>634769.40839639655</v>
      </c>
      <c r="I47" s="44">
        <v>201889.75251402089</v>
      </c>
      <c r="J47" s="44">
        <v>2468235.6042128713</v>
      </c>
      <c r="K47" s="44">
        <v>1039452.7586079132</v>
      </c>
      <c r="L47" s="44">
        <v>9431927.7987963129</v>
      </c>
    </row>
    <row r="48" spans="1:12">
      <c r="A48" s="34"/>
      <c r="B48" s="34"/>
      <c r="C48" s="34" t="s">
        <v>486</v>
      </c>
      <c r="D48" s="44">
        <v>151002.09672254184</v>
      </c>
      <c r="E48" s="44">
        <v>2263841.7217801437</v>
      </c>
      <c r="F48" s="44">
        <v>66133.965788520014</v>
      </c>
      <c r="G48" s="44">
        <v>1467782.5496623362</v>
      </c>
      <c r="H48" s="44">
        <v>505350.4525798508</v>
      </c>
      <c r="I48" s="44">
        <v>160083.45235088651</v>
      </c>
      <c r="J48" s="44">
        <v>1950457.5012212934</v>
      </c>
      <c r="K48" s="44">
        <v>813412.37799948384</v>
      </c>
      <c r="L48" s="44">
        <v>7378064.1181050465</v>
      </c>
    </row>
    <row r="49" spans="1:12">
      <c r="A49" s="34"/>
      <c r="B49" s="34"/>
      <c r="C49" s="34" t="s">
        <v>487</v>
      </c>
      <c r="D49" s="44">
        <v>114670.89121273109</v>
      </c>
      <c r="E49" s="44">
        <v>1598005.9850916336</v>
      </c>
      <c r="F49" s="44">
        <v>47809.412726486691</v>
      </c>
      <c r="G49" s="44">
        <v>1067850.2308057987</v>
      </c>
      <c r="H49" s="44">
        <v>357345.87203463697</v>
      </c>
      <c r="I49" s="44">
        <v>119606.13829408906</v>
      </c>
      <c r="J49" s="44">
        <v>1361103.666273335</v>
      </c>
      <c r="K49" s="44">
        <v>581370.8788539404</v>
      </c>
      <c r="L49" s="44">
        <v>5247763.0752926413</v>
      </c>
    </row>
    <row r="50" spans="1:12">
      <c r="A50" s="34"/>
      <c r="B50" s="34"/>
      <c r="C50" s="34"/>
      <c r="D50" s="44"/>
      <c r="E50" s="44"/>
      <c r="F50" s="44"/>
      <c r="G50" s="44"/>
      <c r="H50" s="44"/>
      <c r="I50" s="44"/>
      <c r="J50" s="44"/>
      <c r="K50" s="44"/>
      <c r="L50" s="44"/>
    </row>
    <row r="51" spans="1:12">
      <c r="A51" s="34" t="s">
        <v>59</v>
      </c>
      <c r="B51" s="152" t="s">
        <v>471</v>
      </c>
      <c r="C51" s="34" t="s">
        <v>485</v>
      </c>
      <c r="D51" s="44">
        <v>179105.37527861822</v>
      </c>
      <c r="E51" s="44">
        <v>2828240.8241946297</v>
      </c>
      <c r="F51" s="44">
        <v>83776.881746320985</v>
      </c>
      <c r="G51" s="44">
        <v>1835115.8275471737</v>
      </c>
      <c r="H51" s="44">
        <v>643972.79021349165</v>
      </c>
      <c r="I51" s="44">
        <v>209319.65260981949</v>
      </c>
      <c r="J51" s="44">
        <v>2384789.9664700832</v>
      </c>
      <c r="K51" s="44">
        <v>1010057.2074713546</v>
      </c>
      <c r="L51" s="44">
        <v>9174378.5255314894</v>
      </c>
    </row>
    <row r="52" spans="1:12">
      <c r="A52" s="34"/>
      <c r="B52" s="34"/>
      <c r="C52" s="34" t="s">
        <v>486</v>
      </c>
      <c r="D52" s="44">
        <v>150571.15988366134</v>
      </c>
      <c r="E52" s="44">
        <v>2190140.6933843172</v>
      </c>
      <c r="F52" s="44">
        <v>65083.299948913394</v>
      </c>
      <c r="G52" s="44">
        <v>1448950.6321232158</v>
      </c>
      <c r="H52" s="44">
        <v>497380.65555591066</v>
      </c>
      <c r="I52" s="44">
        <v>175252.98515309184</v>
      </c>
      <c r="J52" s="44">
        <v>1912556.4180653801</v>
      </c>
      <c r="K52" s="44">
        <v>787634.9122398959</v>
      </c>
      <c r="L52" s="44">
        <v>7227570.7563543823</v>
      </c>
    </row>
    <row r="53" spans="1:12">
      <c r="A53" s="34"/>
      <c r="B53" s="34"/>
      <c r="C53" s="34" t="s">
        <v>487</v>
      </c>
      <c r="D53" s="44">
        <v>116047.55008156042</v>
      </c>
      <c r="E53" s="44">
        <v>1563333.7261839162</v>
      </c>
      <c r="F53" s="44">
        <v>47179.938832757878</v>
      </c>
      <c r="G53" s="44">
        <v>1053944.5595509997</v>
      </c>
      <c r="H53" s="44">
        <v>345508.11147156166</v>
      </c>
      <c r="I53" s="44">
        <v>131999.57975185348</v>
      </c>
      <c r="J53" s="44">
        <v>1423935.9347290122</v>
      </c>
      <c r="K53" s="44">
        <v>585278.45657529414</v>
      </c>
      <c r="L53" s="44">
        <v>5267227.8571769521</v>
      </c>
    </row>
    <row r="54" spans="1:12">
      <c r="A54" s="34"/>
      <c r="B54" s="152" t="s">
        <v>472</v>
      </c>
      <c r="C54" s="34" t="s">
        <v>485</v>
      </c>
      <c r="D54" s="44">
        <v>176842.75712790043</v>
      </c>
      <c r="E54" s="44">
        <v>2978279.7217323883</v>
      </c>
      <c r="F54" s="44">
        <v>102874.57454146289</v>
      </c>
      <c r="G54" s="44">
        <v>1929633.9045544812</v>
      </c>
      <c r="H54" s="44">
        <v>681852.76299861702</v>
      </c>
      <c r="I54" s="44">
        <v>211066.15903129024</v>
      </c>
      <c r="J54" s="44">
        <v>2520330.1425825786</v>
      </c>
      <c r="K54" s="44">
        <v>1061052.1823758606</v>
      </c>
      <c r="L54" s="44">
        <v>9661932.2049445342</v>
      </c>
    </row>
    <row r="55" spans="1:12">
      <c r="A55" s="34"/>
      <c r="B55" s="34"/>
      <c r="C55" s="34" t="s">
        <v>486</v>
      </c>
      <c r="D55" s="44">
        <v>148984.48395935621</v>
      </c>
      <c r="E55" s="44">
        <v>2355912.1166920485</v>
      </c>
      <c r="F55" s="44">
        <v>87982.286345601911</v>
      </c>
      <c r="G55" s="44">
        <v>1545264.0771152463</v>
      </c>
      <c r="H55" s="44">
        <v>522533.02522924123</v>
      </c>
      <c r="I55" s="44">
        <v>171486.2771319155</v>
      </c>
      <c r="J55" s="44">
        <v>2042044.4771957679</v>
      </c>
      <c r="K55" s="44">
        <v>870937.85130286228</v>
      </c>
      <c r="L55" s="44">
        <v>7745144.5949719958</v>
      </c>
    </row>
    <row r="56" spans="1:12">
      <c r="A56" s="34"/>
      <c r="B56" s="34"/>
      <c r="C56" s="34" t="s">
        <v>487</v>
      </c>
      <c r="D56" s="44">
        <v>116890.90121186485</v>
      </c>
      <c r="E56" s="44">
        <v>1686319.3762899474</v>
      </c>
      <c r="F56" s="44">
        <v>66788.215110606383</v>
      </c>
      <c r="G56" s="44">
        <v>1155391.4245563727</v>
      </c>
      <c r="H56" s="44">
        <v>386704.0582076998</v>
      </c>
      <c r="I56" s="44">
        <v>133272.54030799257</v>
      </c>
      <c r="J56" s="44">
        <v>1509841.5488665986</v>
      </c>
      <c r="K56" s="44">
        <v>641404.35584729526</v>
      </c>
      <c r="L56" s="44">
        <v>5696612.4203983434</v>
      </c>
    </row>
    <row r="57" spans="1:12">
      <c r="A57" s="118"/>
      <c r="B57" s="118"/>
      <c r="C57" s="118"/>
      <c r="D57" s="119"/>
      <c r="E57" s="119"/>
      <c r="F57" s="119"/>
      <c r="G57" s="119"/>
      <c r="H57" s="119"/>
      <c r="I57" s="119"/>
      <c r="J57" s="119"/>
      <c r="K57" s="119"/>
      <c r="L57" s="119"/>
    </row>
    <row r="58" spans="1:12" ht="14.45" customHeight="1">
      <c r="A58" s="24" t="s">
        <v>117</v>
      </c>
      <c r="B58" s="16"/>
      <c r="C58" s="163"/>
    </row>
    <row r="59" spans="1:12">
      <c r="A59" s="16"/>
      <c r="B59" s="16"/>
    </row>
    <row r="60" spans="1:12">
      <c r="A60" s="16"/>
    </row>
    <row r="62" spans="1:12">
      <c r="D62" s="21"/>
      <c r="E62" s="21"/>
      <c r="F62" s="21"/>
      <c r="G62" s="21"/>
      <c r="H62" s="21"/>
      <c r="I62" s="21"/>
      <c r="J62" s="21"/>
      <c r="K62" s="21"/>
      <c r="L62" s="21"/>
    </row>
    <row r="63" spans="1:12">
      <c r="D63" s="21"/>
      <c r="E63" s="21"/>
      <c r="F63" s="21"/>
      <c r="G63" s="21"/>
      <c r="H63" s="21"/>
      <c r="I63" s="21"/>
      <c r="J63" s="21"/>
      <c r="K63" s="21"/>
      <c r="L63" s="21"/>
    </row>
    <row r="64" spans="1:12">
      <c r="D64" s="21"/>
      <c r="E64" s="21"/>
      <c r="F64" s="21"/>
      <c r="G64" s="21"/>
      <c r="H64" s="21"/>
      <c r="I64" s="21"/>
      <c r="J64" s="21"/>
      <c r="K64" s="21"/>
      <c r="L64" s="21"/>
    </row>
    <row r="67" spans="4:12">
      <c r="D67" s="21"/>
      <c r="E67" s="21"/>
      <c r="F67" s="21"/>
      <c r="G67" s="21"/>
      <c r="H67" s="21"/>
      <c r="I67" s="21"/>
      <c r="J67" s="21"/>
      <c r="K67" s="21"/>
      <c r="L67" s="21"/>
    </row>
    <row r="68" spans="4:12">
      <c r="D68" s="21"/>
      <c r="E68" s="21"/>
      <c r="F68" s="21"/>
      <c r="G68" s="21"/>
      <c r="H68" s="21"/>
      <c r="I68" s="21"/>
      <c r="J68" s="21"/>
      <c r="K68" s="21"/>
      <c r="L68" s="21"/>
    </row>
    <row r="69" spans="4:12">
      <c r="D69" s="21"/>
      <c r="E69" s="21"/>
      <c r="F69" s="21"/>
      <c r="G69" s="21"/>
      <c r="H69" s="21"/>
      <c r="I69" s="21"/>
      <c r="J69" s="21"/>
      <c r="K69" s="21"/>
      <c r="L69" s="21"/>
    </row>
    <row r="73" spans="4:12">
      <c r="D73" s="21"/>
      <c r="E73" s="21"/>
      <c r="F73" s="21"/>
      <c r="G73" s="21"/>
      <c r="H73" s="21"/>
      <c r="I73" s="21"/>
      <c r="J73" s="21"/>
      <c r="K73" s="21"/>
      <c r="L73" s="21"/>
    </row>
    <row r="74" spans="4:12">
      <c r="D74" s="21"/>
      <c r="E74" s="21"/>
      <c r="F74" s="21"/>
      <c r="G74" s="21"/>
      <c r="H74" s="21"/>
      <c r="I74" s="21"/>
      <c r="J74" s="21"/>
      <c r="K74" s="21"/>
      <c r="L74" s="21"/>
    </row>
    <row r="75" spans="4:12">
      <c r="D75" s="21"/>
      <c r="E75" s="21"/>
      <c r="F75" s="21"/>
      <c r="G75" s="21"/>
      <c r="H75" s="21"/>
      <c r="I75" s="21"/>
      <c r="J75" s="21"/>
      <c r="K75" s="21"/>
      <c r="L75" s="21"/>
    </row>
    <row r="77" spans="4:12">
      <c r="D77" s="44"/>
      <c r="E77" s="44"/>
      <c r="F77" s="44"/>
      <c r="G77" s="44"/>
      <c r="H77" s="44"/>
      <c r="I77" s="44"/>
      <c r="J77" s="44"/>
      <c r="K77" s="44"/>
      <c r="L77" s="44"/>
    </row>
    <row r="78" spans="4:12">
      <c r="D78" s="44"/>
      <c r="E78" s="44"/>
      <c r="F78" s="44"/>
      <c r="G78" s="44"/>
      <c r="H78" s="44"/>
      <c r="I78" s="44"/>
      <c r="J78" s="44"/>
      <c r="K78" s="44"/>
      <c r="L78" s="44"/>
    </row>
    <row r="79" spans="4:12">
      <c r="D79" s="44"/>
      <c r="E79" s="44"/>
      <c r="F79" s="44"/>
      <c r="G79" s="44"/>
      <c r="H79" s="44"/>
      <c r="I79" s="44"/>
      <c r="J79" s="44"/>
      <c r="K79" s="44"/>
      <c r="L79" s="44"/>
    </row>
    <row r="98" spans="4:12" hidden="1">
      <c r="D98" s="1" t="s">
        <v>472</v>
      </c>
      <c r="E98" s="1" t="s">
        <v>488</v>
      </c>
    </row>
    <row r="99" spans="4:12" hidden="1">
      <c r="D99" s="1" t="s">
        <v>476</v>
      </c>
      <c r="E99" s="1" t="s">
        <v>477</v>
      </c>
      <c r="F99" s="1" t="s">
        <v>478</v>
      </c>
      <c r="G99" s="1" t="s">
        <v>479</v>
      </c>
      <c r="H99" s="1" t="s">
        <v>480</v>
      </c>
      <c r="I99" s="1" t="s">
        <v>481</v>
      </c>
      <c r="J99" s="1" t="s">
        <v>482</v>
      </c>
      <c r="K99" s="1" t="s">
        <v>483</v>
      </c>
      <c r="L99" s="1" t="s">
        <v>484</v>
      </c>
    </row>
    <row r="100" spans="4:12" hidden="1">
      <c r="D100" s="159">
        <v>6152.5712767039904</v>
      </c>
      <c r="E100" s="159">
        <v>10926.703662412199</v>
      </c>
      <c r="F100" s="159">
        <v>6681.1289904499699</v>
      </c>
      <c r="G100" s="159">
        <v>11294.4438488505</v>
      </c>
      <c r="H100" s="159">
        <v>11411.3310255823</v>
      </c>
      <c r="I100" s="159">
        <v>6611.3166963231497</v>
      </c>
      <c r="J100" s="159">
        <v>10392.041692896901</v>
      </c>
      <c r="K100" s="159">
        <v>10069.4056509775</v>
      </c>
      <c r="L100" s="159">
        <v>10615.676462653</v>
      </c>
    </row>
    <row r="101" spans="4:12" hidden="1">
      <c r="D101" s="159">
        <v>1556.7901989204299</v>
      </c>
      <c r="E101" s="159">
        <v>2735.3060455534701</v>
      </c>
      <c r="F101" s="159">
        <v>1711.40323917559</v>
      </c>
      <c r="G101" s="159">
        <v>2829.1194448900501</v>
      </c>
      <c r="H101" s="159">
        <v>2868.3598543252401</v>
      </c>
      <c r="I101" s="159">
        <v>1670.3902422118999</v>
      </c>
      <c r="J101" s="159">
        <v>2601.3872291316602</v>
      </c>
      <c r="K101" s="159">
        <v>2525.2936593273398</v>
      </c>
      <c r="L101" s="159">
        <v>2655.4904152711802</v>
      </c>
    </row>
    <row r="102" spans="4:12" hidden="1">
      <c r="D102" s="1" t="s">
        <v>471</v>
      </c>
    </row>
    <row r="103" spans="4:12" hidden="1">
      <c r="D103" s="1" t="s">
        <v>476</v>
      </c>
      <c r="E103" s="1" t="s">
        <v>477</v>
      </c>
      <c r="F103" s="1" t="s">
        <v>478</v>
      </c>
      <c r="G103" s="1" t="s">
        <v>479</v>
      </c>
      <c r="H103" s="1" t="s">
        <v>480</v>
      </c>
      <c r="I103" s="1" t="s">
        <v>481</v>
      </c>
      <c r="J103" s="1" t="s">
        <v>482</v>
      </c>
      <c r="K103" s="1" t="s">
        <v>483</v>
      </c>
      <c r="L103" s="1" t="s">
        <v>484</v>
      </c>
    </row>
    <row r="104" spans="4:12" customFormat="1" hidden="1">
      <c r="D104" s="159">
        <v>6043.0400850878004</v>
      </c>
      <c r="E104" s="159">
        <v>10309.808415121001</v>
      </c>
      <c r="F104" s="159">
        <v>6522.45768220024</v>
      </c>
      <c r="G104" s="159">
        <v>10738.3050738354</v>
      </c>
      <c r="H104" s="159">
        <v>11223.404307577501</v>
      </c>
      <c r="I104" s="159">
        <v>6548.8119781197702</v>
      </c>
      <c r="J104" s="159">
        <v>9898.7017781390605</v>
      </c>
      <c r="K104" s="159">
        <v>9613.1638222045694</v>
      </c>
      <c r="L104" s="159">
        <v>10112.3965077312</v>
      </c>
    </row>
    <row r="105" spans="4:12" customFormat="1" hidden="1">
      <c r="D105" s="159">
        <v>1529.09232113297</v>
      </c>
      <c r="E105" s="159">
        <v>2580.6540517469498</v>
      </c>
      <c r="F105" s="159">
        <v>1671.71083982509</v>
      </c>
      <c r="G105" s="159">
        <v>2689.3999264683198</v>
      </c>
      <c r="H105" s="159">
        <v>2820.98694043766</v>
      </c>
      <c r="I105" s="159">
        <v>1654.6465311235299</v>
      </c>
      <c r="J105" s="159">
        <v>2478.2924351032798</v>
      </c>
      <c r="K105" s="159">
        <v>2410.55013095801</v>
      </c>
      <c r="L105" s="159">
        <v>2529.5157395951701</v>
      </c>
    </row>
  </sheetData>
  <mergeCells count="2">
    <mergeCell ref="D14:L14"/>
    <mergeCell ref="D36:L36"/>
  </mergeCells>
  <conditionalFormatting sqref="D15:L17 D22:L24 D29:L31">
    <cfRule type="expression" dxfId="31" priority="7">
      <formula>D37&lt;D$105</formula>
    </cfRule>
    <cfRule type="expression" dxfId="30" priority="8">
      <formula>D37&lt;D$104</formula>
    </cfRule>
  </conditionalFormatting>
  <conditionalFormatting sqref="D18:L20 D25:L27 D32:L34">
    <cfRule type="expression" dxfId="29" priority="5">
      <formula>D40&lt;D$101</formula>
    </cfRule>
  </conditionalFormatting>
  <conditionalFormatting sqref="D18:L20 D25:L27 D32:L35">
    <cfRule type="expression" dxfId="28" priority="6">
      <formula>D40&lt;D$100</formula>
    </cfRule>
  </conditionalFormatting>
  <conditionalFormatting sqref="D37:L39 D44:L46 D51:L53">
    <cfRule type="expression" dxfId="27" priority="3">
      <formula>D37&lt;D$105</formula>
    </cfRule>
    <cfRule type="expression" dxfId="26" priority="4">
      <formula>D37&lt;D$104</formula>
    </cfRule>
  </conditionalFormatting>
  <conditionalFormatting sqref="D40:L42 D47:L49 D54:L56">
    <cfRule type="expression" dxfId="25" priority="1">
      <formula>D40&lt;D$101</formula>
    </cfRule>
    <cfRule type="expression" dxfId="24" priority="2">
      <formula>D40&lt;D$100</formula>
    </cfRule>
  </conditionalFormatting>
  <pageMargins left="0.70866141732283472" right="0.70866141732283472" top="0.74803149606299213" bottom="0.74803149606299213" header="0.31496062992125984" footer="0.31496062992125984"/>
  <pageSetup paperSize="9" scale="46" orientation="portrait" r:id="rId1"/>
  <headerFooter>
    <oddHeader>&amp;C&amp;"Calibri"&amp;12&amp;KFF0000 OFFICIAL&amp;1#_x000D_</oddHeader>
    <oddFooter>Page &amp;P of &amp;N</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3FF66-6954-4CC8-AA52-5796031D5717}">
  <sheetPr>
    <pageSetUpPr fitToPage="1"/>
  </sheetPr>
  <dimension ref="A1:L105"/>
  <sheetViews>
    <sheetView workbookViewId="0">
      <pane xSplit="3" ySplit="14" topLeftCell="D15" activePane="bottomRight" state="frozen"/>
      <selection pane="bottomRight"/>
      <selection pane="bottomLeft"/>
      <selection pane="topRight"/>
    </sheetView>
  </sheetViews>
  <sheetFormatPr defaultColWidth="8.85546875" defaultRowHeight="15"/>
  <cols>
    <col min="1" max="1" width="11" style="1" customWidth="1"/>
    <col min="2" max="2" width="13" style="1" customWidth="1"/>
    <col min="3" max="3" width="30.140625" style="1" customWidth="1"/>
    <col min="4" max="12" width="14.7109375" style="1" customWidth="1"/>
    <col min="13" max="14" width="8.85546875" style="1"/>
    <col min="15" max="15" width="29.7109375" style="1" bestFit="1" customWidth="1"/>
    <col min="16" max="16" width="34" style="1" bestFit="1" customWidth="1"/>
    <col min="17" max="17" width="26" style="1" bestFit="1" customWidth="1"/>
    <col min="18" max="18" width="27.85546875" style="1" bestFit="1" customWidth="1"/>
    <col min="19" max="19" width="36.28515625" style="1" bestFit="1" customWidth="1"/>
    <col min="20" max="20" width="13.42578125" style="1" bestFit="1" customWidth="1"/>
    <col min="21" max="21" width="32.85546875" style="1" bestFit="1" customWidth="1"/>
    <col min="22" max="22" width="11.85546875" style="1" bestFit="1" customWidth="1"/>
    <col min="23" max="24" width="8.85546875" style="1"/>
    <col min="25" max="25" width="19.7109375" style="1" bestFit="1" customWidth="1"/>
    <col min="26" max="26" width="8.85546875" style="1"/>
    <col min="27" max="27" width="24.42578125" style="1" bestFit="1" customWidth="1"/>
    <col min="28" max="28" width="25.85546875" style="1" bestFit="1" customWidth="1"/>
    <col min="29" max="29" width="17" style="1" bestFit="1" customWidth="1"/>
    <col min="30" max="16384" width="8.85546875" style="1"/>
  </cols>
  <sheetData>
    <row r="1" spans="1:12" s="72" customFormat="1">
      <c r="A1" s="29"/>
      <c r="B1" s="29"/>
      <c r="C1" s="29"/>
      <c r="D1" s="29"/>
      <c r="E1" s="29"/>
      <c r="F1" s="29"/>
      <c r="G1" s="29"/>
      <c r="H1" s="29"/>
      <c r="I1" s="29"/>
      <c r="J1" s="29"/>
      <c r="K1" s="29"/>
      <c r="L1" s="29"/>
    </row>
    <row r="2" spans="1:12" s="72" customFormat="1">
      <c r="A2" s="29"/>
      <c r="B2" s="29"/>
      <c r="C2" s="29"/>
      <c r="D2" s="29"/>
      <c r="E2" s="29"/>
      <c r="F2" s="29"/>
      <c r="G2" s="29"/>
      <c r="H2" s="29"/>
      <c r="I2" s="29"/>
      <c r="J2" s="29"/>
      <c r="K2" s="29"/>
      <c r="L2" s="29"/>
    </row>
    <row r="3" spans="1:12" s="72" customFormat="1">
      <c r="A3" s="29"/>
      <c r="B3" s="29"/>
      <c r="C3" s="29"/>
      <c r="D3" s="29"/>
      <c r="E3" s="29"/>
      <c r="F3" s="29"/>
      <c r="G3" s="29"/>
      <c r="H3" s="29"/>
      <c r="I3" s="29"/>
      <c r="J3" s="29"/>
      <c r="K3" s="29"/>
      <c r="L3" s="29"/>
    </row>
    <row r="4" spans="1:12" s="72" customFormat="1">
      <c r="A4" s="29"/>
      <c r="B4" s="29"/>
      <c r="C4" s="29"/>
      <c r="D4" s="29"/>
      <c r="E4" s="29"/>
      <c r="F4" s="29"/>
      <c r="G4" s="29"/>
      <c r="H4" s="29"/>
      <c r="I4" s="29"/>
      <c r="J4" s="29"/>
      <c r="K4" s="29"/>
      <c r="L4" s="29"/>
    </row>
    <row r="5" spans="1:12" s="72" customFormat="1">
      <c r="A5" s="29"/>
      <c r="B5" s="29"/>
      <c r="C5" s="29"/>
      <c r="D5" s="29"/>
      <c r="E5" s="29"/>
      <c r="F5" s="29"/>
      <c r="G5" s="29"/>
      <c r="H5" s="29"/>
      <c r="I5" s="29"/>
      <c r="J5" s="29"/>
      <c r="K5" s="29"/>
      <c r="L5" s="29"/>
    </row>
    <row r="6" spans="1:12" s="72" customFormat="1">
      <c r="A6" s="29"/>
      <c r="B6" s="29"/>
      <c r="C6" s="29"/>
      <c r="D6" s="29"/>
      <c r="E6" s="29"/>
      <c r="F6" s="29"/>
      <c r="G6" s="29"/>
      <c r="H6" s="29"/>
      <c r="I6" s="29"/>
      <c r="J6" s="29"/>
      <c r="K6" s="29"/>
      <c r="L6" s="29"/>
    </row>
    <row r="7" spans="1:12" s="72" customFormat="1">
      <c r="A7" s="29"/>
      <c r="B7" s="29"/>
      <c r="C7" s="29"/>
      <c r="D7" s="29"/>
      <c r="E7" s="29"/>
      <c r="F7" s="29"/>
      <c r="G7" s="29"/>
      <c r="H7" s="29"/>
      <c r="I7" s="29"/>
      <c r="J7" s="29"/>
      <c r="K7" s="29"/>
      <c r="L7" s="29"/>
    </row>
    <row r="8" spans="1:12" s="72" customFormat="1">
      <c r="A8" s="30" t="s">
        <v>0</v>
      </c>
      <c r="B8" s="29"/>
      <c r="C8" s="29"/>
      <c r="D8" s="29"/>
      <c r="E8" s="29"/>
      <c r="F8" s="29"/>
      <c r="G8" s="29"/>
      <c r="H8" s="29"/>
      <c r="I8" s="29"/>
      <c r="J8" s="29"/>
      <c r="K8" s="29"/>
      <c r="L8" s="29"/>
    </row>
    <row r="9" spans="1:12" s="72" customFormat="1">
      <c r="A9" s="29" t="s">
        <v>1</v>
      </c>
      <c r="B9" s="29"/>
      <c r="C9" s="90" t="s">
        <v>2</v>
      </c>
      <c r="D9" s="29"/>
      <c r="E9" s="29"/>
      <c r="F9" s="108" t="s">
        <v>146</v>
      </c>
      <c r="G9" s="29"/>
      <c r="H9" s="29"/>
      <c r="I9" s="29"/>
      <c r="J9" s="29"/>
      <c r="K9" s="29"/>
      <c r="L9" s="29"/>
    </row>
    <row r="10" spans="1:12" s="72" customFormat="1">
      <c r="A10" s="29" t="s">
        <v>49</v>
      </c>
      <c r="B10" s="29"/>
      <c r="C10" s="31">
        <v>35</v>
      </c>
      <c r="D10" s="29"/>
      <c r="E10" s="29"/>
      <c r="F10" s="29"/>
      <c r="G10" s="29"/>
      <c r="H10" s="29"/>
      <c r="I10" s="29"/>
      <c r="J10" s="29"/>
      <c r="K10" s="29"/>
      <c r="L10" s="29"/>
    </row>
    <row r="11" spans="1:12" s="72" customFormat="1">
      <c r="A11" s="29" t="s">
        <v>3</v>
      </c>
      <c r="B11" s="29"/>
      <c r="C11" s="30" t="s">
        <v>44</v>
      </c>
      <c r="D11" s="29"/>
      <c r="E11" s="29"/>
      <c r="F11" s="29"/>
      <c r="G11" s="29"/>
      <c r="H11" s="29"/>
      <c r="I11" s="29"/>
      <c r="J11" s="29"/>
      <c r="K11" s="29"/>
      <c r="L11" s="29"/>
    </row>
    <row r="12" spans="1:12" s="72" customFormat="1">
      <c r="A12" s="116" t="s">
        <v>50</v>
      </c>
      <c r="B12" s="116"/>
      <c r="C12" s="117" t="s">
        <v>123</v>
      </c>
      <c r="D12" s="116"/>
      <c r="E12" s="116"/>
      <c r="F12" s="116"/>
      <c r="G12" s="116"/>
      <c r="H12" s="116"/>
      <c r="I12" s="116"/>
      <c r="J12" s="116"/>
      <c r="K12" s="116"/>
      <c r="L12" s="116"/>
    </row>
    <row r="13" spans="1:12" s="2" customFormat="1" ht="50.1" customHeight="1">
      <c r="A13" s="37"/>
      <c r="B13" s="37"/>
      <c r="C13" s="55"/>
      <c r="D13" s="55" t="s">
        <v>476</v>
      </c>
      <c r="E13" s="55" t="s">
        <v>477</v>
      </c>
      <c r="F13" s="55" t="s">
        <v>478</v>
      </c>
      <c r="G13" s="55" t="s">
        <v>479</v>
      </c>
      <c r="H13" s="55" t="s">
        <v>480</v>
      </c>
      <c r="I13" s="55" t="s">
        <v>481</v>
      </c>
      <c r="J13" s="55" t="s">
        <v>482</v>
      </c>
      <c r="K13" s="55" t="s">
        <v>483</v>
      </c>
      <c r="L13" s="55" t="s">
        <v>484</v>
      </c>
    </row>
    <row r="14" spans="1:12">
      <c r="A14" s="67"/>
      <c r="B14" s="67"/>
      <c r="C14" s="67"/>
      <c r="D14" s="187" t="s">
        <v>144</v>
      </c>
      <c r="E14" s="187"/>
      <c r="F14" s="187"/>
      <c r="G14" s="187"/>
      <c r="H14" s="187"/>
      <c r="I14" s="187"/>
      <c r="J14" s="187"/>
      <c r="K14" s="187"/>
      <c r="L14" s="187"/>
    </row>
    <row r="15" spans="1:12">
      <c r="A15" s="34"/>
      <c r="B15" s="34" t="s">
        <v>489</v>
      </c>
      <c r="C15" s="34"/>
    </row>
    <row r="16" spans="1:12">
      <c r="A16" s="35" t="s">
        <v>57</v>
      </c>
      <c r="B16" s="152" t="s">
        <v>471</v>
      </c>
      <c r="C16" s="34" t="s">
        <v>485</v>
      </c>
      <c r="D16" s="4">
        <v>0.71715559850461663</v>
      </c>
      <c r="E16" s="4">
        <v>0.72350596651085142</v>
      </c>
      <c r="F16" s="4">
        <v>0.70111151443311059</v>
      </c>
      <c r="G16" s="4">
        <v>0.6942661839148514</v>
      </c>
      <c r="H16" s="4">
        <v>0.65894061455266628</v>
      </c>
      <c r="I16" s="4">
        <v>0.65916027564935542</v>
      </c>
      <c r="J16" s="4">
        <v>0.71944220018910232</v>
      </c>
      <c r="K16" s="4">
        <v>0.73235910855302089</v>
      </c>
      <c r="L16" s="4">
        <v>0.71152375922435618</v>
      </c>
    </row>
    <row r="17" spans="1:12">
      <c r="A17" s="34"/>
      <c r="B17" s="34"/>
      <c r="C17" s="34" t="s">
        <v>486</v>
      </c>
      <c r="D17" s="4">
        <v>0.44299575487946519</v>
      </c>
      <c r="E17" s="4">
        <v>0.38886100385086453</v>
      </c>
      <c r="F17" s="4">
        <v>0.40676006074436932</v>
      </c>
      <c r="G17" s="4">
        <v>0.40213451301640102</v>
      </c>
      <c r="H17" s="4">
        <v>0.35005859386834126</v>
      </c>
      <c r="I17" s="4">
        <v>0.36077790349995648</v>
      </c>
      <c r="J17" s="4">
        <v>0.41767642226500173</v>
      </c>
      <c r="K17" s="4">
        <v>0.41492421593547396</v>
      </c>
      <c r="L17" s="4">
        <v>0.39989917944628806</v>
      </c>
    </row>
    <row r="18" spans="1:12">
      <c r="A18" s="34"/>
      <c r="B18" s="34" t="s">
        <v>472</v>
      </c>
      <c r="C18" s="34" t="s">
        <v>485</v>
      </c>
      <c r="D18" s="4">
        <v>0.77307931374687699</v>
      </c>
      <c r="E18" s="4">
        <v>0.71301690067363221</v>
      </c>
      <c r="F18" s="4">
        <v>0.65690027981730947</v>
      </c>
      <c r="G18" s="4">
        <v>0.69553942284237402</v>
      </c>
      <c r="H18" s="4">
        <v>0.6993958267886754</v>
      </c>
      <c r="I18" s="4">
        <v>0.70039587168979289</v>
      </c>
      <c r="J18" s="4">
        <v>0.73214143016863586</v>
      </c>
      <c r="K18" s="4">
        <v>0.74601496165167303</v>
      </c>
      <c r="L18" s="4">
        <v>0.71724338763040441</v>
      </c>
    </row>
    <row r="19" spans="1:12">
      <c r="A19" s="34"/>
      <c r="B19" s="34"/>
      <c r="C19" s="34" t="s">
        <v>486</v>
      </c>
      <c r="D19" s="4">
        <v>0.44772127738502909</v>
      </c>
      <c r="E19" s="4">
        <v>0.40188723227757411</v>
      </c>
      <c r="F19" s="4">
        <v>0.4490184057332427</v>
      </c>
      <c r="G19" s="4">
        <v>0.39876731153191741</v>
      </c>
      <c r="H19" s="4">
        <v>0.41357009184692839</v>
      </c>
      <c r="I19" s="4">
        <v>0.38838359684235102</v>
      </c>
      <c r="J19" s="4">
        <v>0.43185378443223338</v>
      </c>
      <c r="K19" s="4">
        <v>0.42992017136389415</v>
      </c>
      <c r="L19" s="4">
        <v>0.41380755413260406</v>
      </c>
    </row>
    <row r="20" spans="1:12">
      <c r="A20" s="118"/>
      <c r="B20" s="118"/>
      <c r="C20" s="118"/>
      <c r="D20" s="123"/>
      <c r="E20" s="123"/>
      <c r="F20" s="123"/>
      <c r="G20" s="123"/>
      <c r="H20" s="123"/>
      <c r="I20" s="123"/>
      <c r="J20" s="123"/>
      <c r="K20" s="123"/>
      <c r="L20" s="123"/>
    </row>
    <row r="21" spans="1:12">
      <c r="A21" s="67"/>
      <c r="B21" s="164"/>
      <c r="C21" s="67"/>
      <c r="D21" s="187" t="s">
        <v>147</v>
      </c>
      <c r="E21" s="187"/>
      <c r="F21" s="187"/>
      <c r="G21" s="187"/>
      <c r="H21" s="187"/>
      <c r="I21" s="187"/>
      <c r="J21" s="187"/>
      <c r="K21" s="187"/>
      <c r="L21" s="187"/>
    </row>
    <row r="22" spans="1:12">
      <c r="A22" s="34"/>
      <c r="B22" s="152" t="s">
        <v>489</v>
      </c>
      <c r="C22" s="34"/>
    </row>
    <row r="23" spans="1:12">
      <c r="A23" s="35" t="s">
        <v>57</v>
      </c>
      <c r="B23" s="152" t="s">
        <v>471</v>
      </c>
      <c r="C23" s="34" t="s">
        <v>485</v>
      </c>
      <c r="D23" s="44">
        <v>60068.85027132168</v>
      </c>
      <c r="E23" s="44">
        <v>1090586.2390721082</v>
      </c>
      <c r="F23" s="44">
        <v>36544.456335553703</v>
      </c>
      <c r="G23" s="44">
        <v>702244.79385366035</v>
      </c>
      <c r="H23" s="44">
        <v>207024.76807411891</v>
      </c>
      <c r="I23" s="44">
        <v>62170.738751752957</v>
      </c>
      <c r="J23" s="44">
        <v>874596.5918014365</v>
      </c>
      <c r="K23" s="44">
        <v>397141.83801075257</v>
      </c>
      <c r="L23" s="44">
        <v>3430378.2761706994</v>
      </c>
    </row>
    <row r="24" spans="1:12">
      <c r="A24" s="34"/>
      <c r="B24" s="34"/>
      <c r="C24" s="34" t="s">
        <v>486</v>
      </c>
      <c r="D24" s="44">
        <v>37105.261014725824</v>
      </c>
      <c r="E24" s="44">
        <v>586154.75108892308</v>
      </c>
      <c r="F24" s="44">
        <v>21201.798819320276</v>
      </c>
      <c r="G24" s="44">
        <v>406755.90247281786</v>
      </c>
      <c r="H24" s="44">
        <v>109980.77460613599</v>
      </c>
      <c r="I24" s="44">
        <v>34027.883072602861</v>
      </c>
      <c r="J24" s="44">
        <v>507752.22150267405</v>
      </c>
      <c r="K24" s="44">
        <v>225004.05037272029</v>
      </c>
      <c r="L24" s="44">
        <v>1927982.6429499171</v>
      </c>
    </row>
    <row r="25" spans="1:12">
      <c r="A25" s="34"/>
      <c r="B25" s="34" t="s">
        <v>472</v>
      </c>
      <c r="C25" s="34" t="s">
        <v>485</v>
      </c>
      <c r="D25" s="44">
        <v>64481.7369739305</v>
      </c>
      <c r="E25" s="44">
        <v>1070051.103526779</v>
      </c>
      <c r="F25" s="44">
        <v>34230.008065503847</v>
      </c>
      <c r="G25" s="44">
        <v>703780.39035775338</v>
      </c>
      <c r="H25" s="44">
        <v>219179.90800479162</v>
      </c>
      <c r="I25" s="44">
        <v>65286.980498436664</v>
      </c>
      <c r="J25" s="44">
        <v>895893.5630438528</v>
      </c>
      <c r="K25" s="44">
        <v>407720.06463377614</v>
      </c>
      <c r="L25" s="44">
        <v>3460623.7551048202</v>
      </c>
    </row>
    <row r="26" spans="1:12">
      <c r="A26" s="34"/>
      <c r="B26" s="34"/>
      <c r="C26" s="34" t="s">
        <v>486</v>
      </c>
      <c r="D26" s="44">
        <v>37343.963462235697</v>
      </c>
      <c r="E26" s="44">
        <v>603127.18532429636</v>
      </c>
      <c r="F26" s="44">
        <v>23397.620798826731</v>
      </c>
      <c r="G26" s="44">
        <v>403492.0307248286</v>
      </c>
      <c r="H26" s="44">
        <v>129606.51352575488</v>
      </c>
      <c r="I26" s="44">
        <v>36202.943703514109</v>
      </c>
      <c r="J26" s="44">
        <v>528443.01620774437</v>
      </c>
      <c r="K26" s="44">
        <v>234964.56380414468</v>
      </c>
      <c r="L26" s="44">
        <v>1996577.8375513442</v>
      </c>
    </row>
    <row r="27" spans="1:12">
      <c r="A27" s="118"/>
      <c r="B27" s="118"/>
      <c r="C27" s="118"/>
      <c r="D27" s="119"/>
      <c r="E27" s="119"/>
      <c r="F27" s="119"/>
      <c r="G27" s="119"/>
      <c r="H27" s="119"/>
      <c r="I27" s="119"/>
      <c r="J27" s="119"/>
      <c r="K27" s="119"/>
      <c r="L27" s="119"/>
    </row>
    <row r="28" spans="1:12">
      <c r="A28" s="16" t="s">
        <v>130</v>
      </c>
    </row>
    <row r="29" spans="1:12">
      <c r="A29" s="24" t="s">
        <v>117</v>
      </c>
    </row>
    <row r="30" spans="1:12">
      <c r="A30" s="16" t="s">
        <v>121</v>
      </c>
      <c r="B30" s="165"/>
    </row>
    <row r="31" spans="1:12">
      <c r="A31" s="16"/>
    </row>
    <row r="32" spans="1:12">
      <c r="A32" s="166"/>
    </row>
    <row r="34" spans="4:12">
      <c r="D34" s="21"/>
      <c r="E34" s="21"/>
      <c r="F34" s="21"/>
      <c r="G34" s="21"/>
      <c r="H34" s="21"/>
      <c r="I34" s="21"/>
      <c r="J34" s="21"/>
      <c r="K34" s="21"/>
      <c r="L34" s="21"/>
    </row>
    <row r="35" spans="4:12">
      <c r="D35" s="21"/>
      <c r="E35" s="21"/>
      <c r="F35" s="21"/>
      <c r="G35" s="21"/>
      <c r="H35" s="21"/>
      <c r="I35" s="21"/>
      <c r="J35" s="21"/>
      <c r="K35" s="21"/>
      <c r="L35" s="21"/>
    </row>
    <row r="37" spans="4:12">
      <c r="D37" s="44"/>
      <c r="E37" s="44"/>
      <c r="F37" s="44"/>
      <c r="G37" s="44"/>
      <c r="H37" s="44"/>
      <c r="I37" s="44"/>
      <c r="J37" s="44"/>
      <c r="K37" s="44"/>
      <c r="L37" s="44"/>
    </row>
    <row r="38" spans="4:12">
      <c r="D38" s="44"/>
      <c r="E38" s="44"/>
      <c r="F38" s="44"/>
      <c r="G38" s="44"/>
      <c r="H38" s="44"/>
      <c r="I38" s="44"/>
      <c r="J38" s="44"/>
      <c r="K38" s="44"/>
      <c r="L38" s="44"/>
    </row>
    <row r="98" spans="4:12" hidden="1">
      <c r="D98" s="1" t="s">
        <v>472</v>
      </c>
      <c r="E98" s="1" t="s">
        <v>146</v>
      </c>
    </row>
    <row r="99" spans="4:12" hidden="1">
      <c r="D99" s="1" t="s">
        <v>476</v>
      </c>
      <c r="E99" s="1" t="s">
        <v>477</v>
      </c>
      <c r="F99" s="1" t="s">
        <v>478</v>
      </c>
      <c r="G99" s="1" t="s">
        <v>479</v>
      </c>
      <c r="H99" s="1" t="s">
        <v>480</v>
      </c>
      <c r="I99" s="1" t="s">
        <v>481</v>
      </c>
      <c r="J99" s="1" t="s">
        <v>482</v>
      </c>
      <c r="K99" s="1" t="s">
        <v>483</v>
      </c>
      <c r="L99" s="1" t="s">
        <v>484</v>
      </c>
    </row>
    <row r="100" spans="4:12" hidden="1">
      <c r="D100" s="159">
        <v>5709.2954293147104</v>
      </c>
      <c r="E100" s="159">
        <v>8728.2372729924991</v>
      </c>
      <c r="F100" s="159">
        <v>6389.2206574280099</v>
      </c>
      <c r="G100" s="159">
        <v>9520.4480603303291</v>
      </c>
      <c r="H100" s="159">
        <v>10101.819529136001</v>
      </c>
      <c r="I100" s="159">
        <v>6009.4300136379497</v>
      </c>
      <c r="J100" s="159">
        <v>8247.2253046977694</v>
      </c>
      <c r="K100" s="159">
        <v>9224.8999509977693</v>
      </c>
      <c r="L100" s="159">
        <v>8878.83748454548</v>
      </c>
    </row>
    <row r="101" spans="4:12" hidden="1">
      <c r="D101" s="159">
        <v>1500.4736625970099</v>
      </c>
      <c r="E101" s="159">
        <v>2191.4635381158</v>
      </c>
      <c r="F101" s="159">
        <v>1756.1611069904</v>
      </c>
      <c r="G101" s="159">
        <v>2396.5409823405398</v>
      </c>
      <c r="H101" s="159">
        <v>2587.9148084111898</v>
      </c>
      <c r="I101" s="159">
        <v>1575.4789097559801</v>
      </c>
      <c r="J101" s="159">
        <v>2072.5412050925602</v>
      </c>
      <c r="K101" s="159">
        <v>2335.6786268848</v>
      </c>
      <c r="L101" s="159">
        <v>2223.1949895737898</v>
      </c>
    </row>
    <row r="102" spans="4:12" hidden="1">
      <c r="D102" s="1" t="s">
        <v>471</v>
      </c>
    </row>
    <row r="103" spans="4:12" hidden="1">
      <c r="D103" s="1" t="s">
        <v>476</v>
      </c>
      <c r="E103" s="1" t="s">
        <v>477</v>
      </c>
      <c r="F103" s="1" t="s">
        <v>478</v>
      </c>
      <c r="G103" s="1" t="s">
        <v>479</v>
      </c>
      <c r="H103" s="1" t="s">
        <v>480</v>
      </c>
      <c r="I103" s="1" t="s">
        <v>481</v>
      </c>
      <c r="J103" s="1" t="s">
        <v>482</v>
      </c>
      <c r="K103" s="1" t="s">
        <v>483</v>
      </c>
      <c r="L103" s="1" t="s">
        <v>484</v>
      </c>
    </row>
    <row r="104" spans="4:12" hidden="1">
      <c r="D104" s="159">
        <v>5132.38458627203</v>
      </c>
      <c r="E104" s="159">
        <v>8420.2737896628205</v>
      </c>
      <c r="F104" s="159">
        <v>6574.68554095119</v>
      </c>
      <c r="G104" s="159">
        <v>9355.8061762096895</v>
      </c>
      <c r="H104" s="159">
        <v>8524.4287358711299</v>
      </c>
      <c r="I104" s="159">
        <v>5875.7534106534704</v>
      </c>
      <c r="J104" s="159">
        <v>7951.2783070424002</v>
      </c>
      <c r="K104" s="159">
        <v>8731.3297780172306</v>
      </c>
      <c r="L104" s="159">
        <v>8492.8340213872998</v>
      </c>
    </row>
    <row r="105" spans="4:12" hidden="1">
      <c r="D105" s="159">
        <v>1343.8533452358599</v>
      </c>
      <c r="E105" s="159">
        <v>2113.9312693957099</v>
      </c>
      <c r="F105" s="159">
        <v>1815.92668243099</v>
      </c>
      <c r="G105" s="159">
        <v>2355.37972417843</v>
      </c>
      <c r="H105" s="159">
        <v>2175.2928946408801</v>
      </c>
      <c r="I105" s="159">
        <v>1543.12628415171</v>
      </c>
      <c r="J105" s="159">
        <v>1997.23786411333</v>
      </c>
      <c r="K105" s="159">
        <v>2208.8420363252499</v>
      </c>
      <c r="L105" s="159">
        <v>2126.5449097740002</v>
      </c>
    </row>
  </sheetData>
  <mergeCells count="2">
    <mergeCell ref="D14:L14"/>
    <mergeCell ref="D21:L21"/>
  </mergeCells>
  <conditionalFormatting sqref="D16:L17">
    <cfRule type="expression" dxfId="23" priority="7">
      <formula>D23&lt;D$105</formula>
    </cfRule>
    <cfRule type="expression" dxfId="22" priority="8">
      <formula>D23&lt;D$104</formula>
    </cfRule>
  </conditionalFormatting>
  <conditionalFormatting sqref="D18:L19">
    <cfRule type="expression" dxfId="21" priority="5">
      <formula>D25&lt;D$101</formula>
    </cfRule>
    <cfRule type="expression" dxfId="20" priority="6">
      <formula>D25&lt;D$100</formula>
    </cfRule>
  </conditionalFormatting>
  <conditionalFormatting sqref="D23:L24">
    <cfRule type="expression" dxfId="19" priority="3">
      <formula>D23&lt;D$105</formula>
    </cfRule>
    <cfRule type="expression" dxfId="18" priority="4">
      <formula>D23&lt;D$104</formula>
    </cfRule>
  </conditionalFormatting>
  <conditionalFormatting sqref="D25:L26">
    <cfRule type="expression" dxfId="17" priority="1">
      <formula>D25&lt;D$101</formula>
    </cfRule>
    <cfRule type="expression" dxfId="16" priority="2">
      <formula>D25&lt;D$100</formula>
    </cfRule>
  </conditionalFormatting>
  <pageMargins left="0.70866141732283472" right="0.70866141732283472" top="0.74803149606299213" bottom="0.74803149606299213" header="0.31496062992125984" footer="0.31496062992125984"/>
  <pageSetup paperSize="9" scale="48" orientation="portrait" r:id="rId1"/>
  <headerFooter>
    <oddHeader>&amp;C&amp;"Calibri"&amp;12&amp;KFF0000 OFFICIAL&amp;1#_x000D_</oddHeader>
    <oddFooter>Page &amp;P of &amp;N</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F2DF5-ADC4-4A47-B66E-1B75B89CF54D}">
  <dimension ref="A1:D305"/>
  <sheetViews>
    <sheetView workbookViewId="0">
      <pane xSplit="1" ySplit="15" topLeftCell="B16" activePane="bottomRight" state="frozen"/>
      <selection pane="bottomRight"/>
      <selection pane="bottomLeft"/>
      <selection pane="topRight"/>
    </sheetView>
  </sheetViews>
  <sheetFormatPr defaultColWidth="8.85546875" defaultRowHeight="15"/>
  <cols>
    <col min="1" max="1" width="30.7109375" style="1" customWidth="1"/>
    <col min="2" max="2" width="12.85546875" style="1" customWidth="1"/>
    <col min="3" max="3" width="7" style="1" customWidth="1"/>
    <col min="4" max="4" width="12.85546875" style="1" customWidth="1"/>
    <col min="5" max="16384" width="8.85546875" style="1"/>
  </cols>
  <sheetData>
    <row r="1" spans="1:4">
      <c r="A1" s="29"/>
      <c r="B1" s="29"/>
      <c r="C1" s="29"/>
      <c r="D1" s="29"/>
    </row>
    <row r="2" spans="1:4">
      <c r="A2" s="29"/>
      <c r="B2" s="29"/>
      <c r="C2" s="29"/>
      <c r="D2" s="29"/>
    </row>
    <row r="3" spans="1:4">
      <c r="A3" s="29"/>
      <c r="B3" s="29"/>
      <c r="C3" s="29"/>
      <c r="D3" s="29"/>
    </row>
    <row r="4" spans="1:4">
      <c r="A4" s="29"/>
      <c r="B4" s="29"/>
      <c r="C4" s="29"/>
      <c r="D4" s="29"/>
    </row>
    <row r="5" spans="1:4">
      <c r="A5" s="29"/>
      <c r="B5" s="29"/>
      <c r="C5" s="29"/>
      <c r="D5" s="29"/>
    </row>
    <row r="6" spans="1:4">
      <c r="A6" s="29"/>
      <c r="B6" s="29"/>
      <c r="C6" s="29"/>
      <c r="D6" s="29"/>
    </row>
    <row r="7" spans="1:4">
      <c r="A7" s="29"/>
      <c r="B7" s="29"/>
      <c r="C7" s="29"/>
      <c r="D7" s="29"/>
    </row>
    <row r="8" spans="1:4">
      <c r="A8" s="30" t="s">
        <v>0</v>
      </c>
      <c r="B8" s="29"/>
      <c r="C8" s="29"/>
      <c r="D8" s="29"/>
    </row>
    <row r="9" spans="1:4">
      <c r="A9" s="29" t="s">
        <v>1</v>
      </c>
      <c r="B9" s="90" t="s">
        <v>2</v>
      </c>
      <c r="C9" s="29"/>
      <c r="D9" s="29"/>
    </row>
    <row r="10" spans="1:4">
      <c r="A10" s="29" t="s">
        <v>49</v>
      </c>
      <c r="B10" s="31">
        <v>36</v>
      </c>
      <c r="C10" s="29"/>
      <c r="D10" s="29"/>
    </row>
    <row r="11" spans="1:4">
      <c r="A11" s="29" t="s">
        <v>3</v>
      </c>
      <c r="B11" s="30" t="s">
        <v>25</v>
      </c>
      <c r="C11" s="29"/>
      <c r="D11" s="29"/>
    </row>
    <row r="12" spans="1:4">
      <c r="A12" s="116" t="s">
        <v>50</v>
      </c>
      <c r="B12" s="117" t="s">
        <v>51</v>
      </c>
      <c r="C12" s="29"/>
      <c r="D12" s="29"/>
    </row>
    <row r="13" spans="1:4" s="2" customFormat="1" ht="24.95" customHeight="1">
      <c r="A13" s="51"/>
      <c r="B13" s="51" t="s">
        <v>490</v>
      </c>
      <c r="C13" s="51"/>
      <c r="D13" s="51"/>
    </row>
    <row r="14" spans="1:4" s="63" customFormat="1" ht="24.95" customHeight="1">
      <c r="A14" s="55"/>
      <c r="B14" s="37" t="s">
        <v>471</v>
      </c>
      <c r="C14" s="37"/>
      <c r="D14" s="37" t="s">
        <v>472</v>
      </c>
    </row>
    <row r="15" spans="1:4">
      <c r="A15" s="67"/>
      <c r="B15" s="187" t="s">
        <v>144</v>
      </c>
      <c r="C15" s="187"/>
      <c r="D15" s="187"/>
    </row>
    <row r="16" spans="1:4">
      <c r="A16" s="34" t="s">
        <v>270</v>
      </c>
      <c r="B16" s="4">
        <v>1.574085008457859E-3</v>
      </c>
      <c r="C16" s="4"/>
      <c r="D16" s="4">
        <v>1.8907570170040649E-3</v>
      </c>
    </row>
    <row r="17" spans="1:4">
      <c r="A17" s="34" t="s">
        <v>271</v>
      </c>
      <c r="B17" s="4">
        <v>3.3226360888983565E-3</v>
      </c>
      <c r="C17" s="4"/>
      <c r="D17" s="4">
        <v>3.2097869752525099E-3</v>
      </c>
    </row>
    <row r="18" spans="1:4">
      <c r="A18" s="34" t="s">
        <v>272</v>
      </c>
      <c r="B18" s="4">
        <v>2.3960380962427022E-3</v>
      </c>
      <c r="C18" s="4"/>
      <c r="D18" s="4">
        <v>2.1993382943269572E-3</v>
      </c>
    </row>
    <row r="19" spans="1:4">
      <c r="A19" s="34" t="s">
        <v>273</v>
      </c>
      <c r="B19" s="4">
        <v>1.4546096180777323E-2</v>
      </c>
      <c r="C19" s="4"/>
      <c r="D19" s="4">
        <v>1.3089072579900921E-2</v>
      </c>
    </row>
    <row r="20" spans="1:4">
      <c r="A20" s="34" t="s">
        <v>274</v>
      </c>
      <c r="B20" s="4">
        <v>2.5666321045448064E-2</v>
      </c>
      <c r="C20" s="4"/>
      <c r="D20" s="4">
        <v>2.6266897297184615E-2</v>
      </c>
    </row>
    <row r="21" spans="1:4">
      <c r="A21" s="34" t="s">
        <v>275</v>
      </c>
      <c r="B21" s="4">
        <v>1.791724567272478E-2</v>
      </c>
      <c r="C21" s="4"/>
      <c r="D21" s="4">
        <v>1.7441689021081574E-2</v>
      </c>
    </row>
    <row r="22" spans="1:4">
      <c r="A22" s="34" t="s">
        <v>276</v>
      </c>
      <c r="B22" s="4">
        <v>3.499586822465517E-3</v>
      </c>
      <c r="C22" s="4"/>
      <c r="D22" s="4">
        <v>3.4973206590641474E-3</v>
      </c>
    </row>
    <row r="23" spans="1:4">
      <c r="A23" s="34" t="s">
        <v>277</v>
      </c>
      <c r="B23" s="4">
        <v>4.8222301356603506E-2</v>
      </c>
      <c r="C23" s="4"/>
      <c r="D23" s="4">
        <v>4.6328025819195644E-2</v>
      </c>
    </row>
    <row r="24" spans="1:4">
      <c r="A24" s="34" t="s">
        <v>278</v>
      </c>
      <c r="B24" s="4">
        <v>2.8526515049721743E-4</v>
      </c>
      <c r="C24" s="4"/>
      <c r="D24" s="4">
        <v>2.5517078226289014E-4</v>
      </c>
    </row>
    <row r="25" spans="1:4">
      <c r="A25" s="34" t="s">
        <v>279</v>
      </c>
      <c r="B25" s="4">
        <v>7.6916408420143998E-5</v>
      </c>
      <c r="C25" s="4"/>
      <c r="D25" s="4">
        <v>9.2404671473104094E-5</v>
      </c>
    </row>
    <row r="26" spans="1:4">
      <c r="A26" s="34" t="s">
        <v>280</v>
      </c>
      <c r="B26" s="4">
        <v>3.5313487498731572E-3</v>
      </c>
      <c r="C26" s="4"/>
      <c r="D26" s="4">
        <v>3.0822906295668948E-3</v>
      </c>
    </row>
    <row r="27" spans="1:4">
      <c r="A27" s="34" t="s">
        <v>281</v>
      </c>
      <c r="B27" s="4">
        <v>5.0878876036184113E-4</v>
      </c>
      <c r="C27" s="4"/>
      <c r="D27" s="4">
        <v>2.9281180384435954E-4</v>
      </c>
    </row>
    <row r="28" spans="1:4">
      <c r="A28" s="34" t="s">
        <v>282</v>
      </c>
      <c r="B28" s="4">
        <v>2.5107343139405279E-5</v>
      </c>
      <c r="C28" s="4"/>
      <c r="D28" s="4">
        <v>0</v>
      </c>
    </row>
    <row r="29" spans="1:4">
      <c r="A29" s="34" t="s">
        <v>283</v>
      </c>
      <c r="B29" s="4">
        <v>2.5128715103870465E-4</v>
      </c>
      <c r="C29" s="4"/>
      <c r="D29" s="4">
        <v>1.0814402626746594E-4</v>
      </c>
    </row>
    <row r="30" spans="1:4">
      <c r="A30" s="34" t="s">
        <v>284</v>
      </c>
      <c r="B30" s="4">
        <v>0</v>
      </c>
      <c r="C30" s="4"/>
      <c r="D30" s="4">
        <v>0</v>
      </c>
    </row>
    <row r="31" spans="1:4">
      <c r="A31" s="34" t="s">
        <v>285</v>
      </c>
      <c r="B31" s="4">
        <v>5.1181786834006437E-4</v>
      </c>
      <c r="C31" s="4"/>
      <c r="D31" s="4">
        <v>3.2135508447049213E-4</v>
      </c>
    </row>
    <row r="32" spans="1:4">
      <c r="A32" s="34" t="s">
        <v>286</v>
      </c>
      <c r="B32" s="4">
        <v>7.0950388843757869E-5</v>
      </c>
      <c r="C32" s="4"/>
      <c r="D32" s="4">
        <v>1.8442933089865096E-4</v>
      </c>
    </row>
    <row r="33" spans="1:4">
      <c r="A33" s="34" t="s">
        <v>287</v>
      </c>
      <c r="B33" s="4">
        <v>8.7150102064555077E-3</v>
      </c>
      <c r="C33" s="4"/>
      <c r="D33" s="4">
        <v>9.3435358223139323E-3</v>
      </c>
    </row>
    <row r="34" spans="1:4">
      <c r="A34" s="34" t="s">
        <v>288</v>
      </c>
      <c r="B34" s="4">
        <v>8.8697364180033642E-3</v>
      </c>
      <c r="C34" s="4"/>
      <c r="D34" s="4">
        <v>9.0150685430005883E-3</v>
      </c>
    </row>
    <row r="35" spans="1:4">
      <c r="A35" s="34" t="s">
        <v>289</v>
      </c>
      <c r="B35" s="4">
        <v>0</v>
      </c>
      <c r="C35" s="4"/>
      <c r="D35" s="4">
        <v>5.0809546604851003E-5</v>
      </c>
    </row>
    <row r="36" spans="1:4">
      <c r="A36" s="34" t="s">
        <v>290</v>
      </c>
      <c r="B36" s="4">
        <v>0.16958439987088578</v>
      </c>
      <c r="C36" s="4"/>
      <c r="D36" s="4">
        <v>0.1719334710778401</v>
      </c>
    </row>
    <row r="37" spans="1:4">
      <c r="A37" s="34" t="s">
        <v>291</v>
      </c>
      <c r="B37" s="4">
        <v>2.3276316480241527E-3</v>
      </c>
      <c r="C37" s="4"/>
      <c r="D37" s="4">
        <v>2.5825134973425251E-3</v>
      </c>
    </row>
    <row r="38" spans="1:4">
      <c r="A38" s="34" t="s">
        <v>292</v>
      </c>
      <c r="B38" s="4">
        <v>3.0699983224816092E-4</v>
      </c>
      <c r="C38" s="4"/>
      <c r="D38" s="4">
        <v>2.1421579830661915E-4</v>
      </c>
    </row>
    <row r="39" spans="1:4">
      <c r="A39" s="34" t="s">
        <v>293</v>
      </c>
      <c r="B39" s="4">
        <v>9.621757271987651E-3</v>
      </c>
      <c r="C39" s="4"/>
      <c r="D39" s="4">
        <v>1.0000800710205468E-2</v>
      </c>
    </row>
    <row r="40" spans="1:4">
      <c r="A40" s="34" t="s">
        <v>294</v>
      </c>
      <c r="B40" s="4">
        <v>3.610937104988215E-4</v>
      </c>
      <c r="C40" s="4"/>
      <c r="D40" s="4">
        <v>4.1432910357883508E-4</v>
      </c>
    </row>
    <row r="41" spans="1:4">
      <c r="A41" s="34" t="s">
        <v>295</v>
      </c>
      <c r="B41" s="4">
        <v>2.4738441129893925E-2</v>
      </c>
      <c r="C41" s="4"/>
      <c r="D41" s="4">
        <v>2.4314379494276169E-2</v>
      </c>
    </row>
    <row r="42" spans="1:4">
      <c r="A42" s="34" t="s">
        <v>296</v>
      </c>
      <c r="B42" s="4">
        <v>7.4149502404180078E-4</v>
      </c>
      <c r="C42" s="4"/>
      <c r="D42" s="4">
        <v>6.8058875763556332E-4</v>
      </c>
    </row>
    <row r="43" spans="1:4">
      <c r="A43" s="34" t="s">
        <v>297</v>
      </c>
      <c r="B43" s="4">
        <v>6.2209497102444196E-3</v>
      </c>
      <c r="C43" s="4"/>
      <c r="D43" s="4">
        <v>6.342763170218214E-3</v>
      </c>
    </row>
    <row r="44" spans="1:4">
      <c r="A44" s="34" t="s">
        <v>298</v>
      </c>
      <c r="B44" s="4">
        <v>2.043270244528702E-4</v>
      </c>
      <c r="C44" s="4"/>
      <c r="D44" s="4">
        <v>4.5856674620841967E-5</v>
      </c>
    </row>
    <row r="45" spans="1:4">
      <c r="A45" s="34" t="s">
        <v>299</v>
      </c>
      <c r="B45" s="4">
        <v>8.896527118303256E-2</v>
      </c>
      <c r="C45" s="4"/>
      <c r="D45" s="4">
        <v>8.4522695163541453E-2</v>
      </c>
    </row>
    <row r="46" spans="1:4">
      <c r="A46" s="34" t="s">
        <v>300</v>
      </c>
      <c r="B46" s="4">
        <v>1.0019998629533072E-2</v>
      </c>
      <c r="C46" s="4"/>
      <c r="D46" s="4">
        <v>1.1023381442172577E-2</v>
      </c>
    </row>
    <row r="47" spans="1:4">
      <c r="A47" s="34" t="s">
        <v>301</v>
      </c>
      <c r="B47" s="4">
        <v>1.6178922466381931E-2</v>
      </c>
      <c r="C47" s="4"/>
      <c r="D47" s="4">
        <v>1.6609634705723495E-2</v>
      </c>
    </row>
    <row r="48" spans="1:4">
      <c r="A48" s="34" t="s">
        <v>302</v>
      </c>
      <c r="B48" s="4">
        <v>1.6062827691367232E-3</v>
      </c>
      <c r="C48" s="4"/>
      <c r="D48" s="4">
        <v>1.6098503202586114E-3</v>
      </c>
    </row>
    <row r="49" spans="1:4">
      <c r="A49" s="34" t="s">
        <v>303</v>
      </c>
      <c r="B49" s="4">
        <v>3.8514792720346469E-4</v>
      </c>
      <c r="C49" s="4"/>
      <c r="D49" s="4">
        <v>5.0505617262903892E-4</v>
      </c>
    </row>
    <row r="50" spans="1:4">
      <c r="A50" s="34" t="s">
        <v>304</v>
      </c>
      <c r="B50" s="4">
        <v>8.1828226554402864E-4</v>
      </c>
      <c r="C50" s="4"/>
      <c r="D50" s="4">
        <v>6.9062471494950772E-4</v>
      </c>
    </row>
    <row r="51" spans="1:4">
      <c r="A51" s="34" t="s">
        <v>305</v>
      </c>
      <c r="B51" s="4">
        <v>5.5579616331425719E-4</v>
      </c>
      <c r="C51" s="4"/>
      <c r="D51" s="4">
        <v>6.8501390316971051E-4</v>
      </c>
    </row>
    <row r="52" spans="1:4">
      <c r="A52" s="34" t="s">
        <v>306</v>
      </c>
      <c r="B52" s="4">
        <v>3.559380332867279E-4</v>
      </c>
      <c r="C52" s="4"/>
      <c r="D52" s="4">
        <v>2.7974885828985316E-4</v>
      </c>
    </row>
    <row r="53" spans="1:4">
      <c r="A53" s="34" t="s">
        <v>307</v>
      </c>
      <c r="B53" s="4">
        <v>4.4003569253370962E-3</v>
      </c>
      <c r="C53" s="4"/>
      <c r="D53" s="4">
        <v>4.7474362486147736E-3</v>
      </c>
    </row>
    <row r="54" spans="1:4">
      <c r="A54" s="34" t="s">
        <v>308</v>
      </c>
      <c r="B54" s="4">
        <v>2.9693274462594529E-3</v>
      </c>
      <c r="C54" s="4"/>
      <c r="D54" s="4">
        <v>2.5852667161670975E-3</v>
      </c>
    </row>
    <row r="55" spans="1:4">
      <c r="A55" s="34" t="s">
        <v>309</v>
      </c>
      <c r="B55" s="4">
        <v>4.8250142045766769E-4</v>
      </c>
      <c r="C55" s="4"/>
      <c r="D55" s="4">
        <v>6.1647263399720908E-4</v>
      </c>
    </row>
    <row r="56" spans="1:4">
      <c r="A56" s="34" t="s">
        <v>310</v>
      </c>
      <c r="B56" s="4">
        <v>1.1202834319897813E-2</v>
      </c>
      <c r="C56" s="4"/>
      <c r="D56" s="4">
        <v>1.2635034505763792E-2</v>
      </c>
    </row>
    <row r="57" spans="1:4">
      <c r="A57" s="34" t="s">
        <v>311</v>
      </c>
      <c r="B57" s="4">
        <v>0.29324164778187312</v>
      </c>
      <c r="C57" s="4"/>
      <c r="D57" s="4">
        <v>0.31364014629212383</v>
      </c>
    </row>
    <row r="58" spans="1:4">
      <c r="A58" s="34" t="s">
        <v>312</v>
      </c>
      <c r="B58" s="4">
        <v>9.1204030318061446E-5</v>
      </c>
      <c r="C58" s="4"/>
      <c r="D58" s="4">
        <v>9.3113181791261936E-5</v>
      </c>
    </row>
    <row r="59" spans="1:4">
      <c r="A59" s="34" t="s">
        <v>313</v>
      </c>
      <c r="B59" s="4">
        <v>2.5492527148379888E-3</v>
      </c>
      <c r="C59" s="4"/>
      <c r="D59" s="4">
        <v>2.4702819286316325E-3</v>
      </c>
    </row>
    <row r="60" spans="1:4">
      <c r="A60" s="34" t="s">
        <v>314</v>
      </c>
      <c r="B60" s="4">
        <v>5.6291828158246363E-2</v>
      </c>
      <c r="C60" s="4"/>
      <c r="D60" s="4">
        <v>5.5016729341142524E-2</v>
      </c>
    </row>
    <row r="61" spans="1:4">
      <c r="A61" s="34" t="s">
        <v>315</v>
      </c>
      <c r="B61" s="4">
        <v>4.6904799847843437E-4</v>
      </c>
      <c r="C61" s="4"/>
      <c r="D61" s="4">
        <v>4.8301065919110467E-4</v>
      </c>
    </row>
    <row r="62" spans="1:4">
      <c r="A62" s="34" t="s">
        <v>316</v>
      </c>
      <c r="B62" s="4">
        <v>2.3773063136385089E-4</v>
      </c>
      <c r="C62" s="4"/>
      <c r="D62" s="4">
        <v>2.295767226971992E-4</v>
      </c>
    </row>
    <row r="63" spans="1:4">
      <c r="A63" s="34" t="s">
        <v>317</v>
      </c>
      <c r="B63" s="4">
        <v>4.3756773938717725E-5</v>
      </c>
      <c r="C63" s="4"/>
      <c r="D63" s="4">
        <v>1.7064917706070384E-4</v>
      </c>
    </row>
    <row r="64" spans="1:4">
      <c r="A64" s="34" t="s">
        <v>318</v>
      </c>
      <c r="B64" s="4">
        <v>4.3642661893247871E-2</v>
      </c>
      <c r="C64" s="4"/>
      <c r="D64" s="4">
        <v>4.7495973235172816E-2</v>
      </c>
    </row>
    <row r="65" spans="1:4">
      <c r="A65" s="34" t="s">
        <v>319</v>
      </c>
      <c r="B65" s="4">
        <v>4.4291645628823827E-4</v>
      </c>
      <c r="C65" s="4"/>
      <c r="D65" s="4">
        <v>5.1974654992565728E-4</v>
      </c>
    </row>
    <row r="66" spans="1:4">
      <c r="A66" s="34" t="s">
        <v>320</v>
      </c>
      <c r="B66" s="4">
        <v>9.0628303980034924E-5</v>
      </c>
      <c r="C66" s="4"/>
      <c r="D66" s="4">
        <v>6.6091734065253571E-5</v>
      </c>
    </row>
    <row r="67" spans="1:4">
      <c r="A67" s="34" t="s">
        <v>321</v>
      </c>
      <c r="B67" s="4">
        <v>5.2488920850119643E-3</v>
      </c>
      <c r="C67" s="4"/>
      <c r="D67" s="4">
        <v>5.5583308972854736E-3</v>
      </c>
    </row>
    <row r="68" spans="1:4">
      <c r="A68" s="34" t="s">
        <v>322</v>
      </c>
      <c r="B68" s="4">
        <v>1.4175069182881831E-3</v>
      </c>
      <c r="C68" s="4"/>
      <c r="D68" s="4">
        <v>1.4164295062257667E-3</v>
      </c>
    </row>
    <row r="69" spans="1:4">
      <c r="A69" s="34" t="s">
        <v>323</v>
      </c>
      <c r="B69" s="4">
        <v>2.0504084154769381E-4</v>
      </c>
      <c r="C69" s="4"/>
      <c r="D69" s="4">
        <v>1.227562775213321E-4</v>
      </c>
    </row>
    <row r="70" spans="1:4">
      <c r="A70" s="34" t="s">
        <v>324</v>
      </c>
      <c r="B70" s="4">
        <v>5.1726828331594204E-3</v>
      </c>
      <c r="C70" s="4"/>
      <c r="D70" s="4">
        <v>4.8167920003406488E-3</v>
      </c>
    </row>
    <row r="71" spans="1:4">
      <c r="A71" s="34" t="s">
        <v>325</v>
      </c>
      <c r="B71" s="4">
        <v>4.4631620876265824E-4</v>
      </c>
      <c r="C71" s="4"/>
      <c r="D71" s="4">
        <v>3.7124197853708591E-4</v>
      </c>
    </row>
    <row r="72" spans="1:4">
      <c r="A72" s="34" t="s">
        <v>326</v>
      </c>
      <c r="B72" s="4">
        <v>6.1414339897078798E-4</v>
      </c>
      <c r="C72" s="4"/>
      <c r="D72" s="4">
        <v>6.5004029438992341E-4</v>
      </c>
    </row>
    <row r="73" spans="1:4">
      <c r="A73" s="34" t="s">
        <v>327</v>
      </c>
      <c r="B73" s="4">
        <v>9.3611359256695907E-5</v>
      </c>
      <c r="C73" s="4"/>
      <c r="D73" s="4">
        <v>1.165512487153468E-4</v>
      </c>
    </row>
    <row r="74" spans="1:4">
      <c r="A74" s="34" t="s">
        <v>328</v>
      </c>
      <c r="B74" s="4">
        <v>1.9970418614435955E-3</v>
      </c>
      <c r="C74" s="4"/>
      <c r="D74" s="4">
        <v>2.2739525606512417E-3</v>
      </c>
    </row>
    <row r="75" spans="1:4">
      <c r="A75" s="34" t="s">
        <v>329</v>
      </c>
      <c r="B75" s="4">
        <v>1.2118899005166951E-3</v>
      </c>
      <c r="C75" s="4"/>
      <c r="D75" s="4">
        <v>7.6537644432293414E-4</v>
      </c>
    </row>
    <row r="76" spans="1:4">
      <c r="A76" s="34" t="s">
        <v>330</v>
      </c>
      <c r="B76" s="4">
        <v>2.6706727862857172E-4</v>
      </c>
      <c r="C76" s="4"/>
      <c r="D76" s="4">
        <v>5.2591951773815846E-4</v>
      </c>
    </row>
    <row r="77" spans="1:4">
      <c r="A77" s="34" t="s">
        <v>331</v>
      </c>
      <c r="B77" s="4">
        <v>1.8756878342548126E-3</v>
      </c>
      <c r="C77" s="4"/>
      <c r="D77" s="4">
        <v>1.826988412154066E-3</v>
      </c>
    </row>
    <row r="78" spans="1:4">
      <c r="A78" s="34" t="s">
        <v>332</v>
      </c>
      <c r="B78" s="4">
        <v>2.366009830237483E-3</v>
      </c>
      <c r="C78" s="4"/>
      <c r="D78" s="4">
        <v>1.8306350574056089E-3</v>
      </c>
    </row>
    <row r="79" spans="1:4">
      <c r="A79" s="34" t="s">
        <v>333</v>
      </c>
      <c r="B79" s="4">
        <v>2.0187421936525835E-4</v>
      </c>
      <c r="C79" s="4"/>
      <c r="D79" s="4">
        <v>1.5260858465720455E-4</v>
      </c>
    </row>
    <row r="80" spans="1:4">
      <c r="A80" s="34" t="s">
        <v>334</v>
      </c>
      <c r="B80" s="4">
        <v>1.4191782599004641E-4</v>
      </c>
      <c r="C80" s="4"/>
      <c r="D80" s="4">
        <v>1.7832214195844239E-4</v>
      </c>
    </row>
    <row r="81" spans="1:4">
      <c r="A81" s="34" t="s">
        <v>335</v>
      </c>
      <c r="B81" s="4">
        <v>0</v>
      </c>
      <c r="C81" s="4"/>
      <c r="D81" s="4">
        <v>2.5475859799809311E-5</v>
      </c>
    </row>
    <row r="82" spans="1:4">
      <c r="A82" s="34" t="s">
        <v>336</v>
      </c>
      <c r="B82" s="4">
        <v>1.4313164653449265E-4</v>
      </c>
      <c r="C82" s="4"/>
      <c r="D82" s="4">
        <v>9.0352136054929846E-5</v>
      </c>
    </row>
    <row r="83" spans="1:4">
      <c r="A83" s="34" t="s">
        <v>337</v>
      </c>
      <c r="B83" s="4">
        <v>4.2922897430659881E-4</v>
      </c>
      <c r="C83" s="4"/>
      <c r="D83" s="4">
        <v>3.4437566651231871E-4</v>
      </c>
    </row>
    <row r="84" spans="1:4">
      <c r="A84" s="34" t="s">
        <v>338</v>
      </c>
      <c r="B84" s="4">
        <v>4.7627153690549643E-5</v>
      </c>
      <c r="C84" s="4"/>
      <c r="D84" s="4">
        <v>0</v>
      </c>
    </row>
    <row r="85" spans="1:4">
      <c r="A85" s="34" t="s">
        <v>339</v>
      </c>
      <c r="B85" s="4">
        <v>1.0794513616293963E-3</v>
      </c>
      <c r="C85" s="4"/>
      <c r="D85" s="4">
        <v>1.3433327740641557E-3</v>
      </c>
    </row>
    <row r="86" spans="1:4">
      <c r="A86" s="34" t="s">
        <v>340</v>
      </c>
      <c r="B86" s="4">
        <v>9.6226411597355249E-5</v>
      </c>
      <c r="C86" s="4"/>
      <c r="D86" s="4">
        <v>2.1391535484584208E-5</v>
      </c>
    </row>
    <row r="87" spans="1:4">
      <c r="A87" s="34" t="s">
        <v>341</v>
      </c>
      <c r="B87" s="4">
        <v>5.8624637608733884E-5</v>
      </c>
      <c r="C87" s="4"/>
      <c r="D87" s="4">
        <v>7.8006058495266056E-5</v>
      </c>
    </row>
    <row r="88" spans="1:4">
      <c r="A88" s="34" t="s">
        <v>342</v>
      </c>
      <c r="B88" s="4">
        <v>6.4423526404216048E-3</v>
      </c>
      <c r="C88" s="4"/>
      <c r="D88" s="4">
        <v>5.6529337183937956E-3</v>
      </c>
    </row>
    <row r="89" spans="1:4">
      <c r="A89" s="34" t="s">
        <v>343</v>
      </c>
      <c r="B89" s="4">
        <v>9.4100773635180115E-4</v>
      </c>
      <c r="C89" s="4"/>
      <c r="D89" s="4">
        <v>6.5089345294839054E-4</v>
      </c>
    </row>
    <row r="90" spans="1:4">
      <c r="A90" s="34" t="s">
        <v>344</v>
      </c>
      <c r="B90" s="4">
        <v>5.0734800490106166E-5</v>
      </c>
      <c r="C90" s="4"/>
      <c r="D90" s="4">
        <v>2.418287119147631E-5</v>
      </c>
    </row>
    <row r="91" spans="1:4">
      <c r="A91" s="34" t="s">
        <v>345</v>
      </c>
      <c r="B91" s="4">
        <v>1.0752319419750484E-2</v>
      </c>
      <c r="C91" s="4"/>
      <c r="D91" s="4">
        <v>1.0537070577035212E-2</v>
      </c>
    </row>
    <row r="92" spans="1:4">
      <c r="A92" s="34" t="s">
        <v>346</v>
      </c>
      <c r="B92" s="4">
        <v>2.9591595586178905E-3</v>
      </c>
      <c r="C92" s="4"/>
      <c r="D92" s="4">
        <v>2.5326728333017437E-3</v>
      </c>
    </row>
    <row r="93" spans="1:4">
      <c r="A93" s="34" t="s">
        <v>347</v>
      </c>
      <c r="B93" s="4">
        <v>7.2485769632687309E-3</v>
      </c>
      <c r="C93" s="4"/>
      <c r="D93" s="4">
        <v>7.4700349202616277E-3</v>
      </c>
    </row>
    <row r="94" spans="1:4">
      <c r="A94" s="34" t="s">
        <v>348</v>
      </c>
      <c r="B94" s="4">
        <v>9.9030819061050185E-4</v>
      </c>
      <c r="C94" s="4"/>
      <c r="D94" s="4">
        <v>1.4044329907881795E-3</v>
      </c>
    </row>
    <row r="95" spans="1:4">
      <c r="A95" s="34" t="s">
        <v>349</v>
      </c>
      <c r="B95" s="4">
        <v>9.4953302133971994E-4</v>
      </c>
      <c r="C95" s="4"/>
      <c r="D95" s="4">
        <v>1.3547884863989313E-3</v>
      </c>
    </row>
    <row r="96" spans="1:4">
      <c r="A96" s="34" t="s">
        <v>350</v>
      </c>
      <c r="B96" s="4">
        <v>2.0208698592242929E-2</v>
      </c>
      <c r="C96" s="4"/>
      <c r="D96" s="4">
        <v>2.1609744250635065E-2</v>
      </c>
    </row>
    <row r="97" spans="1:4">
      <c r="A97" s="34" t="s">
        <v>351</v>
      </c>
      <c r="B97" s="4">
        <v>4.2309485932896378E-4</v>
      </c>
      <c r="C97" s="4"/>
      <c r="D97" s="4">
        <v>4.9868756409267062E-4</v>
      </c>
    </row>
    <row r="98" spans="1:4">
      <c r="A98" s="34" t="s">
        <v>352</v>
      </c>
      <c r="B98" s="4">
        <v>3.0275695499063426E-4</v>
      </c>
      <c r="C98" s="4"/>
      <c r="D98" s="4">
        <v>6.1600982339615393E-4</v>
      </c>
    </row>
    <row r="99" spans="1:4">
      <c r="A99" s="34" t="s">
        <v>353</v>
      </c>
      <c r="B99" s="4">
        <v>2.7201456409993267E-4</v>
      </c>
      <c r="C99" s="4"/>
      <c r="D99" s="4">
        <v>3.4844433886203164E-4</v>
      </c>
    </row>
    <row r="100" spans="1:4">
      <c r="A100" s="34" t="s">
        <v>354</v>
      </c>
      <c r="B100" s="4">
        <v>2.6889731248642798E-3</v>
      </c>
      <c r="C100" s="4"/>
      <c r="D100" s="4">
        <v>2.8612599606227815E-3</v>
      </c>
    </row>
    <row r="101" spans="1:4">
      <c r="A101" s="34" t="s">
        <v>355</v>
      </c>
      <c r="B101" s="4">
        <v>1.979936890524424E-3</v>
      </c>
      <c r="C101" s="4"/>
      <c r="D101" s="4">
        <v>2.2455796212114592E-3</v>
      </c>
    </row>
    <row r="102" spans="1:4">
      <c r="A102" s="34" t="s">
        <v>356</v>
      </c>
      <c r="B102" s="4">
        <v>4.4135828706501503E-4</v>
      </c>
      <c r="C102" s="4"/>
      <c r="D102" s="4">
        <v>3.3300897482837523E-4</v>
      </c>
    </row>
    <row r="103" spans="1:4">
      <c r="A103" s="34" t="s">
        <v>357</v>
      </c>
      <c r="B103" s="4">
        <v>2.9439715176807473E-4</v>
      </c>
      <c r="C103" s="4"/>
      <c r="D103" s="4">
        <v>3.0104018497850981E-4</v>
      </c>
    </row>
    <row r="104" spans="1:4">
      <c r="A104" s="34" t="s">
        <v>358</v>
      </c>
      <c r="B104" s="4">
        <v>9.8531419407388074E-5</v>
      </c>
      <c r="C104" s="4"/>
      <c r="D104" s="4">
        <v>5.5142671027544953E-5</v>
      </c>
    </row>
    <row r="105" spans="1:4">
      <c r="A105" s="34" t="s">
        <v>359</v>
      </c>
      <c r="B105" s="4">
        <v>4.1993967861878354E-4</v>
      </c>
      <c r="C105" s="4"/>
      <c r="D105" s="4">
        <v>4.1374352107549661E-4</v>
      </c>
    </row>
    <row r="106" spans="1:4">
      <c r="A106" s="34" t="s">
        <v>360</v>
      </c>
      <c r="B106" s="4">
        <v>4.2304035761875228E-3</v>
      </c>
      <c r="C106" s="4"/>
      <c r="D106" s="4">
        <v>1.0471393053744595E-2</v>
      </c>
    </row>
    <row r="107" spans="1:4">
      <c r="A107" s="34" t="s">
        <v>361</v>
      </c>
      <c r="B107" s="4">
        <v>5.0585869559323191E-2</v>
      </c>
      <c r="C107" s="4"/>
      <c r="D107" s="4">
        <v>6.4474285833148029E-2</v>
      </c>
    </row>
    <row r="108" spans="1:4">
      <c r="A108" s="34" t="s">
        <v>362</v>
      </c>
      <c r="B108" s="4">
        <v>2.5725581982780112E-5</v>
      </c>
      <c r="C108" s="4"/>
      <c r="D108" s="4">
        <v>0</v>
      </c>
    </row>
    <row r="109" spans="1:4">
      <c r="A109" s="34" t="s">
        <v>363</v>
      </c>
      <c r="B109" s="4">
        <v>7.2439622800617815E-5</v>
      </c>
      <c r="C109" s="4"/>
      <c r="D109" s="4">
        <v>4.4938854114202564E-5</v>
      </c>
    </row>
    <row r="110" spans="1:4">
      <c r="A110" s="34" t="s">
        <v>364</v>
      </c>
      <c r="B110" s="4">
        <v>6.3898183820168346E-4</v>
      </c>
      <c r="C110" s="4"/>
      <c r="D110" s="4">
        <v>4.1057291114146425E-4</v>
      </c>
    </row>
    <row r="111" spans="1:4">
      <c r="A111" s="34" t="s">
        <v>365</v>
      </c>
      <c r="B111" s="4">
        <v>5.0529053704323858E-4</v>
      </c>
      <c r="C111" s="4"/>
      <c r="D111" s="4">
        <v>5.2624278232807028E-4</v>
      </c>
    </row>
    <row r="112" spans="1:4">
      <c r="A112" s="34" t="s">
        <v>366</v>
      </c>
      <c r="B112" s="4">
        <v>1.6338457544874962E-5</v>
      </c>
      <c r="C112" s="4"/>
      <c r="D112" s="4">
        <v>1.0218307561829539E-4</v>
      </c>
    </row>
    <row r="113" spans="1:4">
      <c r="A113" s="34" t="s">
        <v>367</v>
      </c>
      <c r="B113" s="4">
        <v>4.6741913984623311E-3</v>
      </c>
      <c r="C113" s="4"/>
      <c r="D113" s="4">
        <v>4.6775035079396707E-3</v>
      </c>
    </row>
    <row r="114" spans="1:4">
      <c r="A114" s="34" t="s">
        <v>368</v>
      </c>
      <c r="B114" s="4">
        <v>2.7447012671159017E-5</v>
      </c>
      <c r="C114" s="4"/>
      <c r="D114" s="4">
        <v>0</v>
      </c>
    </row>
    <row r="115" spans="1:4">
      <c r="A115" s="34" t="s">
        <v>369</v>
      </c>
      <c r="B115" s="4">
        <v>1.0093323676805367E-4</v>
      </c>
      <c r="C115" s="4"/>
      <c r="D115" s="4">
        <v>1.6882981904521184E-4</v>
      </c>
    </row>
    <row r="116" spans="1:4">
      <c r="A116" s="34" t="s">
        <v>370</v>
      </c>
      <c r="B116" s="4">
        <v>3.3291998778644632E-4</v>
      </c>
      <c r="C116" s="4"/>
      <c r="D116" s="4">
        <v>1.1474042441335342E-4</v>
      </c>
    </row>
    <row r="117" spans="1:4">
      <c r="A117" s="34" t="s">
        <v>371</v>
      </c>
      <c r="B117" s="4">
        <v>3.0463751086362498E-3</v>
      </c>
      <c r="C117" s="4"/>
      <c r="D117" s="4">
        <v>2.5936598635605077E-3</v>
      </c>
    </row>
    <row r="118" spans="1:4">
      <c r="A118" s="34" t="s">
        <v>372</v>
      </c>
      <c r="B118" s="4">
        <v>5.9608456051624759E-3</v>
      </c>
      <c r="C118" s="4"/>
      <c r="D118" s="4">
        <v>5.6822802841605732E-3</v>
      </c>
    </row>
    <row r="119" spans="1:4">
      <c r="A119" s="34" t="s">
        <v>373</v>
      </c>
      <c r="B119" s="4">
        <v>7.9612918803466173E-3</v>
      </c>
      <c r="C119" s="4"/>
      <c r="D119" s="4">
        <v>7.4365918072922402E-3</v>
      </c>
    </row>
    <row r="120" spans="1:4">
      <c r="A120" s="34" t="s">
        <v>374</v>
      </c>
      <c r="B120" s="4">
        <v>3.1971655836653167E-3</v>
      </c>
      <c r="C120" s="4"/>
      <c r="D120" s="4">
        <v>3.595575953571122E-3</v>
      </c>
    </row>
    <row r="121" spans="1:4">
      <c r="A121" s="34" t="s">
        <v>375</v>
      </c>
      <c r="B121" s="4">
        <v>0.15888271605592394</v>
      </c>
      <c r="C121" s="4"/>
      <c r="D121" s="4">
        <v>0.16283011705461856</v>
      </c>
    </row>
    <row r="122" spans="1:4">
      <c r="A122" s="34" t="s">
        <v>376</v>
      </c>
      <c r="B122" s="4">
        <v>3.3329706260458161E-3</v>
      </c>
      <c r="C122" s="4"/>
      <c r="D122" s="4">
        <v>3.5969007648780182E-3</v>
      </c>
    </row>
    <row r="123" spans="1:4">
      <c r="A123" s="34" t="s">
        <v>377</v>
      </c>
      <c r="B123" s="4">
        <v>1.5677978502218152E-3</v>
      </c>
      <c r="C123" s="4"/>
      <c r="D123" s="4">
        <v>1.4664373156769372E-3</v>
      </c>
    </row>
    <row r="124" spans="1:4">
      <c r="A124" s="34" t="s">
        <v>378</v>
      </c>
      <c r="B124" s="4">
        <v>1.8469566793014716E-4</v>
      </c>
      <c r="C124" s="4"/>
      <c r="D124" s="4">
        <v>2.832844626803197E-4</v>
      </c>
    </row>
    <row r="125" spans="1:4">
      <c r="A125" s="34" t="s">
        <v>379</v>
      </c>
      <c r="B125" s="4">
        <v>4.5213471496964893E-5</v>
      </c>
      <c r="C125" s="4"/>
      <c r="D125" s="4">
        <v>4.9272422941234971E-5</v>
      </c>
    </row>
    <row r="126" spans="1:4">
      <c r="A126" s="34" t="s">
        <v>380</v>
      </c>
      <c r="B126" s="4">
        <v>1.7507953684147682E-3</v>
      </c>
      <c r="C126" s="4"/>
      <c r="D126" s="4">
        <v>1.962633955359813E-3</v>
      </c>
    </row>
    <row r="127" spans="1:4">
      <c r="A127" s="34" t="s">
        <v>381</v>
      </c>
      <c r="B127" s="4">
        <v>1.2360567584673188E-3</v>
      </c>
      <c r="C127" s="4"/>
      <c r="D127" s="4">
        <v>1.3823322266400665E-3</v>
      </c>
    </row>
    <row r="128" spans="1:4">
      <c r="A128" s="34" t="s">
        <v>382</v>
      </c>
      <c r="B128" s="4">
        <v>4.7328890971309566E-3</v>
      </c>
      <c r="C128" s="4"/>
      <c r="D128" s="4">
        <v>4.1248203241821928E-3</v>
      </c>
    </row>
    <row r="129" spans="1:4">
      <c r="A129" s="34" t="s">
        <v>383</v>
      </c>
      <c r="B129" s="4">
        <v>0</v>
      </c>
      <c r="C129" s="4"/>
      <c r="D129" s="4">
        <v>0</v>
      </c>
    </row>
    <row r="130" spans="1:4">
      <c r="A130" s="34" t="s">
        <v>384</v>
      </c>
      <c r="B130" s="4">
        <v>7.9373864854798346E-3</v>
      </c>
      <c r="C130" s="4"/>
      <c r="D130" s="4">
        <v>8.6143154365114702E-3</v>
      </c>
    </row>
    <row r="131" spans="1:4">
      <c r="A131" s="34" t="s">
        <v>385</v>
      </c>
      <c r="B131" s="4">
        <v>0</v>
      </c>
      <c r="C131" s="4"/>
      <c r="D131" s="4">
        <v>3.3484172465549417E-5</v>
      </c>
    </row>
    <row r="132" spans="1:4">
      <c r="A132" s="34" t="s">
        <v>386</v>
      </c>
      <c r="B132" s="4">
        <v>1.278753871026596E-3</v>
      </c>
      <c r="C132" s="4"/>
      <c r="D132" s="4">
        <v>1.4883095660742976E-3</v>
      </c>
    </row>
    <row r="133" spans="1:4">
      <c r="A133" s="34" t="s">
        <v>387</v>
      </c>
      <c r="B133" s="4">
        <v>4.3575291033710866E-3</v>
      </c>
      <c r="C133" s="4"/>
      <c r="D133" s="4">
        <v>5.0905793801629658E-3</v>
      </c>
    </row>
    <row r="134" spans="1:4">
      <c r="A134" s="34" t="s">
        <v>388</v>
      </c>
      <c r="B134" s="4">
        <v>4.5768367429166587E-3</v>
      </c>
      <c r="C134" s="4"/>
      <c r="D134" s="4">
        <v>4.4768436455188314E-3</v>
      </c>
    </row>
    <row r="135" spans="1:4">
      <c r="A135" s="34" t="s">
        <v>389</v>
      </c>
      <c r="B135" s="4">
        <v>1.4224985585873359E-2</v>
      </c>
      <c r="C135" s="4"/>
      <c r="D135" s="4">
        <v>1.3726076262535143E-2</v>
      </c>
    </row>
    <row r="136" spans="1:4">
      <c r="A136" s="34" t="s">
        <v>390</v>
      </c>
      <c r="B136" s="4">
        <v>0.15238527962309434</v>
      </c>
      <c r="C136" s="4"/>
      <c r="D136" s="4">
        <v>0.15305879882463469</v>
      </c>
    </row>
    <row r="137" spans="1:4">
      <c r="A137" s="34" t="s">
        <v>391</v>
      </c>
      <c r="B137" s="4">
        <v>2.2004254338355372E-4</v>
      </c>
      <c r="C137" s="4"/>
      <c r="D137" s="4">
        <v>1.0814466011680189E-4</v>
      </c>
    </row>
    <row r="138" spans="1:4">
      <c r="A138" s="34" t="s">
        <v>392</v>
      </c>
      <c r="B138" s="4">
        <v>8.2705883694149135E-4</v>
      </c>
      <c r="C138" s="4"/>
      <c r="D138" s="4">
        <v>6.1061257946777722E-4</v>
      </c>
    </row>
    <row r="139" spans="1:4">
      <c r="A139" s="34" t="s">
        <v>393</v>
      </c>
      <c r="B139" s="4">
        <v>1.6120512772080525E-2</v>
      </c>
      <c r="C139" s="4"/>
      <c r="D139" s="4">
        <v>1.6969960687376311E-2</v>
      </c>
    </row>
    <row r="140" spans="1:4">
      <c r="A140" s="34" t="s">
        <v>394</v>
      </c>
      <c r="B140" s="4">
        <v>1.7761280720942222E-3</v>
      </c>
      <c r="C140" s="4"/>
      <c r="D140" s="4">
        <v>1.169267096397344E-3</v>
      </c>
    </row>
    <row r="141" spans="1:4">
      <c r="A141" s="34" t="s">
        <v>395</v>
      </c>
      <c r="B141" s="4">
        <v>2.3887875361401517E-4</v>
      </c>
      <c r="C141" s="4"/>
      <c r="D141" s="4">
        <v>2.2864652773788772E-4</v>
      </c>
    </row>
    <row r="142" spans="1:4">
      <c r="A142" s="34" t="s">
        <v>396</v>
      </c>
      <c r="B142" s="4">
        <v>4.810286352082082E-2</v>
      </c>
      <c r="C142" s="4"/>
      <c r="D142" s="4">
        <v>5.1445209810150896E-2</v>
      </c>
    </row>
    <row r="143" spans="1:4">
      <c r="A143" s="34" t="s">
        <v>397</v>
      </c>
      <c r="B143" s="4">
        <v>6.1702492880553548E-3</v>
      </c>
      <c r="C143" s="4"/>
      <c r="D143" s="4">
        <v>6.1960578209956122E-3</v>
      </c>
    </row>
    <row r="144" spans="1:4">
      <c r="A144" s="34" t="s">
        <v>398</v>
      </c>
      <c r="B144" s="4">
        <v>0</v>
      </c>
      <c r="C144" s="4"/>
      <c r="D144" s="4">
        <v>0</v>
      </c>
    </row>
    <row r="145" spans="1:4">
      <c r="A145" s="34" t="s">
        <v>399</v>
      </c>
      <c r="B145" s="4">
        <v>7.8252023198401889E-3</v>
      </c>
      <c r="C145" s="4"/>
      <c r="D145" s="4">
        <v>7.4074556761752923E-3</v>
      </c>
    </row>
    <row r="146" spans="1:4">
      <c r="A146" s="34" t="s">
        <v>400</v>
      </c>
      <c r="B146" s="4">
        <v>1.4884836228493828E-3</v>
      </c>
      <c r="C146" s="4"/>
      <c r="D146" s="4">
        <v>9.9390481868257452E-4</v>
      </c>
    </row>
    <row r="147" spans="1:4">
      <c r="A147" s="34" t="s">
        <v>401</v>
      </c>
      <c r="B147" s="4">
        <v>7.4800262339800921E-3</v>
      </c>
      <c r="C147" s="4"/>
      <c r="D147" s="4">
        <v>8.4926004257150269E-3</v>
      </c>
    </row>
    <row r="148" spans="1:4">
      <c r="A148" s="34" t="s">
        <v>402</v>
      </c>
      <c r="B148" s="4">
        <v>1.0240494681313458E-2</v>
      </c>
      <c r="C148" s="4"/>
      <c r="D148" s="4">
        <v>9.137416395220142E-3</v>
      </c>
    </row>
    <row r="149" spans="1:4">
      <c r="A149" s="34" t="s">
        <v>403</v>
      </c>
      <c r="B149" s="4">
        <v>1.375172410284849E-2</v>
      </c>
      <c r="C149" s="4"/>
      <c r="D149" s="4">
        <v>1.3008585259562087E-2</v>
      </c>
    </row>
    <row r="150" spans="1:4">
      <c r="A150" s="34" t="s">
        <v>404</v>
      </c>
      <c r="B150" s="4">
        <v>0.4945997992464361</v>
      </c>
      <c r="C150" s="4"/>
      <c r="D150" s="4">
        <v>0.50145978228696553</v>
      </c>
    </row>
    <row r="151" spans="1:4">
      <c r="A151" s="34" t="s">
        <v>405</v>
      </c>
      <c r="B151" s="4">
        <v>1.0190071246614001E-3</v>
      </c>
      <c r="C151" s="4"/>
      <c r="D151" s="4">
        <v>9.5286709498393362E-4</v>
      </c>
    </row>
    <row r="152" spans="1:4">
      <c r="A152" s="34" t="s">
        <v>406</v>
      </c>
      <c r="B152" s="4">
        <v>1.9981874710357688E-3</v>
      </c>
      <c r="C152" s="4"/>
      <c r="D152" s="4">
        <v>1.8673652339598102E-3</v>
      </c>
    </row>
    <row r="153" spans="1:4">
      <c r="A153" s="34" t="s">
        <v>407</v>
      </c>
      <c r="B153" s="4">
        <v>1.3847163231260019E-2</v>
      </c>
      <c r="C153" s="4"/>
      <c r="D153" s="4">
        <v>1.4556778287484294E-2</v>
      </c>
    </row>
    <row r="154" spans="1:4">
      <c r="A154" s="34" t="s">
        <v>408</v>
      </c>
      <c r="B154" s="4">
        <v>2.7964631101940047E-5</v>
      </c>
      <c r="C154" s="4"/>
      <c r="D154" s="4">
        <v>8.8515379289901789E-5</v>
      </c>
    </row>
    <row r="155" spans="1:4">
      <c r="A155" s="34" t="s">
        <v>409</v>
      </c>
      <c r="B155" s="4">
        <v>5.3553045523444258E-4</v>
      </c>
      <c r="C155" s="4"/>
      <c r="D155" s="4">
        <v>3.5725338136541156E-4</v>
      </c>
    </row>
    <row r="156" spans="1:4">
      <c r="A156" s="34" t="s">
        <v>410</v>
      </c>
      <c r="B156" s="4">
        <v>3.3455305450781988E-4</v>
      </c>
      <c r="C156" s="4"/>
      <c r="D156" s="4">
        <v>5.4019997188436324E-4</v>
      </c>
    </row>
    <row r="157" spans="1:4">
      <c r="A157" s="118" t="s">
        <v>411</v>
      </c>
      <c r="B157" s="123">
        <v>4.8939252677083225E-2</v>
      </c>
      <c r="C157" s="123"/>
      <c r="D157" s="123">
        <v>4.9755426322118816E-2</v>
      </c>
    </row>
    <row r="158" spans="1:4">
      <c r="A158" s="67"/>
      <c r="B158" s="187" t="s">
        <v>147</v>
      </c>
      <c r="C158" s="187"/>
      <c r="D158" s="187"/>
    </row>
    <row r="159" spans="1:4">
      <c r="A159" s="34" t="s">
        <v>270</v>
      </c>
      <c r="B159" s="45">
        <v>34470.631351543161</v>
      </c>
      <c r="C159" s="45"/>
      <c r="D159" s="45">
        <v>42408.310294375347</v>
      </c>
    </row>
    <row r="160" spans="1:4">
      <c r="A160" s="34" t="s">
        <v>271</v>
      </c>
      <c r="B160" s="45">
        <v>72761.866811727974</v>
      </c>
      <c r="C160" s="45"/>
      <c r="D160" s="45">
        <v>71993.196799576006</v>
      </c>
    </row>
    <row r="161" spans="1:4">
      <c r="A161" s="34" t="s">
        <v>272</v>
      </c>
      <c r="B161" s="45">
        <v>52470.448213436903</v>
      </c>
      <c r="C161" s="45"/>
      <c r="D161" s="45">
        <v>49329.564819443585</v>
      </c>
    </row>
    <row r="162" spans="1:4">
      <c r="A162" s="34" t="s">
        <v>273</v>
      </c>
      <c r="B162" s="45">
        <v>318542.59227263881</v>
      </c>
      <c r="C162" s="45"/>
      <c r="D162" s="45">
        <v>293578.41670929256</v>
      </c>
    </row>
    <row r="163" spans="1:4">
      <c r="A163" s="34" t="s">
        <v>274</v>
      </c>
      <c r="B163" s="45">
        <v>562062.58629880089</v>
      </c>
      <c r="C163" s="45"/>
      <c r="D163" s="45">
        <v>589147.47957119416</v>
      </c>
    </row>
    <row r="164" spans="1:4">
      <c r="A164" s="34" t="s">
        <v>275</v>
      </c>
      <c r="B164" s="45">
        <v>392366.8462001381</v>
      </c>
      <c r="C164" s="45"/>
      <c r="D164" s="45">
        <v>391204.45060468448</v>
      </c>
    </row>
    <row r="165" spans="1:4">
      <c r="A165" s="34" t="s">
        <v>276</v>
      </c>
      <c r="B165" s="45">
        <v>76636.882119925678</v>
      </c>
      <c r="C165" s="45"/>
      <c r="D165" s="45">
        <v>78442.369048313732</v>
      </c>
    </row>
    <row r="166" spans="1:4">
      <c r="A166" s="34" t="s">
        <v>277</v>
      </c>
      <c r="B166" s="45">
        <v>1056012.3271963685</v>
      </c>
      <c r="C166" s="45"/>
      <c r="D166" s="45">
        <v>1039104.0607530681</v>
      </c>
    </row>
    <row r="167" spans="1:4">
      <c r="A167" s="34" t="s">
        <v>278</v>
      </c>
      <c r="B167" s="45">
        <v>6246.9750918127202</v>
      </c>
      <c r="C167" s="45"/>
      <c r="D167" s="45">
        <v>5723.2958095322883</v>
      </c>
    </row>
    <row r="168" spans="1:4">
      <c r="A168" s="34" t="s">
        <v>279</v>
      </c>
      <c r="B168" s="45">
        <v>1684.379906605594</v>
      </c>
      <c r="C168" s="45"/>
      <c r="D168" s="45">
        <v>2072.5698464895809</v>
      </c>
    </row>
    <row r="169" spans="1:4">
      <c r="A169" s="34" t="s">
        <v>280</v>
      </c>
      <c r="B169" s="45">
        <v>77332.431397633292</v>
      </c>
      <c r="C169" s="45"/>
      <c r="D169" s="45">
        <v>69133.54611965848</v>
      </c>
    </row>
    <row r="170" spans="1:4">
      <c r="A170" s="34" t="s">
        <v>281</v>
      </c>
      <c r="B170" s="45">
        <v>11141.882236350128</v>
      </c>
      <c r="C170" s="45"/>
      <c r="D170" s="45">
        <v>6567.556657789557</v>
      </c>
    </row>
    <row r="171" spans="1:4">
      <c r="A171" s="34" t="s">
        <v>282</v>
      </c>
      <c r="B171" s="45">
        <v>549.82162013158245</v>
      </c>
      <c r="C171" s="45"/>
      <c r="D171" s="45">
        <v>0</v>
      </c>
    </row>
    <row r="172" spans="1:4">
      <c r="A172" s="34" t="s">
        <v>283</v>
      </c>
      <c r="B172" s="45">
        <v>5502.8964130221757</v>
      </c>
      <c r="C172" s="45"/>
      <c r="D172" s="45">
        <v>2425.5921734992107</v>
      </c>
    </row>
    <row r="173" spans="1:4">
      <c r="A173" s="34" t="s">
        <v>284</v>
      </c>
      <c r="B173" s="45">
        <v>0</v>
      </c>
      <c r="C173" s="45"/>
      <c r="D173" s="45">
        <v>0</v>
      </c>
    </row>
    <row r="174" spans="1:4">
      <c r="A174" s="34" t="s">
        <v>285</v>
      </c>
      <c r="B174" s="45">
        <v>11208.216178850253</v>
      </c>
      <c r="C174" s="45"/>
      <c r="D174" s="45">
        <v>7207.7617664980653</v>
      </c>
    </row>
    <row r="175" spans="1:4">
      <c r="A175" s="34" t="s">
        <v>286</v>
      </c>
      <c r="B175" s="45">
        <v>1553.7310151234401</v>
      </c>
      <c r="C175" s="45"/>
      <c r="D175" s="45">
        <v>4136.6162980196423</v>
      </c>
    </row>
    <row r="176" spans="1:4">
      <c r="A176" s="34" t="s">
        <v>287</v>
      </c>
      <c r="B176" s="45">
        <v>190848.58977596089</v>
      </c>
      <c r="C176" s="45"/>
      <c r="D176" s="45">
        <v>209568.7403700107</v>
      </c>
    </row>
    <row r="177" spans="1:4">
      <c r="A177" s="34" t="s">
        <v>288</v>
      </c>
      <c r="B177" s="45">
        <v>194236.91389443548</v>
      </c>
      <c r="C177" s="45"/>
      <c r="D177" s="45">
        <v>202201.45722500802</v>
      </c>
    </row>
    <row r="178" spans="1:4">
      <c r="A178" s="34" t="s">
        <v>289</v>
      </c>
      <c r="B178" s="45">
        <v>0</v>
      </c>
      <c r="C178" s="45"/>
      <c r="D178" s="45">
        <v>1139.6213257213126</v>
      </c>
    </row>
    <row r="179" spans="1:4">
      <c r="A179" s="34" t="s">
        <v>290</v>
      </c>
      <c r="B179" s="45">
        <v>3713701.1657642545</v>
      </c>
      <c r="C179" s="45"/>
      <c r="D179" s="45">
        <v>3856343.2137945504</v>
      </c>
    </row>
    <row r="180" spans="1:4">
      <c r="A180" s="34" t="s">
        <v>291</v>
      </c>
      <c r="B180" s="45">
        <v>50972.426539931344</v>
      </c>
      <c r="C180" s="45"/>
      <c r="D180" s="45">
        <v>57923.907064616134</v>
      </c>
    </row>
    <row r="181" spans="1:4">
      <c r="A181" s="34" t="s">
        <v>292</v>
      </c>
      <c r="B181" s="45">
        <v>6722.9393492411609</v>
      </c>
      <c r="C181" s="45"/>
      <c r="D181" s="45">
        <v>4804.7051857245069</v>
      </c>
    </row>
    <row r="182" spans="1:4">
      <c r="A182" s="34" t="s">
        <v>293</v>
      </c>
      <c r="B182" s="45">
        <v>210705.29615274919</v>
      </c>
      <c r="C182" s="45"/>
      <c r="D182" s="45">
        <v>224310.71570614781</v>
      </c>
    </row>
    <row r="183" spans="1:4">
      <c r="A183" s="34" t="s">
        <v>294</v>
      </c>
      <c r="B183" s="45">
        <v>7907.5323829938861</v>
      </c>
      <c r="C183" s="45"/>
      <c r="D183" s="45">
        <v>9293.1016680309094</v>
      </c>
    </row>
    <row r="184" spans="1:4">
      <c r="A184" s="34" t="s">
        <v>295</v>
      </c>
      <c r="B184" s="45">
        <v>541743.09507964284</v>
      </c>
      <c r="C184" s="45"/>
      <c r="D184" s="45">
        <v>545353.91958629666</v>
      </c>
    </row>
    <row r="185" spans="1:4">
      <c r="A185" s="34" t="s">
        <v>296</v>
      </c>
      <c r="B185" s="45">
        <v>16237.878821925664</v>
      </c>
      <c r="C185" s="45"/>
      <c r="D185" s="45">
        <v>15265.112839515295</v>
      </c>
    </row>
    <row r="186" spans="1:4">
      <c r="A186" s="34" t="s">
        <v>297</v>
      </c>
      <c r="B186" s="45">
        <v>136231.56498289309</v>
      </c>
      <c r="C186" s="45"/>
      <c r="D186" s="45">
        <v>142263.58343631186</v>
      </c>
    </row>
    <row r="187" spans="1:4">
      <c r="A187" s="34" t="s">
        <v>298</v>
      </c>
      <c r="B187" s="45">
        <v>4474.5242456587403</v>
      </c>
      <c r="C187" s="45"/>
      <c r="D187" s="45">
        <v>1028.5319948040114</v>
      </c>
    </row>
    <row r="188" spans="1:4">
      <c r="A188" s="34" t="s">
        <v>299</v>
      </c>
      <c r="B188" s="45">
        <v>1948235.9907898721</v>
      </c>
      <c r="C188" s="45"/>
      <c r="D188" s="45">
        <v>1895782.8272889378</v>
      </c>
    </row>
    <row r="189" spans="1:4">
      <c r="A189" s="34" t="s">
        <v>300</v>
      </c>
      <c r="B189" s="45">
        <v>219426.3188110714</v>
      </c>
      <c r="C189" s="45"/>
      <c r="D189" s="45">
        <v>247246.46080311676</v>
      </c>
    </row>
    <row r="190" spans="1:4">
      <c r="A190" s="34" t="s">
        <v>301</v>
      </c>
      <c r="B190" s="45">
        <v>354299.58928980015</v>
      </c>
      <c r="C190" s="45"/>
      <c r="D190" s="45">
        <v>372542.07502170722</v>
      </c>
    </row>
    <row r="191" spans="1:4">
      <c r="A191" s="34" t="s">
        <v>302</v>
      </c>
      <c r="B191" s="45">
        <v>35175.724871107072</v>
      </c>
      <c r="C191" s="45"/>
      <c r="D191" s="45">
        <v>36107.776565178785</v>
      </c>
    </row>
    <row r="192" spans="1:4">
      <c r="A192" s="34" t="s">
        <v>303</v>
      </c>
      <c r="B192" s="45">
        <v>8434.2917587713255</v>
      </c>
      <c r="C192" s="45"/>
      <c r="D192" s="45">
        <v>11328.044107370268</v>
      </c>
    </row>
    <row r="193" spans="1:4">
      <c r="A193" s="34" t="s">
        <v>304</v>
      </c>
      <c r="B193" s="45">
        <v>17919.43012322317</v>
      </c>
      <c r="C193" s="45"/>
      <c r="D193" s="45">
        <v>15490.212092377116</v>
      </c>
    </row>
    <row r="194" spans="1:4">
      <c r="A194" s="34" t="s">
        <v>305</v>
      </c>
      <c r="B194" s="45">
        <v>12171.289701169113</v>
      </c>
      <c r="C194" s="45"/>
      <c r="D194" s="45">
        <v>15364.365648428435</v>
      </c>
    </row>
    <row r="195" spans="1:4">
      <c r="A195" s="34" t="s">
        <v>306</v>
      </c>
      <c r="B195" s="45">
        <v>7794.6290470300028</v>
      </c>
      <c r="C195" s="45"/>
      <c r="D195" s="45">
        <v>6274.5642513343773</v>
      </c>
    </row>
    <row r="196" spans="1:4">
      <c r="A196" s="34" t="s">
        <v>307</v>
      </c>
      <c r="B196" s="45">
        <v>96362.699964412881</v>
      </c>
      <c r="C196" s="45"/>
      <c r="D196" s="45">
        <v>106481.55618273596</v>
      </c>
    </row>
    <row r="197" spans="1:4">
      <c r="A197" s="34" t="s">
        <v>308</v>
      </c>
      <c r="B197" s="45">
        <v>65024.818362450525</v>
      </c>
      <c r="C197" s="45"/>
      <c r="D197" s="45">
        <v>57985.659768517668</v>
      </c>
    </row>
    <row r="198" spans="1:4">
      <c r="A198" s="34" t="s">
        <v>309</v>
      </c>
      <c r="B198" s="45">
        <v>10566.220059161093</v>
      </c>
      <c r="C198" s="45"/>
      <c r="D198" s="45">
        <v>13827.034629742866</v>
      </c>
    </row>
    <row r="199" spans="1:4">
      <c r="A199" s="34" t="s">
        <v>310</v>
      </c>
      <c r="B199" s="45">
        <v>245329.04503800924</v>
      </c>
      <c r="C199" s="45"/>
      <c r="D199" s="45">
        <v>283394.67159540276</v>
      </c>
    </row>
    <row r="200" spans="1:4">
      <c r="A200" s="34" t="s">
        <v>311</v>
      </c>
      <c r="B200" s="45">
        <v>6421651.1073382897</v>
      </c>
      <c r="C200" s="45"/>
      <c r="D200" s="45">
        <v>7034721.2915836405</v>
      </c>
    </row>
    <row r="201" spans="1:4">
      <c r="A201" s="34" t="s">
        <v>312</v>
      </c>
      <c r="B201" s="45">
        <v>1997.2622126354672</v>
      </c>
      <c r="C201" s="45"/>
      <c r="D201" s="45">
        <v>2088.461219706227</v>
      </c>
    </row>
    <row r="202" spans="1:4">
      <c r="A202" s="34" t="s">
        <v>313</v>
      </c>
      <c r="B202" s="45">
        <v>55825.67020391862</v>
      </c>
      <c r="C202" s="45"/>
      <c r="D202" s="45">
        <v>55406.634274980999</v>
      </c>
    </row>
    <row r="203" spans="1:4">
      <c r="A203" s="34" t="s">
        <v>314</v>
      </c>
      <c r="B203" s="45">
        <v>1232725.5809699653</v>
      </c>
      <c r="C203" s="45"/>
      <c r="D203" s="45">
        <v>1233985.3869630361</v>
      </c>
    </row>
    <row r="204" spans="1:4">
      <c r="A204" s="34" t="s">
        <v>315</v>
      </c>
      <c r="B204" s="45">
        <v>10271.605761349289</v>
      </c>
      <c r="C204" s="45"/>
      <c r="D204" s="45">
        <v>10833.579209941978</v>
      </c>
    </row>
    <row r="205" spans="1:4">
      <c r="A205" s="34" t="s">
        <v>316</v>
      </c>
      <c r="B205" s="45">
        <v>5206.0243955574751</v>
      </c>
      <c r="C205" s="45"/>
      <c r="D205" s="45">
        <v>5149.2395928988144</v>
      </c>
    </row>
    <row r="206" spans="1:4">
      <c r="A206" s="34" t="s">
        <v>317</v>
      </c>
      <c r="B206" s="45">
        <v>958.22246922487625</v>
      </c>
      <c r="C206" s="45"/>
      <c r="D206" s="45">
        <v>3827.5374292870174</v>
      </c>
    </row>
    <row r="207" spans="1:4">
      <c r="A207" s="34" t="s">
        <v>318</v>
      </c>
      <c r="B207" s="45">
        <v>955723.54811767663</v>
      </c>
      <c r="C207" s="45"/>
      <c r="D207" s="45">
        <v>1065300.2752739354</v>
      </c>
    </row>
    <row r="208" spans="1:4">
      <c r="A208" s="34" t="s">
        <v>319</v>
      </c>
      <c r="B208" s="45">
        <v>9699.3553729359992</v>
      </c>
      <c r="C208" s="45"/>
      <c r="D208" s="45">
        <v>11657.538628947443</v>
      </c>
    </row>
    <row r="209" spans="1:4">
      <c r="A209" s="34" t="s">
        <v>320</v>
      </c>
      <c r="B209" s="45">
        <v>1984.6544752827501</v>
      </c>
      <c r="C209" s="45"/>
      <c r="D209" s="45">
        <v>1482.3897205859664</v>
      </c>
    </row>
    <row r="210" spans="1:4">
      <c r="A210" s="34" t="s">
        <v>321</v>
      </c>
      <c r="B210" s="45">
        <v>114944.63329127376</v>
      </c>
      <c r="C210" s="45"/>
      <c r="D210" s="45">
        <v>124669.335769224</v>
      </c>
    </row>
    <row r="211" spans="1:4">
      <c r="A211" s="34" t="s">
        <v>322</v>
      </c>
      <c r="B211" s="45">
        <v>31041.753244600644</v>
      </c>
      <c r="C211" s="45"/>
      <c r="D211" s="45">
        <v>31769.487813569245</v>
      </c>
    </row>
    <row r="212" spans="1:4">
      <c r="A212" s="34" t="s">
        <v>323</v>
      </c>
      <c r="B212" s="45">
        <v>4490.1560100144661</v>
      </c>
      <c r="C212" s="45"/>
      <c r="D212" s="45">
        <v>2753.3343845291747</v>
      </c>
    </row>
    <row r="213" spans="1:4">
      <c r="A213" s="34" t="s">
        <v>324</v>
      </c>
      <c r="B213" s="45">
        <v>113275.7392912225</v>
      </c>
      <c r="C213" s="45"/>
      <c r="D213" s="45">
        <v>108037.15545511156</v>
      </c>
    </row>
    <row r="214" spans="1:4">
      <c r="A214" s="34" t="s">
        <v>325</v>
      </c>
      <c r="B214" s="45">
        <v>9773.805998920323</v>
      </c>
      <c r="C214" s="45"/>
      <c r="D214" s="45">
        <v>8326.6886641228975</v>
      </c>
    </row>
    <row r="215" spans="1:4">
      <c r="A215" s="34" t="s">
        <v>326</v>
      </c>
      <c r="B215" s="45">
        <v>13449.026316339812</v>
      </c>
      <c r="C215" s="45"/>
      <c r="D215" s="45">
        <v>14579.932937134092</v>
      </c>
    </row>
    <row r="216" spans="1:4">
      <c r="A216" s="34" t="s">
        <v>327</v>
      </c>
      <c r="B216" s="45">
        <v>2049.9799171683808</v>
      </c>
      <c r="C216" s="45"/>
      <c r="D216" s="45">
        <v>2614.1600831127403</v>
      </c>
    </row>
    <row r="217" spans="1:4">
      <c r="A217" s="34" t="s">
        <v>328</v>
      </c>
      <c r="B217" s="45">
        <v>43732.894621024316</v>
      </c>
      <c r="C217" s="45"/>
      <c r="D217" s="45">
        <v>51003.108765180863</v>
      </c>
    </row>
    <row r="218" spans="1:4">
      <c r="A218" s="34" t="s">
        <v>329</v>
      </c>
      <c r="B218" s="45">
        <v>26538.97964525827</v>
      </c>
      <c r="C218" s="45"/>
      <c r="D218" s="45">
        <v>17166.839234733307</v>
      </c>
    </row>
    <row r="219" spans="1:4">
      <c r="A219" s="34" t="s">
        <v>330</v>
      </c>
      <c r="B219" s="45">
        <v>5848.462858231851</v>
      </c>
      <c r="C219" s="45"/>
      <c r="D219" s="45">
        <v>11795.993825503871</v>
      </c>
    </row>
    <row r="220" spans="1:4">
      <c r="A220" s="34" t="s">
        <v>331</v>
      </c>
      <c r="B220" s="45">
        <v>41075.38253509959</v>
      </c>
      <c r="C220" s="45"/>
      <c r="D220" s="45">
        <v>40978.026679295501</v>
      </c>
    </row>
    <row r="221" spans="1:4">
      <c r="A221" s="34" t="s">
        <v>332</v>
      </c>
      <c r="B221" s="45">
        <v>51812.86410455445</v>
      </c>
      <c r="C221" s="45"/>
      <c r="D221" s="45">
        <v>41059.818290787698</v>
      </c>
    </row>
    <row r="222" spans="1:4">
      <c r="A222" s="34" t="s">
        <v>333</v>
      </c>
      <c r="B222" s="45">
        <v>4420.8106663425306</v>
      </c>
      <c r="C222" s="45"/>
      <c r="D222" s="45">
        <v>3422.9000096389782</v>
      </c>
    </row>
    <row r="223" spans="1:4">
      <c r="A223" s="34" t="s">
        <v>334</v>
      </c>
      <c r="B223" s="45">
        <v>3107.8353682486695</v>
      </c>
      <c r="C223" s="45"/>
      <c r="D223" s="45">
        <v>3999.6364739208666</v>
      </c>
    </row>
    <row r="224" spans="1:4">
      <c r="A224" s="34" t="s">
        <v>335</v>
      </c>
      <c r="B224" s="45">
        <v>0</v>
      </c>
      <c r="C224" s="45"/>
      <c r="D224" s="45">
        <v>571.40508150444884</v>
      </c>
    </row>
    <row r="225" spans="1:4">
      <c r="A225" s="34" t="s">
        <v>336</v>
      </c>
      <c r="B225" s="45">
        <v>3134.4166267510473</v>
      </c>
      <c r="C225" s="45"/>
      <c r="D225" s="45">
        <v>2026.5329638434689</v>
      </c>
    </row>
    <row r="226" spans="1:4">
      <c r="A226" s="34" t="s">
        <v>337</v>
      </c>
      <c r="B226" s="45">
        <v>9399.6154332346323</v>
      </c>
      <c r="C226" s="45"/>
      <c r="D226" s="45">
        <v>7724.0967464067007</v>
      </c>
    </row>
    <row r="227" spans="1:4">
      <c r="A227" s="34" t="s">
        <v>338</v>
      </c>
      <c r="B227" s="45">
        <v>1042.9792853428203</v>
      </c>
      <c r="C227" s="45"/>
      <c r="D227" s="45">
        <v>0</v>
      </c>
    </row>
    <row r="228" spans="1:4">
      <c r="A228" s="34" t="s">
        <v>339</v>
      </c>
      <c r="B228" s="45">
        <v>23638.729642119186</v>
      </c>
      <c r="C228" s="45"/>
      <c r="D228" s="45">
        <v>30129.981059853049</v>
      </c>
    </row>
    <row r="229" spans="1:4">
      <c r="A229" s="34" t="s">
        <v>340</v>
      </c>
      <c r="B229" s="45">
        <v>2107.246522666499</v>
      </c>
      <c r="C229" s="45"/>
      <c r="D229" s="45">
        <v>479.79664565298168</v>
      </c>
    </row>
    <row r="230" spans="1:4">
      <c r="A230" s="34" t="s">
        <v>341</v>
      </c>
      <c r="B230" s="45">
        <v>1283.8113953631364</v>
      </c>
      <c r="C230" s="45"/>
      <c r="D230" s="45">
        <v>1749.6193872389713</v>
      </c>
    </row>
    <row r="231" spans="1:4">
      <c r="A231" s="34" t="s">
        <v>342</v>
      </c>
      <c r="B231" s="45">
        <v>141080.03170818527</v>
      </c>
      <c r="C231" s="45"/>
      <c r="D231" s="45">
        <v>126791.20851977023</v>
      </c>
    </row>
    <row r="232" spans="1:4">
      <c r="A232" s="34" t="s">
        <v>343</v>
      </c>
      <c r="B232" s="45">
        <v>20606.9752296999</v>
      </c>
      <c r="C232" s="45"/>
      <c r="D232" s="45">
        <v>14599.068665602845</v>
      </c>
    </row>
    <row r="233" spans="1:4">
      <c r="A233" s="34" t="s">
        <v>344</v>
      </c>
      <c r="B233" s="45">
        <v>1111.0331367058191</v>
      </c>
      <c r="C233" s="45"/>
      <c r="D233" s="45">
        <v>542.40428361442548</v>
      </c>
    </row>
    <row r="234" spans="1:4">
      <c r="A234" s="34" t="s">
        <v>345</v>
      </c>
      <c r="B234" s="45">
        <v>235463.29257996997</v>
      </c>
      <c r="C234" s="45"/>
      <c r="D234" s="45">
        <v>236338.86036435177</v>
      </c>
    </row>
    <row r="235" spans="1:4">
      <c r="A235" s="34" t="s">
        <v>346</v>
      </c>
      <c r="B235" s="45">
        <v>64802.153446240191</v>
      </c>
      <c r="C235" s="45"/>
      <c r="D235" s="45">
        <v>56806.017072982897</v>
      </c>
    </row>
    <row r="236" spans="1:4">
      <c r="A236" s="34" t="s">
        <v>347</v>
      </c>
      <c r="B236" s="45">
        <v>158735.40690722733</v>
      </c>
      <c r="C236" s="45"/>
      <c r="D236" s="45">
        <v>167547.47223428841</v>
      </c>
    </row>
    <row r="237" spans="1:4">
      <c r="A237" s="34" t="s">
        <v>348</v>
      </c>
      <c r="B237" s="45">
        <v>21686.597851784471</v>
      </c>
      <c r="C237" s="45"/>
      <c r="D237" s="45">
        <v>31500.414662152576</v>
      </c>
    </row>
    <row r="238" spans="1:4">
      <c r="A238" s="34" t="s">
        <v>349</v>
      </c>
      <c r="B238" s="45">
        <v>20793.6690578009</v>
      </c>
      <c r="C238" s="45"/>
      <c r="D238" s="45">
        <v>30386.924389412157</v>
      </c>
    </row>
    <row r="239" spans="1:4">
      <c r="A239" s="34" t="s">
        <v>350</v>
      </c>
      <c r="B239" s="45">
        <v>442547.00065412925</v>
      </c>
      <c r="C239" s="45"/>
      <c r="D239" s="45">
        <v>484690.91021284589</v>
      </c>
    </row>
    <row r="240" spans="1:4">
      <c r="A240" s="34" t="s">
        <v>351</v>
      </c>
      <c r="B240" s="45">
        <v>9265.28544792514</v>
      </c>
      <c r="C240" s="45"/>
      <c r="D240" s="45">
        <v>11185.200831092674</v>
      </c>
    </row>
    <row r="241" spans="1:4">
      <c r="A241" s="34" t="s">
        <v>352</v>
      </c>
      <c r="B241" s="45">
        <v>6630.025270885676</v>
      </c>
      <c r="C241" s="45"/>
      <c r="D241" s="45">
        <v>13816.654123204713</v>
      </c>
    </row>
    <row r="242" spans="1:4">
      <c r="A242" s="34" t="s">
        <v>353</v>
      </c>
      <c r="B242" s="45">
        <v>5956.8026573899688</v>
      </c>
      <c r="C242" s="45"/>
      <c r="D242" s="45">
        <v>7815.3541200094569</v>
      </c>
    </row>
    <row r="243" spans="1:4">
      <c r="A243" s="34" t="s">
        <v>354</v>
      </c>
      <c r="B243" s="45">
        <v>58885.384717699068</v>
      </c>
      <c r="C243" s="45"/>
      <c r="D243" s="45">
        <v>64175.988321984492</v>
      </c>
    </row>
    <row r="244" spans="1:4">
      <c r="A244" s="34" t="s">
        <v>355</v>
      </c>
      <c r="B244" s="45">
        <v>43358.315647420291</v>
      </c>
      <c r="C244" s="45"/>
      <c r="D244" s="45">
        <v>50366.724285893091</v>
      </c>
    </row>
    <row r="245" spans="1:4">
      <c r="A245" s="34" t="s">
        <v>356</v>
      </c>
      <c r="B245" s="45">
        <v>9665.2332787743435</v>
      </c>
      <c r="C245" s="45"/>
      <c r="D245" s="45">
        <v>7469.1500855623717</v>
      </c>
    </row>
    <row r="246" spans="1:4">
      <c r="A246" s="34" t="s">
        <v>357</v>
      </c>
      <c r="B246" s="45">
        <v>6446.9553010251466</v>
      </c>
      <c r="C246" s="45"/>
      <c r="D246" s="45">
        <v>6752.1132862823852</v>
      </c>
    </row>
    <row r="247" spans="1:4">
      <c r="A247" s="34" t="s">
        <v>358</v>
      </c>
      <c r="B247" s="45">
        <v>2157.7235134612415</v>
      </c>
      <c r="C247" s="45"/>
      <c r="D247" s="45">
        <v>1236.8101677613715</v>
      </c>
    </row>
    <row r="248" spans="1:4">
      <c r="A248" s="34" t="s">
        <v>359</v>
      </c>
      <c r="B248" s="45">
        <v>9196.1906591915395</v>
      </c>
      <c r="C248" s="45"/>
      <c r="D248" s="45">
        <v>9279.9674766561311</v>
      </c>
    </row>
    <row r="249" spans="1:4">
      <c r="A249" s="34" t="s">
        <v>360</v>
      </c>
      <c r="B249" s="45">
        <v>92640.919238456685</v>
      </c>
      <c r="C249" s="45"/>
      <c r="D249" s="45">
        <v>234865.76109140136</v>
      </c>
    </row>
    <row r="250" spans="1:4">
      <c r="A250" s="34" t="s">
        <v>361</v>
      </c>
      <c r="B250" s="45">
        <v>1107771.7224973885</v>
      </c>
      <c r="C250" s="45"/>
      <c r="D250" s="45">
        <v>1446111.5283617177</v>
      </c>
    </row>
    <row r="251" spans="1:4">
      <c r="A251" s="34" t="s">
        <v>362</v>
      </c>
      <c r="B251" s="45">
        <v>563.36033191822025</v>
      </c>
      <c r="C251" s="45"/>
      <c r="D251" s="45">
        <v>0</v>
      </c>
    </row>
    <row r="252" spans="1:4">
      <c r="A252" s="34" t="s">
        <v>363</v>
      </c>
      <c r="B252" s="45">
        <v>1586.3435071091253</v>
      </c>
      <c r="C252" s="45"/>
      <c r="D252" s="45">
        <v>1007.9459456765678</v>
      </c>
    </row>
    <row r="253" spans="1:4">
      <c r="A253" s="34" t="s">
        <v>364</v>
      </c>
      <c r="B253" s="45">
        <v>13992.959253554383</v>
      </c>
      <c r="C253" s="45"/>
      <c r="D253" s="45">
        <v>9208.8529925126713</v>
      </c>
    </row>
    <row r="254" spans="1:4">
      <c r="A254" s="34" t="s">
        <v>365</v>
      </c>
      <c r="B254" s="45">
        <v>11065.275213379329</v>
      </c>
      <c r="C254" s="45"/>
      <c r="D254" s="45">
        <v>11803.244416094238</v>
      </c>
    </row>
    <row r="255" spans="1:4">
      <c r="A255" s="34" t="s">
        <v>366</v>
      </c>
      <c r="B255" s="45">
        <v>357.79322200266131</v>
      </c>
      <c r="C255" s="45"/>
      <c r="D255" s="45">
        <v>2291.8923683386097</v>
      </c>
    </row>
    <row r="256" spans="1:4">
      <c r="A256" s="34" t="s">
        <v>367</v>
      </c>
      <c r="B256" s="45">
        <v>102359.35651328105</v>
      </c>
      <c r="C256" s="45"/>
      <c r="D256" s="45">
        <v>104913.01546617944</v>
      </c>
    </row>
    <row r="257" spans="1:4">
      <c r="A257" s="34" t="s">
        <v>368</v>
      </c>
      <c r="B257" s="45">
        <v>601.05766232763506</v>
      </c>
      <c r="C257" s="45"/>
      <c r="D257" s="45">
        <v>0</v>
      </c>
    </row>
    <row r="258" spans="1:4">
      <c r="A258" s="34" t="s">
        <v>369</v>
      </c>
      <c r="B258" s="45">
        <v>2210.3205208454565</v>
      </c>
      <c r="C258" s="45"/>
      <c r="D258" s="45">
        <v>3786.7305468776649</v>
      </c>
    </row>
    <row r="259" spans="1:4">
      <c r="A259" s="34" t="s">
        <v>370</v>
      </c>
      <c r="B259" s="45">
        <v>7290.560615776345</v>
      </c>
      <c r="C259" s="45"/>
      <c r="D259" s="45">
        <v>2573.5446057156437</v>
      </c>
    </row>
    <row r="260" spans="1:4">
      <c r="A260" s="34" t="s">
        <v>371</v>
      </c>
      <c r="B260" s="45">
        <v>66712.072578085746</v>
      </c>
      <c r="C260" s="45"/>
      <c r="D260" s="45">
        <v>58173.911984854887</v>
      </c>
    </row>
    <row r="261" spans="1:4">
      <c r="A261" s="34" t="s">
        <v>372</v>
      </c>
      <c r="B261" s="45">
        <v>130535.58752860888</v>
      </c>
      <c r="C261" s="45"/>
      <c r="D261" s="45">
        <v>127449.43073231225</v>
      </c>
    </row>
    <row r="262" spans="1:4">
      <c r="A262" s="34" t="s">
        <v>373</v>
      </c>
      <c r="B262" s="45">
        <v>174343.03485192559</v>
      </c>
      <c r="C262" s="45"/>
      <c r="D262" s="45">
        <v>166797.36743538469</v>
      </c>
    </row>
    <row r="263" spans="1:4">
      <c r="A263" s="34" t="s">
        <v>374</v>
      </c>
      <c r="B263" s="45">
        <v>70014.208643242353</v>
      </c>
      <c r="C263" s="45"/>
      <c r="D263" s="45">
        <v>80646.164131470126</v>
      </c>
    </row>
    <row r="264" spans="1:4">
      <c r="A264" s="34" t="s">
        <v>375</v>
      </c>
      <c r="B264" s="45">
        <v>3479346.7340504723</v>
      </c>
      <c r="C264" s="45"/>
      <c r="D264" s="45">
        <v>3652161.5771990428</v>
      </c>
    </row>
    <row r="265" spans="1:4">
      <c r="A265" s="34" t="s">
        <v>376</v>
      </c>
      <c r="B265" s="45">
        <v>72988.181158338717</v>
      </c>
      <c r="C265" s="45"/>
      <c r="D265" s="45">
        <v>80675.878689437697</v>
      </c>
    </row>
    <row r="266" spans="1:4">
      <c r="A266" s="34" t="s">
        <v>377</v>
      </c>
      <c r="B266" s="45">
        <v>34332.949896832011</v>
      </c>
      <c r="C266" s="45"/>
      <c r="D266" s="45">
        <v>32891.126755683334</v>
      </c>
    </row>
    <row r="267" spans="1:4">
      <c r="A267" s="34" t="s">
        <v>378</v>
      </c>
      <c r="B267" s="45">
        <v>4044.6203649982731</v>
      </c>
      <c r="C267" s="45"/>
      <c r="D267" s="45">
        <v>6353.8652967466751</v>
      </c>
    </row>
    <row r="268" spans="1:4">
      <c r="A268" s="34" t="s">
        <v>379</v>
      </c>
      <c r="B268" s="45">
        <v>990.1224519140103</v>
      </c>
      <c r="C268" s="45"/>
      <c r="D268" s="45">
        <v>1105.1447553840276</v>
      </c>
    </row>
    <row r="269" spans="1:4">
      <c r="A269" s="34" t="s">
        <v>380</v>
      </c>
      <c r="B269" s="45">
        <v>38340.382757180909</v>
      </c>
      <c r="C269" s="45"/>
      <c r="D269" s="45">
        <v>44020.457956601211</v>
      </c>
    </row>
    <row r="270" spans="1:4">
      <c r="A270" s="34" t="s">
        <v>381</v>
      </c>
      <c r="B270" s="45">
        <v>27068.205733344326</v>
      </c>
      <c r="C270" s="45"/>
      <c r="D270" s="45">
        <v>31004.710531316621</v>
      </c>
    </row>
    <row r="271" spans="1:4">
      <c r="A271" s="34" t="s">
        <v>382</v>
      </c>
      <c r="B271" s="45">
        <v>103644.76786090099</v>
      </c>
      <c r="C271" s="45"/>
      <c r="D271" s="45">
        <v>92516.731998508447</v>
      </c>
    </row>
    <row r="272" spans="1:4">
      <c r="A272" s="34" t="s">
        <v>383</v>
      </c>
      <c r="B272" s="45">
        <v>0</v>
      </c>
      <c r="C272" s="45"/>
      <c r="D272" s="45">
        <v>0</v>
      </c>
    </row>
    <row r="273" spans="1:4">
      <c r="A273" s="34" t="s">
        <v>384</v>
      </c>
      <c r="B273" s="45">
        <v>173819.53450134842</v>
      </c>
      <c r="C273" s="45"/>
      <c r="D273" s="45">
        <v>193212.85533773081</v>
      </c>
    </row>
    <row r="274" spans="1:4">
      <c r="A274" s="34" t="s">
        <v>385</v>
      </c>
      <c r="B274" s="45">
        <v>0</v>
      </c>
      <c r="C274" s="45"/>
      <c r="D274" s="45">
        <v>751.02573366059664</v>
      </c>
    </row>
    <row r="275" spans="1:4">
      <c r="A275" s="34" t="s">
        <v>386</v>
      </c>
      <c r="B275" s="45">
        <v>28003.222850525384</v>
      </c>
      <c r="C275" s="45"/>
      <c r="D275" s="45">
        <v>33381.705488617132</v>
      </c>
    </row>
    <row r="276" spans="1:4">
      <c r="A276" s="34" t="s">
        <v>387</v>
      </c>
      <c r="B276" s="45">
        <v>95424.820463212251</v>
      </c>
      <c r="C276" s="45"/>
      <c r="D276" s="45">
        <v>114178.00806270173</v>
      </c>
    </row>
    <row r="277" spans="1:4">
      <c r="A277" s="34" t="s">
        <v>388</v>
      </c>
      <c r="B277" s="45">
        <v>100227.4027600596</v>
      </c>
      <c r="C277" s="45"/>
      <c r="D277" s="45">
        <v>100412.36010293594</v>
      </c>
    </row>
    <row r="278" spans="1:4">
      <c r="A278" s="34" t="s">
        <v>389</v>
      </c>
      <c r="B278" s="45">
        <v>311510.64362911956</v>
      </c>
      <c r="C278" s="45"/>
      <c r="D278" s="45">
        <v>307865.94788800343</v>
      </c>
    </row>
    <row r="279" spans="1:4">
      <c r="A279" s="34" t="s">
        <v>390</v>
      </c>
      <c r="B279" s="45">
        <v>3337060.4313395531</v>
      </c>
      <c r="C279" s="45"/>
      <c r="D279" s="45">
        <v>3432997.9872953319</v>
      </c>
    </row>
    <row r="280" spans="1:4">
      <c r="A280" s="34" t="s">
        <v>391</v>
      </c>
      <c r="B280" s="45">
        <v>4818.6758363587369</v>
      </c>
      <c r="C280" s="45"/>
      <c r="D280" s="45">
        <v>2425.6063902806782</v>
      </c>
    </row>
    <row r="281" spans="1:4">
      <c r="A281" s="34" t="s">
        <v>392</v>
      </c>
      <c r="B281" s="45">
        <v>18111.626831499321</v>
      </c>
      <c r="C281" s="45"/>
      <c r="D281" s="45">
        <v>13695.597851462451</v>
      </c>
    </row>
    <row r="282" spans="1:4">
      <c r="A282" s="34" t="s">
        <v>393</v>
      </c>
      <c r="B282" s="45">
        <v>353020.48490293307</v>
      </c>
      <c r="C282" s="45"/>
      <c r="D282" s="45">
        <v>380623.92578287522</v>
      </c>
    </row>
    <row r="283" spans="1:4">
      <c r="A283" s="34" t="s">
        <v>394</v>
      </c>
      <c r="B283" s="45">
        <v>38895.139511092093</v>
      </c>
      <c r="C283" s="45"/>
      <c r="D283" s="45">
        <v>26225.813996762361</v>
      </c>
    </row>
    <row r="284" spans="1:4">
      <c r="A284" s="34" t="s">
        <v>395</v>
      </c>
      <c r="B284" s="45">
        <v>5231.166937808538</v>
      </c>
      <c r="C284" s="45"/>
      <c r="D284" s="45">
        <v>5128.3759937615487</v>
      </c>
    </row>
    <row r="285" spans="1:4">
      <c r="A285" s="34" t="s">
        <v>396</v>
      </c>
      <c r="B285" s="45">
        <v>1053396.7774741049</v>
      </c>
      <c r="C285" s="45"/>
      <c r="D285" s="45">
        <v>1153878.7909644085</v>
      </c>
    </row>
    <row r="286" spans="1:4">
      <c r="A286" s="34" t="s">
        <v>397</v>
      </c>
      <c r="B286" s="45">
        <v>135121.28469100525</v>
      </c>
      <c r="C286" s="45"/>
      <c r="D286" s="45">
        <v>138973.08872137757</v>
      </c>
    </row>
    <row r="287" spans="1:4">
      <c r="A287" s="34" t="s">
        <v>398</v>
      </c>
      <c r="B287" s="45">
        <v>0</v>
      </c>
      <c r="C287" s="45"/>
      <c r="D287" s="45">
        <v>0</v>
      </c>
    </row>
    <row r="288" spans="1:4">
      <c r="A288" s="34" t="s">
        <v>399</v>
      </c>
      <c r="B288" s="45">
        <v>171362.83172070683</v>
      </c>
      <c r="C288" s="45"/>
      <c r="D288" s="45">
        <v>166143.86511960695</v>
      </c>
    </row>
    <row r="289" spans="1:4">
      <c r="A289" s="34" t="s">
        <v>400</v>
      </c>
      <c r="B289" s="45">
        <v>32596.060543336349</v>
      </c>
      <c r="C289" s="45"/>
      <c r="D289" s="45">
        <v>22292.565133806864</v>
      </c>
    </row>
    <row r="290" spans="1:4">
      <c r="A290" s="34" t="s">
        <v>401</v>
      </c>
      <c r="B290" s="45">
        <v>163803.87680841211</v>
      </c>
      <c r="C290" s="45"/>
      <c r="D290" s="45">
        <v>190482.87581158438</v>
      </c>
    </row>
    <row r="291" spans="1:4">
      <c r="A291" s="34" t="s">
        <v>402</v>
      </c>
      <c r="B291" s="45">
        <v>224254.92595398476</v>
      </c>
      <c r="C291" s="45"/>
      <c r="D291" s="45">
        <v>204945.63092586707</v>
      </c>
    </row>
    <row r="292" spans="1:4">
      <c r="A292" s="34" t="s">
        <v>403</v>
      </c>
      <c r="B292" s="45">
        <v>301146.7674556101</v>
      </c>
      <c r="C292" s="45"/>
      <c r="D292" s="45">
        <v>291773.14441624004</v>
      </c>
    </row>
    <row r="293" spans="1:4">
      <c r="A293" s="34" t="s">
        <v>404</v>
      </c>
      <c r="B293" s="45">
        <v>10831160.486735294</v>
      </c>
      <c r="C293" s="45"/>
      <c r="D293" s="45">
        <v>11247379.677094607</v>
      </c>
    </row>
    <row r="294" spans="1:4">
      <c r="A294" s="34" t="s">
        <v>405</v>
      </c>
      <c r="B294" s="45">
        <v>22315.071136604045</v>
      </c>
      <c r="C294" s="45"/>
      <c r="D294" s="45">
        <v>21372.118717511446</v>
      </c>
    </row>
    <row r="295" spans="1:4">
      <c r="A295" s="34" t="s">
        <v>406</v>
      </c>
      <c r="B295" s="45">
        <v>43757.98213898707</v>
      </c>
      <c r="C295" s="45"/>
      <c r="D295" s="45">
        <v>41883.649544867032</v>
      </c>
    </row>
    <row r="296" spans="1:4">
      <c r="A296" s="34" t="s">
        <v>407</v>
      </c>
      <c r="B296" s="45">
        <v>303236.77339195367</v>
      </c>
      <c r="C296" s="45"/>
      <c r="D296" s="45">
        <v>326497.99257665937</v>
      </c>
    </row>
    <row r="297" spans="1:4">
      <c r="A297" s="34" t="s">
        <v>408</v>
      </c>
      <c r="B297" s="45">
        <v>612.39290407909402</v>
      </c>
      <c r="C297" s="45"/>
      <c r="D297" s="45">
        <v>1985.3358400850566</v>
      </c>
    </row>
    <row r="298" spans="1:4">
      <c r="A298" s="34" t="s">
        <v>409</v>
      </c>
      <c r="B298" s="45">
        <v>11727.494259027348</v>
      </c>
      <c r="C298" s="45"/>
      <c r="D298" s="45">
        <v>8012.9345624036969</v>
      </c>
    </row>
    <row r="299" spans="1:4">
      <c r="A299" s="34" t="s">
        <v>410</v>
      </c>
      <c r="B299" s="45">
        <v>7326.3228780572699</v>
      </c>
      <c r="C299" s="45"/>
      <c r="D299" s="45">
        <v>12116.294067750992</v>
      </c>
    </row>
    <row r="300" spans="1:4">
      <c r="A300" s="34" t="s">
        <v>411</v>
      </c>
      <c r="B300" s="45">
        <v>1071712.7274495102</v>
      </c>
      <c r="C300" s="45"/>
      <c r="D300" s="45">
        <v>1115978.1713468099</v>
      </c>
    </row>
    <row r="301" spans="1:4">
      <c r="A301" s="118"/>
      <c r="B301" s="119"/>
      <c r="C301" s="119"/>
      <c r="D301" s="119"/>
    </row>
    <row r="302" spans="1:4">
      <c r="A302" s="24" t="s">
        <v>117</v>
      </c>
    </row>
    <row r="303" spans="1:4">
      <c r="A303" s="16" t="s">
        <v>121</v>
      </c>
    </row>
    <row r="304" spans="1:4">
      <c r="A304" s="16" t="s">
        <v>122</v>
      </c>
    </row>
    <row r="305" spans="1:1">
      <c r="A305" s="24" t="s">
        <v>146</v>
      </c>
    </row>
  </sheetData>
  <mergeCells count="2">
    <mergeCell ref="B15:D15"/>
    <mergeCell ref="B158:D158"/>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7" id="{794C9BFC-FCED-4D80-8AD6-A86FD8B7E689}">
            <xm:f>$B159&lt;'32'!$C$101</xm:f>
            <x14:dxf>
              <font>
                <color rgb="FFFF0000"/>
              </font>
              <numFmt numFmtId="172" formatCode="\*\*0.0%"/>
            </x14:dxf>
          </x14:cfRule>
          <x14:cfRule type="expression" priority="8" id="{8D47D1FB-43B0-4CD3-92E9-9658029433E6}">
            <xm:f>$B159&lt;'32'!$C$100</xm:f>
            <x14:dxf>
              <font>
                <color rgb="FF00B050"/>
              </font>
              <numFmt numFmtId="171" formatCode="\*0.0%"/>
            </x14:dxf>
          </x14:cfRule>
          <xm:sqref>B16:B157</xm:sqref>
        </x14:conditionalFormatting>
        <x14:conditionalFormatting xmlns:xm="http://schemas.microsoft.com/office/excel/2006/main">
          <x14:cfRule type="expression" priority="5" id="{2C9847F9-7D2A-4251-B4E4-471C5766C478}">
            <xm:f>$B159&lt;'32'!$C$101</xm:f>
            <x14:dxf>
              <font>
                <color rgb="FFFF0000"/>
              </font>
              <numFmt numFmtId="170" formatCode="\*\*#,##0"/>
            </x14:dxf>
          </x14:cfRule>
          <x14:cfRule type="expression" priority="6" id="{539D65F8-A2B7-4BF6-A840-C6154AE74AD9}">
            <xm:f>$B159&lt;'32'!$C$100</xm:f>
            <x14:dxf>
              <font>
                <color rgb="FF00B050"/>
              </font>
              <numFmt numFmtId="169" formatCode="\*#,##0"/>
            </x14:dxf>
          </x14:cfRule>
          <xm:sqref>B159:B300</xm:sqref>
        </x14:conditionalFormatting>
        <x14:conditionalFormatting xmlns:xm="http://schemas.microsoft.com/office/excel/2006/main">
          <x14:cfRule type="expression" priority="1" id="{A6691142-EC18-40D5-8AD5-886D7F540ECC}">
            <xm:f>$D159&lt;'32'!$D$101</xm:f>
            <x14:dxf>
              <font>
                <color rgb="FFFF0000"/>
              </font>
              <numFmt numFmtId="172" formatCode="\*\*0.0%"/>
            </x14:dxf>
          </x14:cfRule>
          <x14:cfRule type="expression" priority="2" id="{732567FE-EBF0-4DA6-AF00-37DD28A0509F}">
            <xm:f>$D159&lt;'32'!$D$100</xm:f>
            <x14:dxf>
              <font>
                <color rgb="FF00B050"/>
              </font>
              <numFmt numFmtId="171" formatCode="\*0.0%"/>
            </x14:dxf>
          </x14:cfRule>
          <xm:sqref>D16:D157</xm:sqref>
        </x14:conditionalFormatting>
        <x14:conditionalFormatting xmlns:xm="http://schemas.microsoft.com/office/excel/2006/main">
          <x14:cfRule type="expression" priority="3" id="{6476CCE9-C44F-4DFD-9051-8D7DF071EC8C}">
            <xm:f>$D159&lt;'32'!$D$101</xm:f>
            <x14:dxf>
              <font>
                <color rgb="FFFF0000"/>
              </font>
              <numFmt numFmtId="170" formatCode="\*\*#,##0"/>
            </x14:dxf>
          </x14:cfRule>
          <x14:cfRule type="expression" priority="4" id="{A95D12AF-43EF-4C87-A76D-BD69219272BD}">
            <xm:f>$D159&lt;'32'!$D$100</xm:f>
            <x14:dxf>
              <font>
                <color rgb="FF00B050"/>
              </font>
              <numFmt numFmtId="169" formatCode="\*#,##0"/>
            </x14:dxf>
          </x14:cfRule>
          <xm:sqref>D159:D300</xm:sqref>
        </x14:conditionalFormatting>
      </x14:conditionalFormatting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3AAC8-ADB9-40BC-8EFA-A27664C5D495}">
  <dimension ref="A1:D306"/>
  <sheetViews>
    <sheetView workbookViewId="0">
      <pane xSplit="1" ySplit="15" topLeftCell="B16" activePane="bottomRight" state="frozen"/>
      <selection pane="bottomRight"/>
      <selection pane="bottomLeft"/>
      <selection pane="topRight"/>
    </sheetView>
  </sheetViews>
  <sheetFormatPr defaultColWidth="8.85546875" defaultRowHeight="15"/>
  <cols>
    <col min="1" max="1" width="30.7109375" style="1" customWidth="1"/>
    <col min="2" max="2" width="12.85546875" style="1" customWidth="1"/>
    <col min="3" max="3" width="7" style="1" customWidth="1"/>
    <col min="4" max="4" width="12.85546875" style="1" customWidth="1"/>
    <col min="5" max="16384" width="8.85546875" style="1"/>
  </cols>
  <sheetData>
    <row r="1" spans="1:4">
      <c r="A1" s="29"/>
      <c r="B1" s="29"/>
      <c r="C1" s="29"/>
      <c r="D1" s="29"/>
    </row>
    <row r="2" spans="1:4">
      <c r="A2" s="29"/>
      <c r="B2" s="29"/>
      <c r="C2" s="29"/>
      <c r="D2" s="29"/>
    </row>
    <row r="3" spans="1:4">
      <c r="A3" s="29"/>
      <c r="B3" s="29"/>
      <c r="C3" s="29"/>
      <c r="D3" s="29"/>
    </row>
    <row r="4" spans="1:4">
      <c r="A4" s="29"/>
      <c r="B4" s="29"/>
      <c r="C4" s="29"/>
      <c r="D4" s="29"/>
    </row>
    <row r="5" spans="1:4">
      <c r="A5" s="29"/>
      <c r="B5" s="29"/>
      <c r="C5" s="29"/>
      <c r="D5" s="29"/>
    </row>
    <row r="6" spans="1:4">
      <c r="A6" s="29"/>
      <c r="B6" s="29"/>
      <c r="C6" s="29"/>
      <c r="D6" s="29"/>
    </row>
    <row r="7" spans="1:4">
      <c r="A7" s="29"/>
      <c r="B7" s="29"/>
      <c r="C7" s="29"/>
      <c r="D7" s="29"/>
    </row>
    <row r="8" spans="1:4">
      <c r="A8" s="30" t="s">
        <v>0</v>
      </c>
      <c r="B8" s="30"/>
      <c r="C8" s="30"/>
      <c r="D8" s="29"/>
    </row>
    <row r="9" spans="1:4">
      <c r="A9" s="29" t="s">
        <v>1</v>
      </c>
      <c r="B9" s="90" t="s">
        <v>2</v>
      </c>
      <c r="C9" s="30"/>
      <c r="D9" s="29"/>
    </row>
    <row r="10" spans="1:4">
      <c r="A10" s="29" t="s">
        <v>49</v>
      </c>
      <c r="B10" s="31">
        <v>37</v>
      </c>
      <c r="C10" s="30"/>
      <c r="D10" s="29"/>
    </row>
    <row r="11" spans="1:4">
      <c r="A11" s="29" t="s">
        <v>3</v>
      </c>
      <c r="B11" s="30" t="s">
        <v>26</v>
      </c>
      <c r="C11" s="30"/>
      <c r="D11" s="29"/>
    </row>
    <row r="12" spans="1:4">
      <c r="A12" s="116" t="s">
        <v>50</v>
      </c>
      <c r="B12" s="117" t="s">
        <v>123</v>
      </c>
      <c r="C12" s="117"/>
      <c r="D12" s="116"/>
    </row>
    <row r="13" spans="1:4" ht="24.95" customHeight="1">
      <c r="A13" s="42"/>
      <c r="B13" s="51" t="s">
        <v>490</v>
      </c>
      <c r="C13" s="51"/>
      <c r="D13" s="51"/>
    </row>
    <row r="14" spans="1:4" s="92" customFormat="1" ht="24.95" customHeight="1">
      <c r="A14" s="96"/>
      <c r="B14" s="37" t="s">
        <v>471</v>
      </c>
      <c r="C14" s="37"/>
      <c r="D14" s="37" t="s">
        <v>472</v>
      </c>
    </row>
    <row r="15" spans="1:4" ht="15" customHeight="1">
      <c r="A15" s="67"/>
      <c r="B15" s="187" t="s">
        <v>144</v>
      </c>
      <c r="C15" s="187"/>
      <c r="D15" s="187"/>
    </row>
    <row r="16" spans="1:4" ht="15" customHeight="1">
      <c r="A16" s="34" t="s">
        <v>270</v>
      </c>
      <c r="B16" s="4">
        <v>1.2498114999062518E-3</v>
      </c>
      <c r="C16" s="4"/>
      <c r="D16" s="4">
        <v>2.2387195705872612E-3</v>
      </c>
    </row>
    <row r="17" spans="1:4">
      <c r="A17" s="34" t="s">
        <v>271</v>
      </c>
      <c r="B17" s="4">
        <v>3.2388851930521684E-3</v>
      </c>
      <c r="C17" s="4"/>
      <c r="D17" s="4">
        <v>2.589221231325674E-3</v>
      </c>
    </row>
    <row r="18" spans="1:4">
      <c r="A18" s="34" t="s">
        <v>272</v>
      </c>
      <c r="B18" s="4">
        <v>2.2927123021454872E-3</v>
      </c>
      <c r="C18" s="4"/>
      <c r="D18" s="4">
        <v>1.4805981887909497E-3</v>
      </c>
    </row>
    <row r="19" spans="1:4">
      <c r="A19" s="34" t="s">
        <v>273</v>
      </c>
      <c r="B19" s="4">
        <v>2.9709676231725667E-2</v>
      </c>
      <c r="C19" s="4"/>
      <c r="D19" s="4">
        <v>3.2401788247803605E-2</v>
      </c>
    </row>
    <row r="20" spans="1:4">
      <c r="A20" s="34" t="s">
        <v>274</v>
      </c>
      <c r="B20" s="4">
        <v>5.3769039769701266E-2</v>
      </c>
      <c r="C20" s="4"/>
      <c r="D20" s="4">
        <v>6.3025656403494154E-2</v>
      </c>
    </row>
    <row r="21" spans="1:4">
      <c r="A21" s="34" t="s">
        <v>275</v>
      </c>
      <c r="B21" s="4">
        <v>9.7457317785874433E-3</v>
      </c>
      <c r="C21" s="4"/>
      <c r="D21" s="4">
        <v>7.5051998862006968E-3</v>
      </c>
    </row>
    <row r="22" spans="1:4">
      <c r="A22" s="34" t="s">
        <v>276</v>
      </c>
      <c r="B22" s="4">
        <v>5.4035985479183911E-3</v>
      </c>
      <c r="C22" s="4"/>
      <c r="D22" s="4">
        <v>6.1168926020933011E-3</v>
      </c>
    </row>
    <row r="23" spans="1:4">
      <c r="A23" s="34" t="s">
        <v>277</v>
      </c>
      <c r="B23" s="4">
        <v>6.7465149172016195E-2</v>
      </c>
      <c r="C23" s="4"/>
      <c r="D23" s="4">
        <v>7.0958279580564276E-2</v>
      </c>
    </row>
    <row r="24" spans="1:4">
      <c r="A24" s="34" t="s">
        <v>278</v>
      </c>
      <c r="B24" s="4">
        <v>7.4754406468883995E-4</v>
      </c>
      <c r="C24" s="4"/>
      <c r="D24" s="4">
        <v>6.7124682925024E-4</v>
      </c>
    </row>
    <row r="25" spans="1:4">
      <c r="A25" s="34" t="s">
        <v>279</v>
      </c>
      <c r="B25" s="4">
        <v>9.7282882987639814E-5</v>
      </c>
      <c r="C25" s="4"/>
      <c r="D25" s="4">
        <v>1.3735079466823045E-4</v>
      </c>
    </row>
    <row r="26" spans="1:4">
      <c r="A26" s="34" t="s">
        <v>280</v>
      </c>
      <c r="B26" s="4">
        <v>2.6918842935745238E-4</v>
      </c>
      <c r="C26" s="4"/>
      <c r="D26" s="4">
        <v>4.4722854101830598E-4</v>
      </c>
    </row>
    <row r="27" spans="1:4">
      <c r="A27" s="34" t="s">
        <v>281</v>
      </c>
      <c r="B27" s="4">
        <v>1.3353053774411774E-3</v>
      </c>
      <c r="C27" s="4"/>
      <c r="D27" s="4">
        <v>1.6260329765845668E-3</v>
      </c>
    </row>
    <row r="28" spans="1:4">
      <c r="A28" s="34" t="s">
        <v>282</v>
      </c>
      <c r="B28" s="4">
        <v>0</v>
      </c>
      <c r="C28" s="4"/>
      <c r="D28" s="4">
        <v>0</v>
      </c>
    </row>
    <row r="29" spans="1:4">
      <c r="A29" s="34" t="s">
        <v>283</v>
      </c>
      <c r="B29" s="4">
        <v>7.9558416858247668E-5</v>
      </c>
      <c r="C29" s="4"/>
      <c r="D29" s="4">
        <v>0</v>
      </c>
    </row>
    <row r="30" spans="1:4">
      <c r="A30" s="34" t="s">
        <v>284</v>
      </c>
      <c r="B30" s="4">
        <v>0</v>
      </c>
      <c r="C30" s="4"/>
      <c r="D30" s="4">
        <v>1.1525884795863259E-4</v>
      </c>
    </row>
    <row r="31" spans="1:4">
      <c r="A31" s="34" t="s">
        <v>285</v>
      </c>
      <c r="B31" s="4">
        <v>0</v>
      </c>
      <c r="C31" s="4"/>
      <c r="D31" s="4">
        <v>0</v>
      </c>
    </row>
    <row r="32" spans="1:4">
      <c r="A32" s="34" t="s">
        <v>286</v>
      </c>
      <c r="B32" s="4">
        <v>0</v>
      </c>
      <c r="C32" s="4"/>
      <c r="D32" s="4">
        <v>4.949176005088275E-5</v>
      </c>
    </row>
    <row r="33" spans="1:4">
      <c r="A33" s="34" t="s">
        <v>287</v>
      </c>
      <c r="B33" s="4">
        <v>3.635105234204269E-4</v>
      </c>
      <c r="C33" s="4"/>
      <c r="D33" s="4">
        <v>2.3621989916046816E-4</v>
      </c>
    </row>
    <row r="34" spans="1:4">
      <c r="A34" s="34" t="s">
        <v>288</v>
      </c>
      <c r="B34" s="4">
        <v>3.2916060990768191E-3</v>
      </c>
      <c r="C34" s="4"/>
      <c r="D34" s="4">
        <v>3.6317368771287654E-3</v>
      </c>
    </row>
    <row r="35" spans="1:4">
      <c r="A35" s="34" t="s">
        <v>289</v>
      </c>
      <c r="B35" s="4">
        <v>0</v>
      </c>
      <c r="C35" s="4"/>
      <c r="D35" s="4">
        <v>0</v>
      </c>
    </row>
    <row r="36" spans="1:4">
      <c r="A36" s="34" t="s">
        <v>290</v>
      </c>
      <c r="B36" s="4">
        <v>1.7308869397497061E-2</v>
      </c>
      <c r="C36" s="4"/>
      <c r="D36" s="4">
        <v>1.1631013470349106E-2</v>
      </c>
    </row>
    <row r="37" spans="1:4">
      <c r="A37" s="34" t="s">
        <v>291</v>
      </c>
      <c r="B37" s="4">
        <v>2.2067625348977391E-3</v>
      </c>
      <c r="C37" s="4"/>
      <c r="D37" s="4">
        <v>1.6849244798834134E-3</v>
      </c>
    </row>
    <row r="38" spans="1:4">
      <c r="A38" s="34" t="s">
        <v>292</v>
      </c>
      <c r="B38" s="4">
        <v>3.5421585089870334E-4</v>
      </c>
      <c r="C38" s="4"/>
      <c r="D38" s="4">
        <v>2.0491854931948829E-4</v>
      </c>
    </row>
    <row r="39" spans="1:4">
      <c r="A39" s="34" t="s">
        <v>293</v>
      </c>
      <c r="B39" s="4">
        <v>1.6599215078211839E-3</v>
      </c>
      <c r="C39" s="4"/>
      <c r="D39" s="4">
        <v>1.2257152931435694E-3</v>
      </c>
    </row>
    <row r="40" spans="1:4">
      <c r="A40" s="34" t="s">
        <v>294</v>
      </c>
      <c r="B40" s="4">
        <v>1.968956628744615E-3</v>
      </c>
      <c r="C40" s="4"/>
      <c r="D40" s="4">
        <v>1.7016945145710682E-3</v>
      </c>
    </row>
    <row r="41" spans="1:4">
      <c r="A41" s="34" t="s">
        <v>295</v>
      </c>
      <c r="B41" s="4">
        <v>3.2375708235780003E-2</v>
      </c>
      <c r="C41" s="4"/>
      <c r="D41" s="4">
        <v>3.3703554215216265E-2</v>
      </c>
    </row>
    <row r="42" spans="1:4">
      <c r="A42" s="34" t="s">
        <v>296</v>
      </c>
      <c r="B42" s="4">
        <v>3.7092483935413601E-4</v>
      </c>
      <c r="C42" s="4"/>
      <c r="D42" s="4">
        <v>0</v>
      </c>
    </row>
    <row r="43" spans="1:4">
      <c r="A43" s="34" t="s">
        <v>297</v>
      </c>
      <c r="B43" s="4">
        <v>1.1636718839574064E-3</v>
      </c>
      <c r="C43" s="4"/>
      <c r="D43" s="4">
        <v>1.4902752464856033E-3</v>
      </c>
    </row>
    <row r="44" spans="1:4">
      <c r="A44" s="34" t="s">
        <v>298</v>
      </c>
      <c r="B44" s="4">
        <v>0</v>
      </c>
      <c r="C44" s="4"/>
      <c r="D44" s="4">
        <v>0</v>
      </c>
    </row>
    <row r="45" spans="1:4">
      <c r="A45" s="34" t="s">
        <v>299</v>
      </c>
      <c r="B45" s="4">
        <v>2.8293464248518804E-2</v>
      </c>
      <c r="C45" s="4"/>
      <c r="D45" s="4">
        <v>1.7208384160979862E-2</v>
      </c>
    </row>
    <row r="46" spans="1:4">
      <c r="A46" s="34" t="s">
        <v>300</v>
      </c>
      <c r="B46" s="4">
        <v>2.6764692876659082E-2</v>
      </c>
      <c r="C46" s="4"/>
      <c r="D46" s="4">
        <v>2.4723621597619896E-2</v>
      </c>
    </row>
    <row r="47" spans="1:4">
      <c r="A47" s="34" t="s">
        <v>301</v>
      </c>
      <c r="B47" s="4">
        <v>5.3634187479735779E-2</v>
      </c>
      <c r="C47" s="4"/>
      <c r="D47" s="4">
        <v>5.4371932446097795E-2</v>
      </c>
    </row>
    <row r="48" spans="1:4">
      <c r="A48" s="34" t="s">
        <v>302</v>
      </c>
      <c r="B48" s="4">
        <v>6.5891921896329769E-4</v>
      </c>
      <c r="C48" s="4"/>
      <c r="D48" s="4">
        <v>2.453865776487956E-4</v>
      </c>
    </row>
    <row r="49" spans="1:4">
      <c r="A49" s="34" t="s">
        <v>303</v>
      </c>
      <c r="B49" s="4">
        <v>5.4523696605949514E-4</v>
      </c>
      <c r="C49" s="4"/>
      <c r="D49" s="4">
        <v>7.712729214625028E-4</v>
      </c>
    </row>
    <row r="50" spans="1:4">
      <c r="A50" s="34" t="s">
        <v>304</v>
      </c>
      <c r="B50" s="4">
        <v>1.9028899622351342E-4</v>
      </c>
      <c r="C50" s="4"/>
      <c r="D50" s="4">
        <v>2.3199595801088344E-4</v>
      </c>
    </row>
    <row r="51" spans="1:4">
      <c r="A51" s="34" t="s">
        <v>305</v>
      </c>
      <c r="B51" s="4">
        <v>8.444338589552199E-5</v>
      </c>
      <c r="C51" s="4"/>
      <c r="D51" s="4">
        <v>0</v>
      </c>
    </row>
    <row r="52" spans="1:4">
      <c r="A52" s="34" t="s">
        <v>306</v>
      </c>
      <c r="B52" s="4">
        <v>3.9957223183435049E-4</v>
      </c>
      <c r="C52" s="4"/>
      <c r="D52" s="4">
        <v>4.2734835803171981E-4</v>
      </c>
    </row>
    <row r="53" spans="1:4">
      <c r="A53" s="34" t="s">
        <v>307</v>
      </c>
      <c r="B53" s="4">
        <v>4.3693799944309096E-3</v>
      </c>
      <c r="C53" s="4"/>
      <c r="D53" s="4">
        <v>2.9477303982620062E-3</v>
      </c>
    </row>
    <row r="54" spans="1:4">
      <c r="A54" s="34" t="s">
        <v>308</v>
      </c>
      <c r="B54" s="4">
        <v>1.1368867665407015E-3</v>
      </c>
      <c r="C54" s="4"/>
      <c r="D54" s="4">
        <v>1.2234923865436843E-3</v>
      </c>
    </row>
    <row r="55" spans="1:4">
      <c r="A55" s="34" t="s">
        <v>309</v>
      </c>
      <c r="B55" s="4">
        <v>6.5894993252813103E-4</v>
      </c>
      <c r="C55" s="4"/>
      <c r="D55" s="4">
        <v>9.4845661388059585E-4</v>
      </c>
    </row>
    <row r="56" spans="1:4">
      <c r="A56" s="34" t="s">
        <v>310</v>
      </c>
      <c r="B56" s="4">
        <v>2.7558635591469496E-3</v>
      </c>
      <c r="C56" s="4"/>
      <c r="D56" s="4">
        <v>1.8100981214743419E-3</v>
      </c>
    </row>
    <row r="57" spans="1:4">
      <c r="A57" s="34" t="s">
        <v>311</v>
      </c>
      <c r="B57" s="4">
        <v>1.5594037007617972E-2</v>
      </c>
      <c r="C57" s="4"/>
      <c r="D57" s="4">
        <v>1.6062222702333432E-2</v>
      </c>
    </row>
    <row r="58" spans="1:4">
      <c r="A58" s="34" t="s">
        <v>312</v>
      </c>
      <c r="B58" s="4">
        <v>2.8988429354349763E-4</v>
      </c>
      <c r="C58" s="4"/>
      <c r="D58" s="4">
        <v>4.4223807062028188E-4</v>
      </c>
    </row>
    <row r="59" spans="1:4">
      <c r="A59" s="34" t="s">
        <v>313</v>
      </c>
      <c r="B59" s="4">
        <v>4.6182440669360794E-4</v>
      </c>
      <c r="C59" s="4"/>
      <c r="D59" s="4">
        <v>6.0630443503256802E-4</v>
      </c>
    </row>
    <row r="60" spans="1:4">
      <c r="A60" s="34" t="s">
        <v>314</v>
      </c>
      <c r="B60" s="4">
        <v>0.13114016986517357</v>
      </c>
      <c r="C60" s="4"/>
      <c r="D60" s="4">
        <v>0.14530793496998565</v>
      </c>
    </row>
    <row r="61" spans="1:4">
      <c r="A61" s="34" t="s">
        <v>315</v>
      </c>
      <c r="B61" s="4">
        <v>5.288850795016843E-4</v>
      </c>
      <c r="C61" s="4"/>
      <c r="D61" s="4">
        <v>4.3172770565749595E-4</v>
      </c>
    </row>
    <row r="62" spans="1:4">
      <c r="A62" s="34" t="s">
        <v>316</v>
      </c>
      <c r="B62" s="4">
        <v>3.1759177086329089E-4</v>
      </c>
      <c r="C62" s="4"/>
      <c r="D62" s="4">
        <v>4.9835646383568268E-4</v>
      </c>
    </row>
    <row r="63" spans="1:4">
      <c r="A63" s="34" t="s">
        <v>317</v>
      </c>
      <c r="B63" s="4">
        <v>1.6366110991613989E-4</v>
      </c>
      <c r="C63" s="4"/>
      <c r="D63" s="4">
        <v>0</v>
      </c>
    </row>
    <row r="64" spans="1:4">
      <c r="A64" s="34" t="s">
        <v>318</v>
      </c>
      <c r="B64" s="4">
        <v>7.4707890878954698E-3</v>
      </c>
      <c r="C64" s="4"/>
      <c r="D64" s="4">
        <v>5.0728650253146525E-3</v>
      </c>
    </row>
    <row r="65" spans="1:4">
      <c r="A65" s="34" t="s">
        <v>319</v>
      </c>
      <c r="B65" s="4">
        <v>1.88365034676388E-4</v>
      </c>
      <c r="C65" s="4"/>
      <c r="D65" s="4">
        <v>1.40768551197589E-4</v>
      </c>
    </row>
    <row r="66" spans="1:4">
      <c r="A66" s="34" t="s">
        <v>320</v>
      </c>
      <c r="B66" s="4">
        <v>3.9457367197859614E-4</v>
      </c>
      <c r="C66" s="4"/>
      <c r="D66" s="4">
        <v>8.1588752124099064E-4</v>
      </c>
    </row>
    <row r="67" spans="1:4">
      <c r="A67" s="34" t="s">
        <v>321</v>
      </c>
      <c r="B67" s="4">
        <v>6.7095448140968697E-2</v>
      </c>
      <c r="C67" s="4"/>
      <c r="D67" s="4">
        <v>7.0880262438263064E-2</v>
      </c>
    </row>
    <row r="68" spans="1:4">
      <c r="A68" s="34" t="s">
        <v>322</v>
      </c>
      <c r="B68" s="4">
        <v>2.0417421819520385E-3</v>
      </c>
      <c r="C68" s="4"/>
      <c r="D68" s="4">
        <v>1.1144778053641027E-3</v>
      </c>
    </row>
    <row r="69" spans="1:4">
      <c r="A69" s="34" t="s">
        <v>323</v>
      </c>
      <c r="B69" s="4">
        <v>0</v>
      </c>
      <c r="C69" s="4"/>
      <c r="D69" s="4">
        <v>0</v>
      </c>
    </row>
    <row r="70" spans="1:4">
      <c r="A70" s="34" t="s">
        <v>324</v>
      </c>
      <c r="B70" s="4">
        <v>7.6003132449955985E-3</v>
      </c>
      <c r="C70" s="4"/>
      <c r="D70" s="4">
        <v>9.5997318135328837E-3</v>
      </c>
    </row>
    <row r="71" spans="1:4">
      <c r="A71" s="34" t="s">
        <v>325</v>
      </c>
      <c r="B71" s="4">
        <v>2.5105048471350594E-4</v>
      </c>
      <c r="C71" s="4"/>
      <c r="D71" s="4">
        <v>1.3799887197175241E-4</v>
      </c>
    </row>
    <row r="72" spans="1:4">
      <c r="A72" s="34" t="s">
        <v>326</v>
      </c>
      <c r="B72" s="4">
        <v>3.9796666756801349E-4</v>
      </c>
      <c r="C72" s="4"/>
      <c r="D72" s="4">
        <v>5.1664039170685441E-4</v>
      </c>
    </row>
    <row r="73" spans="1:4">
      <c r="A73" s="34" t="s">
        <v>327</v>
      </c>
      <c r="B73" s="4">
        <v>9.8367564920370237E-5</v>
      </c>
      <c r="C73" s="4"/>
      <c r="D73" s="4">
        <v>1.3106809389815734E-4</v>
      </c>
    </row>
    <row r="74" spans="1:4">
      <c r="A74" s="34" t="s">
        <v>328</v>
      </c>
      <c r="B74" s="4">
        <v>1.8937968894589734E-3</v>
      </c>
      <c r="C74" s="4"/>
      <c r="D74" s="4">
        <v>2.0997832968914199E-3</v>
      </c>
    </row>
    <row r="75" spans="1:4">
      <c r="A75" s="34" t="s">
        <v>329</v>
      </c>
      <c r="B75" s="4">
        <v>9.601767106590464E-5</v>
      </c>
      <c r="C75" s="4"/>
      <c r="D75" s="4">
        <v>0</v>
      </c>
    </row>
    <row r="76" spans="1:4">
      <c r="A76" s="34" t="s">
        <v>330</v>
      </c>
      <c r="B76" s="4">
        <v>7.3577874363057278E-4</v>
      </c>
      <c r="C76" s="4"/>
      <c r="D76" s="4">
        <v>1.5551822723788508E-3</v>
      </c>
    </row>
    <row r="77" spans="1:4">
      <c r="A77" s="34" t="s">
        <v>331</v>
      </c>
      <c r="B77" s="4">
        <v>6.1688189383006034E-3</v>
      </c>
      <c r="C77" s="4"/>
      <c r="D77" s="4">
        <v>8.0132912020143224E-3</v>
      </c>
    </row>
    <row r="78" spans="1:4">
      <c r="A78" s="34" t="s">
        <v>332</v>
      </c>
      <c r="B78" s="4">
        <v>1.8281418379272895E-2</v>
      </c>
      <c r="C78" s="4"/>
      <c r="D78" s="4">
        <v>1.7923851536145077E-2</v>
      </c>
    </row>
    <row r="79" spans="1:4">
      <c r="A79" s="34" t="s">
        <v>333</v>
      </c>
      <c r="B79" s="4">
        <v>0</v>
      </c>
      <c r="C79" s="4"/>
      <c r="D79" s="4">
        <v>1.9902271153268003E-4</v>
      </c>
    </row>
    <row r="80" spans="1:4">
      <c r="A80" s="34" t="s">
        <v>334</v>
      </c>
      <c r="B80" s="4">
        <v>9.47714181973205E-5</v>
      </c>
      <c r="C80" s="4"/>
      <c r="D80" s="4">
        <v>6.5669283152338867E-5</v>
      </c>
    </row>
    <row r="81" spans="1:4">
      <c r="A81" s="34" t="s">
        <v>335</v>
      </c>
      <c r="B81" s="4">
        <v>1.958300246476619E-4</v>
      </c>
      <c r="C81" s="4"/>
      <c r="D81" s="4">
        <v>0</v>
      </c>
    </row>
    <row r="82" spans="1:4">
      <c r="A82" s="34" t="s">
        <v>336</v>
      </c>
      <c r="B82" s="4">
        <v>8.8931082988215077E-4</v>
      </c>
      <c r="C82" s="4"/>
      <c r="D82" s="4">
        <v>4.4631957529456956E-4</v>
      </c>
    </row>
    <row r="83" spans="1:4">
      <c r="A83" s="34" t="s">
        <v>337</v>
      </c>
      <c r="B83" s="4">
        <v>1.0442790658302397E-3</v>
      </c>
      <c r="C83" s="4"/>
      <c r="D83" s="4">
        <v>8.1230481643283499E-4</v>
      </c>
    </row>
    <row r="84" spans="1:4">
      <c r="A84" s="34" t="s">
        <v>338</v>
      </c>
      <c r="B84" s="4">
        <v>1.3245107482724497E-4</v>
      </c>
      <c r="C84" s="4"/>
      <c r="D84" s="4">
        <v>0</v>
      </c>
    </row>
    <row r="85" spans="1:4">
      <c r="A85" s="34" t="s">
        <v>339</v>
      </c>
      <c r="B85" s="4">
        <v>8.1850381531683655E-3</v>
      </c>
      <c r="C85" s="4"/>
      <c r="D85" s="4">
        <v>7.3314208574463717E-3</v>
      </c>
    </row>
    <row r="86" spans="1:4">
      <c r="A86" s="34" t="s">
        <v>340</v>
      </c>
      <c r="B86" s="4">
        <v>7.4610452544219023E-5</v>
      </c>
      <c r="C86" s="4"/>
      <c r="D86" s="4">
        <v>0</v>
      </c>
    </row>
    <row r="87" spans="1:4">
      <c r="A87" s="34" t="s">
        <v>341</v>
      </c>
      <c r="B87" s="4">
        <v>0</v>
      </c>
      <c r="C87" s="4"/>
      <c r="D87" s="4">
        <v>6.8680449327199457E-5</v>
      </c>
    </row>
    <row r="88" spans="1:4">
      <c r="A88" s="34" t="s">
        <v>342</v>
      </c>
      <c r="B88" s="4">
        <v>6.3630262185366531E-3</v>
      </c>
      <c r="C88" s="4"/>
      <c r="D88" s="4">
        <v>7.0015146487933085E-3</v>
      </c>
    </row>
    <row r="89" spans="1:4">
      <c r="A89" s="34" t="s">
        <v>343</v>
      </c>
      <c r="B89" s="4">
        <v>1.5370843143837428E-3</v>
      </c>
      <c r="C89" s="4"/>
      <c r="D89" s="4">
        <v>1.5055887239206153E-3</v>
      </c>
    </row>
    <row r="90" spans="1:4">
      <c r="A90" s="34" t="s">
        <v>344</v>
      </c>
      <c r="B90" s="4">
        <v>0</v>
      </c>
      <c r="C90" s="4"/>
      <c r="D90" s="4">
        <v>0</v>
      </c>
    </row>
    <row r="91" spans="1:4">
      <c r="A91" s="34" t="s">
        <v>345</v>
      </c>
      <c r="B91" s="4">
        <v>5.7430070210813785E-3</v>
      </c>
      <c r="C91" s="4"/>
      <c r="D91" s="4">
        <v>4.7412321048534893E-3</v>
      </c>
    </row>
    <row r="92" spans="1:4">
      <c r="A92" s="34" t="s">
        <v>346</v>
      </c>
      <c r="B92" s="4">
        <v>1.1098967603961774E-3</v>
      </c>
      <c r="C92" s="4"/>
      <c r="D92" s="4">
        <v>4.8994331866589311E-4</v>
      </c>
    </row>
    <row r="93" spans="1:4">
      <c r="A93" s="34" t="s">
        <v>347</v>
      </c>
      <c r="B93" s="4">
        <v>2.4118906951360627E-3</v>
      </c>
      <c r="C93" s="4"/>
      <c r="D93" s="4">
        <v>2.0071146859408509E-3</v>
      </c>
    </row>
    <row r="94" spans="1:4">
      <c r="A94" s="34" t="s">
        <v>348</v>
      </c>
      <c r="B94" s="4">
        <v>1.1349558465121044E-4</v>
      </c>
      <c r="C94" s="4"/>
      <c r="D94" s="4">
        <v>0</v>
      </c>
    </row>
    <row r="95" spans="1:4">
      <c r="A95" s="34" t="s">
        <v>349</v>
      </c>
      <c r="B95" s="4">
        <v>6.7012643081504689E-4</v>
      </c>
      <c r="C95" s="4"/>
      <c r="D95" s="4">
        <v>1.32429721695999E-3</v>
      </c>
    </row>
    <row r="96" spans="1:4">
      <c r="A96" s="34" t="s">
        <v>350</v>
      </c>
      <c r="B96" s="4">
        <v>4.6839681205308084E-2</v>
      </c>
      <c r="C96" s="4"/>
      <c r="D96" s="4">
        <v>4.6824679061891236E-2</v>
      </c>
    </row>
    <row r="97" spans="1:4">
      <c r="A97" s="34" t="s">
        <v>351</v>
      </c>
      <c r="B97" s="4">
        <v>4.6082036017092392E-4</v>
      </c>
      <c r="C97" s="4"/>
      <c r="D97" s="4">
        <v>9.3274642962566754E-4</v>
      </c>
    </row>
    <row r="98" spans="1:4">
      <c r="A98" s="34" t="s">
        <v>352</v>
      </c>
      <c r="B98" s="4">
        <v>4.1341835203829297E-4</v>
      </c>
      <c r="C98" s="4"/>
      <c r="D98" s="4">
        <v>1.2867355342560861E-4</v>
      </c>
    </row>
    <row r="99" spans="1:4">
      <c r="A99" s="34" t="s">
        <v>353</v>
      </c>
      <c r="B99" s="4">
        <v>1.8437846862526334E-4</v>
      </c>
      <c r="C99" s="4"/>
      <c r="D99" s="4">
        <v>0</v>
      </c>
    </row>
    <row r="100" spans="1:4">
      <c r="A100" s="34" t="s">
        <v>354</v>
      </c>
      <c r="B100" s="4">
        <v>4.6782486344203057E-3</v>
      </c>
      <c r="C100" s="4"/>
      <c r="D100" s="4">
        <v>5.1125941292184509E-3</v>
      </c>
    </row>
    <row r="101" spans="1:4">
      <c r="A101" s="34" t="s">
        <v>355</v>
      </c>
      <c r="B101" s="4">
        <v>4.4420545707705397E-4</v>
      </c>
      <c r="C101" s="4"/>
      <c r="D101" s="4">
        <v>2.0461846121897059E-4</v>
      </c>
    </row>
    <row r="102" spans="1:4">
      <c r="A102" s="34" t="s">
        <v>356</v>
      </c>
      <c r="B102" s="4">
        <v>9.1523618693259003E-5</v>
      </c>
      <c r="C102" s="4"/>
      <c r="D102" s="4">
        <v>3.0906542288129782E-4</v>
      </c>
    </row>
    <row r="103" spans="1:4">
      <c r="A103" s="34" t="s">
        <v>357</v>
      </c>
      <c r="B103" s="4">
        <v>3.061188182292787E-3</v>
      </c>
      <c r="C103" s="4"/>
      <c r="D103" s="4">
        <v>2.1450151932612183E-3</v>
      </c>
    </row>
    <row r="104" spans="1:4">
      <c r="A104" s="34" t="s">
        <v>358</v>
      </c>
      <c r="B104" s="4">
        <v>0</v>
      </c>
      <c r="C104" s="4"/>
      <c r="D104" s="4">
        <v>0</v>
      </c>
    </row>
    <row r="105" spans="1:4">
      <c r="A105" s="34" t="s">
        <v>359</v>
      </c>
      <c r="B105" s="4">
        <v>1.2290590604681706E-3</v>
      </c>
      <c r="C105" s="4"/>
      <c r="D105" s="4">
        <v>6.721398752998455E-4</v>
      </c>
    </row>
    <row r="106" spans="1:4">
      <c r="A106" s="34" t="s">
        <v>360</v>
      </c>
      <c r="B106" s="4">
        <v>1.1349558465121044E-4</v>
      </c>
      <c r="C106" s="4"/>
      <c r="D106" s="4">
        <v>3.573887838733326E-4</v>
      </c>
    </row>
    <row r="107" spans="1:4">
      <c r="A107" s="34" t="s">
        <v>361</v>
      </c>
      <c r="B107" s="4">
        <v>5.5839839753014041E-4</v>
      </c>
      <c r="C107" s="4"/>
      <c r="D107" s="4">
        <v>4.6211988018615008E-4</v>
      </c>
    </row>
    <row r="108" spans="1:4">
      <c r="A108" s="34" t="s">
        <v>362</v>
      </c>
      <c r="B108" s="4">
        <v>0</v>
      </c>
      <c r="C108" s="4"/>
      <c r="D108" s="4">
        <v>1.0315439832841875E-4</v>
      </c>
    </row>
    <row r="109" spans="1:4">
      <c r="A109" s="34" t="s">
        <v>363</v>
      </c>
      <c r="B109" s="4">
        <v>0</v>
      </c>
      <c r="C109" s="4"/>
      <c r="D109" s="4">
        <v>1.6109645917947017E-4</v>
      </c>
    </row>
    <row r="110" spans="1:4">
      <c r="A110" s="34" t="s">
        <v>364</v>
      </c>
      <c r="B110" s="4">
        <v>1.0087819817548422E-3</v>
      </c>
      <c r="C110" s="4"/>
      <c r="D110" s="4">
        <v>1.2287418944759659E-3</v>
      </c>
    </row>
    <row r="111" spans="1:4">
      <c r="A111" s="34" t="s">
        <v>365</v>
      </c>
      <c r="B111" s="4">
        <v>0</v>
      </c>
      <c r="C111" s="4"/>
      <c r="D111" s="4">
        <v>1.275821848666666E-4</v>
      </c>
    </row>
    <row r="112" spans="1:4">
      <c r="A112" s="34" t="s">
        <v>366</v>
      </c>
      <c r="B112" s="4">
        <v>2.649922155527896E-3</v>
      </c>
      <c r="C112" s="4"/>
      <c r="D112" s="4">
        <v>3.0563303398417978E-3</v>
      </c>
    </row>
    <row r="113" spans="1:4">
      <c r="A113" s="34" t="s">
        <v>367</v>
      </c>
      <c r="B113" s="4">
        <v>2.0325094900410443E-3</v>
      </c>
      <c r="C113" s="4"/>
      <c r="D113" s="4">
        <v>1.3430162010388291E-3</v>
      </c>
    </row>
    <row r="114" spans="1:4">
      <c r="A114" s="34" t="s">
        <v>368</v>
      </c>
      <c r="B114" s="4">
        <v>0</v>
      </c>
      <c r="C114" s="4"/>
      <c r="D114" s="4">
        <v>0</v>
      </c>
    </row>
    <row r="115" spans="1:4">
      <c r="A115" s="34" t="s">
        <v>369</v>
      </c>
      <c r="B115" s="4">
        <v>9.3782565213894857E-5</v>
      </c>
      <c r="C115" s="4"/>
      <c r="D115" s="4">
        <v>0</v>
      </c>
    </row>
    <row r="116" spans="1:4">
      <c r="A116" s="34" t="s">
        <v>370</v>
      </c>
      <c r="B116" s="4">
        <v>1.9303651687887781E-4</v>
      </c>
      <c r="C116" s="4"/>
      <c r="D116" s="4">
        <v>9.7415142391819623E-5</v>
      </c>
    </row>
    <row r="117" spans="1:4">
      <c r="A117" s="34" t="s">
        <v>371</v>
      </c>
      <c r="B117" s="4">
        <v>1.3953565176028436E-3</v>
      </c>
      <c r="C117" s="4"/>
      <c r="D117" s="4">
        <v>1.2905746436672298E-3</v>
      </c>
    </row>
    <row r="118" spans="1:4">
      <c r="A118" s="34" t="s">
        <v>372</v>
      </c>
      <c r="B118" s="4">
        <v>1.0889037057533095E-3</v>
      </c>
      <c r="C118" s="4"/>
      <c r="D118" s="4">
        <v>1.1403308122935783E-3</v>
      </c>
    </row>
    <row r="119" spans="1:4">
      <c r="A119" s="34" t="s">
        <v>373</v>
      </c>
      <c r="B119" s="4">
        <v>1.9349376114692243E-2</v>
      </c>
      <c r="C119" s="4"/>
      <c r="D119" s="4">
        <v>1.6785330133997908E-2</v>
      </c>
    </row>
    <row r="120" spans="1:4">
      <c r="A120" s="34" t="s">
        <v>374</v>
      </c>
      <c r="B120" s="4">
        <v>7.4056117038876559E-3</v>
      </c>
      <c r="C120" s="4"/>
      <c r="D120" s="4">
        <v>6.2484769193725089E-3</v>
      </c>
    </row>
    <row r="121" spans="1:4">
      <c r="A121" s="34" t="s">
        <v>375</v>
      </c>
      <c r="B121" s="4">
        <v>3.5528616921889584E-2</v>
      </c>
      <c r="C121" s="4"/>
      <c r="D121" s="4">
        <v>3.0488476405655815E-2</v>
      </c>
    </row>
    <row r="122" spans="1:4">
      <c r="A122" s="34" t="s">
        <v>376</v>
      </c>
      <c r="B122" s="4">
        <v>1.0843833618068616E-3</v>
      </c>
      <c r="C122" s="4"/>
      <c r="D122" s="4">
        <v>1.0186428889337258E-3</v>
      </c>
    </row>
    <row r="123" spans="1:4">
      <c r="A123" s="34" t="s">
        <v>377</v>
      </c>
      <c r="B123" s="4">
        <v>5.8511993483581761E-3</v>
      </c>
      <c r="C123" s="4"/>
      <c r="D123" s="4">
        <v>3.3233413884558066E-3</v>
      </c>
    </row>
    <row r="124" spans="1:4">
      <c r="A124" s="34" t="s">
        <v>378</v>
      </c>
      <c r="B124" s="4">
        <v>1.9181078705331818E-3</v>
      </c>
      <c r="C124" s="4"/>
      <c r="D124" s="4">
        <v>2.7597845462204928E-3</v>
      </c>
    </row>
    <row r="125" spans="1:4">
      <c r="A125" s="34" t="s">
        <v>379</v>
      </c>
      <c r="B125" s="4">
        <v>0</v>
      </c>
      <c r="C125" s="4"/>
      <c r="D125" s="4">
        <v>0</v>
      </c>
    </row>
    <row r="126" spans="1:4">
      <c r="A126" s="34" t="s">
        <v>380</v>
      </c>
      <c r="B126" s="4">
        <v>1.5990921042074801E-4</v>
      </c>
      <c r="C126" s="4"/>
      <c r="D126" s="4">
        <v>2.9488018742288301E-4</v>
      </c>
    </row>
    <row r="127" spans="1:4">
      <c r="A127" s="34" t="s">
        <v>381</v>
      </c>
      <c r="B127" s="4">
        <v>2.2282185722730525E-4</v>
      </c>
      <c r="C127" s="4"/>
      <c r="D127" s="4">
        <v>3.9363585466917244E-4</v>
      </c>
    </row>
    <row r="128" spans="1:4">
      <c r="A128" s="34" t="s">
        <v>382</v>
      </c>
      <c r="B128" s="4">
        <v>4.3295648341910966E-3</v>
      </c>
      <c r="C128" s="4"/>
      <c r="D128" s="4">
        <v>4.5330384817606709E-3</v>
      </c>
    </row>
    <row r="129" spans="1:4">
      <c r="A129" s="34" t="s">
        <v>383</v>
      </c>
      <c r="B129" s="4">
        <v>0</v>
      </c>
      <c r="C129" s="4"/>
      <c r="D129" s="4">
        <v>0</v>
      </c>
    </row>
    <row r="130" spans="1:4">
      <c r="A130" s="34" t="s">
        <v>384</v>
      </c>
      <c r="B130" s="4">
        <v>1.73063232248665E-3</v>
      </c>
      <c r="C130" s="4"/>
      <c r="D130" s="4">
        <v>1.9280397501010354E-3</v>
      </c>
    </row>
    <row r="131" spans="1:4">
      <c r="A131" s="34" t="s">
        <v>385</v>
      </c>
      <c r="B131" s="4">
        <v>0</v>
      </c>
      <c r="C131" s="4"/>
      <c r="D131" s="4">
        <v>0</v>
      </c>
    </row>
    <row r="132" spans="1:4">
      <c r="A132" s="34" t="s">
        <v>386</v>
      </c>
      <c r="B132" s="4">
        <v>1.9126424056208355E-3</v>
      </c>
      <c r="C132" s="4"/>
      <c r="D132" s="4">
        <v>2.1011360834541489E-3</v>
      </c>
    </row>
    <row r="133" spans="1:4">
      <c r="A133" s="34" t="s">
        <v>387</v>
      </c>
      <c r="B133" s="4">
        <v>8.2113577005594237E-4</v>
      </c>
      <c r="C133" s="4"/>
      <c r="D133" s="4">
        <v>1.4491071418540578E-3</v>
      </c>
    </row>
    <row r="134" spans="1:4">
      <c r="A134" s="34" t="s">
        <v>388</v>
      </c>
      <c r="B134" s="4">
        <v>3.3224425219553424E-4</v>
      </c>
      <c r="C134" s="4"/>
      <c r="D134" s="4">
        <v>5.3631490630107995E-4</v>
      </c>
    </row>
    <row r="135" spans="1:4">
      <c r="A135" s="34" t="s">
        <v>389</v>
      </c>
      <c r="B135" s="4">
        <v>4.5048081354613053E-3</v>
      </c>
      <c r="C135" s="4"/>
      <c r="D135" s="4">
        <v>4.7388394452949631E-3</v>
      </c>
    </row>
    <row r="136" spans="1:4">
      <c r="A136" s="34" t="s">
        <v>390</v>
      </c>
      <c r="B136" s="4">
        <v>0.22936157335315335</v>
      </c>
      <c r="C136" s="4"/>
      <c r="D136" s="4">
        <v>0.23563747515380379</v>
      </c>
    </row>
    <row r="137" spans="1:4">
      <c r="A137" s="34" t="s">
        <v>391</v>
      </c>
      <c r="B137" s="4">
        <v>1.5112752157913712E-4</v>
      </c>
      <c r="C137" s="4"/>
      <c r="D137" s="4">
        <v>0</v>
      </c>
    </row>
    <row r="138" spans="1:4">
      <c r="A138" s="34" t="s">
        <v>392</v>
      </c>
      <c r="B138" s="4">
        <v>1.3354959366547311E-3</v>
      </c>
      <c r="C138" s="4"/>
      <c r="D138" s="4">
        <v>9.6350305972522357E-4</v>
      </c>
    </row>
    <row r="139" spans="1:4">
      <c r="A139" s="34" t="s">
        <v>393</v>
      </c>
      <c r="B139" s="4">
        <v>4.5353902717780352E-3</v>
      </c>
      <c r="C139" s="4"/>
      <c r="D139" s="4">
        <v>4.450485879268439E-3</v>
      </c>
    </row>
    <row r="140" spans="1:4">
      <c r="A140" s="34" t="s">
        <v>394</v>
      </c>
      <c r="B140" s="4">
        <v>8.178793731614736E-3</v>
      </c>
      <c r="C140" s="4"/>
      <c r="D140" s="4">
        <v>8.273670712176124E-3</v>
      </c>
    </row>
    <row r="141" spans="1:4">
      <c r="A141" s="34" t="s">
        <v>395</v>
      </c>
      <c r="B141" s="4">
        <v>2.3939036489733093E-3</v>
      </c>
      <c r="C141" s="4"/>
      <c r="D141" s="4">
        <v>2.3927551167041146E-3</v>
      </c>
    </row>
    <row r="142" spans="1:4">
      <c r="A142" s="34" t="s">
        <v>396</v>
      </c>
      <c r="B142" s="4">
        <v>3.920725798630055E-2</v>
      </c>
      <c r="C142" s="4"/>
      <c r="D142" s="4">
        <v>3.9847832430036728E-2</v>
      </c>
    </row>
    <row r="143" spans="1:4">
      <c r="A143" s="34" t="s">
        <v>397</v>
      </c>
      <c r="B143" s="4">
        <v>2.4778198317194204E-3</v>
      </c>
      <c r="C143" s="4"/>
      <c r="D143" s="4">
        <v>9.8422744178176922E-4</v>
      </c>
    </row>
    <row r="144" spans="1:4">
      <c r="A144" s="34" t="s">
        <v>398</v>
      </c>
      <c r="B144" s="4">
        <v>0</v>
      </c>
      <c r="C144" s="4"/>
      <c r="D144" s="4">
        <v>0</v>
      </c>
    </row>
    <row r="145" spans="1:4">
      <c r="A145" s="34" t="s">
        <v>399</v>
      </c>
      <c r="B145" s="4">
        <v>1.0485419308772091E-2</v>
      </c>
      <c r="C145" s="4"/>
      <c r="D145" s="4">
        <v>9.5470906549253373E-3</v>
      </c>
    </row>
    <row r="146" spans="1:4">
      <c r="A146" s="34" t="s">
        <v>400</v>
      </c>
      <c r="B146" s="4">
        <v>8.8323217032021633E-4</v>
      </c>
      <c r="C146" s="4"/>
      <c r="D146" s="4">
        <v>2.8429127719415846E-4</v>
      </c>
    </row>
    <row r="147" spans="1:4">
      <c r="A147" s="34" t="s">
        <v>401</v>
      </c>
      <c r="B147" s="4">
        <v>1.5215321022227629E-3</v>
      </c>
      <c r="C147" s="4"/>
      <c r="D147" s="4">
        <v>3.4746511530023749E-4</v>
      </c>
    </row>
    <row r="148" spans="1:4">
      <c r="A148" s="34" t="s">
        <v>402</v>
      </c>
      <c r="B148" s="4">
        <v>4.5174920021976272E-3</v>
      </c>
      <c r="C148" s="4"/>
      <c r="D148" s="4">
        <v>3.7200601150662806E-3</v>
      </c>
    </row>
    <row r="149" spans="1:4">
      <c r="A149" s="34" t="s">
        <v>403</v>
      </c>
      <c r="B149" s="4">
        <v>6.2409707197066686E-3</v>
      </c>
      <c r="C149" s="4"/>
      <c r="D149" s="4">
        <v>7.3881224290025692E-3</v>
      </c>
    </row>
    <row r="150" spans="1:4">
      <c r="A150" s="34" t="s">
        <v>404</v>
      </c>
      <c r="B150" s="4">
        <v>4.46788936864825E-2</v>
      </c>
      <c r="C150" s="4"/>
      <c r="D150" s="4">
        <v>3.1032286094472658E-2</v>
      </c>
    </row>
    <row r="151" spans="1:4">
      <c r="A151" s="34" t="s">
        <v>405</v>
      </c>
      <c r="B151" s="4">
        <v>1.6522553831674178E-3</v>
      </c>
      <c r="C151" s="4"/>
      <c r="D151" s="4">
        <v>1.7532109915622917E-3</v>
      </c>
    </row>
    <row r="152" spans="1:4">
      <c r="A152" s="34" t="s">
        <v>406</v>
      </c>
      <c r="B152" s="4">
        <v>5.1200653841198141E-4</v>
      </c>
      <c r="C152" s="4"/>
      <c r="D152" s="4">
        <v>2.603526251589888E-4</v>
      </c>
    </row>
    <row r="153" spans="1:4">
      <c r="A153" s="34" t="s">
        <v>407</v>
      </c>
      <c r="B153" s="4">
        <v>0</v>
      </c>
      <c r="C153" s="4"/>
      <c r="D153" s="4">
        <v>2.4386213464123684E-4</v>
      </c>
    </row>
    <row r="154" spans="1:4">
      <c r="A154" s="34" t="s">
        <v>408</v>
      </c>
      <c r="B154" s="4">
        <v>0</v>
      </c>
      <c r="C154" s="4"/>
      <c r="D154" s="4">
        <v>0</v>
      </c>
    </row>
    <row r="155" spans="1:4">
      <c r="A155" s="34" t="s">
        <v>409</v>
      </c>
      <c r="B155" s="4">
        <v>6.7558581061081987E-5</v>
      </c>
      <c r="C155" s="4"/>
      <c r="D155" s="4">
        <v>0</v>
      </c>
    </row>
    <row r="156" spans="1:4">
      <c r="A156" s="34" t="s">
        <v>410</v>
      </c>
      <c r="B156" s="4">
        <v>3.9675915049934058E-4</v>
      </c>
      <c r="C156" s="4"/>
      <c r="D156" s="4">
        <v>6.9902045693251303E-5</v>
      </c>
    </row>
    <row r="157" spans="1:4">
      <c r="A157" s="118" t="s">
        <v>411</v>
      </c>
      <c r="B157" s="123">
        <v>3.5627696735739747E-3</v>
      </c>
      <c r="C157" s="123"/>
      <c r="D157" s="123">
        <v>2.1917126491882138E-3</v>
      </c>
    </row>
    <row r="158" spans="1:4">
      <c r="A158" s="67"/>
      <c r="B158" s="187" t="s">
        <v>147</v>
      </c>
      <c r="C158" s="187"/>
      <c r="D158" s="187"/>
    </row>
    <row r="159" spans="1:4">
      <c r="A159" s="34" t="s">
        <v>270</v>
      </c>
      <c r="B159" s="45">
        <v>6025.5559466635505</v>
      </c>
      <c r="C159" s="45"/>
      <c r="D159" s="45">
        <v>10801.585989642552</v>
      </c>
    </row>
    <row r="160" spans="1:4">
      <c r="A160" s="34" t="s">
        <v>271</v>
      </c>
      <c r="B160" s="45">
        <v>15615.221925082233</v>
      </c>
      <c r="C160" s="45"/>
      <c r="D160" s="45">
        <v>12492.719563368961</v>
      </c>
    </row>
    <row r="161" spans="1:4">
      <c r="A161" s="34" t="s">
        <v>272</v>
      </c>
      <c r="B161" s="45">
        <v>11053.559874603226</v>
      </c>
      <c r="C161" s="45"/>
      <c r="D161" s="45">
        <v>7143.7302208151177</v>
      </c>
    </row>
    <row r="162" spans="1:4">
      <c r="A162" s="34" t="s">
        <v>273</v>
      </c>
      <c r="B162" s="45">
        <v>143235.45295026602</v>
      </c>
      <c r="C162" s="45"/>
      <c r="D162" s="45">
        <v>156335.21347429437</v>
      </c>
    </row>
    <row r="163" spans="1:4">
      <c r="A163" s="34" t="s">
        <v>274</v>
      </c>
      <c r="B163" s="45">
        <v>259229.77773449413</v>
      </c>
      <c r="C163" s="45"/>
      <c r="D163" s="45">
        <v>304092.1498789714</v>
      </c>
    </row>
    <row r="164" spans="1:4">
      <c r="A164" s="34" t="s">
        <v>275</v>
      </c>
      <c r="B164" s="45">
        <v>46985.847127715133</v>
      </c>
      <c r="C164" s="45"/>
      <c r="D164" s="45">
        <v>36211.798478621662</v>
      </c>
    </row>
    <row r="165" spans="1:4">
      <c r="A165" s="34" t="s">
        <v>276</v>
      </c>
      <c r="B165" s="45">
        <v>26051.676885861976</v>
      </c>
      <c r="C165" s="45"/>
      <c r="D165" s="45">
        <v>29513.362146375093</v>
      </c>
    </row>
    <row r="166" spans="1:4">
      <c r="A166" s="34" t="s">
        <v>277</v>
      </c>
      <c r="B166" s="45">
        <v>325261.07402314537</v>
      </c>
      <c r="C166" s="45"/>
      <c r="D166" s="45">
        <v>342366.22068993835</v>
      </c>
    </row>
    <row r="167" spans="1:4">
      <c r="A167" s="34" t="s">
        <v>278</v>
      </c>
      <c r="B167" s="45">
        <v>3604.0383567576018</v>
      </c>
      <c r="C167" s="45"/>
      <c r="D167" s="45">
        <v>3238.695208493406</v>
      </c>
    </row>
    <row r="168" spans="1:4">
      <c r="A168" s="34" t="s">
        <v>279</v>
      </c>
      <c r="B168" s="45">
        <v>469.01749114863878</v>
      </c>
      <c r="C168" s="45"/>
      <c r="D168" s="45">
        <v>662.70310888712561</v>
      </c>
    </row>
    <row r="169" spans="1:4">
      <c r="A169" s="34" t="s">
        <v>280</v>
      </c>
      <c r="B169" s="45">
        <v>1297.8036619198056</v>
      </c>
      <c r="C169" s="45"/>
      <c r="D169" s="45">
        <v>2157.8305770402512</v>
      </c>
    </row>
    <row r="170" spans="1:4">
      <c r="A170" s="34" t="s">
        <v>281</v>
      </c>
      <c r="B170" s="45">
        <v>6437.7366172867105</v>
      </c>
      <c r="C170" s="45"/>
      <c r="D170" s="45">
        <v>7845.4377445609734</v>
      </c>
    </row>
    <row r="171" spans="1:4">
      <c r="A171" s="34" t="s">
        <v>282</v>
      </c>
      <c r="B171" s="45">
        <v>0</v>
      </c>
      <c r="C171" s="45"/>
      <c r="D171" s="45">
        <v>0</v>
      </c>
    </row>
    <row r="172" spans="1:4">
      <c r="A172" s="34" t="s">
        <v>283</v>
      </c>
      <c r="B172" s="45">
        <v>383.56479504574122</v>
      </c>
      <c r="C172" s="45"/>
      <c r="D172" s="45">
        <v>0</v>
      </c>
    </row>
    <row r="173" spans="1:4">
      <c r="A173" s="34" t="s">
        <v>284</v>
      </c>
      <c r="B173" s="45">
        <v>0</v>
      </c>
      <c r="C173" s="45"/>
      <c r="D173" s="45">
        <v>556.11179428146238</v>
      </c>
    </row>
    <row r="174" spans="1:4">
      <c r="A174" s="34" t="s">
        <v>285</v>
      </c>
      <c r="B174" s="45">
        <v>0</v>
      </c>
      <c r="C174" s="45"/>
      <c r="D174" s="45">
        <v>0</v>
      </c>
    </row>
    <row r="175" spans="1:4">
      <c r="A175" s="34" t="s">
        <v>286</v>
      </c>
      <c r="B175" s="45">
        <v>0</v>
      </c>
      <c r="C175" s="45"/>
      <c r="D175" s="45">
        <v>238.79252631366083</v>
      </c>
    </row>
    <row r="176" spans="1:4">
      <c r="A176" s="34" t="s">
        <v>287</v>
      </c>
      <c r="B176" s="45">
        <v>1752.5466810275238</v>
      </c>
      <c r="C176" s="45"/>
      <c r="D176" s="45">
        <v>1139.7361182567258</v>
      </c>
    </row>
    <row r="177" spans="1:4">
      <c r="A177" s="34" t="s">
        <v>288</v>
      </c>
      <c r="B177" s="45">
        <v>15869.398469972524</v>
      </c>
      <c r="C177" s="45"/>
      <c r="D177" s="45">
        <v>17522.747683744881</v>
      </c>
    </row>
    <row r="178" spans="1:4">
      <c r="A178" s="34" t="s">
        <v>289</v>
      </c>
      <c r="B178" s="45">
        <v>0</v>
      </c>
      <c r="C178" s="45"/>
      <c r="D178" s="45">
        <v>0</v>
      </c>
    </row>
    <row r="179" spans="1:4">
      <c r="A179" s="34" t="s">
        <v>290</v>
      </c>
      <c r="B179" s="45">
        <v>83449.032862903201</v>
      </c>
      <c r="C179" s="45"/>
      <c r="D179" s="45">
        <v>56118.414203039523</v>
      </c>
    </row>
    <row r="180" spans="1:4">
      <c r="A180" s="34" t="s">
        <v>291</v>
      </c>
      <c r="B180" s="45">
        <v>10639.181281357074</v>
      </c>
      <c r="C180" s="45"/>
      <c r="D180" s="45">
        <v>8129.5830414080192</v>
      </c>
    </row>
    <row r="181" spans="1:4">
      <c r="A181" s="34" t="s">
        <v>292</v>
      </c>
      <c r="B181" s="45">
        <v>1707.7354680647991</v>
      </c>
      <c r="C181" s="45"/>
      <c r="D181" s="45">
        <v>988.71040412025775</v>
      </c>
    </row>
    <row r="182" spans="1:4">
      <c r="A182" s="34" t="s">
        <v>293</v>
      </c>
      <c r="B182" s="45">
        <v>8002.766747783091</v>
      </c>
      <c r="C182" s="45"/>
      <c r="D182" s="45">
        <v>5913.9471114004509</v>
      </c>
    </row>
    <row r="183" spans="1:4">
      <c r="A183" s="34" t="s">
        <v>294</v>
      </c>
      <c r="B183" s="45">
        <v>9492.6781550215001</v>
      </c>
      <c r="C183" s="45"/>
      <c r="D183" s="45">
        <v>8210.4966913836051</v>
      </c>
    </row>
    <row r="184" spans="1:4">
      <c r="A184" s="34" t="s">
        <v>295</v>
      </c>
      <c r="B184" s="45">
        <v>156088.85124051213</v>
      </c>
      <c r="C184" s="45"/>
      <c r="D184" s="45">
        <v>162616.09707406993</v>
      </c>
    </row>
    <row r="185" spans="1:4">
      <c r="A185" s="34" t="s">
        <v>296</v>
      </c>
      <c r="B185" s="45">
        <v>1788.2923718522238</v>
      </c>
      <c r="C185" s="45"/>
      <c r="D185" s="45">
        <v>0</v>
      </c>
    </row>
    <row r="186" spans="1:4">
      <c r="A186" s="34" t="s">
        <v>297</v>
      </c>
      <c r="B186" s="45">
        <v>5610.2620602152238</v>
      </c>
      <c r="C186" s="45"/>
      <c r="D186" s="45">
        <v>7190.421004327638</v>
      </c>
    </row>
    <row r="187" spans="1:4">
      <c r="A187" s="34" t="s">
        <v>298</v>
      </c>
      <c r="B187" s="45">
        <v>0</v>
      </c>
      <c r="C187" s="45"/>
      <c r="D187" s="45">
        <v>0</v>
      </c>
    </row>
    <row r="188" spans="1:4">
      <c r="A188" s="34" t="s">
        <v>299</v>
      </c>
      <c r="B188" s="45">
        <v>136407.6516876049</v>
      </c>
      <c r="C188" s="45"/>
      <c r="D188" s="45">
        <v>83028.639986770373</v>
      </c>
    </row>
    <row r="189" spans="1:4">
      <c r="A189" s="34" t="s">
        <v>300</v>
      </c>
      <c r="B189" s="45">
        <v>129037.18227562612</v>
      </c>
      <c r="C189" s="45"/>
      <c r="D189" s="45">
        <v>119288.86858840536</v>
      </c>
    </row>
    <row r="190" spans="1:4">
      <c r="A190" s="34" t="s">
        <v>301</v>
      </c>
      <c r="B190" s="45">
        <v>258579.63167824192</v>
      </c>
      <c r="C190" s="45"/>
      <c r="D190" s="45">
        <v>262338.84379967244</v>
      </c>
    </row>
    <row r="191" spans="1:4">
      <c r="A191" s="34" t="s">
        <v>302</v>
      </c>
      <c r="B191" s="45">
        <v>3176.7627506172062</v>
      </c>
      <c r="C191" s="45"/>
      <c r="D191" s="45">
        <v>1183.9643758875384</v>
      </c>
    </row>
    <row r="192" spans="1:4">
      <c r="A192" s="34" t="s">
        <v>303</v>
      </c>
      <c r="B192" s="45">
        <v>2628.6810798484553</v>
      </c>
      <c r="C192" s="45"/>
      <c r="D192" s="45">
        <v>3721.3105616773028</v>
      </c>
    </row>
    <row r="193" spans="1:4">
      <c r="A193" s="34" t="s">
        <v>304</v>
      </c>
      <c r="B193" s="45">
        <v>917.41594061603314</v>
      </c>
      <c r="C193" s="45"/>
      <c r="D193" s="45">
        <v>1119.3560473707325</v>
      </c>
    </row>
    <row r="194" spans="1:4">
      <c r="A194" s="34" t="s">
        <v>305</v>
      </c>
      <c r="B194" s="45">
        <v>407.11606996521789</v>
      </c>
      <c r="C194" s="45"/>
      <c r="D194" s="45">
        <v>0</v>
      </c>
    </row>
    <row r="195" spans="1:4">
      <c r="A195" s="34" t="s">
        <v>306</v>
      </c>
      <c r="B195" s="45">
        <v>1926.4063723463055</v>
      </c>
      <c r="C195" s="45"/>
      <c r="D195" s="45">
        <v>2061.9107893005526</v>
      </c>
    </row>
    <row r="196" spans="1:4">
      <c r="A196" s="34" t="s">
        <v>307</v>
      </c>
      <c r="B196" s="45">
        <v>21065.531570681476</v>
      </c>
      <c r="C196" s="45"/>
      <c r="D196" s="45">
        <v>14222.488510590021</v>
      </c>
    </row>
    <row r="197" spans="1:4">
      <c r="A197" s="34" t="s">
        <v>308</v>
      </c>
      <c r="B197" s="45">
        <v>5481.1264077232963</v>
      </c>
      <c r="C197" s="45"/>
      <c r="D197" s="45">
        <v>5903.2218213279193</v>
      </c>
    </row>
    <row r="198" spans="1:4">
      <c r="A198" s="34" t="s">
        <v>309</v>
      </c>
      <c r="B198" s="45">
        <v>3176.9108259895634</v>
      </c>
      <c r="C198" s="45"/>
      <c r="D198" s="45">
        <v>4576.203204222239</v>
      </c>
    </row>
    <row r="199" spans="1:4">
      <c r="A199" s="34" t="s">
        <v>310</v>
      </c>
      <c r="B199" s="45">
        <v>13286.491649546242</v>
      </c>
      <c r="C199" s="45"/>
      <c r="D199" s="45">
        <v>8733.5326700461592</v>
      </c>
    </row>
    <row r="200" spans="1:4">
      <c r="A200" s="34" t="s">
        <v>311</v>
      </c>
      <c r="B200" s="45">
        <v>75181.531319556656</v>
      </c>
      <c r="C200" s="45"/>
      <c r="D200" s="45">
        <v>77498.531742647625</v>
      </c>
    </row>
    <row r="201" spans="1:4">
      <c r="A201" s="34" t="s">
        <v>312</v>
      </c>
      <c r="B201" s="45">
        <v>1397.5819785114836</v>
      </c>
      <c r="C201" s="45"/>
      <c r="D201" s="45">
        <v>2133.752083314982</v>
      </c>
    </row>
    <row r="202" spans="1:4">
      <c r="A202" s="34" t="s">
        <v>313</v>
      </c>
      <c r="B202" s="45">
        <v>2226.5348016687067</v>
      </c>
      <c r="C202" s="45"/>
      <c r="D202" s="45">
        <v>2925.3550006658415</v>
      </c>
    </row>
    <row r="203" spans="1:4">
      <c r="A203" s="34" t="s">
        <v>314</v>
      </c>
      <c r="B203" s="45">
        <v>632249.28754203091</v>
      </c>
      <c r="C203" s="45"/>
      <c r="D203" s="45">
        <v>701095.47224084067</v>
      </c>
    </row>
    <row r="204" spans="1:4">
      <c r="A204" s="34" t="s">
        <v>315</v>
      </c>
      <c r="B204" s="45">
        <v>2549.8458256561426</v>
      </c>
      <c r="C204" s="45"/>
      <c r="D204" s="45">
        <v>2083.0406800558958</v>
      </c>
    </row>
    <row r="205" spans="1:4">
      <c r="A205" s="34" t="s">
        <v>316</v>
      </c>
      <c r="B205" s="45">
        <v>1531.1644865487747</v>
      </c>
      <c r="C205" s="45"/>
      <c r="D205" s="45">
        <v>2404.5174162672083</v>
      </c>
    </row>
    <row r="206" spans="1:4">
      <c r="A206" s="34" t="s">
        <v>317</v>
      </c>
      <c r="B206" s="45">
        <v>789.03832631298769</v>
      </c>
      <c r="C206" s="45"/>
      <c r="D206" s="45">
        <v>0</v>
      </c>
    </row>
    <row r="207" spans="1:4">
      <c r="A207" s="34" t="s">
        <v>318</v>
      </c>
      <c r="B207" s="45">
        <v>36017.957602577932</v>
      </c>
      <c r="C207" s="45"/>
      <c r="D207" s="45">
        <v>24476.039118384368</v>
      </c>
    </row>
    <row r="208" spans="1:4">
      <c r="A208" s="34" t="s">
        <v>319</v>
      </c>
      <c r="B208" s="45">
        <v>908.14019147922068</v>
      </c>
      <c r="C208" s="45"/>
      <c r="D208" s="45">
        <v>679.19342394424757</v>
      </c>
    </row>
    <row r="209" spans="1:4">
      <c r="A209" s="34" t="s">
        <v>320</v>
      </c>
      <c r="B209" s="45">
        <v>1902.3074565771246</v>
      </c>
      <c r="C209" s="45"/>
      <c r="D209" s="45">
        <v>3936.5713036801117</v>
      </c>
    </row>
    <row r="210" spans="1:4">
      <c r="A210" s="34" t="s">
        <v>321</v>
      </c>
      <c r="B210" s="45">
        <v>323478.68184137793</v>
      </c>
      <c r="C210" s="45"/>
      <c r="D210" s="45">
        <v>341989.79620055412</v>
      </c>
    </row>
    <row r="211" spans="1:4">
      <c r="A211" s="34" t="s">
        <v>322</v>
      </c>
      <c r="B211" s="45">
        <v>9843.5898108936726</v>
      </c>
      <c r="C211" s="45"/>
      <c r="D211" s="45">
        <v>5377.2379561727003</v>
      </c>
    </row>
    <row r="212" spans="1:4">
      <c r="A212" s="34" t="s">
        <v>323</v>
      </c>
      <c r="B212" s="45">
        <v>0</v>
      </c>
      <c r="C212" s="45"/>
      <c r="D212" s="45">
        <v>0</v>
      </c>
    </row>
    <row r="213" spans="1:4">
      <c r="A213" s="34" t="s">
        <v>324</v>
      </c>
      <c r="B213" s="45">
        <v>36642.415814964203</v>
      </c>
      <c r="C213" s="45"/>
      <c r="D213" s="45">
        <v>46317.694285480386</v>
      </c>
    </row>
    <row r="214" spans="1:4">
      <c r="A214" s="34" t="s">
        <v>325</v>
      </c>
      <c r="B214" s="45">
        <v>1210.357514866603</v>
      </c>
      <c r="C214" s="45"/>
      <c r="D214" s="45">
        <v>665.83001357581429</v>
      </c>
    </row>
    <row r="215" spans="1:4">
      <c r="A215" s="34" t="s">
        <v>326</v>
      </c>
      <c r="B215" s="45">
        <v>1918.6656711977698</v>
      </c>
      <c r="C215" s="45"/>
      <c r="D215" s="45">
        <v>2492.7354413042058</v>
      </c>
    </row>
    <row r="216" spans="1:4">
      <c r="A216" s="34" t="s">
        <v>327</v>
      </c>
      <c r="B216" s="45">
        <v>474.24692908427352</v>
      </c>
      <c r="C216" s="45"/>
      <c r="D216" s="45">
        <v>632.38973980475498</v>
      </c>
    </row>
    <row r="217" spans="1:4">
      <c r="A217" s="34" t="s">
        <v>328</v>
      </c>
      <c r="B217" s="45">
        <v>9130.3201402038649</v>
      </c>
      <c r="C217" s="45"/>
      <c r="D217" s="45">
        <v>10131.233111540687</v>
      </c>
    </row>
    <row r="218" spans="1:4">
      <c r="A218" s="34" t="s">
        <v>329</v>
      </c>
      <c r="B218" s="45">
        <v>462.91768712269339</v>
      </c>
      <c r="C218" s="45"/>
      <c r="D218" s="45">
        <v>0</v>
      </c>
    </row>
    <row r="219" spans="1:4">
      <c r="A219" s="34" t="s">
        <v>330</v>
      </c>
      <c r="B219" s="45">
        <v>3547.3157227665038</v>
      </c>
      <c r="C219" s="45"/>
      <c r="D219" s="45">
        <v>7503.5905637173191</v>
      </c>
    </row>
    <row r="220" spans="1:4">
      <c r="A220" s="34" t="s">
        <v>331</v>
      </c>
      <c r="B220" s="45">
        <v>29740.93584541036</v>
      </c>
      <c r="C220" s="45"/>
      <c r="D220" s="45">
        <v>38663.285529727327</v>
      </c>
    </row>
    <row r="221" spans="1:4">
      <c r="A221" s="34" t="s">
        <v>332</v>
      </c>
      <c r="B221" s="45">
        <v>88137.85857862157</v>
      </c>
      <c r="C221" s="45"/>
      <c r="D221" s="45">
        <v>86480.694668904442</v>
      </c>
    </row>
    <row r="222" spans="1:4">
      <c r="A222" s="34" t="s">
        <v>333</v>
      </c>
      <c r="B222" s="45">
        <v>0</v>
      </c>
      <c r="C222" s="45"/>
      <c r="D222" s="45">
        <v>960.26360816068723</v>
      </c>
    </row>
    <row r="223" spans="1:4">
      <c r="A223" s="34" t="s">
        <v>334</v>
      </c>
      <c r="B223" s="45">
        <v>456.90928794897246</v>
      </c>
      <c r="C223" s="45"/>
      <c r="D223" s="45">
        <v>316.84737033057741</v>
      </c>
    </row>
    <row r="224" spans="1:4">
      <c r="A224" s="34" t="s">
        <v>335</v>
      </c>
      <c r="B224" s="45">
        <v>944.13019054433357</v>
      </c>
      <c r="C224" s="45"/>
      <c r="D224" s="45">
        <v>0</v>
      </c>
    </row>
    <row r="225" spans="1:4">
      <c r="A225" s="34" t="s">
        <v>336</v>
      </c>
      <c r="B225" s="45">
        <v>4287.5202859236279</v>
      </c>
      <c r="C225" s="45"/>
      <c r="D225" s="45">
        <v>2153.4449132190334</v>
      </c>
    </row>
    <row r="226" spans="1:4">
      <c r="A226" s="34" t="s">
        <v>337</v>
      </c>
      <c r="B226" s="45">
        <v>5034.6487734843595</v>
      </c>
      <c r="C226" s="45"/>
      <c r="D226" s="45">
        <v>3919.2851305616769</v>
      </c>
    </row>
    <row r="227" spans="1:4">
      <c r="A227" s="34" t="s">
        <v>338</v>
      </c>
      <c r="B227" s="45">
        <v>638.56938556506282</v>
      </c>
      <c r="C227" s="45"/>
      <c r="D227" s="45">
        <v>0</v>
      </c>
    </row>
    <row r="228" spans="1:4">
      <c r="A228" s="34" t="s">
        <v>339</v>
      </c>
      <c r="B228" s="45">
        <v>39461.475047390049</v>
      </c>
      <c r="C228" s="45"/>
      <c r="D228" s="45">
        <v>35373.332979437226</v>
      </c>
    </row>
    <row r="229" spans="1:4">
      <c r="A229" s="34" t="s">
        <v>340</v>
      </c>
      <c r="B229" s="45">
        <v>359.70980907504827</v>
      </c>
      <c r="C229" s="45"/>
      <c r="D229" s="45">
        <v>0</v>
      </c>
    </row>
    <row r="230" spans="1:4">
      <c r="A230" s="34" t="s">
        <v>341</v>
      </c>
      <c r="B230" s="45">
        <v>0</v>
      </c>
      <c r="C230" s="45"/>
      <c r="D230" s="45">
        <v>331.37592977776518</v>
      </c>
    </row>
    <row r="231" spans="1:4">
      <c r="A231" s="34" t="s">
        <v>342</v>
      </c>
      <c r="B231" s="45">
        <v>30677.242506374401</v>
      </c>
      <c r="C231" s="45"/>
      <c r="D231" s="45">
        <v>33781.570291469907</v>
      </c>
    </row>
    <row r="232" spans="1:4">
      <c r="A232" s="34" t="s">
        <v>343</v>
      </c>
      <c r="B232" s="45">
        <v>7410.5475359707871</v>
      </c>
      <c r="C232" s="45"/>
      <c r="D232" s="45">
        <v>7264.3069190656515</v>
      </c>
    </row>
    <row r="233" spans="1:4">
      <c r="A233" s="34" t="s">
        <v>344</v>
      </c>
      <c r="B233" s="45">
        <v>0</v>
      </c>
      <c r="C233" s="45"/>
      <c r="D233" s="45">
        <v>0</v>
      </c>
    </row>
    <row r="234" spans="1:4">
      <c r="A234" s="34" t="s">
        <v>345</v>
      </c>
      <c r="B234" s="45">
        <v>27688.023442097568</v>
      </c>
      <c r="C234" s="45"/>
      <c r="D234" s="45">
        <v>22875.945227920958</v>
      </c>
    </row>
    <row r="235" spans="1:4">
      <c r="A235" s="34" t="s">
        <v>346</v>
      </c>
      <c r="B235" s="45">
        <v>5351.0029514766375</v>
      </c>
      <c r="C235" s="45"/>
      <c r="D235" s="45">
        <v>2363.9248774835369</v>
      </c>
    </row>
    <row r="236" spans="1:4">
      <c r="A236" s="34" t="s">
        <v>347</v>
      </c>
      <c r="B236" s="45">
        <v>11628.139380914405</v>
      </c>
      <c r="C236" s="45"/>
      <c r="D236" s="45">
        <v>9684.1168300402187</v>
      </c>
    </row>
    <row r="237" spans="1:4">
      <c r="A237" s="34" t="s">
        <v>348</v>
      </c>
      <c r="B237" s="45">
        <v>547.18171105519093</v>
      </c>
      <c r="C237" s="45"/>
      <c r="D237" s="45">
        <v>0</v>
      </c>
    </row>
    <row r="238" spans="1:4">
      <c r="A238" s="34" t="s">
        <v>349</v>
      </c>
      <c r="B238" s="45">
        <v>3230.7946442458779</v>
      </c>
      <c r="C238" s="45"/>
      <c r="D238" s="45">
        <v>6389.5945042751782</v>
      </c>
    </row>
    <row r="239" spans="1:4">
      <c r="A239" s="34" t="s">
        <v>350</v>
      </c>
      <c r="B239" s="45">
        <v>225822.14969828608</v>
      </c>
      <c r="C239" s="45"/>
      <c r="D239" s="45">
        <v>225924.1416251866</v>
      </c>
    </row>
    <row r="240" spans="1:4">
      <c r="A240" s="34" t="s">
        <v>351</v>
      </c>
      <c r="B240" s="45">
        <v>2221.6941208972949</v>
      </c>
      <c r="C240" s="45"/>
      <c r="D240" s="45">
        <v>4500.4032208870231</v>
      </c>
    </row>
    <row r="241" spans="1:4">
      <c r="A241" s="34" t="s">
        <v>352</v>
      </c>
      <c r="B241" s="45">
        <v>1993.1608964800184</v>
      </c>
      <c r="C241" s="45"/>
      <c r="D241" s="45">
        <v>620.83633438509821</v>
      </c>
    </row>
    <row r="242" spans="1:4">
      <c r="A242" s="34" t="s">
        <v>353</v>
      </c>
      <c r="B242" s="45">
        <v>888.92027169297853</v>
      </c>
      <c r="C242" s="45"/>
      <c r="D242" s="45">
        <v>0</v>
      </c>
    </row>
    <row r="243" spans="1:4">
      <c r="A243" s="34" t="s">
        <v>354</v>
      </c>
      <c r="B243" s="45">
        <v>22554.640344737076</v>
      </c>
      <c r="C243" s="45"/>
      <c r="D243" s="45">
        <v>24667.727857673744</v>
      </c>
    </row>
    <row r="244" spans="1:4">
      <c r="A244" s="34" t="s">
        <v>355</v>
      </c>
      <c r="B244" s="45">
        <v>2141.5908188009257</v>
      </c>
      <c r="C244" s="45"/>
      <c r="D244" s="45">
        <v>987.2625106615161</v>
      </c>
    </row>
    <row r="245" spans="1:4">
      <c r="A245" s="34" t="s">
        <v>356</v>
      </c>
      <c r="B245" s="45">
        <v>441.2510885991212</v>
      </c>
      <c r="C245" s="45"/>
      <c r="D245" s="45">
        <v>1491.2080930269656</v>
      </c>
    </row>
    <row r="246" spans="1:4">
      <c r="A246" s="34" t="s">
        <v>357</v>
      </c>
      <c r="B246" s="45">
        <v>14758.514109570981</v>
      </c>
      <c r="C246" s="45"/>
      <c r="D246" s="45">
        <v>10349.47224453974</v>
      </c>
    </row>
    <row r="247" spans="1:4">
      <c r="A247" s="34" t="s">
        <v>358</v>
      </c>
      <c r="B247" s="45">
        <v>0</v>
      </c>
      <c r="C247" s="45"/>
      <c r="D247" s="45">
        <v>0</v>
      </c>
    </row>
    <row r="248" spans="1:4">
      <c r="A248" s="34" t="s">
        <v>359</v>
      </c>
      <c r="B248" s="45">
        <v>5925.5048710627216</v>
      </c>
      <c r="C248" s="45"/>
      <c r="D248" s="45">
        <v>3243.0040615647149</v>
      </c>
    </row>
    <row r="249" spans="1:4">
      <c r="A249" s="34" t="s">
        <v>360</v>
      </c>
      <c r="B249" s="45">
        <v>547.18171105519093</v>
      </c>
      <c r="C249" s="45"/>
      <c r="D249" s="45">
        <v>1724.3632170191499</v>
      </c>
    </row>
    <row r="250" spans="1:4">
      <c r="A250" s="34" t="s">
        <v>361</v>
      </c>
      <c r="B250" s="45">
        <v>2692.1346019759922</v>
      </c>
      <c r="C250" s="45"/>
      <c r="D250" s="45">
        <v>2229.6797191282913</v>
      </c>
    </row>
    <row r="251" spans="1:4">
      <c r="A251" s="34" t="s">
        <v>362</v>
      </c>
      <c r="B251" s="45">
        <v>0</v>
      </c>
      <c r="C251" s="45"/>
      <c r="D251" s="45">
        <v>497.70910050246704</v>
      </c>
    </row>
    <row r="252" spans="1:4">
      <c r="A252" s="34" t="s">
        <v>363</v>
      </c>
      <c r="B252" s="45">
        <v>0</v>
      </c>
      <c r="C252" s="45"/>
      <c r="D252" s="45">
        <v>777.27343760055021</v>
      </c>
    </row>
    <row r="253" spans="1:4">
      <c r="A253" s="34" t="s">
        <v>364</v>
      </c>
      <c r="B253" s="45">
        <v>4863.5112330986522</v>
      </c>
      <c r="C253" s="45"/>
      <c r="D253" s="45">
        <v>5928.5501438560404</v>
      </c>
    </row>
    <row r="254" spans="1:4">
      <c r="A254" s="34" t="s">
        <v>365</v>
      </c>
      <c r="B254" s="45">
        <v>0</v>
      </c>
      <c r="C254" s="45"/>
      <c r="D254" s="45">
        <v>615.57059610743079</v>
      </c>
    </row>
    <row r="255" spans="1:4">
      <c r="A255" s="34" t="s">
        <v>366</v>
      </c>
      <c r="B255" s="45">
        <v>12775.729942982849</v>
      </c>
      <c r="C255" s="45"/>
      <c r="D255" s="45">
        <v>14746.47178337508</v>
      </c>
    </row>
    <row r="256" spans="1:4">
      <c r="A256" s="34" t="s">
        <v>367</v>
      </c>
      <c r="B256" s="45">
        <v>9799.0774171029479</v>
      </c>
      <c r="C256" s="45"/>
      <c r="D256" s="45">
        <v>6479.9116296636385</v>
      </c>
    </row>
    <row r="257" spans="1:4">
      <c r="A257" s="34" t="s">
        <v>368</v>
      </c>
      <c r="B257" s="45">
        <v>0</v>
      </c>
      <c r="C257" s="45"/>
      <c r="D257" s="45">
        <v>0</v>
      </c>
    </row>
    <row r="258" spans="1:4">
      <c r="A258" s="34" t="s">
        <v>369</v>
      </c>
      <c r="B258" s="45">
        <v>452.14185784042945</v>
      </c>
      <c r="C258" s="45"/>
      <c r="D258" s="45">
        <v>0</v>
      </c>
    </row>
    <row r="259" spans="1:4">
      <c r="A259" s="34" t="s">
        <v>370</v>
      </c>
      <c r="B259" s="45">
        <v>930.66220969321284</v>
      </c>
      <c r="C259" s="45"/>
      <c r="D259" s="45">
        <v>470.01779546800935</v>
      </c>
    </row>
    <row r="260" spans="1:4">
      <c r="A260" s="34" t="s">
        <v>371</v>
      </c>
      <c r="B260" s="45">
        <v>6727.2534802153968</v>
      </c>
      <c r="C260" s="45"/>
      <c r="D260" s="45">
        <v>6226.886642156378</v>
      </c>
    </row>
    <row r="261" spans="1:4">
      <c r="A261" s="34" t="s">
        <v>372</v>
      </c>
      <c r="B261" s="45">
        <v>5249.79182863815</v>
      </c>
      <c r="C261" s="45"/>
      <c r="D261" s="45">
        <v>5501.9759899614974</v>
      </c>
    </row>
    <row r="262" spans="1:4">
      <c r="A262" s="34" t="s">
        <v>373</v>
      </c>
      <c r="B262" s="45">
        <v>93286.666285963089</v>
      </c>
      <c r="C262" s="45"/>
      <c r="D262" s="45">
        <v>80987.448892205808</v>
      </c>
    </row>
    <row r="263" spans="1:4">
      <c r="A263" s="34" t="s">
        <v>374</v>
      </c>
      <c r="B263" s="45">
        <v>35703.726237427494</v>
      </c>
      <c r="C263" s="45"/>
      <c r="D263" s="45">
        <v>30148.24260958868</v>
      </c>
    </row>
    <row r="264" spans="1:4">
      <c r="A264" s="34" t="s">
        <v>375</v>
      </c>
      <c r="B264" s="45">
        <v>171289.56565568576</v>
      </c>
      <c r="C264" s="45"/>
      <c r="D264" s="45">
        <v>147103.68547968296</v>
      </c>
    </row>
    <row r="265" spans="1:4">
      <c r="A265" s="34" t="s">
        <v>376</v>
      </c>
      <c r="B265" s="45">
        <v>5227.9984739206375</v>
      </c>
      <c r="C265" s="45"/>
      <c r="D265" s="45">
        <v>4914.8445844287899</v>
      </c>
    </row>
    <row r="266" spans="1:4">
      <c r="A266" s="34" t="s">
        <v>377</v>
      </c>
      <c r="B266" s="45">
        <v>28209.637238302017</v>
      </c>
      <c r="C266" s="45"/>
      <c r="D266" s="45">
        <v>16034.771952668851</v>
      </c>
    </row>
    <row r="267" spans="1:4">
      <c r="A267" s="34" t="s">
        <v>378</v>
      </c>
      <c r="B267" s="45">
        <v>9247.5275563557479</v>
      </c>
      <c r="C267" s="45"/>
      <c r="D267" s="45">
        <v>13315.669582085051</v>
      </c>
    </row>
    <row r="268" spans="1:4">
      <c r="A268" s="34" t="s">
        <v>379</v>
      </c>
      <c r="B268" s="45">
        <v>0</v>
      </c>
      <c r="C268" s="45"/>
      <c r="D268" s="45">
        <v>0</v>
      </c>
    </row>
    <row r="269" spans="1:4">
      <c r="A269" s="34" t="s">
        <v>380</v>
      </c>
      <c r="B269" s="45">
        <v>770.94977430539427</v>
      </c>
      <c r="C269" s="45"/>
      <c r="D269" s="45">
        <v>1422.7658269207195</v>
      </c>
    </row>
    <row r="270" spans="1:4">
      <c r="A270" s="34" t="s">
        <v>381</v>
      </c>
      <c r="B270" s="45">
        <v>1074.2624523484669</v>
      </c>
      <c r="C270" s="45"/>
      <c r="D270" s="45">
        <v>1899.2515135337599</v>
      </c>
    </row>
    <row r="271" spans="1:4">
      <c r="A271" s="34" t="s">
        <v>382</v>
      </c>
      <c r="B271" s="45">
        <v>20873.575843303101</v>
      </c>
      <c r="C271" s="45"/>
      <c r="D271" s="45">
        <v>21871.432938004094</v>
      </c>
    </row>
    <row r="272" spans="1:4">
      <c r="A272" s="34" t="s">
        <v>383</v>
      </c>
      <c r="B272" s="45">
        <v>0</v>
      </c>
      <c r="C272" s="45"/>
      <c r="D272" s="45">
        <v>0</v>
      </c>
    </row>
    <row r="273" spans="1:4">
      <c r="A273" s="34" t="s">
        <v>384</v>
      </c>
      <c r="B273" s="45">
        <v>8343.6757327243267</v>
      </c>
      <c r="C273" s="45"/>
      <c r="D273" s="45">
        <v>9302.5885983130174</v>
      </c>
    </row>
    <row r="274" spans="1:4">
      <c r="A274" s="34" t="s">
        <v>385</v>
      </c>
      <c r="B274" s="45">
        <v>0</v>
      </c>
      <c r="C274" s="45"/>
      <c r="D274" s="45">
        <v>0</v>
      </c>
    </row>
    <row r="275" spans="1:4">
      <c r="A275" s="34" t="s">
        <v>386</v>
      </c>
      <c r="B275" s="45">
        <v>9221.1776110989322</v>
      </c>
      <c r="C275" s="45"/>
      <c r="D275" s="45">
        <v>10137.760164135809</v>
      </c>
    </row>
    <row r="276" spans="1:4">
      <c r="A276" s="34" t="s">
        <v>387</v>
      </c>
      <c r="B276" s="45">
        <v>3958.8366106807875</v>
      </c>
      <c r="C276" s="45"/>
      <c r="D276" s="45">
        <v>6991.7892381830325</v>
      </c>
    </row>
    <row r="277" spans="1:4">
      <c r="A277" s="34" t="s">
        <v>388</v>
      </c>
      <c r="B277" s="45">
        <v>1601.8066162071257</v>
      </c>
      <c r="C277" s="45"/>
      <c r="D277" s="45">
        <v>2587.6629007261367</v>
      </c>
    </row>
    <row r="278" spans="1:4">
      <c r="A278" s="34" t="s">
        <v>389</v>
      </c>
      <c r="B278" s="45">
        <v>21718.453903843318</v>
      </c>
      <c r="C278" s="45"/>
      <c r="D278" s="45">
        <v>22864.400897713233</v>
      </c>
    </row>
    <row r="279" spans="1:4">
      <c r="A279" s="34" t="s">
        <v>390</v>
      </c>
      <c r="B279" s="45">
        <v>1105791.5472516194</v>
      </c>
      <c r="C279" s="45"/>
      <c r="D279" s="45">
        <v>1136925.9838061805</v>
      </c>
    </row>
    <row r="280" spans="1:4">
      <c r="A280" s="34" t="s">
        <v>391</v>
      </c>
      <c r="B280" s="45">
        <v>728.61174379016336</v>
      </c>
      <c r="C280" s="45"/>
      <c r="D280" s="45">
        <v>0</v>
      </c>
    </row>
    <row r="281" spans="1:4">
      <c r="A281" s="34" t="s">
        <v>392</v>
      </c>
      <c r="B281" s="45">
        <v>6438.655335991496</v>
      </c>
      <c r="C281" s="45"/>
      <c r="D281" s="45">
        <v>4648.8007196790822</v>
      </c>
    </row>
    <row r="282" spans="1:4">
      <c r="A282" s="34" t="s">
        <v>393</v>
      </c>
      <c r="B282" s="45">
        <v>21865.895636743659</v>
      </c>
      <c r="C282" s="45"/>
      <c r="D282" s="45">
        <v>21473.125331189942</v>
      </c>
    </row>
    <row r="283" spans="1:4">
      <c r="A283" s="34" t="s">
        <v>394</v>
      </c>
      <c r="B283" s="45">
        <v>39431.369618348341</v>
      </c>
      <c r="C283" s="45"/>
      <c r="D283" s="45">
        <v>39919.589224886397</v>
      </c>
    </row>
    <row r="284" spans="1:4">
      <c r="A284" s="34" t="s">
        <v>395</v>
      </c>
      <c r="B284" s="45">
        <v>11541.420741361944</v>
      </c>
      <c r="C284" s="45"/>
      <c r="D284" s="45">
        <v>11544.791265864927</v>
      </c>
    </row>
    <row r="285" spans="1:4">
      <c r="A285" s="34" t="s">
        <v>396</v>
      </c>
      <c r="B285" s="45">
        <v>189024.92618242512</v>
      </c>
      <c r="C285" s="45"/>
      <c r="D285" s="45">
        <v>192261.59191568647</v>
      </c>
    </row>
    <row r="286" spans="1:4">
      <c r="A286" s="34" t="s">
        <v>397</v>
      </c>
      <c r="B286" s="45">
        <v>11945.995074375413</v>
      </c>
      <c r="C286" s="45"/>
      <c r="D286" s="45">
        <v>4748.7936789612759</v>
      </c>
    </row>
    <row r="287" spans="1:4">
      <c r="A287" s="34" t="s">
        <v>398</v>
      </c>
      <c r="B287" s="45">
        <v>0</v>
      </c>
      <c r="C287" s="45"/>
      <c r="D287" s="45">
        <v>0</v>
      </c>
    </row>
    <row r="288" spans="1:4">
      <c r="A288" s="34" t="s">
        <v>399</v>
      </c>
      <c r="B288" s="45">
        <v>50552.00778195083</v>
      </c>
      <c r="C288" s="45"/>
      <c r="D288" s="45">
        <v>46063.706243045628</v>
      </c>
    </row>
    <row r="289" spans="1:4">
      <c r="A289" s="34" t="s">
        <v>400</v>
      </c>
      <c r="B289" s="45">
        <v>4258.2140239201935</v>
      </c>
      <c r="C289" s="45"/>
      <c r="D289" s="45">
        <v>1371.6754510313579</v>
      </c>
    </row>
    <row r="290" spans="1:4">
      <c r="A290" s="34" t="s">
        <v>401</v>
      </c>
      <c r="B290" s="45">
        <v>7335.5676494219797</v>
      </c>
      <c r="C290" s="45"/>
      <c r="D290" s="45">
        <v>1676.4825620084457</v>
      </c>
    </row>
    <row r="291" spans="1:4">
      <c r="A291" s="34" t="s">
        <v>402</v>
      </c>
      <c r="B291" s="45">
        <v>21779.605004345645</v>
      </c>
      <c r="C291" s="45"/>
      <c r="D291" s="45">
        <v>17948.89799841581</v>
      </c>
    </row>
    <row r="292" spans="1:4">
      <c r="A292" s="34" t="s">
        <v>403</v>
      </c>
      <c r="B292" s="45">
        <v>30088.791978552275</v>
      </c>
      <c r="C292" s="45"/>
      <c r="D292" s="45">
        <v>35646.912086422686</v>
      </c>
    </row>
    <row r="293" spans="1:4">
      <c r="A293" s="34" t="s">
        <v>404</v>
      </c>
      <c r="B293" s="45">
        <v>215404.6218674792</v>
      </c>
      <c r="C293" s="45"/>
      <c r="D293" s="45">
        <v>149727.50991617324</v>
      </c>
    </row>
    <row r="294" spans="1:4">
      <c r="A294" s="34" t="s">
        <v>405</v>
      </c>
      <c r="B294" s="45">
        <v>7965.8070438606755</v>
      </c>
      <c r="C294" s="45"/>
      <c r="D294" s="45">
        <v>8459.0582635496867</v>
      </c>
    </row>
    <row r="295" spans="1:4">
      <c r="A295" s="34" t="s">
        <v>406</v>
      </c>
      <c r="B295" s="45">
        <v>2468.4714794913862</v>
      </c>
      <c r="C295" s="45"/>
      <c r="D295" s="45">
        <v>1256.1739778539079</v>
      </c>
    </row>
    <row r="296" spans="1:4">
      <c r="A296" s="34" t="s">
        <v>407</v>
      </c>
      <c r="B296" s="45">
        <v>0</v>
      </c>
      <c r="C296" s="45"/>
      <c r="D296" s="45">
        <v>1176.6090990369698</v>
      </c>
    </row>
    <row r="297" spans="1:4">
      <c r="A297" s="34" t="s">
        <v>408</v>
      </c>
      <c r="B297" s="45">
        <v>0</v>
      </c>
      <c r="C297" s="45"/>
      <c r="D297" s="45">
        <v>0</v>
      </c>
    </row>
    <row r="298" spans="1:4">
      <c r="A298" s="34" t="s">
        <v>409</v>
      </c>
      <c r="B298" s="45">
        <v>325.71152521103301</v>
      </c>
      <c r="C298" s="45"/>
      <c r="D298" s="45">
        <v>0</v>
      </c>
    </row>
    <row r="299" spans="1:4">
      <c r="A299" s="34" t="s">
        <v>410</v>
      </c>
      <c r="B299" s="45">
        <v>1912.8440239698593</v>
      </c>
      <c r="C299" s="45"/>
      <c r="D299" s="45">
        <v>337.27000350004141</v>
      </c>
    </row>
    <row r="300" spans="1:4">
      <c r="A300" s="34" t="s">
        <v>411</v>
      </c>
      <c r="B300" s="45">
        <v>17176.724645921811</v>
      </c>
      <c r="C300" s="45"/>
      <c r="D300" s="45">
        <v>10574.782547947088</v>
      </c>
    </row>
    <row r="301" spans="1:4">
      <c r="A301" s="118"/>
      <c r="B301" s="119"/>
      <c r="C301" s="119"/>
      <c r="D301" s="119"/>
    </row>
    <row r="302" spans="1:4" ht="15" customHeight="1">
      <c r="A302" s="25" t="s">
        <v>130</v>
      </c>
      <c r="B302" s="27"/>
      <c r="C302" s="27"/>
      <c r="D302" s="27"/>
    </row>
    <row r="303" spans="1:4">
      <c r="A303" s="24" t="s">
        <v>117</v>
      </c>
      <c r="B303" s="18"/>
      <c r="C303" s="17"/>
    </row>
    <row r="304" spans="1:4">
      <c r="A304" s="16" t="s">
        <v>121</v>
      </c>
      <c r="B304" s="17"/>
      <c r="C304" s="17"/>
    </row>
    <row r="305" spans="1:1">
      <c r="A305" s="16" t="s">
        <v>122</v>
      </c>
    </row>
    <row r="306" spans="1:1">
      <c r="A306" s="24" t="s">
        <v>146</v>
      </c>
    </row>
  </sheetData>
  <mergeCells count="2">
    <mergeCell ref="B15:D15"/>
    <mergeCell ref="B158:D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7" id="{93BA7C3A-BCA8-4574-AE5F-61836DB5B8E9}">
            <xm:f>$B159&lt;'33'!$C$101</xm:f>
            <x14:dxf>
              <font>
                <color rgb="FFFF0000"/>
              </font>
              <numFmt numFmtId="172" formatCode="\*\*0.0%"/>
            </x14:dxf>
          </x14:cfRule>
          <x14:cfRule type="expression" priority="8" id="{78A3E02D-DD16-49C2-9763-60D8C0DF0C24}">
            <xm:f>$B159&lt;'33'!$C$100</xm:f>
            <x14:dxf>
              <font>
                <color rgb="FF00B050"/>
              </font>
              <numFmt numFmtId="171" formatCode="\*0.0%"/>
            </x14:dxf>
          </x14:cfRule>
          <xm:sqref>B16:B157</xm:sqref>
        </x14:conditionalFormatting>
        <x14:conditionalFormatting xmlns:xm="http://schemas.microsoft.com/office/excel/2006/main">
          <x14:cfRule type="expression" priority="3" id="{E0D0E239-2178-4F83-B44D-7C3C17ED9179}">
            <xm:f>$B159&lt;'33'!$C$101</xm:f>
            <x14:dxf>
              <font>
                <color rgb="FFFF0000"/>
              </font>
              <numFmt numFmtId="170" formatCode="\*\*#,##0"/>
            </x14:dxf>
          </x14:cfRule>
          <x14:cfRule type="expression" priority="4" id="{1687B6C0-7C40-4E6C-A9FD-E7FE7B7B05EA}">
            <xm:f>$B159&lt;'33'!$C$100</xm:f>
            <x14:dxf>
              <font>
                <color rgb="FF00B050"/>
              </font>
              <numFmt numFmtId="169" formatCode="\*#,##0"/>
            </x14:dxf>
          </x14:cfRule>
          <xm:sqref>B159:B300</xm:sqref>
        </x14:conditionalFormatting>
        <x14:conditionalFormatting xmlns:xm="http://schemas.microsoft.com/office/excel/2006/main">
          <x14:cfRule type="expression" priority="5" id="{234F8192-9D28-46B7-9AD7-BB1BD6C91C38}">
            <xm:f>$D159&lt;'33'!$D$101</xm:f>
            <x14:dxf>
              <font>
                <color rgb="FFFF0000"/>
              </font>
              <numFmt numFmtId="172" formatCode="\*\*0.0%"/>
            </x14:dxf>
          </x14:cfRule>
          <x14:cfRule type="expression" priority="6" id="{ACDD4F84-DCA0-4C74-B48C-B24403B46A1F}">
            <xm:f>$D159&lt;'33'!$D$100</xm:f>
            <x14:dxf>
              <font>
                <color rgb="FF00B050"/>
              </font>
              <numFmt numFmtId="171" formatCode="\*0.0%"/>
            </x14:dxf>
          </x14:cfRule>
          <xm:sqref>D16:D157</xm:sqref>
        </x14:conditionalFormatting>
        <x14:conditionalFormatting xmlns:xm="http://schemas.microsoft.com/office/excel/2006/main">
          <x14:cfRule type="expression" priority="1" id="{A504C219-F040-4B8D-8524-0A42C9602953}">
            <xm:f>$D159&lt;'32'!$D$101</xm:f>
            <x14:dxf>
              <font>
                <color rgb="FFFF0000"/>
              </font>
              <numFmt numFmtId="170" formatCode="\*\*#,##0"/>
            </x14:dxf>
          </x14:cfRule>
          <x14:cfRule type="expression" priority="2" id="{514493D7-8BEC-4DFC-92E9-6AE866C31AD5}">
            <xm:f>$D159&lt;'32'!$D$100</xm:f>
            <x14:dxf>
              <font>
                <color rgb="FF00B050"/>
              </font>
              <numFmt numFmtId="169" formatCode="\*#,##0"/>
            </x14:dxf>
          </x14:cfRule>
          <xm:sqref>D159:D300</xm:sqref>
        </x14:conditionalFormatting>
      </x14:conditionalFormatting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workbookViewId="0"/>
  </sheetViews>
  <sheetFormatPr defaultColWidth="8.85546875" defaultRowHeight="1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3">
      <c r="A1" s="29"/>
      <c r="B1" s="29"/>
      <c r="C1" s="29"/>
      <c r="D1" s="29"/>
      <c r="E1" s="29"/>
      <c r="F1" s="29"/>
      <c r="G1" s="29"/>
      <c r="H1" s="29"/>
      <c r="I1" s="29"/>
      <c r="J1" s="29"/>
      <c r="K1" s="29"/>
    </row>
    <row r="2" spans="1:13">
      <c r="A2" s="29"/>
      <c r="B2" s="29"/>
      <c r="C2" s="29"/>
      <c r="D2" s="29"/>
      <c r="E2" s="29"/>
      <c r="F2" s="29"/>
      <c r="G2" s="29"/>
      <c r="H2" s="29"/>
      <c r="I2" s="29"/>
      <c r="J2" s="29"/>
      <c r="K2" s="29"/>
    </row>
    <row r="3" spans="1:13">
      <c r="A3" s="29"/>
      <c r="B3" s="29"/>
      <c r="C3" s="29"/>
      <c r="D3" s="29"/>
      <c r="E3" s="29"/>
      <c r="F3" s="29"/>
      <c r="G3" s="29"/>
      <c r="H3" s="29"/>
      <c r="I3" s="29"/>
      <c r="J3" s="29"/>
      <c r="K3" s="29"/>
    </row>
    <row r="4" spans="1:13">
      <c r="A4" s="29"/>
      <c r="B4" s="29"/>
      <c r="C4" s="29"/>
      <c r="D4" s="29"/>
      <c r="E4" s="29"/>
      <c r="F4" s="29"/>
      <c r="G4" s="29"/>
      <c r="H4" s="29"/>
      <c r="I4" s="29"/>
      <c r="J4" s="29"/>
      <c r="K4" s="29"/>
    </row>
    <row r="5" spans="1:13">
      <c r="A5" s="29"/>
      <c r="B5" s="29"/>
      <c r="C5" s="29"/>
      <c r="D5" s="29"/>
      <c r="E5" s="29"/>
      <c r="F5" s="29"/>
      <c r="G5" s="29"/>
      <c r="H5" s="29"/>
      <c r="I5" s="29"/>
      <c r="J5" s="29"/>
      <c r="K5" s="29"/>
    </row>
    <row r="6" spans="1:13">
      <c r="A6" s="29"/>
      <c r="B6" s="29"/>
      <c r="C6" s="29"/>
      <c r="D6" s="29"/>
      <c r="E6" s="29"/>
      <c r="F6" s="29"/>
      <c r="G6" s="29"/>
      <c r="H6" s="29"/>
      <c r="I6" s="29"/>
      <c r="J6" s="29"/>
      <c r="K6" s="29"/>
    </row>
    <row r="7" spans="1:13">
      <c r="A7" s="29"/>
      <c r="B7" s="29"/>
      <c r="C7" s="29"/>
      <c r="D7" s="29"/>
      <c r="E7" s="29"/>
      <c r="F7" s="29"/>
      <c r="G7" s="29"/>
      <c r="H7" s="29"/>
      <c r="I7" s="29"/>
      <c r="J7" s="29"/>
      <c r="K7" s="29"/>
    </row>
    <row r="8" spans="1:13">
      <c r="A8" s="30" t="s">
        <v>0</v>
      </c>
      <c r="B8" s="30"/>
      <c r="C8" s="29"/>
      <c r="D8" s="29"/>
      <c r="E8" s="29"/>
      <c r="F8" s="29"/>
      <c r="G8" s="29"/>
      <c r="H8" s="29"/>
      <c r="I8" s="29"/>
      <c r="J8" s="29"/>
      <c r="K8" s="29"/>
    </row>
    <row r="9" spans="1:13">
      <c r="A9" s="29" t="s">
        <v>1</v>
      </c>
      <c r="B9" s="29"/>
      <c r="C9" s="90" t="s">
        <v>2</v>
      </c>
      <c r="D9" s="29"/>
      <c r="E9" s="29"/>
      <c r="F9" s="29"/>
      <c r="G9" s="29"/>
      <c r="H9" s="29"/>
      <c r="I9" s="29"/>
      <c r="J9" s="29"/>
      <c r="K9" s="29"/>
    </row>
    <row r="10" spans="1:13">
      <c r="A10" s="29" t="s">
        <v>49</v>
      </c>
      <c r="B10" s="29"/>
      <c r="C10" s="31">
        <v>38</v>
      </c>
      <c r="D10" s="29"/>
      <c r="E10" s="29"/>
      <c r="F10" s="29"/>
      <c r="G10" s="29"/>
      <c r="H10" s="29"/>
      <c r="I10" s="29"/>
      <c r="J10" s="29"/>
      <c r="K10" s="29"/>
    </row>
    <row r="11" spans="1:13" s="3" customFormat="1">
      <c r="A11" s="116" t="s">
        <v>3</v>
      </c>
      <c r="B11" s="116"/>
      <c r="C11" s="117" t="s">
        <v>47</v>
      </c>
      <c r="D11" s="116"/>
      <c r="E11" s="116"/>
      <c r="F11" s="116"/>
      <c r="G11" s="116"/>
      <c r="H11" s="116"/>
      <c r="I11" s="116"/>
      <c r="J11" s="116"/>
      <c r="K11" s="116"/>
      <c r="L11" s="119"/>
      <c r="M11" s="119"/>
    </row>
    <row r="12" spans="1:13">
      <c r="A12" s="195" t="s">
        <v>491</v>
      </c>
      <c r="B12" s="195"/>
      <c r="C12" s="195"/>
      <c r="D12" s="195"/>
      <c r="E12" s="195"/>
      <c r="F12" s="195"/>
      <c r="G12" s="195"/>
      <c r="H12" s="195"/>
      <c r="I12" s="195"/>
      <c r="J12" s="195"/>
      <c r="K12" s="195"/>
    </row>
    <row r="13" spans="1:13">
      <c r="A13" s="34" t="s">
        <v>492</v>
      </c>
      <c r="B13" s="34"/>
      <c r="C13" s="71" t="s">
        <v>493</v>
      </c>
      <c r="D13" s="71" t="s">
        <v>494</v>
      </c>
      <c r="E13" s="71" t="s">
        <v>495</v>
      </c>
      <c r="F13" s="71" t="s">
        <v>496</v>
      </c>
      <c r="G13" s="71" t="s">
        <v>497</v>
      </c>
      <c r="H13" s="71" t="s">
        <v>498</v>
      </c>
      <c r="I13" s="71" t="s">
        <v>499</v>
      </c>
      <c r="J13" s="71" t="s">
        <v>500</v>
      </c>
      <c r="K13" s="71" t="s">
        <v>501</v>
      </c>
    </row>
    <row r="14" spans="1:13">
      <c r="A14" s="69">
        <v>1000</v>
      </c>
      <c r="B14" s="146"/>
      <c r="C14" s="22">
        <v>1.6539392843023899</v>
      </c>
      <c r="D14" s="22">
        <v>1.61315316148511</v>
      </c>
      <c r="E14" s="22">
        <v>1.68224141644796</v>
      </c>
      <c r="F14" s="22">
        <v>1.6946596742722499</v>
      </c>
      <c r="G14" s="22">
        <v>1.5893685161495901</v>
      </c>
      <c r="H14" s="22">
        <v>1.2932359360561201</v>
      </c>
      <c r="I14" s="22">
        <v>1.31087120078174</v>
      </c>
      <c r="J14" s="22">
        <v>1.2485138564716001</v>
      </c>
      <c r="K14" s="22">
        <v>1.62942761281082</v>
      </c>
    </row>
    <row r="15" spans="1:13">
      <c r="A15" s="69">
        <v>2000</v>
      </c>
      <c r="B15" s="146"/>
      <c r="C15" s="22">
        <v>1.16939341372304</v>
      </c>
      <c r="D15" s="22">
        <v>1.1405379636620201</v>
      </c>
      <c r="E15" s="22">
        <v>1.1893341262064201</v>
      </c>
      <c r="F15" s="22">
        <v>1.1977372956135699</v>
      </c>
      <c r="G15" s="22">
        <v>1.1237029977676201</v>
      </c>
      <c r="H15" s="22">
        <v>0.91321483742007903</v>
      </c>
      <c r="I15" s="22">
        <v>0.92492607284267403</v>
      </c>
      <c r="J15" s="22">
        <v>0.88147753659625205</v>
      </c>
      <c r="K15" s="22">
        <v>1.1521440251320001</v>
      </c>
      <c r="M15" s="131"/>
    </row>
    <row r="16" spans="1:13">
      <c r="A16" s="69">
        <v>5000</v>
      </c>
      <c r="B16" s="146"/>
      <c r="C16" s="22">
        <v>0.73943971005596498</v>
      </c>
      <c r="D16" s="22">
        <v>0.72117055326758595</v>
      </c>
      <c r="E16" s="22">
        <v>0.75196032024694504</v>
      </c>
      <c r="F16" s="22">
        <v>0.75679653178564299</v>
      </c>
      <c r="G16" s="22">
        <v>0.71021682966073596</v>
      </c>
      <c r="H16" s="22">
        <v>0.57599473315147898</v>
      </c>
      <c r="I16" s="22">
        <v>0.58052607079801699</v>
      </c>
      <c r="J16" s="22">
        <v>0.55549047407761698</v>
      </c>
      <c r="K16" s="22">
        <v>0.72863522246488799</v>
      </c>
    </row>
    <row r="17" spans="1:16">
      <c r="A17" s="69">
        <v>10000</v>
      </c>
      <c r="B17" s="146"/>
      <c r="C17" s="22">
        <v>0.52267763199703599</v>
      </c>
      <c r="D17" s="22">
        <v>0.50970551471314796</v>
      </c>
      <c r="E17" s="22">
        <v>0.53141834943870703</v>
      </c>
      <c r="F17" s="22">
        <v>0.53437238828592604</v>
      </c>
      <c r="G17" s="22">
        <v>0.50172818791294904</v>
      </c>
      <c r="H17" s="22">
        <v>0.405056000095881</v>
      </c>
      <c r="I17" s="22">
        <v>0.40550154859533699</v>
      </c>
      <c r="J17" s="22">
        <v>0.390144622333086</v>
      </c>
      <c r="K17" s="22">
        <v>0.51516766307064199</v>
      </c>
    </row>
    <row r="18" spans="1:16">
      <c r="A18" s="69">
        <v>20000</v>
      </c>
      <c r="B18" s="146"/>
      <c r="C18" s="22">
        <v>0.36932684451697301</v>
      </c>
      <c r="D18" s="22">
        <v>0.360099041759466</v>
      </c>
      <c r="E18" s="22">
        <v>0.375378013420477</v>
      </c>
      <c r="F18" s="22">
        <v>0.37659550067987901</v>
      </c>
      <c r="G18" s="22">
        <v>0.35406075462511999</v>
      </c>
      <c r="H18" s="22">
        <v>0.28336581828740398</v>
      </c>
      <c r="I18" s="22">
        <v>0.27920750136227102</v>
      </c>
      <c r="J18" s="22">
        <v>0.27238537270954499</v>
      </c>
      <c r="K18" s="22">
        <v>0.36419482697973798</v>
      </c>
    </row>
    <row r="19" spans="1:16">
      <c r="A19" s="69">
        <v>50000</v>
      </c>
      <c r="B19" s="146"/>
      <c r="C19" s="22">
        <v>0.23308488740268199</v>
      </c>
      <c r="D19" s="22">
        <v>0.22715716818370099</v>
      </c>
      <c r="E19" s="22">
        <v>0.23662728149810799</v>
      </c>
      <c r="F19" s="22">
        <v>0.23588303723290699</v>
      </c>
      <c r="G19" s="22">
        <v>0.22253587464136901</v>
      </c>
      <c r="H19" s="22">
        <v>0.17329651245684999</v>
      </c>
      <c r="I19" s="22">
        <v>0.16192640010519099</v>
      </c>
      <c r="J19" s="22">
        <v>0.165283441884372</v>
      </c>
      <c r="K19" s="22">
        <v>0.230185176056315</v>
      </c>
    </row>
    <row r="20" spans="1:16">
      <c r="A20" s="69">
        <v>100000</v>
      </c>
      <c r="B20" s="146"/>
      <c r="C20" s="22">
        <v>0.16422742448727501</v>
      </c>
      <c r="D20" s="22">
        <v>0.15992092010317099</v>
      </c>
      <c r="E20" s="22">
        <v>0.16639887090550201</v>
      </c>
      <c r="F20" s="22">
        <v>0.16403805160139801</v>
      </c>
      <c r="G20" s="22">
        <v>0.15571700031225999</v>
      </c>
      <c r="H20" s="22">
        <v>0.11529079613818401</v>
      </c>
      <c r="I20" s="22">
        <v>9.4864597599329595E-2</v>
      </c>
      <c r="J20" s="22">
        <v>0.108161317629897</v>
      </c>
      <c r="K20" s="22">
        <v>0.16258304173944299</v>
      </c>
    </row>
    <row r="21" spans="1:16">
      <c r="A21" s="69">
        <v>200000</v>
      </c>
      <c r="B21" s="146"/>
      <c r="C21" s="22">
        <v>0.11528358492324101</v>
      </c>
      <c r="D21" s="22">
        <v>0.112086507103133</v>
      </c>
      <c r="E21" s="22">
        <v>0.116356793194762</v>
      </c>
      <c r="F21" s="22">
        <v>0.111992499448265</v>
      </c>
      <c r="G21" s="22">
        <v>0.107752348133013</v>
      </c>
      <c r="H21" s="22">
        <v>7.0049905095923098E-2</v>
      </c>
      <c r="I21" s="22">
        <v>1.9244251856964101E-2</v>
      </c>
      <c r="J21" s="22">
        <v>6.23618302055087E-2</v>
      </c>
      <c r="K21" s="22">
        <v>0.11470864716487</v>
      </c>
    </row>
    <row r="22" spans="1:16">
      <c r="A22" s="69">
        <v>500000</v>
      </c>
      <c r="B22" s="146"/>
      <c r="C22" s="22">
        <v>7.1296607494479303E-2</v>
      </c>
      <c r="D22" s="22">
        <v>6.8959240488484203E-2</v>
      </c>
      <c r="E22" s="22">
        <v>7.1037878669383603E-2</v>
      </c>
      <c r="F22" s="22">
        <v>6.26525707482046E-2</v>
      </c>
      <c r="G22" s="22">
        <v>6.3468410515288495E-2</v>
      </c>
      <c r="H22" s="22" t="s">
        <v>502</v>
      </c>
      <c r="I22" s="22" t="s">
        <v>502</v>
      </c>
      <c r="J22" s="22" t="s">
        <v>502</v>
      </c>
      <c r="K22" s="22">
        <v>7.2060012670077098E-2</v>
      </c>
    </row>
    <row r="23" spans="1:16">
      <c r="A23" s="69">
        <v>800000</v>
      </c>
      <c r="B23" s="146"/>
      <c r="C23" s="22">
        <v>5.5058437701191003E-2</v>
      </c>
      <c r="D23" s="22">
        <v>5.2946905408078102E-2</v>
      </c>
      <c r="E23" s="22">
        <v>5.4072312337025003E-2</v>
      </c>
      <c r="F23" s="22">
        <v>4.2084448357212999E-2</v>
      </c>
      <c r="G23" s="22">
        <v>4.6180697099832198E-2</v>
      </c>
      <c r="H23" s="22" t="s">
        <v>502</v>
      </c>
      <c r="I23" s="22" t="s">
        <v>502</v>
      </c>
      <c r="J23" s="22" t="s">
        <v>502</v>
      </c>
      <c r="K23" s="22">
        <v>5.6579030579843002E-2</v>
      </c>
    </row>
    <row r="24" spans="1:16">
      <c r="A24" s="69">
        <v>1000000</v>
      </c>
      <c r="B24" s="146"/>
      <c r="C24" s="22">
        <v>4.8450123447172401E-2</v>
      </c>
      <c r="D24" s="22">
        <v>4.6398372942265897E-2</v>
      </c>
      <c r="E24" s="22">
        <v>4.7079125126015101E-2</v>
      </c>
      <c r="F24" s="22">
        <v>3.2436278042588099E-2</v>
      </c>
      <c r="G24" s="22">
        <v>3.8740108437155897E-2</v>
      </c>
      <c r="H24" s="22" t="s">
        <v>502</v>
      </c>
      <c r="I24" s="22" t="s">
        <v>502</v>
      </c>
      <c r="J24" s="22" t="s">
        <v>502</v>
      </c>
      <c r="K24" s="22">
        <v>5.0373092465364401E-2</v>
      </c>
      <c r="P24" s="4"/>
    </row>
    <row r="25" spans="1:16">
      <c r="A25" s="69">
        <v>1500000</v>
      </c>
      <c r="B25" s="146"/>
      <c r="C25" s="22">
        <v>3.7885346172883999E-2</v>
      </c>
      <c r="D25" s="22">
        <v>3.5850891193041197E-2</v>
      </c>
      <c r="E25" s="22">
        <v>3.5676747931884703E-2</v>
      </c>
      <c r="F25" s="22">
        <v>9.7609095317676402E-3</v>
      </c>
      <c r="G25" s="22">
        <v>2.5648872763193799E-2</v>
      </c>
      <c r="H25" s="22" t="s">
        <v>502</v>
      </c>
      <c r="I25" s="22" t="s">
        <v>502</v>
      </c>
      <c r="J25" s="22" t="s">
        <v>502</v>
      </c>
      <c r="K25" s="22">
        <v>4.0650178302875803E-2</v>
      </c>
    </row>
    <row r="26" spans="1:16">
      <c r="A26" s="69">
        <v>2000000</v>
      </c>
      <c r="B26" s="146"/>
      <c r="C26" s="22">
        <v>3.12950517166194E-2</v>
      </c>
      <c r="D26" s="22">
        <v>2.91782922021309E-2</v>
      </c>
      <c r="E26" s="22">
        <v>2.8302358615102299E-2</v>
      </c>
      <c r="F26" s="22" t="s">
        <v>502</v>
      </c>
      <c r="G26" s="22">
        <v>1.53862511042818E-2</v>
      </c>
      <c r="H26" s="22" t="s">
        <v>502</v>
      </c>
      <c r="I26" s="22" t="s">
        <v>502</v>
      </c>
      <c r="J26" s="22" t="s">
        <v>502</v>
      </c>
      <c r="K26" s="22">
        <v>3.4783481895824003E-2</v>
      </c>
    </row>
    <row r="27" spans="1:16">
      <c r="A27" s="69">
        <v>5000000</v>
      </c>
      <c r="B27" s="146"/>
      <c r="C27" s="22">
        <v>1.25964435732478E-2</v>
      </c>
      <c r="D27" s="22">
        <v>8.4079604607753995E-3</v>
      </c>
      <c r="E27" s="22" t="s">
        <v>502</v>
      </c>
      <c r="F27" s="22" t="s">
        <v>502</v>
      </c>
      <c r="G27" s="22" t="s">
        <v>502</v>
      </c>
      <c r="H27" s="22" t="s">
        <v>502</v>
      </c>
      <c r="I27" s="22" t="s">
        <v>502</v>
      </c>
      <c r="J27" s="22" t="s">
        <v>502</v>
      </c>
      <c r="K27" s="22">
        <v>2.0331156232889801E-2</v>
      </c>
    </row>
    <row r="28" spans="1:16">
      <c r="A28" s="69">
        <v>8000000</v>
      </c>
      <c r="B28" s="146"/>
      <c r="C28" s="22" t="s">
        <v>502</v>
      </c>
      <c r="D28" s="22" t="s">
        <v>502</v>
      </c>
      <c r="E28" s="22" t="s">
        <v>502</v>
      </c>
      <c r="F28" s="22" t="s">
        <v>502</v>
      </c>
      <c r="G28" s="22" t="s">
        <v>502</v>
      </c>
      <c r="H28" s="22" t="s">
        <v>502</v>
      </c>
      <c r="I28" s="22" t="s">
        <v>502</v>
      </c>
      <c r="J28" s="22" t="s">
        <v>502</v>
      </c>
      <c r="K28" s="22">
        <v>1.46366800800316E-2</v>
      </c>
    </row>
    <row r="29" spans="1:16">
      <c r="A29" s="69">
        <v>10000000</v>
      </c>
      <c r="B29" s="146"/>
      <c r="C29" s="22" t="s">
        <v>502</v>
      </c>
      <c r="D29" s="22" t="s">
        <v>502</v>
      </c>
      <c r="E29" s="22" t="s">
        <v>502</v>
      </c>
      <c r="F29" s="22" t="s">
        <v>502</v>
      </c>
      <c r="G29" s="22" t="s">
        <v>502</v>
      </c>
      <c r="H29" s="22" t="s">
        <v>502</v>
      </c>
      <c r="I29" s="22" t="s">
        <v>502</v>
      </c>
      <c r="J29" s="22" t="s">
        <v>502</v>
      </c>
      <c r="K29" s="22">
        <v>1.21594604826003E-2</v>
      </c>
    </row>
    <row r="30" spans="1:16">
      <c r="A30" s="69">
        <v>20000000</v>
      </c>
      <c r="B30" s="146"/>
      <c r="C30" s="22" t="s">
        <v>502</v>
      </c>
      <c r="D30" s="22" t="s">
        <v>502</v>
      </c>
      <c r="E30" s="22" t="s">
        <v>502</v>
      </c>
      <c r="F30" s="22" t="s">
        <v>502</v>
      </c>
      <c r="G30" s="22" t="s">
        <v>502</v>
      </c>
      <c r="H30" s="22" t="s">
        <v>502</v>
      </c>
      <c r="I30" s="22" t="s">
        <v>502</v>
      </c>
      <c r="J30" s="22" t="s">
        <v>502</v>
      </c>
      <c r="K30" s="22">
        <v>3.8854466996460302E-3</v>
      </c>
    </row>
    <row r="31" spans="1:16">
      <c r="A31" s="69"/>
      <c r="B31" s="69"/>
      <c r="C31" s="22"/>
      <c r="D31" s="22"/>
      <c r="E31" s="22"/>
      <c r="F31" s="22"/>
      <c r="G31" s="22"/>
      <c r="H31" s="22"/>
      <c r="I31" s="22"/>
      <c r="J31" s="22"/>
      <c r="K31" s="22"/>
    </row>
    <row r="32" spans="1:16">
      <c r="A32" s="196" t="s">
        <v>503</v>
      </c>
      <c r="B32" s="196"/>
      <c r="C32" s="196"/>
      <c r="D32" s="196"/>
      <c r="E32" s="196"/>
      <c r="F32" s="196"/>
      <c r="G32" s="196"/>
      <c r="H32" s="196"/>
      <c r="I32" s="196"/>
      <c r="J32" s="196"/>
      <c r="K32" s="196"/>
    </row>
    <row r="33" spans="1:11">
      <c r="A33" s="34" t="s">
        <v>492</v>
      </c>
      <c r="B33" s="34"/>
      <c r="C33" s="71" t="s">
        <v>504</v>
      </c>
      <c r="D33" s="71" t="s">
        <v>505</v>
      </c>
      <c r="E33" s="71" t="s">
        <v>506</v>
      </c>
      <c r="F33" s="71" t="s">
        <v>507</v>
      </c>
      <c r="G33" s="71" t="s">
        <v>508</v>
      </c>
      <c r="H33" s="71" t="s">
        <v>509</v>
      </c>
      <c r="I33" s="71" t="s">
        <v>510</v>
      </c>
      <c r="J33" s="71" t="s">
        <v>511</v>
      </c>
      <c r="K33" s="71" t="s">
        <v>512</v>
      </c>
    </row>
    <row r="34" spans="1:11">
      <c r="A34" s="70">
        <v>1000</v>
      </c>
      <c r="B34" s="70"/>
      <c r="C34" s="15">
        <v>1653.93928430239</v>
      </c>
      <c r="D34" s="15">
        <v>1613.1531614851101</v>
      </c>
      <c r="E34" s="15">
        <v>1682.2414164479601</v>
      </c>
      <c r="F34" s="15">
        <v>1694.65967427225</v>
      </c>
      <c r="G34" s="15">
        <v>1589.3685161495901</v>
      </c>
      <c r="H34" s="15">
        <v>1293.23593605612</v>
      </c>
      <c r="I34" s="15">
        <v>1310.8712007817401</v>
      </c>
      <c r="J34" s="15">
        <v>1248.5138564716001</v>
      </c>
      <c r="K34" s="15">
        <v>1629.4276128108199</v>
      </c>
    </row>
    <row r="35" spans="1:11">
      <c r="A35" s="70">
        <v>2000</v>
      </c>
      <c r="B35" s="70"/>
      <c r="C35" s="15">
        <v>2338.7868274460898</v>
      </c>
      <c r="D35" s="15">
        <v>2281.0759273240301</v>
      </c>
      <c r="E35" s="15">
        <v>2378.66825241284</v>
      </c>
      <c r="F35" s="15">
        <v>2395.4745912271301</v>
      </c>
      <c r="G35" s="15">
        <v>2247.40599553523</v>
      </c>
      <c r="H35" s="15">
        <v>1826.42967484016</v>
      </c>
      <c r="I35" s="15">
        <v>1849.85214568535</v>
      </c>
      <c r="J35" s="15">
        <v>1762.9550731925001</v>
      </c>
      <c r="K35" s="15">
        <v>2304.288050264</v>
      </c>
    </row>
    <row r="36" spans="1:11">
      <c r="A36" s="70">
        <v>5000</v>
      </c>
      <c r="B36" s="70"/>
      <c r="C36" s="15">
        <v>3697.1985502798202</v>
      </c>
      <c r="D36" s="15">
        <v>3605.85276633793</v>
      </c>
      <c r="E36" s="15">
        <v>3759.8016012347298</v>
      </c>
      <c r="F36" s="15">
        <v>3783.9826589282102</v>
      </c>
      <c r="G36" s="15">
        <v>3551.0841483036802</v>
      </c>
      <c r="H36" s="15">
        <v>2879.9736657573999</v>
      </c>
      <c r="I36" s="15">
        <v>2902.63035399009</v>
      </c>
      <c r="J36" s="15">
        <v>2777.45237038808</v>
      </c>
      <c r="K36" s="15">
        <v>3643.1761123244401</v>
      </c>
    </row>
    <row r="37" spans="1:11">
      <c r="A37" s="70">
        <v>10000</v>
      </c>
      <c r="B37" s="70"/>
      <c r="C37" s="15">
        <v>5226.7763199703604</v>
      </c>
      <c r="D37" s="15">
        <v>5097.0551471314802</v>
      </c>
      <c r="E37" s="15">
        <v>5314.1834943870699</v>
      </c>
      <c r="F37" s="15">
        <v>5343.7238828592599</v>
      </c>
      <c r="G37" s="15">
        <v>5017.2818791294903</v>
      </c>
      <c r="H37" s="15">
        <v>4050.5600009588102</v>
      </c>
      <c r="I37" s="15">
        <v>4055.01548595337</v>
      </c>
      <c r="J37" s="15">
        <v>3901.44622333086</v>
      </c>
      <c r="K37" s="15">
        <v>5151.6766307064199</v>
      </c>
    </row>
    <row r="38" spans="1:11">
      <c r="A38" s="70">
        <v>20000</v>
      </c>
      <c r="B38" s="70"/>
      <c r="C38" s="15">
        <v>7386.5368903394501</v>
      </c>
      <c r="D38" s="15">
        <v>7201.9808351893098</v>
      </c>
      <c r="E38" s="15">
        <v>7507.5602684095502</v>
      </c>
      <c r="F38" s="15">
        <v>7531.9100135975796</v>
      </c>
      <c r="G38" s="15">
        <v>7081.2150925023998</v>
      </c>
      <c r="H38" s="15">
        <v>5667.31636574808</v>
      </c>
      <c r="I38" s="15">
        <v>5584.1500272454196</v>
      </c>
      <c r="J38" s="15">
        <v>5447.7074541908996</v>
      </c>
      <c r="K38" s="15">
        <v>7283.8965395947598</v>
      </c>
    </row>
    <row r="39" spans="1:11">
      <c r="A39" s="70">
        <v>50000</v>
      </c>
      <c r="B39" s="70"/>
      <c r="C39" s="15">
        <v>11654.2443701341</v>
      </c>
      <c r="D39" s="15">
        <v>11357.858409185101</v>
      </c>
      <c r="E39" s="15">
        <v>11831.364074905399</v>
      </c>
      <c r="F39" s="15">
        <v>11794.1518616454</v>
      </c>
      <c r="G39" s="15">
        <v>11126.7937320685</v>
      </c>
      <c r="H39" s="15">
        <v>8664.8256228425107</v>
      </c>
      <c r="I39" s="15">
        <v>8096.3200052595403</v>
      </c>
      <c r="J39" s="15">
        <v>8264.1720942186003</v>
      </c>
      <c r="K39" s="15">
        <v>11509.258802815801</v>
      </c>
    </row>
    <row r="40" spans="1:11">
      <c r="A40" s="70">
        <v>100000</v>
      </c>
      <c r="B40" s="70"/>
      <c r="C40" s="15">
        <v>16422.742448727498</v>
      </c>
      <c r="D40" s="15">
        <v>15992.092010317099</v>
      </c>
      <c r="E40" s="15">
        <v>16639.887090550201</v>
      </c>
      <c r="F40" s="15">
        <v>16403.8051601398</v>
      </c>
      <c r="G40" s="15">
        <v>15571.700031226001</v>
      </c>
      <c r="H40" s="15">
        <v>11529.0796138184</v>
      </c>
      <c r="I40" s="15">
        <v>9486.4597599329609</v>
      </c>
      <c r="J40" s="15">
        <v>10816.1317629897</v>
      </c>
      <c r="K40" s="15">
        <v>16258.3041739443</v>
      </c>
    </row>
    <row r="41" spans="1:11">
      <c r="A41" s="70">
        <v>200000</v>
      </c>
      <c r="B41" s="70"/>
      <c r="C41" s="15">
        <v>23056.716984648101</v>
      </c>
      <c r="D41" s="15">
        <v>22417.3014206265</v>
      </c>
      <c r="E41" s="15">
        <v>23271.358638952501</v>
      </c>
      <c r="F41" s="15">
        <v>22398.499889653001</v>
      </c>
      <c r="G41" s="15">
        <v>21550.469626602699</v>
      </c>
      <c r="H41" s="15">
        <v>14009.981019184601</v>
      </c>
      <c r="I41" s="15">
        <v>3848.8503713928199</v>
      </c>
      <c r="J41" s="15">
        <v>12472.366041101701</v>
      </c>
      <c r="K41" s="15">
        <v>22941.729432973902</v>
      </c>
    </row>
    <row r="42" spans="1:11">
      <c r="A42" s="70">
        <v>500000</v>
      </c>
      <c r="B42" s="70"/>
      <c r="C42" s="15">
        <v>35648.303747239697</v>
      </c>
      <c r="D42" s="15">
        <v>34479.620244242098</v>
      </c>
      <c r="E42" s="15">
        <v>35518.9393346918</v>
      </c>
      <c r="F42" s="15">
        <v>31326.285374102299</v>
      </c>
      <c r="G42" s="15">
        <v>31734.205257644298</v>
      </c>
      <c r="H42" s="15" t="s">
        <v>502</v>
      </c>
      <c r="I42" s="15" t="s">
        <v>502</v>
      </c>
      <c r="J42" s="15" t="s">
        <v>502</v>
      </c>
      <c r="K42" s="15">
        <v>36030.006335038503</v>
      </c>
    </row>
    <row r="43" spans="1:11">
      <c r="A43" s="70">
        <v>800000</v>
      </c>
      <c r="B43" s="70"/>
      <c r="C43" s="15">
        <v>44046.750160952797</v>
      </c>
      <c r="D43" s="15">
        <v>42357.524326462502</v>
      </c>
      <c r="E43" s="15">
        <v>43257.849869619997</v>
      </c>
      <c r="F43" s="15">
        <v>33667.558685770397</v>
      </c>
      <c r="G43" s="15">
        <v>36944.5576798658</v>
      </c>
      <c r="H43" s="15" t="s">
        <v>502</v>
      </c>
      <c r="I43" s="15" t="s">
        <v>502</v>
      </c>
      <c r="J43" s="15" t="s">
        <v>502</v>
      </c>
      <c r="K43" s="15">
        <v>45263.224463874401</v>
      </c>
    </row>
    <row r="44" spans="1:11">
      <c r="A44" s="70">
        <v>1000000</v>
      </c>
      <c r="B44" s="70"/>
      <c r="C44" s="15">
        <v>48450.123447172402</v>
      </c>
      <c r="D44" s="15">
        <v>46398.372942265902</v>
      </c>
      <c r="E44" s="15">
        <v>47079.125126015097</v>
      </c>
      <c r="F44" s="15">
        <v>32436.278042588099</v>
      </c>
      <c r="G44" s="15">
        <v>38740.108437155897</v>
      </c>
      <c r="H44" s="15" t="s">
        <v>502</v>
      </c>
      <c r="I44" s="15" t="s">
        <v>502</v>
      </c>
      <c r="J44" s="15" t="s">
        <v>502</v>
      </c>
      <c r="K44" s="15">
        <v>50373.092465364403</v>
      </c>
    </row>
    <row r="45" spans="1:11">
      <c r="A45" s="70">
        <v>1500000</v>
      </c>
      <c r="B45" s="70"/>
      <c r="C45" s="15">
        <v>56828.019259326102</v>
      </c>
      <c r="D45" s="15">
        <v>53776.336789561901</v>
      </c>
      <c r="E45" s="15">
        <v>53515.121897827099</v>
      </c>
      <c r="F45" s="15">
        <v>14641.3642976515</v>
      </c>
      <c r="G45" s="15">
        <v>38473.309144790699</v>
      </c>
      <c r="H45" s="15" t="s">
        <v>502</v>
      </c>
      <c r="I45" s="15" t="s">
        <v>502</v>
      </c>
      <c r="J45" s="15" t="s">
        <v>502</v>
      </c>
      <c r="K45" s="15">
        <v>60975.267454313696</v>
      </c>
    </row>
    <row r="46" spans="1:11">
      <c r="A46" s="70">
        <v>2000000</v>
      </c>
      <c r="B46" s="70"/>
      <c r="C46" s="15">
        <v>62590.103433238903</v>
      </c>
      <c r="D46" s="15">
        <v>58356.584404261797</v>
      </c>
      <c r="E46" s="15">
        <v>56604.717230204602</v>
      </c>
      <c r="F46" s="15" t="s">
        <v>502</v>
      </c>
      <c r="G46" s="15">
        <v>30772.502208563699</v>
      </c>
      <c r="H46" s="15" t="s">
        <v>502</v>
      </c>
      <c r="I46" s="15" t="s">
        <v>502</v>
      </c>
      <c r="J46" s="15" t="s">
        <v>502</v>
      </c>
      <c r="K46" s="15">
        <v>69566.963791647999</v>
      </c>
    </row>
    <row r="47" spans="1:11">
      <c r="A47" s="70">
        <v>5000000</v>
      </c>
      <c r="B47" s="70"/>
      <c r="C47" s="15">
        <v>62982.217866239</v>
      </c>
      <c r="D47" s="15">
        <v>42039.802303876997</v>
      </c>
      <c r="E47" s="15" t="s">
        <v>502</v>
      </c>
      <c r="F47" s="15" t="s">
        <v>502</v>
      </c>
      <c r="G47" s="15" t="s">
        <v>502</v>
      </c>
      <c r="H47" s="15" t="s">
        <v>502</v>
      </c>
      <c r="I47" s="15" t="s">
        <v>502</v>
      </c>
      <c r="J47" s="15" t="s">
        <v>502</v>
      </c>
      <c r="K47" s="15">
        <v>101655.781164449</v>
      </c>
    </row>
    <row r="48" spans="1:11">
      <c r="A48" s="70">
        <v>8000000</v>
      </c>
      <c r="B48" s="70"/>
      <c r="C48" s="15" t="s">
        <v>502</v>
      </c>
      <c r="D48" s="15" t="s">
        <v>502</v>
      </c>
      <c r="E48" s="15" t="s">
        <v>502</v>
      </c>
      <c r="F48" s="15" t="s">
        <v>502</v>
      </c>
      <c r="G48" s="15" t="s">
        <v>502</v>
      </c>
      <c r="H48" s="15" t="s">
        <v>502</v>
      </c>
      <c r="I48" s="15" t="s">
        <v>502</v>
      </c>
      <c r="J48" s="15" t="s">
        <v>502</v>
      </c>
      <c r="K48" s="15">
        <v>117093.440640253</v>
      </c>
    </row>
    <row r="49" spans="1:11">
      <c r="A49" s="70">
        <v>10000000</v>
      </c>
      <c r="B49" s="70"/>
      <c r="C49" s="15" t="s">
        <v>502</v>
      </c>
      <c r="D49" s="15" t="s">
        <v>502</v>
      </c>
      <c r="E49" s="15" t="s">
        <v>502</v>
      </c>
      <c r="F49" s="15" t="s">
        <v>502</v>
      </c>
      <c r="G49" s="15" t="s">
        <v>502</v>
      </c>
      <c r="H49" s="15" t="s">
        <v>502</v>
      </c>
      <c r="I49" s="15" t="s">
        <v>502</v>
      </c>
      <c r="J49" s="15" t="s">
        <v>502</v>
      </c>
      <c r="K49" s="15">
        <v>121594.60482600299</v>
      </c>
    </row>
    <row r="50" spans="1:11">
      <c r="A50" s="70">
        <v>20000000</v>
      </c>
      <c r="B50" s="70"/>
      <c r="C50" s="15" t="s">
        <v>502</v>
      </c>
      <c r="D50" s="15" t="s">
        <v>502</v>
      </c>
      <c r="E50" s="15" t="s">
        <v>502</v>
      </c>
      <c r="F50" s="15" t="s">
        <v>502</v>
      </c>
      <c r="G50" s="15" t="s">
        <v>502</v>
      </c>
      <c r="H50" s="15" t="s">
        <v>502</v>
      </c>
      <c r="I50" s="15" t="s">
        <v>502</v>
      </c>
      <c r="J50" s="15" t="s">
        <v>502</v>
      </c>
      <c r="K50" s="15">
        <v>77708.933992920603</v>
      </c>
    </row>
    <row r="51" spans="1:11">
      <c r="A51" s="1" t="s">
        <v>513</v>
      </c>
    </row>
    <row r="53" spans="1:11">
      <c r="A53" s="196" t="s">
        <v>514</v>
      </c>
      <c r="B53" s="196"/>
      <c r="C53" s="196"/>
      <c r="D53" s="196"/>
      <c r="E53" s="196"/>
      <c r="F53" s="196"/>
      <c r="G53" s="196"/>
      <c r="H53" s="196"/>
      <c r="I53" s="196"/>
      <c r="J53" s="196"/>
      <c r="K53" s="196"/>
    </row>
    <row r="54" spans="1:11">
      <c r="A54" s="34" t="s">
        <v>515</v>
      </c>
      <c r="B54" s="34"/>
      <c r="C54" s="71" t="s">
        <v>504</v>
      </c>
      <c r="D54" s="71" t="s">
        <v>505</v>
      </c>
      <c r="E54" s="71" t="s">
        <v>506</v>
      </c>
      <c r="F54" s="71" t="s">
        <v>507</v>
      </c>
      <c r="G54" s="71" t="s">
        <v>508</v>
      </c>
      <c r="H54" s="71" t="s">
        <v>509</v>
      </c>
      <c r="I54" s="71" t="s">
        <v>510</v>
      </c>
      <c r="J54" s="71" t="s">
        <v>511</v>
      </c>
      <c r="K54" s="71" t="s">
        <v>512</v>
      </c>
    </row>
    <row r="55" spans="1:11">
      <c r="A55" s="70" t="s">
        <v>516</v>
      </c>
      <c r="B55" s="70"/>
      <c r="C55" s="11">
        <v>10926.703662412199</v>
      </c>
      <c r="D55" s="11">
        <v>10392.041692896901</v>
      </c>
      <c r="E55" s="11">
        <v>11294.4438488505</v>
      </c>
      <c r="F55" s="11">
        <v>11411.3310255823</v>
      </c>
      <c r="G55" s="11">
        <v>10069.4056509775</v>
      </c>
      <c r="H55" s="11">
        <v>6611.3166963231497</v>
      </c>
      <c r="I55" s="11">
        <v>6681.1289904499699</v>
      </c>
      <c r="J55" s="11">
        <v>6152.5712767039904</v>
      </c>
      <c r="K55" s="11">
        <v>10615.676462653</v>
      </c>
    </row>
    <row r="56" spans="1:11">
      <c r="A56" s="70" t="s">
        <v>517</v>
      </c>
      <c r="B56" s="70"/>
      <c r="C56" s="11">
        <v>2735.3060455534701</v>
      </c>
      <c r="D56" s="11">
        <v>2601.3872291316602</v>
      </c>
      <c r="E56" s="11">
        <v>2829.1194448900501</v>
      </c>
      <c r="F56" s="11">
        <v>2868.3598543252401</v>
      </c>
      <c r="G56" s="11">
        <v>2525.2936593273398</v>
      </c>
      <c r="H56" s="11">
        <v>1670.3902422118999</v>
      </c>
      <c r="I56" s="11">
        <v>1711.40323917559</v>
      </c>
      <c r="J56" s="11">
        <v>1556.7901989204299</v>
      </c>
      <c r="K56" s="11">
        <v>2655.4904152711802</v>
      </c>
    </row>
    <row r="58" spans="1:11">
      <c r="A58" s="1" t="s">
        <v>121</v>
      </c>
    </row>
    <row r="59" spans="1:11">
      <c r="A59" s="1" t="s">
        <v>122</v>
      </c>
    </row>
    <row r="61" spans="1:11">
      <c r="A61" s="196" t="s">
        <v>518</v>
      </c>
      <c r="B61" s="196"/>
      <c r="C61" s="196"/>
      <c r="D61" s="196"/>
      <c r="E61" s="196"/>
      <c r="F61" s="196"/>
      <c r="G61" s="196"/>
      <c r="H61" s="196"/>
      <c r="I61" s="196"/>
      <c r="J61" s="196"/>
      <c r="K61" s="196"/>
    </row>
    <row r="62" spans="1:11">
      <c r="A62" s="34" t="s">
        <v>492</v>
      </c>
      <c r="B62" s="34"/>
      <c r="C62" s="71" t="s">
        <v>493</v>
      </c>
      <c r="D62" s="71" t="s">
        <v>494</v>
      </c>
      <c r="E62" s="71" t="s">
        <v>495</v>
      </c>
      <c r="F62" s="71" t="s">
        <v>496</v>
      </c>
      <c r="G62" s="71" t="s">
        <v>497</v>
      </c>
      <c r="H62" s="71" t="s">
        <v>498</v>
      </c>
      <c r="I62" s="71" t="s">
        <v>499</v>
      </c>
      <c r="J62" s="71" t="s">
        <v>500</v>
      </c>
      <c r="K62" s="71" t="s">
        <v>501</v>
      </c>
    </row>
    <row r="63" spans="1:11">
      <c r="A63" s="70">
        <v>1000</v>
      </c>
      <c r="B63" s="70"/>
      <c r="C63" s="22">
        <v>1.48082921887849</v>
      </c>
      <c r="D63" s="22">
        <v>1.44001236582902</v>
      </c>
      <c r="E63" s="22">
        <v>1.5490016835284</v>
      </c>
      <c r="F63" s="22">
        <v>1.6138613665777499</v>
      </c>
      <c r="G63" s="22">
        <v>1.5297642208714901</v>
      </c>
      <c r="H63" s="22">
        <v>1.26051083947216</v>
      </c>
      <c r="I63" s="22">
        <v>1.3367925380343599</v>
      </c>
      <c r="J63" s="22">
        <v>1.2278843112161799</v>
      </c>
      <c r="K63" s="22">
        <v>1.4910194014354401</v>
      </c>
    </row>
    <row r="64" spans="1:11">
      <c r="A64" s="70">
        <v>2000</v>
      </c>
      <c r="B64" s="70"/>
      <c r="C64" s="22">
        <v>1.04670616817902</v>
      </c>
      <c r="D64" s="22">
        <v>1.01779344930755</v>
      </c>
      <c r="E64" s="22">
        <v>1.09497022667794</v>
      </c>
      <c r="F64" s="22">
        <v>1.1386941974985201</v>
      </c>
      <c r="G64" s="22">
        <v>1.08110217990663</v>
      </c>
      <c r="H64" s="22">
        <v>0.88527287394659104</v>
      </c>
      <c r="I64" s="22">
        <v>0.93677727349798101</v>
      </c>
      <c r="J64" s="22">
        <v>0.86406098380943297</v>
      </c>
      <c r="K64" s="22">
        <v>1.0542467272901299</v>
      </c>
    </row>
    <row r="65" spans="1:11">
      <c r="A65" s="70">
        <v>5000</v>
      </c>
      <c r="B65" s="70"/>
      <c r="C65" s="22">
        <v>0.66136505484016095</v>
      </c>
      <c r="D65" s="22">
        <v>0.64299852314316597</v>
      </c>
      <c r="E65" s="22">
        <v>0.69144580262884803</v>
      </c>
      <c r="F65" s="22">
        <v>0.71702856727418796</v>
      </c>
      <c r="G65" s="22">
        <v>0.68183432349705397</v>
      </c>
      <c r="H65" s="22">
        <v>0.55087495204903802</v>
      </c>
      <c r="I65" s="22">
        <v>0.57330880460282196</v>
      </c>
      <c r="J65" s="22">
        <v>0.535763811859997</v>
      </c>
      <c r="K65" s="22">
        <v>0.66652428842209599</v>
      </c>
    </row>
    <row r="66" spans="1:11">
      <c r="A66" s="70">
        <v>10000</v>
      </c>
      <c r="B66" s="70"/>
      <c r="C66" s="22">
        <v>0.46685271892522001</v>
      </c>
      <c r="D66" s="22">
        <v>0.45366204267619598</v>
      </c>
      <c r="E66" s="22">
        <v>0.487708265488075</v>
      </c>
      <c r="F66" s="22">
        <v>0.50253871419442897</v>
      </c>
      <c r="G66" s="22">
        <v>0.479955458996636</v>
      </c>
      <c r="H66" s="22">
        <v>0.37834247039331498</v>
      </c>
      <c r="I66" s="22">
        <v>0.38520904452997901</v>
      </c>
      <c r="J66" s="22">
        <v>0.36718273720442002</v>
      </c>
      <c r="K66" s="22">
        <v>0.47107758210856499</v>
      </c>
    </row>
    <row r="67" spans="1:11">
      <c r="A67" s="70">
        <v>20000</v>
      </c>
      <c r="B67" s="70"/>
      <c r="C67" s="22">
        <v>0.329039531259956</v>
      </c>
      <c r="D67" s="22">
        <v>0.319502352428368</v>
      </c>
      <c r="E67" s="22">
        <v>0.34313318019623501</v>
      </c>
      <c r="F67" s="22">
        <v>0.349739522698789</v>
      </c>
      <c r="G67" s="22">
        <v>0.33608943058151203</v>
      </c>
      <c r="H67" s="22">
        <v>0.250964003310154</v>
      </c>
      <c r="I67" s="22">
        <v>0.23799573691770901</v>
      </c>
      <c r="J67" s="22">
        <v>0.24155927811995501</v>
      </c>
      <c r="K67" s="22">
        <v>0.33274189077157101</v>
      </c>
    </row>
    <row r="68" spans="1:11">
      <c r="A68" s="70">
        <v>50000</v>
      </c>
      <c r="B68" s="70"/>
      <c r="C68" s="22">
        <v>0.20596842695088199</v>
      </c>
      <c r="D68" s="22">
        <v>0.19952113596278001</v>
      </c>
      <c r="E68" s="22">
        <v>0.213703054791646</v>
      </c>
      <c r="F68" s="22">
        <v>0.209385509600478</v>
      </c>
      <c r="G68" s="22">
        <v>0.20644614787351601</v>
      </c>
      <c r="H68" s="22">
        <v>0.122011780537556</v>
      </c>
      <c r="I68" s="22">
        <v>4.7262753434183402E-2</v>
      </c>
      <c r="J68" s="22">
        <v>0.111006968746562</v>
      </c>
      <c r="K68" s="22">
        <v>0.20979753160350301</v>
      </c>
    </row>
    <row r="69" spans="1:11">
      <c r="A69" s="70">
        <v>100000</v>
      </c>
      <c r="B69" s="70"/>
      <c r="C69" s="22">
        <v>0.143129673001095</v>
      </c>
      <c r="D69" s="22">
        <v>0.138069491721768</v>
      </c>
      <c r="E69" s="22">
        <v>0.14712308130444501</v>
      </c>
      <c r="F69" s="22">
        <v>0.13340467205210099</v>
      </c>
      <c r="G69" s="22">
        <v>0.13844107686670101</v>
      </c>
      <c r="H69" s="22" t="s">
        <v>502</v>
      </c>
      <c r="I69" s="22" t="s">
        <v>502</v>
      </c>
      <c r="J69" s="22" t="s">
        <v>502</v>
      </c>
      <c r="K69" s="22">
        <v>0.14756564562497199</v>
      </c>
    </row>
    <row r="70" spans="1:11">
      <c r="A70" s="70">
        <v>200000</v>
      </c>
      <c r="B70" s="70"/>
      <c r="C70" s="22">
        <v>9.7537118901486405E-2</v>
      </c>
      <c r="D70" s="22">
        <v>9.3197979921418594E-2</v>
      </c>
      <c r="E70" s="22">
        <v>9.8149395133791201E-2</v>
      </c>
      <c r="F70" s="22">
        <v>6.8684541013057904E-2</v>
      </c>
      <c r="G70" s="22">
        <v>8.6249009618145397E-2</v>
      </c>
      <c r="H70" s="22" t="s">
        <v>502</v>
      </c>
      <c r="I70" s="22" t="s">
        <v>502</v>
      </c>
      <c r="J70" s="22" t="s">
        <v>502</v>
      </c>
      <c r="K70" s="22">
        <v>0.103234006881887</v>
      </c>
    </row>
    <row r="71" spans="1:11">
      <c r="A71" s="70">
        <v>500000</v>
      </c>
      <c r="B71" s="70"/>
      <c r="C71" s="22">
        <v>5.41133417490271E-2</v>
      </c>
      <c r="D71" s="22">
        <v>4.95746125438941E-2</v>
      </c>
      <c r="E71" s="22">
        <v>4.9256120357771299E-2</v>
      </c>
      <c r="F71" s="22" t="s">
        <v>502</v>
      </c>
      <c r="G71" s="22">
        <v>2.0066579124766198E-2</v>
      </c>
      <c r="H71" s="22" t="s">
        <v>502</v>
      </c>
      <c r="I71" s="22" t="s">
        <v>502</v>
      </c>
      <c r="J71" s="22" t="s">
        <v>502</v>
      </c>
      <c r="K71" s="22">
        <v>6.3140933511513897E-2</v>
      </c>
    </row>
    <row r="72" spans="1:11">
      <c r="A72" s="70">
        <v>800000</v>
      </c>
      <c r="B72" s="70"/>
      <c r="C72" s="22">
        <v>3.5818808393155002E-2</v>
      </c>
      <c r="D72" s="22">
        <v>3.00288157027448E-2</v>
      </c>
      <c r="E72" s="22">
        <v>2.4987612923040602E-2</v>
      </c>
      <c r="F72" s="22" t="s">
        <v>502</v>
      </c>
      <c r="G72" s="22" t="s">
        <v>502</v>
      </c>
      <c r="H72" s="22" t="s">
        <v>502</v>
      </c>
      <c r="I72" s="22" t="s">
        <v>502</v>
      </c>
      <c r="J72" s="22" t="s">
        <v>502</v>
      </c>
      <c r="K72" s="22">
        <v>4.81576246471987E-2</v>
      </c>
    </row>
    <row r="73" spans="1:11">
      <c r="A73" s="70">
        <v>1000000</v>
      </c>
      <c r="B73" s="70"/>
      <c r="C73" s="22">
        <v>2.7102855837073898E-2</v>
      </c>
      <c r="D73" s="22">
        <v>1.9549373194634598E-2</v>
      </c>
      <c r="E73" s="22">
        <v>4.8770826548810101E-3</v>
      </c>
      <c r="F73" s="22" t="s">
        <v>502</v>
      </c>
      <c r="G73" s="22" t="s">
        <v>502</v>
      </c>
      <c r="H73" s="22" t="s">
        <v>502</v>
      </c>
      <c r="I73" s="22" t="s">
        <v>502</v>
      </c>
      <c r="J73" s="22" t="s">
        <v>502</v>
      </c>
      <c r="K73" s="22">
        <v>4.19893506301523E-2</v>
      </c>
    </row>
    <row r="74" spans="1:11">
      <c r="A74" s="70">
        <v>1500000</v>
      </c>
      <c r="B74" s="70"/>
      <c r="C74" s="22">
        <v>1.6671185099112001E-3</v>
      </c>
      <c r="D74" s="22" t="s">
        <v>502</v>
      </c>
      <c r="E74" s="22" t="s">
        <v>502</v>
      </c>
      <c r="F74" s="22" t="s">
        <v>502</v>
      </c>
      <c r="G74" s="22" t="s">
        <v>502</v>
      </c>
      <c r="H74" s="22" t="s">
        <v>502</v>
      </c>
      <c r="I74" s="22" t="s">
        <v>502</v>
      </c>
      <c r="J74" s="22" t="s">
        <v>502</v>
      </c>
      <c r="K74" s="22">
        <v>3.1966882762523602E-2</v>
      </c>
    </row>
    <row r="75" spans="1:11">
      <c r="A75" s="70">
        <v>2000000</v>
      </c>
      <c r="B75" s="70"/>
      <c r="C75" s="22" t="s">
        <v>502</v>
      </c>
      <c r="D75" s="22" t="s">
        <v>502</v>
      </c>
      <c r="E75" s="22" t="s">
        <v>502</v>
      </c>
      <c r="F75" s="22" t="s">
        <v>502</v>
      </c>
      <c r="G75" s="22" t="s">
        <v>502</v>
      </c>
      <c r="H75" s="22" t="s">
        <v>502</v>
      </c>
      <c r="I75" s="22" t="s">
        <v>502</v>
      </c>
      <c r="J75" s="22" t="s">
        <v>502</v>
      </c>
      <c r="K75" s="22">
        <v>2.5519984466269598E-2</v>
      </c>
    </row>
    <row r="77" spans="1:11">
      <c r="A77" s="196" t="s">
        <v>519</v>
      </c>
      <c r="B77" s="196"/>
      <c r="C77" s="196"/>
      <c r="D77" s="196"/>
      <c r="E77" s="196"/>
      <c r="F77" s="196"/>
      <c r="G77" s="196"/>
      <c r="H77" s="196"/>
      <c r="I77" s="196"/>
      <c r="J77" s="196"/>
      <c r="K77" s="196"/>
    </row>
    <row r="78" spans="1:11">
      <c r="A78" s="34" t="s">
        <v>492</v>
      </c>
      <c r="B78" s="34"/>
      <c r="C78" s="7" t="s">
        <v>504</v>
      </c>
      <c r="D78" s="7" t="s">
        <v>505</v>
      </c>
      <c r="E78" s="7" t="s">
        <v>506</v>
      </c>
      <c r="F78" s="7" t="s">
        <v>507</v>
      </c>
      <c r="G78" s="7" t="s">
        <v>508</v>
      </c>
      <c r="H78" s="7" t="s">
        <v>509</v>
      </c>
      <c r="I78" s="7" t="s">
        <v>510</v>
      </c>
      <c r="J78" s="7" t="s">
        <v>511</v>
      </c>
      <c r="K78" s="7" t="s">
        <v>512</v>
      </c>
    </row>
    <row r="79" spans="1:11">
      <c r="A79" s="70">
        <v>1000</v>
      </c>
      <c r="B79" s="70"/>
      <c r="C79" s="15">
        <v>1480.8292188784901</v>
      </c>
      <c r="D79" s="15">
        <v>1440.0123658290199</v>
      </c>
      <c r="E79" s="15">
        <v>1549.0016835284</v>
      </c>
      <c r="F79" s="15">
        <v>1613.86136657775</v>
      </c>
      <c r="G79" s="15">
        <v>1529.7642208714899</v>
      </c>
      <c r="H79" s="15">
        <v>1260.5108394721599</v>
      </c>
      <c r="I79" s="15">
        <v>1336.7925380343599</v>
      </c>
      <c r="J79" s="15">
        <v>1227.8843112161801</v>
      </c>
      <c r="K79" s="15">
        <v>1491.0194014354399</v>
      </c>
    </row>
    <row r="80" spans="1:11">
      <c r="A80" s="70">
        <v>2000</v>
      </c>
      <c r="B80" s="70"/>
      <c r="C80" s="15">
        <v>2093.4123363580302</v>
      </c>
      <c r="D80" s="15">
        <v>2035.5868986151099</v>
      </c>
      <c r="E80" s="15">
        <v>2189.94045335588</v>
      </c>
      <c r="F80" s="15">
        <v>2277.38839499703</v>
      </c>
      <c r="G80" s="15">
        <v>2162.20435981327</v>
      </c>
      <c r="H80" s="15">
        <v>1770.5457478931801</v>
      </c>
      <c r="I80" s="15">
        <v>1873.55454699596</v>
      </c>
      <c r="J80" s="15">
        <v>1728.12196761887</v>
      </c>
      <c r="K80" s="15">
        <v>2108.4934545802598</v>
      </c>
    </row>
    <row r="81" spans="1:11">
      <c r="A81" s="70">
        <v>5000</v>
      </c>
      <c r="B81" s="70"/>
      <c r="C81" s="15">
        <v>3306.8252742008099</v>
      </c>
      <c r="D81" s="15">
        <v>3214.9926157158302</v>
      </c>
      <c r="E81" s="15">
        <v>3457.2290131442401</v>
      </c>
      <c r="F81" s="15">
        <v>3585.1428363709401</v>
      </c>
      <c r="G81" s="15">
        <v>3409.17161748527</v>
      </c>
      <c r="H81" s="15">
        <v>2754.3747602451899</v>
      </c>
      <c r="I81" s="15">
        <v>2866.5440230141098</v>
      </c>
      <c r="J81" s="15">
        <v>2678.8190592999799</v>
      </c>
      <c r="K81" s="15">
        <v>3332.6214421104801</v>
      </c>
    </row>
    <row r="82" spans="1:11">
      <c r="A82" s="70">
        <v>10000</v>
      </c>
      <c r="B82" s="70"/>
      <c r="C82" s="15">
        <v>4668.5271892521996</v>
      </c>
      <c r="D82" s="15">
        <v>4536.6204267619596</v>
      </c>
      <c r="E82" s="15">
        <v>4877.0826548807499</v>
      </c>
      <c r="F82" s="15">
        <v>5025.3871419442903</v>
      </c>
      <c r="G82" s="15">
        <v>4799.5545899663603</v>
      </c>
      <c r="H82" s="15">
        <v>3783.4247039331499</v>
      </c>
      <c r="I82" s="15">
        <v>3852.0904452997902</v>
      </c>
      <c r="J82" s="15">
        <v>3671.8273720441998</v>
      </c>
      <c r="K82" s="15">
        <v>4710.77582108565</v>
      </c>
    </row>
    <row r="83" spans="1:11">
      <c r="A83" s="70">
        <v>20000</v>
      </c>
      <c r="B83" s="70"/>
      <c r="C83" s="15">
        <v>6580.7906251991099</v>
      </c>
      <c r="D83" s="15">
        <v>6390.0470485673604</v>
      </c>
      <c r="E83" s="15">
        <v>6862.6636039246996</v>
      </c>
      <c r="F83" s="15">
        <v>6994.7904539757801</v>
      </c>
      <c r="G83" s="15">
        <v>6721.7886116302398</v>
      </c>
      <c r="H83" s="15">
        <v>5019.2800662030904</v>
      </c>
      <c r="I83" s="15">
        <v>4759.9147383541804</v>
      </c>
      <c r="J83" s="15">
        <v>4831.1855623990996</v>
      </c>
      <c r="K83" s="15">
        <v>6654.8378154314096</v>
      </c>
    </row>
    <row r="84" spans="1:11">
      <c r="A84" s="70">
        <v>50000</v>
      </c>
      <c r="B84" s="70"/>
      <c r="C84" s="15">
        <v>10298.421347544099</v>
      </c>
      <c r="D84" s="15">
        <v>9976.0567981389904</v>
      </c>
      <c r="E84" s="15">
        <v>10685.1527395823</v>
      </c>
      <c r="F84" s="15">
        <v>10469.2754800239</v>
      </c>
      <c r="G84" s="15">
        <v>10322.307393675799</v>
      </c>
      <c r="H84" s="15">
        <v>6100.5890268778203</v>
      </c>
      <c r="I84" s="15">
        <v>2363.1376717091698</v>
      </c>
      <c r="J84" s="15">
        <v>5550.3484373280899</v>
      </c>
      <c r="K84" s="15">
        <v>10489.8765801751</v>
      </c>
    </row>
    <row r="85" spans="1:11">
      <c r="A85" s="70">
        <v>100000</v>
      </c>
      <c r="B85" s="70"/>
      <c r="C85" s="15">
        <v>14312.9673001095</v>
      </c>
      <c r="D85" s="15">
        <v>13806.949172176801</v>
      </c>
      <c r="E85" s="15">
        <v>14712.3081304445</v>
      </c>
      <c r="F85" s="15">
        <v>13340.4672052101</v>
      </c>
      <c r="G85" s="15">
        <v>13844.107686670101</v>
      </c>
      <c r="H85" s="15" t="s">
        <v>502</v>
      </c>
      <c r="I85" s="15" t="s">
        <v>502</v>
      </c>
      <c r="J85" s="15" t="s">
        <v>502</v>
      </c>
      <c r="K85" s="15">
        <v>14756.5645624972</v>
      </c>
    </row>
    <row r="86" spans="1:11">
      <c r="A86" s="70">
        <v>200000</v>
      </c>
      <c r="B86" s="70"/>
      <c r="C86" s="15">
        <v>19507.4237802973</v>
      </c>
      <c r="D86" s="15">
        <v>18639.5959842837</v>
      </c>
      <c r="E86" s="15">
        <v>19629.879026758201</v>
      </c>
      <c r="F86" s="15">
        <v>13736.908202611599</v>
      </c>
      <c r="G86" s="15">
        <v>17249.8019236291</v>
      </c>
      <c r="H86" s="15" t="s">
        <v>502</v>
      </c>
      <c r="I86" s="15" t="s">
        <v>502</v>
      </c>
      <c r="J86" s="15" t="s">
        <v>502</v>
      </c>
      <c r="K86" s="15">
        <v>20646.8013763774</v>
      </c>
    </row>
    <row r="87" spans="1:11">
      <c r="A87" s="70">
        <v>500000</v>
      </c>
      <c r="B87" s="70"/>
      <c r="C87" s="15">
        <v>27056.670874513598</v>
      </c>
      <c r="D87" s="15">
        <v>24787.306271947102</v>
      </c>
      <c r="E87" s="15">
        <v>24628.0601788856</v>
      </c>
      <c r="F87" s="15" t="s">
        <v>502</v>
      </c>
      <c r="G87" s="15">
        <v>10033.289562383099</v>
      </c>
      <c r="H87" s="15" t="s">
        <v>502</v>
      </c>
      <c r="I87" s="15" t="s">
        <v>502</v>
      </c>
      <c r="J87" s="15" t="s">
        <v>502</v>
      </c>
      <c r="K87" s="15">
        <v>31570.466755756901</v>
      </c>
    </row>
    <row r="88" spans="1:11">
      <c r="A88" s="70">
        <v>800000</v>
      </c>
      <c r="B88" s="70"/>
      <c r="C88" s="15">
        <v>28655.046714524</v>
      </c>
      <c r="D88" s="15">
        <v>24023.0525621958</v>
      </c>
      <c r="E88" s="15">
        <v>19990.090338432499</v>
      </c>
      <c r="F88" s="15" t="s">
        <v>502</v>
      </c>
      <c r="G88" s="15" t="s">
        <v>502</v>
      </c>
      <c r="H88" s="15" t="s">
        <v>502</v>
      </c>
      <c r="I88" s="15" t="s">
        <v>502</v>
      </c>
      <c r="J88" s="15" t="s">
        <v>502</v>
      </c>
      <c r="K88" s="15">
        <v>38526.099717759003</v>
      </c>
    </row>
    <row r="89" spans="1:11">
      <c r="A89" s="70">
        <v>1000000</v>
      </c>
      <c r="B89" s="70"/>
      <c r="C89" s="15">
        <v>27102.855837073901</v>
      </c>
      <c r="D89" s="15">
        <v>19549.373194634602</v>
      </c>
      <c r="E89" s="15">
        <v>4877.0826548810101</v>
      </c>
      <c r="F89" s="15" t="s">
        <v>502</v>
      </c>
      <c r="G89" s="15" t="s">
        <v>502</v>
      </c>
      <c r="H89" s="15" t="s">
        <v>502</v>
      </c>
      <c r="I89" s="15" t="s">
        <v>502</v>
      </c>
      <c r="J89" s="15" t="s">
        <v>502</v>
      </c>
      <c r="K89" s="15">
        <v>41989.350630152301</v>
      </c>
    </row>
    <row r="90" spans="1:11">
      <c r="A90" s="70">
        <v>1500000</v>
      </c>
      <c r="B90" s="70"/>
      <c r="C90" s="15">
        <v>2500.6777648667999</v>
      </c>
      <c r="D90" s="15" t="s">
        <v>502</v>
      </c>
      <c r="E90" s="15" t="s">
        <v>502</v>
      </c>
      <c r="F90" s="15" t="s">
        <v>502</v>
      </c>
      <c r="G90" s="15" t="s">
        <v>502</v>
      </c>
      <c r="H90" s="15" t="s">
        <v>502</v>
      </c>
      <c r="I90" s="15" t="s">
        <v>502</v>
      </c>
      <c r="J90" s="15" t="s">
        <v>502</v>
      </c>
      <c r="K90" s="15">
        <v>47950.324143785401</v>
      </c>
    </row>
    <row r="91" spans="1:11">
      <c r="A91" s="70">
        <v>2000000</v>
      </c>
      <c r="B91" s="70"/>
      <c r="C91" s="15" t="s">
        <v>502</v>
      </c>
      <c r="D91" s="15" t="s">
        <v>502</v>
      </c>
      <c r="E91" s="15" t="s">
        <v>502</v>
      </c>
      <c r="F91" s="15" t="s">
        <v>502</v>
      </c>
      <c r="G91" s="15" t="s">
        <v>502</v>
      </c>
      <c r="H91" s="15" t="s">
        <v>502</v>
      </c>
      <c r="I91" s="15" t="s">
        <v>502</v>
      </c>
      <c r="J91" s="15" t="s">
        <v>502</v>
      </c>
      <c r="K91" s="15">
        <v>51039.968932539101</v>
      </c>
    </row>
    <row r="92" spans="1:11">
      <c r="A92" s="1" t="s">
        <v>513</v>
      </c>
    </row>
    <row r="94" spans="1:11">
      <c r="A94" s="196" t="s">
        <v>520</v>
      </c>
      <c r="B94" s="196"/>
      <c r="C94" s="196"/>
      <c r="D94" s="196"/>
      <c r="E94" s="196"/>
      <c r="F94" s="196"/>
      <c r="G94" s="196"/>
      <c r="H94" s="196"/>
      <c r="I94" s="196"/>
      <c r="J94" s="196"/>
      <c r="K94" s="196"/>
    </row>
    <row r="95" spans="1:11">
      <c r="A95" s="34" t="s">
        <v>515</v>
      </c>
      <c r="B95" s="34"/>
      <c r="C95" s="71" t="s">
        <v>504</v>
      </c>
      <c r="D95" s="71" t="s">
        <v>505</v>
      </c>
      <c r="E95" s="71" t="s">
        <v>506</v>
      </c>
      <c r="F95" s="71" t="s">
        <v>507</v>
      </c>
      <c r="G95" s="71" t="s">
        <v>508</v>
      </c>
      <c r="H95" s="71" t="s">
        <v>509</v>
      </c>
      <c r="I95" s="71" t="s">
        <v>510</v>
      </c>
      <c r="J95" s="71" t="s">
        <v>511</v>
      </c>
      <c r="K95" s="71" t="s">
        <v>512</v>
      </c>
    </row>
    <row r="96" spans="1:11">
      <c r="A96" s="70" t="s">
        <v>516</v>
      </c>
      <c r="B96" s="70"/>
      <c r="C96" s="15">
        <v>8728.2372729924991</v>
      </c>
      <c r="D96" s="15">
        <v>8247.2253046977694</v>
      </c>
      <c r="E96" s="15">
        <v>9520.4480603303291</v>
      </c>
      <c r="F96" s="15">
        <v>10101.819529136001</v>
      </c>
      <c r="G96" s="15">
        <v>9224.8999509977693</v>
      </c>
      <c r="H96" s="15">
        <v>6009.4300136379497</v>
      </c>
      <c r="I96" s="15">
        <v>6389.2206574280099</v>
      </c>
      <c r="J96" s="15">
        <v>5709.2954293147104</v>
      </c>
      <c r="K96" s="15">
        <v>8878.83748454548</v>
      </c>
    </row>
    <row r="97" spans="1:11">
      <c r="A97" s="70" t="s">
        <v>517</v>
      </c>
      <c r="B97" s="70"/>
      <c r="C97" s="15">
        <v>2191.4635381158</v>
      </c>
      <c r="D97" s="15">
        <v>2072.5412050925602</v>
      </c>
      <c r="E97" s="15">
        <v>2396.5409823405398</v>
      </c>
      <c r="F97" s="15">
        <v>2587.9148084111898</v>
      </c>
      <c r="G97" s="15">
        <v>2335.6786268848</v>
      </c>
      <c r="H97" s="15">
        <v>1575.4789097559801</v>
      </c>
      <c r="I97" s="15">
        <v>1756.1611069904</v>
      </c>
      <c r="J97" s="15">
        <v>1500.4736625970099</v>
      </c>
      <c r="K97" s="15">
        <v>2223.1949895737898</v>
      </c>
    </row>
    <row r="99" spans="1:11">
      <c r="A99" s="1" t="s">
        <v>121</v>
      </c>
    </row>
    <row r="100" spans="1:11">
      <c r="A100" s="1" t="s">
        <v>122</v>
      </c>
    </row>
    <row r="102" spans="1:11" hidden="1">
      <c r="C102" s="1" t="s">
        <v>521</v>
      </c>
      <c r="D102" s="1" t="s">
        <v>522</v>
      </c>
    </row>
    <row r="103" spans="1:11" hidden="1">
      <c r="A103" s="12" t="s">
        <v>523</v>
      </c>
      <c r="B103" s="12"/>
      <c r="C103" s="11">
        <v>10615.676462653</v>
      </c>
      <c r="D103" s="11">
        <v>8878.83748454548</v>
      </c>
    </row>
    <row r="104" spans="1:11" hidden="1">
      <c r="A104" s="13" t="s">
        <v>524</v>
      </c>
      <c r="B104" s="13"/>
      <c r="C104" s="11">
        <v>2655.4904152711802</v>
      </c>
      <c r="D104" s="11">
        <v>2223.1949895737898</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E102"/>
  <sheetViews>
    <sheetView workbookViewId="0"/>
  </sheetViews>
  <sheetFormatPr defaultColWidth="8.85546875" defaultRowHeight="15"/>
  <cols>
    <col min="1" max="1" width="136.5703125" style="1" customWidth="1"/>
    <col min="2" max="16384" width="8.85546875" style="1"/>
  </cols>
  <sheetData>
    <row r="1" spans="1:2">
      <c r="A1" s="29"/>
    </row>
    <row r="2" spans="1:2">
      <c r="A2" s="29"/>
    </row>
    <row r="3" spans="1:2">
      <c r="A3" s="29"/>
    </row>
    <row r="4" spans="1:2">
      <c r="A4" s="29"/>
    </row>
    <row r="5" spans="1:2">
      <c r="A5" s="29"/>
    </row>
    <row r="6" spans="1:2">
      <c r="A6" s="29"/>
    </row>
    <row r="7" spans="1:2">
      <c r="A7" s="29"/>
    </row>
    <row r="8" spans="1:2">
      <c r="A8" s="30" t="s">
        <v>0</v>
      </c>
    </row>
    <row r="9" spans="1:2">
      <c r="A9" s="29" t="s">
        <v>525</v>
      </c>
    </row>
    <row r="10" spans="1:2">
      <c r="A10" s="29" t="s">
        <v>526</v>
      </c>
      <c r="B10" s="14"/>
    </row>
    <row r="11" spans="1:2">
      <c r="A11" s="29" t="s">
        <v>527</v>
      </c>
      <c r="B11" s="2"/>
    </row>
    <row r="12" spans="1:2" ht="15.75" thickBot="1">
      <c r="A12" s="72"/>
      <c r="B12" s="2"/>
    </row>
    <row r="13" spans="1:2" ht="42.75" customHeight="1">
      <c r="A13" s="133" t="s">
        <v>528</v>
      </c>
    </row>
    <row r="14" spans="1:2">
      <c r="A14" s="134"/>
    </row>
    <row r="15" spans="1:2">
      <c r="A15" s="135" t="s">
        <v>521</v>
      </c>
    </row>
    <row r="16" spans="1:2" ht="30">
      <c r="A16" s="136" t="s">
        <v>529</v>
      </c>
    </row>
    <row r="17" spans="1:1">
      <c r="A17" s="134"/>
    </row>
    <row r="18" spans="1:1">
      <c r="A18" s="135" t="s">
        <v>530</v>
      </c>
    </row>
    <row r="19" spans="1:1" ht="45">
      <c r="A19" s="136" t="s">
        <v>531</v>
      </c>
    </row>
    <row r="20" spans="1:1">
      <c r="A20" s="134"/>
    </row>
    <row r="21" spans="1:1">
      <c r="A21" s="135" t="s">
        <v>532</v>
      </c>
    </row>
    <row r="22" spans="1:1" ht="60">
      <c r="A22" s="136" t="s">
        <v>533</v>
      </c>
    </row>
    <row r="23" spans="1:1">
      <c r="A23" s="136"/>
    </row>
    <row r="24" spans="1:1">
      <c r="A24" s="135" t="s">
        <v>227</v>
      </c>
    </row>
    <row r="25" spans="1:1" ht="30">
      <c r="A25" s="136" t="s">
        <v>534</v>
      </c>
    </row>
    <row r="26" spans="1:1">
      <c r="A26" s="134"/>
    </row>
    <row r="27" spans="1:1">
      <c r="A27" s="135" t="s">
        <v>535</v>
      </c>
    </row>
    <row r="28" spans="1:1" ht="75">
      <c r="A28" s="136" t="s">
        <v>536</v>
      </c>
    </row>
    <row r="29" spans="1:1">
      <c r="A29" s="136"/>
    </row>
    <row r="30" spans="1:1" s="9" customFormat="1">
      <c r="A30" s="137" t="s">
        <v>147</v>
      </c>
    </row>
    <row r="31" spans="1:1" s="9" customFormat="1" ht="60">
      <c r="A31" s="138" t="s">
        <v>537</v>
      </c>
    </row>
    <row r="32" spans="1:1">
      <c r="A32" s="134"/>
    </row>
    <row r="33" spans="1:5">
      <c r="A33" s="135" t="s">
        <v>538</v>
      </c>
    </row>
    <row r="34" spans="1:5" ht="60">
      <c r="A34" s="136" t="s">
        <v>539</v>
      </c>
    </row>
    <row r="35" spans="1:5" s="9" customFormat="1">
      <c r="A35" s="138"/>
    </row>
    <row r="36" spans="1:5" s="9" customFormat="1">
      <c r="A36" s="137" t="s">
        <v>540</v>
      </c>
    </row>
    <row r="37" spans="1:5" s="9" customFormat="1">
      <c r="A37" s="138" t="s">
        <v>541</v>
      </c>
    </row>
    <row r="38" spans="1:5">
      <c r="A38" s="134"/>
    </row>
    <row r="39" spans="1:5">
      <c r="A39" s="135" t="s">
        <v>542</v>
      </c>
    </row>
    <row r="40" spans="1:5" ht="32.25" customHeight="1">
      <c r="A40" s="136" t="s">
        <v>543</v>
      </c>
    </row>
    <row r="41" spans="1:5" ht="53.25" customHeight="1">
      <c r="A41" s="136" t="s">
        <v>544</v>
      </c>
    </row>
    <row r="42" spans="1:5">
      <c r="A42" s="134"/>
    </row>
    <row r="43" spans="1:5">
      <c r="A43" s="135" t="s">
        <v>545</v>
      </c>
    </row>
    <row r="44" spans="1:5" ht="30">
      <c r="A44" s="136" t="s">
        <v>546</v>
      </c>
      <c r="E44" s="132"/>
    </row>
    <row r="45" spans="1:5">
      <c r="A45" s="134"/>
    </row>
    <row r="46" spans="1:5">
      <c r="A46" s="135" t="s">
        <v>547</v>
      </c>
    </row>
    <row r="47" spans="1:5" ht="30">
      <c r="A47" s="136" t="s">
        <v>548</v>
      </c>
    </row>
    <row r="48" spans="1:5">
      <c r="A48" s="134"/>
    </row>
    <row r="49" spans="1:1">
      <c r="A49" s="135" t="s">
        <v>549</v>
      </c>
    </row>
    <row r="50" spans="1:1" ht="30">
      <c r="A50" s="136" t="s">
        <v>550</v>
      </c>
    </row>
    <row r="51" spans="1:1">
      <c r="A51" s="134"/>
    </row>
    <row r="52" spans="1:1">
      <c r="A52" s="135" t="s">
        <v>551</v>
      </c>
    </row>
    <row r="53" spans="1:1" ht="30">
      <c r="A53" s="136" t="s">
        <v>552</v>
      </c>
    </row>
    <row r="54" spans="1:1">
      <c r="A54" s="134"/>
    </row>
    <row r="55" spans="1:1">
      <c r="A55" s="135" t="s">
        <v>553</v>
      </c>
    </row>
    <row r="56" spans="1:1" ht="105">
      <c r="A56" s="138" t="s">
        <v>554</v>
      </c>
    </row>
    <row r="57" spans="1:1">
      <c r="A57" s="134"/>
    </row>
    <row r="58" spans="1:1">
      <c r="A58" s="135" t="s">
        <v>555</v>
      </c>
    </row>
    <row r="59" spans="1:1" ht="45">
      <c r="A59" s="139" t="s">
        <v>556</v>
      </c>
    </row>
    <row r="60" spans="1:1">
      <c r="A60" s="139"/>
    </row>
    <row r="61" spans="1:1" s="9" customFormat="1">
      <c r="A61" s="137" t="s">
        <v>557</v>
      </c>
    </row>
    <row r="62" spans="1:1" s="9" customFormat="1" ht="45">
      <c r="A62" s="138" t="s">
        <v>558</v>
      </c>
    </row>
    <row r="63" spans="1:1">
      <c r="A63" s="136"/>
    </row>
    <row r="64" spans="1:1">
      <c r="A64" s="135" t="s">
        <v>559</v>
      </c>
    </row>
    <row r="65" spans="1:1">
      <c r="A65" s="136" t="s">
        <v>560</v>
      </c>
    </row>
    <row r="66" spans="1:1">
      <c r="A66" s="134"/>
    </row>
    <row r="67" spans="1:1">
      <c r="A67" s="135" t="s">
        <v>561</v>
      </c>
    </row>
    <row r="68" spans="1:1" ht="60">
      <c r="A68" s="138" t="s">
        <v>562</v>
      </c>
    </row>
    <row r="69" spans="1:1">
      <c r="A69" s="134"/>
    </row>
    <row r="70" spans="1:1">
      <c r="A70" s="135" t="s">
        <v>563</v>
      </c>
    </row>
    <row r="71" spans="1:1" ht="60">
      <c r="A71" s="138" t="s">
        <v>564</v>
      </c>
    </row>
    <row r="72" spans="1:1" s="9" customFormat="1">
      <c r="A72" s="138"/>
    </row>
    <row r="73" spans="1:1" s="9" customFormat="1">
      <c r="A73" s="137" t="s">
        <v>144</v>
      </c>
    </row>
    <row r="74" spans="1:1" s="9" customFormat="1" ht="30">
      <c r="A74" s="138" t="s">
        <v>565</v>
      </c>
    </row>
    <row r="75" spans="1:1">
      <c r="A75" s="134"/>
    </row>
    <row r="76" spans="1:1">
      <c r="A76" s="135" t="s">
        <v>566</v>
      </c>
    </row>
    <row r="77" spans="1:1" ht="45">
      <c r="A77" s="136" t="s">
        <v>567</v>
      </c>
    </row>
    <row r="78" spans="1:1">
      <c r="A78" s="134"/>
    </row>
    <row r="79" spans="1:1">
      <c r="A79" s="135" t="s">
        <v>568</v>
      </c>
    </row>
    <row r="80" spans="1:1" ht="30">
      <c r="A80" s="136" t="s">
        <v>569</v>
      </c>
    </row>
    <row r="81" spans="1:1">
      <c r="A81" s="134"/>
    </row>
    <row r="82" spans="1:1">
      <c r="A82" s="135" t="s">
        <v>570</v>
      </c>
    </row>
    <row r="83" spans="1:1" ht="30">
      <c r="A83" s="138" t="s">
        <v>571</v>
      </c>
    </row>
    <row r="84" spans="1:1" ht="54" customHeight="1">
      <c r="A84" s="138" t="s">
        <v>572</v>
      </c>
    </row>
    <row r="85" spans="1:1" ht="49.5" customHeight="1">
      <c r="A85" s="138" t="s">
        <v>573</v>
      </c>
    </row>
    <row r="86" spans="1:1">
      <c r="A86" s="134"/>
    </row>
    <row r="87" spans="1:1">
      <c r="A87" s="135" t="s">
        <v>574</v>
      </c>
    </row>
    <row r="88" spans="1:1" ht="75">
      <c r="A88" s="136" t="s">
        <v>575</v>
      </c>
    </row>
    <row r="89" spans="1:1" ht="53.25" customHeight="1">
      <c r="A89" s="140" t="s">
        <v>576</v>
      </c>
    </row>
    <row r="90" spans="1:1">
      <c r="A90" s="134"/>
    </row>
    <row r="91" spans="1:1">
      <c r="A91" s="135" t="s">
        <v>577</v>
      </c>
    </row>
    <row r="92" spans="1:1" ht="30">
      <c r="A92" s="136" t="s">
        <v>578</v>
      </c>
    </row>
    <row r="93" spans="1:1" ht="45">
      <c r="A93" s="136" t="s">
        <v>579</v>
      </c>
    </row>
    <row r="94" spans="1:1">
      <c r="A94" s="141"/>
    </row>
    <row r="95" spans="1:1">
      <c r="A95" s="135" t="s">
        <v>580</v>
      </c>
    </row>
    <row r="96" spans="1:1" ht="30">
      <c r="A96" s="136" t="s">
        <v>581</v>
      </c>
    </row>
    <row r="97" spans="1:1" ht="30">
      <c r="A97" s="136" t="s">
        <v>582</v>
      </c>
    </row>
    <row r="98" spans="1:1">
      <c r="A98" s="136"/>
    </row>
    <row r="99" spans="1:1" s="9" customFormat="1">
      <c r="A99" s="137" t="s">
        <v>583</v>
      </c>
    </row>
    <row r="100" spans="1:1" s="9" customFormat="1" ht="60">
      <c r="A100" s="138" t="s">
        <v>584</v>
      </c>
    </row>
    <row r="101" spans="1:1">
      <c r="A101" s="136"/>
    </row>
    <row r="102" spans="1:1" ht="15.75" thickBot="1">
      <c r="A102" s="20"/>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1" manualBreakCount="1">
    <brk id="7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9362B07AAA513458AB7907723479FA4" ma:contentTypeVersion="21" ma:contentTypeDescription="Create a new document." ma:contentTypeScope="" ma:versionID="eeb645d1e3eee40e6790b0758107e600">
  <xsd:schema xmlns:xsd="http://www.w3.org/2001/XMLSchema" xmlns:xs="http://www.w3.org/2001/XMLSchema" xmlns:p="http://schemas.microsoft.com/office/2006/metadata/properties" xmlns:ns2="1ad3d815-2749-48a7-8db7-001a8d6be777" xmlns:ns3="b47f2ed2-95c1-4f4e-b268-b322875018b8" targetNamespace="http://schemas.microsoft.com/office/2006/metadata/properties" ma:root="true" ma:fieldsID="e5180914b8d155c32e9ed522d54b575d" ns2:_="" ns3:_="">
    <xsd:import namespace="1ad3d815-2749-48a7-8db7-001a8d6be777"/>
    <xsd:import namespace="b47f2ed2-95c1-4f4e-b268-b322875018b8"/>
    <xsd:element name="properties">
      <xsd:complexType>
        <xsd:sequence>
          <xsd:element name="documentManagement">
            <xsd:complexType>
              <xsd:all>
                <xsd:element ref="ns2:ExpiryDate" minOccurs="0"/>
                <xsd:element ref="ns2:LogCreated" minOccurs="0"/>
                <xsd:element ref="ns2:Shared" minOccurs="0"/>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3d815-2749-48a7-8db7-001a8d6be777" elementFormDefault="qualified">
    <xsd:import namespace="http://schemas.microsoft.com/office/2006/documentManagement/types"/>
    <xsd:import namespace="http://schemas.microsoft.com/office/infopath/2007/PartnerControls"/>
    <xsd:element name="ExpiryDate" ma:index="8" nillable="true" ma:displayName="Expiry Date" ma:format="DateOnly" ma:internalName="ExpiryDate">
      <xsd:simpleType>
        <xsd:restriction base="dms:DateTime"/>
      </xsd:simpleType>
    </xsd:element>
    <xsd:element name="LogCreated" ma:index="9" nillable="true" ma:displayName="LogCreated" ma:default="0" ma:internalName="LogCreated">
      <xsd:simpleType>
        <xsd:restriction base="dms:Boolean"/>
      </xsd:simpleType>
    </xsd:element>
    <xsd:element name="Shared" ma:index="10" nillable="true" ma:displayName="Shared" ma:default="0" ma:internalName="Shared">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f2ed2-95c1-4f4e-b268-b322875018b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ad795165-9c14-4def-9506-432ed5647537}" ma:internalName="TaxCatchAll" ma:showField="CatchAllData" ma:web="b47f2ed2-95c1-4f4e-b268-b32287501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d3d815-2749-48a7-8db7-001a8d6be777">
      <Terms xmlns="http://schemas.microsoft.com/office/infopath/2007/PartnerControls"/>
    </lcf76f155ced4ddcb4097134ff3c332f>
    <TaxCatchAll xmlns="b47f2ed2-95c1-4f4e-b268-b322875018b8" xsi:nil="true"/>
    <Shared xmlns="1ad3d815-2749-48a7-8db7-001a8d6be777">false</Shared>
    <LogCreated xmlns="1ad3d815-2749-48a7-8db7-001a8d6be777">false</LogCreated>
    <ExpiryDate xmlns="1ad3d815-2749-48a7-8db7-001a8d6be777" xsi:nil="true"/>
  </documentManagement>
</p:properties>
</file>

<file path=customXml/itemProps1.xml><?xml version="1.0" encoding="utf-8"?>
<ds:datastoreItem xmlns:ds="http://schemas.openxmlformats.org/officeDocument/2006/customXml" ds:itemID="{A41CA6BC-EC33-44A1-BACB-A55B4AFBD285}"/>
</file>

<file path=customXml/itemProps2.xml><?xml version="1.0" encoding="utf-8"?>
<ds:datastoreItem xmlns:ds="http://schemas.openxmlformats.org/officeDocument/2006/customXml" ds:itemID="{617416EE-AD78-4D91-8EAF-AC0B40B39B57}"/>
</file>

<file path=customXml/itemProps3.xml><?xml version="1.0" encoding="utf-8"?>
<ds:datastoreItem xmlns:ds="http://schemas.openxmlformats.org/officeDocument/2006/customXml" ds:itemID="{9FDA8DBC-8A5F-410C-89B4-84BEDA1109FC}"/>
</file>

<file path=docProps/app.xml><?xml version="1.0" encoding="utf-8"?>
<Properties xmlns="http://schemas.openxmlformats.org/officeDocument/2006/extended-properties" xmlns:vt="http://schemas.openxmlformats.org/officeDocument/2006/docPropsVTypes">
  <Application>Microsoft Excel Online</Application>
  <Manager/>
  <Company>Australian Sports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2026-03-03T22:16:00Z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0x010100B9362B07AAA513458AB7907723479FA4</vt:lpwstr>
  </property>
  <property fmtid="{D5CDD505-2E9C-101B-9397-08002B2CF9AE}" pid="10" name="MediaServiceImageTags">
    <vt:lpwstr/>
  </property>
</Properties>
</file>